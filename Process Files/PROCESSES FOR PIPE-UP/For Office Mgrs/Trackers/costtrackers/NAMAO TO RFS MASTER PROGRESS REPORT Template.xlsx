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cook000\Desktop\Google Drive - Shelley\Namao to RFS\1.0 Construction\"/>
    </mc:Choice>
  </mc:AlternateContent>
  <bookViews>
    <workbookView xWindow="0" yWindow="0" windowWidth="20490" windowHeight="7155" tabRatio="731" activeTab="2"/>
  </bookViews>
  <sheets>
    <sheet name="Index" sheetId="30" r:id="rId1"/>
    <sheet name="REPORT" sheetId="12" r:id="rId2"/>
    <sheet name="Actual PROGRESS" sheetId="1" r:id="rId3"/>
    <sheet name="Planned PROGRESS" sheetId="38" r:id="rId4"/>
    <sheet name="SECTION 1a (BASELAY)" sheetId="11" r:id="rId5"/>
    <sheet name="SECTION 1b (LUMP SUM PRICING)" sheetId="31" r:id="rId6"/>
    <sheet name="SECTION 3 (Additional UPI)" sheetId="32" r:id="rId7"/>
    <sheet name="Holdback | Payment Log" sheetId="35" r:id="rId8"/>
    <sheet name="CO Log" sheetId="36" r:id="rId9"/>
    <sheet name="RFI Log" sheetId="37" r:id="rId10"/>
    <sheet name="Actual vs Sch Days " sheetId="24" state="hidden" r:id="rId11"/>
  </sheets>
  <definedNames>
    <definedName name="_xlnm._FilterDatabase" localSheetId="8" hidden="1">'CO Log'!$A$2:$K$139</definedName>
    <definedName name="_xlnm._FilterDatabase" localSheetId="9" hidden="1">'RFI Log'!$A$3:$AX$306</definedName>
    <definedName name="_xlnm._FilterDatabase" localSheetId="5" hidden="1">'SECTION 1b (LUMP SUM PRICING)'!$A$3:$AG$13</definedName>
    <definedName name="_xlnm._FilterDatabase" localSheetId="6" hidden="1">'SECTION 3 (Additional UPI)'!$L$3:$L$196</definedName>
    <definedName name="_xlnm.Print_Area" localSheetId="2">'Actual PROGRESS'!$A$1:$R$79</definedName>
    <definedName name="_xlnm.Print_Area" localSheetId="8">'CO Log'!$A$1:$L$55</definedName>
    <definedName name="_xlnm.Print_Area" localSheetId="3">'Planned PROGRESS'!$A$1:$R$12</definedName>
    <definedName name="_xlnm.Print_Area" localSheetId="1">REPORT!$A$1:$Q$117</definedName>
    <definedName name="_xlnm.Print_Area" localSheetId="9">'RFI Log'!$A$1:$K$286</definedName>
    <definedName name="_xlnm.Print_Area" localSheetId="4">'SECTION 1a (BASELAY)'!$A$1:$BJ$20</definedName>
    <definedName name="_xlnm.Print_Area" localSheetId="5">'SECTION 1b (LUMP SUM PRICING)'!$A$1:$O$23</definedName>
    <definedName name="_xlnm.Print_Area" localSheetId="6">'SECTION 3 (Additional UPI)'!$A$1:$P$198</definedName>
  </definedNames>
  <calcPr calcId="152511"/>
</workbook>
</file>

<file path=xl/calcChain.xml><?xml version="1.0" encoding="utf-8"?>
<calcChain xmlns="http://schemas.openxmlformats.org/spreadsheetml/2006/main">
  <c r="J194" i="32" l="1"/>
  <c r="J193" i="32"/>
  <c r="J192" i="32"/>
  <c r="J191" i="32"/>
  <c r="J190" i="32"/>
  <c r="J189" i="32"/>
  <c r="J188" i="32"/>
  <c r="J187" i="32"/>
  <c r="J186" i="32"/>
  <c r="J185" i="32"/>
  <c r="J184" i="32"/>
  <c r="J183" i="32"/>
  <c r="J182" i="32"/>
  <c r="J181" i="32"/>
  <c r="J180" i="32"/>
  <c r="J179" i="32"/>
  <c r="J178" i="32"/>
  <c r="J177" i="32"/>
  <c r="J176" i="32"/>
  <c r="J175" i="32"/>
  <c r="J174" i="32"/>
  <c r="J173" i="32"/>
  <c r="J172" i="32"/>
  <c r="J171" i="32"/>
  <c r="J170" i="32"/>
  <c r="J169" i="32"/>
  <c r="J168" i="32"/>
  <c r="J167" i="32"/>
  <c r="J166" i="32"/>
  <c r="J165" i="32"/>
  <c r="J164" i="32"/>
  <c r="J163" i="32"/>
  <c r="J162" i="32"/>
  <c r="J161" i="32"/>
  <c r="J160" i="32"/>
  <c r="J159" i="32"/>
  <c r="J158" i="32"/>
  <c r="J157" i="32"/>
  <c r="J156" i="32"/>
  <c r="J155" i="32"/>
  <c r="J154" i="32"/>
  <c r="J153" i="32"/>
  <c r="J152" i="32"/>
  <c r="J151" i="32"/>
  <c r="J150" i="32"/>
  <c r="J149" i="32"/>
  <c r="J148" i="32"/>
  <c r="J147" i="32"/>
  <c r="J146" i="32"/>
  <c r="J145" i="32"/>
  <c r="J144" i="32"/>
  <c r="J143" i="32"/>
  <c r="J142" i="32"/>
  <c r="J141" i="32"/>
  <c r="J140" i="32"/>
  <c r="J139" i="32"/>
  <c r="J138" i="32"/>
  <c r="J137" i="32"/>
  <c r="J136" i="32"/>
  <c r="J135" i="32"/>
  <c r="J134" i="32"/>
  <c r="J133" i="32"/>
  <c r="J132" i="32"/>
  <c r="J131" i="32"/>
  <c r="J130" i="32"/>
  <c r="J129" i="32"/>
  <c r="J128" i="32"/>
  <c r="J127" i="32"/>
  <c r="J126" i="32"/>
  <c r="J125" i="32"/>
  <c r="J124" i="32"/>
  <c r="J123" i="32"/>
  <c r="J122" i="32"/>
  <c r="J121" i="32"/>
  <c r="J120" i="32"/>
  <c r="J119" i="32"/>
  <c r="J118" i="32"/>
  <c r="J117" i="32"/>
  <c r="J116" i="32"/>
  <c r="J115" i="32"/>
  <c r="J114" i="32"/>
  <c r="J113" i="32"/>
  <c r="J112" i="32"/>
  <c r="J111" i="32"/>
  <c r="J110" i="32"/>
  <c r="J109" i="32"/>
  <c r="J108" i="32"/>
  <c r="J107" i="32"/>
  <c r="J106" i="32"/>
  <c r="J105" i="32"/>
  <c r="J104" i="32"/>
  <c r="J103" i="32"/>
  <c r="J102" i="32"/>
  <c r="J101" i="32"/>
  <c r="J100" i="32"/>
  <c r="J99" i="32"/>
  <c r="J98" i="32"/>
  <c r="J97" i="32"/>
  <c r="J96" i="32"/>
  <c r="J95" i="32"/>
  <c r="J94" i="32"/>
  <c r="J93" i="32"/>
  <c r="J92" i="32"/>
  <c r="J91" i="32"/>
  <c r="J90" i="32"/>
  <c r="J89" i="32"/>
  <c r="J88" i="32"/>
  <c r="J87" i="32"/>
  <c r="J86" i="32"/>
  <c r="J85" i="32"/>
  <c r="J84" i="32"/>
  <c r="J83" i="32"/>
  <c r="J82" i="32"/>
  <c r="J81" i="32"/>
  <c r="J80" i="32"/>
  <c r="J79" i="32"/>
  <c r="J78" i="32"/>
  <c r="J77" i="32"/>
  <c r="J76" i="32"/>
  <c r="J75" i="32"/>
  <c r="J74" i="32"/>
  <c r="J73" i="32"/>
  <c r="J72" i="32"/>
  <c r="J71" i="32"/>
  <c r="J70" i="32"/>
  <c r="J69" i="32"/>
  <c r="J68" i="32"/>
  <c r="J67" i="32"/>
  <c r="J66" i="32"/>
  <c r="J65" i="32"/>
  <c r="J64" i="32"/>
  <c r="J63" i="32"/>
  <c r="J62" i="32"/>
  <c r="J61" i="32"/>
  <c r="J60" i="32"/>
  <c r="J59" i="32"/>
  <c r="J58" i="32"/>
  <c r="J57" i="32"/>
  <c r="J56" i="32"/>
  <c r="J55" i="32"/>
  <c r="J54" i="32"/>
  <c r="J53" i="32"/>
  <c r="J52" i="32"/>
  <c r="J51" i="32"/>
  <c r="J50" i="32"/>
  <c r="J49" i="32"/>
  <c r="J48" i="32"/>
  <c r="J47" i="32"/>
  <c r="J46" i="32"/>
  <c r="J45" i="32"/>
  <c r="J44" i="32"/>
  <c r="J43" i="32"/>
  <c r="J42" i="32"/>
  <c r="J41" i="32"/>
  <c r="J40" i="32"/>
  <c r="J39" i="32"/>
  <c r="J38" i="32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18" i="32"/>
  <c r="J17" i="32"/>
  <c r="J16" i="32"/>
  <c r="J15" i="32"/>
  <c r="J14" i="32"/>
  <c r="J13" i="32"/>
  <c r="J12" i="32"/>
  <c r="J11" i="32"/>
  <c r="J10" i="32"/>
  <c r="J9" i="32"/>
  <c r="J8" i="32"/>
  <c r="J7" i="32"/>
  <c r="J6" i="32"/>
  <c r="J196" i="32" s="1"/>
  <c r="J5" i="32"/>
  <c r="H42" i="32"/>
  <c r="F42" i="32"/>
  <c r="I42" i="32" s="1"/>
  <c r="H41" i="32"/>
  <c r="F41" i="32"/>
  <c r="I41" i="32" s="1"/>
  <c r="H40" i="32"/>
  <c r="F40" i="32"/>
  <c r="I40" i="32" s="1"/>
  <c r="H33" i="32"/>
  <c r="F33" i="32"/>
  <c r="I33" i="32" s="1"/>
  <c r="F18" i="32"/>
  <c r="H17" i="32"/>
  <c r="F17" i="32"/>
  <c r="I17" i="32" s="1"/>
  <c r="H16" i="32"/>
  <c r="F16" i="32"/>
  <c r="N16" i="32" s="1"/>
  <c r="I16" i="32" l="1"/>
  <c r="O16" i="32"/>
  <c r="P16" i="32" s="1"/>
  <c r="N42" i="32"/>
  <c r="N41" i="32"/>
  <c r="N40" i="32"/>
  <c r="N17" i="32"/>
  <c r="O17" i="32" l="1"/>
  <c r="P17" i="32" s="1"/>
  <c r="O40" i="32"/>
  <c r="P40" i="32" s="1"/>
  <c r="O42" i="32"/>
  <c r="P42" i="32" s="1"/>
  <c r="O41" i="32"/>
  <c r="P41" i="32" s="1"/>
  <c r="C13" i="11" l="1"/>
  <c r="A13" i="11" s="1"/>
  <c r="F13" i="11"/>
  <c r="L13" i="11" s="1"/>
  <c r="M13" i="11" s="1"/>
  <c r="I13" i="11"/>
  <c r="J13" i="11" s="1"/>
  <c r="AP13" i="11"/>
  <c r="BB13" i="11"/>
  <c r="BE13" i="11"/>
  <c r="BH13" i="11"/>
  <c r="BL13" i="11"/>
  <c r="BN13" i="11"/>
  <c r="BO13" i="11" s="1"/>
  <c r="BP13" i="11"/>
  <c r="BQ13" i="11" s="1"/>
  <c r="AS13" i="11" l="1"/>
  <c r="G13" i="11"/>
  <c r="AY13" i="11"/>
  <c r="AV13" i="11"/>
  <c r="R13" i="11"/>
  <c r="BM13" i="11"/>
  <c r="O13" i="11"/>
  <c r="X13" i="11" l="1"/>
  <c r="S13" i="11"/>
  <c r="P13" i="11"/>
  <c r="U13" i="11"/>
  <c r="AA13" i="11" l="1"/>
  <c r="V13" i="11"/>
  <c r="Y13" i="11"/>
  <c r="AD13" i="11"/>
  <c r="AE13" i="11" l="1"/>
  <c r="AJ13" i="11"/>
  <c r="AB13" i="11"/>
  <c r="AG13" i="11"/>
  <c r="AM13" i="11" l="1"/>
  <c r="AT13" i="11" s="1"/>
  <c r="AH13" i="11"/>
  <c r="AK13" i="11"/>
  <c r="AQ13" i="11"/>
  <c r="BJ13" i="11"/>
  <c r="AZ13" i="11"/>
  <c r="BF13" i="11"/>
  <c r="AN13" i="11"/>
  <c r="AW13" i="11" l="1"/>
  <c r="BC13" i="11"/>
  <c r="BI13" i="11"/>
  <c r="BN9" i="11" l="1"/>
  <c r="BO9" i="11" s="1"/>
  <c r="C10" i="38"/>
  <c r="D10" i="38"/>
  <c r="D9" i="38" s="1"/>
  <c r="E10" i="38"/>
  <c r="F10" i="38"/>
  <c r="G10" i="38"/>
  <c r="H10" i="38"/>
  <c r="I10" i="38"/>
  <c r="J10" i="38"/>
  <c r="K10" i="38"/>
  <c r="L10" i="38"/>
  <c r="M10" i="38"/>
  <c r="N10" i="38"/>
  <c r="O10" i="38"/>
  <c r="P10" i="38"/>
  <c r="Q10" i="38"/>
  <c r="R10" i="38"/>
  <c r="A1" i="38" l="1"/>
  <c r="A2" i="38"/>
  <c r="A3" i="38"/>
  <c r="A4" i="38"/>
  <c r="B5" i="1"/>
  <c r="B1" i="12" s="1"/>
  <c r="G33" i="36" l="1"/>
  <c r="G20" i="36"/>
  <c r="G11" i="36"/>
  <c r="H138" i="32"/>
  <c r="F79" i="32"/>
  <c r="F32" i="32"/>
  <c r="H32" i="32"/>
  <c r="BN18" i="11"/>
  <c r="BO18" i="11" s="1"/>
  <c r="BN17" i="11"/>
  <c r="BO17" i="11" s="1"/>
  <c r="BN16" i="11"/>
  <c r="BO16" i="11" s="1"/>
  <c r="BN15" i="11"/>
  <c r="BO15" i="11" s="1"/>
  <c r="BN14" i="11"/>
  <c r="BO14" i="11" s="1"/>
  <c r="BN12" i="11"/>
  <c r="BO12" i="11" s="1"/>
  <c r="BN11" i="11"/>
  <c r="BO11" i="11" s="1"/>
  <c r="BN10" i="11"/>
  <c r="BO10" i="11" s="1"/>
  <c r="BL18" i="11"/>
  <c r="BL17" i="11"/>
  <c r="BL16" i="11"/>
  <c r="BL15" i="11"/>
  <c r="BL14" i="11"/>
  <c r="BL12" i="11"/>
  <c r="BL11" i="11"/>
  <c r="BL10" i="11"/>
  <c r="BL9" i="11"/>
  <c r="F138" i="32" l="1"/>
  <c r="I138" i="32" s="1"/>
  <c r="I32" i="32"/>
  <c r="G32" i="36" l="1"/>
  <c r="G31" i="36"/>
  <c r="G30" i="36"/>
  <c r="G29" i="36"/>
  <c r="G28" i="36"/>
  <c r="G27" i="36"/>
  <c r="G10" i="36"/>
  <c r="I137" i="32"/>
  <c r="I107" i="32"/>
  <c r="BM18" i="11"/>
  <c r="BM16" i="11"/>
  <c r="BM14" i="11"/>
  <c r="BM12" i="11"/>
  <c r="BM10" i="11"/>
  <c r="BM9" i="11"/>
  <c r="BM17" i="11"/>
  <c r="BM15" i="11"/>
  <c r="BM11" i="11"/>
  <c r="F137" i="32" l="1"/>
  <c r="G26" i="36" l="1"/>
  <c r="G25" i="36"/>
  <c r="G9" i="36"/>
  <c r="G19" i="36" l="1"/>
  <c r="I106" i="32"/>
  <c r="O9" i="31"/>
  <c r="B5" i="38" l="1"/>
  <c r="Q9" i="38"/>
  <c r="P8" i="38"/>
  <c r="P7" i="38" s="1"/>
  <c r="O8" i="38"/>
  <c r="O7" i="38" s="1"/>
  <c r="N8" i="38"/>
  <c r="M9" i="38"/>
  <c r="L9" i="38"/>
  <c r="C9" i="38"/>
  <c r="R9" i="38"/>
  <c r="R8" i="38"/>
  <c r="R7" i="38" s="1"/>
  <c r="N7" i="38" l="1"/>
  <c r="F26" i="12"/>
  <c r="O9" i="38"/>
  <c r="P9" i="38"/>
  <c r="G8" i="38"/>
  <c r="G7" i="38" s="1"/>
  <c r="I9" i="38"/>
  <c r="Q8" i="38"/>
  <c r="Q7" i="38" s="1"/>
  <c r="E9" i="38"/>
  <c r="F8" i="38"/>
  <c r="K9" i="38"/>
  <c r="H9" i="38"/>
  <c r="N9" i="38"/>
  <c r="L8" i="38"/>
  <c r="C8" i="38"/>
  <c r="M8" i="38"/>
  <c r="M7" i="38" l="1"/>
  <c r="F25" i="12"/>
  <c r="C7" i="38"/>
  <c r="F15" i="12"/>
  <c r="F19" i="12"/>
  <c r="G9" i="38"/>
  <c r="I8" i="38"/>
  <c r="F21" i="12" s="1"/>
  <c r="J11" i="38"/>
  <c r="F9" i="38"/>
  <c r="K8" i="38"/>
  <c r="F23" i="12" s="1"/>
  <c r="J8" i="38"/>
  <c r="J7" i="38" s="1"/>
  <c r="J9" i="38"/>
  <c r="E8" i="38"/>
  <c r="E7" i="38" s="1"/>
  <c r="D8" i="38"/>
  <c r="F16" i="12" s="1"/>
  <c r="H8" i="38"/>
  <c r="F20" i="12" s="1"/>
  <c r="L7" i="38"/>
  <c r="F24" i="12"/>
  <c r="F7" i="38"/>
  <c r="F18" i="12"/>
  <c r="I7" i="38" l="1"/>
  <c r="K7" i="38"/>
  <c r="F22" i="12"/>
  <c r="F17" i="12"/>
  <c r="J2" i="38"/>
  <c r="H7" i="38"/>
  <c r="D7" i="38"/>
  <c r="O110" i="12"/>
  <c r="M110" i="12"/>
  <c r="N116" i="12"/>
  <c r="N115" i="12"/>
  <c r="N114" i="12"/>
  <c r="N113" i="12"/>
  <c r="N112" i="12"/>
  <c r="N111" i="12"/>
  <c r="N110" i="12"/>
  <c r="G24" i="36" l="1"/>
  <c r="G18" i="36"/>
  <c r="G8" i="36"/>
  <c r="I105" i="32"/>
  <c r="BP18" i="11"/>
  <c r="BQ18" i="11" s="1"/>
  <c r="BP17" i="11"/>
  <c r="BQ17" i="11" s="1"/>
  <c r="BP16" i="11"/>
  <c r="BQ16" i="11" s="1"/>
  <c r="BP15" i="11"/>
  <c r="BQ15" i="11" s="1"/>
  <c r="BP14" i="11"/>
  <c r="BQ14" i="11" s="1"/>
  <c r="BP12" i="11"/>
  <c r="BQ12" i="11" s="1"/>
  <c r="BP11" i="11"/>
  <c r="BQ11" i="11" s="1"/>
  <c r="BP10" i="11"/>
  <c r="BQ10" i="11" s="1"/>
  <c r="BP9" i="11"/>
  <c r="BQ9" i="11" s="1"/>
  <c r="K26" i="12" l="1"/>
  <c r="K25" i="12"/>
  <c r="K24" i="12"/>
  <c r="K23" i="12"/>
  <c r="K22" i="12"/>
  <c r="K21" i="12"/>
  <c r="K20" i="12"/>
  <c r="K19" i="12"/>
  <c r="K18" i="12"/>
  <c r="K17" i="12"/>
  <c r="K16" i="12"/>
  <c r="K15" i="12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C10" i="1"/>
  <c r="C8" i="1" s="1"/>
  <c r="J11" i="1" l="1"/>
  <c r="G23" i="36"/>
  <c r="G17" i="36"/>
  <c r="I104" i="32"/>
  <c r="G22" i="36" l="1"/>
  <c r="G16" i="36"/>
  <c r="I103" i="32"/>
  <c r="G21" i="36" l="1"/>
  <c r="G15" i="36"/>
  <c r="G7" i="36"/>
  <c r="I102" i="32"/>
  <c r="G6" i="36"/>
  <c r="H7" i="31"/>
  <c r="I7" i="31" s="1"/>
  <c r="L117" i="12" l="1"/>
  <c r="K117" i="12"/>
  <c r="I117" i="12"/>
  <c r="H117" i="12"/>
  <c r="F117" i="12"/>
  <c r="E117" i="12"/>
  <c r="C117" i="12"/>
  <c r="B117" i="12"/>
  <c r="N117" i="12" l="1"/>
  <c r="O117" i="12"/>
  <c r="I101" i="32"/>
  <c r="E10" i="1" l="1"/>
  <c r="G14" i="36" l="1"/>
  <c r="BN8" i="11"/>
  <c r="BO8" i="11" s="1"/>
  <c r="C8" i="11"/>
  <c r="G13" i="36"/>
  <c r="G5" i="36"/>
  <c r="F189" i="32"/>
  <c r="H6" i="31"/>
  <c r="I6" i="31" s="1"/>
  <c r="G12" i="36"/>
  <c r="F190" i="32"/>
  <c r="F9" i="11"/>
  <c r="F16" i="11"/>
  <c r="BH16" i="11" s="1"/>
  <c r="F18" i="11"/>
  <c r="BH18" i="11" s="1"/>
  <c r="H5" i="31"/>
  <c r="G4" i="36"/>
  <c r="C18" i="11"/>
  <c r="C17" i="11"/>
  <c r="C16" i="11"/>
  <c r="C15" i="11"/>
  <c r="C14" i="11"/>
  <c r="A14" i="11" s="1"/>
  <c r="C12" i="11"/>
  <c r="C11" i="11"/>
  <c r="C10" i="11"/>
  <c r="C9" i="11"/>
  <c r="R9" i="1"/>
  <c r="Q9" i="1"/>
  <c r="O9" i="1"/>
  <c r="N9" i="1"/>
  <c r="N26" i="12" s="1"/>
  <c r="H25" i="12"/>
  <c r="H22" i="12"/>
  <c r="F14" i="11"/>
  <c r="L14" i="11" s="1"/>
  <c r="F12" i="11"/>
  <c r="F11" i="11"/>
  <c r="L11" i="11" s="1"/>
  <c r="F9" i="1"/>
  <c r="N18" i="12" s="1"/>
  <c r="I6" i="12"/>
  <c r="BK19" i="11"/>
  <c r="I18" i="32"/>
  <c r="H158" i="32"/>
  <c r="F158" i="32"/>
  <c r="N158" i="32" s="1"/>
  <c r="O158" i="32" s="1"/>
  <c r="P158" i="32" s="1"/>
  <c r="G106" i="12"/>
  <c r="G104" i="12"/>
  <c r="G101" i="12"/>
  <c r="G99" i="12"/>
  <c r="G96" i="12"/>
  <c r="G94" i="12"/>
  <c r="D96" i="12"/>
  <c r="Q96" i="12"/>
  <c r="Q94" i="12"/>
  <c r="N96" i="12"/>
  <c r="N94" i="12"/>
  <c r="Q101" i="12"/>
  <c r="Q99" i="12"/>
  <c r="N101" i="12"/>
  <c r="N99" i="12"/>
  <c r="Q106" i="12"/>
  <c r="Q104" i="12"/>
  <c r="N106" i="12"/>
  <c r="N104" i="12"/>
  <c r="K106" i="12"/>
  <c r="K104" i="12"/>
  <c r="D106" i="12"/>
  <c r="D104" i="12"/>
  <c r="D99" i="12"/>
  <c r="D94" i="12"/>
  <c r="O18" i="31"/>
  <c r="O17" i="31"/>
  <c r="O16" i="31"/>
  <c r="O15" i="31"/>
  <c r="N3" i="12"/>
  <c r="L3" i="12" s="1"/>
  <c r="D101" i="12"/>
  <c r="K99" i="12"/>
  <c r="K101" i="12"/>
  <c r="F27" i="12"/>
  <c r="D27" i="12"/>
  <c r="N5" i="12"/>
  <c r="L5" i="12" s="1"/>
  <c r="N4" i="12"/>
  <c r="L4" i="12" s="1"/>
  <c r="N6" i="12"/>
  <c r="L6" i="12" s="1"/>
  <c r="N7" i="12"/>
  <c r="L7" i="12" s="1"/>
  <c r="P2" i="12"/>
  <c r="F153" i="36"/>
  <c r="H193" i="32"/>
  <c r="F193" i="32"/>
  <c r="I193" i="32" s="1"/>
  <c r="H190" i="32"/>
  <c r="I190" i="32" s="1"/>
  <c r="H189" i="32"/>
  <c r="O189" i="32"/>
  <c r="P189" i="32" s="1"/>
  <c r="H185" i="32"/>
  <c r="F185" i="32"/>
  <c r="I185" i="32" s="1"/>
  <c r="F184" i="32"/>
  <c r="N184" i="32" s="1"/>
  <c r="O184" i="32" s="1"/>
  <c r="P184" i="32" s="1"/>
  <c r="H184" i="32"/>
  <c r="H183" i="32"/>
  <c r="F183" i="32"/>
  <c r="N183" i="32" s="1"/>
  <c r="O183" i="32" s="1"/>
  <c r="P183" i="32" s="1"/>
  <c r="H179" i="32"/>
  <c r="F179" i="32"/>
  <c r="N179" i="32" s="1"/>
  <c r="O179" i="32" s="1"/>
  <c r="P179" i="32" s="1"/>
  <c r="H177" i="32"/>
  <c r="F177" i="32"/>
  <c r="I177" i="32" s="1"/>
  <c r="H175" i="32"/>
  <c r="F175" i="32"/>
  <c r="N175" i="32" s="1"/>
  <c r="O175" i="32" s="1"/>
  <c r="P175" i="32" s="1"/>
  <c r="H174" i="32"/>
  <c r="F174" i="32"/>
  <c r="H171" i="32"/>
  <c r="F171" i="32"/>
  <c r="I171" i="32" s="1"/>
  <c r="F168" i="32"/>
  <c r="I168" i="32" s="1"/>
  <c r="H168" i="32"/>
  <c r="H167" i="32"/>
  <c r="F167" i="32"/>
  <c r="N167" i="32" s="1"/>
  <c r="O167" i="32" s="1"/>
  <c r="P167" i="32" s="1"/>
  <c r="H164" i="32"/>
  <c r="F164" i="32"/>
  <c r="N164" i="32" s="1"/>
  <c r="O164" i="32" s="1"/>
  <c r="P164" i="32" s="1"/>
  <c r="H161" i="32"/>
  <c r="F161" i="32"/>
  <c r="N161" i="32" s="1"/>
  <c r="O161" i="32" s="1"/>
  <c r="P161" i="32" s="1"/>
  <c r="H157" i="32"/>
  <c r="F157" i="32"/>
  <c r="N157" i="32" s="1"/>
  <c r="O157" i="32" s="1"/>
  <c r="P157" i="32" s="1"/>
  <c r="H154" i="32"/>
  <c r="F154" i="32"/>
  <c r="I154" i="32" s="1"/>
  <c r="H153" i="32"/>
  <c r="F153" i="32"/>
  <c r="N153" i="32" s="1"/>
  <c r="O153" i="32" s="1"/>
  <c r="P153" i="32" s="1"/>
  <c r="F152" i="32"/>
  <c r="I152" i="32" s="1"/>
  <c r="H152" i="32"/>
  <c r="H149" i="32"/>
  <c r="F149" i="32"/>
  <c r="N149" i="32" s="1"/>
  <c r="O149" i="32" s="1"/>
  <c r="P149" i="32" s="1"/>
  <c r="H146" i="32"/>
  <c r="F146" i="32"/>
  <c r="N146" i="32" s="1"/>
  <c r="O146" i="32" s="1"/>
  <c r="P146" i="32" s="1"/>
  <c r="H145" i="32"/>
  <c r="F145" i="32"/>
  <c r="N145" i="32" s="1"/>
  <c r="O145" i="32" s="1"/>
  <c r="P145" i="32" s="1"/>
  <c r="H144" i="32"/>
  <c r="F144" i="32"/>
  <c r="N144" i="32" s="1"/>
  <c r="O144" i="32" s="1"/>
  <c r="P144" i="32" s="1"/>
  <c r="H141" i="32"/>
  <c r="F141" i="32"/>
  <c r="N141" i="32" s="1"/>
  <c r="O141" i="32" s="1"/>
  <c r="P141" i="32" s="1"/>
  <c r="H140" i="32"/>
  <c r="F140" i="32"/>
  <c r="N140" i="32" s="1"/>
  <c r="O140" i="32" s="1"/>
  <c r="P140" i="32" s="1"/>
  <c r="H139" i="32"/>
  <c r="F139" i="32"/>
  <c r="I139" i="32" s="1"/>
  <c r="H136" i="32"/>
  <c r="F136" i="32"/>
  <c r="I136" i="32" s="1"/>
  <c r="H133" i="32"/>
  <c r="F133" i="32"/>
  <c r="I133" i="32" s="1"/>
  <c r="H132" i="32"/>
  <c r="F132" i="32"/>
  <c r="N132" i="32" s="1"/>
  <c r="O132" i="32" s="1"/>
  <c r="P132" i="32" s="1"/>
  <c r="H131" i="32"/>
  <c r="F131" i="32"/>
  <c r="N131" i="32" s="1"/>
  <c r="O131" i="32" s="1"/>
  <c r="P131" i="32" s="1"/>
  <c r="H130" i="32"/>
  <c r="F130" i="32"/>
  <c r="N130" i="32" s="1"/>
  <c r="O130" i="32" s="1"/>
  <c r="P130" i="32" s="1"/>
  <c r="H128" i="32"/>
  <c r="F128" i="32"/>
  <c r="N128" i="32" s="1"/>
  <c r="O128" i="32" s="1"/>
  <c r="P128" i="32" s="1"/>
  <c r="H127" i="32"/>
  <c r="F127" i="32"/>
  <c r="N127" i="32" s="1"/>
  <c r="O127" i="32" s="1"/>
  <c r="P127" i="32" s="1"/>
  <c r="H125" i="32"/>
  <c r="F125" i="32"/>
  <c r="H124" i="32"/>
  <c r="F124" i="32"/>
  <c r="N124" i="32" s="1"/>
  <c r="O124" i="32" s="1"/>
  <c r="P124" i="32" s="1"/>
  <c r="H121" i="32"/>
  <c r="F121" i="32"/>
  <c r="N121" i="32" s="1"/>
  <c r="O121" i="32" s="1"/>
  <c r="P121" i="32" s="1"/>
  <c r="H120" i="32"/>
  <c r="F120" i="32"/>
  <c r="N120" i="32" s="1"/>
  <c r="O120" i="32" s="1"/>
  <c r="P120" i="32" s="1"/>
  <c r="H119" i="32"/>
  <c r="F119" i="32"/>
  <c r="N119" i="32" s="1"/>
  <c r="O119" i="32" s="1"/>
  <c r="P119" i="32" s="1"/>
  <c r="H116" i="32"/>
  <c r="F116" i="32"/>
  <c r="N116" i="32" s="1"/>
  <c r="O116" i="32" s="1"/>
  <c r="P116" i="32" s="1"/>
  <c r="H115" i="32"/>
  <c r="F115" i="32"/>
  <c r="N115" i="32" s="1"/>
  <c r="O115" i="32" s="1"/>
  <c r="P115" i="32" s="1"/>
  <c r="H114" i="32"/>
  <c r="F114" i="32"/>
  <c r="N114" i="32" s="1"/>
  <c r="O114" i="32" s="1"/>
  <c r="P114" i="32" s="1"/>
  <c r="H111" i="32"/>
  <c r="F111" i="32"/>
  <c r="H110" i="32"/>
  <c r="F110" i="32"/>
  <c r="N110" i="32" s="1"/>
  <c r="O110" i="32" s="1"/>
  <c r="P110" i="32" s="1"/>
  <c r="H109" i="32"/>
  <c r="F109" i="32"/>
  <c r="N109" i="32" s="1"/>
  <c r="O109" i="32" s="1"/>
  <c r="P109" i="32" s="1"/>
  <c r="I100" i="32"/>
  <c r="H99" i="32"/>
  <c r="N99" i="32"/>
  <c r="O99" i="32" s="1"/>
  <c r="P99" i="32" s="1"/>
  <c r="H96" i="32"/>
  <c r="F96" i="32"/>
  <c r="N96" i="32" s="1"/>
  <c r="O96" i="32" s="1"/>
  <c r="P96" i="32" s="1"/>
  <c r="F95" i="32"/>
  <c r="I95" i="32" s="1"/>
  <c r="H95" i="32"/>
  <c r="H91" i="32"/>
  <c r="F91" i="32"/>
  <c r="I91" i="32" s="1"/>
  <c r="H90" i="32"/>
  <c r="F90" i="32"/>
  <c r="I90" i="32" s="1"/>
  <c r="H87" i="32"/>
  <c r="F87" i="32"/>
  <c r="I87" i="32" s="1"/>
  <c r="H86" i="32"/>
  <c r="F86" i="32"/>
  <c r="N86" i="32" s="1"/>
  <c r="O86" i="32" s="1"/>
  <c r="P86" i="32" s="1"/>
  <c r="H85" i="32"/>
  <c r="F85" i="32"/>
  <c r="I85" i="32" s="1"/>
  <c r="F82" i="32"/>
  <c r="F81" i="32"/>
  <c r="N81" i="32" s="1"/>
  <c r="O81" i="32" s="1"/>
  <c r="P81" i="32" s="1"/>
  <c r="F80" i="32"/>
  <c r="F78" i="32"/>
  <c r="N78" i="32" s="1"/>
  <c r="O78" i="32" s="1"/>
  <c r="P78" i="32" s="1"/>
  <c r="H75" i="32"/>
  <c r="F75" i="32"/>
  <c r="I75" i="32" s="1"/>
  <c r="H74" i="32"/>
  <c r="F74" i="32"/>
  <c r="N74" i="32" s="1"/>
  <c r="O74" i="32" s="1"/>
  <c r="P74" i="32" s="1"/>
  <c r="F73" i="32"/>
  <c r="N73" i="32" s="1"/>
  <c r="O73" i="32" s="1"/>
  <c r="P73" i="32" s="1"/>
  <c r="H73" i="32"/>
  <c r="H72" i="32"/>
  <c r="F72" i="32"/>
  <c r="N72" i="32" s="1"/>
  <c r="O72" i="32" s="1"/>
  <c r="P72" i="32" s="1"/>
  <c r="H71" i="32"/>
  <c r="F71" i="32"/>
  <c r="N71" i="32" s="1"/>
  <c r="O71" i="32" s="1"/>
  <c r="P71" i="32" s="1"/>
  <c r="H70" i="32"/>
  <c r="F70" i="32"/>
  <c r="N70" i="32" s="1"/>
  <c r="O70" i="32" s="1"/>
  <c r="P70" i="32" s="1"/>
  <c r="H69" i="32"/>
  <c r="F69" i="32"/>
  <c r="I69" i="32" s="1"/>
  <c r="F66" i="32"/>
  <c r="N66" i="32" s="1"/>
  <c r="O66" i="32" s="1"/>
  <c r="P66" i="32" s="1"/>
  <c r="H66" i="32"/>
  <c r="H65" i="32"/>
  <c r="F65" i="32"/>
  <c r="N65" i="32" s="1"/>
  <c r="O65" i="32" s="1"/>
  <c r="P65" i="32" s="1"/>
  <c r="H64" i="32"/>
  <c r="F64" i="32"/>
  <c r="N64" i="32" s="1"/>
  <c r="O64" i="32" s="1"/>
  <c r="P64" i="32" s="1"/>
  <c r="H63" i="32"/>
  <c r="F63" i="32"/>
  <c r="N63" i="32" s="1"/>
  <c r="O63" i="32" s="1"/>
  <c r="P63" i="32" s="1"/>
  <c r="H60" i="32"/>
  <c r="F60" i="32"/>
  <c r="I60" i="32" s="1"/>
  <c r="H58" i="32"/>
  <c r="F58" i="32"/>
  <c r="N58" i="32" s="1"/>
  <c r="O58" i="32" s="1"/>
  <c r="P58" i="32" s="1"/>
  <c r="H57" i="32"/>
  <c r="F57" i="32"/>
  <c r="I57" i="32" s="1"/>
  <c r="H54" i="32"/>
  <c r="F54" i="32"/>
  <c r="N54" i="32" s="1"/>
  <c r="O54" i="32" s="1"/>
  <c r="P54" i="32" s="1"/>
  <c r="F53" i="32"/>
  <c r="I53" i="32" s="1"/>
  <c r="H53" i="32"/>
  <c r="H50" i="32"/>
  <c r="F50" i="32"/>
  <c r="N50" i="32" s="1"/>
  <c r="O50" i="32" s="1"/>
  <c r="P50" i="32" s="1"/>
  <c r="H49" i="32"/>
  <c r="F49" i="32"/>
  <c r="N49" i="32" s="1"/>
  <c r="O49" i="32" s="1"/>
  <c r="P49" i="32" s="1"/>
  <c r="H48" i="32"/>
  <c r="F48" i="32"/>
  <c r="I48" i="32" s="1"/>
  <c r="H47" i="32"/>
  <c r="F47" i="32"/>
  <c r="N47" i="32" s="1"/>
  <c r="H46" i="32"/>
  <c r="F46" i="32"/>
  <c r="I46" i="32" s="1"/>
  <c r="H45" i="32"/>
  <c r="F45" i="32"/>
  <c r="N45" i="32" s="1"/>
  <c r="H44" i="32"/>
  <c r="F44" i="32"/>
  <c r="N44" i="32" s="1"/>
  <c r="H43" i="32"/>
  <c r="F43" i="32"/>
  <c r="N43" i="32" s="1"/>
  <c r="H39" i="32"/>
  <c r="F39" i="32"/>
  <c r="N39" i="32" s="1"/>
  <c r="H38" i="32"/>
  <c r="F38" i="32"/>
  <c r="I38" i="32" s="1"/>
  <c r="H37" i="32"/>
  <c r="F37" i="32"/>
  <c r="N37" i="32" s="1"/>
  <c r="H36" i="32"/>
  <c r="F36" i="32"/>
  <c r="I36" i="32" s="1"/>
  <c r="H35" i="32"/>
  <c r="F35" i="32"/>
  <c r="I35" i="32" s="1"/>
  <c r="H34" i="32"/>
  <c r="F34" i="32"/>
  <c r="I34" i="32" s="1"/>
  <c r="H31" i="32"/>
  <c r="F31" i="32"/>
  <c r="H30" i="32"/>
  <c r="F30" i="32"/>
  <c r="N30" i="32" s="1"/>
  <c r="H27" i="32"/>
  <c r="F27" i="32"/>
  <c r="N27" i="32" s="1"/>
  <c r="H26" i="32"/>
  <c r="F26" i="32"/>
  <c r="I26" i="32" s="1"/>
  <c r="H25" i="32"/>
  <c r="F25" i="32"/>
  <c r="N25" i="32" s="1"/>
  <c r="F22" i="32"/>
  <c r="N22" i="32" s="1"/>
  <c r="H22" i="32"/>
  <c r="H21" i="32"/>
  <c r="F21" i="32"/>
  <c r="N21" i="32" s="1"/>
  <c r="H20" i="32"/>
  <c r="F20" i="32"/>
  <c r="N20" i="32" s="1"/>
  <c r="H19" i="32"/>
  <c r="F19" i="32"/>
  <c r="I19" i="32" s="1"/>
  <c r="H18" i="32"/>
  <c r="N18" i="32"/>
  <c r="H15" i="32"/>
  <c r="F15" i="32"/>
  <c r="N15" i="32" s="1"/>
  <c r="H14" i="32"/>
  <c r="F14" i="32"/>
  <c r="N14" i="32" s="1"/>
  <c r="H13" i="32"/>
  <c r="F13" i="32"/>
  <c r="N13" i="32" s="1"/>
  <c r="H12" i="32"/>
  <c r="F12" i="32"/>
  <c r="I12" i="32" s="1"/>
  <c r="F10" i="32"/>
  <c r="N10" i="32" s="1"/>
  <c r="H10" i="32"/>
  <c r="H9" i="32"/>
  <c r="F9" i="32"/>
  <c r="N9" i="32" s="1"/>
  <c r="H7" i="32"/>
  <c r="F7" i="32"/>
  <c r="N7" i="32" s="1"/>
  <c r="F6" i="32"/>
  <c r="N6" i="32" s="1"/>
  <c r="H6" i="32"/>
  <c r="H5" i="32"/>
  <c r="F5" i="32"/>
  <c r="N5" i="32" s="1"/>
  <c r="O5" i="32" s="1"/>
  <c r="O100" i="32"/>
  <c r="P100" i="32" s="1"/>
  <c r="I189" i="32"/>
  <c r="I58" i="32"/>
  <c r="I71" i="32"/>
  <c r="I115" i="32"/>
  <c r="I128" i="32"/>
  <c r="I175" i="32"/>
  <c r="I149" i="32"/>
  <c r="I72" i="32"/>
  <c r="I127" i="32"/>
  <c r="I141" i="32"/>
  <c r="I86" i="32"/>
  <c r="I99" i="32"/>
  <c r="N111" i="32"/>
  <c r="O111" i="32" s="1"/>
  <c r="P111" i="32" s="1"/>
  <c r="I111" i="32"/>
  <c r="I119" i="32"/>
  <c r="N125" i="32"/>
  <c r="O125" i="32" s="1"/>
  <c r="P125" i="32" s="1"/>
  <c r="I125" i="32"/>
  <c r="N174" i="32"/>
  <c r="O174" i="32" s="1"/>
  <c r="P174" i="32" s="1"/>
  <c r="I174" i="32"/>
  <c r="I183" i="32"/>
  <c r="O8" i="31"/>
  <c r="I1" i="31"/>
  <c r="K96" i="12"/>
  <c r="K94" i="12"/>
  <c r="B27" i="12"/>
  <c r="M116" i="12"/>
  <c r="J116" i="12"/>
  <c r="G116" i="12"/>
  <c r="D116" i="12"/>
  <c r="M115" i="12"/>
  <c r="J115" i="12"/>
  <c r="G115" i="12"/>
  <c r="D115" i="12"/>
  <c r="M114" i="12"/>
  <c r="J114" i="12"/>
  <c r="G114" i="12"/>
  <c r="D114" i="12"/>
  <c r="O116" i="12"/>
  <c r="O115" i="12"/>
  <c r="O114" i="12"/>
  <c r="O113" i="12"/>
  <c r="O112" i="12"/>
  <c r="O111" i="12"/>
  <c r="E18" i="11"/>
  <c r="E17" i="11"/>
  <c r="A17" i="12"/>
  <c r="N11" i="12"/>
  <c r="L11" i="12" s="1"/>
  <c r="N10" i="12"/>
  <c r="L10" i="12" s="1"/>
  <c r="N9" i="12"/>
  <c r="L9" i="12" s="1"/>
  <c r="N8" i="12"/>
  <c r="L8" i="12" s="1"/>
  <c r="G113" i="12"/>
  <c r="G112" i="12"/>
  <c r="G111" i="12"/>
  <c r="G110" i="12"/>
  <c r="P110" i="12" s="1"/>
  <c r="M113" i="12"/>
  <c r="J113" i="12"/>
  <c r="M112" i="12"/>
  <c r="J112" i="12"/>
  <c r="M111" i="12"/>
  <c r="J111" i="12"/>
  <c r="J110" i="12"/>
  <c r="D113" i="12"/>
  <c r="D112" i="12"/>
  <c r="D111" i="12"/>
  <c r="D110" i="12"/>
  <c r="B19" i="11"/>
  <c r="P8" i="1"/>
  <c r="P7" i="1" s="1"/>
  <c r="D15" i="12"/>
  <c r="A26" i="12"/>
  <c r="A25" i="12"/>
  <c r="A24" i="12"/>
  <c r="A23" i="12"/>
  <c r="A22" i="12"/>
  <c r="A21" i="12"/>
  <c r="A20" i="12"/>
  <c r="A16" i="12"/>
  <c r="A18" i="12"/>
  <c r="A19" i="12"/>
  <c r="A15" i="12"/>
  <c r="AF2" i="24"/>
  <c r="AF1" i="24"/>
  <c r="AF3" i="24" s="1"/>
  <c r="I6" i="24"/>
  <c r="C10" i="24"/>
  <c r="D10" i="24" s="1"/>
  <c r="C11" i="24"/>
  <c r="G11" i="24" s="1"/>
  <c r="H11" i="24" s="1"/>
  <c r="C12" i="24"/>
  <c r="D12" i="24" s="1"/>
  <c r="C13" i="24"/>
  <c r="D13" i="24" s="1"/>
  <c r="C14" i="24"/>
  <c r="D14" i="24" s="1"/>
  <c r="C15" i="24"/>
  <c r="G15" i="24" s="1"/>
  <c r="H15" i="24" s="1"/>
  <c r="C16" i="24"/>
  <c r="D16" i="24" s="1"/>
  <c r="C17" i="24"/>
  <c r="C18" i="24"/>
  <c r="D18" i="24" s="1"/>
  <c r="C19" i="24"/>
  <c r="G19" i="24" s="1"/>
  <c r="H19" i="24" s="1"/>
  <c r="C20" i="24"/>
  <c r="G20" i="24" s="1"/>
  <c r="H20" i="24" s="1"/>
  <c r="C21" i="24"/>
  <c r="G21" i="24" s="1"/>
  <c r="H21" i="24" s="1"/>
  <c r="C22" i="24"/>
  <c r="C23" i="24"/>
  <c r="D23" i="24" s="1"/>
  <c r="C24" i="24"/>
  <c r="D24" i="24" s="1"/>
  <c r="C25" i="24"/>
  <c r="D25" i="24" s="1"/>
  <c r="C26" i="24"/>
  <c r="D26" i="24" s="1"/>
  <c r="C27" i="24"/>
  <c r="D27" i="24" s="1"/>
  <c r="C28" i="24"/>
  <c r="D28" i="24" s="1"/>
  <c r="C29" i="24"/>
  <c r="G29" i="24" s="1"/>
  <c r="H29" i="24" s="1"/>
  <c r="C30" i="24"/>
  <c r="C31" i="24"/>
  <c r="D31" i="24" s="1"/>
  <c r="C32" i="24"/>
  <c r="G32" i="24" s="1"/>
  <c r="H32" i="24" s="1"/>
  <c r="C33" i="24"/>
  <c r="D33" i="24" s="1"/>
  <c r="C34" i="24"/>
  <c r="G34" i="24" s="1"/>
  <c r="H34" i="24" s="1"/>
  <c r="C35" i="24"/>
  <c r="D35" i="24" s="1"/>
  <c r="C36" i="24"/>
  <c r="G36" i="24" s="1"/>
  <c r="H36" i="24" s="1"/>
  <c r="C37" i="24"/>
  <c r="D37" i="24" s="1"/>
  <c r="C38" i="24"/>
  <c r="G38" i="24" s="1"/>
  <c r="H38" i="24" s="1"/>
  <c r="C39" i="24"/>
  <c r="G39" i="24" s="1"/>
  <c r="H39" i="24" s="1"/>
  <c r="C40" i="24"/>
  <c r="C41" i="24"/>
  <c r="G41" i="24" s="1"/>
  <c r="H41" i="24" s="1"/>
  <c r="C42" i="24"/>
  <c r="D42" i="24" s="1"/>
  <c r="C43" i="24"/>
  <c r="D43" i="24" s="1"/>
  <c r="C44" i="24"/>
  <c r="C45" i="24"/>
  <c r="G45" i="24" s="1"/>
  <c r="H45" i="24" s="1"/>
  <c r="C46" i="24"/>
  <c r="G46" i="24" s="1"/>
  <c r="H46" i="24" s="1"/>
  <c r="D46" i="24"/>
  <c r="C47" i="24"/>
  <c r="D47" i="24"/>
  <c r="C48" i="24"/>
  <c r="C49" i="24"/>
  <c r="G49" i="24" s="1"/>
  <c r="H49" i="24" s="1"/>
  <c r="C50" i="24"/>
  <c r="D50" i="24" s="1"/>
  <c r="C51" i="24"/>
  <c r="G51" i="24" s="1"/>
  <c r="H51" i="24" s="1"/>
  <c r="C52" i="24"/>
  <c r="D52" i="24" s="1"/>
  <c r="C53" i="24"/>
  <c r="D53" i="24" s="1"/>
  <c r="C54" i="24"/>
  <c r="D54" i="24" s="1"/>
  <c r="C55" i="24"/>
  <c r="D55" i="24" s="1"/>
  <c r="C56" i="24"/>
  <c r="D56" i="24" s="1"/>
  <c r="C57" i="24"/>
  <c r="D57" i="24" s="1"/>
  <c r="C58" i="24"/>
  <c r="G58" i="24" s="1"/>
  <c r="H58" i="24" s="1"/>
  <c r="C59" i="24"/>
  <c r="G59" i="24" s="1"/>
  <c r="H59" i="24" s="1"/>
  <c r="C60" i="24"/>
  <c r="G60" i="24" s="1"/>
  <c r="H60" i="24" s="1"/>
  <c r="C61" i="24"/>
  <c r="D61" i="24" s="1"/>
  <c r="C62" i="24"/>
  <c r="C63" i="24"/>
  <c r="D63" i="24" s="1"/>
  <c r="C64" i="24"/>
  <c r="D64" i="24" s="1"/>
  <c r="C65" i="24"/>
  <c r="D65" i="24" s="1"/>
  <c r="C66" i="24"/>
  <c r="D66" i="24" s="1"/>
  <c r="C67" i="24"/>
  <c r="D67" i="24" s="1"/>
  <c r="C68" i="24"/>
  <c r="G68" i="24" s="1"/>
  <c r="H68" i="24" s="1"/>
  <c r="C69" i="24"/>
  <c r="G69" i="24" s="1"/>
  <c r="H69" i="24" s="1"/>
  <c r="C70" i="24"/>
  <c r="D70" i="24" s="1"/>
  <c r="C71" i="24"/>
  <c r="D71" i="24" s="1"/>
  <c r="C72" i="24"/>
  <c r="D72" i="24" s="1"/>
  <c r="C73" i="24"/>
  <c r="G73" i="24" s="1"/>
  <c r="H73" i="24" s="1"/>
  <c r="C74" i="24"/>
  <c r="D74" i="24" s="1"/>
  <c r="C75" i="24"/>
  <c r="G75" i="24" s="1"/>
  <c r="H75" i="24" s="1"/>
  <c r="C76" i="24"/>
  <c r="D76" i="24"/>
  <c r="C77" i="24"/>
  <c r="C78" i="24"/>
  <c r="D78" i="24" s="1"/>
  <c r="C79" i="24"/>
  <c r="D79" i="24" s="1"/>
  <c r="C80" i="24"/>
  <c r="D80" i="24" s="1"/>
  <c r="C81" i="24"/>
  <c r="D81" i="24" s="1"/>
  <c r="C82" i="24"/>
  <c r="D82" i="24" s="1"/>
  <c r="C83" i="24"/>
  <c r="D83" i="24" s="1"/>
  <c r="C84" i="24"/>
  <c r="G84" i="24" s="1"/>
  <c r="H84" i="24" s="1"/>
  <c r="C85" i="24"/>
  <c r="D85" i="24" s="1"/>
  <c r="C86" i="24"/>
  <c r="G86" i="24" s="1"/>
  <c r="H86" i="24" s="1"/>
  <c r="C87" i="24"/>
  <c r="G87" i="24" s="1"/>
  <c r="H87" i="24" s="1"/>
  <c r="C88" i="24"/>
  <c r="D88" i="24" s="1"/>
  <c r="C89" i="24"/>
  <c r="D89" i="24" s="1"/>
  <c r="C90" i="24"/>
  <c r="D90" i="24" s="1"/>
  <c r="C91" i="24"/>
  <c r="D91" i="24" s="1"/>
  <c r="C92" i="24"/>
  <c r="D92" i="24" s="1"/>
  <c r="C93" i="24"/>
  <c r="D93" i="24" s="1"/>
  <c r="C94" i="24"/>
  <c r="D94" i="24" s="1"/>
  <c r="C95" i="24"/>
  <c r="D95" i="24" s="1"/>
  <c r="C96" i="24"/>
  <c r="D96" i="24" s="1"/>
  <c r="C97" i="24"/>
  <c r="G97" i="24" s="1"/>
  <c r="H97" i="24" s="1"/>
  <c r="C98" i="24"/>
  <c r="D98" i="24" s="1"/>
  <c r="C99" i="24"/>
  <c r="D99" i="24" s="1"/>
  <c r="C100" i="24"/>
  <c r="G100" i="24" s="1"/>
  <c r="H100" i="24" s="1"/>
  <c r="C101" i="24"/>
  <c r="G101" i="24" s="1"/>
  <c r="H101" i="24" s="1"/>
  <c r="C102" i="24"/>
  <c r="D102" i="24" s="1"/>
  <c r="C103" i="24"/>
  <c r="G103" i="24" s="1"/>
  <c r="H103" i="24" s="1"/>
  <c r="C104" i="24"/>
  <c r="G104" i="24" s="1"/>
  <c r="H104" i="24" s="1"/>
  <c r="C105" i="24"/>
  <c r="G105" i="24" s="1"/>
  <c r="H105" i="24" s="1"/>
  <c r="C106" i="24"/>
  <c r="G106" i="24" s="1"/>
  <c r="H106" i="24" s="1"/>
  <c r="C107" i="24"/>
  <c r="G107" i="24" s="1"/>
  <c r="H107" i="24" s="1"/>
  <c r="C108" i="24"/>
  <c r="G108" i="24" s="1"/>
  <c r="H108" i="24" s="1"/>
  <c r="C109" i="24"/>
  <c r="D109" i="24" s="1"/>
  <c r="C110" i="24"/>
  <c r="D110" i="24" s="1"/>
  <c r="C111" i="24"/>
  <c r="G111" i="24" s="1"/>
  <c r="H111" i="24" s="1"/>
  <c r="C112" i="24"/>
  <c r="D112" i="24" s="1"/>
  <c r="C113" i="24"/>
  <c r="D113" i="24" s="1"/>
  <c r="B118" i="24"/>
  <c r="D17" i="24"/>
  <c r="D77" i="24"/>
  <c r="G77" i="24"/>
  <c r="H77" i="24" s="1"/>
  <c r="D48" i="24"/>
  <c r="D30" i="24"/>
  <c r="G67" i="24"/>
  <c r="H67" i="24" s="1"/>
  <c r="D101" i="24"/>
  <c r="D62" i="24"/>
  <c r="D40" i="24"/>
  <c r="G40" i="24"/>
  <c r="H40" i="24" s="1"/>
  <c r="D111" i="24"/>
  <c r="D86" i="24"/>
  <c r="G27" i="24"/>
  <c r="H27" i="24" s="1"/>
  <c r="G81" i="24"/>
  <c r="H81" i="24" s="1"/>
  <c r="G28" i="24"/>
  <c r="H28" i="24"/>
  <c r="G66" i="24"/>
  <c r="H66" i="24" s="1"/>
  <c r="G92" i="24"/>
  <c r="H92" i="24" s="1"/>
  <c r="G96" i="24"/>
  <c r="H96" i="24" s="1"/>
  <c r="G83" i="24"/>
  <c r="H83" i="24" s="1"/>
  <c r="G113" i="24"/>
  <c r="H113" i="24" s="1"/>
  <c r="G30" i="24"/>
  <c r="H30" i="24" s="1"/>
  <c r="D69" i="24"/>
  <c r="G13" i="24"/>
  <c r="H13" i="24" s="1"/>
  <c r="G88" i="24"/>
  <c r="H88" i="24" s="1"/>
  <c r="G18" i="24"/>
  <c r="H18" i="24" s="1"/>
  <c r="G72" i="24"/>
  <c r="H72" i="24" s="1"/>
  <c r="G23" i="24"/>
  <c r="H23" i="24" s="1"/>
  <c r="G48" i="24"/>
  <c r="H48" i="24" s="1"/>
  <c r="G31" i="24"/>
  <c r="H31" i="24" s="1"/>
  <c r="G54" i="24"/>
  <c r="H54" i="24" s="1"/>
  <c r="D38" i="24"/>
  <c r="D58" i="24"/>
  <c r="G17" i="24"/>
  <c r="H17" i="24" s="1"/>
  <c r="G14" i="24"/>
  <c r="H14" i="24" s="1"/>
  <c r="G62" i="24"/>
  <c r="H62" i="24" s="1"/>
  <c r="D45" i="24"/>
  <c r="G44" i="24"/>
  <c r="H44" i="24" s="1"/>
  <c r="D44" i="24"/>
  <c r="D21" i="24"/>
  <c r="D84" i="24"/>
  <c r="D11" i="24"/>
  <c r="D22" i="24"/>
  <c r="G22" i="24"/>
  <c r="H22" i="24"/>
  <c r="D15" i="24"/>
  <c r="G50" i="24"/>
  <c r="H50" i="24" s="1"/>
  <c r="D97" i="24"/>
  <c r="D75" i="24"/>
  <c r="G35" i="24"/>
  <c r="H35" i="24"/>
  <c r="G109" i="24"/>
  <c r="H109" i="24"/>
  <c r="D105" i="24"/>
  <c r="D19" i="24"/>
  <c r="G47" i="24"/>
  <c r="H47" i="24" s="1"/>
  <c r="G25" i="24"/>
  <c r="H25" i="24" s="1"/>
  <c r="G10" i="24"/>
  <c r="H10" i="24" s="1"/>
  <c r="G12" i="24"/>
  <c r="H12" i="24" s="1"/>
  <c r="G52" i="24"/>
  <c r="H52" i="24" s="1"/>
  <c r="G76" i="24"/>
  <c r="H76" i="24" s="1"/>
  <c r="C9" i="1"/>
  <c r="N15" i="12" s="1"/>
  <c r="H15" i="12"/>
  <c r="P9" i="1"/>
  <c r="H23" i="12"/>
  <c r="H21" i="12"/>
  <c r="R8" i="1"/>
  <c r="R7" i="1" s="1"/>
  <c r="H8" i="1"/>
  <c r="D20" i="12" s="1"/>
  <c r="E20" i="12" s="1"/>
  <c r="H24" i="12"/>
  <c r="I8" i="1"/>
  <c r="D21" i="12" s="1"/>
  <c r="E21" i="12" s="1"/>
  <c r="L9" i="1"/>
  <c r="N24" i="12" s="1"/>
  <c r="L8" i="1"/>
  <c r="D24" i="12" s="1"/>
  <c r="E24" i="12" s="1"/>
  <c r="K8" i="1"/>
  <c r="D23" i="12" s="1"/>
  <c r="E23" i="12" s="1"/>
  <c r="Q8" i="1"/>
  <c r="Q7" i="1" s="1"/>
  <c r="I9" i="1"/>
  <c r="N21" i="12" s="1"/>
  <c r="K9" i="1"/>
  <c r="N23" i="12" s="1"/>
  <c r="H26" i="12"/>
  <c r="J8" i="1"/>
  <c r="D22" i="12" s="1"/>
  <c r="E22" i="12" s="1"/>
  <c r="H9" i="1"/>
  <c r="N20" i="12" s="1"/>
  <c r="G98" i="24" l="1"/>
  <c r="H98" i="24" s="1"/>
  <c r="G93" i="24"/>
  <c r="H93" i="24" s="1"/>
  <c r="G89" i="24"/>
  <c r="H89" i="24" s="1"/>
  <c r="G53" i="24"/>
  <c r="H53" i="24" s="1"/>
  <c r="D49" i="24"/>
  <c r="G102" i="24"/>
  <c r="H102" i="24" s="1"/>
  <c r="G90" i="24"/>
  <c r="H90" i="24" s="1"/>
  <c r="D100" i="24"/>
  <c r="D106" i="24"/>
  <c r="G26" i="24"/>
  <c r="H26" i="24" s="1"/>
  <c r="G70" i="24"/>
  <c r="H70" i="24" s="1"/>
  <c r="G91" i="24"/>
  <c r="H91" i="24" s="1"/>
  <c r="G33" i="24"/>
  <c r="H33" i="24" s="1"/>
  <c r="G16" i="24"/>
  <c r="H16" i="24" s="1"/>
  <c r="D73" i="24"/>
  <c r="G65" i="24"/>
  <c r="H65" i="24" s="1"/>
  <c r="G57" i="24"/>
  <c r="H57" i="24" s="1"/>
  <c r="G24" i="24"/>
  <c r="H24" i="24" s="1"/>
  <c r="G78" i="24"/>
  <c r="H78" i="24" s="1"/>
  <c r="G43" i="24"/>
  <c r="H43" i="24" s="1"/>
  <c r="G63" i="24"/>
  <c r="H63" i="24" s="1"/>
  <c r="G80" i="24"/>
  <c r="H80" i="24" s="1"/>
  <c r="I132" i="32"/>
  <c r="H21" i="31"/>
  <c r="H1" i="31" s="1"/>
  <c r="O7" i="32"/>
  <c r="P7" i="32" s="1"/>
  <c r="O13" i="32"/>
  <c r="P13" i="32" s="1"/>
  <c r="O15" i="32"/>
  <c r="P15" i="32" s="1"/>
  <c r="O21" i="32"/>
  <c r="P21" i="32" s="1"/>
  <c r="O25" i="32"/>
  <c r="P25" i="32" s="1"/>
  <c r="O27" i="32"/>
  <c r="P27" i="32" s="1"/>
  <c r="O37" i="32"/>
  <c r="P37" i="32" s="1"/>
  <c r="P39" i="32"/>
  <c r="O39" i="32"/>
  <c r="O44" i="32"/>
  <c r="P44" i="32" s="1"/>
  <c r="O6" i="32"/>
  <c r="P6" i="32" s="1"/>
  <c r="O22" i="32"/>
  <c r="P22" i="32" s="1"/>
  <c r="O9" i="32"/>
  <c r="P9" i="32" s="1"/>
  <c r="O14" i="32"/>
  <c r="P14" i="32" s="1"/>
  <c r="P18" i="32"/>
  <c r="O18" i="32"/>
  <c r="O20" i="32"/>
  <c r="P20" i="32" s="1"/>
  <c r="O30" i="32"/>
  <c r="P30" i="32" s="1"/>
  <c r="O43" i="32"/>
  <c r="P43" i="32" s="1"/>
  <c r="O45" i="32"/>
  <c r="P45" i="32" s="1"/>
  <c r="O47" i="32"/>
  <c r="P47" i="32" s="1"/>
  <c r="P10" i="32"/>
  <c r="O10" i="32"/>
  <c r="I43" i="32"/>
  <c r="I21" i="32"/>
  <c r="I11" i="11"/>
  <c r="O11" i="11" s="1"/>
  <c r="U11" i="11" s="1"/>
  <c r="A11" i="11"/>
  <c r="I16" i="11"/>
  <c r="BB16" i="11" s="1"/>
  <c r="A16" i="11"/>
  <c r="I15" i="11"/>
  <c r="J15" i="11" s="1"/>
  <c r="A15" i="11"/>
  <c r="I9" i="11"/>
  <c r="J9" i="11" s="1"/>
  <c r="A9" i="11"/>
  <c r="I18" i="11"/>
  <c r="O18" i="11" s="1"/>
  <c r="A18" i="11"/>
  <c r="L8" i="11"/>
  <c r="A8" i="11"/>
  <c r="I10" i="11"/>
  <c r="O10" i="11" s="1"/>
  <c r="U10" i="11" s="1"/>
  <c r="A10" i="11"/>
  <c r="I12" i="11"/>
  <c r="O12" i="11" s="1"/>
  <c r="P12" i="11" s="1"/>
  <c r="A12" i="11"/>
  <c r="I17" i="11"/>
  <c r="BB17" i="11" s="1"/>
  <c r="A17" i="11"/>
  <c r="I25" i="32"/>
  <c r="I14" i="32"/>
  <c r="I49" i="32"/>
  <c r="I6" i="32"/>
  <c r="I70" i="32"/>
  <c r="I45" i="32"/>
  <c r="I161" i="32"/>
  <c r="I65" i="32"/>
  <c r="I74" i="32"/>
  <c r="I116" i="32"/>
  <c r="I114" i="32"/>
  <c r="I10" i="32"/>
  <c r="I27" i="32"/>
  <c r="N171" i="32"/>
  <c r="O171" i="32" s="1"/>
  <c r="P171" i="32" s="1"/>
  <c r="I153" i="32"/>
  <c r="I63" i="32"/>
  <c r="I145" i="32"/>
  <c r="I179" i="32"/>
  <c r="I131" i="32"/>
  <c r="N168" i="32"/>
  <c r="O168" i="32" s="1"/>
  <c r="P168" i="32" s="1"/>
  <c r="I158" i="32"/>
  <c r="I7" i="32"/>
  <c r="J12" i="11"/>
  <c r="AA8" i="11"/>
  <c r="O8" i="11"/>
  <c r="I8" i="11"/>
  <c r="BB18" i="11"/>
  <c r="G85" i="24"/>
  <c r="H85" i="24" s="1"/>
  <c r="D39" i="24"/>
  <c r="D32" i="24"/>
  <c r="G42" i="24"/>
  <c r="H42" i="24" s="1"/>
  <c r="G74" i="24"/>
  <c r="H74" i="24" s="1"/>
  <c r="D36" i="24"/>
  <c r="D29" i="24"/>
  <c r="N35" i="32"/>
  <c r="N87" i="32"/>
  <c r="O87" i="32" s="1"/>
  <c r="P87" i="32" s="1"/>
  <c r="D103" i="24"/>
  <c r="D41" i="24"/>
  <c r="N154" i="32"/>
  <c r="O154" i="32" s="1"/>
  <c r="P154" i="32" s="1"/>
  <c r="X8" i="11"/>
  <c r="G110" i="24"/>
  <c r="H110" i="24" s="1"/>
  <c r="D59" i="24"/>
  <c r="I37" i="32"/>
  <c r="U8" i="11"/>
  <c r="G61" i="24"/>
  <c r="H61" i="24" s="1"/>
  <c r="AF4" i="24"/>
  <c r="N82" i="32"/>
  <c r="O82" i="32" s="1"/>
  <c r="P82" i="32" s="1"/>
  <c r="I20" i="32"/>
  <c r="N152" i="32"/>
  <c r="O152" i="32" s="1"/>
  <c r="P152" i="32" s="1"/>
  <c r="R8" i="11"/>
  <c r="I164" i="32"/>
  <c r="I110" i="32"/>
  <c r="N190" i="32"/>
  <c r="O190" i="32" s="1"/>
  <c r="P190" i="32" s="1"/>
  <c r="D20" i="24"/>
  <c r="I39" i="32"/>
  <c r="I47" i="32"/>
  <c r="I120" i="32"/>
  <c r="G55" i="24"/>
  <c r="H55" i="24" s="1"/>
  <c r="N12" i="32"/>
  <c r="D10" i="1"/>
  <c r="O15" i="11"/>
  <c r="J17" i="11"/>
  <c r="P10" i="11"/>
  <c r="E10" i="24"/>
  <c r="E11" i="24" s="1"/>
  <c r="E12" i="24" s="1"/>
  <c r="E13" i="24" s="1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G82" i="24"/>
  <c r="H82" i="24" s="1"/>
  <c r="I146" i="32"/>
  <c r="N185" i="32"/>
  <c r="O185" i="32" s="1"/>
  <c r="P185" i="32" s="1"/>
  <c r="BH10" i="11"/>
  <c r="BE10" i="11"/>
  <c r="BB10" i="11"/>
  <c r="AY10" i="11"/>
  <c r="AV10" i="11"/>
  <c r="AS10" i="11"/>
  <c r="AP10" i="11"/>
  <c r="I5" i="31"/>
  <c r="G94" i="24"/>
  <c r="H94" i="24" s="1"/>
  <c r="G95" i="24"/>
  <c r="H95" i="24" s="1"/>
  <c r="G79" i="24"/>
  <c r="H79" i="24" s="1"/>
  <c r="C19" i="11"/>
  <c r="BE16" i="11"/>
  <c r="AV16" i="11"/>
  <c r="AP16" i="11"/>
  <c r="BE8" i="11"/>
  <c r="AV8" i="11"/>
  <c r="AP8" i="11"/>
  <c r="G64" i="24"/>
  <c r="H64" i="24" s="1"/>
  <c r="D107" i="24"/>
  <c r="G112" i="24"/>
  <c r="H112" i="24" s="1"/>
  <c r="G37" i="24"/>
  <c r="H37" i="24" s="1"/>
  <c r="N53" i="32"/>
  <c r="O53" i="32" s="1"/>
  <c r="P53" i="32" s="1"/>
  <c r="N136" i="32"/>
  <c r="O136" i="32" s="1"/>
  <c r="P136" i="32" s="1"/>
  <c r="B107" i="12"/>
  <c r="BH12" i="11"/>
  <c r="BE12" i="11"/>
  <c r="BB12" i="11"/>
  <c r="AY12" i="11"/>
  <c r="AV12" i="11"/>
  <c r="AS12" i="11"/>
  <c r="AP12" i="11"/>
  <c r="BM8" i="11"/>
  <c r="BP8" i="11"/>
  <c r="BQ8" i="11" s="1"/>
  <c r="G71" i="24"/>
  <c r="H71" i="24" s="1"/>
  <c r="G56" i="24"/>
  <c r="H56" i="24" s="1"/>
  <c r="D51" i="24"/>
  <c r="P115" i="12"/>
  <c r="I22" i="32"/>
  <c r="I31" i="32"/>
  <c r="N31" i="32"/>
  <c r="BH9" i="11"/>
  <c r="BE9" i="11"/>
  <c r="BB9" i="11"/>
  <c r="AY9" i="11"/>
  <c r="AV9" i="11"/>
  <c r="AS9" i="11"/>
  <c r="AP9" i="11"/>
  <c r="AM9" i="11"/>
  <c r="AJ9" i="11"/>
  <c r="BE18" i="11"/>
  <c r="AV18" i="11"/>
  <c r="AP18" i="11"/>
  <c r="AG8" i="11"/>
  <c r="G99" i="24"/>
  <c r="H99" i="24" s="1"/>
  <c r="D87" i="24"/>
  <c r="D108" i="24"/>
  <c r="D34" i="24"/>
  <c r="I124" i="32"/>
  <c r="J10" i="11"/>
  <c r="BH15" i="11"/>
  <c r="BE15" i="11"/>
  <c r="BB15" i="11"/>
  <c r="AY15" i="11"/>
  <c r="AV15" i="11"/>
  <c r="AP15" i="11"/>
  <c r="BH14" i="11"/>
  <c r="BE14" i="11"/>
  <c r="BB14" i="11"/>
  <c r="AY14" i="11"/>
  <c r="AV14" i="11"/>
  <c r="AP14" i="11"/>
  <c r="D104" i="24"/>
  <c r="D68" i="24"/>
  <c r="D60" i="24"/>
  <c r="I64" i="32"/>
  <c r="BH11" i="11"/>
  <c r="BE11" i="11"/>
  <c r="BB11" i="11"/>
  <c r="AY11" i="11"/>
  <c r="AV11" i="11"/>
  <c r="AS11" i="11"/>
  <c r="AP11" i="11"/>
  <c r="AD8" i="11"/>
  <c r="C118" i="24"/>
  <c r="I54" i="32"/>
  <c r="N91" i="32"/>
  <c r="O91" i="32" s="1"/>
  <c r="P91" i="32" s="1"/>
  <c r="N177" i="32"/>
  <c r="O177" i="32" s="1"/>
  <c r="P177" i="32" s="1"/>
  <c r="I184" i="32"/>
  <c r="N193" i="32"/>
  <c r="O193" i="32" s="1"/>
  <c r="P193" i="32" s="1"/>
  <c r="BB8" i="11"/>
  <c r="I14" i="11"/>
  <c r="BE17" i="11"/>
  <c r="AV17" i="11"/>
  <c r="AP17" i="11"/>
  <c r="N19" i="32"/>
  <c r="P116" i="12"/>
  <c r="L16" i="11"/>
  <c r="AY16" i="11"/>
  <c r="L18" i="11"/>
  <c r="AY18" i="11"/>
  <c r="E16" i="11"/>
  <c r="P113" i="12"/>
  <c r="P112" i="12"/>
  <c r="P111" i="12"/>
  <c r="J117" i="12"/>
  <c r="E14" i="11"/>
  <c r="M117" i="12"/>
  <c r="C7" i="1"/>
  <c r="K7" i="1"/>
  <c r="I7" i="1"/>
  <c r="L7" i="1"/>
  <c r="M9" i="1"/>
  <c r="N25" i="12" s="1"/>
  <c r="F15" i="11"/>
  <c r="L15" i="11" s="1"/>
  <c r="F17" i="11"/>
  <c r="BH17" i="11" s="1"/>
  <c r="M8" i="1"/>
  <c r="N8" i="1"/>
  <c r="J7" i="1"/>
  <c r="E12" i="11"/>
  <c r="E15" i="11"/>
  <c r="J9" i="1"/>
  <c r="N22" i="12" s="1"/>
  <c r="F8" i="1"/>
  <c r="E10" i="11" s="1"/>
  <c r="H18" i="12"/>
  <c r="O8" i="1"/>
  <c r="O7" i="1" s="1"/>
  <c r="H7" i="1"/>
  <c r="H20" i="12"/>
  <c r="G8" i="1"/>
  <c r="G7" i="1" s="1"/>
  <c r="G9" i="1"/>
  <c r="N19" i="12" s="1"/>
  <c r="H19" i="12"/>
  <c r="P5" i="32"/>
  <c r="I13" i="32"/>
  <c r="I167" i="32"/>
  <c r="I50" i="32"/>
  <c r="I144" i="32"/>
  <c r="N139" i="32"/>
  <c r="O139" i="32" s="1"/>
  <c r="P139" i="32" s="1"/>
  <c r="N90" i="32"/>
  <c r="O90" i="32" s="1"/>
  <c r="P90" i="32" s="1"/>
  <c r="N75" i="32"/>
  <c r="O75" i="32" s="1"/>
  <c r="P75" i="32" s="1"/>
  <c r="I121" i="32"/>
  <c r="I109" i="32"/>
  <c r="I140" i="32"/>
  <c r="N26" i="32"/>
  <c r="I9" i="32"/>
  <c r="I15" i="32"/>
  <c r="N36" i="32"/>
  <c r="N46" i="32"/>
  <c r="N48" i="32"/>
  <c r="O48" i="32" s="1"/>
  <c r="P48" i="32" s="1"/>
  <c r="N57" i="32"/>
  <c r="O57" i="32" s="1"/>
  <c r="P57" i="32" s="1"/>
  <c r="I66" i="32"/>
  <c r="I73" i="32"/>
  <c r="N80" i="32"/>
  <c r="O80" i="32" s="1"/>
  <c r="P80" i="32" s="1"/>
  <c r="N95" i="32"/>
  <c r="O95" i="32" s="1"/>
  <c r="P95" i="32" s="1"/>
  <c r="I130" i="32"/>
  <c r="N69" i="32"/>
  <c r="O69" i="32" s="1"/>
  <c r="P69" i="32" s="1"/>
  <c r="N34" i="32"/>
  <c r="N85" i="32"/>
  <c r="O85" i="32" s="1"/>
  <c r="P85" i="32" s="1"/>
  <c r="I5" i="32"/>
  <c r="N38" i="32"/>
  <c r="N60" i="32"/>
  <c r="O60" i="32" s="1"/>
  <c r="P60" i="32" s="1"/>
  <c r="N133" i="32"/>
  <c r="O133" i="32" s="1"/>
  <c r="P133" i="32" s="1"/>
  <c r="I30" i="32"/>
  <c r="I96" i="32"/>
  <c r="I157" i="32"/>
  <c r="I44" i="32"/>
  <c r="G16" i="11"/>
  <c r="A4" i="24"/>
  <c r="F10" i="11"/>
  <c r="L10" i="11" s="1"/>
  <c r="G18" i="11"/>
  <c r="G153" i="36"/>
  <c r="H1" i="36" s="1"/>
  <c r="BL19" i="11"/>
  <c r="BM19" i="11"/>
  <c r="R14" i="11"/>
  <c r="M14" i="11"/>
  <c r="G14" i="11"/>
  <c r="G11" i="11"/>
  <c r="P114" i="12"/>
  <c r="G117" i="12"/>
  <c r="D117" i="12"/>
  <c r="E8" i="1"/>
  <c r="D17" i="12" s="1"/>
  <c r="E17" i="12" s="1"/>
  <c r="L12" i="11"/>
  <c r="G12" i="11"/>
  <c r="R11" i="11"/>
  <c r="M11" i="11"/>
  <c r="L9" i="11"/>
  <c r="G9" i="11"/>
  <c r="H17" i="12"/>
  <c r="E9" i="1"/>
  <c r="N17" i="12" s="1"/>
  <c r="L1" i="12"/>
  <c r="O17" i="11" l="1"/>
  <c r="J11" i="11"/>
  <c r="P11" i="11"/>
  <c r="E29" i="24"/>
  <c r="E30" i="24" s="1"/>
  <c r="E31" i="24" s="1"/>
  <c r="E32" i="24" s="1"/>
  <c r="E33" i="24" s="1"/>
  <c r="E34" i="24" s="1"/>
  <c r="E35" i="24" s="1"/>
  <c r="E36" i="24" s="1"/>
  <c r="E37" i="24" s="1"/>
  <c r="E38" i="24" s="1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01" i="24" s="1"/>
  <c r="E102" i="24" s="1"/>
  <c r="E103" i="24" s="1"/>
  <c r="E104" i="24" s="1"/>
  <c r="E105" i="24" s="1"/>
  <c r="E106" i="24" s="1"/>
  <c r="E107" i="24" s="1"/>
  <c r="E108" i="24" s="1"/>
  <c r="E109" i="24" s="1"/>
  <c r="E110" i="24" s="1"/>
  <c r="E111" i="24" s="1"/>
  <c r="E112" i="24" s="1"/>
  <c r="E113" i="24" s="1"/>
  <c r="T1" i="24" s="1"/>
  <c r="J18" i="11"/>
  <c r="O36" i="32"/>
  <c r="P36" i="32" s="1"/>
  <c r="O19" i="32"/>
  <c r="P19" i="32" s="1"/>
  <c r="O38" i="32"/>
  <c r="P38" i="32" s="1"/>
  <c r="O46" i="32"/>
  <c r="P46" i="32" s="1"/>
  <c r="O34" i="32"/>
  <c r="P34" i="32" s="1"/>
  <c r="P12" i="32"/>
  <c r="O12" i="32"/>
  <c r="O26" i="32"/>
  <c r="P26" i="32" s="1"/>
  <c r="O31" i="32"/>
  <c r="P31" i="32" s="1"/>
  <c r="O35" i="32"/>
  <c r="P35" i="32" s="1"/>
  <c r="H16" i="12"/>
  <c r="D8" i="1"/>
  <c r="E8" i="11" s="1"/>
  <c r="O16" i="11"/>
  <c r="J16" i="11"/>
  <c r="O9" i="11"/>
  <c r="U12" i="11"/>
  <c r="AE8" i="11"/>
  <c r="AM8" i="11"/>
  <c r="M8" i="11"/>
  <c r="J8" i="11"/>
  <c r="Y8" i="11"/>
  <c r="P8" i="11"/>
  <c r="S8" i="11"/>
  <c r="AH8" i="11"/>
  <c r="AB8" i="11"/>
  <c r="D118" i="24"/>
  <c r="V8" i="11"/>
  <c r="U18" i="11"/>
  <c r="P18" i="11"/>
  <c r="U9" i="11"/>
  <c r="P9" i="11"/>
  <c r="D9" i="1"/>
  <c r="N16" i="12" s="1"/>
  <c r="F8" i="11"/>
  <c r="BH8" i="11" s="1"/>
  <c r="BH19" i="11" s="1"/>
  <c r="BI4" i="11" s="1"/>
  <c r="AP19" i="11"/>
  <c r="AQ4" i="11" s="1"/>
  <c r="U17" i="11"/>
  <c r="P17" i="11"/>
  <c r="AV19" i="11"/>
  <c r="AW4" i="11" s="1"/>
  <c r="BE19" i="11"/>
  <c r="BF4" i="11" s="1"/>
  <c r="AA10" i="11"/>
  <c r="V10" i="11"/>
  <c r="O14" i="11"/>
  <c r="J14" i="11"/>
  <c r="J19" i="11" s="1"/>
  <c r="M21" i="31"/>
  <c r="M1" i="31" s="1"/>
  <c r="P15" i="11"/>
  <c r="U15" i="11"/>
  <c r="BB19" i="11"/>
  <c r="BC4" i="11" s="1"/>
  <c r="AS19" i="11"/>
  <c r="AT4" i="11" s="1"/>
  <c r="AA12" i="11"/>
  <c r="V12" i="11"/>
  <c r="U16" i="11"/>
  <c r="P16" i="11"/>
  <c r="A19" i="11"/>
  <c r="I19" i="11"/>
  <c r="J4" i="11" s="1"/>
  <c r="V11" i="11"/>
  <c r="AA11" i="11"/>
  <c r="M16" i="11"/>
  <c r="R16" i="11"/>
  <c r="S16" i="11" s="1"/>
  <c r="R18" i="11"/>
  <c r="X18" i="11" s="1"/>
  <c r="M18" i="11"/>
  <c r="G17" i="11"/>
  <c r="AY17" i="11"/>
  <c r="P117" i="12"/>
  <c r="G15" i="11"/>
  <c r="R15" i="11"/>
  <c r="L17" i="11"/>
  <c r="M15" i="11"/>
  <c r="D18" i="12"/>
  <c r="E18" i="12" s="1"/>
  <c r="F7" i="1"/>
  <c r="N7" i="1"/>
  <c r="D26" i="12"/>
  <c r="E26" i="12" s="1"/>
  <c r="M7" i="1"/>
  <c r="D25" i="12"/>
  <c r="E25" i="12" s="1"/>
  <c r="E11" i="11"/>
  <c r="D19" i="12"/>
  <c r="E19" i="12" s="1"/>
  <c r="I196" i="32"/>
  <c r="I1" i="32" s="1"/>
  <c r="N196" i="32"/>
  <c r="N1" i="32" s="1"/>
  <c r="M10" i="11"/>
  <c r="G10" i="11"/>
  <c r="R10" i="11"/>
  <c r="J1" i="36"/>
  <c r="S14" i="11"/>
  <c r="X14" i="11"/>
  <c r="E9" i="11"/>
  <c r="E7" i="1"/>
  <c r="M12" i="11"/>
  <c r="R12" i="11"/>
  <c r="S11" i="11"/>
  <c r="X11" i="11"/>
  <c r="M9" i="11"/>
  <c r="R9" i="11"/>
  <c r="P196" i="32" l="1"/>
  <c r="O196" i="32"/>
  <c r="J1" i="32" s="1"/>
  <c r="D7" i="1"/>
  <c r="AY8" i="11"/>
  <c r="AY19" i="11" s="1"/>
  <c r="AZ4" i="11" s="1"/>
  <c r="V9" i="11"/>
  <c r="AA9" i="11"/>
  <c r="AA18" i="11"/>
  <c r="V18" i="11"/>
  <c r="AJ8" i="11"/>
  <c r="AN8" i="11" s="1"/>
  <c r="J2" i="1"/>
  <c r="F13" i="12" s="1"/>
  <c r="T2" i="24" s="1"/>
  <c r="T3" i="24" s="1"/>
  <c r="D16" i="12"/>
  <c r="E16" i="12" s="1"/>
  <c r="G8" i="11"/>
  <c r="G19" i="11" s="1"/>
  <c r="G5" i="11" s="1"/>
  <c r="N21" i="31"/>
  <c r="O5" i="31"/>
  <c r="O21" i="31" s="1"/>
  <c r="AG11" i="11"/>
  <c r="AB11" i="11"/>
  <c r="AA17" i="11"/>
  <c r="V17" i="11"/>
  <c r="AA16" i="11"/>
  <c r="V16" i="11"/>
  <c r="U14" i="11"/>
  <c r="P14" i="11"/>
  <c r="P19" i="11" s="1"/>
  <c r="O19" i="11"/>
  <c r="AG12" i="11"/>
  <c r="AB12" i="11"/>
  <c r="V15" i="11"/>
  <c r="AA15" i="11"/>
  <c r="AB10" i="11"/>
  <c r="AG10" i="11"/>
  <c r="S18" i="11"/>
  <c r="X16" i="11"/>
  <c r="M17" i="11"/>
  <c r="M19" i="11" s="1"/>
  <c r="X15" i="11"/>
  <c r="R17" i="11"/>
  <c r="S15" i="11"/>
  <c r="L19" i="11"/>
  <c r="M4" i="11" s="1"/>
  <c r="S10" i="11"/>
  <c r="X10" i="11"/>
  <c r="AD14" i="11"/>
  <c r="Y14" i="11"/>
  <c r="Y18" i="11"/>
  <c r="AD18" i="11"/>
  <c r="X12" i="11"/>
  <c r="S12" i="11"/>
  <c r="Y11" i="11"/>
  <c r="AD11" i="11"/>
  <c r="S9" i="11"/>
  <c r="X9" i="11"/>
  <c r="AB18" i="11" l="1"/>
  <c r="AG18" i="11"/>
  <c r="AG9" i="11"/>
  <c r="AH9" i="11" s="1"/>
  <c r="AB9" i="11"/>
  <c r="AQ8" i="11"/>
  <c r="BJ8" i="11"/>
  <c r="AW8" i="11"/>
  <c r="AZ8" i="11" s="1"/>
  <c r="BC8" i="11" s="1"/>
  <c r="BF8" i="11" s="1"/>
  <c r="BI8" i="11" s="1"/>
  <c r="AK8" i="11"/>
  <c r="AT8" i="11"/>
  <c r="T4" i="24"/>
  <c r="V14" i="11"/>
  <c r="V19" i="11" s="1"/>
  <c r="AA14" i="11"/>
  <c r="U19" i="11"/>
  <c r="V4" i="11" s="1"/>
  <c r="AG17" i="11"/>
  <c r="AB17" i="11"/>
  <c r="P4" i="11"/>
  <c r="AM10" i="11"/>
  <c r="AH10" i="11"/>
  <c r="AM11" i="11"/>
  <c r="AH11" i="11"/>
  <c r="AG15" i="11"/>
  <c r="AB15" i="11"/>
  <c r="AG16" i="11"/>
  <c r="AB16" i="11"/>
  <c r="AM12" i="11"/>
  <c r="AH12" i="11"/>
  <c r="Y16" i="11"/>
  <c r="AD16" i="11"/>
  <c r="AD15" i="11"/>
  <c r="AE15" i="11" s="1"/>
  <c r="AD10" i="11"/>
  <c r="AJ10" i="11" s="1"/>
  <c r="X17" i="11"/>
  <c r="Y17" i="11" s="1"/>
  <c r="S17" i="11"/>
  <c r="S19" i="11" s="1"/>
  <c r="Y15" i="11"/>
  <c r="R19" i="11"/>
  <c r="S4" i="11" s="1"/>
  <c r="Y10" i="11"/>
  <c r="AE14" i="11"/>
  <c r="AJ14" i="11"/>
  <c r="AE18" i="11"/>
  <c r="AJ18" i="11"/>
  <c r="AE11" i="11"/>
  <c r="AJ11" i="11"/>
  <c r="Y12" i="11"/>
  <c r="AD12" i="11"/>
  <c r="AD9" i="11"/>
  <c r="Y9" i="11"/>
  <c r="AN9" i="11" l="1"/>
  <c r="BC11" i="11"/>
  <c r="AH18" i="11"/>
  <c r="AM18" i="11"/>
  <c r="BI18" i="11" s="1"/>
  <c r="F49" i="35"/>
  <c r="F23" i="35"/>
  <c r="D1" i="35" s="1"/>
  <c r="AM15" i="11"/>
  <c r="AH15" i="11"/>
  <c r="AM16" i="11"/>
  <c r="AH16" i="11"/>
  <c r="X19" i="11"/>
  <c r="Y4" i="11" s="1"/>
  <c r="AM17" i="11"/>
  <c r="AH17" i="11"/>
  <c r="AW10" i="11"/>
  <c r="AB14" i="11"/>
  <c r="AB19" i="11" s="1"/>
  <c r="AG14" i="11"/>
  <c r="AK14" i="11" s="1"/>
  <c r="AA19" i="11"/>
  <c r="AB4" i="11" s="1"/>
  <c r="AJ15" i="11"/>
  <c r="AE10" i="11"/>
  <c r="AJ16" i="11"/>
  <c r="AE16" i="11"/>
  <c r="AD17" i="11"/>
  <c r="BJ11" i="11"/>
  <c r="BI11" i="11"/>
  <c r="BI10" i="11"/>
  <c r="BJ10" i="11"/>
  <c r="BJ9" i="11"/>
  <c r="BI9" i="11"/>
  <c r="BF10" i="11"/>
  <c r="BF11" i="11"/>
  <c r="BF9" i="11"/>
  <c r="BC10" i="11"/>
  <c r="BC9" i="11"/>
  <c r="AZ18" i="11"/>
  <c r="AZ11" i="11"/>
  <c r="AZ10" i="11"/>
  <c r="AZ9" i="11"/>
  <c r="AQ18" i="11"/>
  <c r="AK11" i="11"/>
  <c r="AW11" i="11"/>
  <c r="AW9" i="11"/>
  <c r="AT18" i="11"/>
  <c r="AT9" i="11"/>
  <c r="AT11" i="11"/>
  <c r="AT10" i="11"/>
  <c r="AN18" i="11"/>
  <c r="AQ11" i="11"/>
  <c r="AQ10" i="11"/>
  <c r="AQ9" i="11"/>
  <c r="AN11" i="11"/>
  <c r="AN10" i="11"/>
  <c r="AK9" i="11"/>
  <c r="AE12" i="11"/>
  <c r="AJ12" i="11"/>
  <c r="AQ12" i="11" s="1"/>
  <c r="AK18" i="11"/>
  <c r="AK10" i="11"/>
  <c r="AK16" i="11"/>
  <c r="Y19" i="11"/>
  <c r="AE9" i="11"/>
  <c r="AW18" i="11" l="1"/>
  <c r="BJ18" i="11"/>
  <c r="BC15" i="11"/>
  <c r="AQ16" i="11"/>
  <c r="BF18" i="11"/>
  <c r="BC18" i="11"/>
  <c r="AN15" i="11"/>
  <c r="AT16" i="11"/>
  <c r="AN16" i="11"/>
  <c r="BF15" i="11"/>
  <c r="BI15" i="11"/>
  <c r="AQ15" i="11"/>
  <c r="AK15" i="11"/>
  <c r="BJ16" i="11"/>
  <c r="AM14" i="11"/>
  <c r="BC14" i="11" s="1"/>
  <c r="AH14" i="11"/>
  <c r="AH19" i="11" s="1"/>
  <c r="AG19" i="11"/>
  <c r="AH4" i="11" s="1"/>
  <c r="D27" i="35"/>
  <c r="F69" i="35"/>
  <c r="AW15" i="11"/>
  <c r="AT15" i="11"/>
  <c r="AZ15" i="11"/>
  <c r="BJ15" i="11"/>
  <c r="AZ16" i="11"/>
  <c r="AW16" i="11"/>
  <c r="BF16" i="11"/>
  <c r="AE17" i="11"/>
  <c r="AE19" i="11" s="1"/>
  <c r="AJ17" i="11"/>
  <c r="AZ17" i="11" s="1"/>
  <c r="BC16" i="11"/>
  <c r="AD19" i="11"/>
  <c r="AE4" i="11" s="1"/>
  <c r="BI16" i="11"/>
  <c r="BJ12" i="11"/>
  <c r="BI12" i="11"/>
  <c r="BF12" i="11"/>
  <c r="BC12" i="11"/>
  <c r="AZ12" i="11"/>
  <c r="AW12" i="11"/>
  <c r="AT12" i="11"/>
  <c r="AK12" i="11"/>
  <c r="AN12" i="11"/>
  <c r="AQ17" i="11" l="1"/>
  <c r="AN17" i="11"/>
  <c r="BJ17" i="11"/>
  <c r="BF17" i="11"/>
  <c r="BC17" i="11"/>
  <c r="BC19" i="11" s="1"/>
  <c r="BJ14" i="11"/>
  <c r="AM19" i="11"/>
  <c r="AN4" i="11" s="1"/>
  <c r="BI14" i="11"/>
  <c r="AT14" i="11"/>
  <c r="AW14" i="11"/>
  <c r="BF14" i="11"/>
  <c r="AN14" i="11"/>
  <c r="AZ14" i="11"/>
  <c r="AZ19" i="11" s="1"/>
  <c r="AQ14" i="11"/>
  <c r="AQ19" i="11" s="1"/>
  <c r="AJ19" i="11"/>
  <c r="AK4" i="11" s="1"/>
  <c r="AW17" i="11"/>
  <c r="BI17" i="11"/>
  <c r="AT17" i="11"/>
  <c r="AK17" i="11"/>
  <c r="AK19" i="11" s="1"/>
  <c r="AN19" i="11" l="1"/>
  <c r="BJ19" i="11"/>
  <c r="BF19" i="11"/>
  <c r="AT19" i="11"/>
  <c r="BI19" i="11"/>
  <c r="AW19" i="11"/>
</calcChain>
</file>

<file path=xl/comments1.xml><?xml version="1.0" encoding="utf-8"?>
<comments xmlns="http://schemas.openxmlformats.org/spreadsheetml/2006/main">
  <authors>
    <author>Roshan Nelson</author>
  </authors>
  <commentList>
    <comment ref="E27" authorId="0" shapeId="0">
      <text>
        <r>
          <rPr>
            <b/>
            <sz val="9"/>
            <color indexed="81"/>
            <rFont val="Tahoma"/>
            <family val="2"/>
          </rPr>
          <t>Roshan Nelson:</t>
        </r>
        <r>
          <rPr>
            <sz val="9"/>
            <color indexed="81"/>
            <rFont val="Tahoma"/>
            <family val="2"/>
          </rPr>
          <t xml:space="preserve">
Meridian, TEAM, Dunn Hiebert and Xcalibur</t>
        </r>
      </text>
    </comment>
  </commentList>
</comments>
</file>

<file path=xl/comments2.xml><?xml version="1.0" encoding="utf-8"?>
<comments xmlns="http://schemas.openxmlformats.org/spreadsheetml/2006/main">
  <authors>
    <author>Roshan Nelson</author>
  </authors>
  <commentList>
    <comment ref="J11" authorId="0" shapeId="0">
      <text>
        <r>
          <rPr>
            <b/>
            <sz val="9"/>
            <color indexed="81"/>
            <rFont val="Tahoma"/>
            <family val="2"/>
          </rPr>
          <t>Roshan Nelson:</t>
        </r>
        <r>
          <rPr>
            <sz val="9"/>
            <color indexed="81"/>
            <rFont val="Tahoma"/>
            <family val="2"/>
          </rPr>
          <t xml:space="preserve">
Tracked individually but combined and divided by 2 to award progress meters since they're a a combined pay item</t>
        </r>
      </text>
    </comment>
    <comment ref="M123" authorId="0" shapeId="0">
      <text>
        <r>
          <rPr>
            <b/>
            <sz val="9"/>
            <color indexed="81"/>
            <rFont val="Tahoma"/>
            <family val="2"/>
          </rPr>
          <t>Roshan Nelson:</t>
        </r>
        <r>
          <rPr>
            <sz val="9"/>
            <color indexed="81"/>
            <rFont val="Tahoma"/>
            <family val="2"/>
          </rPr>
          <t xml:space="preserve">
SEP 9 TO NOV 16 88300/69 days = 1279.71 avg per day</t>
        </r>
      </text>
    </comment>
    <comment ref="N137" authorId="0" shapeId="0">
      <text>
        <r>
          <rPr>
            <b/>
            <sz val="9"/>
            <color indexed="81"/>
            <rFont val="Tahoma"/>
            <family val="2"/>
          </rPr>
          <t>Roshan Nelson:</t>
        </r>
        <r>
          <rPr>
            <sz val="9"/>
            <color indexed="81"/>
            <rFont val="Tahoma"/>
            <family val="2"/>
          </rPr>
          <t xml:space="preserve">
Start Sep 23 to Nov 9. 88300/48days = 1839.583m per day avg</t>
        </r>
      </text>
    </comment>
  </commentList>
</comments>
</file>

<file path=xl/comments3.xml><?xml version="1.0" encoding="utf-8"?>
<comments xmlns="http://schemas.openxmlformats.org/spreadsheetml/2006/main">
  <authors>
    <author>Roshan Nelson</author>
  </authors>
  <commentList>
    <comment ref="N100" authorId="0" shapeId="0">
      <text>
        <r>
          <rPr>
            <b/>
            <sz val="9"/>
            <color indexed="81"/>
            <rFont val="Tahoma"/>
            <family val="2"/>
          </rPr>
          <t>Roshan Nelson:</t>
        </r>
        <r>
          <rPr>
            <sz val="9"/>
            <color indexed="81"/>
            <rFont val="Tahoma"/>
            <family val="2"/>
          </rPr>
          <t xml:space="preserve">
This is a manual number as Banisters additional decimal places change the dollar totals but quantity is correct</t>
        </r>
      </text>
    </comment>
  </commentList>
</comments>
</file>

<file path=xl/sharedStrings.xml><?xml version="1.0" encoding="utf-8"?>
<sst xmlns="http://schemas.openxmlformats.org/spreadsheetml/2006/main" count="657" uniqueCount="376">
  <si>
    <t>Backfill</t>
  </si>
  <si>
    <t>Total ROW Meters</t>
  </si>
  <si>
    <t>% Project is complete</t>
  </si>
  <si>
    <t>Completed to Date</t>
  </si>
  <si>
    <t>%  COMPLETE TO DATE</t>
  </si>
  <si>
    <t>Meters of Pipe</t>
  </si>
  <si>
    <t>Remaining balance</t>
  </si>
  <si>
    <t>%  LEFT TO DO</t>
  </si>
  <si>
    <t>Date</t>
  </si>
  <si>
    <t>Bending</t>
  </si>
  <si>
    <t>Welding</t>
  </si>
  <si>
    <t>Testing</t>
  </si>
  <si>
    <t>WORK ITEM</t>
  </si>
  <si>
    <t>PERCENT</t>
  </si>
  <si>
    <t>TOTALS</t>
  </si>
  <si>
    <t>REPORT DATE:</t>
  </si>
  <si>
    <t>ATTENTION:</t>
  </si>
  <si>
    <t>% COMPLETE</t>
  </si>
  <si>
    <t>METERS</t>
  </si>
  <si>
    <t>BALANCE</t>
  </si>
  <si>
    <t>PROGRESS BY OPERATION</t>
  </si>
  <si>
    <t>TOTAL PROJECT PROGRESS:</t>
  </si>
  <si>
    <t>Total</t>
  </si>
  <si>
    <t xml:space="preserve"> </t>
  </si>
  <si>
    <t>Day</t>
  </si>
  <si>
    <t>Mainline</t>
  </si>
  <si>
    <t>Total Welds Completed</t>
  </si>
  <si>
    <t>Today</t>
  </si>
  <si>
    <t>Previous</t>
  </si>
  <si>
    <t>To Date</t>
  </si>
  <si>
    <t xml:space="preserve">Previous </t>
  </si>
  <si>
    <t>Cut Outs</t>
  </si>
  <si>
    <t>Survey</t>
  </si>
  <si>
    <t>Estimated % Complete</t>
  </si>
  <si>
    <t>DAY</t>
  </si>
  <si>
    <t>Man days</t>
  </si>
  <si>
    <t>Men Hours</t>
  </si>
  <si>
    <t>Scheduled        Daily Completed</t>
  </si>
  <si>
    <t>Scheduled % Completed to Date</t>
  </si>
  <si>
    <t>Total Man Hours:</t>
  </si>
  <si>
    <t>Schedule % Complete</t>
  </si>
  <si>
    <t>Actual % Complete</t>
  </si>
  <si>
    <r>
      <t>Days Ahead</t>
    </r>
    <r>
      <rPr>
        <b/>
        <sz val="10"/>
        <color indexed="10"/>
        <rFont val="Arial"/>
        <family val="2"/>
      </rPr>
      <t xml:space="preserve">/Behind </t>
    </r>
    <r>
      <rPr>
        <b/>
        <sz val="10"/>
        <rFont val="Arial"/>
        <family val="2"/>
      </rPr>
      <t>Schedule</t>
    </r>
  </si>
  <si>
    <r>
      <t>% Ahead/</t>
    </r>
    <r>
      <rPr>
        <b/>
        <sz val="10"/>
        <color indexed="10"/>
        <rFont val="Arial"/>
        <family val="2"/>
      </rPr>
      <t xml:space="preserve">Behind </t>
    </r>
    <r>
      <rPr>
        <b/>
        <sz val="10"/>
        <rFont val="Arial"/>
        <family val="2"/>
      </rPr>
      <t>Schedule</t>
    </r>
  </si>
  <si>
    <t>Actual vs Scheduled Days of Project Completion</t>
  </si>
  <si>
    <t>Scheduled Daily Cost</t>
  </si>
  <si>
    <t>/man/day</t>
  </si>
  <si>
    <t>Scheduled Cost to date</t>
  </si>
  <si>
    <t>Total Meters</t>
  </si>
  <si>
    <t>Est Total cost</t>
  </si>
  <si>
    <t>Company</t>
  </si>
  <si>
    <t># m</t>
  </si>
  <si>
    <t>PROJECT MANAGER:</t>
  </si>
  <si>
    <t>Project</t>
  </si>
  <si>
    <t>Report</t>
  </si>
  <si>
    <t>Section 1 - Baselay</t>
  </si>
  <si>
    <t>Section 1, 2 &amp; 3</t>
  </si>
  <si>
    <t>Extra Work (Contractor)</t>
  </si>
  <si>
    <t>This sheet is used to track all extra work items done by the contractor</t>
  </si>
  <si>
    <t>Schedule D - Other</t>
  </si>
  <si>
    <t>This sheet is used to track all costs of  others on the project other than the contractor.</t>
  </si>
  <si>
    <t>Contractor Holdback</t>
  </si>
  <si>
    <t>Progress Chart</t>
  </si>
  <si>
    <t>Workbook Index</t>
  </si>
  <si>
    <t xml:space="preserve">All of the worksheets are customized to fit the project, if there is more than one segment on the project, other disposition sheets can be added  to accommodate </t>
  </si>
  <si>
    <t>Disposition Sheet</t>
  </si>
  <si>
    <t>These sheets can be used to track all lump sum, quantities and unit pay items</t>
  </si>
  <si>
    <t>This sheet tracks all holdbacks from Contractors Progress Billings.</t>
  </si>
  <si>
    <t>Chart tracking progress - information from report</t>
  </si>
  <si>
    <t>This Sheet tracks daily progress on all activities - this sheet automatically populates the Section 1 Baselay.  This sheet is customized to track the specific tasks as required by the company</t>
  </si>
  <si>
    <t xml:space="preserve">Change Order Log, SQ Log, </t>
  </si>
  <si>
    <t>These logs track all site queries/change orders from the Contractor to be approved by the company</t>
  </si>
  <si>
    <t>This sheet has a copy of the baselay contract in it and all progress invoices are tracked  and totalled on these sheets</t>
  </si>
  <si>
    <t>All costs from the Baselay, Section 1, 2 &amp; 3, Extra Work and Schedule D are linked to the report in the costs section'</t>
  </si>
  <si>
    <t>This sheet is the summary of the project - includes all progress for each activity and all costs</t>
  </si>
  <si>
    <t>Total Cost per Task</t>
  </si>
  <si>
    <t>Cost Per Meter</t>
  </si>
  <si>
    <t>Fabrication</t>
  </si>
  <si>
    <t>Man Days</t>
  </si>
  <si>
    <t>Poorboy</t>
  </si>
  <si>
    <t>Repairs</t>
  </si>
  <si>
    <t>Tie-Ins</t>
  </si>
  <si>
    <t xml:space="preserve">Repair Rate % </t>
  </si>
  <si>
    <t>OWNER:</t>
  </si>
  <si>
    <t>42"</t>
  </si>
  <si>
    <t>Clearing and Grubbing</t>
  </si>
  <si>
    <t>Grade the Site</t>
  </si>
  <si>
    <t>Unload, Haul and String</t>
  </si>
  <si>
    <t>Trenching</t>
  </si>
  <si>
    <t>Lower in and Backfill</t>
  </si>
  <si>
    <t>Machine Clean Up</t>
  </si>
  <si>
    <t>Final Clean Up</t>
  </si>
  <si>
    <t>1a - Lay Price</t>
  </si>
  <si>
    <t>ENVIRONMENTAL</t>
  </si>
  <si>
    <t>WELDING PROGRESS</t>
  </si>
  <si>
    <t>Total Welds NDE'd</t>
  </si>
  <si>
    <t>PROGRESS DATE:</t>
  </si>
  <si>
    <t>REPORT #</t>
  </si>
  <si>
    <t>Estimated Total Man Hours</t>
  </si>
  <si>
    <t>Manday Projection based on a 12 hour day</t>
  </si>
  <si>
    <t>TOTAL TO DATE</t>
  </si>
  <si>
    <t>PROGRESS TODAY</t>
  </si>
  <si>
    <t>JOB #:</t>
  </si>
  <si>
    <t>Drying</t>
  </si>
  <si>
    <t>Wet</t>
  </si>
  <si>
    <t>ROW Conditions</t>
  </si>
  <si>
    <t>Low</t>
  </si>
  <si>
    <t>High</t>
  </si>
  <si>
    <t>Joints</t>
  </si>
  <si>
    <t>Truck Loads</t>
  </si>
  <si>
    <t>17.2mm</t>
  </si>
  <si>
    <t>22.2mm</t>
  </si>
  <si>
    <t>ABR</t>
  </si>
  <si>
    <t>FBE</t>
  </si>
  <si>
    <t>Clear and Grub</t>
  </si>
  <si>
    <t>Unload, Haul &amp; String</t>
  </si>
  <si>
    <t xml:space="preserve">Lower-In </t>
  </si>
  <si>
    <t>Machine Clean-Up</t>
  </si>
  <si>
    <t>Final Clean-Up</t>
  </si>
  <si>
    <t>SAFETY</t>
  </si>
  <si>
    <t>Near Miss</t>
  </si>
  <si>
    <t>Section</t>
  </si>
  <si>
    <t>Road Crossing</t>
  </si>
  <si>
    <t>Final Tie-Ins</t>
  </si>
  <si>
    <t>Wind</t>
  </si>
  <si>
    <t>STOCKPILING PROGRESS</t>
  </si>
  <si>
    <t>GENERAL PROGRESS</t>
  </si>
  <si>
    <t>GENERAL PROGRESS Cont'd…</t>
  </si>
  <si>
    <t>Quantities (m)</t>
  </si>
  <si>
    <t>MTS as of:</t>
  </si>
  <si>
    <t>Estimated cost TO DATE</t>
  </si>
  <si>
    <t>Part A - Compensation for the Work</t>
  </si>
  <si>
    <t>Unit</t>
  </si>
  <si>
    <t>Unit Price</t>
  </si>
  <si>
    <t>Estimated Qty</t>
  </si>
  <si>
    <t>Extended Cost</t>
  </si>
  <si>
    <t>Est m To Date</t>
  </si>
  <si>
    <t>Inv Cost to Date</t>
  </si>
  <si>
    <t>Section 1b - SCHEDULE C</t>
  </si>
  <si>
    <t>See Log</t>
  </si>
  <si>
    <t>ITEM #</t>
  </si>
  <si>
    <t>Description</t>
  </si>
  <si>
    <t>Est M Complete</t>
  </si>
  <si>
    <t>Est Cost Complete</t>
  </si>
  <si>
    <t>LUMP SUM PRICE</t>
  </si>
  <si>
    <t>Field Ticket #</t>
  </si>
  <si>
    <t>Invoice #</t>
  </si>
  <si>
    <t>DATE ISSUED</t>
  </si>
  <si>
    <t>AMOUNT</t>
  </si>
  <si>
    <t>TOTAL COSTS INCURRED TO DATE</t>
  </si>
  <si>
    <t>Hold Back</t>
  </si>
  <si>
    <t>1b</t>
  </si>
  <si>
    <t>Lump Sum Pricing</t>
  </si>
  <si>
    <t>i)</t>
  </si>
  <si>
    <t>Subsistence and/or camp</t>
  </si>
  <si>
    <t>LS</t>
  </si>
  <si>
    <t>ii)</t>
  </si>
  <si>
    <t>Mainline Block Valve</t>
  </si>
  <si>
    <t>iii)</t>
  </si>
  <si>
    <t>HDD Crossing and Support</t>
  </si>
  <si>
    <t>iv)</t>
  </si>
  <si>
    <t>Launcher / Receiver</t>
  </si>
  <si>
    <t>v)</t>
  </si>
  <si>
    <t>Open Cut Contingency to Redwater River</t>
  </si>
  <si>
    <t>TOTAL</t>
  </si>
  <si>
    <t>Ticket #</t>
  </si>
  <si>
    <t>Amount</t>
  </si>
  <si>
    <t>Contractor</t>
  </si>
  <si>
    <t>Progress #</t>
  </si>
  <si>
    <t>Date Submitted</t>
  </si>
  <si>
    <t>Entered In Report #</t>
  </si>
  <si>
    <t>Value of Change Orders</t>
  </si>
  <si>
    <t>CHANGE ORDER LOG</t>
  </si>
  <si>
    <t>Actual Billed Costs of C/O</t>
  </si>
  <si>
    <t>CO #</t>
  </si>
  <si>
    <t>Cost Code</t>
  </si>
  <si>
    <t>Est Value</t>
  </si>
  <si>
    <t>Actual cost</t>
  </si>
  <si>
    <t>Invoiced Total by Change Order</t>
  </si>
  <si>
    <t>Comments</t>
  </si>
  <si>
    <t>RFI #</t>
  </si>
  <si>
    <t>Others as of:</t>
  </si>
  <si>
    <t>Amount of This Progress</t>
  </si>
  <si>
    <t>BUDGET REMAINING</t>
  </si>
  <si>
    <t>(m) Remaining to be billed</t>
  </si>
  <si>
    <t>TODAY</t>
  </si>
  <si>
    <t>Related RFI</t>
  </si>
  <si>
    <t>Date Received</t>
  </si>
  <si>
    <t>Date sent to Engineering</t>
  </si>
  <si>
    <t>Date sent to Contractor</t>
  </si>
  <si>
    <t>Originator</t>
  </si>
  <si>
    <t>Answered</t>
  </si>
  <si>
    <t>Pending</t>
  </si>
  <si>
    <t>Unused</t>
  </si>
  <si>
    <t>AFE</t>
  </si>
  <si>
    <t>Change Order #</t>
  </si>
  <si>
    <t>Type</t>
  </si>
  <si>
    <t>Date Received from Engineering</t>
  </si>
  <si>
    <t>Banister &amp; Subs as of:</t>
  </si>
  <si>
    <t>Lost Time Accident (LTA)</t>
  </si>
  <si>
    <t>LTA</t>
  </si>
  <si>
    <t>Medical Aid (MA)</t>
  </si>
  <si>
    <t>MA</t>
  </si>
  <si>
    <t>Restricted Work (RW)</t>
  </si>
  <si>
    <t>RW</t>
  </si>
  <si>
    <t>First Aid (FA)</t>
  </si>
  <si>
    <t>FA</t>
  </si>
  <si>
    <t>Property Damage (PD)</t>
  </si>
  <si>
    <t>PD</t>
  </si>
  <si>
    <t>Motor Vehicle Accident (MVA)</t>
  </si>
  <si>
    <t>MVA</t>
  </si>
  <si>
    <t>Non-Conformance (NC)</t>
  </si>
  <si>
    <t>NC</t>
  </si>
  <si>
    <t>NM</t>
  </si>
  <si>
    <t>Total Meters Stockpiled To Date</t>
  </si>
  <si>
    <t>vi)</t>
  </si>
  <si>
    <t>Open Cut Contingency to Piche River</t>
  </si>
  <si>
    <t>Hydrostatic Testing</t>
  </si>
  <si>
    <t>CUBIC METERS</t>
  </si>
  <si>
    <t>Feels Like</t>
  </si>
  <si>
    <t>Progress #1 billed January 28</t>
  </si>
  <si>
    <r>
      <t xml:space="preserve">Billing Quantity (m) </t>
    </r>
    <r>
      <rPr>
        <sz val="8"/>
        <color rgb="FF0000FF"/>
        <rFont val="Arial Black"/>
        <family val="2"/>
      </rPr>
      <t>Period ending Jan 27</t>
    </r>
  </si>
  <si>
    <t>TOTAL AMOUNT INVOICED TO DATE</t>
  </si>
  <si>
    <t>(m) Billed to date</t>
  </si>
  <si>
    <t>Contractor's Holdback Log</t>
  </si>
  <si>
    <t>Date Entered</t>
  </si>
  <si>
    <t>Progress Payment Log</t>
  </si>
  <si>
    <t>Progress #2 billed FEB 4</t>
  </si>
  <si>
    <r>
      <t xml:space="preserve">Billing Quantity (m) </t>
    </r>
    <r>
      <rPr>
        <sz val="8"/>
        <color rgb="FF0000FF"/>
        <rFont val="Arial Black"/>
        <family val="2"/>
      </rPr>
      <t>Period ending FEB 3</t>
    </r>
  </si>
  <si>
    <t>Progress #3 billed FEB 11</t>
  </si>
  <si>
    <r>
      <t xml:space="preserve">Billing Quantity (m) </t>
    </r>
    <r>
      <rPr>
        <sz val="8"/>
        <color rgb="FF0000FF"/>
        <rFont val="Arial Black"/>
        <family val="2"/>
      </rPr>
      <t>Period ending FEB 10</t>
    </r>
  </si>
  <si>
    <t>Mobilization Payment Reduction to Line Price</t>
  </si>
  <si>
    <r>
      <t xml:space="preserve">CREDIT (m)                     </t>
    </r>
    <r>
      <rPr>
        <sz val="8"/>
        <color indexed="12"/>
        <rFont val="Arial Black"/>
        <family val="2"/>
      </rPr>
      <t>credit unit cost</t>
    </r>
  </si>
  <si>
    <r>
      <t xml:space="preserve">CREDIT TO DATE $           </t>
    </r>
    <r>
      <rPr>
        <sz val="8"/>
        <color indexed="12"/>
        <rFont val="Arial Black"/>
        <family val="2"/>
      </rPr>
      <t>(m to date x credit unit cost)</t>
    </r>
  </si>
  <si>
    <t>Progress #4 billed MAR 11</t>
  </si>
  <si>
    <r>
      <t xml:space="preserve">Billing Quantity (m) </t>
    </r>
    <r>
      <rPr>
        <sz val="8"/>
        <color rgb="FF0000FF"/>
        <rFont val="Arial Black"/>
        <family val="2"/>
      </rPr>
      <t>Period ending MAR 10</t>
    </r>
  </si>
  <si>
    <t>Progress #5 billed MAR 19</t>
  </si>
  <si>
    <r>
      <t xml:space="preserve">Billing Quantity (m) </t>
    </r>
    <r>
      <rPr>
        <sz val="8"/>
        <color rgb="FF0000FF"/>
        <rFont val="Arial Black"/>
        <family val="2"/>
      </rPr>
      <t>Period ending MAR 17</t>
    </r>
  </si>
  <si>
    <t>SURVEY / LOCATES</t>
  </si>
  <si>
    <t>HYDROVAC</t>
  </si>
  <si>
    <t>GRADE</t>
  </si>
  <si>
    <t>credit</t>
  </si>
  <si>
    <t>Progress #6 billed MAY 2</t>
  </si>
  <si>
    <t>Progress #7 billed JUNE 11</t>
  </si>
  <si>
    <t xml:space="preserve">NOTE: The statistics for this table are found on the Central Spread Reports. </t>
  </si>
  <si>
    <t>Progress #9 billed JUNE 25</t>
  </si>
  <si>
    <r>
      <t xml:space="preserve">Billing Quantity (m) </t>
    </r>
    <r>
      <rPr>
        <sz val="8"/>
        <color rgb="FF0000FF"/>
        <rFont val="Arial Black"/>
        <family val="2"/>
      </rPr>
      <t>Period ending June 9</t>
    </r>
  </si>
  <si>
    <r>
      <t xml:space="preserve">Billing Quantity (m) </t>
    </r>
    <r>
      <rPr>
        <sz val="8"/>
        <color rgb="FF0000FF"/>
        <rFont val="Arial Black"/>
        <family val="2"/>
      </rPr>
      <t>Period ending JUNE 23</t>
    </r>
  </si>
  <si>
    <t>ACCESS</t>
  </si>
  <si>
    <t xml:space="preserve">GENERAL </t>
  </si>
  <si>
    <t>Progress #11 billed JULY 9</t>
  </si>
  <si>
    <r>
      <t xml:space="preserve">Billing Quantity (m) </t>
    </r>
    <r>
      <rPr>
        <sz val="8"/>
        <color rgb="FF0000FF"/>
        <rFont val="Arial Black"/>
        <family val="2"/>
      </rPr>
      <t>Period ending JULY 7</t>
    </r>
  </si>
  <si>
    <t>AFTERNOON FORECAST</t>
  </si>
  <si>
    <t>WELDING</t>
  </si>
  <si>
    <t>BORING</t>
  </si>
  <si>
    <t>COATING</t>
  </si>
  <si>
    <t>STRINGING</t>
  </si>
  <si>
    <t>Progress #13 billed JULY 23</t>
  </si>
  <si>
    <r>
      <t xml:space="preserve">Billing Quantity (m) </t>
    </r>
    <r>
      <rPr>
        <sz val="8"/>
        <color rgb="FF0000FF"/>
        <rFont val="Arial Black"/>
        <family val="2"/>
      </rPr>
      <t>Period ending JULY 21</t>
    </r>
  </si>
  <si>
    <t>Progress #12 billed JULY 16</t>
  </si>
  <si>
    <r>
      <t xml:space="preserve">Billing Quantity (m) </t>
    </r>
    <r>
      <rPr>
        <sz val="8"/>
        <color rgb="FF0000FF"/>
        <rFont val="Arial Black"/>
        <family val="2"/>
      </rPr>
      <t>Period ending JULY 14</t>
    </r>
  </si>
  <si>
    <t>Credit Amounts</t>
  </si>
  <si>
    <t>Progress Billed</t>
  </si>
  <si>
    <t>BENDING</t>
  </si>
  <si>
    <t>Progress #14 billed JULY 29</t>
  </si>
  <si>
    <r>
      <t xml:space="preserve">Billing Quantity (m) </t>
    </r>
    <r>
      <rPr>
        <sz val="8"/>
        <color rgb="FF0000FF"/>
        <rFont val="Arial Black"/>
        <family val="2"/>
      </rPr>
      <t>Period ending JULY 28</t>
    </r>
  </si>
  <si>
    <t>Progress #15 billed AUG 6</t>
  </si>
  <si>
    <r>
      <t xml:space="preserve">Billing Quantity (m) </t>
    </r>
    <r>
      <rPr>
        <sz val="8"/>
        <color rgb="FF0000FF"/>
        <rFont val="Arial Black"/>
        <family val="2"/>
      </rPr>
      <t>Period ending AUG 4</t>
    </r>
  </si>
  <si>
    <t>Coating</t>
  </si>
  <si>
    <t>TRENCH</t>
  </si>
  <si>
    <t>LOWER-IN</t>
  </si>
  <si>
    <t>Progress #16 billed AUG 12</t>
  </si>
  <si>
    <r>
      <t xml:space="preserve">Billing Quantity (m) </t>
    </r>
    <r>
      <rPr>
        <sz val="8"/>
        <color rgb="FF0000FF"/>
        <rFont val="Arial Black"/>
        <family val="2"/>
      </rPr>
      <t>Period ending AUG 11</t>
    </r>
  </si>
  <si>
    <t>BACKFILL</t>
  </si>
  <si>
    <t>PLANNED % COMPLETE</t>
  </si>
  <si>
    <t>% Project PLANNED complete</t>
  </si>
  <si>
    <t>Progress #17 billed AUG 19</t>
  </si>
  <si>
    <r>
      <t xml:space="preserve">Billing Quantity (m) </t>
    </r>
    <r>
      <rPr>
        <sz val="8"/>
        <color rgb="FF0000FF"/>
        <rFont val="Arial Black"/>
        <family val="2"/>
      </rPr>
      <t>Period ending AUG 18</t>
    </r>
  </si>
  <si>
    <t>PLANNED PROGRESS - As per Start Progress  REV01, End Progress REV07</t>
  </si>
  <si>
    <t>+/- complete vs planned</t>
  </si>
  <si>
    <t>Progress #18 billed AUG 26</t>
  </si>
  <si>
    <r>
      <t xml:space="preserve">Billing Quantity (m) </t>
    </r>
    <r>
      <rPr>
        <sz val="8"/>
        <color rgb="FF0000FF"/>
        <rFont val="Arial Black"/>
        <family val="2"/>
      </rPr>
      <t>Period ending AUG 25</t>
    </r>
  </si>
  <si>
    <t>Progress #19 billed SEP 3</t>
  </si>
  <si>
    <r>
      <t xml:space="preserve">Billing Quantity (m) </t>
    </r>
    <r>
      <rPr>
        <sz val="8"/>
        <color rgb="FF0000FF"/>
        <rFont val="Arial Black"/>
        <family val="2"/>
      </rPr>
      <t>Period ending SEP 1</t>
    </r>
  </si>
  <si>
    <t>Progress #20 billed SEP 9</t>
  </si>
  <si>
    <r>
      <t xml:space="preserve">Billing Quantity (m) </t>
    </r>
    <r>
      <rPr>
        <sz val="8"/>
        <color rgb="FF0000FF"/>
        <rFont val="Arial Black"/>
        <family val="2"/>
      </rPr>
      <t>Period ending SEP 8</t>
    </r>
  </si>
  <si>
    <t>CREDIT $ This Period (SEP 9 PP20)</t>
  </si>
  <si>
    <t>Sunny</t>
  </si>
  <si>
    <t>SUPERINTENDANT:</t>
  </si>
  <si>
    <t>ASST. SUPER.</t>
  </si>
  <si>
    <t>Superintendent</t>
  </si>
  <si>
    <t>Camrose</t>
  </si>
  <si>
    <t>ROC Yard</t>
  </si>
  <si>
    <t>5.6 mm</t>
  </si>
  <si>
    <t>7.5mm</t>
  </si>
  <si>
    <t>7.5 mm</t>
  </si>
  <si>
    <t>Grade</t>
  </si>
  <si>
    <t xml:space="preserve"> Progress Billing #20                      </t>
  </si>
  <si>
    <t xml:space="preserve"> Progress Billing #1                    </t>
  </si>
  <si>
    <r>
      <t xml:space="preserve"> Progress Billing #2                      </t>
    </r>
    <r>
      <rPr>
        <sz val="8"/>
        <color rgb="FFFF0000"/>
        <rFont val="Arial Black"/>
        <family val="2"/>
      </rPr>
      <t xml:space="preserve">Invoice </t>
    </r>
  </si>
  <si>
    <r>
      <t xml:space="preserve"> Progress Billing #3                      </t>
    </r>
    <r>
      <rPr>
        <sz val="8"/>
        <color rgb="FFFF0000"/>
        <rFont val="Arial Black"/>
        <family val="2"/>
      </rPr>
      <t xml:space="preserve">Invoice </t>
    </r>
  </si>
  <si>
    <r>
      <t xml:space="preserve"> Progress Billing #4                      </t>
    </r>
    <r>
      <rPr>
        <sz val="8"/>
        <color rgb="FFFF0000"/>
        <rFont val="Arial Black"/>
        <family val="2"/>
      </rPr>
      <t>Invoice</t>
    </r>
  </si>
  <si>
    <r>
      <t xml:space="preserve"> Progress Billing #5                      </t>
    </r>
    <r>
      <rPr>
        <sz val="8"/>
        <color rgb="FFFF0000"/>
        <rFont val="Arial Black"/>
        <family val="2"/>
      </rPr>
      <t>Invoice</t>
    </r>
  </si>
  <si>
    <r>
      <t xml:space="preserve"> Progress Billing #6                      </t>
    </r>
    <r>
      <rPr>
        <sz val="8"/>
        <color rgb="FFFF0000"/>
        <rFont val="Arial Black"/>
        <family val="2"/>
      </rPr>
      <t xml:space="preserve">Invoice </t>
    </r>
  </si>
  <si>
    <r>
      <t xml:space="preserve"> Progress Billing #7                      </t>
    </r>
    <r>
      <rPr>
        <sz val="8"/>
        <color rgb="FFFF0000"/>
        <rFont val="Arial Black"/>
        <family val="2"/>
      </rPr>
      <t>Invoice</t>
    </r>
  </si>
  <si>
    <r>
      <t xml:space="preserve"> Progress Billing #7                      </t>
    </r>
    <r>
      <rPr>
        <sz val="8"/>
        <color rgb="FFFF0000"/>
        <rFont val="Arial Black"/>
        <family val="2"/>
      </rPr>
      <t xml:space="preserve">Invoice </t>
    </r>
  </si>
  <si>
    <r>
      <t xml:space="preserve"> Progress Billing #11                      </t>
    </r>
    <r>
      <rPr>
        <sz val="8"/>
        <color rgb="FFFF0000"/>
        <rFont val="Arial Black"/>
        <family val="2"/>
      </rPr>
      <t>Invoice</t>
    </r>
  </si>
  <si>
    <r>
      <t xml:space="preserve"> Progress Billing #12                      </t>
    </r>
    <r>
      <rPr>
        <sz val="8"/>
        <color rgb="FFFF0000"/>
        <rFont val="Arial Black"/>
        <family val="2"/>
      </rPr>
      <t>Invoice</t>
    </r>
  </si>
  <si>
    <r>
      <t xml:space="preserve"> Progress Billing #13                      </t>
    </r>
    <r>
      <rPr>
        <sz val="8"/>
        <color rgb="FFFF0000"/>
        <rFont val="Arial Black"/>
        <family val="2"/>
      </rPr>
      <t>Invoice</t>
    </r>
  </si>
  <si>
    <r>
      <t xml:space="preserve"> Progress Billing #14                      </t>
    </r>
    <r>
      <rPr>
        <sz val="8"/>
        <color rgb="FFFF0000"/>
        <rFont val="Arial Black"/>
        <family val="2"/>
      </rPr>
      <t>Invoice</t>
    </r>
  </si>
  <si>
    <r>
      <t xml:space="preserve"> Progress Billing #15                      </t>
    </r>
    <r>
      <rPr>
        <sz val="8"/>
        <color rgb="FFFF0000"/>
        <rFont val="Arial Black"/>
        <family val="2"/>
      </rPr>
      <t>Invoice</t>
    </r>
  </si>
  <si>
    <r>
      <t xml:space="preserve"> Progress Billing #16                      </t>
    </r>
    <r>
      <rPr>
        <sz val="8"/>
        <color rgb="FFFF0000"/>
        <rFont val="Arial Black"/>
        <family val="2"/>
      </rPr>
      <t>Invoice</t>
    </r>
  </si>
  <si>
    <r>
      <t xml:space="preserve"> Progress Billing #17                      </t>
    </r>
    <r>
      <rPr>
        <sz val="8"/>
        <color rgb="FFFF0000"/>
        <rFont val="Arial Black"/>
        <family val="2"/>
      </rPr>
      <t>Invoice</t>
    </r>
  </si>
  <si>
    <r>
      <t xml:space="preserve"> Progress Billing #18                      </t>
    </r>
    <r>
      <rPr>
        <sz val="8"/>
        <color rgb="FFFF0000"/>
        <rFont val="Arial Black"/>
        <family val="2"/>
      </rPr>
      <t>Invoice</t>
    </r>
  </si>
  <si>
    <r>
      <t xml:space="preserve"> Progress Billing #19                      </t>
    </r>
    <r>
      <rPr>
        <sz val="8"/>
        <color rgb="FFFF0000"/>
        <rFont val="Arial Black"/>
        <family val="2"/>
      </rPr>
      <t>Invoice</t>
    </r>
  </si>
  <si>
    <t>Based on Schedule Rev:</t>
  </si>
  <si>
    <r>
      <t>Completed to Date</t>
    </r>
    <r>
      <rPr>
        <b/>
        <sz val="8"/>
        <color rgb="FF00B050"/>
        <rFont val="Arial"/>
        <family val="2"/>
      </rPr>
      <t xml:space="preserve"> (FIX DAILY FORMULA)</t>
    </r>
  </si>
  <si>
    <t>PROJECT # :</t>
  </si>
  <si>
    <t>Rate Increase CH2MHill</t>
  </si>
  <si>
    <t>Baselay</t>
  </si>
  <si>
    <t>Contractor: Surerus</t>
  </si>
  <si>
    <t>Pembina Pipeline</t>
  </si>
  <si>
    <t>Pit Run, off site</t>
  </si>
  <si>
    <t>M/13295</t>
  </si>
  <si>
    <t>Road Crush, off site</t>
  </si>
  <si>
    <t>Native, onsite</t>
  </si>
  <si>
    <t>Rock excavation/ disposal</t>
  </si>
  <si>
    <t>3 Barbed and Wood Posts</t>
  </si>
  <si>
    <t>METER</t>
  </si>
  <si>
    <t>Section 3 - Scope of Work -  Additional Unit Prices</t>
  </si>
  <si>
    <t>1.8m High Chain Link</t>
  </si>
  <si>
    <t>Man-gate within chain link fence</t>
  </si>
  <si>
    <t>EACH</t>
  </si>
  <si>
    <t>Double Wide vehicle gate withink chain link fence</t>
  </si>
  <si>
    <t>Temp fencing - snow</t>
  </si>
  <si>
    <t>Trenching 0&lt; or = 0.3m - Extra Depth</t>
  </si>
  <si>
    <t>Trenching 0.3&lt; or 0.6m - Extra Depth</t>
  </si>
  <si>
    <t>Trenching &gt; 0.6m - Extra Depth</t>
  </si>
  <si>
    <t>Geotextile Felt</t>
  </si>
  <si>
    <t>Rockshield</t>
  </si>
  <si>
    <t>Continuous Concrete Coating - 16"</t>
  </si>
  <si>
    <t>Continuous Concrete Coating - 24"</t>
  </si>
  <si>
    <t>Sack Breakers</t>
  </si>
  <si>
    <t>NOT USED</t>
  </si>
  <si>
    <t>Ditch Breakers + Excavation - Polyurethane Foam</t>
  </si>
  <si>
    <t>Ditch Breakers + Excavation - Sand Bags</t>
  </si>
  <si>
    <t>Diversion Berms - full width ROW</t>
  </si>
  <si>
    <t>Sub Drains</t>
  </si>
  <si>
    <t>Concrete Bolt On Weights - 24"</t>
  </si>
  <si>
    <t>Concrete Bolt On Weights - 16"</t>
  </si>
  <si>
    <t>Bag Weights - 16" Supply, fill, install</t>
  </si>
  <si>
    <t>Bag Weights - 24" Supply, fill, install</t>
  </si>
  <si>
    <t>Cut and Rebevel pipe - Directed by company - 16"</t>
  </si>
  <si>
    <t>Cut and Rebevel pipe - Directed by company - 24"</t>
  </si>
  <si>
    <t>Cut out / replace welds - Directed by company 16"</t>
  </si>
  <si>
    <t>Cut out / replace welds - Directed by company 24"</t>
  </si>
  <si>
    <t>Additional Welds - Directed by Company - 16"</t>
  </si>
  <si>
    <t>Additional Welds - Directed by Company - 24"</t>
  </si>
  <si>
    <t>Sand Padding - over</t>
  </si>
  <si>
    <t>Sand Padding - under</t>
  </si>
  <si>
    <t>2-wire test leads install</t>
  </si>
  <si>
    <t>4-wire test leads install</t>
  </si>
  <si>
    <t>Additional Methanol Wash</t>
  </si>
  <si>
    <t>Install warning signs in addition to those on the drawings - Provided by company</t>
  </si>
  <si>
    <t>Rig Matting</t>
  </si>
  <si>
    <t>Swamp Matting</t>
  </si>
  <si>
    <t>Layer of Geogrid</t>
  </si>
  <si>
    <t>Move Around - Directed by Company</t>
  </si>
  <si>
    <t>Washstations</t>
  </si>
  <si>
    <t>Washing Equipment</t>
  </si>
  <si>
    <t>Namao to RFS</t>
  </si>
  <si>
    <t>Field Ticket # (Possibly multiple ticket #'s)</t>
  </si>
  <si>
    <t>LUMP SUM PRICE (Possibly multiple costs)</t>
  </si>
  <si>
    <t>Invoice # (Possibly multiple invoice #'s)</t>
  </si>
  <si>
    <t>3/4" Washed Gravel, off site</t>
  </si>
  <si>
    <t>Actual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</si>
</sst>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F800]dddd\,\ mmmm\ dd\,\ yyyy"/>
    <numFmt numFmtId="167" formatCode="[$-1009]d\-mmm\-yy;@"/>
    <numFmt numFmtId="168" formatCode="0;[Red]0"/>
    <numFmt numFmtId="169" formatCode="0.0%"/>
    <numFmt numFmtId="170" formatCode="_-[$$-1009]* #,##0.00_-;\-[$$-1009]* #,##0.00_-;_-[$$-1009]* &quot;-&quot;??_-;_-@_-"/>
    <numFmt numFmtId="171" formatCode="_(* #,##0_);_(* \(#,##0\);_(* &quot;-&quot;??_);_(@_)"/>
    <numFmt numFmtId="172" formatCode="_(* #,##0.0000_);_(* \(#,##0.0000\);_(* &quot;-&quot;??_);_(@_)"/>
    <numFmt numFmtId="173" formatCode="&quot;$&quot;#,##0.00"/>
    <numFmt numFmtId="174" formatCode="#,##0.00_ ;\-#,##0.00\ "/>
    <numFmt numFmtId="175" formatCode="[$-1009]d/mmm/yy;@"/>
  </numFmts>
  <fonts count="1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i/>
      <sz val="8"/>
      <color indexed="12"/>
      <name val="Arial"/>
      <family val="2"/>
    </font>
    <font>
      <sz val="8"/>
      <color indexed="10"/>
      <name val="Arial"/>
      <family val="2"/>
    </font>
    <font>
      <sz val="7"/>
      <name val="Arial"/>
      <family val="2"/>
    </font>
    <font>
      <b/>
      <i/>
      <sz val="8"/>
      <color indexed="10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10"/>
      <name val="Arial"/>
      <family val="2"/>
    </font>
    <font>
      <b/>
      <sz val="7"/>
      <color indexed="12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5"/>
      <color indexed="10"/>
      <name val="Arial"/>
      <family val="2"/>
    </font>
    <font>
      <b/>
      <sz val="8"/>
      <color indexed="17"/>
      <name val="Arial"/>
      <family val="2"/>
    </font>
    <font>
      <b/>
      <i/>
      <u/>
      <sz val="8"/>
      <color indexed="9"/>
      <name val="Arial"/>
      <family val="2"/>
    </font>
    <font>
      <b/>
      <sz val="7"/>
      <name val="Arial Black"/>
      <family val="2"/>
    </font>
    <font>
      <sz val="8"/>
      <name val="Arial Black"/>
      <family val="2"/>
    </font>
    <font>
      <sz val="7"/>
      <name val="Arial Black"/>
      <family val="2"/>
    </font>
    <font>
      <sz val="10"/>
      <name val="Arial Black"/>
      <family val="2"/>
    </font>
    <font>
      <u/>
      <sz val="10"/>
      <name val="Arial Black"/>
      <family val="2"/>
    </font>
    <font>
      <u/>
      <sz val="8"/>
      <name val="Arial Black"/>
      <family val="2"/>
    </font>
    <font>
      <u/>
      <sz val="9"/>
      <name val="Arial Black"/>
      <family val="2"/>
    </font>
    <font>
      <sz val="10"/>
      <color indexed="9"/>
      <name val="Arial Black"/>
      <family val="2"/>
    </font>
    <font>
      <sz val="8"/>
      <name val="Arial"/>
      <family val="2"/>
    </font>
    <font>
      <sz val="8"/>
      <color indexed="9"/>
      <name val="Arial Black"/>
      <family val="2"/>
    </font>
    <font>
      <sz val="9"/>
      <name val="Arial Black"/>
      <family val="2"/>
    </font>
    <font>
      <sz val="10"/>
      <name val="Arial"/>
      <family val="2"/>
    </font>
    <font>
      <sz val="8"/>
      <color indexed="12"/>
      <name val="Arial Black"/>
      <family val="2"/>
    </font>
    <font>
      <sz val="10"/>
      <color indexed="12"/>
      <name val="Arial Black"/>
      <family val="2"/>
    </font>
    <font>
      <sz val="9"/>
      <color indexed="12"/>
      <name val="Arial Black"/>
      <family val="2"/>
    </font>
    <font>
      <sz val="10"/>
      <color indexed="12"/>
      <name val="Arial"/>
      <family val="2"/>
    </font>
    <font>
      <sz val="8"/>
      <color indexed="10"/>
      <name val="Arial Black"/>
      <family val="2"/>
    </font>
    <font>
      <sz val="10"/>
      <color indexed="10"/>
      <name val="Arial Black"/>
      <family val="2"/>
    </font>
    <font>
      <sz val="8"/>
      <color indexed="12"/>
      <name val="Arial Narrow"/>
      <family val="2"/>
    </font>
    <font>
      <sz val="10"/>
      <color indexed="12"/>
      <name val="Arial Narrow"/>
      <family val="2"/>
    </font>
    <font>
      <b/>
      <sz val="10"/>
      <color indexed="10"/>
      <name val="Arial"/>
      <family val="2"/>
    </font>
    <font>
      <b/>
      <sz val="10"/>
      <name val="Arial Black"/>
      <family val="2"/>
    </font>
    <font>
      <b/>
      <u/>
      <sz val="10"/>
      <color indexed="30"/>
      <name val="Arial"/>
      <family val="2"/>
    </font>
    <font>
      <b/>
      <u/>
      <sz val="6"/>
      <name val="Arial Black"/>
      <family val="2"/>
    </font>
    <font>
      <sz val="14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rgb="FFFA7D00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theme="0"/>
      <name val="Arial Black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0"/>
      <color theme="1"/>
      <name val="Arial"/>
      <family val="2"/>
    </font>
    <font>
      <b/>
      <sz val="9"/>
      <color rgb="FFFF0000"/>
      <name val="Arial Black"/>
      <family val="2"/>
    </font>
    <font>
      <b/>
      <sz val="10"/>
      <color theme="4" tint="-0.249977111117893"/>
      <name val="Arial"/>
      <family val="2"/>
    </font>
    <font>
      <b/>
      <sz val="10"/>
      <color rgb="FFFF0000"/>
      <name val="Arial Black"/>
      <family val="2"/>
    </font>
    <font>
      <i/>
      <sz val="9"/>
      <color rgb="FFFF0000"/>
      <name val="Arial"/>
      <family val="2"/>
    </font>
    <font>
      <sz val="10"/>
      <color theme="0"/>
      <name val="Arial"/>
      <family val="2"/>
    </font>
    <font>
      <b/>
      <sz val="8"/>
      <color rgb="FF0070C0"/>
      <name val="Arial Black"/>
      <family val="2"/>
    </font>
    <font>
      <b/>
      <sz val="9"/>
      <color rgb="FFFF0000"/>
      <name val="Arial"/>
      <family val="2"/>
    </font>
    <font>
      <b/>
      <sz val="8"/>
      <color theme="4"/>
      <name val="Arial"/>
      <family val="2"/>
    </font>
    <font>
      <b/>
      <sz val="8"/>
      <color rgb="FF003300"/>
      <name val="Arial"/>
      <family val="2"/>
    </font>
    <font>
      <b/>
      <sz val="8"/>
      <color rgb="FF0000FF"/>
      <name val="Arial"/>
      <family val="2"/>
    </font>
    <font>
      <u/>
      <sz val="10"/>
      <color rgb="FFFF0000"/>
      <name val="Arial Black"/>
      <family val="2"/>
    </font>
    <font>
      <sz val="16"/>
      <color theme="0"/>
      <name val="Arial"/>
      <family val="2"/>
    </font>
    <font>
      <b/>
      <sz val="10"/>
      <color rgb="FF0000FF"/>
      <name val="Arial"/>
      <family val="2"/>
    </font>
    <font>
      <b/>
      <sz val="9"/>
      <name val="Arial Black"/>
      <family val="2"/>
    </font>
    <font>
      <sz val="10"/>
      <color rgb="FF00B050"/>
      <name val="Arial Black"/>
      <family val="2"/>
    </font>
    <font>
      <b/>
      <sz val="9"/>
      <color rgb="FF003300"/>
      <name val="Arial Black"/>
      <family val="2"/>
    </font>
    <font>
      <b/>
      <sz val="9"/>
      <color rgb="FF0000FF"/>
      <name val="Arial Black"/>
      <family val="2"/>
    </font>
    <font>
      <b/>
      <sz val="9"/>
      <color rgb="FF00B050"/>
      <name val="Arial"/>
      <family val="2"/>
    </font>
    <font>
      <b/>
      <sz val="12"/>
      <color rgb="FF0000FF"/>
      <name val="Arial Black"/>
      <family val="2"/>
    </font>
    <font>
      <b/>
      <sz val="9"/>
      <color theme="0"/>
      <name val="Arial Black"/>
      <family val="2"/>
    </font>
    <font>
      <sz val="12"/>
      <name val="Arial Black"/>
      <family val="2"/>
    </font>
    <font>
      <b/>
      <sz val="8"/>
      <color rgb="FFFF0000"/>
      <name val="Arial Black"/>
      <family val="2"/>
    </font>
    <font>
      <sz val="9"/>
      <color indexed="10"/>
      <name val="Arial Black"/>
      <family val="2"/>
    </font>
    <font>
      <b/>
      <u/>
      <sz val="9"/>
      <name val="Arial Black"/>
      <family val="2"/>
    </font>
    <font>
      <sz val="12"/>
      <color indexed="10"/>
      <name val="Arial Black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b/>
      <u/>
      <sz val="8"/>
      <name val="Arial Black"/>
      <family val="2"/>
    </font>
    <font>
      <sz val="8"/>
      <color rgb="FFFF0000"/>
      <name val="Arial Black"/>
      <family val="2"/>
    </font>
    <font>
      <b/>
      <sz val="8"/>
      <name val="Arial Black"/>
      <family val="2"/>
    </font>
    <font>
      <b/>
      <sz val="8"/>
      <color rgb="FFFF0000"/>
      <name val="Arial"/>
      <family val="2"/>
    </font>
    <font>
      <sz val="11"/>
      <name val="Arial Black"/>
      <family val="2"/>
    </font>
    <font>
      <sz val="10"/>
      <color theme="3"/>
      <name val="Arial"/>
      <family val="2"/>
    </font>
    <font>
      <b/>
      <sz val="10"/>
      <color theme="0"/>
      <name val="Arial"/>
      <family val="2"/>
    </font>
    <font>
      <sz val="2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8"/>
      <color theme="0"/>
      <name val="Arial"/>
      <family val="2"/>
    </font>
    <font>
      <b/>
      <u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0000FF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0000"/>
      <name val="Arial"/>
      <family val="2"/>
    </font>
    <font>
      <b/>
      <sz val="11"/>
      <name val="Calibri"/>
      <family val="2"/>
    </font>
    <font>
      <b/>
      <sz val="9"/>
      <color rgb="FF0000FF"/>
      <name val="Arial"/>
      <family val="2"/>
    </font>
    <font>
      <sz val="10"/>
      <color rgb="FF0000FF"/>
      <name val="Arial"/>
      <family val="2"/>
    </font>
    <font>
      <b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name val="Arial"/>
      <family val="2"/>
    </font>
    <font>
      <sz val="8"/>
      <color theme="1"/>
      <name val="Arial Black"/>
      <family val="2"/>
    </font>
    <font>
      <sz val="10"/>
      <color theme="1"/>
      <name val="Arial Black"/>
      <family val="2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sz val="16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0000FF"/>
      <name val="Arial Black"/>
      <family val="2"/>
    </font>
    <font>
      <sz val="8"/>
      <color theme="0"/>
      <name val="Arial Black"/>
      <family val="2"/>
    </font>
    <font>
      <b/>
      <sz val="11"/>
      <color rgb="FF0000FF"/>
      <name val="Arial"/>
      <family val="2"/>
    </font>
    <font>
      <b/>
      <sz val="9"/>
      <color theme="8" tint="0.79998168889431442"/>
      <name val="Arial"/>
      <family val="2"/>
    </font>
    <font>
      <sz val="8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sz val="6"/>
      <color theme="0" tint="-0.14999847407452621"/>
      <name val="Arial"/>
      <family val="2"/>
    </font>
    <font>
      <sz val="9"/>
      <color theme="0"/>
      <name val="Arial Black"/>
      <family val="2"/>
    </font>
    <font>
      <sz val="9"/>
      <color theme="0" tint="-0.14999847407452621"/>
      <name val="Arial Black"/>
      <family val="2"/>
    </font>
    <font>
      <b/>
      <sz val="8"/>
      <color rgb="FF00B050"/>
      <name val="Arial"/>
      <family val="2"/>
    </font>
    <font>
      <sz val="12"/>
      <color theme="9" tint="-0.499984740745262"/>
      <name val="Arial Black"/>
      <family val="2"/>
    </font>
    <font>
      <b/>
      <sz val="8"/>
      <color theme="1"/>
      <name val="Arial"/>
      <family val="2"/>
    </font>
    <font>
      <sz val="1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theme="0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</borders>
  <cellStyleXfs count="31">
    <xf numFmtId="0" fontId="0" fillId="0" borderId="0"/>
    <xf numFmtId="0" fontId="56" fillId="5" borderId="44" applyNumberFormat="0" applyAlignment="0" applyProtection="0"/>
    <xf numFmtId="164" fontId="9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20" fillId="0" borderId="0"/>
    <xf numFmtId="9" fontId="9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4" fillId="0" borderId="0"/>
    <xf numFmtId="165" fontId="12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44" fontId="1" fillId="0" borderId="0" applyFont="0" applyFill="0" applyBorder="0" applyAlignment="0" applyProtection="0"/>
  </cellStyleXfs>
  <cellXfs count="1166">
    <xf numFmtId="0" fontId="0" fillId="0" borderId="0" xfId="0"/>
    <xf numFmtId="0" fontId="0" fillId="0" borderId="0" xfId="0" applyBorder="1"/>
    <xf numFmtId="0" fontId="0" fillId="0" borderId="0" xfId="0" applyProtection="1"/>
    <xf numFmtId="0" fontId="10" fillId="0" borderId="0" xfId="0" applyFont="1"/>
    <xf numFmtId="0" fontId="10" fillId="0" borderId="1" xfId="0" applyFont="1" applyBorder="1" applyProtection="1"/>
    <xf numFmtId="0" fontId="10" fillId="0" borderId="2" xfId="0" applyFont="1" applyBorder="1" applyProtection="1"/>
    <xf numFmtId="0" fontId="16" fillId="0" borderId="1" xfId="0" applyFont="1" applyBorder="1" applyProtection="1"/>
    <xf numFmtId="0" fontId="14" fillId="0" borderId="0" xfId="0" applyFont="1" applyBorder="1" applyAlignment="1" applyProtection="1">
      <alignment horizontal="center"/>
    </xf>
    <xf numFmtId="0" fontId="12" fillId="0" borderId="0" xfId="0" applyFont="1" applyBorder="1" applyAlignment="1" applyProtection="1">
      <alignment horizontal="center"/>
    </xf>
    <xf numFmtId="0" fontId="0" fillId="0" borderId="0" xfId="0" applyBorder="1" applyProtection="1"/>
    <xf numFmtId="0" fontId="12" fillId="0" borderId="0" xfId="0" applyFont="1" applyAlignment="1" applyProtection="1">
      <alignment horizontal="center"/>
    </xf>
    <xf numFmtId="0" fontId="16" fillId="0" borderId="2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left"/>
    </xf>
    <xf numFmtId="0" fontId="18" fillId="0" borderId="2" xfId="0" applyFont="1" applyBorder="1" applyProtection="1"/>
    <xf numFmtId="0" fontId="10" fillId="0" borderId="0" xfId="0" applyFont="1" applyBorder="1" applyAlignment="1" applyProtection="1">
      <alignment horizontal="center"/>
    </xf>
    <xf numFmtId="0" fontId="10" fillId="0" borderId="0" xfId="0" applyFont="1" applyBorder="1"/>
    <xf numFmtId="9" fontId="15" fillId="0" borderId="3" xfId="0" applyNumberFormat="1" applyFont="1" applyBorder="1" applyAlignment="1" applyProtection="1">
      <alignment horizontal="center"/>
    </xf>
    <xf numFmtId="9" fontId="15" fillId="0" borderId="4" xfId="6" applyFont="1" applyBorder="1" applyAlignment="1" applyProtection="1">
      <alignment horizontal="center"/>
    </xf>
    <xf numFmtId="9" fontId="22" fillId="0" borderId="5" xfId="6" applyFont="1" applyBorder="1" applyAlignment="1" applyProtection="1">
      <alignment horizontal="center"/>
    </xf>
    <xf numFmtId="9" fontId="15" fillId="0" borderId="0" xfId="0" applyNumberFormat="1" applyFont="1" applyBorder="1" applyAlignment="1" applyProtection="1">
      <alignment horizontal="center"/>
    </xf>
    <xf numFmtId="9" fontId="15" fillId="0" borderId="0" xfId="6" applyFont="1" applyBorder="1" applyAlignment="1" applyProtection="1">
      <alignment horizontal="center"/>
    </xf>
    <xf numFmtId="0" fontId="15" fillId="0" borderId="0" xfId="0" applyFont="1" applyBorder="1" applyAlignment="1" applyProtection="1">
      <alignment horizontal="center"/>
    </xf>
    <xf numFmtId="164" fontId="13" fillId="0" borderId="0" xfId="2" applyFont="1" applyBorder="1" applyAlignment="1" applyProtection="1">
      <alignment horizontal="center"/>
    </xf>
    <xf numFmtId="0" fontId="16" fillId="2" borderId="0" xfId="0" applyFont="1" applyFill="1" applyBorder="1" applyAlignment="1" applyProtection="1"/>
    <xf numFmtId="0" fontId="10" fillId="0" borderId="0" xfId="0" applyFont="1" applyBorder="1" applyAlignment="1" applyProtection="1">
      <alignment horizontal="center" vertical="center" wrapText="1"/>
    </xf>
    <xf numFmtId="3" fontId="22" fillId="0" borderId="5" xfId="0" applyNumberFormat="1" applyFont="1" applyBorder="1" applyAlignment="1" applyProtection="1">
      <alignment horizontal="center"/>
    </xf>
    <xf numFmtId="0" fontId="30" fillId="0" borderId="0" xfId="0" applyFont="1"/>
    <xf numFmtId="49" fontId="18" fillId="0" borderId="0" xfId="0" applyNumberFormat="1" applyFont="1" applyFill="1" applyBorder="1" applyAlignment="1" applyProtection="1">
      <alignment horizontal="center"/>
    </xf>
    <xf numFmtId="0" fontId="10" fillId="2" borderId="5" xfId="0" applyFont="1" applyFill="1" applyBorder="1" applyProtection="1"/>
    <xf numFmtId="0" fontId="40" fillId="0" borderId="0" xfId="0" applyFont="1"/>
    <xf numFmtId="0" fontId="39" fillId="0" borderId="0" xfId="0" applyFont="1"/>
    <xf numFmtId="0" fontId="30" fillId="4" borderId="0" xfId="0" applyFont="1" applyFill="1"/>
    <xf numFmtId="0" fontId="38" fillId="4" borderId="0" xfId="0" applyFont="1" applyFill="1"/>
    <xf numFmtId="0" fontId="28" fillId="4" borderId="0" xfId="0" applyFont="1" applyFill="1" applyAlignment="1">
      <alignment horizontal="left"/>
    </xf>
    <xf numFmtId="0" fontId="45" fillId="0" borderId="0" xfId="0" applyFont="1"/>
    <xf numFmtId="0" fontId="46" fillId="0" borderId="0" xfId="0" applyFont="1"/>
    <xf numFmtId="0" fontId="0" fillId="0" borderId="0" xfId="0" applyAlignment="1">
      <alignment horizontal="center"/>
    </xf>
    <xf numFmtId="0" fontId="0" fillId="4" borderId="0" xfId="0" applyFill="1" applyBorder="1"/>
    <xf numFmtId="0" fontId="20" fillId="0" borderId="0" xfId="0" applyFont="1" applyFill="1"/>
    <xf numFmtId="0" fontId="16" fillId="0" borderId="2" xfId="0" applyFont="1" applyBorder="1" applyProtection="1"/>
    <xf numFmtId="0" fontId="0" fillId="0" borderId="0" xfId="0" applyFill="1"/>
    <xf numFmtId="43" fontId="28" fillId="0" borderId="0" xfId="0" applyNumberFormat="1" applyFont="1" applyAlignment="1">
      <alignment horizontal="center"/>
    </xf>
    <xf numFmtId="9" fontId="0" fillId="0" borderId="0" xfId="6" applyFont="1" applyAlignment="1">
      <alignment horizontal="center"/>
    </xf>
    <xf numFmtId="0" fontId="14" fillId="0" borderId="0" xfId="0" applyFont="1" applyFill="1" applyBorder="1" applyAlignment="1" applyProtection="1">
      <alignment horizontal="center"/>
    </xf>
    <xf numFmtId="2" fontId="14" fillId="0" borderId="0" xfId="0" applyNumberFormat="1" applyFont="1" applyFill="1" applyBorder="1" applyAlignment="1" applyProtection="1">
      <alignment horizontal="center"/>
    </xf>
    <xf numFmtId="0" fontId="49" fillId="0" borderId="8" xfId="4" applyFont="1" applyBorder="1" applyAlignment="1" applyProtection="1">
      <alignment horizontal="center" wrapText="1"/>
    </xf>
    <xf numFmtId="0" fontId="14" fillId="0" borderId="0" xfId="0" applyFont="1" applyBorder="1" applyAlignment="1" applyProtection="1">
      <alignment horizontal="center"/>
      <protection locked="0"/>
    </xf>
    <xf numFmtId="0" fontId="14" fillId="4" borderId="0" xfId="0" applyFont="1" applyFill="1" applyBorder="1" applyAlignment="1" applyProtection="1">
      <alignment horizontal="center"/>
      <protection locked="0"/>
    </xf>
    <xf numFmtId="0" fontId="0" fillId="7" borderId="0" xfId="0" applyFill="1"/>
    <xf numFmtId="0" fontId="38" fillId="7" borderId="0" xfId="0" applyFont="1" applyFill="1" applyBorder="1"/>
    <xf numFmtId="0" fontId="59" fillId="0" borderId="0" xfId="0" applyFont="1"/>
    <xf numFmtId="164" fontId="28" fillId="0" borderId="5" xfId="2" applyFont="1" applyBorder="1"/>
    <xf numFmtId="0" fontId="32" fillId="0" borderId="5" xfId="0" applyFont="1" applyBorder="1" applyAlignment="1">
      <alignment horizontal="center" vertical="center" wrapText="1"/>
    </xf>
    <xf numFmtId="0" fontId="0" fillId="8" borderId="0" xfId="0" applyFill="1"/>
    <xf numFmtId="0" fontId="0" fillId="7" borderId="0" xfId="0" applyFill="1" applyBorder="1"/>
    <xf numFmtId="0" fontId="61" fillId="0" borderId="5" xfId="0" applyFont="1" applyBorder="1" applyAlignment="1">
      <alignment horizontal="center"/>
    </xf>
    <xf numFmtId="0" fontId="61" fillId="0" borderId="5" xfId="0" applyFont="1" applyBorder="1"/>
    <xf numFmtId="0" fontId="31" fillId="0" borderId="0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20" fillId="6" borderId="0" xfId="0" applyFont="1" applyFill="1" applyAlignment="1">
      <alignment horizontal="center" wrapText="1"/>
    </xf>
    <xf numFmtId="9" fontId="41" fillId="4" borderId="0" xfId="0" applyNumberFormat="1" applyFont="1" applyFill="1" applyAlignment="1" applyProtection="1">
      <alignment horizontal="center"/>
      <protection locked="0"/>
    </xf>
    <xf numFmtId="0" fontId="63" fillId="6" borderId="14" xfId="0" applyFont="1" applyFill="1" applyBorder="1" applyAlignment="1">
      <alignment horizontal="center"/>
    </xf>
    <xf numFmtId="0" fontId="63" fillId="6" borderId="15" xfId="0" applyFont="1" applyFill="1" applyBorder="1" applyAlignment="1">
      <alignment horizontal="center"/>
    </xf>
    <xf numFmtId="0" fontId="63" fillId="6" borderId="15" xfId="0" applyFont="1" applyFill="1" applyBorder="1" applyAlignment="1">
      <alignment horizontal="center" wrapText="1"/>
    </xf>
    <xf numFmtId="0" fontId="20" fillId="6" borderId="15" xfId="0" applyFont="1" applyFill="1" applyBorder="1" applyAlignment="1">
      <alignment horizontal="center" wrapText="1"/>
    </xf>
    <xf numFmtId="0" fontId="20" fillId="6" borderId="16" xfId="0" applyFont="1" applyFill="1" applyBorder="1" applyAlignment="1">
      <alignment wrapText="1"/>
    </xf>
    <xf numFmtId="0" fontId="62" fillId="0" borderId="5" xfId="0" applyFont="1" applyBorder="1" applyAlignment="1">
      <alignment horizontal="center"/>
    </xf>
    <xf numFmtId="0" fontId="62" fillId="0" borderId="5" xfId="0" applyFont="1" applyBorder="1"/>
    <xf numFmtId="0" fontId="61" fillId="0" borderId="13" xfId="0" applyFont="1" applyBorder="1" applyAlignment="1">
      <alignment horizontal="center"/>
    </xf>
    <xf numFmtId="9" fontId="61" fillId="0" borderId="13" xfId="6" applyNumberFormat="1" applyFont="1" applyBorder="1" applyAlignment="1">
      <alignment horizontal="center"/>
    </xf>
    <xf numFmtId="9" fontId="61" fillId="0" borderId="13" xfId="0" applyNumberFormat="1" applyFont="1" applyBorder="1" applyAlignment="1">
      <alignment horizontal="center"/>
    </xf>
    <xf numFmtId="14" fontId="61" fillId="0" borderId="13" xfId="0" applyNumberFormat="1" applyFont="1" applyBorder="1" applyAlignment="1">
      <alignment horizontal="center"/>
    </xf>
    <xf numFmtId="9" fontId="61" fillId="0" borderId="5" xfId="6" applyNumberFormat="1" applyFont="1" applyBorder="1" applyAlignment="1">
      <alignment horizontal="center"/>
    </xf>
    <xf numFmtId="14" fontId="61" fillId="0" borderId="5" xfId="0" applyNumberFormat="1" applyFont="1" applyBorder="1" applyAlignment="1">
      <alignment horizontal="center"/>
    </xf>
    <xf numFmtId="9" fontId="61" fillId="0" borderId="5" xfId="6" applyFont="1" applyBorder="1" applyAlignment="1">
      <alignment horizontal="center"/>
    </xf>
    <xf numFmtId="9" fontId="64" fillId="7" borderId="0" xfId="1" applyNumberFormat="1" applyFont="1" applyFill="1" applyBorder="1" applyAlignment="1" applyProtection="1">
      <alignment horizontal="center"/>
      <protection locked="0"/>
    </xf>
    <xf numFmtId="168" fontId="11" fillId="0" borderId="0" xfId="0" applyNumberFormat="1" applyFont="1" applyAlignment="1">
      <alignment horizontal="center"/>
    </xf>
    <xf numFmtId="164" fontId="0" fillId="0" borderId="0" xfId="2" applyFont="1"/>
    <xf numFmtId="0" fontId="31" fillId="0" borderId="2" xfId="0" applyFont="1" applyBorder="1" applyAlignment="1">
      <alignment horizontal="center"/>
    </xf>
    <xf numFmtId="0" fontId="31" fillId="0" borderId="18" xfId="0" applyFont="1" applyBorder="1" applyAlignment="1">
      <alignment horizontal="center"/>
    </xf>
    <xf numFmtId="10" fontId="65" fillId="0" borderId="0" xfId="6" applyNumberFormat="1" applyFont="1" applyAlignment="1">
      <alignment horizontal="center"/>
    </xf>
    <xf numFmtId="0" fontId="30" fillId="4" borderId="20" xfId="0" applyFont="1" applyFill="1" applyBorder="1"/>
    <xf numFmtId="0" fontId="30" fillId="4" borderId="23" xfId="0" applyFont="1" applyFill="1" applyBorder="1"/>
    <xf numFmtId="0" fontId="20" fillId="0" borderId="25" xfId="0" applyFont="1" applyBorder="1"/>
    <xf numFmtId="2" fontId="61" fillId="0" borderId="13" xfId="0" applyNumberFormat="1" applyFont="1" applyBorder="1"/>
    <xf numFmtId="2" fontId="0" fillId="0" borderId="26" xfId="0" applyNumberFormat="1" applyBorder="1"/>
    <xf numFmtId="164" fontId="28" fillId="0" borderId="8" xfId="2" applyFont="1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21" xfId="0" applyBorder="1"/>
    <xf numFmtId="0" fontId="0" fillId="0" borderId="23" xfId="0" applyBorder="1"/>
    <xf numFmtId="0" fontId="42" fillId="4" borderId="0" xfId="0" applyFont="1" applyFill="1" applyBorder="1" applyAlignment="1" applyProtection="1">
      <alignment horizontal="left"/>
      <protection locked="0"/>
    </xf>
    <xf numFmtId="0" fontId="0" fillId="0" borderId="24" xfId="0" applyBorder="1"/>
    <xf numFmtId="0" fontId="0" fillId="4" borderId="24" xfId="0" applyFill="1" applyBorder="1"/>
    <xf numFmtId="0" fontId="0" fillId="6" borderId="24" xfId="0" applyFill="1" applyBorder="1"/>
    <xf numFmtId="0" fontId="0" fillId="7" borderId="24" xfId="0" applyFill="1" applyBorder="1"/>
    <xf numFmtId="0" fontId="18" fillId="2" borderId="5" xfId="0" applyFont="1" applyFill="1" applyBorder="1" applyAlignment="1" applyProtection="1">
      <alignment horizontal="center"/>
    </xf>
    <xf numFmtId="0" fontId="11" fillId="0" borderId="8" xfId="0" applyFont="1" applyBorder="1"/>
    <xf numFmtId="0" fontId="10" fillId="0" borderId="1" xfId="0" applyFont="1" applyBorder="1" applyAlignment="1" applyProtection="1">
      <alignment horizontal="left"/>
    </xf>
    <xf numFmtId="0" fontId="19" fillId="0" borderId="1" xfId="0" applyFont="1" applyBorder="1" applyProtection="1"/>
    <xf numFmtId="0" fontId="19" fillId="0" borderId="2" xfId="0" applyFont="1" applyBorder="1" applyProtection="1"/>
    <xf numFmtId="0" fontId="10" fillId="0" borderId="0" xfId="0" applyFont="1" applyBorder="1" applyAlignment="1">
      <alignment horizontal="center"/>
    </xf>
    <xf numFmtId="0" fontId="12" fillId="8" borderId="8" xfId="0" applyFont="1" applyFill="1" applyBorder="1" applyAlignment="1" applyProtection="1">
      <alignment horizontal="center"/>
    </xf>
    <xf numFmtId="0" fontId="16" fillId="8" borderId="0" xfId="0" applyFont="1" applyFill="1" applyBorder="1" applyProtection="1"/>
    <xf numFmtId="14" fontId="21" fillId="8" borderId="0" xfId="0" applyNumberFormat="1" applyFont="1" applyFill="1" applyBorder="1" applyAlignment="1" applyProtection="1">
      <alignment horizontal="center"/>
      <protection locked="0"/>
    </xf>
    <xf numFmtId="0" fontId="10" fillId="8" borderId="0" xfId="0" applyFont="1" applyFill="1" applyBorder="1" applyAlignment="1">
      <alignment horizontal="center"/>
    </xf>
    <xf numFmtId="0" fontId="23" fillId="8" borderId="0" xfId="0" applyFont="1" applyFill="1" applyBorder="1" applyAlignment="1">
      <alignment horizontal="center"/>
    </xf>
    <xf numFmtId="0" fontId="0" fillId="8" borderId="0" xfId="0" applyFill="1" applyProtection="1"/>
    <xf numFmtId="0" fontId="0" fillId="7" borderId="0" xfId="0" applyFill="1" applyProtection="1"/>
    <xf numFmtId="0" fontId="10" fillId="7" borderId="0" xfId="0" applyFont="1" applyFill="1" applyProtection="1"/>
    <xf numFmtId="164" fontId="10" fillId="7" borderId="0" xfId="0" applyNumberFormat="1" applyFont="1" applyFill="1" applyAlignment="1" applyProtection="1">
      <alignment horizontal="left"/>
    </xf>
    <xf numFmtId="164" fontId="17" fillId="7" borderId="0" xfId="0" applyNumberFormat="1" applyFont="1" applyFill="1" applyBorder="1" applyAlignment="1" applyProtection="1">
      <alignment horizontal="center"/>
    </xf>
    <xf numFmtId="9" fontId="15" fillId="7" borderId="0" xfId="0" applyNumberFormat="1" applyFont="1" applyFill="1" applyBorder="1" applyAlignment="1" applyProtection="1">
      <alignment horizontal="center"/>
    </xf>
    <xf numFmtId="9" fontId="15" fillId="7" borderId="0" xfId="6" applyFont="1" applyFill="1" applyBorder="1" applyAlignment="1" applyProtection="1">
      <alignment horizontal="center"/>
    </xf>
    <xf numFmtId="0" fontId="15" fillId="7" borderId="0" xfId="0" applyFont="1" applyFill="1" applyBorder="1" applyAlignment="1" applyProtection="1">
      <alignment horizontal="center"/>
      <protection locked="0"/>
    </xf>
    <xf numFmtId="0" fontId="15" fillId="7" borderId="0" xfId="0" applyFont="1" applyFill="1" applyBorder="1" applyAlignment="1" applyProtection="1">
      <alignment horizontal="center"/>
    </xf>
    <xf numFmtId="0" fontId="25" fillId="7" borderId="0" xfId="0" applyFont="1" applyFill="1" applyBorder="1" applyAlignment="1" applyProtection="1">
      <alignment horizontal="center"/>
    </xf>
    <xf numFmtId="0" fontId="23" fillId="7" borderId="0" xfId="0" applyFont="1" applyFill="1" applyBorder="1" applyAlignment="1" applyProtection="1">
      <alignment horizontal="center"/>
      <protection locked="0"/>
    </xf>
    <xf numFmtId="9" fontId="24" fillId="0" borderId="0" xfId="6" applyFont="1" applyBorder="1" applyAlignment="1" applyProtection="1">
      <alignment horizontal="center"/>
      <protection hidden="1"/>
    </xf>
    <xf numFmtId="164" fontId="13" fillId="7" borderId="0" xfId="0" applyNumberFormat="1" applyFont="1" applyFill="1" applyBorder="1" applyProtection="1"/>
    <xf numFmtId="0" fontId="14" fillId="7" borderId="0" xfId="0" applyFont="1" applyFill="1" applyBorder="1" applyAlignment="1" applyProtection="1">
      <alignment horizontal="center"/>
    </xf>
    <xf numFmtId="1" fontId="25" fillId="7" borderId="0" xfId="0" applyNumberFormat="1" applyFont="1" applyFill="1" applyBorder="1" applyAlignment="1" applyProtection="1">
      <alignment horizontal="center"/>
    </xf>
    <xf numFmtId="10" fontId="25" fillId="7" borderId="0" xfId="6" applyNumberFormat="1" applyFont="1" applyFill="1" applyBorder="1" applyAlignment="1" applyProtection="1">
      <alignment horizontal="center"/>
    </xf>
    <xf numFmtId="49" fontId="10" fillId="0" borderId="0" xfId="0" applyNumberFormat="1" applyFont="1" applyBorder="1" applyAlignment="1" applyProtection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4" fillId="0" borderId="0" xfId="0" applyFont="1" applyBorder="1" applyAlignment="1" applyProtection="1">
      <alignment horizontal="center" vertical="center"/>
      <protection locked="0"/>
    </xf>
    <xf numFmtId="3" fontId="0" fillId="0" borderId="0" xfId="0" applyNumberFormat="1" applyBorder="1"/>
    <xf numFmtId="0" fontId="14" fillId="0" borderId="0" xfId="0" applyFont="1" applyFill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wrapText="1"/>
    </xf>
    <xf numFmtId="0" fontId="18" fillId="0" borderId="0" xfId="0" applyFont="1" applyBorder="1" applyAlignment="1" applyProtection="1">
      <alignment horizontal="center"/>
    </xf>
    <xf numFmtId="9" fontId="25" fillId="0" borderId="0" xfId="6" applyFont="1" applyBorder="1" applyAlignment="1" applyProtection="1">
      <alignment horizontal="center"/>
    </xf>
    <xf numFmtId="169" fontId="25" fillId="0" borderId="0" xfId="6" applyNumberFormat="1" applyFont="1" applyBorder="1" applyAlignment="1" applyProtection="1">
      <alignment horizontal="center"/>
    </xf>
    <xf numFmtId="0" fontId="14" fillId="0" borderId="0" xfId="0" applyFont="1" applyBorder="1" applyAlignment="1" applyProtection="1">
      <alignment horizontal="center" vertical="center"/>
    </xf>
    <xf numFmtId="0" fontId="13" fillId="8" borderId="6" xfId="0" applyFont="1" applyFill="1" applyBorder="1" applyAlignment="1" applyProtection="1"/>
    <xf numFmtId="0" fontId="13" fillId="8" borderId="0" xfId="0" applyFont="1" applyFill="1" applyBorder="1" applyAlignment="1" applyProtection="1"/>
    <xf numFmtId="0" fontId="13" fillId="7" borderId="0" xfId="0" applyFont="1" applyFill="1" applyBorder="1" applyAlignment="1" applyProtection="1"/>
    <xf numFmtId="0" fontId="13" fillId="7" borderId="34" xfId="0" applyFont="1" applyFill="1" applyBorder="1" applyAlignment="1" applyProtection="1"/>
    <xf numFmtId="0" fontId="13" fillId="7" borderId="0" xfId="0" applyFont="1" applyFill="1" applyBorder="1" applyAlignment="1" applyProtection="1">
      <alignment horizontal="center"/>
    </xf>
    <xf numFmtId="0" fontId="10" fillId="7" borderId="0" xfId="0" applyFont="1" applyFill="1" applyBorder="1" applyAlignment="1" applyProtection="1">
      <alignment horizontal="center"/>
    </xf>
    <xf numFmtId="0" fontId="67" fillId="0" borderId="5" xfId="0" applyFont="1" applyBorder="1" applyAlignment="1">
      <alignment horizontal="center"/>
    </xf>
    <xf numFmtId="0" fontId="68" fillId="9" borderId="0" xfId="0" applyFont="1" applyFill="1" applyBorder="1" applyAlignment="1">
      <alignment horizontal="center"/>
    </xf>
    <xf numFmtId="0" fontId="11" fillId="4" borderId="0" xfId="0" applyFont="1" applyFill="1" applyBorder="1"/>
    <xf numFmtId="0" fontId="0" fillId="0" borderId="0" xfId="0" applyBorder="1" applyAlignment="1">
      <alignment horizontal="center"/>
    </xf>
    <xf numFmtId="0" fontId="30" fillId="0" borderId="0" xfId="0" applyFont="1" applyBorder="1" applyAlignment="1"/>
    <xf numFmtId="0" fontId="31" fillId="0" borderId="5" xfId="0" applyFont="1" applyBorder="1" applyAlignment="1">
      <alignment horizontal="center"/>
    </xf>
    <xf numFmtId="0" fontId="32" fillId="0" borderId="8" xfId="0" applyFont="1" applyBorder="1" applyAlignment="1">
      <alignment horizontal="center" vertical="center" wrapText="1"/>
    </xf>
    <xf numFmtId="9" fontId="28" fillId="0" borderId="5" xfId="6" applyNumberFormat="1" applyFont="1" applyBorder="1" applyAlignment="1">
      <alignment horizontal="center"/>
    </xf>
    <xf numFmtId="164" fontId="28" fillId="0" borderId="5" xfId="2" applyNumberFormat="1" applyFont="1" applyBorder="1" applyAlignment="1">
      <alignment horizontal="center"/>
    </xf>
    <xf numFmtId="164" fontId="36" fillId="3" borderId="5" xfId="2" applyFont="1" applyFill="1" applyBorder="1"/>
    <xf numFmtId="9" fontId="36" fillId="3" borderId="5" xfId="0" applyNumberFormat="1" applyFont="1" applyFill="1" applyBorder="1" applyAlignment="1">
      <alignment horizontal="center"/>
    </xf>
    <xf numFmtId="0" fontId="34" fillId="3" borderId="5" xfId="0" applyFont="1" applyFill="1" applyBorder="1" applyAlignment="1">
      <alignment horizontal="center"/>
    </xf>
    <xf numFmtId="0" fontId="60" fillId="9" borderId="5" xfId="0" applyFont="1" applyFill="1" applyBorder="1" applyAlignment="1">
      <alignment horizontal="center"/>
    </xf>
    <xf numFmtId="44" fontId="60" fillId="9" borderId="5" xfId="0" applyNumberFormat="1" applyFont="1" applyFill="1" applyBorder="1" applyAlignment="1">
      <alignment horizontal="center"/>
    </xf>
    <xf numFmtId="0" fontId="31" fillId="11" borderId="5" xfId="0" applyFont="1" applyFill="1" applyBorder="1" applyAlignment="1">
      <alignment horizontal="center" wrapText="1"/>
    </xf>
    <xf numFmtId="9" fontId="28" fillId="11" borderId="5" xfId="0" applyNumberFormat="1" applyFont="1" applyFill="1" applyBorder="1"/>
    <xf numFmtId="2" fontId="28" fillId="11" borderId="5" xfId="0" applyNumberFormat="1" applyFont="1" applyFill="1" applyBorder="1"/>
    <xf numFmtId="44" fontId="28" fillId="11" borderId="5" xfId="0" applyNumberFormat="1" applyFont="1" applyFill="1" applyBorder="1"/>
    <xf numFmtId="0" fontId="27" fillId="4" borderId="26" xfId="0" applyFont="1" applyFill="1" applyBorder="1"/>
    <xf numFmtId="0" fontId="0" fillId="0" borderId="20" xfId="0" applyBorder="1"/>
    <xf numFmtId="0" fontId="0" fillId="0" borderId="22" xfId="0" applyBorder="1"/>
    <xf numFmtId="0" fontId="20" fillId="0" borderId="23" xfId="0" applyFont="1" applyBorder="1"/>
    <xf numFmtId="0" fontId="0" fillId="0" borderId="7" xfId="0" applyBorder="1"/>
    <xf numFmtId="0" fontId="0" fillId="0" borderId="12" xfId="0" applyBorder="1"/>
    <xf numFmtId="0" fontId="0" fillId="0" borderId="35" xfId="0" applyBorder="1"/>
    <xf numFmtId="0" fontId="11" fillId="0" borderId="26" xfId="0" applyFont="1" applyBorder="1" applyAlignment="1">
      <alignment vertical="center"/>
    </xf>
    <xf numFmtId="164" fontId="11" fillId="0" borderId="5" xfId="2" applyFont="1" applyBorder="1" applyAlignment="1">
      <alignment vertical="center"/>
    </xf>
    <xf numFmtId="164" fontId="36" fillId="3" borderId="5" xfId="0" applyNumberFormat="1" applyFont="1" applyFill="1" applyBorder="1" applyAlignment="1">
      <alignment horizontal="center"/>
    </xf>
    <xf numFmtId="0" fontId="0" fillId="0" borderId="0" xfId="0" applyFill="1" applyBorder="1"/>
    <xf numFmtId="0" fontId="15" fillId="0" borderId="0" xfId="0" applyFont="1" applyFill="1" applyBorder="1" applyAlignment="1" applyProtection="1">
      <alignment horizontal="center"/>
    </xf>
    <xf numFmtId="0" fontId="26" fillId="0" borderId="0" xfId="0" applyFont="1" applyFill="1" applyBorder="1" applyAlignment="1" applyProtection="1">
      <alignment horizontal="center" vertical="center"/>
    </xf>
    <xf numFmtId="0" fontId="12" fillId="0" borderId="0" xfId="0" applyFont="1" applyFill="1" applyBorder="1" applyAlignment="1" applyProtection="1">
      <alignment horizontal="center"/>
    </xf>
    <xf numFmtId="166" fontId="23" fillId="0" borderId="5" xfId="0" applyNumberFormat="1" applyFont="1" applyBorder="1" applyAlignment="1" applyProtection="1">
      <alignment horizontal="center" vertical="center" wrapText="1"/>
    </xf>
    <xf numFmtId="0" fontId="59" fillId="7" borderId="26" xfId="0" applyFont="1" applyFill="1" applyBorder="1"/>
    <xf numFmtId="167" fontId="59" fillId="7" borderId="19" xfId="0" applyNumberFormat="1" applyFont="1" applyFill="1" applyBorder="1"/>
    <xf numFmtId="0" fontId="27" fillId="7" borderId="41" xfId="0" applyFont="1" applyFill="1" applyBorder="1" applyAlignment="1"/>
    <xf numFmtId="0" fontId="61" fillId="4" borderId="0" xfId="0" applyFont="1" applyFill="1" applyBorder="1" applyAlignment="1">
      <alignment horizontal="right"/>
    </xf>
    <xf numFmtId="0" fontId="69" fillId="4" borderId="0" xfId="0" applyFont="1" applyFill="1" applyBorder="1" applyAlignment="1"/>
    <xf numFmtId="0" fontId="54" fillId="0" borderId="0" xfId="0" applyFont="1" applyBorder="1" applyAlignment="1" applyProtection="1">
      <alignment horizontal="left" vertical="top"/>
      <protection locked="0"/>
    </xf>
    <xf numFmtId="0" fontId="54" fillId="0" borderId="0" xfId="0" applyFont="1" applyBorder="1" applyAlignment="1" applyProtection="1">
      <alignment horizontal="center" vertical="top"/>
      <protection locked="0"/>
    </xf>
    <xf numFmtId="0" fontId="70" fillId="0" borderId="0" xfId="0" applyFont="1" applyBorder="1" applyAlignment="1" applyProtection="1">
      <alignment horizontal="center" vertical="top"/>
      <protection locked="0"/>
    </xf>
    <xf numFmtId="0" fontId="71" fillId="0" borderId="5" xfId="0" applyFont="1" applyBorder="1" applyAlignment="1" applyProtection="1">
      <alignment horizontal="center" vertical="center" wrapText="1"/>
    </xf>
    <xf numFmtId="9" fontId="43" fillId="7" borderId="0" xfId="0" applyNumberFormat="1" applyFont="1" applyFill="1" applyBorder="1" applyAlignment="1">
      <alignment horizontal="center"/>
    </xf>
    <xf numFmtId="9" fontId="43" fillId="6" borderId="0" xfId="0" applyNumberFormat="1" applyFont="1" applyFill="1" applyBorder="1" applyAlignment="1">
      <alignment horizontal="center"/>
    </xf>
    <xf numFmtId="0" fontId="11" fillId="11" borderId="1" xfId="0" applyFont="1" applyFill="1" applyBorder="1"/>
    <xf numFmtId="0" fontId="11" fillId="11" borderId="2" xfId="0" applyFont="1" applyFill="1" applyBorder="1"/>
    <xf numFmtId="0" fontId="11" fillId="11" borderId="17" xfId="0" applyFont="1" applyFill="1" applyBorder="1"/>
    <xf numFmtId="0" fontId="10" fillId="2" borderId="17" xfId="0" applyFont="1" applyFill="1" applyBorder="1" applyProtection="1"/>
    <xf numFmtId="0" fontId="16" fillId="0" borderId="35" xfId="0" applyFont="1" applyBorder="1" applyProtection="1"/>
    <xf numFmtId="0" fontId="16" fillId="2" borderId="18" xfId="0" applyFont="1" applyFill="1" applyBorder="1" applyAlignment="1" applyProtection="1"/>
    <xf numFmtId="0" fontId="16" fillId="2" borderId="37" xfId="0" applyFont="1" applyFill="1" applyBorder="1" applyAlignment="1" applyProtection="1"/>
    <xf numFmtId="0" fontId="16" fillId="8" borderId="28" xfId="0" applyFont="1" applyFill="1" applyBorder="1" applyAlignment="1" applyProtection="1"/>
    <xf numFmtId="0" fontId="0" fillId="8" borderId="42" xfId="0" applyFill="1" applyBorder="1"/>
    <xf numFmtId="0" fontId="0" fillId="8" borderId="33" xfId="0" applyFill="1" applyBorder="1"/>
    <xf numFmtId="0" fontId="10" fillId="8" borderId="33" xfId="0" applyFont="1" applyFill="1" applyBorder="1" applyAlignment="1">
      <alignment horizontal="center"/>
    </xf>
    <xf numFmtId="0" fontId="23" fillId="8" borderId="29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right"/>
    </xf>
    <xf numFmtId="9" fontId="15" fillId="7" borderId="3" xfId="0" applyNumberFormat="1" applyFont="1" applyFill="1" applyBorder="1" applyAlignment="1" applyProtection="1">
      <alignment horizontal="center"/>
    </xf>
    <xf numFmtId="9" fontId="15" fillId="7" borderId="4" xfId="6" applyFont="1" applyFill="1" applyBorder="1" applyAlignment="1" applyProtection="1">
      <alignment horizontal="center"/>
    </xf>
    <xf numFmtId="0" fontId="31" fillId="10" borderId="18" xfId="0" applyFont="1" applyFill="1" applyBorder="1" applyAlignment="1">
      <alignment horizontal="center"/>
    </xf>
    <xf numFmtId="0" fontId="31" fillId="10" borderId="37" xfId="0" applyFont="1" applyFill="1" applyBorder="1" applyAlignment="1">
      <alignment horizontal="center"/>
    </xf>
    <xf numFmtId="0" fontId="31" fillId="10" borderId="28" xfId="0" applyFont="1" applyFill="1" applyBorder="1" applyAlignment="1">
      <alignment horizontal="center"/>
    </xf>
    <xf numFmtId="0" fontId="31" fillId="11" borderId="42" xfId="0" applyFont="1" applyFill="1" applyBorder="1" applyAlignment="1"/>
    <xf numFmtId="0" fontId="31" fillId="11" borderId="33" xfId="0" applyFont="1" applyFill="1" applyBorder="1" applyAlignment="1"/>
    <xf numFmtId="44" fontId="31" fillId="11" borderId="29" xfId="0" applyNumberFormat="1" applyFont="1" applyFill="1" applyBorder="1" applyAlignment="1"/>
    <xf numFmtId="0" fontId="23" fillId="0" borderId="5" xfId="0" applyFont="1" applyFill="1" applyBorder="1" applyAlignment="1" applyProtection="1">
      <alignment horizontal="center" vertical="center" wrapText="1"/>
    </xf>
    <xf numFmtId="0" fontId="28" fillId="0" borderId="5" xfId="0" applyFont="1" applyFill="1" applyBorder="1" applyAlignment="1">
      <alignment horizontal="center" wrapText="1"/>
    </xf>
    <xf numFmtId="4" fontId="15" fillId="0" borderId="4" xfId="0" applyNumberFormat="1" applyFont="1" applyFill="1" applyBorder="1" applyAlignment="1" applyProtection="1">
      <alignment horizontal="center"/>
    </xf>
    <xf numFmtId="4" fontId="15" fillId="7" borderId="4" xfId="0" applyNumberFormat="1" applyFont="1" applyFill="1" applyBorder="1" applyAlignment="1" applyProtection="1">
      <alignment horizontal="center"/>
    </xf>
    <xf numFmtId="9" fontId="15" fillId="0" borderId="3" xfId="0" applyNumberFormat="1" applyFont="1" applyFill="1" applyBorder="1" applyAlignment="1" applyProtection="1">
      <alignment horizontal="center"/>
    </xf>
    <xf numFmtId="9" fontId="15" fillId="0" borderId="4" xfId="6" applyFont="1" applyFill="1" applyBorder="1" applyAlignment="1" applyProtection="1">
      <alignment horizontal="center"/>
    </xf>
    <xf numFmtId="2" fontId="25" fillId="0" borderId="4" xfId="0" applyNumberFormat="1" applyFont="1" applyFill="1" applyBorder="1" applyAlignment="1" applyProtection="1">
      <alignment horizontal="center"/>
    </xf>
    <xf numFmtId="0" fontId="28" fillId="0" borderId="5" xfId="0" applyFont="1" applyBorder="1" applyAlignment="1">
      <alignment horizontal="left" wrapText="1"/>
    </xf>
    <xf numFmtId="0" fontId="28" fillId="0" borderId="5" xfId="0" applyFont="1" applyBorder="1" applyAlignment="1">
      <alignment wrapText="1"/>
    </xf>
    <xf numFmtId="0" fontId="28" fillId="0" borderId="5" xfId="0" applyFont="1" applyBorder="1"/>
    <xf numFmtId="0" fontId="66" fillId="4" borderId="7" xfId="0" applyFont="1" applyFill="1" applyBorder="1" applyAlignment="1">
      <alignment horizontal="left"/>
    </xf>
    <xf numFmtId="0" fontId="18" fillId="14" borderId="5" xfId="0" applyFont="1" applyFill="1" applyBorder="1" applyAlignment="1" applyProtection="1">
      <alignment horizontal="center"/>
    </xf>
    <xf numFmtId="0" fontId="18" fillId="14" borderId="9" xfId="0" applyFont="1" applyFill="1" applyBorder="1" applyAlignment="1" applyProtection="1">
      <alignment horizontal="center"/>
    </xf>
    <xf numFmtId="0" fontId="81" fillId="0" borderId="5" xfId="0" applyFont="1" applyBorder="1" applyAlignment="1" applyProtection="1">
      <alignment horizontal="center"/>
    </xf>
    <xf numFmtId="1" fontId="81" fillId="0" borderId="5" xfId="6" applyNumberFormat="1" applyFont="1" applyBorder="1" applyAlignment="1" applyProtection="1">
      <alignment horizontal="center"/>
    </xf>
    <xf numFmtId="10" fontId="81" fillId="0" borderId="9" xfId="6" applyNumberFormat="1" applyFont="1" applyBorder="1" applyAlignment="1" applyProtection="1">
      <alignment horizontal="center"/>
    </xf>
    <xf numFmtId="0" fontId="11" fillId="4" borderId="41" xfId="0" applyFont="1" applyFill="1" applyBorder="1" applyAlignment="1">
      <alignment horizontal="center"/>
    </xf>
    <xf numFmtId="0" fontId="80" fillId="4" borderId="0" xfId="0" applyFont="1" applyFill="1" applyBorder="1" applyAlignment="1"/>
    <xf numFmtId="0" fontId="29" fillId="7" borderId="0" xfId="0" applyFont="1" applyFill="1" applyBorder="1" applyAlignment="1">
      <alignment horizontal="center"/>
    </xf>
    <xf numFmtId="0" fontId="29" fillId="6" borderId="0" xfId="0" applyFont="1" applyFill="1" applyBorder="1" applyAlignment="1">
      <alignment horizontal="center"/>
    </xf>
    <xf numFmtId="0" fontId="43" fillId="6" borderId="0" xfId="0" applyFont="1" applyFill="1" applyBorder="1" applyAlignment="1">
      <alignment horizontal="center"/>
    </xf>
    <xf numFmtId="0" fontId="43" fillId="7" borderId="0" xfId="0" applyFont="1" applyFill="1" applyBorder="1" applyAlignment="1">
      <alignment horizontal="center"/>
    </xf>
    <xf numFmtId="0" fontId="50" fillId="4" borderId="0" xfId="0" applyFont="1" applyFill="1" applyBorder="1" applyAlignment="1">
      <alignment horizontal="center"/>
    </xf>
    <xf numFmtId="0" fontId="37" fillId="6" borderId="0" xfId="0" applyFont="1" applyFill="1" applyBorder="1" applyAlignment="1" applyProtection="1">
      <alignment horizontal="left"/>
    </xf>
    <xf numFmtId="0" fontId="37" fillId="7" borderId="0" xfId="0" applyFont="1" applyFill="1" applyBorder="1" applyAlignment="1" applyProtection="1">
      <alignment horizontal="left"/>
    </xf>
    <xf numFmtId="15" fontId="41" fillId="4" borderId="21" xfId="0" applyNumberFormat="1" applyFont="1" applyFill="1" applyBorder="1" applyAlignment="1">
      <alignment horizontal="left"/>
    </xf>
    <xf numFmtId="0" fontId="33" fillId="4" borderId="23" xfId="0" applyFont="1" applyFill="1" applyBorder="1" applyAlignment="1">
      <alignment horizontal="left"/>
    </xf>
    <xf numFmtId="0" fontId="33" fillId="4" borderId="0" xfId="0" applyFont="1" applyFill="1" applyBorder="1" applyAlignment="1">
      <alignment horizontal="left"/>
    </xf>
    <xf numFmtId="0" fontId="81" fillId="0" borderId="8" xfId="0" applyFont="1" applyBorder="1" applyAlignment="1" applyProtection="1">
      <alignment horizontal="center"/>
    </xf>
    <xf numFmtId="1" fontId="81" fillId="0" borderId="8" xfId="6" applyNumberFormat="1" applyFont="1" applyBorder="1" applyAlignment="1" applyProtection="1">
      <alignment horizontal="center"/>
    </xf>
    <xf numFmtId="0" fontId="79" fillId="0" borderId="16" xfId="0" applyFont="1" applyBorder="1" applyAlignment="1" applyProtection="1">
      <alignment horizontal="center"/>
    </xf>
    <xf numFmtId="10" fontId="77" fillId="0" borderId="16" xfId="6" applyNumberFormat="1" applyFont="1" applyBorder="1" applyAlignment="1" applyProtection="1">
      <alignment horizontal="center"/>
    </xf>
    <xf numFmtId="0" fontId="55" fillId="2" borderId="10" xfId="0" applyFont="1" applyFill="1" applyBorder="1" applyAlignment="1" applyProtection="1">
      <alignment vertical="center" wrapText="1"/>
    </xf>
    <xf numFmtId="10" fontId="81" fillId="0" borderId="5" xfId="6" applyNumberFormat="1" applyFont="1" applyBorder="1" applyAlignment="1" applyProtection="1">
      <alignment horizontal="center"/>
    </xf>
    <xf numFmtId="15" fontId="40" fillId="4" borderId="21" xfId="0" applyNumberFormat="1" applyFont="1" applyFill="1" applyBorder="1" applyAlignment="1">
      <alignment horizontal="left"/>
    </xf>
    <xf numFmtId="0" fontId="76" fillId="4" borderId="41" xfId="0" applyFont="1" applyFill="1" applyBorder="1" applyAlignment="1">
      <alignment horizontal="right"/>
    </xf>
    <xf numFmtId="0" fontId="55" fillId="4" borderId="0" xfId="0" applyFont="1" applyFill="1" applyBorder="1" applyAlignment="1">
      <alignment horizontal="center"/>
    </xf>
    <xf numFmtId="0" fontId="76" fillId="7" borderId="41" xfId="0" applyFont="1" applyFill="1" applyBorder="1"/>
    <xf numFmtId="0" fontId="11" fillId="4" borderId="41" xfId="0" applyFont="1" applyFill="1" applyBorder="1"/>
    <xf numFmtId="0" fontId="73" fillId="0" borderId="41" xfId="0" applyFont="1" applyBorder="1" applyAlignment="1">
      <alignment vertical="center"/>
    </xf>
    <xf numFmtId="0" fontId="76" fillId="7" borderId="26" xfId="0" applyFont="1" applyFill="1" applyBorder="1"/>
    <xf numFmtId="0" fontId="61" fillId="4" borderId="22" xfId="0" applyFont="1" applyFill="1" applyBorder="1" applyAlignment="1">
      <alignment horizontal="right"/>
    </xf>
    <xf numFmtId="0" fontId="61" fillId="4" borderId="24" xfId="0" applyFont="1" applyFill="1" applyBorder="1" applyAlignment="1">
      <alignment horizontal="right"/>
    </xf>
    <xf numFmtId="0" fontId="61" fillId="4" borderId="24" xfId="0" applyFont="1" applyFill="1" applyBorder="1" applyAlignment="1"/>
    <xf numFmtId="0" fontId="61" fillId="4" borderId="35" xfId="0" applyFont="1" applyFill="1" applyBorder="1" applyAlignment="1">
      <alignment horizontal="right"/>
    </xf>
    <xf numFmtId="0" fontId="61" fillId="4" borderId="21" xfId="0" applyFont="1" applyFill="1" applyBorder="1" applyAlignment="1">
      <alignment horizontal="right"/>
    </xf>
    <xf numFmtId="0" fontId="61" fillId="4" borderId="12" xfId="0" applyFont="1" applyFill="1" applyBorder="1" applyAlignment="1">
      <alignment horizontal="right"/>
    </xf>
    <xf numFmtId="0" fontId="18" fillId="2" borderId="5" xfId="13" applyFont="1" applyFill="1" applyBorder="1" applyAlignment="1" applyProtection="1">
      <alignment vertical="center" wrapText="1"/>
    </xf>
    <xf numFmtId="0" fontId="18" fillId="2" borderId="11" xfId="13" applyFont="1" applyFill="1" applyBorder="1" applyAlignment="1" applyProtection="1">
      <alignment vertical="center" wrapText="1"/>
    </xf>
    <xf numFmtId="0" fontId="11" fillId="0" borderId="0" xfId="0" applyFont="1" applyBorder="1" applyAlignment="1">
      <alignment horizontal="left" indent="1"/>
    </xf>
    <xf numFmtId="0" fontId="11" fillId="0" borderId="24" xfId="0" applyFont="1" applyBorder="1" applyAlignment="1">
      <alignment horizontal="left" indent="1"/>
    </xf>
    <xf numFmtId="15" fontId="41" fillId="4" borderId="20" xfId="0" applyNumberFormat="1" applyFont="1" applyFill="1" applyBorder="1" applyAlignment="1">
      <alignment horizontal="center" wrapText="1"/>
    </xf>
    <xf numFmtId="0" fontId="48" fillId="0" borderId="0" xfId="0" applyFont="1" applyBorder="1" applyAlignment="1">
      <alignment horizontal="left"/>
    </xf>
    <xf numFmtId="0" fontId="28" fillId="7" borderId="0" xfId="0" applyFont="1" applyFill="1" applyBorder="1" applyAlignment="1">
      <alignment horizontal="center"/>
    </xf>
    <xf numFmtId="0" fontId="83" fillId="17" borderId="5" xfId="13" applyFont="1" applyFill="1" applyBorder="1" applyAlignment="1" applyProtection="1">
      <alignment vertical="center" wrapText="1"/>
    </xf>
    <xf numFmtId="0" fontId="55" fillId="7" borderId="5" xfId="0" applyFont="1" applyFill="1" applyBorder="1" applyAlignment="1" applyProtection="1">
      <alignment horizontal="center"/>
    </xf>
    <xf numFmtId="0" fontId="55" fillId="0" borderId="5" xfId="0" applyFont="1" applyFill="1" applyBorder="1" applyAlignment="1" applyProtection="1">
      <alignment horizontal="center" vertical="center"/>
    </xf>
    <xf numFmtId="0" fontId="55" fillId="0" borderId="5" xfId="0" applyFont="1" applyFill="1" applyBorder="1" applyAlignment="1" applyProtection="1">
      <alignment horizontal="center" vertical="center" wrapText="1"/>
    </xf>
    <xf numFmtId="0" fontId="55" fillId="7" borderId="5" xfId="0" applyFont="1" applyFill="1" applyBorder="1" applyAlignment="1" applyProtection="1">
      <alignment horizontal="center" vertical="center" wrapText="1"/>
    </xf>
    <xf numFmtId="0" fontId="66" fillId="4" borderId="38" xfId="0" applyFont="1" applyFill="1" applyBorder="1" applyAlignment="1">
      <alignment horizontal="left"/>
    </xf>
    <xf numFmtId="0" fontId="66" fillId="4" borderId="39" xfId="0" applyFont="1" applyFill="1" applyBorder="1" applyAlignment="1">
      <alignment horizontal="left"/>
    </xf>
    <xf numFmtId="0" fontId="83" fillId="15" borderId="11" xfId="13" applyFont="1" applyFill="1" applyBorder="1" applyAlignment="1" applyProtection="1">
      <alignment vertical="center" wrapText="1"/>
    </xf>
    <xf numFmtId="0" fontId="18" fillId="12" borderId="5" xfId="13" applyFont="1" applyFill="1" applyBorder="1" applyAlignment="1" applyProtection="1">
      <alignment horizontal="center"/>
    </xf>
    <xf numFmtId="0" fontId="72" fillId="12" borderId="5" xfId="13" applyFont="1" applyFill="1" applyBorder="1" applyAlignment="1" applyProtection="1">
      <alignment horizontal="center"/>
    </xf>
    <xf numFmtId="0" fontId="18" fillId="12" borderId="9" xfId="13" applyFont="1" applyFill="1" applyBorder="1" applyAlignment="1" applyProtection="1">
      <alignment horizontal="center"/>
    </xf>
    <xf numFmtId="0" fontId="83" fillId="19" borderId="5" xfId="13" applyFont="1" applyFill="1" applyBorder="1" applyAlignment="1" applyProtection="1">
      <alignment vertical="center" wrapText="1"/>
    </xf>
    <xf numFmtId="0" fontId="18" fillId="13" borderId="5" xfId="13" applyFont="1" applyFill="1" applyBorder="1" applyAlignment="1" applyProtection="1">
      <alignment horizontal="center"/>
    </xf>
    <xf numFmtId="0" fontId="72" fillId="13" borderId="5" xfId="13" applyFont="1" applyFill="1" applyBorder="1" applyAlignment="1" applyProtection="1">
      <alignment horizontal="center"/>
    </xf>
    <xf numFmtId="0" fontId="18" fillId="18" borderId="5" xfId="13" applyFont="1" applyFill="1" applyBorder="1" applyAlignment="1" applyProtection="1">
      <alignment horizontal="center"/>
    </xf>
    <xf numFmtId="0" fontId="72" fillId="18" borderId="5" xfId="13" applyFont="1" applyFill="1" applyBorder="1" applyAlignment="1" applyProtection="1">
      <alignment horizontal="center"/>
    </xf>
    <xf numFmtId="0" fontId="83" fillId="17" borderId="11" xfId="13" applyFont="1" applyFill="1" applyBorder="1" applyAlignment="1" applyProtection="1">
      <alignment vertical="center" wrapText="1"/>
    </xf>
    <xf numFmtId="0" fontId="18" fillId="18" borderId="9" xfId="13" applyFont="1" applyFill="1" applyBorder="1" applyAlignment="1" applyProtection="1">
      <alignment horizontal="center"/>
    </xf>
    <xf numFmtId="0" fontId="66" fillId="0" borderId="38" xfId="0" applyFont="1" applyFill="1" applyBorder="1" applyAlignment="1">
      <alignment horizontal="left"/>
    </xf>
    <xf numFmtId="0" fontId="83" fillId="19" borderId="11" xfId="13" applyFont="1" applyFill="1" applyBorder="1" applyAlignment="1" applyProtection="1">
      <alignment vertical="center" wrapText="1"/>
    </xf>
    <xf numFmtId="0" fontId="18" fillId="13" borderId="9" xfId="13" applyFont="1" applyFill="1" applyBorder="1" applyAlignment="1" applyProtection="1">
      <alignment horizontal="center"/>
    </xf>
    <xf numFmtId="0" fontId="18" fillId="0" borderId="41" xfId="0" applyFont="1" applyBorder="1" applyAlignment="1">
      <alignment horizontal="center" vertical="center" wrapText="1"/>
    </xf>
    <xf numFmtId="0" fontId="48" fillId="0" borderId="0" xfId="0" applyFont="1" applyBorder="1" applyAlignment="1">
      <alignment horizontal="left" indent="1"/>
    </xf>
    <xf numFmtId="0" fontId="48" fillId="0" borderId="24" xfId="0" applyFont="1" applyBorder="1" applyAlignment="1">
      <alignment horizontal="left" indent="1"/>
    </xf>
    <xf numFmtId="0" fontId="9" fillId="0" borderId="5" xfId="0" applyFont="1" applyBorder="1" applyAlignment="1">
      <alignment horizontal="center" vertical="center"/>
    </xf>
    <xf numFmtId="0" fontId="11" fillId="4" borderId="23" xfId="0" applyFont="1" applyFill="1" applyBorder="1" applyAlignment="1">
      <alignment horizontal="right" vertical="center"/>
    </xf>
    <xf numFmtId="0" fontId="66" fillId="4" borderId="24" xfId="0" applyFont="1" applyFill="1" applyBorder="1" applyAlignment="1">
      <alignment horizontal="center" vertical="center"/>
    </xf>
    <xf numFmtId="0" fontId="48" fillId="0" borderId="0" xfId="0" applyFont="1" applyBorder="1" applyAlignment="1"/>
    <xf numFmtId="0" fontId="11" fillId="0" borderId="0" xfId="0" applyFont="1" applyBorder="1" applyAlignment="1"/>
    <xf numFmtId="0" fontId="48" fillId="0" borderId="23" xfId="0" applyFont="1" applyBorder="1" applyAlignment="1">
      <alignment horizontal="left"/>
    </xf>
    <xf numFmtId="0" fontId="48" fillId="0" borderId="24" xfId="0" applyFont="1" applyBorder="1" applyAlignment="1"/>
    <xf numFmtId="0" fontId="11" fillId="0" borderId="24" xfId="0" applyFont="1" applyBorder="1" applyAlignment="1"/>
    <xf numFmtId="0" fontId="83" fillId="15" borderId="41" xfId="0" applyFont="1" applyFill="1" applyBorder="1" applyAlignment="1" applyProtection="1">
      <alignment vertical="center" wrapText="1"/>
    </xf>
    <xf numFmtId="15" fontId="55" fillId="13" borderId="39" xfId="0" applyNumberFormat="1" applyFont="1" applyFill="1" applyBorder="1" applyAlignment="1" applyProtection="1">
      <alignment horizontal="center" vertical="center" wrapText="1"/>
      <protection locked="0"/>
    </xf>
    <xf numFmtId="15" fontId="23" fillId="4" borderId="22" xfId="0" applyNumberFormat="1" applyFont="1" applyFill="1" applyBorder="1" applyAlignment="1">
      <alignment horizontal="center" vertical="center" wrapText="1"/>
    </xf>
    <xf numFmtId="0" fontId="30" fillId="6" borderId="23" xfId="0" applyFont="1" applyFill="1" applyBorder="1" applyAlignment="1" applyProtection="1">
      <alignment horizontal="left"/>
    </xf>
    <xf numFmtId="0" fontId="30" fillId="7" borderId="23" xfId="0" applyFont="1" applyFill="1" applyBorder="1" applyAlignment="1" applyProtection="1">
      <alignment horizontal="left"/>
    </xf>
    <xf numFmtId="3" fontId="30" fillId="6" borderId="23" xfId="0" applyNumberFormat="1" applyFont="1" applyFill="1" applyBorder="1" applyAlignment="1" applyProtection="1">
      <alignment horizontal="left"/>
    </xf>
    <xf numFmtId="3" fontId="30" fillId="7" borderId="23" xfId="0" applyNumberFormat="1" applyFont="1" applyFill="1" applyBorder="1" applyAlignment="1" applyProtection="1">
      <alignment horizontal="left"/>
    </xf>
    <xf numFmtId="9" fontId="44" fillId="6" borderId="0" xfId="0" applyNumberFormat="1" applyFont="1" applyFill="1" applyBorder="1" applyAlignment="1">
      <alignment horizontal="center"/>
    </xf>
    <xf numFmtId="9" fontId="44" fillId="7" borderId="0" xfId="0" applyNumberFormat="1" applyFont="1" applyFill="1" applyBorder="1" applyAlignment="1">
      <alignment horizontal="center"/>
    </xf>
    <xf numFmtId="1" fontId="44" fillId="6" borderId="0" xfId="0" applyNumberFormat="1" applyFont="1" applyFill="1" applyBorder="1" applyAlignment="1">
      <alignment horizontal="center"/>
    </xf>
    <xf numFmtId="1" fontId="44" fillId="7" borderId="0" xfId="0" applyNumberFormat="1" applyFont="1" applyFill="1" applyBorder="1" applyAlignment="1">
      <alignment horizontal="center"/>
    </xf>
    <xf numFmtId="0" fontId="87" fillId="4" borderId="0" xfId="0" applyFont="1" applyFill="1" applyBorder="1" applyAlignment="1">
      <alignment horizontal="center"/>
    </xf>
    <xf numFmtId="0" fontId="84" fillId="0" borderId="12" xfId="0" applyFont="1" applyBorder="1" applyAlignment="1">
      <alignment horizontal="left"/>
    </xf>
    <xf numFmtId="0" fontId="53" fillId="0" borderId="12" xfId="0" applyFont="1" applyBorder="1" applyAlignment="1">
      <alignment horizontal="left" indent="1"/>
    </xf>
    <xf numFmtId="0" fontId="53" fillId="0" borderId="35" xfId="0" applyFont="1" applyBorder="1" applyAlignment="1">
      <alignment horizontal="left" indent="1"/>
    </xf>
    <xf numFmtId="0" fontId="9" fillId="0" borderId="5" xfId="13" applyBorder="1"/>
    <xf numFmtId="0" fontId="9" fillId="0" borderId="5" xfId="13" applyFont="1" applyBorder="1"/>
    <xf numFmtId="0" fontId="9" fillId="6" borderId="13" xfId="13" applyFont="1" applyFill="1" applyBorder="1"/>
    <xf numFmtId="0" fontId="9" fillId="6" borderId="29" xfId="13" applyFont="1" applyFill="1" applyBorder="1"/>
    <xf numFmtId="0" fontId="58" fillId="11" borderId="36" xfId="13" applyFont="1" applyFill="1" applyBorder="1"/>
    <xf numFmtId="164" fontId="58" fillId="11" borderId="16" xfId="13" applyNumberFormat="1" applyFont="1" applyFill="1" applyBorder="1"/>
    <xf numFmtId="170" fontId="90" fillId="3" borderId="17" xfId="13" applyNumberFormat="1" applyFont="1" applyFill="1" applyBorder="1"/>
    <xf numFmtId="170" fontId="90" fillId="0" borderId="1" xfId="13" applyNumberFormat="1" applyFont="1" applyFill="1" applyBorder="1"/>
    <xf numFmtId="170" fontId="90" fillId="3" borderId="5" xfId="13" applyNumberFormat="1" applyFont="1" applyFill="1" applyBorder="1"/>
    <xf numFmtId="0" fontId="9" fillId="0" borderId="0" xfId="13"/>
    <xf numFmtId="0" fontId="91" fillId="0" borderId="5" xfId="13" applyFont="1" applyFill="1" applyBorder="1" applyAlignment="1">
      <alignment horizontal="center"/>
    </xf>
    <xf numFmtId="0" fontId="91" fillId="0" borderId="5" xfId="13" applyFont="1" applyFill="1" applyBorder="1" applyAlignment="1"/>
    <xf numFmtId="0" fontId="91" fillId="6" borderId="13" xfId="13" applyFont="1" applyFill="1" applyBorder="1" applyAlignment="1"/>
    <xf numFmtId="0" fontId="91" fillId="11" borderId="13" xfId="13" applyFont="1" applyFill="1" applyBorder="1" applyAlignment="1"/>
    <xf numFmtId="0" fontId="91" fillId="20" borderId="5" xfId="13" applyFont="1" applyFill="1" applyBorder="1" applyAlignment="1"/>
    <xf numFmtId="0" fontId="91" fillId="7" borderId="0" xfId="13" applyFont="1" applyFill="1" applyBorder="1" applyAlignment="1"/>
    <xf numFmtId="0" fontId="10" fillId="7" borderId="0" xfId="13" applyFont="1" applyFill="1"/>
    <xf numFmtId="0" fontId="10" fillId="0" borderId="0" xfId="13" applyFont="1"/>
    <xf numFmtId="0" fontId="28" fillId="0" borderId="5" xfId="13" applyFont="1" applyFill="1" applyBorder="1" applyAlignment="1">
      <alignment horizontal="center" vertical="center" wrapText="1"/>
    </xf>
    <xf numFmtId="0" fontId="28" fillId="6" borderId="5" xfId="13" applyFont="1" applyFill="1" applyBorder="1" applyAlignment="1">
      <alignment horizontal="center" vertical="center" wrapText="1"/>
    </xf>
    <xf numFmtId="0" fontId="92" fillId="11" borderId="5" xfId="13" applyFont="1" applyFill="1" applyBorder="1" applyAlignment="1">
      <alignment horizontal="center" vertical="center" wrapText="1"/>
    </xf>
    <xf numFmtId="0" fontId="11" fillId="7" borderId="5" xfId="13" applyFont="1" applyFill="1" applyBorder="1" applyAlignment="1">
      <alignment horizontal="left" vertical="center"/>
    </xf>
    <xf numFmtId="0" fontId="18" fillId="0" borderId="0" xfId="13" applyFont="1" applyFill="1" applyBorder="1" applyAlignment="1">
      <alignment horizontal="left"/>
    </xf>
    <xf numFmtId="0" fontId="11" fillId="0" borderId="5" xfId="13" applyFont="1" applyFill="1" applyBorder="1" applyAlignment="1">
      <alignment horizontal="left" vertical="center" wrapText="1"/>
    </xf>
    <xf numFmtId="0" fontId="30" fillId="0" borderId="5" xfId="13" applyFont="1" applyFill="1" applyBorder="1" applyAlignment="1">
      <alignment horizontal="left" vertical="center" wrapText="1"/>
    </xf>
    <xf numFmtId="0" fontId="93" fillId="0" borderId="5" xfId="13" applyFont="1" applyFill="1" applyBorder="1" applyAlignment="1">
      <alignment horizontal="center" vertical="center" wrapText="1"/>
    </xf>
    <xf numFmtId="0" fontId="9" fillId="0" borderId="5" xfId="13" applyFont="1" applyBorder="1" applyAlignment="1">
      <alignment horizontal="left"/>
    </xf>
    <xf numFmtId="0" fontId="9" fillId="0" borderId="5" xfId="13" quotePrefix="1" applyFont="1" applyBorder="1" applyAlignment="1">
      <alignment horizontal="right"/>
    </xf>
    <xf numFmtId="164" fontId="9" fillId="0" borderId="5" xfId="2" applyFont="1" applyBorder="1" applyAlignment="1">
      <alignment horizontal="right"/>
    </xf>
    <xf numFmtId="171" fontId="9" fillId="6" borderId="5" xfId="18" applyNumberFormat="1" applyFont="1" applyFill="1" applyBorder="1" applyAlignment="1">
      <alignment horizontal="right"/>
    </xf>
    <xf numFmtId="164" fontId="9" fillId="6" borderId="5" xfId="2" applyFont="1" applyFill="1" applyBorder="1" applyAlignment="1">
      <alignment horizontal="right"/>
    </xf>
    <xf numFmtId="164" fontId="18" fillId="11" borderId="5" xfId="2" applyFont="1" applyFill="1" applyBorder="1" applyAlignment="1">
      <alignment horizontal="left" vertical="center" wrapText="1"/>
    </xf>
    <xf numFmtId="170" fontId="18" fillId="0" borderId="5" xfId="2" applyNumberFormat="1" applyFont="1" applyFill="1" applyBorder="1" applyAlignment="1">
      <alignment horizontal="left" vertical="center" wrapText="1"/>
    </xf>
    <xf numFmtId="9" fontId="18" fillId="0" borderId="5" xfId="13" applyNumberFormat="1" applyFont="1" applyFill="1" applyBorder="1" applyAlignment="1">
      <alignment horizontal="center" vertical="center" wrapText="1"/>
    </xf>
    <xf numFmtId="0" fontId="18" fillId="0" borderId="5" xfId="13" applyFont="1" applyFill="1" applyBorder="1" applyAlignment="1">
      <alignment horizontal="center" vertical="center" wrapText="1"/>
    </xf>
    <xf numFmtId="16" fontId="18" fillId="0" borderId="5" xfId="13" applyNumberFormat="1" applyFont="1" applyFill="1" applyBorder="1" applyAlignment="1">
      <alignment horizontal="center" vertical="center" wrapText="1"/>
    </xf>
    <xf numFmtId="164" fontId="18" fillId="0" borderId="5" xfId="2" applyFont="1" applyFill="1" applyBorder="1" applyAlignment="1" applyProtection="1">
      <alignment horizontal="center" vertical="center" wrapText="1"/>
      <protection locked="0"/>
    </xf>
    <xf numFmtId="164" fontId="18" fillId="0" borderId="5" xfId="13" applyNumberFormat="1" applyFont="1" applyFill="1" applyBorder="1" applyAlignment="1">
      <alignment horizontal="left"/>
    </xf>
    <xf numFmtId="164" fontId="94" fillId="0" borderId="5" xfId="2" applyFont="1" applyFill="1" applyBorder="1" applyAlignment="1">
      <alignment horizontal="left"/>
    </xf>
    <xf numFmtId="0" fontId="9" fillId="0" borderId="0" xfId="13" applyFont="1"/>
    <xf numFmtId="2" fontId="18" fillId="11" borderId="5" xfId="6" applyNumberFormat="1" applyFont="1" applyFill="1" applyBorder="1" applyAlignment="1">
      <alignment horizontal="center" vertical="center" wrapText="1"/>
    </xf>
    <xf numFmtId="0" fontId="9" fillId="0" borderId="5" xfId="13" applyFont="1" applyBorder="1" applyAlignment="1">
      <alignment horizontal="right"/>
    </xf>
    <xf numFmtId="164" fontId="18" fillId="0" borderId="1" xfId="13" applyNumberFormat="1" applyFont="1" applyFill="1" applyBorder="1" applyAlignment="1">
      <alignment horizontal="left"/>
    </xf>
    <xf numFmtId="164" fontId="0" fillId="0" borderId="5" xfId="2" applyFont="1" applyBorder="1" applyAlignment="1">
      <alignment horizontal="right"/>
    </xf>
    <xf numFmtId="165" fontId="9" fillId="6" borderId="5" xfId="18" applyNumberFormat="1" applyFont="1" applyFill="1" applyBorder="1" applyAlignment="1">
      <alignment horizontal="right"/>
    </xf>
    <xf numFmtId="2" fontId="10" fillId="11" borderId="5" xfId="6" applyNumberFormat="1" applyFont="1" applyFill="1" applyBorder="1" applyAlignment="1">
      <alignment horizontal="center" vertical="center" wrapText="1"/>
    </xf>
    <xf numFmtId="164" fontId="18" fillId="0" borderId="5" xfId="2" applyFont="1" applyFill="1" applyBorder="1" applyAlignment="1">
      <alignment horizontal="center" vertical="center" wrapText="1"/>
    </xf>
    <xf numFmtId="0" fontId="10" fillId="0" borderId="5" xfId="13" applyFont="1" applyFill="1" applyBorder="1" applyAlignment="1">
      <alignment horizontal="center" vertical="center" wrapText="1"/>
    </xf>
    <xf numFmtId="16" fontId="10" fillId="0" borderId="5" xfId="13" applyNumberFormat="1" applyFont="1" applyFill="1" applyBorder="1" applyAlignment="1">
      <alignment horizontal="center" vertical="center" wrapText="1"/>
    </xf>
    <xf numFmtId="164" fontId="18" fillId="0" borderId="1" xfId="2" applyFont="1" applyFill="1" applyBorder="1" applyAlignment="1" applyProtection="1">
      <alignment horizontal="center" vertical="center" wrapText="1"/>
      <protection locked="0"/>
    </xf>
    <xf numFmtId="0" fontId="10" fillId="0" borderId="5" xfId="13" applyFont="1" applyFill="1" applyBorder="1" applyAlignment="1"/>
    <xf numFmtId="0" fontId="10" fillId="0" borderId="0" xfId="13" applyFont="1" applyFill="1" applyBorder="1" applyAlignment="1"/>
    <xf numFmtId="0" fontId="10" fillId="6" borderId="5" xfId="13" applyFont="1" applyFill="1" applyBorder="1" applyAlignment="1">
      <alignment horizontal="center" vertical="center" wrapText="1"/>
    </xf>
    <xf numFmtId="165" fontId="10" fillId="6" borderId="5" xfId="13" applyNumberFormat="1" applyFont="1" applyFill="1" applyBorder="1" applyAlignment="1">
      <alignment horizontal="center" vertical="center" wrapText="1"/>
    </xf>
    <xf numFmtId="0" fontId="10" fillId="11" borderId="5" xfId="13" applyFont="1" applyFill="1" applyBorder="1" applyAlignment="1">
      <alignment horizontal="center" vertical="center" wrapText="1"/>
    </xf>
    <xf numFmtId="0" fontId="10" fillId="11" borderId="5" xfId="13" applyFont="1" applyFill="1" applyBorder="1" applyAlignment="1">
      <alignment horizontal="left" vertical="center" wrapText="1"/>
    </xf>
    <xf numFmtId="164" fontId="10" fillId="0" borderId="5" xfId="2" applyFont="1" applyFill="1" applyBorder="1" applyAlignment="1">
      <alignment horizontal="center" vertical="center" wrapText="1"/>
    </xf>
    <xf numFmtId="0" fontId="18" fillId="0" borderId="5" xfId="13" applyFont="1" applyFill="1" applyBorder="1" applyAlignment="1">
      <alignment horizontal="left"/>
    </xf>
    <xf numFmtId="0" fontId="10" fillId="9" borderId="0" xfId="13" applyFont="1" applyFill="1" applyBorder="1" applyAlignment="1">
      <alignment horizontal="center" vertical="center" wrapText="1"/>
    </xf>
    <xf numFmtId="165" fontId="10" fillId="9" borderId="0" xfId="13" applyNumberFormat="1" applyFont="1" applyFill="1" applyBorder="1" applyAlignment="1">
      <alignment horizontal="center" vertical="center" wrapText="1"/>
    </xf>
    <xf numFmtId="164" fontId="10" fillId="9" borderId="0" xfId="2" applyFont="1" applyFill="1" applyBorder="1" applyAlignment="1">
      <alignment horizontal="center" vertical="center" wrapText="1"/>
    </xf>
    <xf numFmtId="0" fontId="10" fillId="9" borderId="0" xfId="13" applyFont="1" applyFill="1" applyBorder="1" applyAlignment="1"/>
    <xf numFmtId="0" fontId="10" fillId="9" borderId="5" xfId="13" applyFont="1" applyFill="1" applyBorder="1" applyAlignment="1"/>
    <xf numFmtId="0" fontId="10" fillId="0" borderId="0" xfId="13" applyFont="1" applyFill="1" applyBorder="1" applyAlignment="1">
      <alignment horizontal="center" vertical="center" wrapText="1"/>
    </xf>
    <xf numFmtId="0" fontId="18" fillId="6" borderId="5" xfId="13" applyFont="1" applyFill="1" applyBorder="1" applyAlignment="1">
      <alignment horizontal="center" vertical="center" wrapText="1"/>
    </xf>
    <xf numFmtId="165" fontId="18" fillId="6" borderId="5" xfId="13" applyNumberFormat="1" applyFont="1" applyFill="1" applyBorder="1" applyAlignment="1">
      <alignment horizontal="center" vertical="center" wrapText="1"/>
    </xf>
    <xf numFmtId="165" fontId="18" fillId="11" borderId="5" xfId="13" applyNumberFormat="1" applyFont="1" applyFill="1" applyBorder="1" applyAlignment="1">
      <alignment horizontal="center" vertical="center" wrapText="1"/>
    </xf>
    <xf numFmtId="164" fontId="94" fillId="0" borderId="5" xfId="2" applyFont="1" applyFill="1" applyBorder="1" applyAlignment="1">
      <alignment horizontal="center" vertical="center" wrapText="1"/>
    </xf>
    <xf numFmtId="0" fontId="10" fillId="0" borderId="0" xfId="13" applyFont="1" applyFill="1" applyBorder="1" applyAlignment="1">
      <alignment horizontal="center"/>
    </xf>
    <xf numFmtId="0" fontId="18" fillId="0" borderId="0" xfId="13" applyFont="1" applyFill="1" applyBorder="1" applyAlignment="1">
      <alignment horizontal="center" vertical="center" wrapText="1"/>
    </xf>
    <xf numFmtId="164" fontId="10" fillId="0" borderId="0" xfId="2" applyFont="1" applyFill="1" applyBorder="1" applyAlignment="1">
      <alignment horizontal="center" vertical="center" wrapText="1"/>
    </xf>
    <xf numFmtId="0" fontId="10" fillId="0" borderId="0" xfId="13" applyFont="1" applyFill="1" applyBorder="1" applyAlignment="1">
      <alignment horizontal="left"/>
    </xf>
    <xf numFmtId="0" fontId="18" fillId="0" borderId="0" xfId="13" applyFont="1" applyFill="1" applyBorder="1" applyAlignment="1">
      <alignment horizontal="center"/>
    </xf>
    <xf numFmtId="0" fontId="9" fillId="0" borderId="0" xfId="13" applyFill="1" applyBorder="1" applyAlignment="1"/>
    <xf numFmtId="0" fontId="9" fillId="0" borderId="0" xfId="13" applyFill="1"/>
    <xf numFmtId="171" fontId="18" fillId="11" borderId="5" xfId="6" applyNumberFormat="1" applyFont="1" applyFill="1" applyBorder="1" applyAlignment="1">
      <alignment horizontal="center" vertical="center" wrapText="1"/>
    </xf>
    <xf numFmtId="0" fontId="95" fillId="0" borderId="5" xfId="13" applyFont="1" applyBorder="1" applyAlignment="1">
      <alignment horizontal="left" wrapText="1"/>
    </xf>
    <xf numFmtId="164" fontId="18" fillId="11" borderId="5" xfId="2" applyFont="1" applyFill="1" applyBorder="1" applyAlignment="1">
      <alignment horizontal="center" vertical="center" wrapText="1"/>
    </xf>
    <xf numFmtId="0" fontId="9" fillId="0" borderId="5" xfId="13" applyFont="1" applyBorder="1" applyAlignment="1">
      <alignment wrapText="1"/>
    </xf>
    <xf numFmtId="9" fontId="9" fillId="0" borderId="5" xfId="6" applyFont="1" applyBorder="1"/>
    <xf numFmtId="9" fontId="9" fillId="0" borderId="5" xfId="6" applyFont="1" applyBorder="1" applyAlignment="1">
      <alignment horizontal="right"/>
    </xf>
    <xf numFmtId="9" fontId="18" fillId="0" borderId="0" xfId="6" applyFont="1" applyFill="1" applyBorder="1" applyAlignment="1">
      <alignment horizontal="left"/>
    </xf>
    <xf numFmtId="9" fontId="10" fillId="0" borderId="0" xfId="6" applyFont="1"/>
    <xf numFmtId="9" fontId="9" fillId="0" borderId="0" xfId="6" applyFont="1"/>
    <xf numFmtId="9" fontId="9" fillId="6" borderId="5" xfId="6" applyFont="1" applyFill="1" applyBorder="1" applyAlignment="1">
      <alignment horizontal="right"/>
    </xf>
    <xf numFmtId="9" fontId="18" fillId="11" borderId="5" xfId="6" applyFont="1" applyFill="1" applyBorder="1" applyAlignment="1">
      <alignment horizontal="center" vertical="center" wrapText="1"/>
    </xf>
    <xf numFmtId="9" fontId="18" fillId="7" borderId="5" xfId="6" applyFont="1" applyFill="1" applyBorder="1" applyAlignment="1">
      <alignment horizontal="center" vertical="center" wrapText="1"/>
    </xf>
    <xf numFmtId="16" fontId="18" fillId="0" borderId="5" xfId="6" applyNumberFormat="1" applyFont="1" applyFill="1" applyBorder="1" applyAlignment="1">
      <alignment horizontal="center" vertical="center" wrapText="1"/>
    </xf>
    <xf numFmtId="9" fontId="18" fillId="0" borderId="5" xfId="6" applyFont="1" applyFill="1" applyBorder="1" applyAlignment="1" applyProtection="1">
      <alignment horizontal="center" vertical="center" wrapText="1"/>
      <protection locked="0"/>
    </xf>
    <xf numFmtId="9" fontId="18" fillId="0" borderId="1" xfId="6" applyFont="1" applyFill="1" applyBorder="1" applyAlignment="1">
      <alignment horizontal="left"/>
    </xf>
    <xf numFmtId="9" fontId="94" fillId="0" borderId="5" xfId="6" applyFont="1" applyFill="1" applyBorder="1" applyAlignment="1">
      <alignment horizontal="left"/>
    </xf>
    <xf numFmtId="172" fontId="0" fillId="0" borderId="5" xfId="18" applyNumberFormat="1" applyFont="1" applyBorder="1" applyAlignment="1">
      <alignment horizontal="right"/>
    </xf>
    <xf numFmtId="172" fontId="9" fillId="6" borderId="5" xfId="18" applyNumberFormat="1" applyFont="1" applyFill="1" applyBorder="1" applyAlignment="1">
      <alignment horizontal="right"/>
    </xf>
    <xf numFmtId="2" fontId="10" fillId="0" borderId="5" xfId="6" applyNumberFormat="1" applyFont="1" applyFill="1" applyBorder="1" applyAlignment="1">
      <alignment horizontal="center" vertical="center" wrapText="1"/>
    </xf>
    <xf numFmtId="0" fontId="94" fillId="0" borderId="5" xfId="13" applyFont="1" applyFill="1" applyBorder="1" applyAlignment="1">
      <alignment horizontal="left"/>
    </xf>
    <xf numFmtId="49" fontId="9" fillId="0" borderId="5" xfId="6" applyNumberFormat="1" applyFont="1" applyBorder="1"/>
    <xf numFmtId="164" fontId="18" fillId="0" borderId="5" xfId="13" applyNumberFormat="1" applyFont="1" applyFill="1" applyBorder="1" applyAlignment="1">
      <alignment horizontal="center" vertical="center" wrapText="1"/>
    </xf>
    <xf numFmtId="164" fontId="94" fillId="0" borderId="5" xfId="13" applyNumberFormat="1" applyFont="1" applyFill="1" applyBorder="1" applyAlignment="1">
      <alignment horizontal="center" vertical="center" wrapText="1"/>
    </xf>
    <xf numFmtId="0" fontId="10" fillId="11" borderId="0" xfId="13" applyFont="1" applyFill="1" applyBorder="1" applyAlignment="1">
      <alignment horizontal="center" vertical="center" wrapText="1"/>
    </xf>
    <xf numFmtId="0" fontId="10" fillId="11" borderId="0" xfId="13" applyFont="1" applyFill="1" applyBorder="1" applyAlignment="1">
      <alignment horizontal="left"/>
    </xf>
    <xf numFmtId="0" fontId="10" fillId="11" borderId="0" xfId="13" applyFont="1" applyFill="1" applyBorder="1" applyAlignment="1"/>
    <xf numFmtId="0" fontId="10" fillId="11" borderId="0" xfId="13" applyFont="1" applyFill="1" applyBorder="1" applyAlignment="1">
      <alignment horizontal="center"/>
    </xf>
    <xf numFmtId="0" fontId="18" fillId="11" borderId="0" xfId="13" applyFont="1" applyFill="1" applyBorder="1" applyAlignment="1">
      <alignment horizontal="left"/>
    </xf>
    <xf numFmtId="0" fontId="18" fillId="11" borderId="0" xfId="13" applyFont="1" applyFill="1" applyBorder="1" applyAlignment="1">
      <alignment horizontal="center"/>
    </xf>
    <xf numFmtId="0" fontId="9" fillId="11" borderId="0" xfId="13" applyFill="1" applyBorder="1" applyAlignment="1"/>
    <xf numFmtId="0" fontId="9" fillId="11" borderId="0" xfId="13" applyFill="1"/>
    <xf numFmtId="0" fontId="58" fillId="0" borderId="0" xfId="13" applyFont="1"/>
    <xf numFmtId="0" fontId="59" fillId="0" borderId="0" xfId="13" applyFont="1"/>
    <xf numFmtId="0" fontId="59" fillId="0" borderId="5" xfId="13" applyFont="1" applyBorder="1"/>
    <xf numFmtId="164" fontId="11" fillId="0" borderId="5" xfId="2" applyFont="1" applyBorder="1"/>
    <xf numFmtId="0" fontId="59" fillId="0" borderId="5" xfId="13" applyFont="1" applyBorder="1" applyAlignment="1">
      <alignment horizontal="left"/>
    </xf>
    <xf numFmtId="0" fontId="59" fillId="0" borderId="0" xfId="13" applyFont="1" applyFill="1"/>
    <xf numFmtId="164" fontId="9" fillId="0" borderId="5" xfId="2" applyFont="1" applyFill="1" applyBorder="1"/>
    <xf numFmtId="0" fontId="9" fillId="0" borderId="0" xfId="13" applyAlignment="1">
      <alignment horizontal="center"/>
    </xf>
    <xf numFmtId="0" fontId="9" fillId="0" borderId="5" xfId="13" applyBorder="1" applyAlignment="1">
      <alignment horizontal="center"/>
    </xf>
    <xf numFmtId="0" fontId="60" fillId="9" borderId="52" xfId="13" applyFont="1" applyFill="1" applyBorder="1"/>
    <xf numFmtId="0" fontId="60" fillId="9" borderId="52" xfId="13" applyFont="1" applyFill="1" applyBorder="1" applyAlignment="1">
      <alignment horizontal="left"/>
    </xf>
    <xf numFmtId="164" fontId="60" fillId="9" borderId="52" xfId="2" applyFont="1" applyFill="1" applyBorder="1"/>
    <xf numFmtId="0" fontId="60" fillId="9" borderId="52" xfId="13" applyFont="1" applyFill="1" applyBorder="1" applyAlignment="1">
      <alignment horizontal="center" wrapText="1"/>
    </xf>
    <xf numFmtId="0" fontId="60" fillId="9" borderId="53" xfId="13" applyFont="1" applyFill="1" applyBorder="1" applyAlignment="1">
      <alignment wrapText="1"/>
    </xf>
    <xf numFmtId="15" fontId="99" fillId="0" borderId="13" xfId="13" applyNumberFormat="1" applyFont="1" applyBorder="1"/>
    <xf numFmtId="15" fontId="99" fillId="0" borderId="13" xfId="13" applyNumberFormat="1" applyFont="1" applyBorder="1" applyAlignment="1">
      <alignment horizontal="left"/>
    </xf>
    <xf numFmtId="0" fontId="99" fillId="0" borderId="13" xfId="13" applyFont="1" applyBorder="1"/>
    <xf numFmtId="164" fontId="99" fillId="0" borderId="13" xfId="2" applyFont="1" applyBorder="1"/>
    <xf numFmtId="16" fontId="99" fillId="0" borderId="13" xfId="13" applyNumberFormat="1" applyFont="1" applyBorder="1" applyAlignment="1">
      <alignment horizontal="center"/>
    </xf>
    <xf numFmtId="0" fontId="99" fillId="0" borderId="54" xfId="13" applyFont="1" applyBorder="1"/>
    <xf numFmtId="0" fontId="58" fillId="0" borderId="54" xfId="13" applyFont="1" applyBorder="1"/>
    <xf numFmtId="17" fontId="58" fillId="0" borderId="5" xfId="13" applyNumberFormat="1" applyFont="1" applyBorder="1"/>
    <xf numFmtId="0" fontId="58" fillId="0" borderId="5" xfId="13" applyFont="1" applyBorder="1" applyAlignment="1">
      <alignment horizontal="left"/>
    </xf>
    <xf numFmtId="0" fontId="58" fillId="0" borderId="5" xfId="13" applyFont="1" applyBorder="1"/>
    <xf numFmtId="15" fontId="58" fillId="0" borderId="5" xfId="13" applyNumberFormat="1" applyFont="1" applyBorder="1"/>
    <xf numFmtId="16" fontId="58" fillId="0" borderId="5" xfId="13" applyNumberFormat="1" applyFont="1" applyBorder="1" applyAlignment="1">
      <alignment horizontal="center"/>
    </xf>
    <xf numFmtId="17" fontId="59" fillId="0" borderId="5" xfId="13" applyNumberFormat="1" applyFont="1" applyBorder="1"/>
    <xf numFmtId="16" fontId="59" fillId="0" borderId="5" xfId="13" applyNumberFormat="1" applyFont="1" applyBorder="1" applyAlignment="1">
      <alignment horizontal="center"/>
    </xf>
    <xf numFmtId="0" fontId="9" fillId="0" borderId="5" xfId="13" applyBorder="1" applyAlignment="1">
      <alignment horizontal="left"/>
    </xf>
    <xf numFmtId="0" fontId="99" fillId="0" borderId="5" xfId="13" applyFont="1" applyBorder="1"/>
    <xf numFmtId="4" fontId="99" fillId="0" borderId="5" xfId="13" applyNumberFormat="1" applyFont="1" applyBorder="1"/>
    <xf numFmtId="0" fontId="9" fillId="0" borderId="0" xfId="13" applyAlignment="1">
      <alignment horizontal="left"/>
    </xf>
    <xf numFmtId="0" fontId="10" fillId="0" borderId="0" xfId="0" applyFont="1" applyAlignment="1">
      <alignment horizontal="center" wrapText="1"/>
    </xf>
    <xf numFmtId="0" fontId="97" fillId="9" borderId="0" xfId="0" applyFont="1" applyFill="1" applyAlignment="1">
      <alignment horizontal="center" vertical="center"/>
    </xf>
    <xf numFmtId="0" fontId="58" fillId="22" borderId="0" xfId="0" applyFont="1" applyFill="1" applyAlignment="1">
      <alignment horizontal="center" wrapText="1"/>
    </xf>
    <xf numFmtId="164" fontId="58" fillId="22" borderId="0" xfId="2" applyFont="1" applyFill="1"/>
    <xf numFmtId="0" fontId="18" fillId="23" borderId="0" xfId="0" applyFont="1" applyFill="1" applyAlignment="1">
      <alignment horizontal="center" wrapText="1"/>
    </xf>
    <xf numFmtId="4" fontId="11" fillId="23" borderId="0" xfId="0" applyNumberFormat="1" applyFont="1" applyFill="1" applyAlignment="1">
      <alignment horizontal="center"/>
    </xf>
    <xf numFmtId="0" fontId="18" fillId="24" borderId="0" xfId="0" applyFont="1" applyFill="1" applyAlignment="1">
      <alignment horizontal="center" wrapText="1"/>
    </xf>
    <xf numFmtId="4" fontId="11" fillId="24" borderId="0" xfId="0" applyNumberFormat="1" applyFont="1" applyFill="1" applyAlignment="1">
      <alignment horizontal="center"/>
    </xf>
    <xf numFmtId="0" fontId="30" fillId="8" borderId="49" xfId="0" applyFont="1" applyFill="1" applyBorder="1" applyAlignment="1">
      <alignment horizontal="center"/>
    </xf>
    <xf numFmtId="0" fontId="30" fillId="8" borderId="49" xfId="0" applyFont="1" applyFill="1" applyBorder="1" applyAlignment="1">
      <alignment horizontal="center" wrapText="1"/>
    </xf>
    <xf numFmtId="0" fontId="30" fillId="8" borderId="49" xfId="0" applyFont="1" applyFill="1" applyBorder="1"/>
    <xf numFmtId="164" fontId="30" fillId="8" borderId="49" xfId="2" applyFont="1" applyFill="1" applyBorder="1"/>
    <xf numFmtId="0" fontId="30" fillId="8" borderId="55" xfId="0" applyFont="1" applyFill="1" applyBorder="1"/>
    <xf numFmtId="0" fontId="30" fillId="8" borderId="50" xfId="0" applyFont="1" applyFill="1" applyBorder="1" applyAlignment="1">
      <alignment wrapText="1"/>
    </xf>
    <xf numFmtId="0" fontId="101" fillId="25" borderId="14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/>
    </xf>
    <xf numFmtId="15" fontId="11" fillId="0" borderId="5" xfId="0" applyNumberFormat="1" applyFont="1" applyFill="1" applyBorder="1" applyAlignment="1">
      <alignment horizontal="center"/>
    </xf>
    <xf numFmtId="0" fontId="11" fillId="0" borderId="5" xfId="0" quotePrefix="1" applyFont="1" applyFill="1" applyBorder="1" applyAlignment="1">
      <alignment horizontal="center"/>
    </xf>
    <xf numFmtId="0" fontId="11" fillId="0" borderId="5" xfId="0" applyFont="1" applyFill="1" applyBorder="1" applyAlignment="1">
      <alignment wrapText="1"/>
    </xf>
    <xf numFmtId="164" fontId="11" fillId="0" borderId="5" xfId="2" applyFont="1" applyFill="1" applyBorder="1"/>
    <xf numFmtId="0" fontId="11" fillId="0" borderId="5" xfId="0" applyFont="1" applyFill="1" applyBorder="1"/>
    <xf numFmtId="16" fontId="11" fillId="0" borderId="5" xfId="0" applyNumberFormat="1" applyFont="1" applyFill="1" applyBorder="1" applyAlignment="1">
      <alignment horizontal="center"/>
    </xf>
    <xf numFmtId="164" fontId="11" fillId="0" borderId="29" xfId="0" applyNumberFormat="1" applyFont="1" applyFill="1" applyBorder="1"/>
    <xf numFmtId="0" fontId="59" fillId="7" borderId="0" xfId="0" applyFont="1" applyFill="1"/>
    <xf numFmtId="1" fontId="63" fillId="0" borderId="5" xfId="0" applyNumberFormat="1" applyFont="1" applyFill="1" applyBorder="1" applyAlignment="1" applyProtection="1">
      <alignment horizontal="center"/>
      <protection locked="0"/>
    </xf>
    <xf numFmtId="15" fontId="63" fillId="0" borderId="5" xfId="0" applyNumberFormat="1" applyFont="1" applyFill="1" applyBorder="1" applyAlignment="1" applyProtection="1">
      <alignment horizontal="center"/>
      <protection locked="0"/>
    </xf>
    <xf numFmtId="0" fontId="63" fillId="0" borderId="5" xfId="0" applyFont="1" applyFill="1" applyBorder="1" applyAlignment="1" applyProtection="1">
      <alignment horizontal="center"/>
      <protection locked="0"/>
    </xf>
    <xf numFmtId="164" fontId="63" fillId="0" borderId="5" xfId="2" applyFont="1" applyFill="1" applyBorder="1"/>
    <xf numFmtId="0" fontId="96" fillId="7" borderId="0" xfId="0" applyFont="1" applyFill="1"/>
    <xf numFmtId="0" fontId="9" fillId="0" borderId="5" xfId="0" applyFont="1" applyFill="1" applyBorder="1" applyAlignment="1">
      <alignment horizontal="center"/>
    </xf>
    <xf numFmtId="15" fontId="9" fillId="0" borderId="5" xfId="0" applyNumberFormat="1" applyFont="1" applyFill="1" applyBorder="1" applyAlignment="1" applyProtection="1">
      <alignment horizontal="center"/>
      <protection locked="0"/>
    </xf>
    <xf numFmtId="0" fontId="9" fillId="0" borderId="5" xfId="0" quotePrefix="1" applyFont="1" applyFill="1" applyBorder="1" applyAlignment="1">
      <alignment horizontal="center"/>
    </xf>
    <xf numFmtId="164" fontId="9" fillId="0" borderId="5" xfId="2" applyFont="1" applyFill="1" applyBorder="1" applyAlignment="1">
      <alignment horizontal="center"/>
    </xf>
    <xf numFmtId="49" fontId="9" fillId="0" borderId="5" xfId="0" quotePrefix="1" applyNumberFormat="1" applyFont="1" applyFill="1" applyBorder="1" applyAlignment="1" applyProtection="1">
      <alignment horizontal="center" vertical="center" wrapText="1"/>
      <protection locked="0"/>
    </xf>
    <xf numFmtId="0" fontId="9" fillId="0" borderId="5" xfId="0" applyFont="1" applyFill="1" applyBorder="1"/>
    <xf numFmtId="164" fontId="9" fillId="0" borderId="17" xfId="0" applyNumberFormat="1" applyFont="1" applyFill="1" applyBorder="1"/>
    <xf numFmtId="0" fontId="9" fillId="0" borderId="0" xfId="0" applyFont="1" applyFill="1"/>
    <xf numFmtId="0" fontId="9" fillId="0" borderId="5" xfId="0" applyFont="1" applyFill="1" applyBorder="1" applyAlignment="1">
      <alignment wrapText="1"/>
    </xf>
    <xf numFmtId="0" fontId="59" fillId="7" borderId="0" xfId="0" applyFont="1" applyFill="1" applyBorder="1"/>
    <xf numFmtId="0" fontId="9" fillId="0" borderId="0" xfId="0" applyFont="1" applyFill="1" applyBorder="1"/>
    <xf numFmtId="49" fontId="9" fillId="0" borderId="5" xfId="0" applyNumberFormat="1" applyFont="1" applyFill="1" applyBorder="1" applyAlignment="1">
      <alignment horizontal="center"/>
    </xf>
    <xf numFmtId="0" fontId="9" fillId="7" borderId="0" xfId="0" applyFont="1" applyFill="1" applyBorder="1"/>
    <xf numFmtId="0" fontId="9" fillId="0" borderId="17" xfId="0" applyFont="1" applyFill="1" applyBorder="1"/>
    <xf numFmtId="0" fontId="9" fillId="0" borderId="0" xfId="0" applyFont="1"/>
    <xf numFmtId="0" fontId="11" fillId="0" borderId="8" xfId="0" applyFont="1" applyFill="1" applyBorder="1" applyAlignment="1">
      <alignment horizontal="center"/>
    </xf>
    <xf numFmtId="164" fontId="11" fillId="0" borderId="8" xfId="2" applyFont="1" applyFill="1" applyBorder="1"/>
    <xf numFmtId="16" fontId="11" fillId="0" borderId="8" xfId="0" applyNumberFormat="1" applyFont="1" applyFill="1" applyBorder="1" applyAlignment="1">
      <alignment horizontal="center"/>
    </xf>
    <xf numFmtId="0" fontId="11" fillId="0" borderId="8" xfId="0" applyFont="1" applyFill="1" applyBorder="1"/>
    <xf numFmtId="0" fontId="9" fillId="0" borderId="28" xfId="0" applyFont="1" applyFill="1" applyBorder="1"/>
    <xf numFmtId="0" fontId="9" fillId="0" borderId="0" xfId="0" applyFont="1" applyBorder="1"/>
    <xf numFmtId="0" fontId="11" fillId="0" borderId="13" xfId="0" applyFont="1" applyFill="1" applyBorder="1" applyAlignment="1">
      <alignment horizontal="center"/>
    </xf>
    <xf numFmtId="164" fontId="11" fillId="0" borderId="13" xfId="2" applyFont="1" applyFill="1" applyBorder="1"/>
    <xf numFmtId="0" fontId="11" fillId="0" borderId="13" xfId="0" applyFont="1" applyFill="1" applyBorder="1"/>
    <xf numFmtId="0" fontId="9" fillId="0" borderId="29" xfId="0" applyFont="1" applyFill="1" applyBorder="1"/>
    <xf numFmtId="0" fontId="9" fillId="7" borderId="0" xfId="0" applyFont="1" applyFill="1"/>
    <xf numFmtId="0" fontId="11" fillId="0" borderId="5" xfId="0" applyFont="1" applyBorder="1" applyAlignment="1">
      <alignment horizontal="center"/>
    </xf>
    <xf numFmtId="16" fontId="11" fillId="0" borderId="5" xfId="0" applyNumberFormat="1" applyFont="1" applyBorder="1" applyAlignment="1">
      <alignment horizontal="center"/>
    </xf>
    <xf numFmtId="0" fontId="11" fillId="0" borderId="5" xfId="0" applyFont="1" applyBorder="1"/>
    <xf numFmtId="0" fontId="9" fillId="0" borderId="17" xfId="0" applyFont="1" applyBorder="1"/>
    <xf numFmtId="0" fontId="11" fillId="7" borderId="5" xfId="0" applyFont="1" applyFill="1" applyBorder="1" applyAlignment="1">
      <alignment horizontal="center"/>
    </xf>
    <xf numFmtId="16" fontId="11" fillId="7" borderId="5" xfId="0" applyNumberFormat="1" applyFont="1" applyFill="1" applyBorder="1" applyAlignment="1">
      <alignment horizontal="center"/>
    </xf>
    <xf numFmtId="0" fontId="102" fillId="0" borderId="5" xfId="0" applyFont="1" applyBorder="1" applyAlignment="1">
      <alignment horizontal="center"/>
    </xf>
    <xf numFmtId="0" fontId="11" fillId="7" borderId="5" xfId="0" applyFont="1" applyFill="1" applyBorder="1"/>
    <xf numFmtId="164" fontId="11" fillId="7" borderId="5" xfId="2" applyFont="1" applyFill="1" applyBorder="1"/>
    <xf numFmtId="0" fontId="11" fillId="0" borderId="17" xfId="0" applyFont="1" applyBorder="1"/>
    <xf numFmtId="0" fontId="11" fillId="0" borderId="0" xfId="0" applyFont="1"/>
    <xf numFmtId="0" fontId="58" fillId="0" borderId="0" xfId="0" applyFont="1" applyBorder="1"/>
    <xf numFmtId="0" fontId="9" fillId="0" borderId="5" xfId="0" applyFont="1" applyBorder="1" applyAlignment="1">
      <alignment horizontal="center"/>
    </xf>
    <xf numFmtId="0" fontId="9" fillId="0" borderId="5" xfId="0" applyFont="1" applyBorder="1"/>
    <xf numFmtId="0" fontId="9" fillId="7" borderId="5" xfId="0" applyFont="1" applyFill="1" applyBorder="1"/>
    <xf numFmtId="0" fontId="58" fillId="0" borderId="0" xfId="0" applyFont="1"/>
    <xf numFmtId="0" fontId="58" fillId="0" borderId="5" xfId="0" applyFont="1" applyBorder="1" applyAlignment="1">
      <alignment horizontal="center"/>
    </xf>
    <xf numFmtId="16" fontId="58" fillId="0" borderId="5" xfId="0" applyNumberFormat="1" applyFont="1" applyBorder="1" applyAlignment="1">
      <alignment horizontal="center"/>
    </xf>
    <xf numFmtId="0" fontId="58" fillId="0" borderId="5" xfId="0" applyFont="1" applyBorder="1"/>
    <xf numFmtId="0" fontId="58" fillId="0" borderId="17" xfId="0" applyFont="1" applyBorder="1"/>
    <xf numFmtId="0" fontId="58" fillId="7" borderId="5" xfId="0" applyFont="1" applyFill="1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17" xfId="0" applyBorder="1"/>
    <xf numFmtId="0" fontId="0" fillId="0" borderId="28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5" xfId="0" applyFont="1" applyBorder="1"/>
    <xf numFmtId="4" fontId="11" fillId="0" borderId="15" xfId="0" applyNumberFormat="1" applyFont="1" applyBorder="1"/>
    <xf numFmtId="0" fontId="11" fillId="0" borderId="16" xfId="0" applyFont="1" applyBorder="1"/>
    <xf numFmtId="0" fontId="4" fillId="0" borderId="0" xfId="19" applyFill="1" applyAlignment="1">
      <alignment wrapText="1"/>
    </xf>
    <xf numFmtId="0" fontId="100" fillId="0" borderId="0" xfId="19" applyFont="1" applyFill="1" applyAlignment="1">
      <alignment horizontal="center" vertical="center" wrapText="1"/>
    </xf>
    <xf numFmtId="167" fontId="103" fillId="0" borderId="13" xfId="19" applyNumberFormat="1" applyFont="1" applyFill="1" applyBorder="1" applyAlignment="1">
      <alignment horizontal="center" wrapText="1"/>
    </xf>
    <xf numFmtId="0" fontId="108" fillId="0" borderId="0" xfId="19" applyFont="1" applyFill="1" applyAlignment="1">
      <alignment wrapText="1"/>
    </xf>
    <xf numFmtId="0" fontId="100" fillId="0" borderId="5" xfId="19" quotePrefix="1" applyFont="1" applyFill="1" applyBorder="1" applyAlignment="1">
      <alignment horizontal="center" wrapText="1"/>
    </xf>
    <xf numFmtId="0" fontId="100" fillId="0" borderId="5" xfId="19" applyFont="1" applyFill="1" applyBorder="1" applyAlignment="1">
      <alignment horizontal="left" wrapText="1"/>
    </xf>
    <xf numFmtId="167" fontId="100" fillId="0" borderId="5" xfId="19" applyNumberFormat="1" applyFont="1" applyFill="1" applyBorder="1" applyAlignment="1">
      <alignment horizontal="center" wrapText="1"/>
    </xf>
    <xf numFmtId="15" fontId="100" fillId="0" borderId="5" xfId="19" applyNumberFormat="1" applyFont="1" applyFill="1" applyBorder="1" applyAlignment="1">
      <alignment horizontal="center" wrapText="1"/>
    </xf>
    <xf numFmtId="0" fontId="100" fillId="0" borderId="5" xfId="19" applyFont="1" applyFill="1" applyBorder="1" applyAlignment="1">
      <alignment horizontal="left" vertical="center" wrapText="1"/>
    </xf>
    <xf numFmtId="0" fontId="100" fillId="0" borderId="0" xfId="19" applyFont="1" applyFill="1" applyAlignment="1">
      <alignment wrapText="1"/>
    </xf>
    <xf numFmtId="0" fontId="104" fillId="0" borderId="5" xfId="19" quotePrefix="1" applyFont="1" applyFill="1" applyBorder="1" applyAlignment="1">
      <alignment horizontal="center" wrapText="1"/>
    </xf>
    <xf numFmtId="0" fontId="104" fillId="0" borderId="5" xfId="19" applyFont="1" applyFill="1" applyBorder="1" applyAlignment="1">
      <alignment horizontal="left" wrapText="1"/>
    </xf>
    <xf numFmtId="167" fontId="104" fillId="0" borderId="5" xfId="19" applyNumberFormat="1" applyFont="1" applyFill="1" applyBorder="1" applyAlignment="1">
      <alignment horizontal="center" wrapText="1"/>
    </xf>
    <xf numFmtId="15" fontId="104" fillId="0" borderId="5" xfId="19" applyNumberFormat="1" applyFont="1" applyFill="1" applyBorder="1" applyAlignment="1">
      <alignment horizontal="center" wrapText="1"/>
    </xf>
    <xf numFmtId="0" fontId="104" fillId="0" borderId="5" xfId="19" quotePrefix="1" applyFont="1" applyFill="1" applyBorder="1" applyAlignment="1">
      <alignment horizontal="left" vertical="center" wrapText="1"/>
    </xf>
    <xf numFmtId="0" fontId="103" fillId="0" borderId="5" xfId="19" quotePrefix="1" applyFont="1" applyFill="1" applyBorder="1" applyAlignment="1">
      <alignment horizontal="center" wrapText="1"/>
    </xf>
    <xf numFmtId="0" fontId="103" fillId="0" borderId="5" xfId="19" applyFont="1" applyFill="1" applyBorder="1" applyAlignment="1">
      <alignment horizontal="left" wrapText="1"/>
    </xf>
    <xf numFmtId="167" fontId="103" fillId="0" borderId="5" xfId="19" applyNumberFormat="1" applyFont="1" applyFill="1" applyBorder="1" applyAlignment="1">
      <alignment horizontal="center" wrapText="1"/>
    </xf>
    <xf numFmtId="15" fontId="103" fillId="0" borderId="5" xfId="19" applyNumberFormat="1" applyFont="1" applyFill="1" applyBorder="1" applyAlignment="1">
      <alignment horizontal="center" wrapText="1"/>
    </xf>
    <xf numFmtId="0" fontId="103" fillId="0" borderId="5" xfId="19" applyFont="1" applyFill="1" applyBorder="1" applyAlignment="1">
      <alignment horizontal="left" vertical="center" wrapText="1"/>
    </xf>
    <xf numFmtId="0" fontId="108" fillId="0" borderId="5" xfId="19" quotePrefix="1" applyFont="1" applyFill="1" applyBorder="1" applyAlignment="1">
      <alignment horizontal="left" wrapText="1"/>
    </xf>
    <xf numFmtId="0" fontId="108" fillId="0" borderId="5" xfId="19" applyFont="1" applyFill="1" applyBorder="1" applyAlignment="1">
      <alignment horizontal="left" wrapText="1"/>
    </xf>
    <xf numFmtId="167" fontId="108" fillId="0" borderId="5" xfId="19" applyNumberFormat="1" applyFont="1" applyFill="1" applyBorder="1" applyAlignment="1">
      <alignment horizontal="left" wrapText="1"/>
    </xf>
    <xf numFmtId="15" fontId="108" fillId="0" borderId="5" xfId="19" applyNumberFormat="1" applyFont="1" applyFill="1" applyBorder="1" applyAlignment="1">
      <alignment horizontal="left" wrapText="1"/>
    </xf>
    <xf numFmtId="0" fontId="108" fillId="0" borderId="5" xfId="19" applyFont="1" applyFill="1" applyBorder="1" applyAlignment="1">
      <alignment horizontal="left" vertical="center" wrapText="1"/>
    </xf>
    <xf numFmtId="0" fontId="103" fillId="0" borderId="5" xfId="19" quotePrefix="1" applyFont="1" applyFill="1" applyBorder="1" applyAlignment="1">
      <alignment horizontal="center" vertical="center" wrapText="1"/>
    </xf>
    <xf numFmtId="0" fontId="103" fillId="0" borderId="5" xfId="19" applyFont="1" applyFill="1" applyBorder="1" applyAlignment="1">
      <alignment horizontal="left" vertical="top" wrapText="1"/>
    </xf>
    <xf numFmtId="0" fontId="104" fillId="0" borderId="5" xfId="19" quotePrefix="1" applyFont="1" applyFill="1" applyBorder="1" applyAlignment="1">
      <alignment horizontal="center" vertical="center" wrapText="1"/>
    </xf>
    <xf numFmtId="0" fontId="104" fillId="0" borderId="5" xfId="19" applyFont="1" applyFill="1" applyBorder="1" applyAlignment="1">
      <alignment horizontal="left" vertical="top" wrapText="1"/>
    </xf>
    <xf numFmtId="0" fontId="110" fillId="0" borderId="0" xfId="19" applyFont="1" applyFill="1" applyAlignment="1">
      <alignment horizontal="center" vertical="center" wrapText="1"/>
    </xf>
    <xf numFmtId="0" fontId="109" fillId="0" borderId="0" xfId="19" applyFont="1" applyFill="1" applyAlignment="1">
      <alignment wrapText="1"/>
    </xf>
    <xf numFmtId="15" fontId="111" fillId="0" borderId="5" xfId="19" applyNumberFormat="1" applyFont="1" applyFill="1" applyBorder="1" applyAlignment="1">
      <alignment horizontal="center" wrapText="1"/>
    </xf>
    <xf numFmtId="0" fontId="108" fillId="0" borderId="0" xfId="19" applyFont="1" applyFill="1" applyAlignment="1">
      <alignment horizontal="center" vertical="center" wrapText="1"/>
    </xf>
    <xf numFmtId="0" fontId="104" fillId="0" borderId="5" xfId="19" applyFont="1" applyFill="1" applyBorder="1" applyAlignment="1">
      <alignment horizontal="left" vertical="center" wrapText="1"/>
    </xf>
    <xf numFmtId="0" fontId="110" fillId="0" borderId="0" xfId="19" applyFont="1" applyFill="1" applyAlignment="1">
      <alignment wrapText="1"/>
    </xf>
    <xf numFmtId="0" fontId="103" fillId="0" borderId="5" xfId="19" applyNumberFormat="1" applyFont="1" applyFill="1" applyBorder="1" applyAlignment="1">
      <alignment horizontal="left" wrapText="1"/>
    </xf>
    <xf numFmtId="0" fontId="104" fillId="0" borderId="5" xfId="19" applyNumberFormat="1" applyFont="1" applyFill="1" applyBorder="1" applyAlignment="1">
      <alignment horizontal="left" wrapText="1"/>
    </xf>
    <xf numFmtId="0" fontId="100" fillId="0" borderId="5" xfId="19" applyNumberFormat="1" applyFont="1" applyFill="1" applyBorder="1" applyAlignment="1">
      <alignment horizontal="left" wrapText="1"/>
    </xf>
    <xf numFmtId="0" fontId="110" fillId="0" borderId="5" xfId="19" quotePrefix="1" applyFont="1" applyFill="1" applyBorder="1" applyAlignment="1">
      <alignment horizontal="center" wrapText="1"/>
    </xf>
    <xf numFmtId="0" fontId="110" fillId="0" borderId="5" xfId="19" applyNumberFormat="1" applyFont="1" applyFill="1" applyBorder="1" applyAlignment="1">
      <alignment horizontal="left" wrapText="1"/>
    </xf>
    <xf numFmtId="167" fontId="110" fillId="0" borderId="5" xfId="19" applyNumberFormat="1" applyFont="1" applyFill="1" applyBorder="1" applyAlignment="1">
      <alignment horizontal="center" wrapText="1"/>
    </xf>
    <xf numFmtId="15" fontId="110" fillId="0" borderId="5" xfId="19" applyNumberFormat="1" applyFont="1" applyFill="1" applyBorder="1" applyAlignment="1">
      <alignment horizontal="center" wrapText="1"/>
    </xf>
    <xf numFmtId="0" fontId="110" fillId="0" borderId="5" xfId="19" applyFont="1" applyFill="1" applyBorder="1" applyAlignment="1">
      <alignment horizontal="left" vertical="center" wrapText="1"/>
    </xf>
    <xf numFmtId="0" fontId="109" fillId="0" borderId="0" xfId="19" applyFont="1" applyFill="1" applyAlignment="1">
      <alignment horizontal="center" vertical="center" wrapText="1"/>
    </xf>
    <xf numFmtId="0" fontId="108" fillId="0" borderId="5" xfId="19" quotePrefix="1" applyFont="1" applyFill="1" applyBorder="1" applyAlignment="1">
      <alignment horizontal="center" wrapText="1"/>
    </xf>
    <xf numFmtId="167" fontId="108" fillId="0" borderId="5" xfId="19" applyNumberFormat="1" applyFont="1" applyFill="1" applyBorder="1" applyAlignment="1">
      <alignment horizontal="center" wrapText="1"/>
    </xf>
    <xf numFmtId="15" fontId="108" fillId="0" borderId="5" xfId="19" applyNumberFormat="1" applyFont="1" applyFill="1" applyBorder="1" applyAlignment="1">
      <alignment horizontal="center" wrapText="1"/>
    </xf>
    <xf numFmtId="0" fontId="110" fillId="0" borderId="5" xfId="19" applyFont="1" applyFill="1" applyBorder="1" applyAlignment="1">
      <alignment horizontal="left" wrapText="1"/>
    </xf>
    <xf numFmtId="0" fontId="112" fillId="0" borderId="5" xfId="19" applyFont="1" applyFill="1" applyBorder="1" applyAlignment="1">
      <alignment horizontal="left" vertical="top" wrapText="1"/>
    </xf>
    <xf numFmtId="167" fontId="103" fillId="0" borderId="5" xfId="19" applyNumberFormat="1" applyFont="1" applyFill="1" applyBorder="1" applyAlignment="1">
      <alignment horizontal="center" vertical="top" wrapText="1"/>
    </xf>
    <xf numFmtId="15" fontId="103" fillId="0" borderId="5" xfId="19" applyNumberFormat="1" applyFont="1" applyFill="1" applyBorder="1" applyAlignment="1">
      <alignment horizontal="center" vertical="top" wrapText="1"/>
    </xf>
    <xf numFmtId="0" fontId="112" fillId="0" borderId="5" xfId="19" applyNumberFormat="1" applyFont="1" applyFill="1" applyBorder="1" applyAlignment="1">
      <alignment horizontal="left" vertical="top" wrapText="1"/>
    </xf>
    <xf numFmtId="0" fontId="113" fillId="0" borderId="5" xfId="19" applyFont="1" applyFill="1" applyBorder="1" applyAlignment="1">
      <alignment horizontal="left" wrapText="1"/>
    </xf>
    <xf numFmtId="0" fontId="113" fillId="0" borderId="5" xfId="19" applyNumberFormat="1" applyFont="1" applyFill="1" applyBorder="1" applyAlignment="1">
      <alignment horizontal="left" vertical="top" wrapText="1"/>
    </xf>
    <xf numFmtId="0" fontId="114" fillId="0" borderId="5" xfId="19" applyFont="1" applyFill="1" applyBorder="1" applyAlignment="1">
      <alignment horizontal="left" vertical="top" wrapText="1"/>
    </xf>
    <xf numFmtId="167" fontId="104" fillId="0" borderId="5" xfId="19" applyNumberFormat="1" applyFont="1" applyFill="1" applyBorder="1" applyAlignment="1">
      <alignment horizontal="center" vertical="top" wrapText="1"/>
    </xf>
    <xf numFmtId="15" fontId="104" fillId="0" borderId="5" xfId="19" applyNumberFormat="1" applyFont="1" applyFill="1" applyBorder="1" applyAlignment="1">
      <alignment horizontal="center" vertical="top" wrapText="1"/>
    </xf>
    <xf numFmtId="0" fontId="114" fillId="0" borderId="5" xfId="19" applyNumberFormat="1" applyFont="1" applyFill="1" applyBorder="1" applyAlignment="1">
      <alignment horizontal="left" vertical="top" wrapText="1"/>
    </xf>
    <xf numFmtId="0" fontId="103" fillId="0" borderId="5" xfId="19" applyNumberFormat="1" applyFont="1" applyFill="1" applyBorder="1" applyAlignment="1">
      <alignment horizontal="left" vertical="center" wrapText="1"/>
    </xf>
    <xf numFmtId="0" fontId="116" fillId="0" borderId="5" xfId="19" applyNumberFormat="1" applyFont="1" applyFill="1" applyBorder="1" applyAlignment="1">
      <alignment horizontal="left" vertical="center" wrapText="1"/>
    </xf>
    <xf numFmtId="0" fontId="103" fillId="0" borderId="0" xfId="19" applyFont="1" applyFill="1" applyAlignment="1">
      <alignment horizontal="center" vertical="center" wrapText="1"/>
    </xf>
    <xf numFmtId="0" fontId="103" fillId="0" borderId="0" xfId="19" applyFont="1" applyFill="1" applyAlignment="1">
      <alignment wrapText="1"/>
    </xf>
    <xf numFmtId="0" fontId="4" fillId="0" borderId="5" xfId="19" applyFont="1" applyFill="1" applyBorder="1" applyAlignment="1">
      <alignment horizontal="left" vertical="top" wrapText="1"/>
    </xf>
    <xf numFmtId="0" fontId="100" fillId="0" borderId="5" xfId="19" applyFont="1" applyFill="1" applyBorder="1" applyAlignment="1">
      <alignment horizontal="left" vertical="top" wrapText="1"/>
    </xf>
    <xf numFmtId="0" fontId="108" fillId="0" borderId="5" xfId="19" applyFont="1" applyFill="1" applyBorder="1" applyAlignment="1">
      <alignment horizontal="left" vertical="top" wrapText="1"/>
    </xf>
    <xf numFmtId="0" fontId="104" fillId="0" borderId="0" xfId="19" applyFont="1" applyFill="1" applyAlignment="1">
      <alignment horizontal="center" vertical="center" wrapText="1"/>
    </xf>
    <xf numFmtId="0" fontId="104" fillId="0" borderId="0" xfId="19" applyFont="1" applyFill="1" applyAlignment="1">
      <alignment wrapText="1"/>
    </xf>
    <xf numFmtId="0" fontId="110" fillId="0" borderId="5" xfId="19" quotePrefix="1" applyFont="1" applyFill="1" applyBorder="1" applyAlignment="1">
      <alignment horizontal="left" vertical="center" wrapText="1"/>
    </xf>
    <xf numFmtId="0" fontId="118" fillId="0" borderId="5" xfId="19" applyFont="1" applyFill="1" applyBorder="1" applyAlignment="1">
      <alignment horizontal="left" vertical="center" wrapText="1"/>
    </xf>
    <xf numFmtId="0" fontId="119" fillId="0" borderId="5" xfId="19" applyFont="1" applyFill="1" applyBorder="1" applyAlignment="1">
      <alignment horizontal="left" vertical="center" wrapText="1"/>
    </xf>
    <xf numFmtId="0" fontId="100" fillId="0" borderId="5" xfId="19" quotePrefix="1" applyFont="1" applyFill="1" applyBorder="1" applyAlignment="1">
      <alignment horizontal="center" vertical="center" wrapText="1"/>
    </xf>
    <xf numFmtId="0" fontId="120" fillId="0" borderId="5" xfId="19" applyFont="1" applyFill="1" applyBorder="1" applyAlignment="1">
      <alignment horizontal="left" vertical="center" wrapText="1"/>
    </xf>
    <xf numFmtId="0" fontId="105" fillId="0" borderId="5" xfId="19" quotePrefix="1" applyFont="1" applyFill="1" applyBorder="1" applyAlignment="1">
      <alignment horizontal="center" wrapText="1"/>
    </xf>
    <xf numFmtId="0" fontId="121" fillId="4" borderId="37" xfId="19" applyFont="1" applyFill="1" applyBorder="1" applyAlignment="1">
      <alignment horizontal="center" vertical="center" shrinkToFit="1"/>
    </xf>
    <xf numFmtId="0" fontId="54" fillId="4" borderId="37" xfId="19" applyFont="1" applyFill="1" applyBorder="1" applyAlignment="1">
      <alignment vertical="top" shrinkToFit="1"/>
    </xf>
    <xf numFmtId="0" fontId="54" fillId="4" borderId="28" xfId="19" applyFont="1" applyFill="1" applyBorder="1" applyAlignment="1">
      <alignment vertical="top" shrinkToFit="1"/>
    </xf>
    <xf numFmtId="0" fontId="121" fillId="4" borderId="0" xfId="19" applyFont="1" applyFill="1" applyBorder="1" applyAlignment="1">
      <alignment horizontal="center" vertical="center" shrinkToFit="1"/>
    </xf>
    <xf numFmtId="0" fontId="54" fillId="4" borderId="0" xfId="19" applyFont="1" applyFill="1" applyBorder="1" applyAlignment="1">
      <alignment vertical="top" shrinkToFit="1"/>
    </xf>
    <xf numFmtId="0" fontId="54" fillId="4" borderId="27" xfId="19" applyFont="1" applyFill="1" applyBorder="1" applyAlignment="1">
      <alignment vertical="top" shrinkToFit="1"/>
    </xf>
    <xf numFmtId="0" fontId="105" fillId="0" borderId="5" xfId="19" applyFont="1" applyFill="1" applyBorder="1" applyAlignment="1">
      <alignment horizontal="left" vertical="top" wrapText="1"/>
    </xf>
    <xf numFmtId="0" fontId="54" fillId="0" borderId="5" xfId="19" applyFont="1" applyFill="1" applyBorder="1" applyAlignment="1">
      <alignment horizontal="left" vertical="top" wrapText="1"/>
    </xf>
    <xf numFmtId="0" fontId="122" fillId="0" borderId="5" xfId="19" quotePrefix="1" applyFont="1" applyFill="1" applyBorder="1" applyAlignment="1">
      <alignment horizontal="center" wrapText="1"/>
    </xf>
    <xf numFmtId="0" fontId="122" fillId="0" borderId="5" xfId="19" applyFont="1" applyFill="1" applyBorder="1" applyAlignment="1">
      <alignment horizontal="left" wrapText="1"/>
    </xf>
    <xf numFmtId="0" fontId="55" fillId="0" borderId="5" xfId="19" applyFont="1" applyFill="1" applyBorder="1" applyAlignment="1">
      <alignment horizontal="left" vertical="top" wrapText="1"/>
    </xf>
    <xf numFmtId="0" fontId="54" fillId="4" borderId="0" xfId="19" applyFont="1" applyFill="1" applyBorder="1" applyAlignment="1">
      <alignment horizontal="left" vertical="top"/>
    </xf>
    <xf numFmtId="0" fontId="124" fillId="0" borderId="5" xfId="19" applyFont="1" applyFill="1" applyBorder="1" applyAlignment="1">
      <alignment wrapText="1"/>
    </xf>
    <xf numFmtId="0" fontId="11" fillId="0" borderId="5" xfId="19" applyFont="1" applyFill="1" applyBorder="1" applyAlignment="1">
      <alignment wrapText="1"/>
    </xf>
    <xf numFmtId="0" fontId="9" fillId="0" borderId="5" xfId="19" applyFont="1" applyFill="1" applyBorder="1" applyAlignment="1">
      <alignment wrapText="1"/>
    </xf>
    <xf numFmtId="0" fontId="59" fillId="0" borderId="5" xfId="19" applyFont="1" applyFill="1" applyBorder="1" applyAlignment="1">
      <alignment wrapText="1"/>
    </xf>
    <xf numFmtId="0" fontId="58" fillId="0" borderId="5" xfId="19" applyFont="1" applyFill="1" applyBorder="1" applyAlignment="1">
      <alignment wrapText="1"/>
    </xf>
    <xf numFmtId="0" fontId="125" fillId="0" borderId="5" xfId="19" applyFont="1" applyFill="1" applyBorder="1" applyAlignment="1">
      <alignment horizontal="left" vertical="center" wrapText="1"/>
    </xf>
    <xf numFmtId="0" fontId="109" fillId="0" borderId="5" xfId="19" quotePrefix="1" applyFont="1" applyFill="1" applyBorder="1" applyAlignment="1">
      <alignment horizontal="center" wrapText="1"/>
    </xf>
    <xf numFmtId="0" fontId="76" fillId="0" borderId="5" xfId="19" applyFont="1" applyFill="1" applyBorder="1" applyAlignment="1">
      <alignment wrapText="1"/>
    </xf>
    <xf numFmtId="167" fontId="109" fillId="0" borderId="5" xfId="19" applyNumberFormat="1" applyFont="1" applyFill="1" applyBorder="1" applyAlignment="1">
      <alignment horizontal="center" wrapText="1"/>
    </xf>
    <xf numFmtId="15" fontId="109" fillId="0" borderId="5" xfId="19" applyNumberFormat="1" applyFont="1" applyFill="1" applyBorder="1" applyAlignment="1">
      <alignment horizontal="center" wrapText="1"/>
    </xf>
    <xf numFmtId="0" fontId="109" fillId="0" borderId="5" xfId="19" applyFont="1" applyFill="1" applyBorder="1" applyAlignment="1">
      <alignment horizontal="left" vertical="center" wrapText="1"/>
    </xf>
    <xf numFmtId="0" fontId="104" fillId="0" borderId="5" xfId="19" quotePrefix="1" applyFont="1" applyFill="1" applyBorder="1" applyAlignment="1">
      <alignment horizontal="left" wrapText="1"/>
    </xf>
    <xf numFmtId="0" fontId="11" fillId="0" borderId="5" xfId="19" applyFont="1" applyFill="1" applyBorder="1" applyAlignment="1">
      <alignment horizontal="left" wrapText="1"/>
    </xf>
    <xf numFmtId="167" fontId="104" fillId="0" borderId="5" xfId="19" applyNumberFormat="1" applyFont="1" applyFill="1" applyBorder="1" applyAlignment="1">
      <alignment horizontal="left" wrapText="1"/>
    </xf>
    <xf numFmtId="15" fontId="104" fillId="0" borderId="5" xfId="19" applyNumberFormat="1" applyFont="1" applyFill="1" applyBorder="1" applyAlignment="1">
      <alignment horizontal="left" wrapText="1"/>
    </xf>
    <xf numFmtId="0" fontId="103" fillId="0" borderId="11" xfId="19" quotePrefix="1" applyFont="1" applyFill="1" applyBorder="1" applyAlignment="1">
      <alignment horizontal="center" wrapText="1"/>
    </xf>
    <xf numFmtId="0" fontId="103" fillId="0" borderId="9" xfId="19" applyFont="1" applyFill="1" applyBorder="1" applyAlignment="1">
      <alignment horizontal="left" vertical="center" wrapText="1"/>
    </xf>
    <xf numFmtId="0" fontId="100" fillId="0" borderId="11" xfId="19" quotePrefix="1" applyFont="1" applyFill="1" applyBorder="1" applyAlignment="1">
      <alignment horizontal="center" wrapText="1"/>
    </xf>
    <xf numFmtId="167" fontId="100" fillId="0" borderId="13" xfId="19" applyNumberFormat="1" applyFont="1" applyFill="1" applyBorder="1" applyAlignment="1">
      <alignment horizontal="center" wrapText="1"/>
    </xf>
    <xf numFmtId="0" fontId="100" fillId="0" borderId="9" xfId="19" quotePrefix="1" applyFont="1" applyFill="1" applyBorder="1" applyAlignment="1">
      <alignment horizontal="left" vertical="center" wrapText="1"/>
    </xf>
    <xf numFmtId="0" fontId="126" fillId="0" borderId="9" xfId="19" applyFont="1" applyFill="1" applyBorder="1" applyAlignment="1">
      <alignment horizontal="left" vertical="center" wrapText="1"/>
    </xf>
    <xf numFmtId="0" fontId="104" fillId="0" borderId="11" xfId="19" quotePrefix="1" applyFont="1" applyFill="1" applyBorder="1" applyAlignment="1">
      <alignment horizontal="center" wrapText="1"/>
    </xf>
    <xf numFmtId="0" fontId="104" fillId="0" borderId="11" xfId="19" quotePrefix="1" applyFont="1" applyFill="1" applyBorder="1" applyAlignment="1">
      <alignment horizontal="left" wrapText="1"/>
    </xf>
    <xf numFmtId="167" fontId="104" fillId="0" borderId="13" xfId="19" applyNumberFormat="1" applyFont="1" applyFill="1" applyBorder="1" applyAlignment="1">
      <alignment horizontal="center" wrapText="1"/>
    </xf>
    <xf numFmtId="0" fontId="104" fillId="0" borderId="9" xfId="19" applyFont="1" applyFill="1" applyBorder="1" applyAlignment="1">
      <alignment horizontal="left" vertical="center" wrapText="1"/>
    </xf>
    <xf numFmtId="0" fontId="100" fillId="0" borderId="11" xfId="19" quotePrefix="1" applyFont="1" applyFill="1" applyBorder="1" applyAlignment="1">
      <alignment horizontal="left" wrapText="1"/>
    </xf>
    <xf numFmtId="0" fontId="100" fillId="0" borderId="9" xfId="19" applyFont="1" applyFill="1" applyBorder="1" applyAlignment="1">
      <alignment horizontal="left" vertical="center" wrapText="1"/>
    </xf>
    <xf numFmtId="0" fontId="104" fillId="0" borderId="9" xfId="19" quotePrefix="1" applyFont="1" applyFill="1" applyBorder="1" applyAlignment="1">
      <alignment horizontal="left" vertical="center" wrapText="1"/>
    </xf>
    <xf numFmtId="0" fontId="113" fillId="0" borderId="9" xfId="19" applyFont="1" applyFill="1" applyBorder="1" applyAlignment="1">
      <alignment horizontal="left" vertical="center" wrapText="1"/>
    </xf>
    <xf numFmtId="0" fontId="114" fillId="0" borderId="9" xfId="19" applyFont="1" applyFill="1" applyBorder="1" applyAlignment="1">
      <alignment horizontal="left" vertical="center" wrapText="1"/>
    </xf>
    <xf numFmtId="0" fontId="103" fillId="0" borderId="9" xfId="19" quotePrefix="1" applyFont="1" applyFill="1" applyBorder="1" applyAlignment="1">
      <alignment horizontal="left" vertical="center" wrapText="1"/>
    </xf>
    <xf numFmtId="0" fontId="103" fillId="0" borderId="9" xfId="19" applyFont="1" applyFill="1" applyBorder="1" applyAlignment="1">
      <alignment horizontal="left" vertical="top" wrapText="1"/>
    </xf>
    <xf numFmtId="0" fontId="103" fillId="0" borderId="11" xfId="19" applyFont="1" applyFill="1" applyBorder="1" applyAlignment="1">
      <alignment horizontal="center" wrapText="1"/>
    </xf>
    <xf numFmtId="0" fontId="4" fillId="0" borderId="0" xfId="19" applyFill="1" applyAlignment="1">
      <alignment horizontal="center" wrapText="1"/>
    </xf>
    <xf numFmtId="15" fontId="4" fillId="0" borderId="0" xfId="19" applyNumberFormat="1" applyFill="1" applyAlignment="1">
      <alignment horizontal="center" wrapText="1"/>
    </xf>
    <xf numFmtId="0" fontId="109" fillId="0" borderId="5" xfId="19" quotePrefix="1" applyFont="1" applyFill="1" applyBorder="1" applyAlignment="1">
      <alignment horizontal="center" vertical="center" wrapText="1"/>
    </xf>
    <xf numFmtId="0" fontId="109" fillId="0" borderId="5" xfId="19" applyFont="1" applyFill="1" applyBorder="1" applyAlignment="1">
      <alignment horizontal="left" vertical="top" wrapText="1"/>
    </xf>
    <xf numFmtId="0" fontId="109" fillId="0" borderId="5" xfId="19" applyFont="1" applyFill="1" applyBorder="1" applyAlignment="1">
      <alignment horizontal="left" wrapText="1"/>
    </xf>
    <xf numFmtId="0" fontId="109" fillId="0" borderId="5" xfId="19" applyNumberFormat="1" applyFont="1" applyFill="1" applyBorder="1" applyAlignment="1">
      <alignment horizontal="left" wrapText="1"/>
    </xf>
    <xf numFmtId="0" fontId="115" fillId="0" borderId="5" xfId="19" applyFont="1" applyFill="1" applyBorder="1" applyAlignment="1">
      <alignment horizontal="left" vertical="top" wrapText="1"/>
    </xf>
    <xf numFmtId="167" fontId="109" fillId="0" borderId="5" xfId="19" applyNumberFormat="1" applyFont="1" applyFill="1" applyBorder="1" applyAlignment="1">
      <alignment horizontal="center" vertical="top" wrapText="1"/>
    </xf>
    <xf numFmtId="15" fontId="109" fillId="0" borderId="5" xfId="19" applyNumberFormat="1" applyFont="1" applyFill="1" applyBorder="1" applyAlignment="1">
      <alignment horizontal="center" vertical="top" wrapText="1"/>
    </xf>
    <xf numFmtId="0" fontId="115" fillId="0" borderId="5" xfId="19" applyNumberFormat="1" applyFont="1" applyFill="1" applyBorder="1" applyAlignment="1">
      <alignment horizontal="left" vertical="top" wrapText="1"/>
    </xf>
    <xf numFmtId="0" fontId="108" fillId="0" borderId="5" xfId="19" applyNumberFormat="1" applyFont="1" applyFill="1" applyBorder="1" applyAlignment="1">
      <alignment horizontal="left" vertical="center" wrapText="1"/>
    </xf>
    <xf numFmtId="0" fontId="100" fillId="0" borderId="5" xfId="19" applyNumberFormat="1" applyFont="1" applyFill="1" applyBorder="1" applyAlignment="1">
      <alignment horizontal="left" vertical="center" wrapText="1"/>
    </xf>
    <xf numFmtId="0" fontId="110" fillId="0" borderId="5" xfId="19" quotePrefix="1" applyNumberFormat="1" applyFont="1" applyFill="1" applyBorder="1" applyAlignment="1">
      <alignment horizontal="left" vertical="center" wrapText="1"/>
    </xf>
    <xf numFmtId="0" fontId="117" fillId="0" borderId="5" xfId="19" applyNumberFormat="1" applyFont="1" applyFill="1" applyBorder="1" applyAlignment="1">
      <alignment horizontal="left" vertical="center" wrapText="1"/>
    </xf>
    <xf numFmtId="0" fontId="109" fillId="0" borderId="5" xfId="19" quotePrefix="1" applyFont="1" applyFill="1" applyBorder="1" applyAlignment="1">
      <alignment horizontal="left" vertical="center" wrapText="1"/>
    </xf>
    <xf numFmtId="0" fontId="117" fillId="0" borderId="5" xfId="19" quotePrefix="1" applyFont="1" applyFill="1" applyBorder="1" applyAlignment="1">
      <alignment horizontal="center" wrapText="1"/>
    </xf>
    <xf numFmtId="0" fontId="117" fillId="0" borderId="5" xfId="19" applyFont="1" applyFill="1" applyBorder="1" applyAlignment="1">
      <alignment horizontal="left" wrapText="1"/>
    </xf>
    <xf numFmtId="0" fontId="123" fillId="0" borderId="5" xfId="19" applyFont="1" applyFill="1" applyBorder="1" applyAlignment="1">
      <alignment horizontal="left" vertical="top" wrapText="1"/>
    </xf>
    <xf numFmtId="16" fontId="109" fillId="0" borderId="5" xfId="19" applyNumberFormat="1" applyFont="1" applyFill="1" applyBorder="1" applyAlignment="1">
      <alignment horizontal="left" vertical="center" wrapText="1"/>
    </xf>
    <xf numFmtId="15" fontId="55" fillId="4" borderId="41" xfId="0" applyNumberFormat="1" applyFont="1" applyFill="1" applyBorder="1" applyAlignment="1">
      <alignment horizontal="center"/>
    </xf>
    <xf numFmtId="0" fontId="48" fillId="13" borderId="39" xfId="0" applyFont="1" applyFill="1" applyBorder="1" applyAlignment="1" applyProtection="1">
      <alignment vertical="center"/>
      <protection locked="0"/>
    </xf>
    <xf numFmtId="0" fontId="48" fillId="13" borderId="38" xfId="0" applyFont="1" applyFill="1" applyBorder="1" applyAlignment="1" applyProtection="1">
      <alignment vertical="center"/>
      <protection locked="0"/>
    </xf>
    <xf numFmtId="3" fontId="86" fillId="7" borderId="0" xfId="0" applyNumberFormat="1" applyFont="1" applyFill="1" applyBorder="1" applyAlignment="1">
      <alignment horizontal="center"/>
    </xf>
    <xf numFmtId="0" fontId="18" fillId="2" borderId="51" xfId="13" applyFont="1" applyFill="1" applyBorder="1" applyAlignment="1" applyProtection="1">
      <alignment vertical="center" wrapText="1"/>
    </xf>
    <xf numFmtId="0" fontId="72" fillId="18" borderId="8" xfId="13" applyFont="1" applyFill="1" applyBorder="1" applyAlignment="1" applyProtection="1">
      <alignment horizontal="center"/>
    </xf>
    <xf numFmtId="0" fontId="54" fillId="0" borderId="5" xfId="0" applyFont="1" applyFill="1" applyBorder="1" applyAlignment="1" applyProtection="1">
      <alignment horizontal="left" vertical="center"/>
      <protection locked="0"/>
    </xf>
    <xf numFmtId="4" fontId="9" fillId="6" borderId="5" xfId="18" applyNumberFormat="1" applyFont="1" applyFill="1" applyBorder="1" applyAlignment="1">
      <alignment horizontal="right"/>
    </xf>
    <xf numFmtId="4" fontId="18" fillId="11" borderId="5" xfId="6" applyNumberFormat="1" applyFont="1" applyFill="1" applyBorder="1" applyAlignment="1">
      <alignment horizontal="center" vertical="center" wrapText="1"/>
    </xf>
    <xf numFmtId="164" fontId="76" fillId="0" borderId="5" xfId="0" applyNumberFormat="1" applyFont="1" applyFill="1" applyBorder="1"/>
    <xf numFmtId="0" fontId="103" fillId="0" borderId="17" xfId="19" quotePrefix="1" applyFont="1" applyFill="1" applyBorder="1" applyAlignment="1">
      <alignment horizontal="center" wrapText="1"/>
    </xf>
    <xf numFmtId="0" fontId="100" fillId="0" borderId="17" xfId="19" quotePrefix="1" applyFont="1" applyFill="1" applyBorder="1" applyAlignment="1">
      <alignment horizontal="center" wrapText="1"/>
    </xf>
    <xf numFmtId="0" fontId="104" fillId="0" borderId="17" xfId="19" quotePrefix="1" applyFont="1" applyFill="1" applyBorder="1" applyAlignment="1">
      <alignment horizontal="center" wrapText="1"/>
    </xf>
    <xf numFmtId="0" fontId="103" fillId="0" borderId="17" xfId="19" applyFont="1" applyFill="1" applyBorder="1" applyAlignment="1">
      <alignment horizontal="center" wrapText="1"/>
    </xf>
    <xf numFmtId="0" fontId="132" fillId="13" borderId="13" xfId="19" quotePrefix="1" applyFont="1" applyFill="1" applyBorder="1" applyAlignment="1">
      <alignment horizontal="center" wrapText="1"/>
    </xf>
    <xf numFmtId="0" fontId="132" fillId="13" borderId="13" xfId="19" applyFont="1" applyFill="1" applyBorder="1" applyAlignment="1">
      <alignment horizontal="left" wrapText="1"/>
    </xf>
    <xf numFmtId="167" fontId="132" fillId="13" borderId="13" xfId="19" applyNumberFormat="1" applyFont="1" applyFill="1" applyBorder="1" applyAlignment="1">
      <alignment horizontal="center" wrapText="1"/>
    </xf>
    <xf numFmtId="15" fontId="132" fillId="13" borderId="13" xfId="19" applyNumberFormat="1" applyFont="1" applyFill="1" applyBorder="1" applyAlignment="1">
      <alignment horizontal="center" wrapText="1"/>
    </xf>
    <xf numFmtId="0" fontId="133" fillId="13" borderId="13" xfId="19" applyFont="1" applyFill="1" applyBorder="1" applyAlignment="1">
      <alignment horizontal="left" vertical="center" wrapText="1"/>
    </xf>
    <xf numFmtId="0" fontId="132" fillId="0" borderId="13" xfId="19" quotePrefix="1" applyFont="1" applyFill="1" applyBorder="1" applyAlignment="1">
      <alignment horizontal="center" wrapText="1"/>
    </xf>
    <xf numFmtId="0" fontId="132" fillId="0" borderId="13" xfId="19" applyFont="1" applyFill="1" applyBorder="1" applyAlignment="1">
      <alignment horizontal="left" wrapText="1"/>
    </xf>
    <xf numFmtId="167" fontId="132" fillId="0" borderId="13" xfId="19" applyNumberFormat="1" applyFont="1" applyFill="1" applyBorder="1" applyAlignment="1">
      <alignment horizontal="center" wrapText="1"/>
    </xf>
    <xf numFmtId="15" fontId="132" fillId="0" borderId="13" xfId="19" applyNumberFormat="1" applyFont="1" applyFill="1" applyBorder="1" applyAlignment="1">
      <alignment horizontal="center" wrapText="1"/>
    </xf>
    <xf numFmtId="0" fontId="133" fillId="0" borderId="13" xfId="19" applyFont="1" applyFill="1" applyBorder="1" applyAlignment="1">
      <alignment horizontal="left" vertical="center" wrapText="1"/>
    </xf>
    <xf numFmtId="167" fontId="133" fillId="0" borderId="13" xfId="19" applyNumberFormat="1" applyFont="1" applyFill="1" applyBorder="1" applyAlignment="1">
      <alignment horizontal="center" wrapText="1"/>
    </xf>
    <xf numFmtId="15" fontId="133" fillId="0" borderId="13" xfId="19" applyNumberFormat="1" applyFont="1" applyFill="1" applyBorder="1" applyAlignment="1">
      <alignment horizontal="center" wrapText="1"/>
    </xf>
    <xf numFmtId="0" fontId="134" fillId="13" borderId="13" xfId="19" applyFont="1" applyFill="1" applyBorder="1" applyAlignment="1">
      <alignment horizontal="left" wrapText="1"/>
    </xf>
    <xf numFmtId="0" fontId="130" fillId="0" borderId="13" xfId="19" quotePrefix="1" applyFont="1" applyFill="1" applyBorder="1" applyAlignment="1">
      <alignment horizontal="center" wrapText="1"/>
    </xf>
    <xf numFmtId="3" fontId="86" fillId="6" borderId="0" xfId="0" applyNumberFormat="1" applyFont="1" applyFill="1" applyBorder="1" applyAlignment="1">
      <alignment horizontal="center"/>
    </xf>
    <xf numFmtId="0" fontId="9" fillId="0" borderId="58" xfId="0" applyFont="1" applyBorder="1" applyAlignment="1">
      <alignment horizontal="center" vertical="center"/>
    </xf>
    <xf numFmtId="0" fontId="54" fillId="0" borderId="58" xfId="0" applyFont="1" applyFill="1" applyBorder="1" applyAlignment="1" applyProtection="1">
      <alignment horizontal="left" vertical="center"/>
      <protection locked="0"/>
    </xf>
    <xf numFmtId="0" fontId="54" fillId="0" borderId="11" xfId="0" applyFont="1" applyFill="1" applyBorder="1" applyAlignment="1" applyProtection="1">
      <alignment horizontal="left" vertical="center" indent="1"/>
      <protection locked="0"/>
    </xf>
    <xf numFmtId="0" fontId="54" fillId="0" borderId="57" xfId="0" applyFont="1" applyFill="1" applyBorder="1" applyAlignment="1" applyProtection="1">
      <alignment horizontal="left" vertical="center" indent="1"/>
      <protection locked="0"/>
    </xf>
    <xf numFmtId="0" fontId="80" fillId="0" borderId="14" xfId="13" applyFont="1" applyFill="1" applyBorder="1" applyAlignment="1" applyProtection="1">
      <alignment horizontal="center" vertical="center" wrapText="1"/>
    </xf>
    <xf numFmtId="165" fontId="80" fillId="0" borderId="25" xfId="20" applyFont="1" applyBorder="1" applyAlignment="1">
      <alignment vertical="center"/>
    </xf>
    <xf numFmtId="49" fontId="18" fillId="26" borderId="18" xfId="0" applyNumberFormat="1" applyFont="1" applyFill="1" applyBorder="1" applyAlignment="1" applyProtection="1"/>
    <xf numFmtId="49" fontId="18" fillId="26" borderId="37" xfId="0" applyNumberFormat="1" applyFont="1" applyFill="1" applyBorder="1" applyAlignment="1" applyProtection="1"/>
    <xf numFmtId="0" fontId="9" fillId="26" borderId="0" xfId="0" applyFont="1" applyFill="1"/>
    <xf numFmtId="0" fontId="0" fillId="26" borderId="5" xfId="0" applyFill="1" applyBorder="1"/>
    <xf numFmtId="0" fontId="10" fillId="26" borderId="5" xfId="0" applyFont="1" applyFill="1" applyBorder="1" applyProtection="1"/>
    <xf numFmtId="0" fontId="18" fillId="26" borderId="5" xfId="0" applyFont="1" applyFill="1" applyBorder="1" applyAlignment="1" applyProtection="1">
      <alignment horizontal="center"/>
    </xf>
    <xf numFmtId="0" fontId="10" fillId="26" borderId="5" xfId="0" applyFont="1" applyFill="1" applyBorder="1" applyAlignment="1" applyProtection="1">
      <alignment horizontal="left"/>
    </xf>
    <xf numFmtId="0" fontId="31" fillId="26" borderId="6" xfId="0" applyFont="1" applyFill="1" applyBorder="1" applyAlignment="1">
      <alignment horizontal="center"/>
    </xf>
    <xf numFmtId="0" fontId="31" fillId="26" borderId="33" xfId="0" applyFont="1" applyFill="1" applyBorder="1" applyAlignment="1">
      <alignment horizontal="center"/>
    </xf>
    <xf numFmtId="0" fontId="89" fillId="26" borderId="5" xfId="13" applyFont="1" applyFill="1" applyBorder="1"/>
    <xf numFmtId="0" fontId="91" fillId="26" borderId="5" xfId="13" applyFont="1" applyFill="1" applyBorder="1" applyAlignment="1"/>
    <xf numFmtId="0" fontId="11" fillId="26" borderId="31" xfId="0" applyFont="1" applyFill="1" applyBorder="1" applyAlignment="1">
      <alignment horizontal="left" indent="1"/>
    </xf>
    <xf numFmtId="0" fontId="11" fillId="26" borderId="32" xfId="0" applyFont="1" applyFill="1" applyBorder="1" applyAlignment="1">
      <alignment horizontal="left" indent="1"/>
    </xf>
    <xf numFmtId="0" fontId="28" fillId="12" borderId="5" xfId="0" applyFont="1" applyFill="1" applyBorder="1" applyAlignment="1">
      <alignment horizontal="center" wrapText="1"/>
    </xf>
    <xf numFmtId="0" fontId="138" fillId="27" borderId="5" xfId="0" applyFont="1" applyFill="1" applyBorder="1" applyAlignment="1">
      <alignment horizontal="center" wrapText="1"/>
    </xf>
    <xf numFmtId="0" fontId="28" fillId="14" borderId="5" xfId="0" applyFont="1" applyFill="1" applyBorder="1" applyAlignment="1">
      <alignment horizontal="center" wrapText="1"/>
    </xf>
    <xf numFmtId="174" fontId="28" fillId="12" borderId="5" xfId="0" applyNumberFormat="1" applyFont="1" applyFill="1" applyBorder="1"/>
    <xf numFmtId="44" fontId="28" fillId="12" borderId="5" xfId="0" applyNumberFormat="1" applyFont="1" applyFill="1" applyBorder="1"/>
    <xf numFmtId="164" fontId="138" fillId="27" borderId="5" xfId="2" applyFont="1" applyFill="1" applyBorder="1" applyAlignment="1">
      <alignment horizontal="center"/>
    </xf>
    <xf numFmtId="44" fontId="60" fillId="9" borderId="0" xfId="0" applyNumberFormat="1" applyFont="1" applyFill="1" applyBorder="1" applyAlignment="1">
      <alignment horizontal="center"/>
    </xf>
    <xf numFmtId="15" fontId="139" fillId="0" borderId="13" xfId="13" applyNumberFormat="1" applyFont="1" applyBorder="1"/>
    <xf numFmtId="15" fontId="139" fillId="0" borderId="13" xfId="13" applyNumberFormat="1" applyFont="1" applyBorder="1" applyAlignment="1">
      <alignment horizontal="left"/>
    </xf>
    <xf numFmtId="0" fontId="139" fillId="0" borderId="13" xfId="13" applyFont="1" applyBorder="1"/>
    <xf numFmtId="164" fontId="139" fillId="0" borderId="13" xfId="2" applyFont="1" applyBorder="1"/>
    <xf numFmtId="16" fontId="139" fillId="0" borderId="13" xfId="13" applyNumberFormat="1" applyFont="1" applyBorder="1" applyAlignment="1">
      <alignment horizontal="center"/>
    </xf>
    <xf numFmtId="0" fontId="139" fillId="0" borderId="54" xfId="13" applyFont="1" applyBorder="1"/>
    <xf numFmtId="0" fontId="139" fillId="0" borderId="5" xfId="13" applyFont="1" applyBorder="1"/>
    <xf numFmtId="4" fontId="139" fillId="0" borderId="5" xfId="13" applyNumberFormat="1" applyFont="1" applyBorder="1"/>
    <xf numFmtId="0" fontId="28" fillId="18" borderId="5" xfId="0" applyFont="1" applyFill="1" applyBorder="1" applyAlignment="1">
      <alignment horizontal="center" wrapText="1"/>
    </xf>
    <xf numFmtId="174" fontId="28" fillId="18" borderId="5" xfId="0" applyNumberFormat="1" applyFont="1" applyFill="1" applyBorder="1"/>
    <xf numFmtId="44" fontId="28" fillId="18" borderId="5" xfId="0" applyNumberFormat="1" applyFont="1" applyFill="1" applyBorder="1"/>
    <xf numFmtId="0" fontId="28" fillId="28" borderId="5" xfId="0" applyFont="1" applyFill="1" applyBorder="1" applyAlignment="1">
      <alignment horizontal="center" wrapText="1"/>
    </xf>
    <xf numFmtId="174" fontId="28" fillId="28" borderId="5" xfId="0" applyNumberFormat="1" applyFont="1" applyFill="1" applyBorder="1"/>
    <xf numFmtId="44" fontId="28" fillId="28" borderId="5" xfId="0" applyNumberFormat="1" applyFont="1" applyFill="1" applyBorder="1"/>
    <xf numFmtId="44" fontId="92" fillId="0" borderId="5" xfId="0" applyNumberFormat="1" applyFont="1" applyFill="1" applyBorder="1"/>
    <xf numFmtId="8" fontId="28" fillId="0" borderId="5" xfId="0" applyNumberFormat="1" applyFont="1" applyFill="1" applyBorder="1"/>
    <xf numFmtId="8" fontId="60" fillId="9" borderId="5" xfId="0" applyNumberFormat="1" applyFont="1" applyFill="1" applyBorder="1" applyAlignment="1">
      <alignment horizontal="right"/>
    </xf>
    <xf numFmtId="0" fontId="28" fillId="13" borderId="5" xfId="0" applyFont="1" applyFill="1" applyBorder="1" applyAlignment="1">
      <alignment horizontal="center" wrapText="1"/>
    </xf>
    <xf numFmtId="0" fontId="59" fillId="0" borderId="0" xfId="0" applyFont="1" applyFill="1"/>
    <xf numFmtId="0" fontId="28" fillId="11" borderId="5" xfId="0" applyFont="1" applyFill="1" applyBorder="1" applyAlignment="1">
      <alignment horizontal="center" wrapText="1"/>
    </xf>
    <xf numFmtId="174" fontId="28" fillId="11" borderId="5" xfId="0" applyNumberFormat="1" applyFont="1" applyFill="1" applyBorder="1"/>
    <xf numFmtId="1" fontId="0" fillId="0" borderId="0" xfId="6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164" fontId="59" fillId="0" borderId="0" xfId="13" applyNumberFormat="1" applyFont="1"/>
    <xf numFmtId="164" fontId="9" fillId="0" borderId="0" xfId="13" applyNumberFormat="1"/>
    <xf numFmtId="0" fontId="28" fillId="29" borderId="5" xfId="0" applyFont="1" applyFill="1" applyBorder="1" applyAlignment="1">
      <alignment horizontal="center" wrapText="1"/>
    </xf>
    <xf numFmtId="174" fontId="28" fillId="29" borderId="5" xfId="0" applyNumberFormat="1" applyFont="1" applyFill="1" applyBorder="1"/>
    <xf numFmtId="44" fontId="28" fillId="29" borderId="5" xfId="0" applyNumberFormat="1" applyFont="1" applyFill="1" applyBorder="1"/>
    <xf numFmtId="174" fontId="0" fillId="0" borderId="0" xfId="0" applyNumberFormat="1" applyAlignment="1">
      <alignment horizontal="center"/>
    </xf>
    <xf numFmtId="0" fontId="11" fillId="4" borderId="23" xfId="0" applyFont="1" applyFill="1" applyBorder="1" applyAlignment="1">
      <alignment horizontal="right"/>
    </xf>
    <xf numFmtId="0" fontId="11" fillId="4" borderId="7" xfId="0" applyFont="1" applyFill="1" applyBorder="1" applyAlignment="1">
      <alignment horizontal="right"/>
    </xf>
    <xf numFmtId="0" fontId="85" fillId="4" borderId="24" xfId="0" applyFont="1" applyFill="1" applyBorder="1" applyAlignment="1">
      <alignment horizontal="center"/>
    </xf>
    <xf numFmtId="0" fontId="11" fillId="4" borderId="35" xfId="0" applyFont="1" applyFill="1" applyBorder="1" applyAlignment="1">
      <alignment horizontal="center"/>
    </xf>
    <xf numFmtId="0" fontId="66" fillId="4" borderId="24" xfId="0" applyFont="1" applyFill="1" applyBorder="1" applyAlignment="1">
      <alignment horizontal="center"/>
    </xf>
    <xf numFmtId="0" fontId="28" fillId="26" borderId="5" xfId="0" applyFont="1" applyFill="1" applyBorder="1" applyAlignment="1">
      <alignment horizontal="center" wrapText="1"/>
    </xf>
    <xf numFmtId="174" fontId="28" fillId="26" borderId="5" xfId="0" applyNumberFormat="1" applyFont="1" applyFill="1" applyBorder="1"/>
    <xf numFmtId="44" fontId="28" fillId="26" borderId="5" xfId="0" applyNumberFormat="1" applyFont="1" applyFill="1" applyBorder="1"/>
    <xf numFmtId="0" fontId="28" fillId="20" borderId="5" xfId="0" applyFont="1" applyFill="1" applyBorder="1" applyAlignment="1">
      <alignment horizontal="center" wrapText="1"/>
    </xf>
    <xf numFmtId="174" fontId="28" fillId="20" borderId="5" xfId="0" applyNumberFormat="1" applyFont="1" applyFill="1" applyBorder="1"/>
    <xf numFmtId="44" fontId="28" fillId="20" borderId="5" xfId="0" applyNumberFormat="1" applyFont="1" applyFill="1" applyBorder="1"/>
    <xf numFmtId="15" fontId="11" fillId="0" borderId="5" xfId="0" quotePrefix="1" applyNumberFormat="1" applyFont="1" applyFill="1" applyBorder="1" applyAlignment="1">
      <alignment horizontal="center"/>
    </xf>
    <xf numFmtId="0" fontId="12" fillId="0" borderId="7" xfId="0" applyFont="1" applyBorder="1" applyAlignment="1">
      <alignment horizontal="left"/>
    </xf>
    <xf numFmtId="174" fontId="28" fillId="14" borderId="5" xfId="0" applyNumberFormat="1" applyFont="1" applyFill="1" applyBorder="1"/>
    <xf numFmtId="44" fontId="28" fillId="14" borderId="5" xfId="0" applyNumberFormat="1" applyFont="1" applyFill="1" applyBorder="1"/>
    <xf numFmtId="0" fontId="39" fillId="4" borderId="26" xfId="0" applyFont="1" applyFill="1" applyBorder="1" applyAlignment="1">
      <alignment horizontal="center"/>
    </xf>
    <xf numFmtId="0" fontId="0" fillId="4" borderId="25" xfId="0" applyFill="1" applyBorder="1"/>
    <xf numFmtId="0" fontId="28" fillId="30" borderId="5" xfId="0" applyFont="1" applyFill="1" applyBorder="1" applyAlignment="1">
      <alignment horizontal="center" wrapText="1"/>
    </xf>
    <xf numFmtId="174" fontId="28" fillId="30" borderId="5" xfId="0" applyNumberFormat="1" applyFont="1" applyFill="1" applyBorder="1"/>
    <xf numFmtId="44" fontId="28" fillId="30" borderId="5" xfId="0" applyNumberFormat="1" applyFont="1" applyFill="1" applyBorder="1"/>
    <xf numFmtId="0" fontId="53" fillId="0" borderId="10" xfId="0" applyFont="1" applyBorder="1" applyAlignment="1">
      <alignment horizontal="left" vertical="center"/>
    </xf>
    <xf numFmtId="0" fontId="53" fillId="0" borderId="2" xfId="0" applyFont="1" applyBorder="1" applyAlignment="1">
      <alignment horizontal="left" vertical="center"/>
    </xf>
    <xf numFmtId="0" fontId="53" fillId="0" borderId="17" xfId="0" applyFont="1" applyBorder="1" applyAlignment="1">
      <alignment horizontal="left" vertical="center"/>
    </xf>
    <xf numFmtId="0" fontId="76" fillId="0" borderId="2" xfId="0" applyFont="1" applyBorder="1" applyAlignment="1">
      <alignment horizontal="left" vertical="center"/>
    </xf>
    <xf numFmtId="0" fontId="76" fillId="0" borderId="17" xfId="0" applyFont="1" applyBorder="1" applyAlignment="1">
      <alignment horizontal="left" vertical="center"/>
    </xf>
    <xf numFmtId="0" fontId="72" fillId="12" borderId="9" xfId="13" applyFont="1" applyFill="1" applyBorder="1" applyAlignment="1" applyProtection="1">
      <alignment horizontal="center"/>
    </xf>
    <xf numFmtId="0" fontId="72" fillId="13" borderId="9" xfId="13" applyFont="1" applyFill="1" applyBorder="1" applyAlignment="1" applyProtection="1">
      <alignment horizontal="center"/>
    </xf>
    <xf numFmtId="0" fontId="72" fillId="18" borderId="9" xfId="13" applyFont="1" applyFill="1" applyBorder="1" applyAlignment="1" applyProtection="1">
      <alignment horizontal="center"/>
    </xf>
    <xf numFmtId="164" fontId="28" fillId="0" borderId="24" xfId="2" applyFont="1" applyFill="1" applyBorder="1" applyAlignment="1">
      <alignment horizontal="left"/>
    </xf>
    <xf numFmtId="164" fontId="28" fillId="0" borderId="35" xfId="2" applyFont="1" applyFill="1" applyBorder="1" applyAlignment="1">
      <alignment horizontal="left"/>
    </xf>
    <xf numFmtId="0" fontId="53" fillId="0" borderId="62" xfId="0" applyFont="1" applyBorder="1" applyAlignment="1">
      <alignment horizontal="left" vertical="center"/>
    </xf>
    <xf numFmtId="0" fontId="53" fillId="0" borderId="63" xfId="0" applyFont="1" applyBorder="1" applyAlignment="1">
      <alignment horizontal="left" vertical="center"/>
    </xf>
    <xf numFmtId="0" fontId="11" fillId="0" borderId="12" xfId="0" applyFont="1" applyBorder="1" applyAlignment="1">
      <alignment horizontal="left" indent="1"/>
    </xf>
    <xf numFmtId="0" fontId="11" fillId="0" borderId="35" xfId="0" applyFont="1" applyBorder="1" applyAlignment="1">
      <alignment horizontal="left" indent="1"/>
    </xf>
    <xf numFmtId="0" fontId="28" fillId="16" borderId="5" xfId="0" applyFont="1" applyFill="1" applyBorder="1" applyAlignment="1">
      <alignment horizontal="center" wrapText="1"/>
    </xf>
    <xf numFmtId="174" fontId="28" fillId="16" borderId="5" xfId="0" applyNumberFormat="1" applyFont="1" applyFill="1" applyBorder="1"/>
    <xf numFmtId="44" fontId="28" fillId="16" borderId="5" xfId="0" applyNumberFormat="1" applyFont="1" applyFill="1" applyBorder="1"/>
    <xf numFmtId="4" fontId="9" fillId="0" borderId="5" xfId="2" applyNumberFormat="1" applyFont="1" applyFill="1" applyBorder="1"/>
    <xf numFmtId="4" fontId="9" fillId="14" borderId="5" xfId="2" applyNumberFormat="1" applyFont="1" applyFill="1" applyBorder="1"/>
    <xf numFmtId="173" fontId="9" fillId="6" borderId="5" xfId="2" applyNumberFormat="1" applyFont="1" applyFill="1" applyBorder="1" applyAlignment="1">
      <alignment horizontal="right"/>
    </xf>
    <xf numFmtId="0" fontId="28" fillId="31" borderId="5" xfId="0" applyFont="1" applyFill="1" applyBorder="1" applyAlignment="1">
      <alignment horizontal="center" wrapText="1"/>
    </xf>
    <xf numFmtId="174" fontId="28" fillId="31" borderId="5" xfId="0" applyNumberFormat="1" applyFont="1" applyFill="1" applyBorder="1"/>
    <xf numFmtId="44" fontId="28" fillId="31" borderId="5" xfId="0" applyNumberFormat="1" applyFont="1" applyFill="1" applyBorder="1"/>
    <xf numFmtId="0" fontId="76" fillId="0" borderId="10" xfId="0" applyFont="1" applyBorder="1" applyAlignment="1">
      <alignment horizontal="left" vertical="center"/>
    </xf>
    <xf numFmtId="0" fontId="53" fillId="0" borderId="10" xfId="0" applyFont="1" applyBorder="1" applyAlignment="1">
      <alignment horizontal="left" vertical="center"/>
    </xf>
    <xf numFmtId="0" fontId="28" fillId="32" borderId="5" xfId="0" applyFont="1" applyFill="1" applyBorder="1" applyAlignment="1">
      <alignment horizontal="center" wrapText="1"/>
    </xf>
    <xf numFmtId="174" fontId="28" fillId="32" borderId="5" xfId="0" applyNumberFormat="1" applyFont="1" applyFill="1" applyBorder="1"/>
    <xf numFmtId="44" fontId="28" fillId="32" borderId="5" xfId="0" applyNumberFormat="1" applyFont="1" applyFill="1" applyBorder="1"/>
    <xf numFmtId="0" fontId="76" fillId="0" borderId="2" xfId="0" applyFont="1" applyBorder="1" applyAlignment="1">
      <alignment horizontal="left" vertical="center"/>
    </xf>
    <xf numFmtId="0" fontId="76" fillId="0" borderId="43" xfId="0" applyFont="1" applyBorder="1" applyAlignment="1">
      <alignment horizontal="left" vertical="center"/>
    </xf>
    <xf numFmtId="0" fontId="53" fillId="0" borderId="10" xfId="0" applyFont="1" applyBorder="1" applyAlignment="1">
      <alignment horizontal="left"/>
    </xf>
    <xf numFmtId="0" fontId="53" fillId="0" borderId="2" xfId="0" applyFont="1" applyBorder="1" applyAlignment="1">
      <alignment horizontal="left"/>
    </xf>
    <xf numFmtId="0" fontId="53" fillId="0" borderId="43" xfId="0" applyFont="1" applyBorder="1" applyAlignment="1">
      <alignment horizontal="left"/>
    </xf>
    <xf numFmtId="0" fontId="84" fillId="0" borderId="2" xfId="0" applyFont="1" applyBorder="1" applyAlignment="1">
      <alignment horizontal="left"/>
    </xf>
    <xf numFmtId="0" fontId="84" fillId="0" borderId="43" xfId="0" applyFont="1" applyBorder="1" applyAlignment="1">
      <alignment horizontal="left"/>
    </xf>
    <xf numFmtId="9" fontId="141" fillId="0" borderId="3" xfId="0" applyNumberFormat="1" applyFont="1" applyBorder="1" applyAlignment="1" applyProtection="1">
      <alignment horizontal="center"/>
    </xf>
    <xf numFmtId="9" fontId="141" fillId="0" borderId="4" xfId="6" applyFont="1" applyBorder="1" applyAlignment="1" applyProtection="1">
      <alignment horizontal="center"/>
    </xf>
    <xf numFmtId="4" fontId="141" fillId="0" borderId="4" xfId="0" applyNumberFormat="1" applyFont="1" applyFill="1" applyBorder="1" applyAlignment="1" applyProtection="1">
      <alignment horizontal="center"/>
    </xf>
    <xf numFmtId="2" fontId="142" fillId="0" borderId="4" xfId="0" applyNumberFormat="1" applyFont="1" applyFill="1" applyBorder="1" applyAlignment="1" applyProtection="1">
      <alignment horizontal="center"/>
    </xf>
    <xf numFmtId="0" fontId="142" fillId="0" borderId="5" xfId="0" applyFont="1" applyBorder="1" applyAlignment="1" applyProtection="1">
      <alignment horizontal="center" vertical="center" wrapText="1"/>
    </xf>
    <xf numFmtId="0" fontId="142" fillId="0" borderId="5" xfId="0" applyFont="1" applyFill="1" applyBorder="1" applyAlignment="1" applyProtection="1">
      <alignment horizontal="center" vertical="center" wrapText="1"/>
    </xf>
    <xf numFmtId="0" fontId="53" fillId="0" borderId="10" xfId="0" applyFont="1" applyBorder="1" applyAlignment="1">
      <alignment horizontal="left"/>
    </xf>
    <xf numFmtId="0" fontId="76" fillId="0" borderId="10" xfId="0" applyFont="1" applyBorder="1" applyAlignment="1">
      <alignment horizontal="left" vertical="center"/>
    </xf>
    <xf numFmtId="0" fontId="53" fillId="0" borderId="10" xfId="0" applyFont="1" applyBorder="1" applyAlignment="1">
      <alignment horizontal="left" vertical="center"/>
    </xf>
    <xf numFmtId="0" fontId="76" fillId="0" borderId="10" xfId="0" applyFont="1" applyBorder="1" applyAlignment="1">
      <alignment horizontal="left" vertical="center"/>
    </xf>
    <xf numFmtId="0" fontId="76" fillId="0" borderId="2" xfId="0" applyFont="1" applyBorder="1" applyAlignment="1">
      <alignment horizontal="left" vertical="center"/>
    </xf>
    <xf numFmtId="0" fontId="76" fillId="0" borderId="43" xfId="0" applyFont="1" applyBorder="1" applyAlignment="1">
      <alignment horizontal="left" vertical="center"/>
    </xf>
    <xf numFmtId="0" fontId="53" fillId="0" borderId="10" xfId="0" applyFont="1" applyBorder="1" applyAlignment="1">
      <alignment horizontal="left"/>
    </xf>
    <xf numFmtId="0" fontId="53" fillId="0" borderId="2" xfId="0" applyFont="1" applyBorder="1" applyAlignment="1">
      <alignment horizontal="left"/>
    </xf>
    <xf numFmtId="0" fontId="53" fillId="0" borderId="43" xfId="0" applyFont="1" applyBorder="1" applyAlignment="1">
      <alignment horizontal="left"/>
    </xf>
    <xf numFmtId="0" fontId="84" fillId="0" borderId="2" xfId="0" applyFont="1" applyBorder="1" applyAlignment="1">
      <alignment horizontal="left"/>
    </xf>
    <xf numFmtId="0" fontId="84" fillId="0" borderId="43" xfId="0" applyFont="1" applyBorder="1" applyAlignment="1">
      <alignment horizontal="left"/>
    </xf>
    <xf numFmtId="0" fontId="53" fillId="0" borderId="10" xfId="0" applyFont="1" applyBorder="1" applyAlignment="1">
      <alignment horizontal="left"/>
    </xf>
    <xf numFmtId="1" fontId="81" fillId="0" borderId="5" xfId="0" applyNumberFormat="1" applyFont="1" applyBorder="1" applyAlignment="1" applyProtection="1">
      <alignment horizontal="center"/>
    </xf>
    <xf numFmtId="0" fontId="53" fillId="0" borderId="10" xfId="0" applyFont="1" applyBorder="1" applyAlignment="1">
      <alignment horizontal="left" vertical="center"/>
    </xf>
    <xf numFmtId="0" fontId="10" fillId="26" borderId="5" xfId="0" applyFont="1" applyFill="1" applyBorder="1" applyAlignment="1" applyProtection="1">
      <alignment horizontal="left"/>
    </xf>
    <xf numFmtId="0" fontId="18" fillId="0" borderId="1" xfId="0" applyFont="1" applyBorder="1" applyProtection="1"/>
    <xf numFmtId="171" fontId="9" fillId="6" borderId="5" xfId="18" quotePrefix="1" applyNumberFormat="1" applyFont="1" applyFill="1" applyBorder="1" applyAlignment="1">
      <alignment horizontal="right"/>
    </xf>
    <xf numFmtId="171" fontId="18" fillId="11" borderId="5" xfId="6" quotePrefix="1" applyNumberFormat="1" applyFont="1" applyFill="1" applyBorder="1" applyAlignment="1">
      <alignment horizontal="center" vertical="center" wrapText="1"/>
    </xf>
    <xf numFmtId="9" fontId="143" fillId="6" borderId="0" xfId="0" quotePrefix="1" applyNumberFormat="1" applyFont="1" applyFill="1" applyBorder="1" applyAlignment="1">
      <alignment horizontal="center"/>
    </xf>
    <xf numFmtId="9" fontId="144" fillId="7" borderId="0" xfId="0" applyNumberFormat="1" applyFont="1" applyFill="1" applyBorder="1" applyAlignment="1">
      <alignment horizontal="center"/>
    </xf>
    <xf numFmtId="9" fontId="145" fillId="6" borderId="0" xfId="0" applyNumberFormat="1" applyFont="1" applyFill="1" applyBorder="1" applyAlignment="1">
      <alignment horizontal="center"/>
    </xf>
    <xf numFmtId="0" fontId="53" fillId="0" borderId="10" xfId="0" applyFont="1" applyBorder="1" applyAlignment="1">
      <alignment horizontal="left"/>
    </xf>
    <xf numFmtId="0" fontId="53" fillId="0" borderId="2" xfId="0" applyFont="1" applyBorder="1" applyAlignment="1">
      <alignment horizontal="left"/>
    </xf>
    <xf numFmtId="0" fontId="53" fillId="0" borderId="43" xfId="0" applyFont="1" applyBorder="1" applyAlignment="1">
      <alignment horizontal="left"/>
    </xf>
    <xf numFmtId="0" fontId="76" fillId="0" borderId="2" xfId="0" applyFont="1" applyBorder="1" applyAlignment="1">
      <alignment horizontal="left" vertical="center"/>
    </xf>
    <xf numFmtId="0" fontId="76" fillId="0" borderId="43" xfId="0" applyFont="1" applyBorder="1" applyAlignment="1">
      <alignment horizontal="left" vertical="center"/>
    </xf>
    <xf numFmtId="0" fontId="53" fillId="0" borderId="10" xfId="0" applyFont="1" applyBorder="1" applyAlignment="1">
      <alignment horizontal="left" vertical="center"/>
    </xf>
    <xf numFmtId="0" fontId="53" fillId="0" borderId="10" xfId="0" applyFont="1" applyBorder="1" applyAlignment="1">
      <alignment horizontal="left"/>
    </xf>
    <xf numFmtId="9" fontId="9" fillId="6" borderId="5" xfId="6" quotePrefix="1" applyFont="1" applyFill="1" applyBorder="1" applyAlignment="1">
      <alignment horizontal="right"/>
    </xf>
    <xf numFmtId="0" fontId="53" fillId="0" borderId="10" xfId="0" applyFont="1" applyBorder="1" applyAlignment="1">
      <alignment horizontal="left"/>
    </xf>
    <xf numFmtId="0" fontId="76" fillId="0" borderId="10" xfId="0" applyFont="1" applyBorder="1" applyAlignment="1">
      <alignment horizontal="left" vertical="center"/>
    </xf>
    <xf numFmtId="0" fontId="53" fillId="0" borderId="10" xfId="0" applyFont="1" applyBorder="1" applyAlignment="1">
      <alignment horizontal="left" vertical="center"/>
    </xf>
    <xf numFmtId="0" fontId="53" fillId="0" borderId="10" xfId="0" applyFont="1" applyBorder="1" applyAlignment="1">
      <alignment horizontal="left"/>
    </xf>
    <xf numFmtId="0" fontId="53" fillId="0" borderId="2" xfId="0" applyFont="1" applyBorder="1" applyAlignment="1">
      <alignment horizontal="left"/>
    </xf>
    <xf numFmtId="0" fontId="53" fillId="0" borderId="43" xfId="0" applyFont="1" applyBorder="1" applyAlignment="1">
      <alignment horizontal="left"/>
    </xf>
    <xf numFmtId="0" fontId="53" fillId="0" borderId="10" xfId="0" applyFont="1" applyBorder="1" applyAlignment="1">
      <alignment horizontal="left"/>
    </xf>
    <xf numFmtId="0" fontId="76" fillId="0" borderId="10" xfId="0" applyFont="1" applyBorder="1" applyAlignment="1">
      <alignment horizontal="left" vertical="center"/>
    </xf>
    <xf numFmtId="0" fontId="53" fillId="0" borderId="10" xfId="0" applyFont="1" applyBorder="1" applyAlignment="1">
      <alignment horizontal="left" vertical="center"/>
    </xf>
    <xf numFmtId="0" fontId="76" fillId="0" borderId="10" xfId="0" applyFont="1" applyBorder="1" applyAlignment="1">
      <alignment horizontal="left" vertical="center"/>
    </xf>
    <xf numFmtId="0" fontId="53" fillId="0" borderId="10" xfId="0" applyFont="1" applyBorder="1" applyAlignment="1">
      <alignment horizontal="left"/>
    </xf>
    <xf numFmtId="0" fontId="53" fillId="0" borderId="10" xfId="0" applyFont="1" applyBorder="1" applyAlignment="1">
      <alignment horizontal="left" vertical="center"/>
    </xf>
    <xf numFmtId="0" fontId="55" fillId="14" borderId="5" xfId="0" applyFont="1" applyFill="1" applyBorder="1" applyAlignment="1" applyProtection="1">
      <alignment horizontal="center" vertical="center" wrapText="1"/>
    </xf>
    <xf numFmtId="0" fontId="23" fillId="14" borderId="5" xfId="0" applyFont="1" applyFill="1" applyBorder="1" applyAlignment="1" applyProtection="1">
      <alignment horizontal="center" vertical="center" wrapText="1"/>
    </xf>
    <xf numFmtId="9" fontId="15" fillId="14" borderId="3" xfId="0" applyNumberFormat="1" applyFont="1" applyFill="1" applyBorder="1" applyAlignment="1" applyProtection="1">
      <alignment horizontal="center"/>
    </xf>
    <xf numFmtId="9" fontId="15" fillId="14" borderId="4" xfId="6" applyFont="1" applyFill="1" applyBorder="1" applyAlignment="1" applyProtection="1">
      <alignment horizontal="center"/>
    </xf>
    <xf numFmtId="4" fontId="15" fillId="14" borderId="4" xfId="0" applyNumberFormat="1" applyFont="1" applyFill="1" applyBorder="1" applyAlignment="1" applyProtection="1">
      <alignment horizontal="center"/>
    </xf>
    <xf numFmtId="2" fontId="25" fillId="14" borderId="4" xfId="0" applyNumberFormat="1" applyFont="1" applyFill="1" applyBorder="1" applyAlignment="1" applyProtection="1">
      <alignment horizontal="center"/>
    </xf>
    <xf numFmtId="0" fontId="55" fillId="14" borderId="5" xfId="0" applyFont="1" applyFill="1" applyBorder="1" applyAlignment="1" applyProtection="1">
      <alignment horizontal="center" vertical="center"/>
    </xf>
    <xf numFmtId="0" fontId="18" fillId="2" borderId="5" xfId="0" applyFont="1" applyFill="1" applyBorder="1" applyAlignment="1" applyProtection="1">
      <alignment horizontal="center"/>
      <protection locked="0"/>
    </xf>
    <xf numFmtId="15" fontId="30" fillId="4" borderId="21" xfId="0" applyNumberFormat="1" applyFont="1" applyFill="1" applyBorder="1" applyAlignment="1">
      <alignment horizontal="right"/>
    </xf>
    <xf numFmtId="175" fontId="147" fillId="34" borderId="21" xfId="0" applyNumberFormat="1" applyFont="1" applyFill="1" applyBorder="1" applyAlignment="1">
      <alignment horizontal="center"/>
    </xf>
    <xf numFmtId="0" fontId="11" fillId="34" borderId="12" xfId="0" applyFont="1" applyFill="1" applyBorder="1" applyAlignment="1">
      <alignment horizontal="center"/>
    </xf>
    <xf numFmtId="0" fontId="4" fillId="0" borderId="66" xfId="19" applyFill="1" applyBorder="1" applyAlignment="1">
      <alignment horizontal="center" vertical="top" wrapText="1"/>
    </xf>
    <xf numFmtId="0" fontId="3" fillId="0" borderId="66" xfId="19" applyFont="1" applyFill="1" applyBorder="1" applyAlignment="1">
      <alignment horizontal="center" vertical="top" wrapText="1"/>
    </xf>
    <xf numFmtId="0" fontId="104" fillId="21" borderId="5" xfId="19" applyFont="1" applyFill="1" applyBorder="1" applyAlignment="1">
      <alignment horizontal="center" vertical="center" wrapText="1"/>
    </xf>
    <xf numFmtId="0" fontId="104" fillId="13" borderId="5" xfId="19" applyFont="1" applyFill="1" applyBorder="1" applyAlignment="1">
      <alignment horizontal="center" vertical="center" wrapText="1"/>
    </xf>
    <xf numFmtId="0" fontId="104" fillId="14" borderId="5" xfId="19" applyFont="1" applyFill="1" applyBorder="1" applyAlignment="1">
      <alignment horizontal="center" vertical="center" wrapText="1"/>
    </xf>
    <xf numFmtId="0" fontId="103" fillId="0" borderId="5" xfId="19" applyFont="1" applyFill="1" applyBorder="1" applyAlignment="1">
      <alignment horizontal="center" vertical="center" wrapText="1"/>
    </xf>
    <xf numFmtId="0" fontId="3" fillId="0" borderId="67" xfId="19" applyFont="1" applyFill="1" applyBorder="1" applyAlignment="1">
      <alignment horizontal="center" vertical="top" wrapText="1"/>
    </xf>
    <xf numFmtId="0" fontId="3" fillId="0" borderId="68" xfId="19" applyFont="1" applyFill="1" applyBorder="1" applyAlignment="1">
      <alignment horizontal="center" vertical="top" wrapText="1"/>
    </xf>
    <xf numFmtId="0" fontId="3" fillId="0" borderId="35" xfId="19" applyFont="1" applyFill="1" applyBorder="1" applyAlignment="1">
      <alignment horizontal="center" vertical="top" wrapText="1"/>
    </xf>
    <xf numFmtId="15" fontId="3" fillId="0" borderId="35" xfId="19" applyNumberFormat="1" applyFont="1" applyFill="1" applyBorder="1" applyAlignment="1">
      <alignment horizontal="center" vertical="top" wrapText="1"/>
    </xf>
    <xf numFmtId="0" fontId="4" fillId="0" borderId="66" xfId="19" applyFont="1" applyFill="1" applyBorder="1" applyAlignment="1">
      <alignment horizontal="center" vertical="top" wrapText="1"/>
    </xf>
    <xf numFmtId="0" fontId="106" fillId="0" borderId="5" xfId="19" applyFont="1" applyBorder="1" applyAlignment="1">
      <alignment horizontal="center" vertical="center" wrapText="1"/>
    </xf>
    <xf numFmtId="0" fontId="107" fillId="0" borderId="5" xfId="19" applyFont="1" applyBorder="1" applyAlignment="1">
      <alignment horizontal="center" vertical="center" wrapText="1"/>
    </xf>
    <xf numFmtId="0" fontId="4" fillId="0" borderId="5" xfId="19" applyFill="1" applyBorder="1" applyAlignment="1">
      <alignment wrapText="1"/>
    </xf>
    <xf numFmtId="0" fontId="51" fillId="0" borderId="0" xfId="0" applyFont="1" applyFill="1" applyAlignment="1">
      <alignment horizontal="center" vertical="center"/>
    </xf>
    <xf numFmtId="44" fontId="11" fillId="0" borderId="29" xfId="0" applyNumberFormat="1" applyFont="1" applyFill="1" applyBorder="1"/>
    <xf numFmtId="164" fontId="11" fillId="0" borderId="17" xfId="0" applyNumberFormat="1" applyFont="1" applyFill="1" applyBorder="1"/>
    <xf numFmtId="0" fontId="80" fillId="36" borderId="26" xfId="0" applyFont="1" applyFill="1" applyBorder="1" applyAlignment="1" applyProtection="1">
      <alignment horizontal="left"/>
      <protection locked="0"/>
    </xf>
    <xf numFmtId="0" fontId="69" fillId="36" borderId="19" xfId="0" applyFont="1" applyFill="1" applyBorder="1" applyAlignment="1" applyProtection="1">
      <alignment horizontal="left"/>
      <protection locked="0"/>
    </xf>
    <xf numFmtId="0" fontId="69" fillId="36" borderId="19" xfId="0" applyFont="1" applyFill="1" applyBorder="1" applyAlignment="1" applyProtection="1">
      <protection locked="0"/>
    </xf>
    <xf numFmtId="0" fontId="69" fillId="36" borderId="19" xfId="0" applyFont="1" applyFill="1" applyBorder="1" applyAlignment="1"/>
    <xf numFmtId="0" fontId="61" fillId="36" borderId="25" xfId="0" applyFont="1" applyFill="1" applyBorder="1"/>
    <xf numFmtId="0" fontId="95" fillId="0" borderId="5" xfId="13" applyFont="1" applyBorder="1" applyAlignment="1">
      <alignment horizontal="center" wrapText="1"/>
    </xf>
    <xf numFmtId="0" fontId="9" fillId="0" borderId="5" xfId="13" applyFont="1" applyBorder="1" applyAlignment="1">
      <alignment horizontal="center"/>
    </xf>
    <xf numFmtId="9" fontId="9" fillId="0" borderId="5" xfId="6" applyFont="1" applyBorder="1" applyAlignment="1">
      <alignment horizontal="center"/>
    </xf>
    <xf numFmtId="0" fontId="9" fillId="0" borderId="0" xfId="13" applyFill="1" applyBorder="1" applyAlignment="1">
      <alignment horizontal="center"/>
    </xf>
    <xf numFmtId="0" fontId="89" fillId="36" borderId="5" xfId="13" applyFont="1" applyFill="1" applyBorder="1"/>
    <xf numFmtId="0" fontId="91" fillId="36" borderId="5" xfId="13" applyFont="1" applyFill="1" applyBorder="1" applyAlignment="1"/>
    <xf numFmtId="9" fontId="15" fillId="14" borderId="4" xfId="6" applyNumberFormat="1" applyFont="1" applyFill="1" applyBorder="1" applyAlignment="1" applyProtection="1">
      <alignment horizontal="center"/>
    </xf>
    <xf numFmtId="9" fontId="22" fillId="0" borderId="5" xfId="6" applyNumberFormat="1" applyFont="1" applyBorder="1" applyAlignment="1" applyProtection="1">
      <alignment horizontal="center"/>
    </xf>
    <xf numFmtId="2" fontId="9" fillId="0" borderId="5" xfId="13" applyNumberFormat="1" applyFont="1" applyBorder="1" applyAlignment="1">
      <alignment horizontal="center"/>
    </xf>
    <xf numFmtId="2" fontId="9" fillId="0" borderId="5" xfId="6" applyNumberFormat="1" applyFont="1" applyBorder="1" applyAlignment="1">
      <alignment horizontal="center"/>
    </xf>
    <xf numFmtId="9" fontId="59" fillId="0" borderId="5" xfId="6" applyFont="1" applyBorder="1"/>
    <xf numFmtId="2" fontId="149" fillId="0" borderId="5" xfId="13" applyNumberFormat="1" applyFont="1" applyBorder="1" applyAlignment="1">
      <alignment horizontal="center"/>
    </xf>
    <xf numFmtId="0" fontId="149" fillId="0" borderId="5" xfId="13" applyFont="1" applyBorder="1"/>
    <xf numFmtId="0" fontId="149" fillId="0" borderId="5" xfId="13" applyFont="1" applyBorder="1" applyAlignment="1">
      <alignment horizontal="center"/>
    </xf>
    <xf numFmtId="2" fontId="91" fillId="6" borderId="13" xfId="13" applyNumberFormat="1" applyFont="1" applyFill="1" applyBorder="1" applyAlignment="1"/>
    <xf numFmtId="2" fontId="28" fillId="6" borderId="5" xfId="13" applyNumberFormat="1" applyFont="1" applyFill="1" applyBorder="1" applyAlignment="1">
      <alignment horizontal="center" vertical="center" wrapText="1"/>
    </xf>
    <xf numFmtId="2" fontId="9" fillId="6" borderId="5" xfId="2" applyNumberFormat="1" applyFont="1" applyFill="1" applyBorder="1" applyAlignment="1">
      <alignment horizontal="right"/>
    </xf>
    <xf numFmtId="2" fontId="9" fillId="6" borderId="5" xfId="6" applyNumberFormat="1" applyFont="1" applyFill="1" applyBorder="1" applyAlignment="1">
      <alignment horizontal="right"/>
    </xf>
    <xf numFmtId="2" fontId="9" fillId="6" borderId="5" xfId="18" applyNumberFormat="1" applyFont="1" applyFill="1" applyBorder="1" applyAlignment="1">
      <alignment horizontal="right"/>
    </xf>
    <xf numFmtId="2" fontId="10" fillId="9" borderId="0" xfId="13" applyNumberFormat="1" applyFont="1" applyFill="1" applyBorder="1" applyAlignment="1">
      <alignment horizontal="center" vertical="center" wrapText="1"/>
    </xf>
    <xf numFmtId="2" fontId="18" fillId="0" borderId="5" xfId="13" applyNumberFormat="1" applyFont="1" applyFill="1" applyBorder="1" applyAlignment="1">
      <alignment horizontal="center" vertical="center" wrapText="1"/>
    </xf>
    <xf numFmtId="2" fontId="10" fillId="0" borderId="0" xfId="13" applyNumberFormat="1" applyFont="1" applyFill="1" applyBorder="1" applyAlignment="1">
      <alignment horizontal="center" vertical="center" wrapText="1"/>
    </xf>
    <xf numFmtId="2" fontId="10" fillId="0" borderId="0" xfId="13" applyNumberFormat="1" applyFont="1" applyFill="1" applyBorder="1" applyAlignment="1">
      <alignment horizontal="left"/>
    </xf>
    <xf numFmtId="2" fontId="10" fillId="0" borderId="0" xfId="13" applyNumberFormat="1" applyFont="1" applyFill="1" applyBorder="1" applyAlignment="1"/>
    <xf numFmtId="2" fontId="10" fillId="0" borderId="0" xfId="13" applyNumberFormat="1" applyFont="1" applyFill="1" applyBorder="1" applyAlignment="1">
      <alignment horizontal="center"/>
    </xf>
    <xf numFmtId="2" fontId="18" fillId="0" borderId="0" xfId="13" applyNumberFormat="1" applyFont="1" applyFill="1" applyBorder="1" applyAlignment="1">
      <alignment horizontal="left"/>
    </xf>
    <xf numFmtId="2" fontId="18" fillId="0" borderId="0" xfId="13" applyNumberFormat="1" applyFont="1" applyFill="1" applyBorder="1" applyAlignment="1">
      <alignment horizontal="center"/>
    </xf>
    <xf numFmtId="2" fontId="9" fillId="0" borderId="0" xfId="13" applyNumberFormat="1" applyFill="1" applyBorder="1" applyAlignment="1"/>
    <xf numFmtId="2" fontId="9" fillId="0" borderId="0" xfId="13" applyNumberFormat="1"/>
    <xf numFmtId="2" fontId="9" fillId="6" borderId="5" xfId="13" applyNumberFormat="1" applyFont="1" applyFill="1" applyBorder="1" applyAlignment="1">
      <alignment horizontal="center"/>
    </xf>
    <xf numFmtId="0" fontId="11" fillId="0" borderId="20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0" borderId="35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58" fillId="0" borderId="23" xfId="0" applyFont="1" applyBorder="1" applyAlignment="1">
      <alignment horizontal="left" vertical="top" wrapText="1"/>
    </xf>
    <xf numFmtId="0" fontId="58" fillId="0" borderId="0" xfId="0" applyFont="1" applyBorder="1" applyAlignment="1">
      <alignment horizontal="left" vertical="top" wrapText="1"/>
    </xf>
    <xf numFmtId="0" fontId="58" fillId="0" borderId="24" xfId="0" applyFont="1" applyBorder="1" applyAlignment="1">
      <alignment horizontal="left" vertical="top" wrapText="1"/>
    </xf>
    <xf numFmtId="0" fontId="51" fillId="0" borderId="23" xfId="0" applyFont="1" applyBorder="1" applyAlignment="1">
      <alignment horizontal="center"/>
    </xf>
    <xf numFmtId="0" fontId="51" fillId="0" borderId="0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0" fontId="20" fillId="0" borderId="21" xfId="0" applyFont="1" applyBorder="1" applyAlignment="1">
      <alignment horizontal="center" vertical="top" wrapText="1"/>
    </xf>
    <xf numFmtId="0" fontId="20" fillId="0" borderId="22" xfId="0" applyFont="1" applyBorder="1" applyAlignment="1">
      <alignment horizontal="center" vertical="top" wrapText="1"/>
    </xf>
    <xf numFmtId="0" fontId="20" fillId="0" borderId="12" xfId="0" applyFont="1" applyBorder="1" applyAlignment="1">
      <alignment horizontal="center" vertical="top" wrapText="1"/>
    </xf>
    <xf numFmtId="0" fontId="20" fillId="0" borderId="35" xfId="0" applyFont="1" applyBorder="1" applyAlignment="1">
      <alignment horizontal="center" vertical="top" wrapText="1"/>
    </xf>
    <xf numFmtId="0" fontId="20" fillId="0" borderId="19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35" xfId="0" applyFont="1" applyBorder="1" applyAlignment="1">
      <alignment horizontal="left" vertical="center" wrapText="1"/>
    </xf>
    <xf numFmtId="0" fontId="20" fillId="0" borderId="19" xfId="0" applyFont="1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0" fillId="0" borderId="25" xfId="0" applyBorder="1" applyAlignment="1">
      <alignment vertical="center"/>
    </xf>
    <xf numFmtId="0" fontId="52" fillId="0" borderId="20" xfId="0" applyFont="1" applyBorder="1" applyAlignment="1">
      <alignment horizontal="left" vertical="center"/>
    </xf>
    <xf numFmtId="0" fontId="52" fillId="0" borderId="7" xfId="0" applyFont="1" applyBorder="1" applyAlignment="1">
      <alignment horizontal="left" vertical="center"/>
    </xf>
    <xf numFmtId="0" fontId="58" fillId="0" borderId="26" xfId="0" applyFont="1" applyBorder="1" applyAlignment="1">
      <alignment horizontal="center" vertical="top"/>
    </xf>
    <xf numFmtId="0" fontId="58" fillId="0" borderId="19" xfId="0" applyFont="1" applyBorder="1" applyAlignment="1">
      <alignment horizontal="center" vertical="top"/>
    </xf>
    <xf numFmtId="0" fontId="58" fillId="0" borderId="25" xfId="0" applyFont="1" applyBorder="1" applyAlignment="1">
      <alignment horizontal="center" vertical="top"/>
    </xf>
    <xf numFmtId="0" fontId="76" fillId="0" borderId="10" xfId="0" applyFont="1" applyBorder="1" applyAlignment="1">
      <alignment horizontal="left" vertical="center"/>
    </xf>
    <xf numFmtId="0" fontId="76" fillId="0" borderId="2" xfId="0" applyFont="1" applyBorder="1" applyAlignment="1">
      <alignment horizontal="left" vertical="center"/>
    </xf>
    <xf numFmtId="0" fontId="76" fillId="0" borderId="43" xfId="0" applyFont="1" applyBorder="1" applyAlignment="1">
      <alignment horizontal="left" vertical="center"/>
    </xf>
    <xf numFmtId="0" fontId="53" fillId="0" borderId="10" xfId="0" applyFont="1" applyBorder="1" applyAlignment="1">
      <alignment horizontal="left"/>
    </xf>
    <xf numFmtId="0" fontId="53" fillId="0" borderId="2" xfId="0" applyFont="1" applyBorder="1" applyAlignment="1">
      <alignment horizontal="left"/>
    </xf>
    <xf numFmtId="0" fontId="53" fillId="0" borderId="43" xfId="0" applyFont="1" applyBorder="1" applyAlignment="1">
      <alignment horizontal="left"/>
    </xf>
    <xf numFmtId="0" fontId="48" fillId="26" borderId="30" xfId="0" applyFont="1" applyFill="1" applyBorder="1" applyAlignment="1">
      <alignment horizontal="left"/>
    </xf>
    <xf numFmtId="0" fontId="48" fillId="26" borderId="31" xfId="0" applyFont="1" applyFill="1" applyBorder="1" applyAlignment="1">
      <alignment horizontal="left"/>
    </xf>
    <xf numFmtId="0" fontId="12" fillId="4" borderId="20" xfId="0" applyFont="1" applyFill="1" applyBorder="1" applyAlignment="1">
      <alignment horizontal="left" vertical="top" wrapText="1"/>
    </xf>
    <xf numFmtId="0" fontId="12" fillId="4" borderId="21" xfId="0" applyFont="1" applyFill="1" applyBorder="1" applyAlignment="1">
      <alignment horizontal="left" vertical="top" wrapText="1"/>
    </xf>
    <xf numFmtId="0" fontId="12" fillId="4" borderId="22" xfId="0" applyFont="1" applyFill="1" applyBorder="1" applyAlignment="1">
      <alignment horizontal="left" vertical="top" wrapText="1"/>
    </xf>
    <xf numFmtId="0" fontId="12" fillId="4" borderId="7" xfId="0" applyFont="1" applyFill="1" applyBorder="1" applyAlignment="1">
      <alignment horizontal="left" vertical="top" wrapText="1"/>
    </xf>
    <xf numFmtId="0" fontId="12" fillId="4" borderId="12" xfId="0" applyFont="1" applyFill="1" applyBorder="1" applyAlignment="1">
      <alignment horizontal="left" vertical="top" wrapText="1"/>
    </xf>
    <xf numFmtId="0" fontId="12" fillId="4" borderId="35" xfId="0" applyFont="1" applyFill="1" applyBorder="1" applyAlignment="1">
      <alignment horizontal="left" vertical="top" wrapText="1"/>
    </xf>
    <xf numFmtId="0" fontId="48" fillId="16" borderId="5" xfId="0" applyFont="1" applyFill="1" applyBorder="1" applyAlignment="1">
      <alignment horizontal="left" vertical="top" wrapText="1"/>
    </xf>
    <xf numFmtId="0" fontId="48" fillId="16" borderId="9" xfId="0" applyFont="1" applyFill="1" applyBorder="1" applyAlignment="1">
      <alignment horizontal="left" vertical="top" wrapText="1"/>
    </xf>
    <xf numFmtId="0" fontId="53" fillId="0" borderId="10" xfId="0" applyFont="1" applyBorder="1" applyAlignment="1">
      <alignment horizontal="left" vertical="center"/>
    </xf>
    <xf numFmtId="0" fontId="53" fillId="0" borderId="2" xfId="0" applyFont="1" applyBorder="1" applyAlignment="1">
      <alignment horizontal="left" vertical="center"/>
    </xf>
    <xf numFmtId="0" fontId="53" fillId="0" borderId="17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top" indent="1"/>
    </xf>
    <xf numFmtId="0" fontId="12" fillId="0" borderId="21" xfId="0" applyFont="1" applyBorder="1" applyAlignment="1">
      <alignment horizontal="left" vertical="top" indent="1"/>
    </xf>
    <xf numFmtId="0" fontId="12" fillId="0" borderId="22" xfId="0" applyFont="1" applyBorder="1" applyAlignment="1">
      <alignment horizontal="left" vertical="top" indent="1"/>
    </xf>
    <xf numFmtId="0" fontId="53" fillId="0" borderId="18" xfId="0" applyFont="1" applyBorder="1" applyAlignment="1">
      <alignment horizontal="left" vertical="center" wrapText="1"/>
    </xf>
    <xf numFmtId="0" fontId="53" fillId="0" borderId="37" xfId="0" applyFont="1" applyBorder="1" applyAlignment="1">
      <alignment horizontal="left" vertical="center" wrapText="1"/>
    </xf>
    <xf numFmtId="0" fontId="53" fillId="0" borderId="60" xfId="0" applyFont="1" applyBorder="1" applyAlignment="1">
      <alignment horizontal="left" vertical="center" wrapText="1"/>
    </xf>
    <xf numFmtId="0" fontId="53" fillId="0" borderId="6" xfId="0" applyFont="1" applyBorder="1" applyAlignment="1">
      <alignment horizontal="left" vertical="center" wrapText="1"/>
    </xf>
    <xf numFmtId="0" fontId="53" fillId="0" borderId="0" xfId="0" applyFont="1" applyBorder="1" applyAlignment="1">
      <alignment horizontal="left" vertical="center" wrapText="1"/>
    </xf>
    <xf numFmtId="0" fontId="53" fillId="0" borderId="24" xfId="0" applyFont="1" applyBorder="1" applyAlignment="1">
      <alignment horizontal="left" vertical="center" wrapText="1"/>
    </xf>
    <xf numFmtId="0" fontId="53" fillId="0" borderId="59" xfId="0" applyFont="1" applyBorder="1" applyAlignment="1">
      <alignment horizontal="left" vertical="center" wrapText="1"/>
    </xf>
    <xf numFmtId="0" fontId="53" fillId="0" borderId="12" xfId="0" applyFont="1" applyBorder="1" applyAlignment="1">
      <alignment horizontal="left" vertical="center" wrapText="1"/>
    </xf>
    <xf numFmtId="0" fontId="53" fillId="0" borderId="35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top" wrapText="1"/>
    </xf>
    <xf numFmtId="0" fontId="10" fillId="0" borderId="37" xfId="0" applyFont="1" applyBorder="1" applyAlignment="1">
      <alignment horizontal="left" vertical="top" wrapText="1"/>
    </xf>
    <xf numFmtId="0" fontId="10" fillId="0" borderId="60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24" xfId="0" applyFont="1" applyBorder="1" applyAlignment="1">
      <alignment horizontal="left" vertical="top" wrapText="1"/>
    </xf>
    <xf numFmtId="0" fontId="10" fillId="0" borderId="42" xfId="0" applyFont="1" applyBorder="1" applyAlignment="1">
      <alignment horizontal="left" vertical="top" wrapText="1"/>
    </xf>
    <xf numFmtId="0" fontId="10" fillId="0" borderId="33" xfId="0" applyFont="1" applyBorder="1" applyAlignment="1">
      <alignment horizontal="left" vertical="top" wrapText="1"/>
    </xf>
    <xf numFmtId="0" fontId="10" fillId="0" borderId="61" xfId="0" applyFont="1" applyBorder="1" applyAlignment="1">
      <alignment horizontal="left" vertical="top" wrapText="1"/>
    </xf>
    <xf numFmtId="0" fontId="76" fillId="0" borderId="17" xfId="0" applyFont="1" applyBorder="1" applyAlignment="1">
      <alignment horizontal="left" vertical="center"/>
    </xf>
    <xf numFmtId="0" fontId="48" fillId="13" borderId="48" xfId="0" applyFont="1" applyFill="1" applyBorder="1" applyAlignment="1">
      <alignment horizontal="left" vertical="top" wrapText="1"/>
    </xf>
    <xf numFmtId="0" fontId="48" fillId="13" borderId="31" xfId="0" applyFont="1" applyFill="1" applyBorder="1" applyAlignment="1">
      <alignment horizontal="left" vertical="top" wrapText="1"/>
    </xf>
    <xf numFmtId="0" fontId="48" fillId="13" borderId="32" xfId="0" applyFont="1" applyFill="1" applyBorder="1" applyAlignment="1">
      <alignment horizontal="left" vertical="top" wrapText="1"/>
    </xf>
    <xf numFmtId="0" fontId="48" fillId="26" borderId="10" xfId="0" applyFont="1" applyFill="1" applyBorder="1" applyAlignment="1">
      <alignment horizontal="left"/>
    </xf>
    <xf numFmtId="0" fontId="48" fillId="26" borderId="2" xfId="0" applyFont="1" applyFill="1" applyBorder="1" applyAlignment="1">
      <alignment horizontal="left"/>
    </xf>
    <xf numFmtId="0" fontId="48" fillId="26" borderId="17" xfId="0" applyFont="1" applyFill="1" applyBorder="1" applyAlignment="1">
      <alignment horizontal="left"/>
    </xf>
    <xf numFmtId="0" fontId="79" fillId="12" borderId="39" xfId="13" applyFont="1" applyFill="1" applyBorder="1" applyAlignment="1" applyProtection="1">
      <alignment horizontal="center"/>
    </xf>
    <xf numFmtId="0" fontId="79" fillId="13" borderId="39" xfId="13" applyFont="1" applyFill="1" applyBorder="1" applyAlignment="1" applyProtection="1">
      <alignment horizontal="center"/>
    </xf>
    <xf numFmtId="0" fontId="79" fillId="18" borderId="39" xfId="13" applyFont="1" applyFill="1" applyBorder="1" applyAlignment="1" applyProtection="1">
      <alignment horizontal="center"/>
    </xf>
    <xf numFmtId="0" fontId="79" fillId="12" borderId="48" xfId="13" applyFont="1" applyFill="1" applyBorder="1" applyAlignment="1" applyProtection="1">
      <alignment horizontal="center"/>
    </xf>
    <xf numFmtId="0" fontId="79" fillId="12" borderId="31" xfId="13" applyFont="1" applyFill="1" applyBorder="1" applyAlignment="1" applyProtection="1">
      <alignment horizontal="center"/>
    </xf>
    <xf numFmtId="0" fontId="79" fillId="12" borderId="56" xfId="13" applyFont="1" applyFill="1" applyBorder="1" applyAlignment="1" applyProtection="1">
      <alignment horizontal="center"/>
    </xf>
    <xf numFmtId="15" fontId="41" fillId="4" borderId="20" xfId="0" applyNumberFormat="1" applyFont="1" applyFill="1" applyBorder="1" applyAlignment="1">
      <alignment horizontal="center" vertical="center" wrapText="1"/>
    </xf>
    <xf numFmtId="15" fontId="41" fillId="4" borderId="22" xfId="0" applyNumberFormat="1" applyFont="1" applyFill="1" applyBorder="1" applyAlignment="1">
      <alignment horizontal="center" vertical="center" wrapText="1"/>
    </xf>
    <xf numFmtId="0" fontId="64" fillId="4" borderId="23" xfId="0" applyFont="1" applyFill="1" applyBorder="1" applyAlignment="1">
      <alignment horizontal="center"/>
    </xf>
    <xf numFmtId="0" fontId="64" fillId="4" borderId="24" xfId="0" applyFont="1" applyFill="1" applyBorder="1" applyAlignment="1">
      <alignment horizontal="center"/>
    </xf>
    <xf numFmtId="0" fontId="80" fillId="7" borderId="19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19" xfId="0" applyFont="1" applyFill="1" applyBorder="1" applyAlignment="1" applyProtection="1">
      <alignment horizontal="left"/>
      <protection locked="0"/>
    </xf>
    <xf numFmtId="0" fontId="84" fillId="4" borderId="26" xfId="0" applyFont="1" applyFill="1" applyBorder="1" applyAlignment="1">
      <alignment horizontal="left"/>
    </xf>
    <xf numFmtId="0" fontId="84" fillId="4" borderId="19" xfId="0" applyFont="1" applyFill="1" applyBorder="1" applyAlignment="1">
      <alignment horizontal="left"/>
    </xf>
    <xf numFmtId="9" fontId="88" fillId="4" borderId="19" xfId="0" applyNumberFormat="1" applyFont="1" applyFill="1" applyBorder="1" applyAlignment="1" applyProtection="1">
      <alignment horizontal="left"/>
    </xf>
    <xf numFmtId="0" fontId="80" fillId="7" borderId="19" xfId="0" applyFont="1" applyFill="1" applyBorder="1" applyAlignment="1" applyProtection="1">
      <alignment horizontal="center"/>
      <protection locked="0"/>
    </xf>
    <xf numFmtId="0" fontId="80" fillId="7" borderId="26" xfId="0" applyFont="1" applyFill="1" applyBorder="1" applyAlignment="1" applyProtection="1">
      <alignment horizontal="left"/>
      <protection locked="0"/>
    </xf>
    <xf numFmtId="0" fontId="140" fillId="9" borderId="7" xfId="0" applyFont="1" applyFill="1" applyBorder="1" applyAlignment="1">
      <alignment horizontal="center"/>
    </xf>
    <xf numFmtId="0" fontId="140" fillId="9" borderId="35" xfId="0" applyFont="1" applyFill="1" applyBorder="1" applyAlignment="1">
      <alignment horizontal="center"/>
    </xf>
    <xf numFmtId="0" fontId="11" fillId="4" borderId="26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48" fillId="36" borderId="19" xfId="0" applyFont="1" applyFill="1" applyBorder="1" applyAlignment="1">
      <alignment horizontal="center" vertical="center"/>
    </xf>
    <xf numFmtId="0" fontId="76" fillId="7" borderId="26" xfId="0" applyFont="1" applyFill="1" applyBorder="1" applyAlignment="1">
      <alignment horizontal="center"/>
    </xf>
    <xf numFmtId="0" fontId="76" fillId="7" borderId="25" xfId="0" applyFont="1" applyFill="1" applyBorder="1" applyAlignment="1">
      <alignment horizontal="center"/>
    </xf>
    <xf numFmtId="2" fontId="55" fillId="0" borderId="26" xfId="0" applyNumberFormat="1" applyFont="1" applyFill="1" applyBorder="1" applyAlignment="1">
      <alignment horizontal="center" vertical="center" wrapText="1"/>
    </xf>
    <xf numFmtId="2" fontId="55" fillId="0" borderId="25" xfId="0" applyNumberFormat="1" applyFont="1" applyFill="1" applyBorder="1" applyAlignment="1">
      <alignment horizontal="center" vertical="center" wrapText="1"/>
    </xf>
    <xf numFmtId="0" fontId="82" fillId="34" borderId="19" xfId="0" applyFont="1" applyFill="1" applyBorder="1" applyAlignment="1">
      <alignment horizontal="center" vertical="center"/>
    </xf>
    <xf numFmtId="0" fontId="18" fillId="7" borderId="45" xfId="0" applyFont="1" applyFill="1" applyBorder="1" applyAlignment="1">
      <alignment horizontal="center" vertical="center" wrapText="1"/>
    </xf>
    <xf numFmtId="0" fontId="18" fillId="7" borderId="46" xfId="0" applyFont="1" applyFill="1" applyBorder="1" applyAlignment="1">
      <alignment horizontal="center" vertical="center" wrapText="1"/>
    </xf>
    <xf numFmtId="0" fontId="76" fillId="7" borderId="45" xfId="0" applyFont="1" applyFill="1" applyBorder="1" applyAlignment="1">
      <alignment horizontal="center"/>
    </xf>
    <xf numFmtId="0" fontId="76" fillId="7" borderId="46" xfId="0" applyFont="1" applyFill="1" applyBorder="1" applyAlignment="1">
      <alignment horizontal="center"/>
    </xf>
    <xf numFmtId="0" fontId="45" fillId="0" borderId="0" xfId="0" applyFont="1" applyAlignment="1" applyProtection="1">
      <alignment horizontal="left"/>
      <protection locked="0"/>
    </xf>
    <xf numFmtId="0" fontId="79" fillId="12" borderId="40" xfId="13" applyFont="1" applyFill="1" applyBorder="1" applyAlignment="1" applyProtection="1">
      <alignment horizontal="center"/>
    </xf>
    <xf numFmtId="0" fontId="77" fillId="8" borderId="39" xfId="0" applyFont="1" applyFill="1" applyBorder="1" applyAlignment="1" applyProtection="1">
      <alignment horizontal="center"/>
    </xf>
    <xf numFmtId="0" fontId="79" fillId="18" borderId="40" xfId="13" applyFont="1" applyFill="1" applyBorder="1" applyAlignment="1" applyProtection="1">
      <alignment horizontal="center"/>
    </xf>
    <xf numFmtId="0" fontId="79" fillId="13" borderId="40" xfId="13" applyFont="1" applyFill="1" applyBorder="1" applyAlignment="1" applyProtection="1">
      <alignment horizontal="center"/>
    </xf>
    <xf numFmtId="0" fontId="77" fillId="8" borderId="40" xfId="0" applyFont="1" applyFill="1" applyBorder="1" applyAlignment="1" applyProtection="1">
      <alignment horizontal="center"/>
    </xf>
    <xf numFmtId="0" fontId="78" fillId="0" borderId="20" xfId="0" applyFont="1" applyFill="1" applyBorder="1" applyAlignment="1">
      <alignment horizontal="center" vertical="center"/>
    </xf>
    <xf numFmtId="0" fontId="78" fillId="0" borderId="47" xfId="0" applyFont="1" applyFill="1" applyBorder="1" applyAlignment="1">
      <alignment horizontal="center" vertical="center"/>
    </xf>
    <xf numFmtId="0" fontId="148" fillId="35" borderId="5" xfId="0" applyFont="1" applyFill="1" applyBorder="1" applyAlignment="1" applyProtection="1">
      <alignment horizontal="center"/>
    </xf>
    <xf numFmtId="0" fontId="23" fillId="0" borderId="12" xfId="0" applyFont="1" applyBorder="1" applyAlignment="1" applyProtection="1">
      <alignment horizontal="center" wrapText="1"/>
      <protection locked="0"/>
    </xf>
    <xf numFmtId="0" fontId="23" fillId="0" borderId="65" xfId="0" applyFont="1" applyBorder="1" applyAlignment="1" applyProtection="1">
      <alignment horizontal="center" wrapText="1"/>
      <protection locked="0"/>
    </xf>
    <xf numFmtId="0" fontId="10" fillId="26" borderId="5" xfId="0" applyFont="1" applyFill="1" applyBorder="1" applyAlignment="1" applyProtection="1">
      <alignment horizontal="left"/>
    </xf>
    <xf numFmtId="0" fontId="12" fillId="0" borderId="6" xfId="0" applyFont="1" applyBorder="1" applyAlignment="1" applyProtection="1">
      <alignment horizontal="left"/>
    </xf>
    <xf numFmtId="0" fontId="12" fillId="0" borderId="27" xfId="0" applyFont="1" applyBorder="1" applyAlignment="1" applyProtection="1">
      <alignment horizontal="left"/>
    </xf>
    <xf numFmtId="9" fontId="12" fillId="0" borderId="6" xfId="6" applyFont="1" applyBorder="1" applyAlignment="1" applyProtection="1">
      <alignment horizontal="left"/>
    </xf>
    <xf numFmtId="9" fontId="12" fillId="0" borderId="27" xfId="6" applyFont="1" applyBorder="1" applyAlignment="1" applyProtection="1">
      <alignment horizontal="left"/>
    </xf>
    <xf numFmtId="0" fontId="18" fillId="26" borderId="1" xfId="0" applyFont="1" applyFill="1" applyBorder="1" applyAlignment="1" applyProtection="1">
      <alignment horizontal="center"/>
    </xf>
    <xf numFmtId="0" fontId="18" fillId="26" borderId="17" xfId="0" applyFont="1" applyFill="1" applyBorder="1" applyAlignment="1" applyProtection="1">
      <alignment horizontal="center"/>
    </xf>
    <xf numFmtId="49" fontId="18" fillId="26" borderId="42" xfId="0" applyNumberFormat="1" applyFont="1" applyFill="1" applyBorder="1" applyAlignment="1" applyProtection="1">
      <alignment horizontal="left"/>
    </xf>
    <xf numFmtId="49" fontId="18" fillId="26" borderId="33" xfId="0" applyNumberFormat="1" applyFont="1" applyFill="1" applyBorder="1" applyAlignment="1" applyProtection="1">
      <alignment horizontal="left"/>
    </xf>
    <xf numFmtId="49" fontId="18" fillId="26" borderId="29" xfId="0" applyNumberFormat="1" applyFont="1" applyFill="1" applyBorder="1" applyAlignment="1" applyProtection="1">
      <alignment horizontal="left"/>
    </xf>
    <xf numFmtId="0" fontId="23" fillId="0" borderId="0" xfId="0" applyFont="1" applyBorder="1" applyAlignment="1" applyProtection="1">
      <alignment horizontal="center" wrapText="1"/>
      <protection locked="0"/>
    </xf>
    <xf numFmtId="0" fontId="23" fillId="0" borderId="27" xfId="0" applyFont="1" applyBorder="1" applyAlignment="1" applyProtection="1">
      <alignment horizontal="center" wrapText="1"/>
      <protection locked="0"/>
    </xf>
    <xf numFmtId="0" fontId="18" fillId="33" borderId="1" xfId="0" applyFont="1" applyFill="1" applyBorder="1" applyAlignment="1" applyProtection="1">
      <alignment horizontal="center"/>
    </xf>
    <xf numFmtId="0" fontId="18" fillId="33" borderId="17" xfId="0" applyFont="1" applyFill="1" applyBorder="1" applyAlignment="1" applyProtection="1">
      <alignment horizontal="center"/>
    </xf>
    <xf numFmtId="0" fontId="73" fillId="2" borderId="18" xfId="0" applyFont="1" applyFill="1" applyBorder="1" applyAlignment="1" applyProtection="1">
      <alignment horizontal="center" vertical="center" wrapText="1"/>
    </xf>
    <xf numFmtId="0" fontId="73" fillId="2" borderId="37" xfId="0" applyFont="1" applyFill="1" applyBorder="1" applyAlignment="1" applyProtection="1">
      <alignment horizontal="center" vertical="center" wrapText="1"/>
    </xf>
    <xf numFmtId="0" fontId="73" fillId="2" borderId="28" xfId="0" applyFont="1" applyFill="1" applyBorder="1" applyAlignment="1" applyProtection="1">
      <alignment horizontal="center" vertical="center" wrapText="1"/>
    </xf>
    <xf numFmtId="0" fontId="73" fillId="2" borderId="42" xfId="0" applyFont="1" applyFill="1" applyBorder="1" applyAlignment="1" applyProtection="1">
      <alignment horizontal="center" vertical="center" wrapText="1"/>
    </xf>
    <xf numFmtId="0" fontId="73" fillId="2" borderId="33" xfId="0" applyFont="1" applyFill="1" applyBorder="1" applyAlignment="1" applyProtection="1">
      <alignment horizontal="center" vertical="center" wrapText="1"/>
    </xf>
    <xf numFmtId="0" fontId="73" fillId="2" borderId="29" xfId="0" applyFont="1" applyFill="1" applyBorder="1" applyAlignment="1" applyProtection="1">
      <alignment horizontal="center" vertical="center" wrapText="1"/>
    </xf>
    <xf numFmtId="44" fontId="129" fillId="32" borderId="28" xfId="0" applyNumberFormat="1" applyFont="1" applyFill="1" applyBorder="1" applyAlignment="1">
      <alignment horizontal="center"/>
    </xf>
    <xf numFmtId="44" fontId="129" fillId="32" borderId="29" xfId="0" applyNumberFormat="1" applyFont="1" applyFill="1" applyBorder="1" applyAlignment="1">
      <alignment horizontal="center"/>
    </xf>
    <xf numFmtId="0" fontId="31" fillId="7" borderId="1" xfId="0" applyFont="1" applyFill="1" applyBorder="1" applyAlignment="1">
      <alignment horizontal="center"/>
    </xf>
    <xf numFmtId="0" fontId="31" fillId="7" borderId="2" xfId="0" applyFont="1" applyFill="1" applyBorder="1" applyAlignment="1">
      <alignment horizontal="center"/>
    </xf>
    <xf numFmtId="0" fontId="31" fillId="7" borderId="17" xfId="0" applyFont="1" applyFill="1" applyBorder="1" applyAlignment="1">
      <alignment horizontal="center"/>
    </xf>
    <xf numFmtId="44" fontId="129" fillId="20" borderId="28" xfId="0" applyNumberFormat="1" applyFont="1" applyFill="1" applyBorder="1" applyAlignment="1">
      <alignment horizontal="center"/>
    </xf>
    <xf numFmtId="44" fontId="129" fillId="20" borderId="29" xfId="0" applyNumberFormat="1" applyFont="1" applyFill="1" applyBorder="1" applyAlignment="1">
      <alignment horizontal="center"/>
    </xf>
    <xf numFmtId="0" fontId="128" fillId="30" borderId="18" xfId="0" applyFont="1" applyFill="1" applyBorder="1" applyAlignment="1">
      <alignment horizontal="center"/>
    </xf>
    <xf numFmtId="0" fontId="128" fillId="30" borderId="37" xfId="0" applyFont="1" applyFill="1" applyBorder="1" applyAlignment="1">
      <alignment horizontal="center"/>
    </xf>
    <xf numFmtId="0" fontId="128" fillId="30" borderId="42" xfId="0" applyFont="1" applyFill="1" applyBorder="1" applyAlignment="1">
      <alignment horizontal="center"/>
    </xf>
    <xf numFmtId="0" fontId="128" fillId="30" borderId="33" xfId="0" applyFont="1" applyFill="1" applyBorder="1" applyAlignment="1">
      <alignment horizontal="center"/>
    </xf>
    <xf numFmtId="44" fontId="129" fillId="30" borderId="28" xfId="0" applyNumberFormat="1" applyFont="1" applyFill="1" applyBorder="1" applyAlignment="1">
      <alignment horizontal="center"/>
    </xf>
    <xf numFmtId="44" fontId="129" fillId="30" borderId="29" xfId="0" applyNumberFormat="1" applyFont="1" applyFill="1" applyBorder="1" applyAlignment="1">
      <alignment horizontal="center"/>
    </xf>
    <xf numFmtId="0" fontId="128" fillId="16" borderId="18" xfId="0" applyFont="1" applyFill="1" applyBorder="1" applyAlignment="1">
      <alignment horizontal="center"/>
    </xf>
    <xf numFmtId="0" fontId="128" fillId="16" borderId="37" xfId="0" applyFont="1" applyFill="1" applyBorder="1" applyAlignment="1">
      <alignment horizontal="center"/>
    </xf>
    <xf numFmtId="0" fontId="128" fillId="16" borderId="42" xfId="0" applyFont="1" applyFill="1" applyBorder="1" applyAlignment="1">
      <alignment horizontal="center"/>
    </xf>
    <xf numFmtId="0" fontId="128" fillId="16" borderId="33" xfId="0" applyFont="1" applyFill="1" applyBorder="1" applyAlignment="1">
      <alignment horizontal="center"/>
    </xf>
    <xf numFmtId="44" fontId="129" fillId="16" borderId="28" xfId="0" applyNumberFormat="1" applyFont="1" applyFill="1" applyBorder="1" applyAlignment="1">
      <alignment horizontal="center"/>
    </xf>
    <xf numFmtId="44" fontId="129" fillId="16" borderId="29" xfId="0" applyNumberFormat="1" applyFont="1" applyFill="1" applyBorder="1" applyAlignment="1">
      <alignment horizontal="center"/>
    </xf>
    <xf numFmtId="0" fontId="128" fillId="14" borderId="18" xfId="0" applyFont="1" applyFill="1" applyBorder="1" applyAlignment="1">
      <alignment horizontal="center"/>
    </xf>
    <xf numFmtId="0" fontId="128" fillId="14" borderId="37" xfId="0" applyFont="1" applyFill="1" applyBorder="1" applyAlignment="1">
      <alignment horizontal="center"/>
    </xf>
    <xf numFmtId="0" fontId="128" fillId="14" borderId="42" xfId="0" applyFont="1" applyFill="1" applyBorder="1" applyAlignment="1">
      <alignment horizontal="center"/>
    </xf>
    <xf numFmtId="0" fontId="128" fillId="14" borderId="33" xfId="0" applyFont="1" applyFill="1" applyBorder="1" applyAlignment="1">
      <alignment horizontal="center"/>
    </xf>
    <xf numFmtId="44" fontId="129" fillId="14" borderId="28" xfId="0" applyNumberFormat="1" applyFont="1" applyFill="1" applyBorder="1" applyAlignment="1">
      <alignment horizontal="center"/>
    </xf>
    <xf numFmtId="44" fontId="129" fillId="14" borderId="29" xfId="0" applyNumberFormat="1" applyFont="1" applyFill="1" applyBorder="1" applyAlignment="1">
      <alignment horizontal="center"/>
    </xf>
    <xf numFmtId="0" fontId="128" fillId="20" borderId="18" xfId="0" applyFont="1" applyFill="1" applyBorder="1" applyAlignment="1">
      <alignment horizontal="center"/>
    </xf>
    <xf numFmtId="0" fontId="128" fillId="20" borderId="37" xfId="0" applyFont="1" applyFill="1" applyBorder="1" applyAlignment="1">
      <alignment horizontal="center"/>
    </xf>
    <xf numFmtId="0" fontId="128" fillId="20" borderId="42" xfId="0" applyFont="1" applyFill="1" applyBorder="1" applyAlignment="1">
      <alignment horizontal="center"/>
    </xf>
    <xf numFmtId="0" fontId="128" fillId="20" borderId="33" xfId="0" applyFont="1" applyFill="1" applyBorder="1" applyAlignment="1">
      <alignment horizontal="center"/>
    </xf>
    <xf numFmtId="0" fontId="128" fillId="32" borderId="18" xfId="0" applyFont="1" applyFill="1" applyBorder="1" applyAlignment="1">
      <alignment horizontal="center"/>
    </xf>
    <xf numFmtId="0" fontId="128" fillId="32" borderId="37" xfId="0" applyFont="1" applyFill="1" applyBorder="1" applyAlignment="1">
      <alignment horizontal="center"/>
    </xf>
    <xf numFmtId="0" fontId="128" fillId="32" borderId="42" xfId="0" applyFont="1" applyFill="1" applyBorder="1" applyAlignment="1">
      <alignment horizontal="center"/>
    </xf>
    <xf numFmtId="0" fontId="128" fillId="32" borderId="33" xfId="0" applyFont="1" applyFill="1" applyBorder="1" applyAlignment="1">
      <alignment horizontal="center"/>
    </xf>
    <xf numFmtId="0" fontId="128" fillId="26" borderId="18" xfId="0" applyFont="1" applyFill="1" applyBorder="1" applyAlignment="1">
      <alignment horizontal="center"/>
    </xf>
    <xf numFmtId="0" fontId="128" fillId="26" borderId="37" xfId="0" applyFont="1" applyFill="1" applyBorder="1" applyAlignment="1">
      <alignment horizontal="center"/>
    </xf>
    <xf numFmtId="0" fontId="128" fillId="26" borderId="42" xfId="0" applyFont="1" applyFill="1" applyBorder="1" applyAlignment="1">
      <alignment horizontal="center"/>
    </xf>
    <xf numFmtId="0" fontId="128" fillId="26" borderId="33" xfId="0" applyFont="1" applyFill="1" applyBorder="1" applyAlignment="1">
      <alignment horizontal="center"/>
    </xf>
    <xf numFmtId="0" fontId="48" fillId="26" borderId="0" xfId="0" applyFont="1" applyFill="1" applyBorder="1" applyAlignment="1">
      <alignment horizontal="left"/>
    </xf>
    <xf numFmtId="0" fontId="31" fillId="26" borderId="0" xfId="0" applyFont="1" applyFill="1" applyBorder="1" applyAlignment="1">
      <alignment horizontal="left"/>
    </xf>
    <xf numFmtId="0" fontId="74" fillId="0" borderId="2" xfId="0" applyFont="1" applyBorder="1" applyAlignment="1">
      <alignment horizontal="center"/>
    </xf>
    <xf numFmtId="0" fontId="128" fillId="12" borderId="18" xfId="0" applyFont="1" applyFill="1" applyBorder="1" applyAlignment="1">
      <alignment horizontal="center"/>
    </xf>
    <xf numFmtId="0" fontId="128" fillId="12" borderId="37" xfId="0" applyFont="1" applyFill="1" applyBorder="1" applyAlignment="1">
      <alignment horizontal="center"/>
    </xf>
    <xf numFmtId="0" fontId="128" fillId="12" borderId="42" xfId="0" applyFont="1" applyFill="1" applyBorder="1" applyAlignment="1">
      <alignment horizontal="center"/>
    </xf>
    <xf numFmtId="0" fontId="128" fillId="12" borderId="33" xfId="0" applyFont="1" applyFill="1" applyBorder="1" applyAlignment="1">
      <alignment horizontal="center"/>
    </xf>
    <xf numFmtId="44" fontId="129" fillId="12" borderId="28" xfId="0" applyNumberFormat="1" applyFont="1" applyFill="1" applyBorder="1" applyAlignment="1">
      <alignment horizontal="center"/>
    </xf>
    <xf numFmtId="44" fontId="129" fillId="12" borderId="29" xfId="0" applyNumberFormat="1" applyFont="1" applyFill="1" applyBorder="1" applyAlignment="1">
      <alignment horizontal="center"/>
    </xf>
    <xf numFmtId="0" fontId="128" fillId="18" borderId="18" xfId="0" applyFont="1" applyFill="1" applyBorder="1" applyAlignment="1">
      <alignment horizontal="center"/>
    </xf>
    <xf numFmtId="0" fontId="128" fillId="18" borderId="37" xfId="0" applyFont="1" applyFill="1" applyBorder="1" applyAlignment="1">
      <alignment horizontal="center"/>
    </xf>
    <xf numFmtId="0" fontId="128" fillId="18" borderId="42" xfId="0" applyFont="1" applyFill="1" applyBorder="1" applyAlignment="1">
      <alignment horizontal="center"/>
    </xf>
    <xf numFmtId="0" fontId="128" fillId="18" borderId="33" xfId="0" applyFont="1" applyFill="1" applyBorder="1" applyAlignment="1">
      <alignment horizontal="center"/>
    </xf>
    <xf numFmtId="44" fontId="129" fillId="18" borderId="28" xfId="0" applyNumberFormat="1" applyFont="1" applyFill="1" applyBorder="1" applyAlignment="1">
      <alignment horizontal="center"/>
    </xf>
    <xf numFmtId="44" fontId="129" fillId="18" borderId="29" xfId="0" applyNumberFormat="1" applyFont="1" applyFill="1" applyBorder="1" applyAlignment="1">
      <alignment horizontal="center"/>
    </xf>
    <xf numFmtId="0" fontId="128" fillId="11" borderId="18" xfId="0" applyFont="1" applyFill="1" applyBorder="1" applyAlignment="1">
      <alignment horizontal="center"/>
    </xf>
    <xf numFmtId="0" fontId="128" fillId="11" borderId="37" xfId="0" applyFont="1" applyFill="1" applyBorder="1" applyAlignment="1">
      <alignment horizontal="center"/>
    </xf>
    <xf numFmtId="0" fontId="128" fillId="11" borderId="42" xfId="0" applyFont="1" applyFill="1" applyBorder="1" applyAlignment="1">
      <alignment horizontal="center"/>
    </xf>
    <xf numFmtId="0" fontId="128" fillId="11" borderId="33" xfId="0" applyFont="1" applyFill="1" applyBorder="1" applyAlignment="1">
      <alignment horizontal="center"/>
    </xf>
    <xf numFmtId="44" fontId="129" fillId="11" borderId="28" xfId="0" applyNumberFormat="1" applyFont="1" applyFill="1" applyBorder="1" applyAlignment="1">
      <alignment horizontal="center"/>
    </xf>
    <xf numFmtId="44" fontId="129" fillId="11" borderId="29" xfId="0" applyNumberFormat="1" applyFont="1" applyFill="1" applyBorder="1" applyAlignment="1">
      <alignment horizontal="center"/>
    </xf>
    <xf numFmtId="0" fontId="128" fillId="28" borderId="18" xfId="0" applyFont="1" applyFill="1" applyBorder="1" applyAlignment="1">
      <alignment horizontal="center"/>
    </xf>
    <xf numFmtId="0" fontId="128" fillId="28" borderId="37" xfId="0" applyFont="1" applyFill="1" applyBorder="1" applyAlignment="1">
      <alignment horizontal="center"/>
    </xf>
    <xf numFmtId="0" fontId="128" fillId="28" borderId="42" xfId="0" applyFont="1" applyFill="1" applyBorder="1" applyAlignment="1">
      <alignment horizontal="center"/>
    </xf>
    <xf numFmtId="0" fontId="128" fillId="28" borderId="33" xfId="0" applyFont="1" applyFill="1" applyBorder="1" applyAlignment="1">
      <alignment horizontal="center"/>
    </xf>
    <xf numFmtId="44" fontId="129" fillId="28" borderId="28" xfId="0" applyNumberFormat="1" applyFont="1" applyFill="1" applyBorder="1" applyAlignment="1">
      <alignment horizontal="center"/>
    </xf>
    <xf numFmtId="44" fontId="129" fillId="28" borderId="29" xfId="0" applyNumberFormat="1" applyFont="1" applyFill="1" applyBorder="1" applyAlignment="1">
      <alignment horizontal="center"/>
    </xf>
    <xf numFmtId="0" fontId="128" fillId="29" borderId="18" xfId="0" applyFont="1" applyFill="1" applyBorder="1" applyAlignment="1">
      <alignment horizontal="center"/>
    </xf>
    <xf numFmtId="0" fontId="128" fillId="29" borderId="37" xfId="0" applyFont="1" applyFill="1" applyBorder="1" applyAlignment="1">
      <alignment horizontal="center"/>
    </xf>
    <xf numFmtId="0" fontId="128" fillId="29" borderId="42" xfId="0" applyFont="1" applyFill="1" applyBorder="1" applyAlignment="1">
      <alignment horizontal="center"/>
    </xf>
    <xf numFmtId="0" fontId="128" fillId="29" borderId="33" xfId="0" applyFont="1" applyFill="1" applyBorder="1" applyAlignment="1">
      <alignment horizontal="center"/>
    </xf>
    <xf numFmtId="44" fontId="129" fillId="29" borderId="28" xfId="0" applyNumberFormat="1" applyFont="1" applyFill="1" applyBorder="1" applyAlignment="1">
      <alignment horizontal="center"/>
    </xf>
    <xf numFmtId="44" fontId="129" fillId="29" borderId="29" xfId="0" applyNumberFormat="1" applyFont="1" applyFill="1" applyBorder="1" applyAlignment="1">
      <alignment horizontal="center"/>
    </xf>
    <xf numFmtId="44" fontId="129" fillId="26" borderId="28" xfId="0" applyNumberFormat="1" applyFont="1" applyFill="1" applyBorder="1" applyAlignment="1">
      <alignment horizontal="center"/>
    </xf>
    <xf numFmtId="44" fontId="129" fillId="26" borderId="29" xfId="0" applyNumberFormat="1" applyFont="1" applyFill="1" applyBorder="1" applyAlignment="1">
      <alignment horizontal="center"/>
    </xf>
    <xf numFmtId="0" fontId="128" fillId="31" borderId="18" xfId="0" applyFont="1" applyFill="1" applyBorder="1" applyAlignment="1">
      <alignment horizontal="center"/>
    </xf>
    <xf numFmtId="0" fontId="128" fillId="31" borderId="37" xfId="0" applyFont="1" applyFill="1" applyBorder="1" applyAlignment="1">
      <alignment horizontal="center"/>
    </xf>
    <xf numFmtId="0" fontId="128" fillId="31" borderId="42" xfId="0" applyFont="1" applyFill="1" applyBorder="1" applyAlignment="1">
      <alignment horizontal="center"/>
    </xf>
    <xf numFmtId="0" fontId="128" fillId="31" borderId="33" xfId="0" applyFont="1" applyFill="1" applyBorder="1" applyAlignment="1">
      <alignment horizontal="center"/>
    </xf>
    <xf numFmtId="44" fontId="129" fillId="31" borderId="28" xfId="0" applyNumberFormat="1" applyFont="1" applyFill="1" applyBorder="1" applyAlignment="1">
      <alignment horizontal="center"/>
    </xf>
    <xf numFmtId="44" fontId="129" fillId="31" borderId="29" xfId="0" applyNumberFormat="1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64" xfId="0" applyFont="1" applyFill="1" applyBorder="1" applyAlignment="1">
      <alignment horizontal="center"/>
    </xf>
    <xf numFmtId="0" fontId="68" fillId="9" borderId="33" xfId="0" applyFont="1" applyFill="1" applyBorder="1" applyAlignment="1">
      <alignment horizontal="center"/>
    </xf>
    <xf numFmtId="44" fontId="129" fillId="0" borderId="18" xfId="0" applyNumberFormat="1" applyFont="1" applyFill="1" applyBorder="1" applyAlignment="1">
      <alignment horizontal="center" vertical="center" wrapText="1"/>
    </xf>
    <xf numFmtId="44" fontId="129" fillId="0" borderId="37" xfId="0" applyNumberFormat="1" applyFont="1" applyFill="1" applyBorder="1" applyAlignment="1">
      <alignment horizontal="center" vertical="center" wrapText="1"/>
    </xf>
    <xf numFmtId="44" fontId="129" fillId="0" borderId="28" xfId="0" applyNumberFormat="1" applyFont="1" applyFill="1" applyBorder="1" applyAlignment="1">
      <alignment horizontal="center" vertical="center" wrapText="1"/>
    </xf>
    <xf numFmtId="44" fontId="129" fillId="0" borderId="6" xfId="0" applyNumberFormat="1" applyFont="1" applyFill="1" applyBorder="1" applyAlignment="1">
      <alignment horizontal="center" vertical="center" wrapText="1"/>
    </xf>
    <xf numFmtId="44" fontId="129" fillId="0" borderId="0" xfId="0" applyNumberFormat="1" applyFont="1" applyFill="1" applyBorder="1" applyAlignment="1">
      <alignment horizontal="center" vertical="center" wrapText="1"/>
    </xf>
    <xf numFmtId="44" fontId="129" fillId="0" borderId="27" xfId="0" applyNumberFormat="1" applyFont="1" applyFill="1" applyBorder="1" applyAlignment="1">
      <alignment horizontal="center" vertical="center" wrapText="1"/>
    </xf>
    <xf numFmtId="44" fontId="129" fillId="0" borderId="42" xfId="0" applyNumberFormat="1" applyFont="1" applyFill="1" applyBorder="1" applyAlignment="1">
      <alignment horizontal="center" vertical="center" wrapText="1"/>
    </xf>
    <xf numFmtId="44" fontId="129" fillId="0" borderId="33" xfId="0" applyNumberFormat="1" applyFont="1" applyFill="1" applyBorder="1" applyAlignment="1">
      <alignment horizontal="center" vertical="center" wrapText="1"/>
    </xf>
    <xf numFmtId="44" fontId="129" fillId="0" borderId="29" xfId="0" applyNumberFormat="1" applyFont="1" applyFill="1" applyBorder="1" applyAlignment="1">
      <alignment horizontal="center" vertical="center" wrapText="1"/>
    </xf>
    <xf numFmtId="170" fontId="90" fillId="3" borderId="1" xfId="13" applyNumberFormat="1" applyFont="1" applyFill="1" applyBorder="1" applyAlignment="1">
      <alignment horizontal="center"/>
    </xf>
    <xf numFmtId="170" fontId="90" fillId="3" borderId="17" xfId="13" applyNumberFormat="1" applyFont="1" applyFill="1" applyBorder="1" applyAlignment="1">
      <alignment horizontal="center"/>
    </xf>
    <xf numFmtId="0" fontId="91" fillId="20" borderId="5" xfId="13" applyFont="1" applyFill="1" applyBorder="1" applyAlignment="1">
      <alignment horizontal="center"/>
    </xf>
    <xf numFmtId="0" fontId="11" fillId="26" borderId="8" xfId="13" applyFont="1" applyFill="1" applyBorder="1" applyAlignment="1">
      <alignment horizontal="center" vertical="center" wrapText="1"/>
    </xf>
    <xf numFmtId="0" fontId="11" fillId="26" borderId="13" xfId="13" applyFont="1" applyFill="1" applyBorder="1" applyAlignment="1">
      <alignment horizontal="center" vertical="center" wrapText="1"/>
    </xf>
    <xf numFmtId="170" fontId="90" fillId="3" borderId="2" xfId="13" applyNumberFormat="1" applyFont="1" applyFill="1" applyBorder="1" applyAlignment="1">
      <alignment horizontal="center"/>
    </xf>
    <xf numFmtId="0" fontId="11" fillId="36" borderId="8" xfId="13" applyFont="1" applyFill="1" applyBorder="1" applyAlignment="1">
      <alignment horizontal="center" vertical="center" wrapText="1"/>
    </xf>
    <xf numFmtId="0" fontId="11" fillId="36" borderId="13" xfId="13" applyFont="1" applyFill="1" applyBorder="1" applyAlignment="1">
      <alignment horizontal="center" vertical="center" wrapText="1"/>
    </xf>
    <xf numFmtId="0" fontId="98" fillId="26" borderId="12" xfId="13" applyFont="1" applyFill="1" applyBorder="1" applyAlignment="1">
      <alignment horizontal="center"/>
    </xf>
    <xf numFmtId="164" fontId="98" fillId="26" borderId="12" xfId="2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54" fillId="4" borderId="0" xfId="19" applyFont="1" applyFill="1" applyBorder="1" applyAlignment="1">
      <alignment horizontal="left" vertical="top"/>
    </xf>
    <xf numFmtId="0" fontId="54" fillId="4" borderId="27" xfId="19" applyFont="1" applyFill="1" applyBorder="1" applyAlignment="1">
      <alignment horizontal="left" vertical="top"/>
    </xf>
    <xf numFmtId="0" fontId="131" fillId="0" borderId="0" xfId="19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right"/>
    </xf>
    <xf numFmtId="0" fontId="75" fillId="9" borderId="0" xfId="0" applyFont="1" applyFill="1" applyAlignment="1">
      <alignment horizontal="center"/>
    </xf>
  </cellXfs>
  <cellStyles count="31">
    <cellStyle name="Calculation" xfId="1" builtinId="22"/>
    <cellStyle name="Comma" xfId="20" builtinId="3"/>
    <cellStyle name="Comma 2" xfId="18"/>
    <cellStyle name="Currency" xfId="2" builtinId="4"/>
    <cellStyle name="Currency 2" xfId="3"/>
    <cellStyle name="Currency 2 2" xfId="12"/>
    <cellStyle name="Currency 3" xfId="21"/>
    <cellStyle name="Currency 4" xfId="30"/>
    <cellStyle name="Hyperlink" xfId="4" builtinId="8"/>
    <cellStyle name="Normal" xfId="0" builtinId="0"/>
    <cellStyle name="Normal 2" xfId="5"/>
    <cellStyle name="Normal 2 2" xfId="13"/>
    <cellStyle name="Normal 3" xfId="8"/>
    <cellStyle name="Normal 3 2" xfId="14"/>
    <cellStyle name="Normal 3 2 2" xfId="23"/>
    <cellStyle name="Normal 3 3" xfId="22"/>
    <cellStyle name="Normal 4" xfId="9"/>
    <cellStyle name="Normal 4 2" xfId="15"/>
    <cellStyle name="Normal 4 2 2" xfId="25"/>
    <cellStyle name="Normal 4 3" xfId="24"/>
    <cellStyle name="Normal 5" xfId="10"/>
    <cellStyle name="Normal 5 2" xfId="16"/>
    <cellStyle name="Normal 5 2 2" xfId="27"/>
    <cellStyle name="Normal 5 3" xfId="19"/>
    <cellStyle name="Normal 5 3 2" xfId="28"/>
    <cellStyle name="Normal 5 4" xfId="26"/>
    <cellStyle name="Normal 6" xfId="11"/>
    <cellStyle name="Normal 7" xfId="29"/>
    <cellStyle name="Percent" xfId="6" builtinId="5"/>
    <cellStyle name="Percent 2" xfId="7"/>
    <cellStyle name="Percent 2 2" xfId="17"/>
  </cellStyles>
  <dxfs count="27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FDE9D9"/>
      <color rgb="FFFFFF99"/>
      <color rgb="FFFFCCFF"/>
      <color rgb="FF0000FF"/>
      <color rgb="FFFF99FF"/>
      <color rgb="FFFF6600"/>
      <color rgb="FF538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6380438217009838"/>
          <c:y val="0.22128134660560581"/>
          <c:w val="0.7081343989766995"/>
          <c:h val="0.69582393372898399"/>
        </c:manualLayout>
      </c:layout>
      <c:bar3DChart>
        <c:barDir val="bar"/>
        <c:grouping val="clustered"/>
        <c:varyColors val="0"/>
        <c:ser>
          <c:idx val="2"/>
          <c:order val="0"/>
          <c:tx>
            <c:strRef>
              <c:f>REPORT!$D$14</c:f>
              <c:strCache>
                <c:ptCount val="1"/>
                <c:pt idx="0">
                  <c:v>% COMPLETE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REPORT!$A$15:$A$26</c:f>
              <c:strCache>
                <c:ptCount val="12"/>
                <c:pt idx="0">
                  <c:v>Survey</c:v>
                </c:pt>
                <c:pt idx="1">
                  <c:v>Clear and Grub</c:v>
                </c:pt>
                <c:pt idx="2">
                  <c:v>Grade the Site</c:v>
                </c:pt>
                <c:pt idx="3">
                  <c:v>Unload, Haul &amp; String</c:v>
                </c:pt>
                <c:pt idx="4">
                  <c:v>Bending</c:v>
                </c:pt>
                <c:pt idx="5">
                  <c:v>Welding</c:v>
                </c:pt>
                <c:pt idx="6">
                  <c:v>Trenching</c:v>
                </c:pt>
                <c:pt idx="7">
                  <c:v>Lower-In </c:v>
                </c:pt>
                <c:pt idx="8">
                  <c:v>Backfill</c:v>
                </c:pt>
                <c:pt idx="9">
                  <c:v>Machine Clean-Up</c:v>
                </c:pt>
                <c:pt idx="10">
                  <c:v>Testing</c:v>
                </c:pt>
                <c:pt idx="11">
                  <c:v>Final Clean-Up</c:v>
                </c:pt>
              </c:strCache>
            </c:strRef>
          </c:cat>
          <c:val>
            <c:numRef>
              <c:f>REPORT!$D$15:$D$26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81159776"/>
        <c:axId val="281161344"/>
        <c:axId val="0"/>
      </c:bar3DChart>
      <c:catAx>
        <c:axId val="28115977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crossAx val="281161344"/>
        <c:crosses val="autoZero"/>
        <c:auto val="1"/>
        <c:lblAlgn val="ctr"/>
        <c:lblOffset val="100"/>
        <c:noMultiLvlLbl val="0"/>
      </c:catAx>
      <c:valAx>
        <c:axId val="281161344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one"/>
        <c:crossAx val="281159776"/>
        <c:crossesAt val="1"/>
        <c:crossBetween val="between"/>
      </c:valAx>
    </c:plotArea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91440</xdr:colOff>
      <xdr:row>35</xdr:row>
      <xdr:rowOff>106681</xdr:rowOff>
    </xdr:from>
    <xdr:to>
      <xdr:col>16</xdr:col>
      <xdr:colOff>1104900</xdr:colOff>
      <xdr:row>54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129540</xdr:colOff>
      <xdr:row>7</xdr:row>
      <xdr:rowOff>0</xdr:rowOff>
    </xdr:from>
    <xdr:to>
      <xdr:col>7</xdr:col>
      <xdr:colOff>586740</xdr:colOff>
      <xdr:row>9</xdr:row>
      <xdr:rowOff>30480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1780" y="1775460"/>
          <a:ext cx="457200" cy="457200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4</xdr:row>
      <xdr:rowOff>84464</xdr:rowOff>
    </xdr:from>
    <xdr:to>
      <xdr:col>10</xdr:col>
      <xdr:colOff>1000125</xdr:colOff>
      <xdr:row>6</xdr:row>
      <xdr:rowOff>161925</xdr:rowOff>
    </xdr:to>
    <xdr:pic>
      <xdr:nvPicPr>
        <xdr:cNvPr id="6" name="Picture 5" descr="http://thepipeline.pembina.net/Utilities/Assets/Handler/Asset.ashx?asset=251376&amp;size=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124825" y="1189364"/>
          <a:ext cx="1504950" cy="4870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166689</xdr:colOff>
      <xdr:row>1</xdr:row>
      <xdr:rowOff>99980</xdr:rowOff>
    </xdr:from>
    <xdr:to>
      <xdr:col>27</xdr:col>
      <xdr:colOff>388145</xdr:colOff>
      <xdr:row>7</xdr:row>
      <xdr:rowOff>115656</xdr:rowOff>
    </xdr:to>
    <xdr:pic>
      <xdr:nvPicPr>
        <xdr:cNvPr id="2" name="Picture 1" descr="http://thepipeline.pembina.net/Utilities/Assets/Handler/Asset.ashx?asset=251376&amp;size=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454189" y="266668"/>
          <a:ext cx="3567112" cy="1015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opLeftCell="A4" workbookViewId="0">
      <selection activeCell="P22" sqref="P22"/>
    </sheetView>
  </sheetViews>
  <sheetFormatPr defaultRowHeight="12.75" x14ac:dyDescent="0.2"/>
  <cols>
    <col min="1" max="1" width="23.7109375" customWidth="1"/>
  </cols>
  <sheetData>
    <row r="1" spans="1:13" x14ac:dyDescent="0.2">
      <c r="A1" s="157"/>
      <c r="B1" s="88"/>
      <c r="C1" s="88"/>
      <c r="D1" s="88"/>
      <c r="E1" s="88"/>
      <c r="F1" s="88"/>
      <c r="G1" s="88"/>
      <c r="H1" s="88"/>
      <c r="I1" s="88"/>
      <c r="J1" s="88"/>
      <c r="K1" s="88"/>
      <c r="L1" s="158"/>
    </row>
    <row r="2" spans="1:13" ht="12.75" customHeight="1" x14ac:dyDescent="0.2">
      <c r="A2" s="927" t="s">
        <v>63</v>
      </c>
      <c r="B2" s="928"/>
      <c r="C2" s="928"/>
      <c r="D2" s="928"/>
      <c r="E2" s="928"/>
      <c r="F2" s="928"/>
      <c r="G2" s="928"/>
      <c r="H2" s="928"/>
      <c r="I2" s="928"/>
      <c r="J2" s="928"/>
      <c r="K2" s="928"/>
      <c r="L2" s="929"/>
    </row>
    <row r="3" spans="1:13" ht="12.75" customHeight="1" x14ac:dyDescent="0.2">
      <c r="A3" s="927"/>
      <c r="B3" s="928"/>
      <c r="C3" s="928"/>
      <c r="D3" s="928"/>
      <c r="E3" s="928"/>
      <c r="F3" s="928"/>
      <c r="G3" s="928"/>
      <c r="H3" s="928"/>
      <c r="I3" s="928"/>
      <c r="J3" s="928"/>
      <c r="K3" s="928"/>
      <c r="L3" s="929"/>
    </row>
    <row r="4" spans="1:13" ht="13.5" thickBot="1" x14ac:dyDescent="0.25">
      <c r="A4" s="89"/>
      <c r="B4" s="1"/>
      <c r="C4" s="1"/>
      <c r="D4" s="1"/>
      <c r="E4" s="1"/>
      <c r="F4" s="1"/>
      <c r="G4" s="1"/>
      <c r="H4" s="1"/>
      <c r="I4" s="1"/>
      <c r="J4" s="1"/>
      <c r="K4" s="1"/>
      <c r="L4" s="91"/>
    </row>
    <row r="5" spans="1:13" x14ac:dyDescent="0.2">
      <c r="A5" s="916" t="s">
        <v>65</v>
      </c>
      <c r="B5" s="930" t="s">
        <v>69</v>
      </c>
      <c r="C5" s="930"/>
      <c r="D5" s="930"/>
      <c r="E5" s="930"/>
      <c r="F5" s="930"/>
      <c r="G5" s="930"/>
      <c r="H5" s="930"/>
      <c r="I5" s="930"/>
      <c r="J5" s="930"/>
      <c r="K5" s="930"/>
      <c r="L5" s="931"/>
    </row>
    <row r="6" spans="1:13" ht="13.5" thickBot="1" x14ac:dyDescent="0.25">
      <c r="A6" s="917"/>
      <c r="B6" s="932"/>
      <c r="C6" s="932"/>
      <c r="D6" s="932"/>
      <c r="E6" s="932"/>
      <c r="F6" s="932"/>
      <c r="G6" s="932"/>
      <c r="H6" s="932"/>
      <c r="I6" s="932"/>
      <c r="J6" s="932"/>
      <c r="K6" s="932"/>
      <c r="L6" s="933"/>
    </row>
    <row r="7" spans="1:13" ht="43.5" customHeight="1" thickBot="1" x14ac:dyDescent="0.25">
      <c r="A7" s="163" t="s">
        <v>54</v>
      </c>
      <c r="B7" s="934" t="s">
        <v>74</v>
      </c>
      <c r="C7" s="935"/>
      <c r="D7" s="935"/>
      <c r="E7" s="935"/>
      <c r="F7" s="935"/>
      <c r="G7" s="935"/>
      <c r="H7" s="935"/>
      <c r="I7" s="935"/>
      <c r="J7" s="935"/>
      <c r="K7" s="935"/>
      <c r="L7" s="936"/>
    </row>
    <row r="8" spans="1:13" ht="38.25" customHeight="1" thickBot="1" x14ac:dyDescent="0.25">
      <c r="A8" s="163" t="s">
        <v>55</v>
      </c>
      <c r="B8" s="941" t="s">
        <v>72</v>
      </c>
      <c r="C8" s="942"/>
      <c r="D8" s="942"/>
      <c r="E8" s="942"/>
      <c r="F8" s="942"/>
      <c r="G8" s="942"/>
      <c r="H8" s="942"/>
      <c r="I8" s="942"/>
      <c r="J8" s="942"/>
      <c r="K8" s="942"/>
      <c r="L8" s="943"/>
    </row>
    <row r="9" spans="1:13" x14ac:dyDescent="0.2">
      <c r="A9" s="916" t="s">
        <v>56</v>
      </c>
      <c r="B9" s="937" t="s">
        <v>66</v>
      </c>
      <c r="C9" s="937"/>
      <c r="D9" s="937"/>
      <c r="E9" s="937"/>
      <c r="F9" s="937"/>
      <c r="G9" s="937"/>
      <c r="H9" s="937"/>
      <c r="I9" s="937"/>
      <c r="J9" s="937"/>
      <c r="K9" s="937"/>
      <c r="L9" s="938"/>
      <c r="M9" s="50"/>
    </row>
    <row r="10" spans="1:13" ht="13.5" thickBot="1" x14ac:dyDescent="0.25">
      <c r="A10" s="917"/>
      <c r="B10" s="939"/>
      <c r="C10" s="939"/>
      <c r="D10" s="939"/>
      <c r="E10" s="939"/>
      <c r="F10" s="939"/>
      <c r="G10" s="939"/>
      <c r="H10" s="939"/>
      <c r="I10" s="939"/>
      <c r="J10" s="939"/>
      <c r="K10" s="939"/>
      <c r="L10" s="940"/>
    </row>
    <row r="11" spans="1:13" x14ac:dyDescent="0.2">
      <c r="A11" s="916" t="s">
        <v>57</v>
      </c>
      <c r="B11" s="918" t="s">
        <v>58</v>
      </c>
      <c r="C11" s="918"/>
      <c r="D11" s="918"/>
      <c r="E11" s="918"/>
      <c r="F11" s="918"/>
      <c r="G11" s="918"/>
      <c r="H11" s="918"/>
      <c r="I11" s="918"/>
      <c r="J11" s="918"/>
      <c r="K11" s="918"/>
      <c r="L11" s="919"/>
    </row>
    <row r="12" spans="1:13" ht="13.5" thickBot="1" x14ac:dyDescent="0.25">
      <c r="A12" s="917"/>
      <c r="B12" s="920"/>
      <c r="C12" s="920"/>
      <c r="D12" s="920"/>
      <c r="E12" s="920"/>
      <c r="F12" s="920"/>
      <c r="G12" s="920"/>
      <c r="H12" s="920"/>
      <c r="I12" s="920"/>
      <c r="J12" s="920"/>
      <c r="K12" s="920"/>
      <c r="L12" s="921"/>
    </row>
    <row r="13" spans="1:13" x14ac:dyDescent="0.2">
      <c r="A13" s="916" t="s">
        <v>59</v>
      </c>
      <c r="B13" s="918" t="s">
        <v>60</v>
      </c>
      <c r="C13" s="918"/>
      <c r="D13" s="918"/>
      <c r="E13" s="918"/>
      <c r="F13" s="918"/>
      <c r="G13" s="918"/>
      <c r="H13" s="918"/>
      <c r="I13" s="918"/>
      <c r="J13" s="918"/>
      <c r="K13" s="918"/>
      <c r="L13" s="919"/>
    </row>
    <row r="14" spans="1:13" ht="13.5" thickBot="1" x14ac:dyDescent="0.25">
      <c r="A14" s="917"/>
      <c r="B14" s="920"/>
      <c r="C14" s="920"/>
      <c r="D14" s="920"/>
      <c r="E14" s="920"/>
      <c r="F14" s="920"/>
      <c r="G14" s="920"/>
      <c r="H14" s="920"/>
      <c r="I14" s="920"/>
      <c r="J14" s="920"/>
      <c r="K14" s="920"/>
      <c r="L14" s="921"/>
    </row>
    <row r="15" spans="1:13" ht="13.5" thickBot="1" x14ac:dyDescent="0.25">
      <c r="A15" s="946" t="s">
        <v>73</v>
      </c>
      <c r="B15" s="947"/>
      <c r="C15" s="947"/>
      <c r="D15" s="947"/>
      <c r="E15" s="947"/>
      <c r="F15" s="947"/>
      <c r="G15" s="947"/>
      <c r="H15" s="947"/>
      <c r="I15" s="947"/>
      <c r="J15" s="947"/>
      <c r="K15" s="947"/>
      <c r="L15" s="948"/>
    </row>
    <row r="16" spans="1:13" x14ac:dyDescent="0.2">
      <c r="A16" s="916" t="s">
        <v>61</v>
      </c>
      <c r="B16" s="918" t="s">
        <v>67</v>
      </c>
      <c r="C16" s="918"/>
      <c r="D16" s="918"/>
      <c r="E16" s="918"/>
      <c r="F16" s="918"/>
      <c r="G16" s="918"/>
      <c r="H16" s="918"/>
      <c r="I16" s="918"/>
      <c r="J16" s="918"/>
      <c r="K16" s="918"/>
      <c r="L16" s="919"/>
    </row>
    <row r="17" spans="1:12" ht="13.5" thickBot="1" x14ac:dyDescent="0.25">
      <c r="A17" s="917"/>
      <c r="B17" s="920"/>
      <c r="C17" s="920"/>
      <c r="D17" s="920"/>
      <c r="E17" s="920"/>
      <c r="F17" s="920"/>
      <c r="G17" s="920"/>
      <c r="H17" s="920"/>
      <c r="I17" s="920"/>
      <c r="J17" s="920"/>
      <c r="K17" s="920"/>
      <c r="L17" s="921"/>
    </row>
    <row r="18" spans="1:12" x14ac:dyDescent="0.2">
      <c r="A18" s="922" t="s">
        <v>70</v>
      </c>
      <c r="B18" s="918" t="s">
        <v>71</v>
      </c>
      <c r="C18" s="918"/>
      <c r="D18" s="918"/>
      <c r="E18" s="918"/>
      <c r="F18" s="918"/>
      <c r="G18" s="918"/>
      <c r="H18" s="918"/>
      <c r="I18" s="918"/>
      <c r="J18" s="918"/>
      <c r="K18" s="918"/>
      <c r="L18" s="919"/>
    </row>
    <row r="19" spans="1:12" ht="13.5" thickBot="1" x14ac:dyDescent="0.25">
      <c r="A19" s="923"/>
      <c r="B19" s="920"/>
      <c r="C19" s="920"/>
      <c r="D19" s="920"/>
      <c r="E19" s="920"/>
      <c r="F19" s="920"/>
      <c r="G19" s="920"/>
      <c r="H19" s="920"/>
      <c r="I19" s="920"/>
      <c r="J19" s="920"/>
      <c r="K19" s="920"/>
      <c r="L19" s="921"/>
    </row>
    <row r="20" spans="1:12" x14ac:dyDescent="0.2">
      <c r="A20" s="944" t="s">
        <v>62</v>
      </c>
      <c r="B20" s="918" t="s">
        <v>68</v>
      </c>
      <c r="C20" s="918"/>
      <c r="D20" s="918"/>
      <c r="E20" s="918"/>
      <c r="F20" s="918"/>
      <c r="G20" s="918"/>
      <c r="H20" s="918"/>
      <c r="I20" s="918"/>
      <c r="J20" s="918"/>
      <c r="K20" s="918"/>
      <c r="L20" s="919"/>
    </row>
    <row r="21" spans="1:12" ht="13.5" thickBot="1" x14ac:dyDescent="0.25">
      <c r="A21" s="945"/>
      <c r="B21" s="920"/>
      <c r="C21" s="920"/>
      <c r="D21" s="920"/>
      <c r="E21" s="920"/>
      <c r="F21" s="920"/>
      <c r="G21" s="920"/>
      <c r="H21" s="920"/>
      <c r="I21" s="920"/>
      <c r="J21" s="920"/>
      <c r="K21" s="920"/>
      <c r="L21" s="921"/>
    </row>
    <row r="22" spans="1:12" x14ac:dyDescent="0.2">
      <c r="A22" s="89"/>
      <c r="B22" s="1"/>
      <c r="C22" s="1"/>
      <c r="D22" s="1"/>
      <c r="E22" s="1"/>
      <c r="F22" s="1"/>
      <c r="G22" s="1"/>
      <c r="H22" s="1"/>
      <c r="I22" s="1"/>
      <c r="J22" s="1"/>
      <c r="K22" s="1"/>
      <c r="L22" s="91"/>
    </row>
    <row r="23" spans="1:12" x14ac:dyDescent="0.2">
      <c r="A23" s="89"/>
      <c r="B23" s="1"/>
      <c r="C23" s="1"/>
      <c r="D23" s="1"/>
      <c r="E23" s="1"/>
      <c r="F23" s="1"/>
      <c r="G23" s="1"/>
      <c r="H23" s="1"/>
      <c r="I23" s="1"/>
      <c r="J23" s="1"/>
      <c r="K23" s="1"/>
      <c r="L23" s="91"/>
    </row>
    <row r="24" spans="1:12" x14ac:dyDescent="0.2">
      <c r="A24" s="89"/>
      <c r="B24" s="1"/>
      <c r="C24" s="1"/>
      <c r="D24" s="1"/>
      <c r="E24" s="1"/>
      <c r="F24" s="1"/>
      <c r="G24" s="1"/>
      <c r="H24" s="1"/>
      <c r="I24" s="1"/>
      <c r="J24" s="1"/>
      <c r="K24" s="1"/>
      <c r="L24" s="91"/>
    </row>
    <row r="25" spans="1:12" x14ac:dyDescent="0.2">
      <c r="A25" s="924" t="s">
        <v>64</v>
      </c>
      <c r="B25" s="925"/>
      <c r="C25" s="925"/>
      <c r="D25" s="925"/>
      <c r="E25" s="925"/>
      <c r="F25" s="925"/>
      <c r="G25" s="925"/>
      <c r="H25" s="925"/>
      <c r="I25" s="925"/>
      <c r="J25" s="925"/>
      <c r="K25" s="925"/>
      <c r="L25" s="926"/>
    </row>
    <row r="26" spans="1:12" x14ac:dyDescent="0.2">
      <c r="A26" s="924"/>
      <c r="B26" s="925"/>
      <c r="C26" s="925"/>
      <c r="D26" s="925"/>
      <c r="E26" s="925"/>
      <c r="F26" s="925"/>
      <c r="G26" s="925"/>
      <c r="H26" s="925"/>
      <c r="I26" s="925"/>
      <c r="J26" s="925"/>
      <c r="K26" s="925"/>
      <c r="L26" s="926"/>
    </row>
    <row r="27" spans="1:12" x14ac:dyDescent="0.2">
      <c r="A27" s="924"/>
      <c r="B27" s="925"/>
      <c r="C27" s="925"/>
      <c r="D27" s="925"/>
      <c r="E27" s="925"/>
      <c r="F27" s="925"/>
      <c r="G27" s="925"/>
      <c r="H27" s="925"/>
      <c r="I27" s="925"/>
      <c r="J27" s="925"/>
      <c r="K27" s="925"/>
      <c r="L27" s="926"/>
    </row>
    <row r="28" spans="1:12" x14ac:dyDescent="0.2">
      <c r="A28" s="924"/>
      <c r="B28" s="925"/>
      <c r="C28" s="925"/>
      <c r="D28" s="925"/>
      <c r="E28" s="925"/>
      <c r="F28" s="925"/>
      <c r="G28" s="925"/>
      <c r="H28" s="925"/>
      <c r="I28" s="925"/>
      <c r="J28" s="925"/>
      <c r="K28" s="925"/>
      <c r="L28" s="926"/>
    </row>
    <row r="29" spans="1:12" x14ac:dyDescent="0.2">
      <c r="A29" s="159"/>
      <c r="B29" s="1"/>
      <c r="C29" s="1"/>
      <c r="D29" s="1"/>
      <c r="E29" s="1"/>
      <c r="F29" s="1"/>
      <c r="G29" s="1"/>
      <c r="H29" s="1"/>
      <c r="I29" s="1"/>
      <c r="J29" s="1"/>
      <c r="K29" s="1"/>
      <c r="L29" s="91"/>
    </row>
    <row r="30" spans="1:12" ht="13.5" thickBot="1" x14ac:dyDescent="0.25">
      <c r="A30" s="160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2"/>
    </row>
  </sheetData>
  <mergeCells count="19">
    <mergeCell ref="A25:L28"/>
    <mergeCell ref="A2:L3"/>
    <mergeCell ref="B5:L6"/>
    <mergeCell ref="B7:L7"/>
    <mergeCell ref="A9:A10"/>
    <mergeCell ref="B9:L10"/>
    <mergeCell ref="A5:A6"/>
    <mergeCell ref="B8:L8"/>
    <mergeCell ref="A11:A12"/>
    <mergeCell ref="A20:A21"/>
    <mergeCell ref="B20:L21"/>
    <mergeCell ref="A15:L15"/>
    <mergeCell ref="B11:L12"/>
    <mergeCell ref="A13:A14"/>
    <mergeCell ref="B13:L14"/>
    <mergeCell ref="A16:A17"/>
    <mergeCell ref="B16:L17"/>
    <mergeCell ref="A18:A19"/>
    <mergeCell ref="B18:L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T334"/>
  <sheetViews>
    <sheetView zoomScaleNormal="100" workbookViewId="0">
      <selection activeCell="T25" sqref="T25"/>
    </sheetView>
  </sheetViews>
  <sheetFormatPr defaultRowHeight="12.75" x14ac:dyDescent="0.2"/>
  <cols>
    <col min="1" max="1" width="23.28515625" customWidth="1"/>
    <col min="2" max="2" width="11.28515625" customWidth="1"/>
    <col min="3" max="3" width="13.28515625" customWidth="1"/>
    <col min="4" max="4" width="14.5703125" customWidth="1"/>
    <col min="5" max="5" width="13.7109375" customWidth="1"/>
    <col min="6" max="6" width="11.28515625" customWidth="1"/>
    <col min="7" max="7" width="7.140625" bestFit="1" customWidth="1"/>
    <col min="8" max="8" width="17" customWidth="1"/>
    <col min="9" max="9" width="9.140625" customWidth="1"/>
    <col min="10" max="10" width="8.7109375" customWidth="1"/>
    <col min="11" max="11" width="15.28515625" customWidth="1"/>
    <col min="12" max="12" width="7.5703125" bestFit="1" customWidth="1"/>
    <col min="13" max="13" width="7.140625" bestFit="1" customWidth="1"/>
    <col min="14" max="14" width="9.85546875" customWidth="1"/>
    <col min="15" max="15" width="8" customWidth="1"/>
    <col min="16" max="16" width="15.28515625" customWidth="1"/>
    <col min="17" max="17" width="17.42578125" customWidth="1"/>
  </cols>
  <sheetData>
    <row r="1" spans="1:20" ht="35.25" customHeight="1" thickBot="1" x14ac:dyDescent="0.45">
      <c r="A1" s="81" t="s">
        <v>15</v>
      </c>
      <c r="B1" s="237">
        <f>'Actual PROGRESS'!B5+1</f>
        <v>1</v>
      </c>
      <c r="C1" s="88"/>
      <c r="D1" s="861" t="s">
        <v>96</v>
      </c>
      <c r="E1" s="862"/>
      <c r="G1" s="228"/>
      <c r="H1" s="1002" t="s">
        <v>105</v>
      </c>
      <c r="I1" s="1003"/>
      <c r="J1" s="1019" t="s">
        <v>97</v>
      </c>
      <c r="K1" s="1019"/>
      <c r="L1" s="1022">
        <f>SUM(L3:M11)</f>
        <v>0</v>
      </c>
      <c r="M1" s="1023"/>
      <c r="N1" s="1016" t="s">
        <v>78</v>
      </c>
      <c r="O1" s="1017"/>
      <c r="P1" s="1018"/>
      <c r="Q1" s="278" t="s">
        <v>99</v>
      </c>
    </row>
    <row r="2" spans="1:20" ht="24" customHeight="1" thickBot="1" x14ac:dyDescent="0.3">
      <c r="A2" s="89"/>
      <c r="C2" s="49"/>
      <c r="D2" s="49"/>
      <c r="F2" s="175"/>
      <c r="G2" s="90"/>
      <c r="H2" s="282" t="s">
        <v>103</v>
      </c>
      <c r="I2" s="283"/>
      <c r="J2" s="1024">
        <v>1</v>
      </c>
      <c r="K2" s="1024"/>
      <c r="L2" s="1025" t="s">
        <v>98</v>
      </c>
      <c r="M2" s="1026"/>
      <c r="N2" s="219" t="s">
        <v>29</v>
      </c>
      <c r="O2" s="239" t="s">
        <v>28</v>
      </c>
      <c r="P2" s="666">
        <f>E1</f>
        <v>0</v>
      </c>
      <c r="Q2" s="241" t="s">
        <v>50</v>
      </c>
    </row>
    <row r="3" spans="1:20" ht="15.75" thickBot="1" x14ac:dyDescent="0.35">
      <c r="A3" s="82" t="s">
        <v>16</v>
      </c>
      <c r="B3" s="220"/>
      <c r="C3" s="175"/>
      <c r="D3" s="175"/>
      <c r="E3" s="175"/>
      <c r="G3" s="90"/>
      <c r="H3" s="282" t="s">
        <v>104</v>
      </c>
      <c r="I3" s="283"/>
      <c r="J3" s="248"/>
      <c r="K3" s="244"/>
      <c r="L3" s="1027">
        <f t="shared" ref="L3:L11" si="0">N3*12</f>
        <v>0</v>
      </c>
      <c r="M3" s="1028"/>
      <c r="N3" s="238">
        <f>O3+P3</f>
        <v>0</v>
      </c>
      <c r="O3" s="238"/>
      <c r="P3" s="240"/>
      <c r="Q3" s="242"/>
    </row>
    <row r="4" spans="1:20" ht="15.75" thickBot="1" x14ac:dyDescent="0.35">
      <c r="A4" s="82" t="s">
        <v>83</v>
      </c>
      <c r="B4" s="220" t="s">
        <v>321</v>
      </c>
      <c r="C4" s="175"/>
      <c r="D4" s="175"/>
      <c r="E4" s="175"/>
      <c r="F4" s="175"/>
      <c r="G4" s="175"/>
      <c r="H4" s="282"/>
      <c r="I4" s="283"/>
      <c r="J4" s="174"/>
      <c r="K4" s="245"/>
      <c r="L4" s="1020">
        <f t="shared" si="0"/>
        <v>0</v>
      </c>
      <c r="M4" s="1021"/>
      <c r="N4" s="238">
        <f t="shared" ref="N4:N10" si="1">O4+P4</f>
        <v>0</v>
      </c>
      <c r="O4" s="238"/>
      <c r="P4" s="240"/>
      <c r="Q4" s="242"/>
    </row>
    <row r="5" spans="1:20" ht="15.75" thickBot="1" x14ac:dyDescent="0.35">
      <c r="A5" s="82" t="s">
        <v>102</v>
      </c>
      <c r="B5" s="220" t="s">
        <v>370</v>
      </c>
      <c r="C5" s="175"/>
      <c r="D5" s="175"/>
      <c r="E5" s="175"/>
      <c r="G5" s="175"/>
      <c r="H5" s="282"/>
      <c r="I5" s="283"/>
      <c r="J5" s="174"/>
      <c r="K5" s="245"/>
      <c r="L5" s="1020">
        <f t="shared" si="0"/>
        <v>0</v>
      </c>
      <c r="M5" s="1021"/>
      <c r="N5" s="238">
        <f t="shared" si="1"/>
        <v>0</v>
      </c>
      <c r="O5" s="238"/>
      <c r="P5" s="243"/>
      <c r="Q5" s="242"/>
    </row>
    <row r="6" spans="1:20" ht="16.899999999999999" customHeight="1" thickBot="1" x14ac:dyDescent="0.35">
      <c r="A6" s="82" t="s">
        <v>317</v>
      </c>
      <c r="B6" s="881" t="s">
        <v>323</v>
      </c>
      <c r="C6" s="882"/>
      <c r="D6" s="882"/>
      <c r="E6" s="883"/>
      <c r="F6" s="884"/>
      <c r="G6" s="885"/>
      <c r="H6" s="254"/>
      <c r="I6" s="291">
        <f>B1</f>
        <v>1</v>
      </c>
      <c r="J6" s="174"/>
      <c r="K6" s="245"/>
      <c r="L6" s="1020">
        <f t="shared" si="0"/>
        <v>0</v>
      </c>
      <c r="M6" s="1021"/>
      <c r="N6" s="238">
        <f t="shared" si="1"/>
        <v>0</v>
      </c>
      <c r="O6" s="238"/>
      <c r="P6" s="240"/>
      <c r="Q6" s="242"/>
    </row>
    <row r="7" spans="1:20" ht="16.899999999999999" customHeight="1" thickBot="1" x14ac:dyDescent="0.35">
      <c r="A7" s="156" t="s">
        <v>52</v>
      </c>
      <c r="B7" s="1013"/>
      <c r="C7" s="1008"/>
      <c r="D7" s="1006"/>
      <c r="E7" s="1006"/>
      <c r="F7" s="1006"/>
      <c r="G7" s="1007"/>
      <c r="H7" s="1004" t="s">
        <v>287</v>
      </c>
      <c r="I7" s="1005"/>
      <c r="J7" s="174"/>
      <c r="K7" s="246"/>
      <c r="L7" s="1020">
        <f t="shared" si="0"/>
        <v>0</v>
      </c>
      <c r="M7" s="1021"/>
      <c r="N7" s="238">
        <f t="shared" si="1"/>
        <v>0</v>
      </c>
      <c r="O7" s="238"/>
      <c r="P7" s="240"/>
      <c r="Q7" s="242"/>
    </row>
    <row r="8" spans="1:20" ht="15.75" thickBot="1" x14ac:dyDescent="0.35">
      <c r="A8" s="173" t="s">
        <v>288</v>
      </c>
      <c r="B8" s="1008"/>
      <c r="C8" s="1008"/>
      <c r="D8" s="1006"/>
      <c r="E8" s="1006"/>
      <c r="F8" s="1006"/>
      <c r="G8" s="1007"/>
      <c r="H8" s="751" t="s">
        <v>107</v>
      </c>
      <c r="I8" s="755"/>
      <c r="J8" s="174"/>
      <c r="K8" s="245"/>
      <c r="L8" s="1020">
        <f t="shared" si="0"/>
        <v>0</v>
      </c>
      <c r="M8" s="1021"/>
      <c r="N8" s="238">
        <f t="shared" si="1"/>
        <v>0</v>
      </c>
      <c r="O8" s="238"/>
      <c r="P8" s="240"/>
      <c r="Q8" s="242"/>
      <c r="R8" t="s">
        <v>23</v>
      </c>
      <c r="S8" s="40"/>
      <c r="T8" s="40"/>
    </row>
    <row r="9" spans="1:20" ht="15.75" thickBot="1" x14ac:dyDescent="0.35">
      <c r="A9" s="173" t="s">
        <v>289</v>
      </c>
      <c r="B9" s="1008"/>
      <c r="C9" s="1008"/>
      <c r="D9" s="1012"/>
      <c r="E9" s="1012"/>
      <c r="F9" s="1012"/>
      <c r="G9" s="1012"/>
      <c r="H9" s="751" t="s">
        <v>106</v>
      </c>
      <c r="I9" s="755"/>
      <c r="J9" s="174"/>
      <c r="K9" s="245"/>
      <c r="L9" s="1020">
        <f t="shared" si="0"/>
        <v>0</v>
      </c>
      <c r="M9" s="1021"/>
      <c r="N9" s="238">
        <f t="shared" si="1"/>
        <v>0</v>
      </c>
      <c r="O9" s="238"/>
      <c r="P9" s="240"/>
      <c r="Q9" s="242"/>
      <c r="T9" s="40"/>
    </row>
    <row r="10" spans="1:20" ht="15" thickBot="1" x14ac:dyDescent="0.35">
      <c r="A10" s="173"/>
      <c r="B10" s="1008"/>
      <c r="C10" s="1008"/>
      <c r="D10" s="1012"/>
      <c r="E10" s="1012"/>
      <c r="F10" s="1012"/>
      <c r="G10" s="1012"/>
      <c r="H10" s="751" t="s">
        <v>124</v>
      </c>
      <c r="I10" s="753"/>
      <c r="J10" s="174"/>
      <c r="K10" s="245"/>
      <c r="L10" s="1020">
        <f t="shared" si="0"/>
        <v>0</v>
      </c>
      <c r="M10" s="1021"/>
      <c r="N10" s="238">
        <f t="shared" si="1"/>
        <v>0</v>
      </c>
      <c r="O10" s="238"/>
      <c r="P10" s="240"/>
      <c r="Q10" s="242"/>
      <c r="S10" s="40"/>
      <c r="T10" s="40"/>
    </row>
    <row r="11" spans="1:20" ht="15" thickBot="1" x14ac:dyDescent="0.35">
      <c r="A11" s="173"/>
      <c r="B11" s="1008"/>
      <c r="C11" s="1008"/>
      <c r="D11" s="1012"/>
      <c r="E11" s="1012"/>
      <c r="F11" s="1012"/>
      <c r="G11" s="1012"/>
      <c r="H11" s="752" t="s">
        <v>219</v>
      </c>
      <c r="I11" s="754"/>
      <c r="J11" s="249"/>
      <c r="K11" s="247"/>
      <c r="L11" s="1020">
        <f t="shared" si="0"/>
        <v>0</v>
      </c>
      <c r="M11" s="1021"/>
      <c r="N11" s="238">
        <f t="shared" ref="N11" si="2">O11+P11</f>
        <v>0</v>
      </c>
      <c r="O11" s="238"/>
      <c r="P11" s="240"/>
      <c r="Q11" s="242"/>
      <c r="S11" s="40"/>
      <c r="T11" s="40"/>
    </row>
    <row r="12" spans="1:20" ht="15.6" customHeight="1" thickBot="1" x14ac:dyDescent="0.35">
      <c r="A12" s="213"/>
      <c r="B12" s="194"/>
      <c r="C12" s="194" t="s">
        <v>315</v>
      </c>
      <c r="D12" s="863">
        <v>1</v>
      </c>
      <c r="E12" s="194"/>
      <c r="F12" s="194"/>
      <c r="G12" s="194"/>
      <c r="H12" s="1014" t="s">
        <v>252</v>
      </c>
      <c r="I12" s="1015"/>
      <c r="J12" s="957"/>
      <c r="K12" s="958"/>
      <c r="L12" s="958"/>
      <c r="M12" s="958"/>
      <c r="N12" s="958"/>
      <c r="O12" s="958"/>
      <c r="P12" s="958"/>
      <c r="Q12" s="959"/>
      <c r="S12" s="40"/>
      <c r="T12" s="40"/>
    </row>
    <row r="13" spans="1:20" ht="19.899999999999999" customHeight="1" thickBot="1" x14ac:dyDescent="0.45">
      <c r="A13" s="1009" t="s">
        <v>21</v>
      </c>
      <c r="B13" s="1010"/>
      <c r="C13" s="1010"/>
      <c r="D13" s="1010"/>
      <c r="E13" s="1010"/>
      <c r="F13" s="1011">
        <f>+'Actual PROGRESS'!J2</f>
        <v>0</v>
      </c>
      <c r="G13" s="1011"/>
      <c r="H13" s="766"/>
      <c r="I13" s="767"/>
      <c r="J13" s="960"/>
      <c r="K13" s="961"/>
      <c r="L13" s="961"/>
      <c r="M13" s="961"/>
      <c r="N13" s="961"/>
      <c r="O13" s="961"/>
      <c r="P13" s="961"/>
      <c r="Q13" s="962"/>
      <c r="S13" s="40"/>
      <c r="T13" s="40"/>
    </row>
    <row r="14" spans="1:20" ht="15.75" customHeight="1" x14ac:dyDescent="0.3">
      <c r="A14" s="229" t="s">
        <v>20</v>
      </c>
      <c r="B14" s="230"/>
      <c r="C14" s="230"/>
      <c r="D14" s="300" t="s">
        <v>17</v>
      </c>
      <c r="E14" s="225"/>
      <c r="F14" s="300" t="s">
        <v>274</v>
      </c>
      <c r="G14" s="140"/>
      <c r="H14" s="300" t="s">
        <v>100</v>
      </c>
      <c r="I14" s="225"/>
      <c r="J14" s="140"/>
      <c r="K14" s="300" t="s">
        <v>101</v>
      </c>
      <c r="L14" s="140"/>
      <c r="M14" s="225"/>
      <c r="N14" s="300" t="s">
        <v>19</v>
      </c>
      <c r="O14" s="37"/>
      <c r="P14" s="37"/>
      <c r="Q14" s="92"/>
      <c r="S14" s="40"/>
      <c r="T14" s="40"/>
    </row>
    <row r="15" spans="1:20" ht="15.75" customHeight="1" x14ac:dyDescent="0.3">
      <c r="A15" s="292" t="str">
        <f>'Actual PROGRESS'!C12</f>
        <v>Survey</v>
      </c>
      <c r="B15" s="226"/>
      <c r="C15" s="181"/>
      <c r="D15" s="296">
        <f>'Actual PROGRESS'!C8</f>
        <v>0</v>
      </c>
      <c r="E15" s="830" t="s">
        <v>279</v>
      </c>
      <c r="F15" s="296" t="e">
        <f>'Planned PROGRESS'!C8</f>
        <v>#DIV/0!</v>
      </c>
      <c r="G15" s="181"/>
      <c r="H15" s="298">
        <f>'Actual PROGRESS'!C10</f>
        <v>0</v>
      </c>
      <c r="I15" s="222" t="s">
        <v>18</v>
      </c>
      <c r="J15" s="222"/>
      <c r="K15" s="298" t="e">
        <f>VLOOKUP(REPORT!$E$1,'Actual PROGRESS'!$B$13:$N$163,2,FALSE)</f>
        <v>#N/A</v>
      </c>
      <c r="L15" s="222" t="s">
        <v>18</v>
      </c>
      <c r="M15" s="223"/>
      <c r="N15" s="694">
        <f>'Actual PROGRESS'!C9</f>
        <v>36000</v>
      </c>
      <c r="O15" s="222" t="s">
        <v>18</v>
      </c>
      <c r="P15" s="222"/>
      <c r="Q15" s="93"/>
      <c r="S15" s="40"/>
      <c r="T15" s="40"/>
    </row>
    <row r="16" spans="1:20" ht="15.75" customHeight="1" x14ac:dyDescent="0.3">
      <c r="A16" s="293" t="str">
        <f>'Actual PROGRESS'!D12</f>
        <v>Clear and Grub</v>
      </c>
      <c r="B16" s="227"/>
      <c r="C16" s="180"/>
      <c r="D16" s="297">
        <f>'Actual PROGRESS'!D8</f>
        <v>0</v>
      </c>
      <c r="E16" s="831" t="e">
        <f t="shared" ref="E16:E26" si="3">D16-F16</f>
        <v>#DIV/0!</v>
      </c>
      <c r="F16" s="297" t="e">
        <f>'Planned PROGRESS'!D8</f>
        <v>#DIV/0!</v>
      </c>
      <c r="G16" s="180"/>
      <c r="H16" s="299">
        <f>'Actual PROGRESS'!D10</f>
        <v>0</v>
      </c>
      <c r="I16" s="221" t="s">
        <v>18</v>
      </c>
      <c r="J16" s="221"/>
      <c r="K16" s="299" t="e">
        <f>VLOOKUP(REPORT!$E$1,'Actual PROGRESS'!$B$13:$N$163,3,FALSE)</f>
        <v>#N/A</v>
      </c>
      <c r="L16" s="221" t="s">
        <v>18</v>
      </c>
      <c r="M16" s="224"/>
      <c r="N16" s="669">
        <f>'Actual PROGRESS'!D9</f>
        <v>36000</v>
      </c>
      <c r="O16" s="221" t="s">
        <v>18</v>
      </c>
      <c r="P16" s="221"/>
      <c r="Q16" s="94"/>
      <c r="S16" s="40"/>
      <c r="T16" s="40"/>
    </row>
    <row r="17" spans="1:20" ht="15.75" customHeight="1" x14ac:dyDescent="0.3">
      <c r="A17" s="292" t="str">
        <f>'Actual PROGRESS'!E12</f>
        <v>Grade the Site</v>
      </c>
      <c r="B17" s="226"/>
      <c r="C17" s="181"/>
      <c r="D17" s="296">
        <f>'Actual PROGRESS'!E8</f>
        <v>0</v>
      </c>
      <c r="E17" s="832" t="e">
        <f t="shared" si="3"/>
        <v>#DIV/0!</v>
      </c>
      <c r="F17" s="296" t="e">
        <f>'Planned PROGRESS'!E8</f>
        <v>#DIV/0!</v>
      </c>
      <c r="G17" s="181"/>
      <c r="H17" s="298">
        <f>'Actual PROGRESS'!E10</f>
        <v>0</v>
      </c>
      <c r="I17" s="222" t="s">
        <v>18</v>
      </c>
      <c r="J17" s="222"/>
      <c r="K17" s="298" t="e">
        <f>VLOOKUP(REPORT!$E$1,'Actual PROGRESS'!$B$13:$N$163,4,FALSE)</f>
        <v>#N/A</v>
      </c>
      <c r="L17" s="222" t="s">
        <v>18</v>
      </c>
      <c r="M17" s="223"/>
      <c r="N17" s="694">
        <f>'Actual PROGRESS'!E9</f>
        <v>36000</v>
      </c>
      <c r="O17" s="222" t="s">
        <v>18</v>
      </c>
      <c r="P17" s="222"/>
      <c r="Q17" s="93"/>
      <c r="S17" s="40"/>
      <c r="T17" s="40"/>
    </row>
    <row r="18" spans="1:20" ht="15.75" customHeight="1" x14ac:dyDescent="0.3">
      <c r="A18" s="293" t="str">
        <f>'Actual PROGRESS'!F12</f>
        <v>Unload, Haul &amp; String</v>
      </c>
      <c r="B18" s="227"/>
      <c r="C18" s="180"/>
      <c r="D18" s="297">
        <f>'Actual PROGRESS'!F8</f>
        <v>0</v>
      </c>
      <c r="E18" s="831" t="e">
        <f t="shared" si="3"/>
        <v>#DIV/0!</v>
      </c>
      <c r="F18" s="297" t="e">
        <f>'Planned PROGRESS'!F8</f>
        <v>#DIV/0!</v>
      </c>
      <c r="G18" s="180"/>
      <c r="H18" s="299">
        <f>'Actual PROGRESS'!F10</f>
        <v>0</v>
      </c>
      <c r="I18" s="221" t="s">
        <v>18</v>
      </c>
      <c r="J18" s="221"/>
      <c r="K18" s="299" t="e">
        <f>VLOOKUP(REPORT!$E$1,'Actual PROGRESS'!$B$13:$N$163,5,FALSE)</f>
        <v>#N/A</v>
      </c>
      <c r="L18" s="221" t="s">
        <v>18</v>
      </c>
      <c r="M18" s="224"/>
      <c r="N18" s="669">
        <f>'Actual PROGRESS'!F9</f>
        <v>36000</v>
      </c>
      <c r="O18" s="221" t="s">
        <v>18</v>
      </c>
      <c r="P18" s="221"/>
      <c r="Q18" s="94"/>
      <c r="S18" s="40"/>
      <c r="T18" s="40"/>
    </row>
    <row r="19" spans="1:20" ht="15.75" customHeight="1" x14ac:dyDescent="0.3">
      <c r="A19" s="292" t="str">
        <f>'Actual PROGRESS'!G12</f>
        <v>Bending</v>
      </c>
      <c r="B19" s="226"/>
      <c r="C19" s="181"/>
      <c r="D19" s="296">
        <f>'Actual PROGRESS'!G8</f>
        <v>0</v>
      </c>
      <c r="E19" s="832" t="e">
        <f t="shared" si="3"/>
        <v>#DIV/0!</v>
      </c>
      <c r="F19" s="296" t="e">
        <f>'Planned PROGRESS'!G8</f>
        <v>#DIV/0!</v>
      </c>
      <c r="G19" s="181"/>
      <c r="H19" s="298">
        <f>'Actual PROGRESS'!G10</f>
        <v>0</v>
      </c>
      <c r="I19" s="222" t="s">
        <v>18</v>
      </c>
      <c r="J19" s="222"/>
      <c r="K19" s="298" t="e">
        <f>VLOOKUP(REPORT!$E$1,'Actual PROGRESS'!$B$13:$N$163,6,FALSE)</f>
        <v>#N/A</v>
      </c>
      <c r="L19" s="222" t="s">
        <v>18</v>
      </c>
      <c r="M19" s="223"/>
      <c r="N19" s="694">
        <f>'Actual PROGRESS'!G9</f>
        <v>36000</v>
      </c>
      <c r="O19" s="222" t="s">
        <v>18</v>
      </c>
      <c r="P19" s="222"/>
      <c r="Q19" s="93"/>
      <c r="S19" s="40"/>
      <c r="T19" s="40"/>
    </row>
    <row r="20" spans="1:20" ht="15.75" customHeight="1" x14ac:dyDescent="0.3">
      <c r="A20" s="293" t="str">
        <f>'Actual PROGRESS'!H12</f>
        <v>Welding</v>
      </c>
      <c r="B20" s="227"/>
      <c r="C20" s="180"/>
      <c r="D20" s="297">
        <f>+'Actual PROGRESS'!H8</f>
        <v>0</v>
      </c>
      <c r="E20" s="831" t="e">
        <f t="shared" si="3"/>
        <v>#DIV/0!</v>
      </c>
      <c r="F20" s="297" t="e">
        <f>'Planned PROGRESS'!H8</f>
        <v>#DIV/0!</v>
      </c>
      <c r="G20" s="180"/>
      <c r="H20" s="299">
        <f>'Actual PROGRESS'!H10</f>
        <v>0</v>
      </c>
      <c r="I20" s="221" t="s">
        <v>18</v>
      </c>
      <c r="J20" s="221"/>
      <c r="K20" s="299" t="e">
        <f>VLOOKUP(REPORT!$E$1,'Actual PROGRESS'!$B$13:$N$163,7,FALSE)</f>
        <v>#N/A</v>
      </c>
      <c r="L20" s="221" t="s">
        <v>18</v>
      </c>
      <c r="M20" s="224"/>
      <c r="N20" s="669">
        <f>'Actual PROGRESS'!H9</f>
        <v>36000</v>
      </c>
      <c r="O20" s="221" t="s">
        <v>18</v>
      </c>
      <c r="P20" s="221"/>
      <c r="Q20" s="94"/>
      <c r="S20" s="40"/>
      <c r="T20" s="40"/>
    </row>
    <row r="21" spans="1:20" ht="15.75" customHeight="1" x14ac:dyDescent="0.3">
      <c r="A21" s="294" t="str">
        <f>'Actual PROGRESS'!I12</f>
        <v>Trenching</v>
      </c>
      <c r="B21" s="226"/>
      <c r="C21" s="181"/>
      <c r="D21" s="296">
        <f>'Actual PROGRESS'!I8</f>
        <v>0</v>
      </c>
      <c r="E21" s="832" t="e">
        <f t="shared" si="3"/>
        <v>#DIV/0!</v>
      </c>
      <c r="F21" s="296" t="e">
        <f>'Planned PROGRESS'!I8</f>
        <v>#DIV/0!</v>
      </c>
      <c r="G21" s="181"/>
      <c r="H21" s="298">
        <f>'Actual PROGRESS'!I10</f>
        <v>0</v>
      </c>
      <c r="I21" s="222" t="s">
        <v>18</v>
      </c>
      <c r="J21" s="222"/>
      <c r="K21" s="298" t="e">
        <f>VLOOKUP(REPORT!$E$1,'Actual PROGRESS'!$B$13:$N$163,8,FALSE)</f>
        <v>#N/A</v>
      </c>
      <c r="L21" s="222" t="s">
        <v>18</v>
      </c>
      <c r="M21" s="223"/>
      <c r="N21" s="694">
        <f>'Actual PROGRESS'!I9</f>
        <v>36000</v>
      </c>
      <c r="O21" s="222" t="s">
        <v>18</v>
      </c>
      <c r="P21" s="222"/>
      <c r="Q21" s="93"/>
      <c r="S21" s="40"/>
      <c r="T21" s="40"/>
    </row>
    <row r="22" spans="1:20" ht="15.75" customHeight="1" x14ac:dyDescent="0.3">
      <c r="A22" s="295" t="str">
        <f>'Actual PROGRESS'!J12</f>
        <v xml:space="preserve">Lower-In </v>
      </c>
      <c r="B22" s="227"/>
      <c r="C22" s="180"/>
      <c r="D22" s="297">
        <f>+'Actual PROGRESS'!J8</f>
        <v>0</v>
      </c>
      <c r="E22" s="831" t="e">
        <f t="shared" si="3"/>
        <v>#DIV/0!</v>
      </c>
      <c r="F22" s="297" t="e">
        <f>'Planned PROGRESS'!J8</f>
        <v>#DIV/0!</v>
      </c>
      <c r="G22" s="180"/>
      <c r="H22" s="299">
        <f>'Actual PROGRESS'!J10</f>
        <v>0</v>
      </c>
      <c r="I22" s="221" t="s">
        <v>18</v>
      </c>
      <c r="J22" s="221"/>
      <c r="K22" s="299" t="e">
        <f>VLOOKUP(REPORT!$E$1,'Actual PROGRESS'!$B$13:$N$163,9,FALSE)</f>
        <v>#N/A</v>
      </c>
      <c r="L22" s="221" t="s">
        <v>18</v>
      </c>
      <c r="M22" s="224"/>
      <c r="N22" s="669">
        <f>'Actual PROGRESS'!J9</f>
        <v>36000</v>
      </c>
      <c r="O22" s="221" t="s">
        <v>18</v>
      </c>
      <c r="P22" s="221"/>
      <c r="Q22" s="94"/>
      <c r="S22" s="40"/>
      <c r="T22" s="40"/>
    </row>
    <row r="23" spans="1:20" ht="15.75" customHeight="1" x14ac:dyDescent="0.3">
      <c r="A23" s="294" t="str">
        <f>'Actual PROGRESS'!K12</f>
        <v>Backfill</v>
      </c>
      <c r="B23" s="226"/>
      <c r="C23" s="181"/>
      <c r="D23" s="296">
        <f>+'Actual PROGRESS'!K8</f>
        <v>0</v>
      </c>
      <c r="E23" s="832" t="e">
        <f t="shared" si="3"/>
        <v>#DIV/0!</v>
      </c>
      <c r="F23" s="296" t="e">
        <f>'Planned PROGRESS'!K8</f>
        <v>#DIV/0!</v>
      </c>
      <c r="G23" s="181"/>
      <c r="H23" s="298">
        <f>'Actual PROGRESS'!K10</f>
        <v>0</v>
      </c>
      <c r="I23" s="222" t="s">
        <v>18</v>
      </c>
      <c r="J23" s="222"/>
      <c r="K23" s="298" t="e">
        <f>VLOOKUP(REPORT!$E$1,'Actual PROGRESS'!$B$13:$N$163,10,FALSE)</f>
        <v>#N/A</v>
      </c>
      <c r="L23" s="222" t="s">
        <v>18</v>
      </c>
      <c r="M23" s="223"/>
      <c r="N23" s="694">
        <f>'Actual PROGRESS'!K9</f>
        <v>36000</v>
      </c>
      <c r="O23" s="222" t="s">
        <v>18</v>
      </c>
      <c r="P23" s="222"/>
      <c r="Q23" s="93"/>
      <c r="S23" s="40"/>
      <c r="T23" s="40"/>
    </row>
    <row r="24" spans="1:20" ht="15.75" customHeight="1" x14ac:dyDescent="0.3">
      <c r="A24" s="295" t="str">
        <f>'Actual PROGRESS'!L12</f>
        <v>Machine Clean-Up</v>
      </c>
      <c r="B24" s="227"/>
      <c r="C24" s="180"/>
      <c r="D24" s="297">
        <f>+'Actual PROGRESS'!L8</f>
        <v>0</v>
      </c>
      <c r="E24" s="831" t="e">
        <f t="shared" si="3"/>
        <v>#DIV/0!</v>
      </c>
      <c r="F24" s="297" t="e">
        <f>'Planned PROGRESS'!L8</f>
        <v>#DIV/0!</v>
      </c>
      <c r="G24" s="180"/>
      <c r="H24" s="299">
        <f>'Actual PROGRESS'!L10</f>
        <v>0</v>
      </c>
      <c r="I24" s="221" t="s">
        <v>18</v>
      </c>
      <c r="J24" s="221"/>
      <c r="K24" s="299" t="e">
        <f>VLOOKUP(REPORT!$E$1,'Actual PROGRESS'!$B$13:$N$163,11,FALSE)</f>
        <v>#N/A</v>
      </c>
      <c r="L24" s="221" t="s">
        <v>18</v>
      </c>
      <c r="M24" s="224"/>
      <c r="N24" s="669">
        <f>'Actual PROGRESS'!L9</f>
        <v>36000</v>
      </c>
      <c r="O24" s="221" t="s">
        <v>18</v>
      </c>
      <c r="P24" s="221"/>
      <c r="Q24" s="94"/>
      <c r="S24" s="40"/>
      <c r="T24" s="40"/>
    </row>
    <row r="25" spans="1:20" ht="15.75" customHeight="1" x14ac:dyDescent="0.3">
      <c r="A25" s="294" t="str">
        <f>'Actual PROGRESS'!M12</f>
        <v>Testing</v>
      </c>
      <c r="B25" s="226"/>
      <c r="C25" s="181"/>
      <c r="D25" s="296">
        <f>+'Actual PROGRESS'!M8</f>
        <v>0</v>
      </c>
      <c r="E25" s="832" t="e">
        <f t="shared" si="3"/>
        <v>#DIV/0!</v>
      </c>
      <c r="F25" s="296" t="e">
        <f>'Planned PROGRESS'!M8</f>
        <v>#DIV/0!</v>
      </c>
      <c r="G25" s="181"/>
      <c r="H25" s="298">
        <f>'Actual PROGRESS'!M10</f>
        <v>0</v>
      </c>
      <c r="I25" s="222" t="s">
        <v>18</v>
      </c>
      <c r="J25" s="222"/>
      <c r="K25" s="298" t="e">
        <f>VLOOKUP(REPORT!$E$1,'Actual PROGRESS'!$B$13:$N$163,12,FALSE)</f>
        <v>#N/A</v>
      </c>
      <c r="L25" s="222" t="s">
        <v>18</v>
      </c>
      <c r="M25" s="223"/>
      <c r="N25" s="694">
        <f>'Actual PROGRESS'!M9</f>
        <v>36000</v>
      </c>
      <c r="O25" s="222" t="s">
        <v>18</v>
      </c>
      <c r="P25" s="222"/>
      <c r="Q25" s="93"/>
      <c r="S25" s="40"/>
      <c r="T25" s="40"/>
    </row>
    <row r="26" spans="1:20" ht="15.75" customHeight="1" thickBot="1" x14ac:dyDescent="0.35">
      <c r="A26" s="295" t="str">
        <f>'Actual PROGRESS'!N12</f>
        <v>Final Clean-Up</v>
      </c>
      <c r="B26" s="227"/>
      <c r="C26" s="180"/>
      <c r="D26" s="297">
        <f>+'Actual PROGRESS'!N8</f>
        <v>0</v>
      </c>
      <c r="E26" s="831" t="e">
        <f t="shared" si="3"/>
        <v>#DIV/0!</v>
      </c>
      <c r="F26" s="297" t="e">
        <f>'Planned PROGRESS'!N8</f>
        <v>#DIV/0!</v>
      </c>
      <c r="G26" s="180"/>
      <c r="H26" s="299">
        <f>'Actual PROGRESS'!N10</f>
        <v>0</v>
      </c>
      <c r="I26" s="221" t="s">
        <v>18</v>
      </c>
      <c r="J26" s="221"/>
      <c r="K26" s="299" t="e">
        <f>VLOOKUP(REPORT!$E$1,'Actual PROGRESS'!$B$13:$N$163,13,FALSE)</f>
        <v>#N/A</v>
      </c>
      <c r="L26" s="221" t="s">
        <v>18</v>
      </c>
      <c r="M26" s="224"/>
      <c r="N26" s="669">
        <f>'Actual PROGRESS'!N9</f>
        <v>36000</v>
      </c>
      <c r="O26" s="221" t="s">
        <v>18</v>
      </c>
      <c r="P26" s="221"/>
      <c r="Q26" s="94"/>
      <c r="S26" s="40"/>
      <c r="T26" s="40"/>
    </row>
    <row r="27" spans="1:20" ht="18" customHeight="1" x14ac:dyDescent="0.2">
      <c r="A27" s="668" t="s">
        <v>198</v>
      </c>
      <c r="B27" s="290">
        <f>E1</f>
        <v>0</v>
      </c>
      <c r="C27" s="667" t="s">
        <v>129</v>
      </c>
      <c r="D27" s="290">
        <f>E1</f>
        <v>0</v>
      </c>
      <c r="E27" s="667" t="s">
        <v>181</v>
      </c>
      <c r="F27" s="290">
        <f>E1</f>
        <v>0</v>
      </c>
      <c r="G27" s="990" t="s">
        <v>119</v>
      </c>
      <c r="H27" s="991"/>
      <c r="I27" s="991"/>
      <c r="J27" s="991"/>
      <c r="K27" s="991"/>
      <c r="L27" s="991"/>
      <c r="M27" s="991"/>
      <c r="N27" s="991"/>
      <c r="O27" s="991"/>
      <c r="P27" s="991"/>
      <c r="Q27" s="992"/>
      <c r="S27" s="40"/>
      <c r="T27" s="40"/>
    </row>
    <row r="28" spans="1:20" ht="15.75" customHeight="1" x14ac:dyDescent="0.2">
      <c r="A28" s="697" t="s">
        <v>199</v>
      </c>
      <c r="B28" s="281">
        <v>0</v>
      </c>
      <c r="C28" s="672" t="s">
        <v>200</v>
      </c>
      <c r="D28" s="281">
        <v>0</v>
      </c>
      <c r="E28" s="672" t="s">
        <v>200</v>
      </c>
      <c r="F28" s="281">
        <v>0</v>
      </c>
      <c r="G28" s="980"/>
      <c r="H28" s="981"/>
      <c r="I28" s="981"/>
      <c r="J28" s="981"/>
      <c r="K28" s="981"/>
      <c r="L28" s="981"/>
      <c r="M28" s="981"/>
      <c r="N28" s="981"/>
      <c r="O28" s="981"/>
      <c r="P28" s="981"/>
      <c r="Q28" s="982"/>
      <c r="S28" s="40"/>
      <c r="T28" s="40"/>
    </row>
    <row r="29" spans="1:20" ht="15.75" customHeight="1" x14ac:dyDescent="0.2">
      <c r="A29" s="697" t="s">
        <v>201</v>
      </c>
      <c r="B29" s="281">
        <v>0</v>
      </c>
      <c r="C29" s="672" t="s">
        <v>202</v>
      </c>
      <c r="D29" s="281">
        <v>0</v>
      </c>
      <c r="E29" s="672" t="s">
        <v>202</v>
      </c>
      <c r="F29" s="281">
        <v>0</v>
      </c>
      <c r="G29" s="983"/>
      <c r="H29" s="984"/>
      <c r="I29" s="984"/>
      <c r="J29" s="984"/>
      <c r="K29" s="984"/>
      <c r="L29" s="984"/>
      <c r="M29" s="984"/>
      <c r="N29" s="984"/>
      <c r="O29" s="984"/>
      <c r="P29" s="984"/>
      <c r="Q29" s="985"/>
      <c r="S29" s="40"/>
      <c r="T29" s="40"/>
    </row>
    <row r="30" spans="1:20" ht="15.75" customHeight="1" x14ac:dyDescent="0.2">
      <c r="A30" s="697" t="s">
        <v>203</v>
      </c>
      <c r="B30" s="281">
        <v>0</v>
      </c>
      <c r="C30" s="672" t="s">
        <v>204</v>
      </c>
      <c r="D30" s="281">
        <v>0</v>
      </c>
      <c r="E30" s="672" t="s">
        <v>204</v>
      </c>
      <c r="F30" s="281">
        <v>0</v>
      </c>
      <c r="G30" s="986"/>
      <c r="H30" s="987"/>
      <c r="I30" s="987"/>
      <c r="J30" s="987"/>
      <c r="K30" s="987"/>
      <c r="L30" s="987"/>
      <c r="M30" s="987"/>
      <c r="N30" s="987"/>
      <c r="O30" s="987"/>
      <c r="P30" s="987"/>
      <c r="Q30" s="988"/>
      <c r="S30" s="40"/>
      <c r="T30" s="40"/>
    </row>
    <row r="31" spans="1:20" ht="15.75" customHeight="1" x14ac:dyDescent="0.2">
      <c r="A31" s="697" t="s">
        <v>205</v>
      </c>
      <c r="B31" s="281">
        <v>0</v>
      </c>
      <c r="C31" s="672" t="s">
        <v>206</v>
      </c>
      <c r="D31" s="281">
        <v>0</v>
      </c>
      <c r="E31" s="672" t="s">
        <v>206</v>
      </c>
      <c r="F31" s="281">
        <v>0</v>
      </c>
      <c r="G31" s="963" t="s">
        <v>93</v>
      </c>
      <c r="H31" s="963"/>
      <c r="I31" s="963"/>
      <c r="J31" s="963"/>
      <c r="K31" s="963"/>
      <c r="L31" s="963"/>
      <c r="M31" s="963"/>
      <c r="N31" s="963"/>
      <c r="O31" s="963"/>
      <c r="P31" s="963"/>
      <c r="Q31" s="964"/>
      <c r="S31" s="40"/>
      <c r="T31" s="40"/>
    </row>
    <row r="32" spans="1:20" ht="15.75" customHeight="1" x14ac:dyDescent="0.2">
      <c r="A32" s="697" t="s">
        <v>207</v>
      </c>
      <c r="B32" s="281">
        <v>0</v>
      </c>
      <c r="C32" s="672" t="s">
        <v>208</v>
      </c>
      <c r="D32" s="281">
        <v>0</v>
      </c>
      <c r="E32" s="672" t="s">
        <v>208</v>
      </c>
      <c r="F32" s="281">
        <v>0</v>
      </c>
      <c r="G32" s="971"/>
      <c r="H32" s="972"/>
      <c r="I32" s="972"/>
      <c r="J32" s="972"/>
      <c r="K32" s="972"/>
      <c r="L32" s="972"/>
      <c r="M32" s="972"/>
      <c r="N32" s="972"/>
      <c r="O32" s="972"/>
      <c r="P32" s="972"/>
      <c r="Q32" s="973"/>
      <c r="S32" s="40"/>
      <c r="T32" s="40"/>
    </row>
    <row r="33" spans="1:20" ht="15.75" customHeight="1" x14ac:dyDescent="0.2">
      <c r="A33" s="697" t="s">
        <v>209</v>
      </c>
      <c r="B33" s="281">
        <v>0</v>
      </c>
      <c r="C33" s="672" t="s">
        <v>210</v>
      </c>
      <c r="D33" s="281">
        <v>0</v>
      </c>
      <c r="E33" s="672" t="s">
        <v>210</v>
      </c>
      <c r="F33" s="281">
        <v>0</v>
      </c>
      <c r="G33" s="974"/>
      <c r="H33" s="975"/>
      <c r="I33" s="975"/>
      <c r="J33" s="975"/>
      <c r="K33" s="975"/>
      <c r="L33" s="975"/>
      <c r="M33" s="975"/>
      <c r="N33" s="975"/>
      <c r="O33" s="975"/>
      <c r="P33" s="975"/>
      <c r="Q33" s="976"/>
      <c r="S33" s="40"/>
      <c r="T33" s="40"/>
    </row>
    <row r="34" spans="1:20" ht="15.75" customHeight="1" x14ac:dyDescent="0.2">
      <c r="A34" s="697" t="s">
        <v>211</v>
      </c>
      <c r="B34" s="281">
        <v>0</v>
      </c>
      <c r="C34" s="672" t="s">
        <v>212</v>
      </c>
      <c r="D34" s="281">
        <v>0</v>
      </c>
      <c r="E34" s="672" t="s">
        <v>212</v>
      </c>
      <c r="F34" s="281">
        <v>0</v>
      </c>
      <c r="G34" s="974"/>
      <c r="H34" s="975"/>
      <c r="I34" s="975"/>
      <c r="J34" s="975"/>
      <c r="K34" s="975"/>
      <c r="L34" s="975"/>
      <c r="M34" s="975"/>
      <c r="N34" s="975"/>
      <c r="O34" s="975"/>
      <c r="P34" s="975"/>
      <c r="Q34" s="976"/>
      <c r="S34" s="40"/>
      <c r="T34" s="40"/>
    </row>
    <row r="35" spans="1:20" ht="31.9" customHeight="1" thickBot="1" x14ac:dyDescent="0.25">
      <c r="A35" s="698" t="s">
        <v>120</v>
      </c>
      <c r="B35" s="695">
        <v>0</v>
      </c>
      <c r="C35" s="696" t="s">
        <v>213</v>
      </c>
      <c r="D35" s="695">
        <v>0</v>
      </c>
      <c r="E35" s="696" t="s">
        <v>213</v>
      </c>
      <c r="F35" s="695">
        <v>0</v>
      </c>
      <c r="G35" s="977"/>
      <c r="H35" s="978"/>
      <c r="I35" s="978"/>
      <c r="J35" s="978"/>
      <c r="K35" s="978"/>
      <c r="L35" s="978"/>
      <c r="M35" s="978"/>
      <c r="N35" s="978"/>
      <c r="O35" s="978"/>
      <c r="P35" s="978"/>
      <c r="Q35" s="979"/>
      <c r="S35" s="40"/>
      <c r="T35" s="40"/>
    </row>
    <row r="36" spans="1:20" ht="15.75" customHeight="1" x14ac:dyDescent="0.2">
      <c r="A36" s="968" t="s">
        <v>244</v>
      </c>
      <c r="B36" s="969"/>
      <c r="C36" s="969"/>
      <c r="D36" s="969"/>
      <c r="E36" s="969"/>
      <c r="F36" s="969"/>
      <c r="G36" s="969"/>
      <c r="H36" s="969"/>
      <c r="I36" s="969"/>
      <c r="J36" s="969"/>
      <c r="K36" s="969"/>
      <c r="L36" s="969"/>
      <c r="M36" s="969"/>
      <c r="N36" s="969"/>
      <c r="O36" s="969"/>
      <c r="P36" s="969"/>
      <c r="Q36" s="970"/>
      <c r="S36" s="40"/>
      <c r="T36" s="40"/>
    </row>
    <row r="37" spans="1:20" ht="15.75" customHeight="1" x14ac:dyDescent="0.3">
      <c r="A37" s="993" t="s">
        <v>126</v>
      </c>
      <c r="B37" s="994"/>
      <c r="C37" s="994"/>
      <c r="D37" s="994"/>
      <c r="E37" s="994"/>
      <c r="F37" s="994"/>
      <c r="G37" s="994"/>
      <c r="H37" s="994"/>
      <c r="I37" s="994"/>
      <c r="J37" s="995"/>
      <c r="K37" s="279"/>
      <c r="L37" s="279"/>
      <c r="M37" s="279"/>
      <c r="N37" s="279"/>
      <c r="O37" s="279"/>
      <c r="P37" s="279"/>
      <c r="Q37" s="280"/>
      <c r="S37" s="40"/>
      <c r="T37" s="40"/>
    </row>
    <row r="38" spans="1:20" ht="15.75" customHeight="1" x14ac:dyDescent="0.3">
      <c r="A38" s="949" t="s">
        <v>238</v>
      </c>
      <c r="B38" s="950"/>
      <c r="C38" s="950"/>
      <c r="D38" s="950"/>
      <c r="E38" s="950"/>
      <c r="F38" s="950"/>
      <c r="G38" s="950"/>
      <c r="H38" s="950"/>
      <c r="I38" s="950"/>
      <c r="J38" s="989"/>
      <c r="K38" s="284"/>
      <c r="L38" s="284"/>
      <c r="M38" s="284"/>
      <c r="N38" s="284"/>
      <c r="O38" s="284"/>
      <c r="P38" s="284"/>
      <c r="Q38" s="287"/>
      <c r="S38" s="40"/>
      <c r="T38" s="40"/>
    </row>
    <row r="39" spans="1:20" ht="15.75" customHeight="1" x14ac:dyDescent="0.3">
      <c r="A39" s="965"/>
      <c r="B39" s="966"/>
      <c r="C39" s="966"/>
      <c r="D39" s="966"/>
      <c r="E39" s="966"/>
      <c r="F39" s="966"/>
      <c r="G39" s="966"/>
      <c r="H39" s="966"/>
      <c r="I39" s="966"/>
      <c r="J39" s="967"/>
      <c r="K39" s="284"/>
      <c r="L39" s="284"/>
      <c r="M39" s="284"/>
      <c r="N39" s="284"/>
      <c r="O39" s="284"/>
      <c r="P39" s="284"/>
      <c r="Q39" s="287"/>
      <c r="S39" s="40"/>
      <c r="T39" s="40"/>
    </row>
    <row r="40" spans="1:20" ht="15.75" customHeight="1" x14ac:dyDescent="0.3">
      <c r="A40" s="965"/>
      <c r="B40" s="966"/>
      <c r="C40" s="966"/>
      <c r="D40" s="966"/>
      <c r="E40" s="966"/>
      <c r="F40" s="966"/>
      <c r="G40" s="966"/>
      <c r="H40" s="966"/>
      <c r="I40" s="966"/>
      <c r="J40" s="967"/>
      <c r="K40" s="284"/>
      <c r="L40" s="284"/>
      <c r="M40" s="284"/>
      <c r="N40" s="284"/>
      <c r="O40" s="284"/>
      <c r="P40" s="284"/>
      <c r="Q40" s="287"/>
      <c r="S40" s="40"/>
      <c r="T40" s="40"/>
    </row>
    <row r="41" spans="1:20" ht="15.75" customHeight="1" x14ac:dyDescent="0.3">
      <c r="A41" s="771"/>
      <c r="B41" s="772"/>
      <c r="C41" s="772"/>
      <c r="D41" s="772"/>
      <c r="E41" s="772"/>
      <c r="F41" s="772"/>
      <c r="G41" s="772"/>
      <c r="H41" s="772"/>
      <c r="I41" s="772"/>
      <c r="J41" s="773"/>
      <c r="K41" s="284"/>
      <c r="L41" s="284"/>
      <c r="M41" s="284"/>
      <c r="N41" s="284"/>
      <c r="O41" s="284"/>
      <c r="P41" s="284"/>
      <c r="Q41" s="287"/>
      <c r="S41" s="40"/>
      <c r="T41" s="40"/>
    </row>
    <row r="42" spans="1:20" ht="15.75" customHeight="1" x14ac:dyDescent="0.3">
      <c r="A42" s="795"/>
      <c r="B42" s="774"/>
      <c r="C42" s="774"/>
      <c r="D42" s="774"/>
      <c r="E42" s="774"/>
      <c r="F42" s="774"/>
      <c r="G42" s="774"/>
      <c r="H42" s="774"/>
      <c r="I42" s="774"/>
      <c r="J42" s="775"/>
      <c r="K42" s="284"/>
      <c r="L42" s="284"/>
      <c r="M42" s="284"/>
      <c r="N42" s="284"/>
      <c r="O42" s="284"/>
      <c r="P42" s="284"/>
      <c r="Q42" s="287"/>
      <c r="S42" s="40"/>
      <c r="T42" s="40"/>
    </row>
    <row r="43" spans="1:20" ht="15.75" customHeight="1" x14ac:dyDescent="0.3">
      <c r="A43" s="794" t="s">
        <v>248</v>
      </c>
      <c r="B43" s="772"/>
      <c r="C43" s="772"/>
      <c r="D43" s="772"/>
      <c r="E43" s="772"/>
      <c r="F43" s="772"/>
      <c r="G43" s="772"/>
      <c r="H43" s="772"/>
      <c r="I43" s="772"/>
      <c r="J43" s="773"/>
      <c r="K43" s="284"/>
      <c r="L43" s="284"/>
      <c r="M43" s="284"/>
      <c r="N43" s="284"/>
      <c r="O43" s="284"/>
      <c r="P43" s="284"/>
      <c r="Q43" s="287"/>
      <c r="S43" s="40"/>
      <c r="T43" s="40"/>
    </row>
    <row r="44" spans="1:20" ht="15.75" customHeight="1" x14ac:dyDescent="0.2">
      <c r="A44" s="795"/>
      <c r="B44" s="772"/>
      <c r="C44" s="772"/>
      <c r="D44" s="772"/>
      <c r="E44" s="772"/>
      <c r="F44" s="772"/>
      <c r="G44" s="772"/>
      <c r="H44" s="772"/>
      <c r="I44" s="772"/>
      <c r="J44" s="773"/>
      <c r="K44" s="285"/>
      <c r="L44" s="285"/>
      <c r="M44" s="285"/>
      <c r="N44" s="285"/>
      <c r="O44" s="285"/>
      <c r="P44" s="285"/>
      <c r="Q44" s="288"/>
      <c r="S44" s="40"/>
      <c r="T44" s="40"/>
    </row>
    <row r="45" spans="1:20" ht="15.75" customHeight="1" x14ac:dyDescent="0.2">
      <c r="A45" s="795"/>
      <c r="B45" s="772"/>
      <c r="C45" s="772"/>
      <c r="D45" s="772"/>
      <c r="E45" s="772"/>
      <c r="F45" s="772"/>
      <c r="G45" s="772"/>
      <c r="H45" s="772"/>
      <c r="I45" s="772"/>
      <c r="J45" s="773"/>
      <c r="K45" s="285"/>
      <c r="L45" s="285"/>
      <c r="M45" s="285"/>
      <c r="N45" s="285"/>
      <c r="O45" s="285"/>
      <c r="P45" s="285"/>
      <c r="Q45" s="288"/>
      <c r="S45" s="40"/>
      <c r="T45" s="40"/>
    </row>
    <row r="46" spans="1:20" ht="15.75" customHeight="1" x14ac:dyDescent="0.2">
      <c r="A46" s="795"/>
      <c r="B46" s="774"/>
      <c r="C46" s="774"/>
      <c r="D46" s="774"/>
      <c r="E46" s="774"/>
      <c r="F46" s="774"/>
      <c r="G46" s="774"/>
      <c r="H46" s="774"/>
      <c r="I46" s="774"/>
      <c r="J46" s="775"/>
      <c r="K46" s="285"/>
      <c r="L46" s="285"/>
      <c r="M46" s="285"/>
      <c r="N46" s="285"/>
      <c r="O46" s="285"/>
      <c r="P46" s="285"/>
      <c r="Q46" s="288"/>
      <c r="S46" s="40"/>
      <c r="T46" s="40"/>
    </row>
    <row r="47" spans="1:20" ht="15.6" customHeight="1" x14ac:dyDescent="0.2">
      <c r="A47" s="843"/>
      <c r="B47" s="772"/>
      <c r="C47" s="772"/>
      <c r="D47" s="772"/>
      <c r="E47" s="772"/>
      <c r="F47" s="772"/>
      <c r="G47" s="772"/>
      <c r="H47" s="772"/>
      <c r="I47" s="772"/>
      <c r="J47" s="773"/>
      <c r="K47" s="285"/>
      <c r="L47" s="285"/>
      <c r="M47" s="285"/>
      <c r="N47" s="285"/>
      <c r="O47" s="285"/>
      <c r="P47" s="285"/>
      <c r="Q47" s="288"/>
      <c r="S47" s="40"/>
      <c r="T47" s="40"/>
    </row>
    <row r="48" spans="1:20" ht="15.75" customHeight="1" x14ac:dyDescent="0.2">
      <c r="A48" s="794"/>
      <c r="B48" s="772"/>
      <c r="C48" s="772"/>
      <c r="D48" s="772"/>
      <c r="E48" s="772"/>
      <c r="F48" s="772"/>
      <c r="G48" s="772"/>
      <c r="H48" s="772"/>
      <c r="I48" s="772"/>
      <c r="J48" s="773"/>
      <c r="K48" s="285"/>
      <c r="L48" s="285"/>
      <c r="M48" s="285"/>
      <c r="N48" s="285"/>
      <c r="O48" s="285"/>
      <c r="P48" s="285"/>
      <c r="Q48" s="288"/>
      <c r="S48" s="40"/>
      <c r="T48" s="40"/>
    </row>
    <row r="49" spans="1:20" ht="15.75" customHeight="1" x14ac:dyDescent="0.2">
      <c r="A49" s="842" t="s">
        <v>240</v>
      </c>
      <c r="B49" s="772"/>
      <c r="C49" s="772"/>
      <c r="D49" s="772"/>
      <c r="E49" s="772"/>
      <c r="F49" s="772"/>
      <c r="G49" s="772"/>
      <c r="H49" s="772"/>
      <c r="I49" s="772"/>
      <c r="J49" s="773"/>
      <c r="K49" s="285"/>
      <c r="L49" s="285"/>
      <c r="M49" s="285"/>
      <c r="N49" s="285"/>
      <c r="O49" s="285"/>
      <c r="P49" s="285"/>
      <c r="Q49" s="288"/>
      <c r="S49" s="40"/>
      <c r="T49" s="40"/>
    </row>
    <row r="50" spans="1:20" ht="15.75" customHeight="1" x14ac:dyDescent="0.2">
      <c r="A50" s="843"/>
      <c r="B50" s="774"/>
      <c r="C50" s="774"/>
      <c r="D50" s="774"/>
      <c r="E50" s="774"/>
      <c r="F50" s="774"/>
      <c r="G50" s="774"/>
      <c r="H50" s="774"/>
      <c r="I50" s="774"/>
      <c r="J50" s="775"/>
      <c r="K50" s="285"/>
      <c r="L50" s="285"/>
      <c r="M50" s="285"/>
      <c r="N50" s="285"/>
      <c r="O50" s="285"/>
      <c r="P50" s="285"/>
      <c r="Q50" s="288"/>
      <c r="S50" s="40"/>
      <c r="T50" s="40"/>
    </row>
    <row r="51" spans="1:20" ht="15.75" customHeight="1" x14ac:dyDescent="0.2">
      <c r="A51" s="843"/>
      <c r="B51" s="772"/>
      <c r="C51" s="772"/>
      <c r="D51" s="772"/>
      <c r="E51" s="772"/>
      <c r="F51" s="772"/>
      <c r="G51" s="772"/>
      <c r="H51" s="772"/>
      <c r="I51" s="772"/>
      <c r="J51" s="773"/>
      <c r="K51" s="285"/>
      <c r="L51" s="285"/>
      <c r="M51" s="285"/>
      <c r="N51" s="285"/>
      <c r="O51" s="285"/>
      <c r="P51" s="285"/>
      <c r="Q51" s="288"/>
      <c r="S51" s="40"/>
      <c r="T51" s="40"/>
    </row>
    <row r="52" spans="1:20" ht="15.75" customHeight="1" x14ac:dyDescent="0.2">
      <c r="A52" s="843"/>
      <c r="B52" s="772"/>
      <c r="C52" s="772"/>
      <c r="D52" s="772"/>
      <c r="E52" s="772"/>
      <c r="F52" s="772"/>
      <c r="G52" s="772"/>
      <c r="H52" s="772"/>
      <c r="I52" s="772"/>
      <c r="J52" s="773"/>
      <c r="K52" s="252"/>
      <c r="L52" s="252"/>
      <c r="M52" s="252"/>
      <c r="N52" s="252"/>
      <c r="O52" s="252"/>
      <c r="P52" s="252"/>
      <c r="Q52" s="253"/>
      <c r="S52" s="40"/>
      <c r="T52" s="40"/>
    </row>
    <row r="53" spans="1:20" ht="15.75" customHeight="1" x14ac:dyDescent="0.2">
      <c r="A53" s="843"/>
      <c r="B53" s="772"/>
      <c r="C53" s="772"/>
      <c r="D53" s="772"/>
      <c r="E53" s="772"/>
      <c r="F53" s="772"/>
      <c r="G53" s="772"/>
      <c r="H53" s="772"/>
      <c r="I53" s="772"/>
      <c r="J53" s="773"/>
      <c r="K53" s="252"/>
      <c r="L53" s="252"/>
      <c r="M53" s="252"/>
      <c r="N53" s="252"/>
      <c r="O53" s="252"/>
      <c r="P53" s="252"/>
      <c r="Q53" s="253"/>
      <c r="S53" s="40"/>
      <c r="T53" s="40"/>
    </row>
    <row r="54" spans="1:20" ht="15.75" customHeight="1" x14ac:dyDescent="0.2">
      <c r="A54" s="842" t="s">
        <v>239</v>
      </c>
      <c r="B54" s="772"/>
      <c r="C54" s="772"/>
      <c r="D54" s="772"/>
      <c r="E54" s="772"/>
      <c r="F54" s="772"/>
      <c r="G54" s="772"/>
      <c r="H54" s="772"/>
      <c r="I54" s="772"/>
      <c r="J54" s="773"/>
      <c r="K54" s="252"/>
      <c r="L54" s="252"/>
      <c r="M54" s="252"/>
      <c r="N54" s="252"/>
      <c r="O54" s="252"/>
      <c r="P54" s="252"/>
      <c r="Q54" s="253"/>
      <c r="S54" s="40"/>
      <c r="T54" s="40"/>
    </row>
    <row r="55" spans="1:20" ht="15.75" customHeight="1" x14ac:dyDescent="0.2">
      <c r="A55" s="843"/>
      <c r="B55" s="774"/>
      <c r="C55" s="774"/>
      <c r="D55" s="774"/>
      <c r="E55" s="774"/>
      <c r="F55" s="774"/>
      <c r="G55" s="774"/>
      <c r="H55" s="774"/>
      <c r="I55" s="774"/>
      <c r="J55" s="775"/>
      <c r="K55" s="252"/>
      <c r="L55" s="252"/>
      <c r="M55" s="252"/>
      <c r="N55" s="252"/>
      <c r="O55" s="252"/>
      <c r="P55" s="252"/>
      <c r="Q55" s="253"/>
      <c r="S55" s="40"/>
      <c r="T55" s="40"/>
    </row>
    <row r="56" spans="1:20" ht="15.75" customHeight="1" thickBot="1" x14ac:dyDescent="0.25">
      <c r="A56" s="843"/>
      <c r="B56" s="781"/>
      <c r="C56" s="781"/>
      <c r="D56" s="781"/>
      <c r="E56" s="781"/>
      <c r="F56" s="781"/>
      <c r="G56" s="781"/>
      <c r="H56" s="781"/>
      <c r="I56" s="781"/>
      <c r="J56" s="782"/>
      <c r="K56" s="783"/>
      <c r="L56" s="783"/>
      <c r="M56" s="783"/>
      <c r="N56" s="783"/>
      <c r="O56" s="783"/>
      <c r="P56" s="783"/>
      <c r="Q56" s="784"/>
      <c r="S56" s="40"/>
      <c r="T56" s="40"/>
    </row>
    <row r="57" spans="1:20" ht="15.75" customHeight="1" x14ac:dyDescent="0.3">
      <c r="A57" s="955" t="s">
        <v>127</v>
      </c>
      <c r="B57" s="956"/>
      <c r="C57" s="956"/>
      <c r="D57" s="956"/>
      <c r="E57" s="956"/>
      <c r="F57" s="956"/>
      <c r="G57" s="956"/>
      <c r="H57" s="956"/>
      <c r="I57" s="956"/>
      <c r="J57" s="956"/>
      <c r="K57" s="712"/>
      <c r="L57" s="712"/>
      <c r="M57" s="712"/>
      <c r="N57" s="712"/>
      <c r="O57" s="712"/>
      <c r="P57" s="712"/>
      <c r="Q57" s="713"/>
      <c r="S57" s="40"/>
      <c r="T57" s="40"/>
    </row>
    <row r="58" spans="1:20" ht="15.75" customHeight="1" x14ac:dyDescent="0.2">
      <c r="A58" s="949" t="s">
        <v>249</v>
      </c>
      <c r="B58" s="950"/>
      <c r="C58" s="950"/>
      <c r="D58" s="950"/>
      <c r="E58" s="950"/>
      <c r="F58" s="950"/>
      <c r="G58" s="950"/>
      <c r="H58" s="950"/>
      <c r="I58" s="950"/>
      <c r="J58" s="950"/>
      <c r="K58" s="950"/>
      <c r="L58" s="950"/>
      <c r="M58" s="950"/>
      <c r="N58" s="950"/>
      <c r="O58" s="950"/>
      <c r="P58" s="950"/>
      <c r="Q58" s="951"/>
      <c r="S58" s="40"/>
      <c r="T58" s="40"/>
    </row>
    <row r="59" spans="1:20" ht="15.75" customHeight="1" x14ac:dyDescent="0.2">
      <c r="A59" s="952"/>
      <c r="B59" s="953"/>
      <c r="C59" s="953"/>
      <c r="D59" s="953"/>
      <c r="E59" s="953"/>
      <c r="F59" s="953"/>
      <c r="G59" s="953"/>
      <c r="H59" s="953"/>
      <c r="I59" s="953"/>
      <c r="J59" s="953"/>
      <c r="K59" s="953"/>
      <c r="L59" s="953"/>
      <c r="M59" s="953"/>
      <c r="N59" s="953"/>
      <c r="O59" s="953"/>
      <c r="P59" s="953"/>
      <c r="Q59" s="954"/>
      <c r="S59" s="40"/>
      <c r="T59" s="40"/>
    </row>
    <row r="60" spans="1:20" ht="15.75" customHeight="1" x14ac:dyDescent="0.2">
      <c r="A60" s="952"/>
      <c r="B60" s="953"/>
      <c r="C60" s="953"/>
      <c r="D60" s="953"/>
      <c r="E60" s="953"/>
      <c r="F60" s="953"/>
      <c r="G60" s="953"/>
      <c r="H60" s="953"/>
      <c r="I60" s="953"/>
      <c r="J60" s="953"/>
      <c r="K60" s="953"/>
      <c r="L60" s="953"/>
      <c r="M60" s="953"/>
      <c r="N60" s="953"/>
      <c r="O60" s="953"/>
      <c r="P60" s="953"/>
      <c r="Q60" s="954"/>
      <c r="S60" s="40"/>
      <c r="T60" s="40"/>
    </row>
    <row r="61" spans="1:20" ht="15.75" customHeight="1" x14ac:dyDescent="0.2">
      <c r="A61" s="952"/>
      <c r="B61" s="953"/>
      <c r="C61" s="953"/>
      <c r="D61" s="953"/>
      <c r="E61" s="953"/>
      <c r="F61" s="953"/>
      <c r="G61" s="953"/>
      <c r="H61" s="953"/>
      <c r="I61" s="953"/>
      <c r="J61" s="953"/>
      <c r="K61" s="953"/>
      <c r="L61" s="953"/>
      <c r="M61" s="953"/>
      <c r="N61" s="953"/>
      <c r="O61" s="953"/>
      <c r="P61" s="953"/>
      <c r="Q61" s="954"/>
      <c r="S61" s="40"/>
      <c r="T61" s="40"/>
    </row>
    <row r="62" spans="1:20" ht="15.75" customHeight="1" x14ac:dyDescent="0.2">
      <c r="A62" s="815" t="s">
        <v>253</v>
      </c>
      <c r="B62" s="816"/>
      <c r="C62" s="816"/>
      <c r="D62" s="816"/>
      <c r="E62" s="816"/>
      <c r="F62" s="816"/>
      <c r="G62" s="816"/>
      <c r="H62" s="816"/>
      <c r="I62" s="816"/>
      <c r="J62" s="816"/>
      <c r="K62" s="816"/>
      <c r="L62" s="816"/>
      <c r="M62" s="816"/>
      <c r="N62" s="816"/>
      <c r="O62" s="816"/>
      <c r="P62" s="816"/>
      <c r="Q62" s="817"/>
      <c r="S62" s="40"/>
      <c r="T62" s="40"/>
    </row>
    <row r="63" spans="1:20" ht="15.75" customHeight="1" x14ac:dyDescent="0.2">
      <c r="A63" s="818"/>
      <c r="B63" s="819"/>
      <c r="C63" s="819"/>
      <c r="D63" s="819"/>
      <c r="E63" s="819"/>
      <c r="F63" s="819"/>
      <c r="G63" s="819"/>
      <c r="H63" s="819"/>
      <c r="I63" s="819"/>
      <c r="J63" s="819"/>
      <c r="K63" s="819"/>
      <c r="L63" s="819"/>
      <c r="M63" s="819"/>
      <c r="N63" s="819"/>
      <c r="O63" s="819"/>
      <c r="P63" s="819"/>
      <c r="Q63" s="820"/>
      <c r="S63" s="40"/>
      <c r="T63" s="40"/>
    </row>
    <row r="64" spans="1:20" ht="15.75" customHeight="1" x14ac:dyDescent="0.2">
      <c r="A64" s="839"/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19"/>
      <c r="Q64" s="820"/>
      <c r="S64" s="40"/>
      <c r="T64" s="40"/>
    </row>
    <row r="65" spans="1:20" ht="15.75" customHeight="1" x14ac:dyDescent="0.2">
      <c r="A65" s="801"/>
      <c r="B65" s="802"/>
      <c r="C65" s="802"/>
      <c r="D65" s="802"/>
      <c r="E65" s="802"/>
      <c r="F65" s="802"/>
      <c r="G65" s="802"/>
      <c r="H65" s="802"/>
      <c r="I65" s="802"/>
      <c r="J65" s="802"/>
      <c r="K65" s="802"/>
      <c r="L65" s="802"/>
      <c r="M65" s="802"/>
      <c r="N65" s="802"/>
      <c r="O65" s="802"/>
      <c r="P65" s="802"/>
      <c r="Q65" s="803"/>
      <c r="S65" s="40"/>
      <c r="T65" s="40"/>
    </row>
    <row r="66" spans="1:20" ht="15.75" customHeight="1" x14ac:dyDescent="0.2">
      <c r="A66" s="813" t="s">
        <v>254</v>
      </c>
      <c r="B66" s="802"/>
      <c r="C66" s="802"/>
      <c r="D66" s="802"/>
      <c r="E66" s="802"/>
      <c r="F66" s="802"/>
      <c r="G66" s="802"/>
      <c r="H66" s="802"/>
      <c r="I66" s="802"/>
      <c r="J66" s="802"/>
      <c r="K66" s="802"/>
      <c r="L66" s="802"/>
      <c r="M66" s="802"/>
      <c r="N66" s="802"/>
      <c r="O66" s="802"/>
      <c r="P66" s="802"/>
      <c r="Q66" s="803"/>
      <c r="S66" s="40"/>
      <c r="T66" s="40"/>
    </row>
    <row r="67" spans="1:20" ht="15.75" customHeight="1" x14ac:dyDescent="0.2">
      <c r="A67" s="814"/>
      <c r="B67" s="802"/>
      <c r="C67" s="802"/>
      <c r="D67" s="802"/>
      <c r="E67" s="802"/>
      <c r="F67" s="802"/>
      <c r="G67" s="802"/>
      <c r="H67" s="802"/>
      <c r="I67" s="802"/>
      <c r="J67" s="802"/>
      <c r="K67" s="802"/>
      <c r="L67" s="802"/>
      <c r="M67" s="802"/>
      <c r="N67" s="802"/>
      <c r="O67" s="802"/>
      <c r="P67" s="802"/>
      <c r="Q67" s="803"/>
      <c r="S67" s="40"/>
      <c r="T67" s="40"/>
    </row>
    <row r="68" spans="1:20" ht="15.75" customHeight="1" x14ac:dyDescent="0.4">
      <c r="A68" s="825"/>
      <c r="B68" s="804"/>
      <c r="C68" s="804"/>
      <c r="D68" s="804"/>
      <c r="E68" s="804"/>
      <c r="F68" s="804"/>
      <c r="G68" s="804"/>
      <c r="H68" s="804"/>
      <c r="I68" s="804"/>
      <c r="J68" s="804"/>
      <c r="K68" s="804"/>
      <c r="L68" s="804"/>
      <c r="M68" s="804"/>
      <c r="N68" s="804"/>
      <c r="O68" s="804"/>
      <c r="P68" s="804"/>
      <c r="Q68" s="805"/>
      <c r="S68" s="40"/>
      <c r="T68" s="40"/>
    </row>
    <row r="69" spans="1:20" ht="15.75" customHeight="1" x14ac:dyDescent="0.4">
      <c r="A69" s="823"/>
      <c r="B69" s="821"/>
      <c r="C69" s="821"/>
      <c r="D69" s="821"/>
      <c r="E69" s="821"/>
      <c r="F69" s="821"/>
      <c r="G69" s="821"/>
      <c r="H69" s="821"/>
      <c r="I69" s="821"/>
      <c r="J69" s="821"/>
      <c r="K69" s="821"/>
      <c r="L69" s="821"/>
      <c r="M69" s="821"/>
      <c r="N69" s="821"/>
      <c r="O69" s="821"/>
      <c r="P69" s="821"/>
      <c r="Q69" s="822"/>
      <c r="S69" s="40"/>
      <c r="T69" s="40"/>
    </row>
    <row r="70" spans="1:20" ht="15.75" customHeight="1" x14ac:dyDescent="0.2">
      <c r="A70" s="813" t="s">
        <v>255</v>
      </c>
      <c r="B70" s="799"/>
      <c r="C70" s="799"/>
      <c r="D70" s="799"/>
      <c r="E70" s="799"/>
      <c r="F70" s="799"/>
      <c r="G70" s="799"/>
      <c r="H70" s="799"/>
      <c r="I70" s="799"/>
      <c r="J70" s="799"/>
      <c r="K70" s="799"/>
      <c r="L70" s="799"/>
      <c r="M70" s="799"/>
      <c r="N70" s="799"/>
      <c r="O70" s="799"/>
      <c r="P70" s="799"/>
      <c r="Q70" s="800"/>
      <c r="S70" s="40"/>
      <c r="T70" s="40"/>
    </row>
    <row r="71" spans="1:20" ht="15.75" customHeight="1" x14ac:dyDescent="0.2">
      <c r="A71" s="812"/>
      <c r="B71" s="802"/>
      <c r="C71" s="802"/>
      <c r="D71" s="802"/>
      <c r="E71" s="802"/>
      <c r="F71" s="802"/>
      <c r="G71" s="802"/>
      <c r="H71" s="802"/>
      <c r="I71" s="802"/>
      <c r="J71" s="802"/>
      <c r="K71" s="802"/>
      <c r="L71" s="802"/>
      <c r="M71" s="802"/>
      <c r="N71" s="802"/>
      <c r="O71" s="802"/>
      <c r="P71" s="802"/>
      <c r="Q71" s="803"/>
      <c r="S71" s="40"/>
      <c r="T71" s="40"/>
    </row>
    <row r="72" spans="1:20" ht="15.75" customHeight="1" x14ac:dyDescent="0.2">
      <c r="A72" s="833"/>
      <c r="B72" s="799"/>
      <c r="C72" s="799"/>
      <c r="D72" s="799"/>
      <c r="E72" s="799"/>
      <c r="F72" s="799"/>
      <c r="G72" s="799"/>
      <c r="H72" s="799"/>
      <c r="I72" s="799"/>
      <c r="J72" s="799"/>
      <c r="K72" s="799"/>
      <c r="L72" s="799"/>
      <c r="M72" s="799"/>
      <c r="N72" s="799"/>
      <c r="O72" s="799"/>
      <c r="P72" s="799"/>
      <c r="Q72" s="800"/>
      <c r="S72" s="40"/>
      <c r="T72" s="40"/>
    </row>
    <row r="73" spans="1:20" ht="15.75" customHeight="1" x14ac:dyDescent="0.2">
      <c r="A73" s="844"/>
      <c r="B73" s="802"/>
      <c r="C73" s="802"/>
      <c r="D73" s="802"/>
      <c r="E73" s="802"/>
      <c r="F73" s="802"/>
      <c r="G73" s="802"/>
      <c r="H73" s="802"/>
      <c r="I73" s="802"/>
      <c r="J73" s="802"/>
      <c r="K73" s="802"/>
      <c r="L73" s="802"/>
      <c r="M73" s="802"/>
      <c r="N73" s="802"/>
      <c r="O73" s="802"/>
      <c r="P73" s="802"/>
      <c r="Q73" s="803"/>
      <c r="S73" s="40"/>
      <c r="T73" s="40"/>
    </row>
    <row r="74" spans="1:20" ht="15.75" customHeight="1" x14ac:dyDescent="0.2">
      <c r="A74" s="848" t="s">
        <v>256</v>
      </c>
      <c r="B74" s="845"/>
      <c r="C74" s="845"/>
      <c r="D74" s="845"/>
      <c r="E74" s="845"/>
      <c r="F74" s="845"/>
      <c r="G74" s="845"/>
      <c r="H74" s="845"/>
      <c r="I74" s="845"/>
      <c r="J74" s="845"/>
      <c r="K74" s="845"/>
      <c r="L74" s="845"/>
      <c r="M74" s="845"/>
      <c r="N74" s="845"/>
      <c r="O74" s="845"/>
      <c r="P74" s="845"/>
      <c r="Q74" s="846"/>
      <c r="S74" s="40"/>
      <c r="T74" s="40"/>
    </row>
    <row r="75" spans="1:20" ht="15.75" customHeight="1" x14ac:dyDescent="0.2">
      <c r="A75" s="847"/>
      <c r="B75" s="834"/>
      <c r="C75" s="834"/>
      <c r="D75" s="834"/>
      <c r="E75" s="834"/>
      <c r="F75" s="834"/>
      <c r="G75" s="834"/>
      <c r="H75" s="834"/>
      <c r="I75" s="834"/>
      <c r="J75" s="834"/>
      <c r="K75" s="834"/>
      <c r="L75" s="834"/>
      <c r="M75" s="834"/>
      <c r="N75" s="834"/>
      <c r="O75" s="834"/>
      <c r="P75" s="834"/>
      <c r="Q75" s="835"/>
      <c r="S75" s="40"/>
      <c r="T75" s="40"/>
    </row>
    <row r="76" spans="1:20" ht="15.75" customHeight="1" x14ac:dyDescent="0.2">
      <c r="A76" s="833"/>
      <c r="B76" s="834"/>
      <c r="C76" s="834"/>
      <c r="D76" s="834"/>
      <c r="E76" s="834"/>
      <c r="F76" s="834"/>
      <c r="G76" s="834"/>
      <c r="H76" s="834"/>
      <c r="I76" s="834"/>
      <c r="J76" s="834"/>
      <c r="K76" s="834"/>
      <c r="L76" s="834"/>
      <c r="M76" s="834"/>
      <c r="N76" s="834"/>
      <c r="O76" s="834"/>
      <c r="P76" s="834"/>
      <c r="Q76" s="835"/>
      <c r="S76" s="40"/>
      <c r="T76" s="40"/>
    </row>
    <row r="77" spans="1:20" ht="15.75" customHeight="1" x14ac:dyDescent="0.2">
      <c r="A77" s="848" t="s">
        <v>263</v>
      </c>
      <c r="B77" s="836"/>
      <c r="C77" s="836"/>
      <c r="D77" s="836"/>
      <c r="E77" s="836"/>
      <c r="F77" s="836"/>
      <c r="G77" s="836"/>
      <c r="H77" s="836"/>
      <c r="I77" s="836"/>
      <c r="J77" s="836"/>
      <c r="K77" s="836"/>
      <c r="L77" s="836"/>
      <c r="M77" s="836"/>
      <c r="N77" s="836"/>
      <c r="O77" s="836"/>
      <c r="P77" s="836"/>
      <c r="Q77" s="837"/>
      <c r="S77" s="40"/>
      <c r="T77" s="40"/>
    </row>
    <row r="78" spans="1:20" ht="15.75" customHeight="1" x14ac:dyDescent="0.2">
      <c r="A78" s="849"/>
      <c r="B78" s="834"/>
      <c r="C78" s="834"/>
      <c r="D78" s="834"/>
      <c r="E78" s="834"/>
      <c r="F78" s="834"/>
      <c r="G78" s="834"/>
      <c r="H78" s="834"/>
      <c r="I78" s="834"/>
      <c r="J78" s="834"/>
      <c r="K78" s="834"/>
      <c r="L78" s="834"/>
      <c r="M78" s="834"/>
      <c r="N78" s="834"/>
      <c r="O78" s="834"/>
      <c r="P78" s="834"/>
      <c r="Q78" s="835"/>
      <c r="S78" s="40"/>
      <c r="T78" s="40"/>
    </row>
    <row r="79" spans="1:20" ht="15.75" customHeight="1" x14ac:dyDescent="0.4">
      <c r="A79" s="838"/>
      <c r="B79" s="821"/>
      <c r="C79" s="821"/>
      <c r="D79" s="821"/>
      <c r="E79" s="821"/>
      <c r="F79" s="821"/>
      <c r="G79" s="821"/>
      <c r="H79" s="821"/>
      <c r="I79" s="821"/>
      <c r="J79" s="821"/>
      <c r="K79" s="821"/>
      <c r="L79" s="821"/>
      <c r="M79" s="821"/>
      <c r="N79" s="821"/>
      <c r="O79" s="821"/>
      <c r="P79" s="821"/>
      <c r="Q79" s="822"/>
      <c r="S79" s="40"/>
      <c r="T79" s="40"/>
    </row>
    <row r="80" spans="1:20" ht="15.75" customHeight="1" x14ac:dyDescent="0.2">
      <c r="A80" s="850" t="s">
        <v>269</v>
      </c>
      <c r="B80" s="834"/>
      <c r="C80" s="834"/>
      <c r="D80" s="834"/>
      <c r="E80" s="834"/>
      <c r="F80" s="834"/>
      <c r="G80" s="834"/>
      <c r="H80" s="834"/>
      <c r="I80" s="834"/>
      <c r="J80" s="834"/>
      <c r="K80" s="834"/>
      <c r="L80" s="834"/>
      <c r="M80" s="834"/>
      <c r="N80" s="834"/>
      <c r="O80" s="834"/>
      <c r="P80" s="834"/>
      <c r="Q80" s="835"/>
      <c r="S80" s="40"/>
      <c r="T80" s="40"/>
    </row>
    <row r="81" spans="1:20" ht="15.75" customHeight="1" x14ac:dyDescent="0.2">
      <c r="A81" s="852"/>
      <c r="B81" s="834"/>
      <c r="C81" s="834"/>
      <c r="D81" s="834"/>
      <c r="E81" s="834"/>
      <c r="F81" s="834"/>
      <c r="G81" s="834"/>
      <c r="H81" s="834"/>
      <c r="I81" s="834"/>
      <c r="J81" s="834"/>
      <c r="K81" s="834"/>
      <c r="L81" s="834"/>
      <c r="M81" s="834"/>
      <c r="N81" s="834"/>
      <c r="O81" s="834"/>
      <c r="P81" s="834"/>
      <c r="Q81" s="835"/>
      <c r="S81" s="40"/>
      <c r="T81" s="40"/>
    </row>
    <row r="82" spans="1:20" ht="15.75" customHeight="1" x14ac:dyDescent="0.2">
      <c r="A82" s="852"/>
      <c r="B82" s="834"/>
      <c r="C82" s="834"/>
      <c r="D82" s="834"/>
      <c r="E82" s="834"/>
      <c r="F82" s="834"/>
      <c r="G82" s="834"/>
      <c r="H82" s="834"/>
      <c r="I82" s="834"/>
      <c r="J82" s="834"/>
      <c r="K82" s="834"/>
      <c r="L82" s="834"/>
      <c r="M82" s="834"/>
      <c r="N82" s="834"/>
      <c r="O82" s="834"/>
      <c r="P82" s="834"/>
      <c r="Q82" s="835"/>
      <c r="S82" s="40"/>
      <c r="T82" s="40"/>
    </row>
    <row r="83" spans="1:20" ht="15.75" customHeight="1" x14ac:dyDescent="0.2">
      <c r="A83" s="850" t="s">
        <v>270</v>
      </c>
      <c r="B83" s="834"/>
      <c r="C83" s="834"/>
      <c r="D83" s="834"/>
      <c r="E83" s="834"/>
      <c r="F83" s="834"/>
      <c r="G83" s="834"/>
      <c r="H83" s="834"/>
      <c r="I83" s="834"/>
      <c r="J83" s="834"/>
      <c r="K83" s="834"/>
      <c r="L83" s="834"/>
      <c r="M83" s="834"/>
      <c r="N83" s="834"/>
      <c r="O83" s="834"/>
      <c r="P83" s="834"/>
      <c r="Q83" s="835"/>
      <c r="S83" s="40"/>
      <c r="T83" s="40"/>
    </row>
    <row r="84" spans="1:20" ht="15.75" customHeight="1" x14ac:dyDescent="0.2">
      <c r="A84" s="852"/>
      <c r="B84" s="834"/>
      <c r="C84" s="834"/>
      <c r="D84" s="834"/>
      <c r="E84" s="834"/>
      <c r="F84" s="834"/>
      <c r="G84" s="834"/>
      <c r="H84" s="834"/>
      <c r="I84" s="834"/>
      <c r="J84" s="834"/>
      <c r="K84" s="834"/>
      <c r="L84" s="834"/>
      <c r="M84" s="834"/>
      <c r="N84" s="834"/>
      <c r="O84" s="834"/>
      <c r="P84" s="834"/>
      <c r="Q84" s="835"/>
      <c r="S84" s="40"/>
      <c r="T84" s="40"/>
    </row>
    <row r="85" spans="1:20" ht="15.75" customHeight="1" x14ac:dyDescent="0.2">
      <c r="A85" s="852"/>
      <c r="B85" s="834"/>
      <c r="C85" s="834"/>
      <c r="D85" s="834"/>
      <c r="E85" s="834"/>
      <c r="F85" s="834"/>
      <c r="G85" s="834"/>
      <c r="H85" s="834"/>
      <c r="I85" s="834"/>
      <c r="J85" s="834"/>
      <c r="K85" s="834"/>
      <c r="L85" s="834"/>
      <c r="M85" s="834"/>
      <c r="N85" s="834"/>
      <c r="O85" s="834"/>
      <c r="P85" s="834"/>
      <c r="Q85" s="835"/>
      <c r="S85" s="40"/>
      <c r="T85" s="40"/>
    </row>
    <row r="86" spans="1:20" ht="15.75" customHeight="1" x14ac:dyDescent="0.2">
      <c r="A86" s="850" t="s">
        <v>273</v>
      </c>
      <c r="B86" s="834"/>
      <c r="C86" s="834"/>
      <c r="D86" s="834"/>
      <c r="E86" s="834"/>
      <c r="F86" s="834"/>
      <c r="G86" s="834"/>
      <c r="H86" s="834"/>
      <c r="I86" s="834"/>
      <c r="J86" s="834"/>
      <c r="K86" s="834"/>
      <c r="L86" s="834"/>
      <c r="M86" s="834"/>
      <c r="N86" s="834"/>
      <c r="O86" s="834"/>
      <c r="P86" s="834"/>
      <c r="Q86" s="835"/>
      <c r="S86" s="40"/>
      <c r="T86" s="40"/>
    </row>
    <row r="87" spans="1:20" ht="15.75" customHeight="1" x14ac:dyDescent="0.2">
      <c r="A87" s="851"/>
      <c r="B87" s="834"/>
      <c r="C87" s="834"/>
      <c r="D87" s="834"/>
      <c r="E87" s="834"/>
      <c r="F87" s="834"/>
      <c r="G87" s="834"/>
      <c r="H87" s="834"/>
      <c r="I87" s="834"/>
      <c r="J87" s="834"/>
      <c r="K87" s="834"/>
      <c r="L87" s="834"/>
      <c r="M87" s="834"/>
      <c r="N87" s="834"/>
      <c r="O87" s="834"/>
      <c r="P87" s="834"/>
      <c r="Q87" s="835"/>
      <c r="S87" s="40"/>
      <c r="T87" s="40"/>
    </row>
    <row r="88" spans="1:20" ht="15.75" customHeight="1" x14ac:dyDescent="0.2">
      <c r="A88" s="841"/>
      <c r="B88" s="836"/>
      <c r="C88" s="836"/>
      <c r="D88" s="836"/>
      <c r="E88" s="836"/>
      <c r="F88" s="836"/>
      <c r="G88" s="836"/>
      <c r="H88" s="836"/>
      <c r="I88" s="836"/>
      <c r="J88" s="836"/>
      <c r="K88" s="836"/>
      <c r="L88" s="836"/>
      <c r="M88" s="836"/>
      <c r="N88" s="836"/>
      <c r="O88" s="836"/>
      <c r="P88" s="836"/>
      <c r="Q88" s="837"/>
      <c r="S88" s="40"/>
      <c r="T88" s="40"/>
    </row>
    <row r="89" spans="1:20" ht="15.75" customHeight="1" x14ac:dyDescent="0.2">
      <c r="A89" s="833"/>
      <c r="B89" s="834"/>
      <c r="C89" s="834"/>
      <c r="D89" s="834"/>
      <c r="E89" s="834"/>
      <c r="F89" s="834"/>
      <c r="G89" s="834"/>
      <c r="H89" s="834"/>
      <c r="I89" s="834"/>
      <c r="J89" s="834"/>
      <c r="K89" s="834"/>
      <c r="L89" s="834"/>
      <c r="M89" s="834"/>
      <c r="N89" s="834"/>
      <c r="O89" s="834"/>
      <c r="P89" s="834"/>
      <c r="Q89" s="835"/>
      <c r="S89" s="40"/>
      <c r="T89" s="40"/>
    </row>
    <row r="90" spans="1:20" ht="15.75" customHeight="1" thickBot="1" x14ac:dyDescent="0.45">
      <c r="A90" s="763" t="s">
        <v>244</v>
      </c>
      <c r="B90" s="301"/>
      <c r="C90" s="301"/>
      <c r="D90" s="301"/>
      <c r="E90" s="301"/>
      <c r="F90" s="301"/>
      <c r="G90" s="301"/>
      <c r="H90" s="301"/>
      <c r="I90" s="301"/>
      <c r="J90" s="301"/>
      <c r="K90" s="302"/>
      <c r="L90" s="302"/>
      <c r="M90" s="302"/>
      <c r="N90" s="302"/>
      <c r="O90" s="302"/>
      <c r="P90" s="302"/>
      <c r="Q90" s="303"/>
      <c r="S90" s="40"/>
      <c r="T90" s="40"/>
    </row>
    <row r="91" spans="1:20" ht="15.75" customHeight="1" thickBot="1" x14ac:dyDescent="0.35">
      <c r="A91" s="286" t="s">
        <v>125</v>
      </c>
      <c r="B91" s="255"/>
      <c r="C91" s="255"/>
      <c r="D91" s="255"/>
      <c r="E91" s="255"/>
      <c r="F91" s="255"/>
      <c r="G91" s="255"/>
      <c r="H91" s="255"/>
      <c r="I91" s="255"/>
      <c r="J91" s="255"/>
      <c r="K91" s="252"/>
      <c r="L91" s="252"/>
      <c r="M91" s="252"/>
      <c r="N91" s="252"/>
      <c r="O91" s="252"/>
      <c r="P91" s="252"/>
      <c r="Q91" s="253"/>
      <c r="S91" s="40"/>
      <c r="T91" s="40"/>
    </row>
    <row r="92" spans="1:20" ht="15.75" customHeight="1" x14ac:dyDescent="0.3">
      <c r="A92" s="262" t="s">
        <v>112</v>
      </c>
      <c r="B92" s="996" t="s">
        <v>293</v>
      </c>
      <c r="C92" s="996"/>
      <c r="D92" s="996"/>
      <c r="E92" s="996" t="s">
        <v>294</v>
      </c>
      <c r="F92" s="996"/>
      <c r="G92" s="996"/>
      <c r="H92" s="263" t="s">
        <v>113</v>
      </c>
      <c r="I92" s="999" t="s">
        <v>293</v>
      </c>
      <c r="J92" s="1000"/>
      <c r="K92" s="1001"/>
      <c r="L92" s="996" t="s">
        <v>295</v>
      </c>
      <c r="M92" s="996"/>
      <c r="N92" s="996"/>
      <c r="O92" s="996"/>
      <c r="P92" s="996"/>
      <c r="Q92" s="1030"/>
      <c r="S92" s="40"/>
      <c r="T92" s="40"/>
    </row>
    <row r="93" spans="1:20" ht="15.75" customHeight="1" x14ac:dyDescent="0.2">
      <c r="A93" s="264" t="s">
        <v>291</v>
      </c>
      <c r="B93" s="265" t="s">
        <v>27</v>
      </c>
      <c r="C93" s="265" t="s">
        <v>28</v>
      </c>
      <c r="D93" s="265" t="s">
        <v>29</v>
      </c>
      <c r="E93" s="265" t="s">
        <v>27</v>
      </c>
      <c r="F93" s="265" t="s">
        <v>28</v>
      </c>
      <c r="G93" s="265" t="s">
        <v>29</v>
      </c>
      <c r="H93" s="264" t="s">
        <v>291</v>
      </c>
      <c r="I93" s="265" t="s">
        <v>27</v>
      </c>
      <c r="J93" s="265" t="s">
        <v>28</v>
      </c>
      <c r="K93" s="265" t="s">
        <v>29</v>
      </c>
      <c r="L93" s="265" t="s">
        <v>27</v>
      </c>
      <c r="M93" s="265" t="s">
        <v>28</v>
      </c>
      <c r="N93" s="265" t="s">
        <v>29</v>
      </c>
      <c r="O93" s="265" t="s">
        <v>27</v>
      </c>
      <c r="P93" s="265" t="s">
        <v>28</v>
      </c>
      <c r="Q93" s="267" t="s">
        <v>29</v>
      </c>
      <c r="S93" s="40"/>
      <c r="T93" s="40"/>
    </row>
    <row r="94" spans="1:20" ht="15.75" customHeight="1" x14ac:dyDescent="0.2">
      <c r="A94" s="251" t="s">
        <v>128</v>
      </c>
      <c r="B94" s="266">
        <v>0</v>
      </c>
      <c r="C94" s="266">
        <v>0</v>
      </c>
      <c r="D94" s="266">
        <f>B94+C94</f>
        <v>0</v>
      </c>
      <c r="E94" s="266">
        <v>0</v>
      </c>
      <c r="F94" s="266">
        <v>0</v>
      </c>
      <c r="G94" s="266">
        <f>E94+F94</f>
        <v>0</v>
      </c>
      <c r="H94" s="250" t="s">
        <v>128</v>
      </c>
      <c r="I94" s="266">
        <v>0</v>
      </c>
      <c r="J94" s="266">
        <v>0</v>
      </c>
      <c r="K94" s="266">
        <f>I94+J94</f>
        <v>0</v>
      </c>
      <c r="L94" s="266">
        <v>0</v>
      </c>
      <c r="M94" s="266">
        <v>0</v>
      </c>
      <c r="N94" s="266">
        <f>L94+M94</f>
        <v>0</v>
      </c>
      <c r="O94" s="266">
        <v>0</v>
      </c>
      <c r="P94" s="266">
        <v>0</v>
      </c>
      <c r="Q94" s="776">
        <f>O94+P94</f>
        <v>0</v>
      </c>
      <c r="S94" s="40"/>
      <c r="T94" s="40"/>
    </row>
    <row r="95" spans="1:20" x14ac:dyDescent="0.2">
      <c r="A95" s="251" t="s">
        <v>109</v>
      </c>
      <c r="B95" s="266"/>
      <c r="C95" s="266"/>
      <c r="D95" s="266"/>
      <c r="E95" s="266"/>
      <c r="F95" s="266"/>
      <c r="G95" s="266"/>
      <c r="H95" s="250" t="s">
        <v>109</v>
      </c>
      <c r="I95" s="266"/>
      <c r="J95" s="266"/>
      <c r="K95" s="266"/>
      <c r="L95" s="266"/>
      <c r="M95" s="266"/>
      <c r="N95" s="266"/>
      <c r="O95" s="266"/>
      <c r="P95" s="266"/>
      <c r="Q95" s="776"/>
      <c r="S95" s="40"/>
      <c r="T95" s="40"/>
    </row>
    <row r="96" spans="1:20" ht="13.5" thickBot="1" x14ac:dyDescent="0.25">
      <c r="A96" s="251" t="s">
        <v>108</v>
      </c>
      <c r="B96" s="266">
        <v>0</v>
      </c>
      <c r="C96" s="266">
        <v>0</v>
      </c>
      <c r="D96" s="266">
        <f>B96+C96</f>
        <v>0</v>
      </c>
      <c r="E96" s="266">
        <v>0</v>
      </c>
      <c r="F96" s="266">
        <v>0</v>
      </c>
      <c r="G96" s="266">
        <f>E96+F96</f>
        <v>0</v>
      </c>
      <c r="H96" s="250" t="s">
        <v>108</v>
      </c>
      <c r="I96" s="266">
        <v>0</v>
      </c>
      <c r="J96" s="266">
        <v>0</v>
      </c>
      <c r="K96" s="266">
        <f>I96+J96</f>
        <v>0</v>
      </c>
      <c r="L96" s="266">
        <v>0</v>
      </c>
      <c r="M96" s="266">
        <v>0</v>
      </c>
      <c r="N96" s="266">
        <f>L96+M96</f>
        <v>0</v>
      </c>
      <c r="O96" s="266">
        <v>0</v>
      </c>
      <c r="P96" s="266">
        <v>0</v>
      </c>
      <c r="Q96" s="776">
        <f>O96+P96</f>
        <v>0</v>
      </c>
      <c r="S96" s="40"/>
      <c r="T96" s="40"/>
    </row>
    <row r="97" spans="1:20" ht="15" x14ac:dyDescent="0.3">
      <c r="A97" s="275" t="s">
        <v>112</v>
      </c>
      <c r="B97" s="997" t="s">
        <v>110</v>
      </c>
      <c r="C97" s="997"/>
      <c r="D97" s="997"/>
      <c r="E97" s="997" t="s">
        <v>111</v>
      </c>
      <c r="F97" s="997"/>
      <c r="G97" s="997"/>
      <c r="H97" s="263" t="s">
        <v>113</v>
      </c>
      <c r="I97" s="999" t="s">
        <v>293</v>
      </c>
      <c r="J97" s="1000"/>
      <c r="K97" s="1001"/>
      <c r="L97" s="996" t="s">
        <v>295</v>
      </c>
      <c r="M97" s="996"/>
      <c r="N97" s="996"/>
      <c r="O97" s="997"/>
      <c r="P97" s="997"/>
      <c r="Q97" s="1033"/>
      <c r="S97" s="40"/>
      <c r="T97" s="40"/>
    </row>
    <row r="98" spans="1:20" ht="19.149999999999999" customHeight="1" x14ac:dyDescent="0.2">
      <c r="A98" s="276" t="s">
        <v>292</v>
      </c>
      <c r="B98" s="269" t="s">
        <v>27</v>
      </c>
      <c r="C98" s="269" t="s">
        <v>28</v>
      </c>
      <c r="D98" s="269" t="s">
        <v>29</v>
      </c>
      <c r="E98" s="269" t="s">
        <v>27</v>
      </c>
      <c r="F98" s="269" t="s">
        <v>28</v>
      </c>
      <c r="G98" s="269" t="s">
        <v>29</v>
      </c>
      <c r="H98" s="268"/>
      <c r="I98" s="269" t="s">
        <v>27</v>
      </c>
      <c r="J98" s="269" t="s">
        <v>28</v>
      </c>
      <c r="K98" s="269" t="s">
        <v>29</v>
      </c>
      <c r="L98" s="269" t="s">
        <v>27</v>
      </c>
      <c r="M98" s="269" t="s">
        <v>28</v>
      </c>
      <c r="N98" s="269" t="s">
        <v>29</v>
      </c>
      <c r="O98" s="269" t="s">
        <v>27</v>
      </c>
      <c r="P98" s="269" t="s">
        <v>28</v>
      </c>
      <c r="Q98" s="277" t="s">
        <v>29</v>
      </c>
      <c r="S98" s="40"/>
      <c r="T98" s="40"/>
    </row>
    <row r="99" spans="1:20" x14ac:dyDescent="0.2">
      <c r="A99" s="251" t="s">
        <v>128</v>
      </c>
      <c r="B99" s="270">
        <v>0</v>
      </c>
      <c r="C99" s="270">
        <v>0</v>
      </c>
      <c r="D99" s="270">
        <f>B99+C99</f>
        <v>0</v>
      </c>
      <c r="E99" s="270">
        <v>0</v>
      </c>
      <c r="F99" s="270">
        <v>0</v>
      </c>
      <c r="G99" s="270">
        <f>E99+F99</f>
        <v>0</v>
      </c>
      <c r="H99" s="250" t="s">
        <v>128</v>
      </c>
      <c r="I99" s="270">
        <v>0</v>
      </c>
      <c r="J99" s="270">
        <v>0</v>
      </c>
      <c r="K99" s="270">
        <f>I99+J99</f>
        <v>0</v>
      </c>
      <c r="L99" s="270">
        <v>0</v>
      </c>
      <c r="M99" s="270">
        <v>0</v>
      </c>
      <c r="N99" s="270">
        <f>L99+M99</f>
        <v>0</v>
      </c>
      <c r="O99" s="270">
        <v>0</v>
      </c>
      <c r="P99" s="270">
        <v>0</v>
      </c>
      <c r="Q99" s="777">
        <f>O99+P99</f>
        <v>0</v>
      </c>
      <c r="S99" s="40"/>
      <c r="T99" s="40"/>
    </row>
    <row r="100" spans="1:20" x14ac:dyDescent="0.2">
      <c r="A100" s="251" t="s">
        <v>109</v>
      </c>
      <c r="B100" s="270">
        <v>0</v>
      </c>
      <c r="C100" s="270"/>
      <c r="D100" s="270"/>
      <c r="E100" s="270">
        <v>0</v>
      </c>
      <c r="F100" s="270"/>
      <c r="G100" s="270"/>
      <c r="H100" s="250" t="s">
        <v>109</v>
      </c>
      <c r="I100" s="270">
        <v>0</v>
      </c>
      <c r="J100" s="270">
        <v>0</v>
      </c>
      <c r="K100" s="270"/>
      <c r="L100" s="270">
        <v>0</v>
      </c>
      <c r="M100" s="270">
        <v>0</v>
      </c>
      <c r="N100" s="270"/>
      <c r="O100" s="270">
        <v>0</v>
      </c>
      <c r="P100" s="270">
        <v>0</v>
      </c>
      <c r="Q100" s="777"/>
      <c r="S100" s="40"/>
      <c r="T100" s="40"/>
    </row>
    <row r="101" spans="1:20" ht="13.5" thickBot="1" x14ac:dyDescent="0.25">
      <c r="A101" s="251" t="s">
        <v>108</v>
      </c>
      <c r="B101" s="270">
        <v>0</v>
      </c>
      <c r="C101" s="270">
        <v>0</v>
      </c>
      <c r="D101" s="270">
        <f>B101+C101</f>
        <v>0</v>
      </c>
      <c r="E101" s="270">
        <v>0</v>
      </c>
      <c r="F101" s="270">
        <v>0</v>
      </c>
      <c r="G101" s="270">
        <f>E101+F101</f>
        <v>0</v>
      </c>
      <c r="H101" s="250" t="s">
        <v>108</v>
      </c>
      <c r="I101" s="270">
        <v>0</v>
      </c>
      <c r="J101" s="270">
        <v>0</v>
      </c>
      <c r="K101" s="270">
        <f>J101+I101</f>
        <v>0</v>
      </c>
      <c r="L101" s="270">
        <v>0</v>
      </c>
      <c r="M101" s="270">
        <v>0</v>
      </c>
      <c r="N101" s="270">
        <f>M101+L101</f>
        <v>0</v>
      </c>
      <c r="O101" s="270">
        <v>0</v>
      </c>
      <c r="P101" s="270">
        <v>0</v>
      </c>
      <c r="Q101" s="777">
        <f>P101+O101</f>
        <v>0</v>
      </c>
      <c r="S101" s="40"/>
      <c r="T101" s="40"/>
    </row>
    <row r="102" spans="1:20" ht="15" x14ac:dyDescent="0.3">
      <c r="A102" s="262" t="s">
        <v>112</v>
      </c>
      <c r="B102" s="998" t="s">
        <v>110</v>
      </c>
      <c r="C102" s="998"/>
      <c r="D102" s="998"/>
      <c r="E102" s="998" t="s">
        <v>111</v>
      </c>
      <c r="F102" s="998"/>
      <c r="G102" s="998"/>
      <c r="H102" s="263" t="s">
        <v>113</v>
      </c>
      <c r="I102" s="999" t="s">
        <v>293</v>
      </c>
      <c r="J102" s="1000"/>
      <c r="K102" s="1001"/>
      <c r="L102" s="996" t="s">
        <v>295</v>
      </c>
      <c r="M102" s="996"/>
      <c r="N102" s="996"/>
      <c r="O102" s="998"/>
      <c r="P102" s="998"/>
      <c r="Q102" s="1032"/>
      <c r="S102" s="40"/>
      <c r="T102" s="40"/>
    </row>
    <row r="103" spans="1:20" ht="19.149999999999999" customHeight="1" x14ac:dyDescent="0.2">
      <c r="A103" s="273"/>
      <c r="B103" s="271" t="s">
        <v>27</v>
      </c>
      <c r="C103" s="271" t="s">
        <v>28</v>
      </c>
      <c r="D103" s="271" t="s">
        <v>29</v>
      </c>
      <c r="E103" s="271" t="s">
        <v>27</v>
      </c>
      <c r="F103" s="271" t="s">
        <v>28</v>
      </c>
      <c r="G103" s="271" t="s">
        <v>29</v>
      </c>
      <c r="H103" s="257"/>
      <c r="I103" s="271" t="s">
        <v>27</v>
      </c>
      <c r="J103" s="271" t="s">
        <v>28</v>
      </c>
      <c r="K103" s="271" t="s">
        <v>29</v>
      </c>
      <c r="L103" s="271" t="s">
        <v>27</v>
      </c>
      <c r="M103" s="271" t="s">
        <v>28</v>
      </c>
      <c r="N103" s="271" t="s">
        <v>29</v>
      </c>
      <c r="O103" s="271" t="s">
        <v>27</v>
      </c>
      <c r="P103" s="271" t="s">
        <v>28</v>
      </c>
      <c r="Q103" s="274" t="s">
        <v>29</v>
      </c>
      <c r="S103" s="40"/>
      <c r="T103" s="40"/>
    </row>
    <row r="104" spans="1:20" x14ac:dyDescent="0.2">
      <c r="A104" s="251" t="s">
        <v>128</v>
      </c>
      <c r="B104" s="272">
        <v>0</v>
      </c>
      <c r="C104" s="272">
        <v>0</v>
      </c>
      <c r="D104" s="272">
        <f>B104+C104</f>
        <v>0</v>
      </c>
      <c r="E104" s="272">
        <v>0</v>
      </c>
      <c r="F104" s="272">
        <v>0</v>
      </c>
      <c r="G104" s="272">
        <f>E104+F104</f>
        <v>0</v>
      </c>
      <c r="H104" s="250" t="s">
        <v>128</v>
      </c>
      <c r="I104" s="272">
        <v>0</v>
      </c>
      <c r="J104" s="272">
        <v>0</v>
      </c>
      <c r="K104" s="272">
        <f>I104+J104</f>
        <v>0</v>
      </c>
      <c r="L104" s="272">
        <v>0</v>
      </c>
      <c r="M104" s="272">
        <v>0</v>
      </c>
      <c r="N104" s="272">
        <f>L104+M104</f>
        <v>0</v>
      </c>
      <c r="O104" s="272">
        <v>0</v>
      </c>
      <c r="P104" s="272">
        <v>0</v>
      </c>
      <c r="Q104" s="778">
        <f>O104+P104</f>
        <v>0</v>
      </c>
      <c r="S104" s="40"/>
      <c r="T104" s="40"/>
    </row>
    <row r="105" spans="1:20" x14ac:dyDescent="0.2">
      <c r="A105" s="251" t="s">
        <v>109</v>
      </c>
      <c r="B105" s="272">
        <v>0</v>
      </c>
      <c r="C105" s="272"/>
      <c r="D105" s="272"/>
      <c r="E105" s="272">
        <v>0</v>
      </c>
      <c r="F105" s="272"/>
      <c r="G105" s="272"/>
      <c r="H105" s="250" t="s">
        <v>109</v>
      </c>
      <c r="I105" s="272">
        <v>0</v>
      </c>
      <c r="J105" s="272"/>
      <c r="K105" s="272"/>
      <c r="L105" s="272">
        <v>0</v>
      </c>
      <c r="M105" s="272"/>
      <c r="N105" s="272"/>
      <c r="O105" s="272">
        <v>0</v>
      </c>
      <c r="P105" s="272"/>
      <c r="Q105" s="778"/>
      <c r="S105" s="40"/>
      <c r="T105" s="40"/>
    </row>
    <row r="106" spans="1:20" ht="13.5" thickBot="1" x14ac:dyDescent="0.25">
      <c r="A106" s="670" t="s">
        <v>108</v>
      </c>
      <c r="B106" s="671">
        <v>0</v>
      </c>
      <c r="C106" s="272">
        <v>0</v>
      </c>
      <c r="D106" s="272">
        <f>B106+C106</f>
        <v>0</v>
      </c>
      <c r="E106" s="671">
        <v>0</v>
      </c>
      <c r="F106" s="272">
        <v>0</v>
      </c>
      <c r="G106" s="272">
        <f>E106+F106</f>
        <v>0</v>
      </c>
      <c r="H106" s="250" t="s">
        <v>108</v>
      </c>
      <c r="I106" s="671">
        <v>0</v>
      </c>
      <c r="J106" s="272">
        <v>0</v>
      </c>
      <c r="K106" s="272">
        <f>I106+J106</f>
        <v>0</v>
      </c>
      <c r="L106" s="671">
        <v>0</v>
      </c>
      <c r="M106" s="272">
        <v>0</v>
      </c>
      <c r="N106" s="272">
        <f>L106+M106</f>
        <v>0</v>
      </c>
      <c r="O106" s="671">
        <v>0</v>
      </c>
      <c r="P106" s="272">
        <v>0</v>
      </c>
      <c r="Q106" s="778">
        <f>O106+P106</f>
        <v>0</v>
      </c>
      <c r="S106" s="40"/>
      <c r="T106" s="40"/>
    </row>
    <row r="107" spans="1:20" ht="26.25" customHeight="1" thickBot="1" x14ac:dyDescent="0.25">
      <c r="A107" s="699" t="s">
        <v>214</v>
      </c>
      <c r="B107" s="700">
        <f>D94+D99+D104+K94+K99+N94+N99+N104+G94+G99+G104+Q94+Q99+Q104</f>
        <v>0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91"/>
      <c r="R107" s="40"/>
      <c r="S107" s="38"/>
      <c r="T107" s="40"/>
    </row>
    <row r="108" spans="1:20" ht="15.6" customHeight="1" x14ac:dyDescent="0.3">
      <c r="A108" s="1035" t="s">
        <v>94</v>
      </c>
      <c r="B108" s="1031" t="s">
        <v>26</v>
      </c>
      <c r="C108" s="1031"/>
      <c r="D108" s="1031"/>
      <c r="E108" s="1031" t="s">
        <v>95</v>
      </c>
      <c r="F108" s="1031"/>
      <c r="G108" s="1031"/>
      <c r="H108" s="1031" t="s">
        <v>31</v>
      </c>
      <c r="I108" s="1031"/>
      <c r="J108" s="1031"/>
      <c r="K108" s="1031" t="s">
        <v>80</v>
      </c>
      <c r="L108" s="1031"/>
      <c r="M108" s="1031"/>
      <c r="N108" s="1031" t="s">
        <v>82</v>
      </c>
      <c r="O108" s="1031"/>
      <c r="P108" s="1034"/>
      <c r="Q108" s="779"/>
    </row>
    <row r="109" spans="1:20" s="48" customFormat="1" ht="15.6" customHeight="1" x14ac:dyDescent="0.25">
      <c r="A109" s="1036"/>
      <c r="B109" s="214" t="s">
        <v>27</v>
      </c>
      <c r="C109" s="214" t="s">
        <v>28</v>
      </c>
      <c r="D109" s="214" t="s">
        <v>29</v>
      </c>
      <c r="E109" s="214" t="s">
        <v>27</v>
      </c>
      <c r="F109" s="214" t="s">
        <v>28</v>
      </c>
      <c r="G109" s="214" t="s">
        <v>29</v>
      </c>
      <c r="H109" s="214" t="s">
        <v>27</v>
      </c>
      <c r="I109" s="214" t="s">
        <v>30</v>
      </c>
      <c r="J109" s="214" t="s">
        <v>29</v>
      </c>
      <c r="K109" s="214" t="s">
        <v>27</v>
      </c>
      <c r="L109" s="214" t="s">
        <v>28</v>
      </c>
      <c r="M109" s="214" t="s">
        <v>22</v>
      </c>
      <c r="N109" s="214" t="s">
        <v>27</v>
      </c>
      <c r="O109" s="214" t="s">
        <v>28</v>
      </c>
      <c r="P109" s="215" t="s">
        <v>29</v>
      </c>
      <c r="Q109" s="779"/>
    </row>
    <row r="110" spans="1:20" s="48" customFormat="1" ht="15.6" customHeight="1" x14ac:dyDescent="0.25">
      <c r="A110" s="235" t="s">
        <v>25</v>
      </c>
      <c r="B110" s="216">
        <v>0</v>
      </c>
      <c r="C110" s="216">
        <v>0</v>
      </c>
      <c r="D110" s="216">
        <f>C110+B110</f>
        <v>0</v>
      </c>
      <c r="E110" s="216">
        <v>0</v>
      </c>
      <c r="F110" s="216">
        <v>0</v>
      </c>
      <c r="G110" s="216">
        <f>F110+E110</f>
        <v>0</v>
      </c>
      <c r="H110" s="216">
        <v>0</v>
      </c>
      <c r="I110" s="216">
        <v>0</v>
      </c>
      <c r="J110" s="216">
        <f>SUM(H110+I110)</f>
        <v>0</v>
      </c>
      <c r="K110" s="217">
        <v>0</v>
      </c>
      <c r="L110" s="217">
        <v>0</v>
      </c>
      <c r="M110" s="824">
        <f>SUM(K110+L110)</f>
        <v>0</v>
      </c>
      <c r="N110" s="236" t="e">
        <f>SUM(K110)/E110</f>
        <v>#DIV/0!</v>
      </c>
      <c r="O110" s="236" t="e">
        <f>SUM(L110)/F110</f>
        <v>#DIV/0!</v>
      </c>
      <c r="P110" s="218" t="e">
        <f>SUM(M110)/G110</f>
        <v>#DIV/0!</v>
      </c>
      <c r="Q110" s="779"/>
    </row>
    <row r="111" spans="1:20" s="48" customFormat="1" ht="15.6" customHeight="1" x14ac:dyDescent="0.25">
      <c r="A111" s="235" t="s">
        <v>79</v>
      </c>
      <c r="B111" s="216">
        <v>0</v>
      </c>
      <c r="C111" s="216">
        <v>0</v>
      </c>
      <c r="D111" s="216">
        <f>SUM(B111+C111)</f>
        <v>0</v>
      </c>
      <c r="E111" s="216">
        <v>0</v>
      </c>
      <c r="F111" s="216">
        <v>0</v>
      </c>
      <c r="G111" s="216">
        <f>SUM(E111+F111)</f>
        <v>0</v>
      </c>
      <c r="H111" s="216">
        <v>0</v>
      </c>
      <c r="I111" s="216">
        <v>0</v>
      </c>
      <c r="J111" s="216">
        <f>SUM(H111+I111)</f>
        <v>0</v>
      </c>
      <c r="K111" s="217">
        <v>0</v>
      </c>
      <c r="L111" s="217">
        <v>0</v>
      </c>
      <c r="M111" s="216">
        <f>SUM(K111+L111)</f>
        <v>0</v>
      </c>
      <c r="N111" s="236" t="e">
        <f t="shared" ref="N111:N117" si="4">SUM(K111)/E111</f>
        <v>#DIV/0!</v>
      </c>
      <c r="O111" s="236" t="e">
        <f t="shared" ref="O111:P116" si="5">SUM(L111)/F111</f>
        <v>#DIV/0!</v>
      </c>
      <c r="P111" s="218" t="e">
        <f>SUM(M111)/G111</f>
        <v>#DIV/0!</v>
      </c>
      <c r="Q111" s="779"/>
    </row>
    <row r="112" spans="1:20" s="48" customFormat="1" ht="15.6" customHeight="1" x14ac:dyDescent="0.25">
      <c r="A112" s="235" t="s">
        <v>81</v>
      </c>
      <c r="B112" s="216">
        <v>0</v>
      </c>
      <c r="C112" s="216">
        <v>0</v>
      </c>
      <c r="D112" s="216">
        <f>SUM(B112+C112)</f>
        <v>0</v>
      </c>
      <c r="E112" s="216">
        <v>0</v>
      </c>
      <c r="F112" s="216">
        <v>0</v>
      </c>
      <c r="G112" s="216">
        <f>SUM(E112+F112)</f>
        <v>0</v>
      </c>
      <c r="H112" s="216">
        <v>0</v>
      </c>
      <c r="I112" s="216">
        <v>0</v>
      </c>
      <c r="J112" s="216">
        <f>SUM(H112+I112)</f>
        <v>0</v>
      </c>
      <c r="K112" s="217">
        <v>0</v>
      </c>
      <c r="L112" s="217">
        <v>0</v>
      </c>
      <c r="M112" s="216">
        <f>SUM(K112+L112)</f>
        <v>0</v>
      </c>
      <c r="N112" s="236" t="e">
        <f t="shared" si="4"/>
        <v>#DIV/0!</v>
      </c>
      <c r="O112" s="236" t="e">
        <f t="shared" si="5"/>
        <v>#DIV/0!</v>
      </c>
      <c r="P112" s="218" t="e">
        <f t="shared" si="5"/>
        <v>#DIV/0!</v>
      </c>
      <c r="Q112" s="779"/>
    </row>
    <row r="113" spans="1:17" s="48" customFormat="1" ht="15.6" customHeight="1" x14ac:dyDescent="0.25">
      <c r="A113" s="235" t="s">
        <v>77</v>
      </c>
      <c r="B113" s="231">
        <v>0</v>
      </c>
      <c r="C113" s="231">
        <v>0</v>
      </c>
      <c r="D113" s="231">
        <f>SUM(B113+C113)</f>
        <v>0</v>
      </c>
      <c r="E113" s="231">
        <v>0</v>
      </c>
      <c r="F113" s="231">
        <v>0</v>
      </c>
      <c r="G113" s="231">
        <f>SUM(E113+F113)</f>
        <v>0</v>
      </c>
      <c r="H113" s="231">
        <v>0</v>
      </c>
      <c r="I113" s="231">
        <v>0</v>
      </c>
      <c r="J113" s="231">
        <f>SUM(H113+I113)</f>
        <v>0</v>
      </c>
      <c r="K113" s="232">
        <v>0</v>
      </c>
      <c r="L113" s="232">
        <v>0</v>
      </c>
      <c r="M113" s="231">
        <f>SUM(K113+L113)</f>
        <v>0</v>
      </c>
      <c r="N113" s="236" t="e">
        <f t="shared" si="4"/>
        <v>#DIV/0!</v>
      </c>
      <c r="O113" s="236" t="e">
        <f t="shared" si="5"/>
        <v>#DIV/0!</v>
      </c>
      <c r="P113" s="218" t="e">
        <f t="shared" si="5"/>
        <v>#DIV/0!</v>
      </c>
      <c r="Q113" s="779"/>
    </row>
    <row r="114" spans="1:17" s="48" customFormat="1" ht="15.6" customHeight="1" x14ac:dyDescent="0.25">
      <c r="A114" s="235" t="s">
        <v>121</v>
      </c>
      <c r="B114" s="231">
        <v>0</v>
      </c>
      <c r="C114" s="231">
        <v>0</v>
      </c>
      <c r="D114" s="231">
        <f t="shared" ref="D114:D116" si="6">SUM(B114+C114)</f>
        <v>0</v>
      </c>
      <c r="E114" s="231">
        <v>0</v>
      </c>
      <c r="F114" s="231">
        <v>0</v>
      </c>
      <c r="G114" s="231">
        <f t="shared" ref="G114:G116" si="7">SUM(E114+F114)</f>
        <v>0</v>
      </c>
      <c r="H114" s="231">
        <v>0</v>
      </c>
      <c r="I114" s="231">
        <v>0</v>
      </c>
      <c r="J114" s="231">
        <f t="shared" ref="J114:J116" si="8">SUM(H114+I114)</f>
        <v>0</v>
      </c>
      <c r="K114" s="232">
        <v>0</v>
      </c>
      <c r="L114" s="232">
        <v>0</v>
      </c>
      <c r="M114" s="231">
        <f t="shared" ref="M114:M116" si="9">SUM(K114+L114)</f>
        <v>0</v>
      </c>
      <c r="N114" s="236" t="e">
        <f t="shared" si="4"/>
        <v>#DIV/0!</v>
      </c>
      <c r="O114" s="236" t="e">
        <f t="shared" si="5"/>
        <v>#DIV/0!</v>
      </c>
      <c r="P114" s="218" t="e">
        <f t="shared" si="5"/>
        <v>#DIV/0!</v>
      </c>
      <c r="Q114" s="779"/>
    </row>
    <row r="115" spans="1:17" s="48" customFormat="1" ht="15.6" customHeight="1" x14ac:dyDescent="0.25">
      <c r="A115" s="235" t="s">
        <v>122</v>
      </c>
      <c r="B115" s="231">
        <v>0</v>
      </c>
      <c r="C115" s="231">
        <v>0</v>
      </c>
      <c r="D115" s="231">
        <f t="shared" si="6"/>
        <v>0</v>
      </c>
      <c r="E115" s="231">
        <v>0</v>
      </c>
      <c r="F115" s="231">
        <v>0</v>
      </c>
      <c r="G115" s="231">
        <f t="shared" si="7"/>
        <v>0</v>
      </c>
      <c r="H115" s="231">
        <v>0</v>
      </c>
      <c r="I115" s="231">
        <v>0</v>
      </c>
      <c r="J115" s="231">
        <f t="shared" si="8"/>
        <v>0</v>
      </c>
      <c r="K115" s="232">
        <v>0</v>
      </c>
      <c r="L115" s="232">
        <v>0</v>
      </c>
      <c r="M115" s="231">
        <f t="shared" si="9"/>
        <v>0</v>
      </c>
      <c r="N115" s="236" t="e">
        <f t="shared" si="4"/>
        <v>#DIV/0!</v>
      </c>
      <c r="O115" s="236" t="e">
        <f t="shared" si="5"/>
        <v>#DIV/0!</v>
      </c>
      <c r="P115" s="218" t="e">
        <f t="shared" si="5"/>
        <v>#DIV/0!</v>
      </c>
      <c r="Q115" s="779"/>
    </row>
    <row r="116" spans="1:17" s="48" customFormat="1" ht="15.6" customHeight="1" thickBot="1" x14ac:dyDescent="0.3">
      <c r="A116" s="235" t="s">
        <v>123</v>
      </c>
      <c r="B116" s="231">
        <v>0</v>
      </c>
      <c r="C116" s="231">
        <v>0</v>
      </c>
      <c r="D116" s="231">
        <f t="shared" si="6"/>
        <v>0</v>
      </c>
      <c r="E116" s="231">
        <v>0</v>
      </c>
      <c r="F116" s="231">
        <v>0</v>
      </c>
      <c r="G116" s="231">
        <f t="shared" si="7"/>
        <v>0</v>
      </c>
      <c r="H116" s="231">
        <v>0</v>
      </c>
      <c r="I116" s="231">
        <v>0</v>
      </c>
      <c r="J116" s="231">
        <f t="shared" si="8"/>
        <v>0</v>
      </c>
      <c r="K116" s="232">
        <v>0</v>
      </c>
      <c r="L116" s="232">
        <v>0</v>
      </c>
      <c r="M116" s="231">
        <f t="shared" si="9"/>
        <v>0</v>
      </c>
      <c r="N116" s="236" t="e">
        <f t="shared" si="4"/>
        <v>#DIV/0!</v>
      </c>
      <c r="O116" s="236" t="e">
        <f t="shared" si="5"/>
        <v>#DIV/0!</v>
      </c>
      <c r="P116" s="218" t="e">
        <f t="shared" si="5"/>
        <v>#DIV/0!</v>
      </c>
      <c r="Q116" s="779"/>
    </row>
    <row r="117" spans="1:17" s="48" customFormat="1" ht="15.6" customHeight="1" thickBot="1" x14ac:dyDescent="0.35">
      <c r="A117" s="289" t="s">
        <v>22</v>
      </c>
      <c r="B117" s="233">
        <f t="shared" ref="B117:C117" si="10">SUM(B110:B116)</f>
        <v>0</v>
      </c>
      <c r="C117" s="233">
        <f t="shared" si="10"/>
        <v>0</v>
      </c>
      <c r="D117" s="233">
        <f>SUM(D110:D116)</f>
        <v>0</v>
      </c>
      <c r="E117" s="233">
        <f t="shared" ref="E117:M117" si="11">SUM(E110:E116)</f>
        <v>0</v>
      </c>
      <c r="F117" s="233">
        <f t="shared" si="11"/>
        <v>0</v>
      </c>
      <c r="G117" s="233">
        <f t="shared" si="11"/>
        <v>0</v>
      </c>
      <c r="H117" s="233">
        <f t="shared" si="11"/>
        <v>0</v>
      </c>
      <c r="I117" s="233">
        <f t="shared" si="11"/>
        <v>0</v>
      </c>
      <c r="J117" s="233">
        <f t="shared" si="11"/>
        <v>0</v>
      </c>
      <c r="K117" s="233">
        <f t="shared" si="11"/>
        <v>0</v>
      </c>
      <c r="L117" s="233">
        <f t="shared" si="11"/>
        <v>0</v>
      </c>
      <c r="M117" s="233">
        <f t="shared" si="11"/>
        <v>0</v>
      </c>
      <c r="N117" s="234" t="e">
        <f t="shared" si="4"/>
        <v>#DIV/0!</v>
      </c>
      <c r="O117" s="234" t="e">
        <f>SUM(L117)/F117</f>
        <v>#DIV/0!</v>
      </c>
      <c r="P117" s="234" t="e">
        <f>SUM(M117)/G117</f>
        <v>#DIV/0!</v>
      </c>
      <c r="Q117" s="780"/>
    </row>
    <row r="118" spans="1:17" ht="13.5" x14ac:dyDescent="0.25">
      <c r="A118" s="1029"/>
      <c r="B118" s="1029"/>
      <c r="C118" s="1029"/>
      <c r="D118" s="1029"/>
      <c r="E118" s="1029"/>
      <c r="F118" s="1029"/>
      <c r="G118" s="1029"/>
      <c r="H118" s="1029"/>
      <c r="I118" s="1029"/>
      <c r="J118" s="1029"/>
      <c r="K118" s="1029"/>
      <c r="L118" s="1029"/>
      <c r="M118" s="1029"/>
      <c r="N118" s="1029"/>
      <c r="O118" s="1029"/>
      <c r="P118" s="1029"/>
      <c r="Q118" s="1029"/>
    </row>
    <row r="119" spans="1:17" x14ac:dyDescent="0.2">
      <c r="A119" s="176"/>
      <c r="B119" s="177"/>
      <c r="C119" s="177"/>
      <c r="D119" s="178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</row>
    <row r="120" spans="1:17" x14ac:dyDescent="0.2">
      <c r="A120" s="176"/>
      <c r="B120" s="177"/>
      <c r="C120" s="177"/>
      <c r="D120" s="178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</row>
    <row r="121" spans="1:17" x14ac:dyDescent="0.2">
      <c r="A121" s="176"/>
      <c r="B121" s="177"/>
      <c r="C121" s="177"/>
      <c r="D121" s="178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</row>
    <row r="122" spans="1:17" ht="13.5" x14ac:dyDescent="0.25">
      <c r="A122" s="35"/>
      <c r="B122" s="34"/>
      <c r="C122" s="34"/>
      <c r="D122" s="34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</row>
    <row r="123" spans="1:17" ht="13.5" x14ac:dyDescent="0.25">
      <c r="A123" s="35"/>
      <c r="B123" s="34"/>
      <c r="C123" s="34"/>
      <c r="D123" s="34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</row>
    <row r="124" spans="1:17" ht="13.5" x14ac:dyDescent="0.25">
      <c r="A124" s="35"/>
      <c r="B124" s="34"/>
      <c r="C124" s="34"/>
      <c r="D124" s="34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</row>
    <row r="125" spans="1:17" ht="13.5" x14ac:dyDescent="0.25">
      <c r="A125" s="35"/>
      <c r="B125" s="34"/>
      <c r="C125" s="34"/>
      <c r="D125" s="34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</row>
    <row r="126" spans="1:17" ht="13.5" x14ac:dyDescent="0.25">
      <c r="A126" s="35"/>
      <c r="B126" s="34"/>
      <c r="C126" s="34"/>
      <c r="D126" s="34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</row>
    <row r="127" spans="1:17" ht="13.5" x14ac:dyDescent="0.25">
      <c r="A127" s="35"/>
      <c r="B127" s="34"/>
      <c r="C127" s="34"/>
      <c r="D127" s="34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</row>
    <row r="128" spans="1:17" ht="13.5" x14ac:dyDescent="0.25">
      <c r="A128" s="35"/>
      <c r="B128" s="34"/>
      <c r="C128" s="34"/>
      <c r="D128" s="34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</row>
    <row r="129" spans="1:17" ht="13.5" x14ac:dyDescent="0.25">
      <c r="A129" s="35"/>
      <c r="B129" s="34"/>
      <c r="C129" s="34"/>
      <c r="D129" s="34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</row>
    <row r="130" spans="1:17" ht="13.5" x14ac:dyDescent="0.25">
      <c r="A130" s="35"/>
      <c r="B130" s="34"/>
      <c r="C130" s="34"/>
      <c r="D130" s="34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</row>
    <row r="131" spans="1:17" ht="13.5" x14ac:dyDescent="0.25">
      <c r="A131" s="35"/>
      <c r="B131" s="34"/>
      <c r="C131" s="34"/>
      <c r="D131" s="34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</row>
    <row r="132" spans="1:17" ht="13.5" x14ac:dyDescent="0.25">
      <c r="A132" s="35"/>
      <c r="B132" s="34"/>
      <c r="C132" s="34"/>
      <c r="D132" s="34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</row>
    <row r="133" spans="1:17" ht="13.5" x14ac:dyDescent="0.25">
      <c r="A133" s="35"/>
      <c r="B133" s="34"/>
      <c r="C133" s="34"/>
      <c r="D133" s="34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</row>
    <row r="134" spans="1:17" ht="13.5" x14ac:dyDescent="0.25">
      <c r="A134" s="35"/>
      <c r="B134" s="34"/>
      <c r="C134" s="34"/>
      <c r="D134" s="34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</row>
    <row r="135" spans="1:17" ht="13.5" x14ac:dyDescent="0.25">
      <c r="A135" s="35"/>
      <c r="B135" s="34"/>
      <c r="C135" s="34"/>
      <c r="D135" s="34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</row>
    <row r="136" spans="1:17" ht="13.5" x14ac:dyDescent="0.25">
      <c r="A136" s="35"/>
      <c r="B136" s="34"/>
      <c r="C136" s="34"/>
      <c r="D136" s="34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</row>
    <row r="137" spans="1:17" ht="13.5" x14ac:dyDescent="0.25">
      <c r="A137" s="35"/>
      <c r="B137" s="34"/>
      <c r="C137" s="34"/>
      <c r="D137" s="34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</row>
    <row r="138" spans="1:17" ht="13.5" x14ac:dyDescent="0.25">
      <c r="A138" s="35"/>
      <c r="B138" s="34"/>
      <c r="C138" s="34"/>
      <c r="D138" s="34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</row>
    <row r="139" spans="1:17" ht="13.5" x14ac:dyDescent="0.25">
      <c r="A139" s="35"/>
      <c r="B139" s="34"/>
      <c r="C139" s="34"/>
      <c r="D139" s="34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</row>
    <row r="140" spans="1:17" ht="13.5" x14ac:dyDescent="0.25">
      <c r="A140" s="35"/>
      <c r="B140" s="34"/>
      <c r="C140" s="34"/>
      <c r="D140" s="34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</row>
    <row r="141" spans="1:17" ht="13.5" x14ac:dyDescent="0.25">
      <c r="A141" s="35"/>
      <c r="B141" s="34"/>
      <c r="C141" s="34"/>
      <c r="D141" s="34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</row>
    <row r="142" spans="1:17" ht="13.5" x14ac:dyDescent="0.25">
      <c r="A142" s="35"/>
      <c r="B142" s="34"/>
      <c r="C142" s="34"/>
      <c r="D142" s="34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</row>
    <row r="143" spans="1:17" ht="13.5" x14ac:dyDescent="0.25">
      <c r="A143" s="35"/>
      <c r="B143" s="34"/>
      <c r="C143" s="34"/>
      <c r="D143" s="34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</row>
    <row r="144" spans="1:17" ht="13.5" x14ac:dyDescent="0.25">
      <c r="A144" s="35"/>
      <c r="B144" s="34"/>
      <c r="C144" s="34"/>
      <c r="D144" s="34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</row>
    <row r="145" spans="1:17" ht="13.5" x14ac:dyDescent="0.25">
      <c r="A145" s="35"/>
      <c r="B145" s="34"/>
      <c r="C145" s="34"/>
      <c r="D145" s="34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</row>
    <row r="146" spans="1:17" ht="13.5" x14ac:dyDescent="0.25">
      <c r="A146" s="35"/>
      <c r="B146" s="34"/>
      <c r="C146" s="34"/>
      <c r="D146" s="34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</row>
    <row r="147" spans="1:17" ht="13.5" x14ac:dyDescent="0.25">
      <c r="A147" s="35"/>
      <c r="B147" s="34"/>
      <c r="C147" s="34"/>
      <c r="D147" s="34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</row>
    <row r="148" spans="1:17" ht="13.5" x14ac:dyDescent="0.25">
      <c r="A148" s="35"/>
      <c r="B148" s="34"/>
      <c r="C148" s="34"/>
      <c r="D148" s="34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</row>
    <row r="149" spans="1:17" ht="13.5" x14ac:dyDescent="0.25">
      <c r="A149" s="35"/>
      <c r="B149" s="34"/>
      <c r="C149" s="34"/>
      <c r="D149" s="34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</row>
    <row r="150" spans="1:17" ht="13.5" x14ac:dyDescent="0.25">
      <c r="A150" s="35"/>
      <c r="B150" s="34"/>
      <c r="C150" s="34"/>
      <c r="D150" s="34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</row>
    <row r="151" spans="1:17" ht="13.5" x14ac:dyDescent="0.25">
      <c r="A151" s="35"/>
      <c r="B151" s="34"/>
      <c r="C151" s="34"/>
      <c r="D151" s="34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</row>
    <row r="152" spans="1:17" ht="13.5" x14ac:dyDescent="0.25">
      <c r="A152" s="35"/>
      <c r="B152" s="34"/>
      <c r="C152" s="34"/>
      <c r="D152" s="34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</row>
    <row r="153" spans="1:17" ht="13.5" x14ac:dyDescent="0.25">
      <c r="A153" s="35"/>
      <c r="B153" s="34"/>
      <c r="C153" s="34"/>
      <c r="D153" s="34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</row>
    <row r="154" spans="1:17" ht="13.5" x14ac:dyDescent="0.25">
      <c r="A154" s="35"/>
      <c r="B154" s="34"/>
      <c r="C154" s="34"/>
      <c r="D154" s="34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</row>
    <row r="155" spans="1:17" ht="13.5" x14ac:dyDescent="0.25">
      <c r="A155" s="35"/>
      <c r="B155" s="34"/>
      <c r="C155" s="34"/>
      <c r="D155" s="34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</row>
    <row r="156" spans="1:17" ht="13.5" x14ac:dyDescent="0.25">
      <c r="A156" s="35"/>
      <c r="B156" s="34"/>
      <c r="C156" s="34"/>
      <c r="D156" s="34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</row>
    <row r="157" spans="1:17" ht="13.5" x14ac:dyDescent="0.25">
      <c r="A157" s="35"/>
      <c r="B157" s="34"/>
      <c r="C157" s="34"/>
      <c r="D157" s="34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</row>
    <row r="158" spans="1:17" ht="13.5" x14ac:dyDescent="0.25">
      <c r="A158" s="35"/>
      <c r="B158" s="34"/>
      <c r="C158" s="34"/>
      <c r="D158" s="34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</row>
    <row r="159" spans="1:17" ht="13.5" x14ac:dyDescent="0.25">
      <c r="A159" s="35"/>
      <c r="B159" s="34"/>
      <c r="C159" s="34"/>
      <c r="D159" s="34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</row>
    <row r="160" spans="1:17" ht="13.5" x14ac:dyDescent="0.25">
      <c r="A160" s="35"/>
      <c r="B160" s="34"/>
      <c r="C160" s="34"/>
      <c r="D160" s="34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</row>
    <row r="161" spans="1:17" ht="13.5" x14ac:dyDescent="0.25">
      <c r="A161" s="35"/>
      <c r="B161" s="34"/>
      <c r="C161" s="34"/>
      <c r="D161" s="34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</row>
    <row r="162" spans="1:17" ht="13.5" x14ac:dyDescent="0.25">
      <c r="A162" s="35"/>
      <c r="B162" s="34"/>
      <c r="C162" s="34"/>
      <c r="D162" s="34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</row>
    <row r="163" spans="1:17" ht="13.5" x14ac:dyDescent="0.25">
      <c r="A163" s="35"/>
      <c r="B163" s="34"/>
      <c r="C163" s="34"/>
      <c r="D163" s="34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</row>
    <row r="164" spans="1:17" ht="13.5" x14ac:dyDescent="0.25">
      <c r="A164" s="35"/>
      <c r="B164" s="34"/>
      <c r="C164" s="34"/>
      <c r="D164" s="34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</row>
    <row r="165" spans="1:17" ht="13.5" x14ac:dyDescent="0.25">
      <c r="A165" s="35"/>
      <c r="B165" s="34"/>
      <c r="C165" s="34"/>
      <c r="D165" s="34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</row>
    <row r="166" spans="1:17" ht="13.5" x14ac:dyDescent="0.25">
      <c r="A166" s="35"/>
      <c r="B166" s="34"/>
      <c r="C166" s="34"/>
      <c r="D166" s="34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</row>
    <row r="167" spans="1:17" ht="13.5" x14ac:dyDescent="0.25">
      <c r="A167" s="35"/>
      <c r="B167" s="34"/>
      <c r="C167" s="34"/>
      <c r="D167" s="34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</row>
    <row r="168" spans="1:17" ht="13.5" x14ac:dyDescent="0.25">
      <c r="A168" s="35"/>
      <c r="B168" s="34"/>
      <c r="C168" s="34"/>
      <c r="D168" s="34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</row>
    <row r="169" spans="1:17" ht="13.5" x14ac:dyDescent="0.25">
      <c r="A169" s="35"/>
      <c r="B169" s="34"/>
      <c r="C169" s="34"/>
      <c r="D169" s="34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</row>
    <row r="170" spans="1:17" ht="13.5" x14ac:dyDescent="0.25">
      <c r="A170" s="35"/>
      <c r="B170" s="34"/>
      <c r="C170" s="34"/>
      <c r="D170" s="34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</row>
    <row r="171" spans="1:17" ht="13.5" x14ac:dyDescent="0.25">
      <c r="A171" s="35"/>
      <c r="B171" s="34"/>
      <c r="C171" s="34"/>
      <c r="D171" s="34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</row>
    <row r="172" spans="1:17" ht="13.5" x14ac:dyDescent="0.25">
      <c r="A172" s="35"/>
      <c r="B172" s="34"/>
      <c r="C172" s="34"/>
      <c r="D172" s="34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</row>
    <row r="173" spans="1:17" ht="13.5" x14ac:dyDescent="0.25">
      <c r="A173" s="35"/>
      <c r="B173" s="34"/>
      <c r="C173" s="34"/>
      <c r="D173" s="34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</row>
    <row r="174" spans="1:17" ht="13.5" x14ac:dyDescent="0.25">
      <c r="A174" s="35"/>
      <c r="B174" s="34"/>
      <c r="C174" s="34"/>
      <c r="D174" s="34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</row>
    <row r="175" spans="1:17" ht="13.5" x14ac:dyDescent="0.25">
      <c r="A175" s="35"/>
      <c r="B175" s="34"/>
      <c r="C175" s="34"/>
      <c r="D175" s="34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</row>
    <row r="176" spans="1:17" ht="13.5" x14ac:dyDescent="0.25">
      <c r="A176" s="35"/>
      <c r="B176" s="34"/>
      <c r="C176" s="34"/>
      <c r="D176" s="34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</row>
    <row r="177" spans="1:17" ht="13.5" x14ac:dyDescent="0.25">
      <c r="A177" s="35"/>
      <c r="B177" s="34"/>
      <c r="C177" s="34"/>
      <c r="D177" s="34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</row>
    <row r="178" spans="1:17" ht="13.5" x14ac:dyDescent="0.25">
      <c r="A178" s="35"/>
      <c r="B178" s="34"/>
      <c r="C178" s="34"/>
      <c r="D178" s="34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</row>
    <row r="179" spans="1:17" ht="13.5" x14ac:dyDescent="0.25">
      <c r="A179" s="35"/>
      <c r="B179" s="34"/>
      <c r="C179" s="34"/>
      <c r="D179" s="34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</row>
    <row r="180" spans="1:17" ht="13.5" x14ac:dyDescent="0.25">
      <c r="A180" s="35"/>
      <c r="B180" s="34"/>
      <c r="C180" s="34"/>
      <c r="D180" s="34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</row>
    <row r="181" spans="1:17" ht="13.5" x14ac:dyDescent="0.25">
      <c r="A181" s="35"/>
      <c r="B181" s="34"/>
      <c r="C181" s="34"/>
      <c r="D181" s="34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</row>
    <row r="182" spans="1:17" ht="13.5" x14ac:dyDescent="0.25">
      <c r="A182" s="35"/>
      <c r="B182" s="34"/>
      <c r="C182" s="34"/>
      <c r="D182" s="34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</row>
    <row r="183" spans="1:17" ht="13.5" x14ac:dyDescent="0.25">
      <c r="A183" s="35"/>
      <c r="B183" s="34"/>
      <c r="C183" s="34"/>
      <c r="D183" s="34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</row>
    <row r="184" spans="1:17" ht="13.5" x14ac:dyDescent="0.25">
      <c r="A184" s="35"/>
      <c r="B184" s="34"/>
      <c r="C184" s="34"/>
      <c r="D184" s="34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</row>
    <row r="185" spans="1:17" ht="13.5" x14ac:dyDescent="0.25">
      <c r="A185" s="35"/>
      <c r="B185" s="34"/>
      <c r="C185" s="34"/>
      <c r="D185" s="34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</row>
    <row r="186" spans="1:17" ht="13.5" x14ac:dyDescent="0.25">
      <c r="A186" s="35"/>
      <c r="B186" s="34"/>
      <c r="C186" s="34"/>
      <c r="D186" s="34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</row>
    <row r="187" spans="1:17" ht="13.5" x14ac:dyDescent="0.25">
      <c r="A187" s="35"/>
      <c r="B187" s="34"/>
      <c r="C187" s="34"/>
      <c r="D187" s="34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</row>
    <row r="188" spans="1:17" ht="15" x14ac:dyDescent="0.3">
      <c r="A188" s="26"/>
      <c r="B188" s="30"/>
      <c r="C188" s="30"/>
      <c r="D188" s="30"/>
      <c r="E188" s="26"/>
      <c r="F188" s="26"/>
      <c r="G188" s="26"/>
      <c r="H188" s="26"/>
      <c r="I188" s="26"/>
    </row>
    <row r="189" spans="1:17" ht="15" x14ac:dyDescent="0.3">
      <c r="A189" s="26"/>
      <c r="B189" s="30"/>
      <c r="C189" s="30"/>
      <c r="D189" s="30"/>
      <c r="E189" s="26"/>
      <c r="F189" s="26"/>
      <c r="G189" s="26"/>
      <c r="H189" s="26"/>
      <c r="I189" s="26"/>
    </row>
    <row r="190" spans="1:17" ht="15" x14ac:dyDescent="0.3">
      <c r="A190" s="26"/>
      <c r="B190" s="30"/>
      <c r="C190" s="30"/>
      <c r="D190" s="30"/>
      <c r="E190" s="26"/>
      <c r="F190" s="26"/>
      <c r="G190" s="26"/>
      <c r="H190" s="26"/>
      <c r="I190" s="26"/>
    </row>
    <row r="191" spans="1:17" ht="15" x14ac:dyDescent="0.3">
      <c r="A191" s="26"/>
      <c r="B191" s="30"/>
      <c r="C191" s="30"/>
      <c r="D191" s="30"/>
      <c r="E191" s="26"/>
      <c r="F191" s="26"/>
      <c r="G191" s="26"/>
      <c r="H191" s="26"/>
      <c r="I191" s="26"/>
    </row>
    <row r="192" spans="1:17" ht="15" x14ac:dyDescent="0.3">
      <c r="A192" s="26"/>
      <c r="B192" s="30"/>
      <c r="C192" s="30"/>
      <c r="D192" s="30"/>
      <c r="E192" s="26"/>
      <c r="F192" s="26"/>
      <c r="G192" s="26"/>
      <c r="H192" s="26"/>
      <c r="I192" s="26"/>
    </row>
    <row r="193" spans="1:9" ht="15" x14ac:dyDescent="0.3">
      <c r="A193" s="26"/>
      <c r="B193" s="30"/>
      <c r="C193" s="30"/>
      <c r="D193" s="30"/>
      <c r="E193" s="26"/>
      <c r="F193" s="26"/>
      <c r="G193" s="26"/>
      <c r="H193" s="26"/>
      <c r="I193" s="26"/>
    </row>
    <row r="194" spans="1:9" ht="15" x14ac:dyDescent="0.3">
      <c r="A194" s="26"/>
      <c r="B194" s="30"/>
      <c r="C194" s="30"/>
      <c r="D194" s="30"/>
      <c r="E194" s="26"/>
      <c r="F194" s="26"/>
      <c r="G194" s="26"/>
      <c r="H194" s="26"/>
      <c r="I194" s="26"/>
    </row>
    <row r="195" spans="1:9" ht="15" x14ac:dyDescent="0.3">
      <c r="A195" s="26"/>
      <c r="B195" s="30"/>
      <c r="C195" s="30"/>
      <c r="D195" s="30"/>
      <c r="E195" s="26"/>
      <c r="F195" s="26"/>
      <c r="G195" s="26"/>
      <c r="H195" s="26"/>
      <c r="I195" s="26"/>
    </row>
    <row r="196" spans="1:9" ht="15" x14ac:dyDescent="0.3">
      <c r="A196" s="26"/>
      <c r="B196" s="30"/>
      <c r="C196" s="30"/>
      <c r="D196" s="30"/>
      <c r="E196" s="26"/>
      <c r="F196" s="26"/>
      <c r="G196" s="26"/>
      <c r="H196" s="26"/>
      <c r="I196" s="26"/>
    </row>
    <row r="197" spans="1:9" ht="15" x14ac:dyDescent="0.3">
      <c r="A197" s="26"/>
      <c r="B197" s="30"/>
      <c r="C197" s="30"/>
      <c r="D197" s="30"/>
      <c r="E197" s="26"/>
      <c r="F197" s="26"/>
      <c r="G197" s="26"/>
      <c r="H197" s="26"/>
      <c r="I197" s="26"/>
    </row>
    <row r="198" spans="1:9" ht="15" x14ac:dyDescent="0.3">
      <c r="A198" s="26"/>
      <c r="B198" s="30"/>
      <c r="C198" s="30"/>
      <c r="D198" s="30"/>
      <c r="E198" s="26"/>
      <c r="F198" s="26"/>
      <c r="G198" s="26"/>
      <c r="H198" s="26"/>
      <c r="I198" s="26"/>
    </row>
    <row r="199" spans="1:9" ht="15" x14ac:dyDescent="0.3">
      <c r="A199" s="26"/>
      <c r="B199" s="30"/>
      <c r="C199" s="30"/>
      <c r="D199" s="30"/>
      <c r="E199" s="26"/>
      <c r="F199" s="26"/>
      <c r="G199" s="26"/>
      <c r="H199" s="26"/>
      <c r="I199" s="26"/>
    </row>
    <row r="200" spans="1:9" ht="15" x14ac:dyDescent="0.3">
      <c r="A200" s="26"/>
      <c r="B200" s="30"/>
      <c r="C200" s="30"/>
      <c r="D200" s="30"/>
      <c r="E200" s="26"/>
      <c r="F200" s="26"/>
      <c r="G200" s="26"/>
      <c r="H200" s="26"/>
      <c r="I200" s="26"/>
    </row>
    <row r="201" spans="1:9" ht="15" x14ac:dyDescent="0.3">
      <c r="A201" s="26"/>
      <c r="B201" s="30"/>
      <c r="C201" s="30"/>
      <c r="D201" s="30"/>
      <c r="E201" s="26"/>
      <c r="F201" s="26"/>
      <c r="G201" s="26"/>
      <c r="H201" s="26"/>
      <c r="I201" s="26"/>
    </row>
    <row r="202" spans="1:9" ht="15" x14ac:dyDescent="0.3">
      <c r="A202" s="26"/>
      <c r="B202" s="30"/>
      <c r="C202" s="30"/>
      <c r="D202" s="30"/>
      <c r="E202" s="26"/>
      <c r="F202" s="26"/>
      <c r="G202" s="26"/>
      <c r="H202" s="26"/>
      <c r="I202" s="26"/>
    </row>
    <row r="203" spans="1:9" ht="15" x14ac:dyDescent="0.3">
      <c r="A203" s="26"/>
      <c r="B203" s="30"/>
      <c r="C203" s="30"/>
      <c r="D203" s="30"/>
      <c r="E203" s="26"/>
      <c r="F203" s="26"/>
      <c r="G203" s="26"/>
      <c r="H203" s="26"/>
      <c r="I203" s="26"/>
    </row>
    <row r="204" spans="1:9" ht="15" x14ac:dyDescent="0.3">
      <c r="A204" s="26"/>
      <c r="B204" s="30"/>
      <c r="C204" s="30"/>
      <c r="D204" s="30"/>
      <c r="E204" s="26"/>
      <c r="F204" s="26"/>
      <c r="G204" s="26"/>
      <c r="H204" s="26"/>
      <c r="I204" s="26"/>
    </row>
    <row r="205" spans="1:9" ht="15" x14ac:dyDescent="0.3">
      <c r="A205" s="26"/>
      <c r="B205" s="30"/>
      <c r="C205" s="30"/>
      <c r="D205" s="30"/>
      <c r="E205" s="26"/>
      <c r="F205" s="26"/>
      <c r="G205" s="26"/>
      <c r="H205" s="26"/>
      <c r="I205" s="26"/>
    </row>
    <row r="206" spans="1:9" ht="15" x14ac:dyDescent="0.3">
      <c r="A206" s="26"/>
      <c r="B206" s="30"/>
      <c r="C206" s="30"/>
      <c r="D206" s="30"/>
      <c r="E206" s="26"/>
      <c r="F206" s="26"/>
      <c r="G206" s="26"/>
      <c r="H206" s="26"/>
      <c r="I206" s="26"/>
    </row>
    <row r="207" spans="1:9" ht="15" x14ac:dyDescent="0.3">
      <c r="A207" s="26"/>
      <c r="B207" s="30"/>
      <c r="C207" s="30"/>
      <c r="D207" s="30"/>
      <c r="E207" s="26"/>
      <c r="F207" s="26"/>
      <c r="G207" s="26"/>
      <c r="H207" s="26"/>
      <c r="I207" s="26"/>
    </row>
    <row r="208" spans="1:9" ht="15" x14ac:dyDescent="0.3">
      <c r="A208" s="26"/>
      <c r="B208" s="30"/>
      <c r="C208" s="30"/>
      <c r="D208" s="30"/>
      <c r="E208" s="26"/>
      <c r="F208" s="26"/>
      <c r="G208" s="26"/>
      <c r="H208" s="26"/>
      <c r="I208" s="26"/>
    </row>
    <row r="209" spans="1:9" ht="15" x14ac:dyDescent="0.3">
      <c r="A209" s="26"/>
      <c r="B209" s="30"/>
      <c r="C209" s="30"/>
      <c r="D209" s="30"/>
      <c r="E209" s="26"/>
      <c r="F209" s="26"/>
      <c r="G209" s="26"/>
      <c r="H209" s="26"/>
      <c r="I209" s="26"/>
    </row>
    <row r="210" spans="1:9" ht="15" x14ac:dyDescent="0.3">
      <c r="A210" s="26"/>
      <c r="B210" s="30"/>
      <c r="C210" s="30"/>
      <c r="D210" s="30"/>
      <c r="E210" s="26"/>
      <c r="F210" s="26"/>
      <c r="G210" s="26"/>
      <c r="H210" s="26"/>
      <c r="I210" s="26"/>
    </row>
    <row r="211" spans="1:9" ht="15" x14ac:dyDescent="0.3">
      <c r="A211" s="26"/>
      <c r="B211" s="30"/>
      <c r="C211" s="30"/>
      <c r="D211" s="30"/>
      <c r="E211" s="26"/>
      <c r="F211" s="26"/>
      <c r="G211" s="26"/>
      <c r="H211" s="26"/>
      <c r="I211" s="26"/>
    </row>
    <row r="212" spans="1:9" ht="15" x14ac:dyDescent="0.3">
      <c r="A212" s="26"/>
      <c r="B212" s="30"/>
      <c r="C212" s="30"/>
      <c r="D212" s="30"/>
      <c r="E212" s="26"/>
      <c r="F212" s="26"/>
      <c r="G212" s="26"/>
      <c r="H212" s="26"/>
      <c r="I212" s="26"/>
    </row>
    <row r="213" spans="1:9" ht="15" x14ac:dyDescent="0.3">
      <c r="A213" s="26"/>
      <c r="B213" s="30"/>
      <c r="C213" s="30"/>
      <c r="D213" s="30"/>
      <c r="E213" s="26"/>
      <c r="F213" s="26"/>
      <c r="G213" s="26"/>
      <c r="H213" s="26"/>
      <c r="I213" s="26"/>
    </row>
    <row r="214" spans="1:9" ht="15" x14ac:dyDescent="0.3">
      <c r="A214" s="26"/>
      <c r="B214" s="29"/>
      <c r="C214" s="29"/>
      <c r="D214" s="29"/>
      <c r="E214" s="26"/>
      <c r="F214" s="26"/>
      <c r="G214" s="26"/>
      <c r="H214" s="26"/>
      <c r="I214" s="26"/>
    </row>
    <row r="215" spans="1:9" ht="15" x14ac:dyDescent="0.3">
      <c r="A215" s="26"/>
      <c r="B215" s="29"/>
      <c r="C215" s="29"/>
      <c r="D215" s="29"/>
      <c r="E215" s="26"/>
      <c r="F215" s="26"/>
      <c r="G215" s="26"/>
      <c r="H215" s="26"/>
      <c r="I215" s="26"/>
    </row>
    <row r="216" spans="1:9" ht="15" x14ac:dyDescent="0.3">
      <c r="A216" s="26"/>
      <c r="B216" s="29"/>
      <c r="C216" s="29"/>
      <c r="D216" s="29"/>
      <c r="E216" s="26"/>
      <c r="F216" s="26"/>
      <c r="G216" s="26"/>
      <c r="H216" s="26"/>
      <c r="I216" s="26"/>
    </row>
    <row r="217" spans="1:9" ht="15" x14ac:dyDescent="0.3">
      <c r="A217" s="26"/>
      <c r="B217" s="29"/>
      <c r="C217" s="29"/>
      <c r="D217" s="29"/>
      <c r="E217" s="26"/>
      <c r="F217" s="26"/>
      <c r="G217" s="26"/>
      <c r="H217" s="26"/>
      <c r="I217" s="26"/>
    </row>
    <row r="218" spans="1:9" ht="15" x14ac:dyDescent="0.3">
      <c r="A218" s="26"/>
      <c r="B218" s="29"/>
      <c r="C218" s="29"/>
      <c r="D218" s="29"/>
      <c r="E218" s="26"/>
      <c r="F218" s="26"/>
      <c r="G218" s="26"/>
      <c r="H218" s="26"/>
      <c r="I218" s="26"/>
    </row>
    <row r="219" spans="1:9" ht="15" x14ac:dyDescent="0.3">
      <c r="A219" s="26"/>
      <c r="B219" s="29"/>
      <c r="C219" s="29"/>
      <c r="D219" s="29"/>
      <c r="E219" s="26"/>
      <c r="F219" s="26"/>
      <c r="G219" s="26"/>
      <c r="H219" s="26"/>
      <c r="I219" s="26"/>
    </row>
    <row r="220" spans="1:9" ht="15" x14ac:dyDescent="0.3">
      <c r="A220" s="26"/>
      <c r="B220" s="29"/>
      <c r="C220" s="29"/>
      <c r="D220" s="29"/>
      <c r="E220" s="26"/>
      <c r="F220" s="26"/>
      <c r="G220" s="26"/>
      <c r="H220" s="26"/>
      <c r="I220" s="26"/>
    </row>
    <row r="221" spans="1:9" ht="15" x14ac:dyDescent="0.3">
      <c r="A221" s="26"/>
      <c r="B221" s="29"/>
      <c r="C221" s="29"/>
      <c r="D221" s="29"/>
      <c r="E221" s="26"/>
      <c r="F221" s="26"/>
      <c r="G221" s="26"/>
      <c r="H221" s="26"/>
      <c r="I221" s="26"/>
    </row>
    <row r="222" spans="1:9" ht="15" x14ac:dyDescent="0.3">
      <c r="A222" s="26"/>
      <c r="B222" s="29"/>
      <c r="C222" s="29"/>
      <c r="D222" s="29"/>
      <c r="E222" s="26"/>
      <c r="F222" s="26"/>
      <c r="G222" s="26"/>
      <c r="H222" s="26"/>
      <c r="I222" s="26"/>
    </row>
    <row r="223" spans="1:9" ht="15" x14ac:dyDescent="0.3">
      <c r="A223" s="26"/>
      <c r="B223" s="29"/>
      <c r="C223" s="29"/>
      <c r="D223" s="29"/>
      <c r="E223" s="26"/>
      <c r="F223" s="26"/>
      <c r="G223" s="26"/>
      <c r="H223" s="26"/>
      <c r="I223" s="26"/>
    </row>
    <row r="224" spans="1:9" ht="15" x14ac:dyDescent="0.3">
      <c r="A224" s="26"/>
      <c r="B224" s="29"/>
      <c r="C224" s="29"/>
      <c r="D224" s="29"/>
      <c r="E224" s="26"/>
      <c r="F224" s="26"/>
      <c r="G224" s="26"/>
      <c r="H224" s="26"/>
      <c r="I224" s="26"/>
    </row>
    <row r="225" spans="1:9" ht="15" x14ac:dyDescent="0.3">
      <c r="A225" s="26"/>
      <c r="B225" s="29"/>
      <c r="C225" s="29"/>
      <c r="D225" s="29"/>
      <c r="E225" s="26"/>
      <c r="F225" s="26"/>
      <c r="G225" s="26"/>
      <c r="H225" s="26"/>
      <c r="I225" s="26"/>
    </row>
    <row r="226" spans="1:9" ht="15" x14ac:dyDescent="0.3">
      <c r="A226" s="26"/>
      <c r="B226" s="29"/>
      <c r="C226" s="29"/>
      <c r="D226" s="29"/>
      <c r="E226" s="26"/>
      <c r="F226" s="26"/>
      <c r="G226" s="26"/>
      <c r="H226" s="26"/>
      <c r="I226" s="26"/>
    </row>
    <row r="227" spans="1:9" ht="15" x14ac:dyDescent="0.3">
      <c r="A227" s="26"/>
      <c r="B227" s="29"/>
      <c r="C227" s="29"/>
      <c r="D227" s="29"/>
      <c r="E227" s="26"/>
      <c r="F227" s="26"/>
      <c r="G227" s="26"/>
      <c r="H227" s="26"/>
      <c r="I227" s="26"/>
    </row>
    <row r="228" spans="1:9" ht="15" x14ac:dyDescent="0.3">
      <c r="A228" s="26"/>
      <c r="B228" s="29"/>
      <c r="C228" s="29"/>
      <c r="D228" s="29"/>
      <c r="E228" s="26"/>
      <c r="F228" s="26"/>
      <c r="G228" s="26"/>
      <c r="H228" s="26"/>
      <c r="I228" s="26"/>
    </row>
    <row r="229" spans="1:9" ht="15" x14ac:dyDescent="0.3">
      <c r="A229" s="26"/>
      <c r="B229" s="29"/>
      <c r="C229" s="29"/>
      <c r="D229" s="29"/>
      <c r="E229" s="26"/>
      <c r="F229" s="26"/>
      <c r="G229" s="26"/>
      <c r="H229" s="26"/>
      <c r="I229" s="26"/>
    </row>
    <row r="230" spans="1:9" ht="15" x14ac:dyDescent="0.3">
      <c r="A230" s="26"/>
      <c r="B230" s="29"/>
      <c r="C230" s="29"/>
      <c r="D230" s="29"/>
      <c r="E230" s="26"/>
      <c r="F230" s="26"/>
      <c r="G230" s="26"/>
      <c r="H230" s="26"/>
      <c r="I230" s="26"/>
    </row>
    <row r="231" spans="1:9" ht="15" x14ac:dyDescent="0.3">
      <c r="A231" s="26"/>
      <c r="B231" s="29"/>
      <c r="C231" s="29"/>
      <c r="D231" s="29"/>
      <c r="E231" s="26"/>
      <c r="F231" s="26"/>
      <c r="G231" s="26"/>
      <c r="H231" s="26"/>
      <c r="I231" s="26"/>
    </row>
    <row r="232" spans="1:9" ht="15" x14ac:dyDescent="0.3">
      <c r="A232" s="26"/>
      <c r="B232" s="29"/>
      <c r="C232" s="29"/>
      <c r="D232" s="29"/>
      <c r="E232" s="26"/>
      <c r="F232" s="26"/>
      <c r="G232" s="26"/>
      <c r="H232" s="26"/>
      <c r="I232" s="26"/>
    </row>
    <row r="233" spans="1:9" ht="15" x14ac:dyDescent="0.3">
      <c r="A233" s="26"/>
      <c r="B233" s="29"/>
      <c r="C233" s="29"/>
      <c r="D233" s="29"/>
      <c r="E233" s="26"/>
      <c r="F233" s="26"/>
      <c r="G233" s="26"/>
      <c r="H233" s="26"/>
      <c r="I233" s="26"/>
    </row>
    <row r="234" spans="1:9" ht="15" x14ac:dyDescent="0.3">
      <c r="A234" s="26"/>
      <c r="B234" s="29"/>
      <c r="C234" s="29"/>
      <c r="D234" s="29"/>
      <c r="E234" s="26"/>
      <c r="F234" s="26"/>
      <c r="G234" s="26"/>
      <c r="H234" s="26"/>
      <c r="I234" s="26"/>
    </row>
    <row r="235" spans="1:9" ht="15" x14ac:dyDescent="0.3">
      <c r="A235" s="26"/>
      <c r="B235" s="29"/>
      <c r="C235" s="29"/>
      <c r="D235" s="29"/>
      <c r="E235" s="26"/>
      <c r="F235" s="26"/>
      <c r="G235" s="26"/>
      <c r="H235" s="26"/>
      <c r="I235" s="26"/>
    </row>
    <row r="236" spans="1:9" ht="15" x14ac:dyDescent="0.3">
      <c r="A236" s="26"/>
      <c r="B236" s="29"/>
      <c r="C236" s="29"/>
      <c r="D236" s="29"/>
      <c r="E236" s="26"/>
      <c r="F236" s="26"/>
      <c r="G236" s="26"/>
      <c r="H236" s="26"/>
      <c r="I236" s="26"/>
    </row>
    <row r="237" spans="1:9" ht="15" x14ac:dyDescent="0.3">
      <c r="A237" s="26"/>
      <c r="B237" s="26"/>
      <c r="C237" s="26"/>
      <c r="D237" s="26"/>
      <c r="E237" s="26"/>
      <c r="F237" s="26"/>
      <c r="G237" s="26"/>
      <c r="H237" s="26"/>
      <c r="I237" s="26"/>
    </row>
    <row r="238" spans="1:9" ht="15" x14ac:dyDescent="0.3">
      <c r="A238" s="26"/>
      <c r="B238" s="26"/>
      <c r="C238" s="26"/>
      <c r="D238" s="26"/>
      <c r="E238" s="26"/>
      <c r="F238" s="26"/>
      <c r="G238" s="26"/>
      <c r="H238" s="26"/>
      <c r="I238" s="26"/>
    </row>
    <row r="239" spans="1:9" ht="15" x14ac:dyDescent="0.3">
      <c r="A239" s="26"/>
      <c r="B239" s="26"/>
      <c r="C239" s="26"/>
      <c r="D239" s="26"/>
      <c r="E239" s="26"/>
      <c r="F239" s="26"/>
      <c r="G239" s="26"/>
      <c r="H239" s="26"/>
      <c r="I239" s="26"/>
    </row>
    <row r="240" spans="1:9" ht="15" x14ac:dyDescent="0.3">
      <c r="A240" s="26"/>
      <c r="B240" s="26"/>
      <c r="C240" s="26"/>
      <c r="D240" s="26"/>
      <c r="E240" s="26"/>
      <c r="F240" s="26"/>
      <c r="G240" s="26"/>
      <c r="H240" s="26"/>
      <c r="I240" s="26"/>
    </row>
    <row r="241" spans="1:9" ht="15" x14ac:dyDescent="0.3">
      <c r="A241" s="26"/>
      <c r="B241" s="26"/>
      <c r="C241" s="26"/>
      <c r="D241" s="26"/>
      <c r="E241" s="26"/>
      <c r="F241" s="26"/>
      <c r="G241" s="26"/>
      <c r="H241" s="26"/>
      <c r="I241" s="26"/>
    </row>
    <row r="242" spans="1:9" ht="15" x14ac:dyDescent="0.3">
      <c r="A242" s="26"/>
      <c r="B242" s="26"/>
      <c r="C242" s="26"/>
      <c r="D242" s="26"/>
      <c r="E242" s="26"/>
      <c r="F242" s="26"/>
      <c r="G242" s="26"/>
      <c r="H242" s="26"/>
      <c r="I242" s="26"/>
    </row>
    <row r="243" spans="1:9" ht="15" x14ac:dyDescent="0.3">
      <c r="A243" s="26"/>
      <c r="B243" s="26"/>
      <c r="C243" s="26"/>
      <c r="D243" s="26"/>
      <c r="E243" s="26"/>
      <c r="F243" s="26"/>
      <c r="G243" s="26"/>
      <c r="H243" s="26"/>
      <c r="I243" s="26"/>
    </row>
    <row r="244" spans="1:9" ht="15" x14ac:dyDescent="0.3">
      <c r="A244" s="26"/>
      <c r="B244" s="26"/>
      <c r="C244" s="26"/>
      <c r="D244" s="26"/>
      <c r="E244" s="26"/>
      <c r="F244" s="26"/>
      <c r="G244" s="26"/>
      <c r="H244" s="26"/>
      <c r="I244" s="26"/>
    </row>
    <row r="245" spans="1:9" ht="15" x14ac:dyDescent="0.3">
      <c r="A245" s="26"/>
      <c r="B245" s="26"/>
      <c r="C245" s="26"/>
      <c r="D245" s="26"/>
      <c r="E245" s="26"/>
      <c r="F245" s="26"/>
      <c r="G245" s="26"/>
      <c r="H245" s="26"/>
      <c r="I245" s="26"/>
    </row>
    <row r="246" spans="1:9" ht="15" x14ac:dyDescent="0.3">
      <c r="A246" s="26"/>
      <c r="B246" s="26"/>
      <c r="C246" s="26"/>
      <c r="D246" s="26"/>
      <c r="E246" s="26"/>
      <c r="F246" s="26"/>
      <c r="G246" s="26"/>
      <c r="H246" s="26"/>
      <c r="I246" s="26"/>
    </row>
    <row r="247" spans="1:9" ht="15" x14ac:dyDescent="0.3">
      <c r="A247" s="26"/>
      <c r="B247" s="26"/>
      <c r="C247" s="26"/>
      <c r="D247" s="26"/>
      <c r="E247" s="26"/>
      <c r="F247" s="26"/>
      <c r="G247" s="26"/>
      <c r="H247" s="26"/>
      <c r="I247" s="26"/>
    </row>
    <row r="248" spans="1:9" ht="15" x14ac:dyDescent="0.3">
      <c r="A248" s="26"/>
      <c r="B248" s="26"/>
      <c r="C248" s="26"/>
      <c r="D248" s="26"/>
      <c r="E248" s="26"/>
      <c r="F248" s="26"/>
      <c r="G248" s="26"/>
      <c r="H248" s="26"/>
      <c r="I248" s="26"/>
    </row>
    <row r="249" spans="1:9" ht="15" x14ac:dyDescent="0.3">
      <c r="A249" s="26"/>
      <c r="B249" s="26"/>
      <c r="C249" s="26"/>
      <c r="D249" s="26"/>
      <c r="E249" s="26"/>
      <c r="F249" s="26"/>
      <c r="G249" s="26"/>
      <c r="H249" s="26"/>
      <c r="I249" s="26"/>
    </row>
    <row r="250" spans="1:9" ht="15" x14ac:dyDescent="0.3">
      <c r="A250" s="26"/>
      <c r="B250" s="26"/>
      <c r="C250" s="26"/>
      <c r="D250" s="26"/>
      <c r="E250" s="26"/>
      <c r="F250" s="26"/>
      <c r="G250" s="26"/>
      <c r="H250" s="26"/>
      <c r="I250" s="26"/>
    </row>
    <row r="251" spans="1:9" ht="15" x14ac:dyDescent="0.3">
      <c r="A251" s="26"/>
      <c r="B251" s="26"/>
      <c r="C251" s="26"/>
      <c r="D251" s="26"/>
      <c r="E251" s="26"/>
      <c r="F251" s="26"/>
      <c r="G251" s="26"/>
      <c r="H251" s="26"/>
      <c r="I251" s="26"/>
    </row>
    <row r="252" spans="1:9" ht="15" x14ac:dyDescent="0.3">
      <c r="A252" s="26"/>
      <c r="B252" s="26"/>
      <c r="C252" s="26"/>
      <c r="D252" s="26"/>
      <c r="E252" s="26"/>
      <c r="F252" s="26"/>
      <c r="G252" s="26"/>
      <c r="H252" s="26"/>
      <c r="I252" s="26"/>
    </row>
    <row r="253" spans="1:9" ht="15" x14ac:dyDescent="0.3">
      <c r="A253" s="26"/>
      <c r="B253" s="26"/>
      <c r="C253" s="26"/>
      <c r="D253" s="26"/>
      <c r="E253" s="26"/>
      <c r="F253" s="26"/>
      <c r="G253" s="26"/>
      <c r="H253" s="26"/>
      <c r="I253" s="26"/>
    </row>
    <row r="254" spans="1:9" ht="15" x14ac:dyDescent="0.3">
      <c r="A254" s="26"/>
      <c r="B254" s="26"/>
      <c r="C254" s="26"/>
      <c r="D254" s="26"/>
      <c r="E254" s="26"/>
      <c r="F254" s="26"/>
      <c r="G254" s="26"/>
      <c r="H254" s="26"/>
      <c r="I254" s="26"/>
    </row>
    <row r="255" spans="1:9" ht="15" x14ac:dyDescent="0.3">
      <c r="A255" s="26"/>
      <c r="B255" s="26"/>
      <c r="C255" s="26"/>
      <c r="D255" s="26"/>
      <c r="E255" s="26"/>
      <c r="F255" s="26"/>
      <c r="G255" s="26"/>
      <c r="H255" s="26"/>
      <c r="I255" s="26"/>
    </row>
    <row r="256" spans="1:9" ht="15" x14ac:dyDescent="0.3">
      <c r="A256" s="26"/>
      <c r="B256" s="26"/>
      <c r="C256" s="26"/>
      <c r="D256" s="26"/>
      <c r="E256" s="26"/>
      <c r="F256" s="26"/>
      <c r="G256" s="26"/>
      <c r="H256" s="26"/>
      <c r="I256" s="26"/>
    </row>
    <row r="257" spans="1:9" ht="15" x14ac:dyDescent="0.3">
      <c r="A257" s="26"/>
      <c r="B257" s="26"/>
      <c r="C257" s="26"/>
      <c r="D257" s="26"/>
      <c r="E257" s="26"/>
      <c r="F257" s="26"/>
      <c r="G257" s="26"/>
      <c r="H257" s="26"/>
      <c r="I257" s="26"/>
    </row>
    <row r="258" spans="1:9" ht="15" x14ac:dyDescent="0.3">
      <c r="A258" s="26"/>
      <c r="B258" s="26"/>
      <c r="C258" s="26"/>
      <c r="D258" s="26"/>
      <c r="E258" s="26"/>
      <c r="F258" s="26"/>
      <c r="G258" s="26"/>
      <c r="H258" s="26"/>
      <c r="I258" s="26"/>
    </row>
    <row r="259" spans="1:9" ht="15" x14ac:dyDescent="0.3">
      <c r="A259" s="26"/>
      <c r="B259" s="26"/>
      <c r="C259" s="26"/>
      <c r="D259" s="26"/>
      <c r="E259" s="26"/>
      <c r="F259" s="26"/>
      <c r="G259" s="26"/>
      <c r="H259" s="26"/>
      <c r="I259" s="26"/>
    </row>
    <row r="260" spans="1:9" ht="15" x14ac:dyDescent="0.3">
      <c r="A260" s="26"/>
      <c r="B260" s="26"/>
      <c r="C260" s="26"/>
      <c r="D260" s="26"/>
      <c r="E260" s="26"/>
      <c r="F260" s="26"/>
      <c r="G260" s="26"/>
      <c r="H260" s="26"/>
      <c r="I260" s="26"/>
    </row>
    <row r="261" spans="1:9" ht="15" x14ac:dyDescent="0.3">
      <c r="A261" s="26"/>
      <c r="B261" s="26"/>
      <c r="C261" s="26"/>
      <c r="D261" s="26"/>
      <c r="E261" s="26"/>
      <c r="F261" s="26"/>
      <c r="G261" s="26"/>
      <c r="H261" s="26"/>
      <c r="I261" s="26"/>
    </row>
    <row r="262" spans="1:9" ht="15" x14ac:dyDescent="0.3">
      <c r="A262" s="26"/>
      <c r="B262" s="26"/>
      <c r="C262" s="26"/>
      <c r="D262" s="26"/>
      <c r="E262" s="26"/>
      <c r="F262" s="26"/>
      <c r="G262" s="26"/>
      <c r="H262" s="26"/>
      <c r="I262" s="26"/>
    </row>
    <row r="263" spans="1:9" ht="15" x14ac:dyDescent="0.3">
      <c r="A263" s="26"/>
      <c r="B263" s="26"/>
      <c r="C263" s="26"/>
      <c r="D263" s="26"/>
      <c r="E263" s="26"/>
      <c r="F263" s="26"/>
      <c r="G263" s="26"/>
      <c r="H263" s="26"/>
      <c r="I263" s="26"/>
    </row>
    <row r="264" spans="1:9" ht="15" x14ac:dyDescent="0.3">
      <c r="A264" s="26"/>
      <c r="B264" s="26"/>
      <c r="C264" s="26"/>
      <c r="D264" s="26"/>
      <c r="E264" s="26"/>
      <c r="F264" s="26"/>
      <c r="G264" s="26"/>
      <c r="H264" s="26"/>
      <c r="I264" s="26"/>
    </row>
    <row r="265" spans="1:9" ht="15" x14ac:dyDescent="0.3">
      <c r="A265" s="26"/>
      <c r="B265" s="26"/>
      <c r="C265" s="26"/>
      <c r="D265" s="26"/>
      <c r="E265" s="26"/>
      <c r="F265" s="26"/>
      <c r="G265" s="26"/>
      <c r="H265" s="26"/>
      <c r="I265" s="26"/>
    </row>
    <row r="266" spans="1:9" ht="15" x14ac:dyDescent="0.3">
      <c r="A266" s="26"/>
      <c r="B266" s="26"/>
      <c r="C266" s="26"/>
      <c r="D266" s="26"/>
      <c r="E266" s="26"/>
      <c r="F266" s="26"/>
      <c r="G266" s="26"/>
      <c r="H266" s="26"/>
      <c r="I266" s="26"/>
    </row>
    <row r="267" spans="1:9" ht="15" x14ac:dyDescent="0.3">
      <c r="A267" s="26"/>
      <c r="B267" s="26"/>
      <c r="C267" s="26"/>
      <c r="D267" s="26"/>
      <c r="E267" s="26"/>
      <c r="F267" s="26"/>
      <c r="G267" s="26"/>
      <c r="H267" s="26"/>
      <c r="I267" s="26"/>
    </row>
    <row r="268" spans="1:9" ht="15" x14ac:dyDescent="0.3">
      <c r="A268" s="26"/>
      <c r="B268" s="26"/>
      <c r="C268" s="26"/>
      <c r="D268" s="26"/>
      <c r="E268" s="26"/>
      <c r="F268" s="26"/>
      <c r="G268" s="26"/>
      <c r="H268" s="26"/>
      <c r="I268" s="26"/>
    </row>
    <row r="269" spans="1:9" ht="15" x14ac:dyDescent="0.3">
      <c r="A269" s="26"/>
      <c r="B269" s="26"/>
      <c r="C269" s="26"/>
      <c r="D269" s="26"/>
      <c r="E269" s="26"/>
      <c r="F269" s="26"/>
      <c r="G269" s="26"/>
      <c r="H269" s="26"/>
      <c r="I269" s="26"/>
    </row>
    <row r="270" spans="1:9" ht="15" x14ac:dyDescent="0.3">
      <c r="A270" s="26"/>
      <c r="B270" s="26"/>
      <c r="C270" s="26"/>
      <c r="D270" s="26"/>
      <c r="E270" s="26"/>
      <c r="F270" s="26"/>
      <c r="G270" s="26"/>
      <c r="H270" s="26"/>
      <c r="I270" s="26"/>
    </row>
    <row r="271" spans="1:9" ht="15" x14ac:dyDescent="0.3">
      <c r="A271" s="26"/>
      <c r="B271" s="26"/>
      <c r="C271" s="26"/>
      <c r="D271" s="26"/>
      <c r="E271" s="26"/>
      <c r="F271" s="26"/>
      <c r="G271" s="26"/>
      <c r="H271" s="26"/>
      <c r="I271" s="26"/>
    </row>
    <row r="272" spans="1:9" ht="15" x14ac:dyDescent="0.3">
      <c r="A272" s="26"/>
      <c r="B272" s="26"/>
      <c r="C272" s="26"/>
      <c r="D272" s="26"/>
      <c r="E272" s="26"/>
      <c r="F272" s="26"/>
      <c r="G272" s="26"/>
      <c r="H272" s="26"/>
      <c r="I272" s="26"/>
    </row>
    <row r="273" spans="1:9" ht="15" x14ac:dyDescent="0.3">
      <c r="A273" s="26"/>
      <c r="B273" s="26"/>
      <c r="C273" s="26"/>
      <c r="D273" s="26"/>
      <c r="E273" s="26"/>
      <c r="F273" s="26"/>
      <c r="G273" s="26"/>
      <c r="H273" s="26"/>
      <c r="I273" s="26"/>
    </row>
    <row r="274" spans="1:9" ht="15" x14ac:dyDescent="0.3">
      <c r="A274" s="26"/>
      <c r="B274" s="26"/>
      <c r="C274" s="26"/>
      <c r="D274" s="26"/>
      <c r="E274" s="26"/>
      <c r="F274" s="26"/>
      <c r="G274" s="26"/>
      <c r="H274" s="26"/>
      <c r="I274" s="26"/>
    </row>
    <row r="275" spans="1:9" ht="15" x14ac:dyDescent="0.3">
      <c r="A275" s="26"/>
      <c r="B275" s="26"/>
      <c r="C275" s="26"/>
      <c r="D275" s="26"/>
      <c r="E275" s="26"/>
      <c r="F275" s="26"/>
      <c r="G275" s="26"/>
      <c r="H275" s="26"/>
      <c r="I275" s="26"/>
    </row>
    <row r="276" spans="1:9" ht="15" x14ac:dyDescent="0.3">
      <c r="A276" s="26"/>
      <c r="B276" s="26"/>
      <c r="C276" s="26"/>
      <c r="D276" s="26"/>
      <c r="E276" s="26"/>
      <c r="F276" s="26"/>
      <c r="G276" s="26"/>
      <c r="H276" s="26"/>
      <c r="I276" s="26"/>
    </row>
    <row r="277" spans="1:9" ht="15" x14ac:dyDescent="0.3">
      <c r="A277" s="26"/>
      <c r="B277" s="26"/>
      <c r="C277" s="26"/>
      <c r="D277" s="26"/>
      <c r="E277" s="26"/>
      <c r="F277" s="26"/>
      <c r="G277" s="26"/>
      <c r="H277" s="26"/>
      <c r="I277" s="26"/>
    </row>
    <row r="278" spans="1:9" ht="15" x14ac:dyDescent="0.3">
      <c r="A278" s="26"/>
      <c r="B278" s="26"/>
      <c r="C278" s="26"/>
      <c r="D278" s="26"/>
      <c r="E278" s="26"/>
      <c r="F278" s="26"/>
      <c r="G278" s="26"/>
      <c r="H278" s="26"/>
      <c r="I278" s="26"/>
    </row>
    <row r="279" spans="1:9" ht="15" x14ac:dyDescent="0.3">
      <c r="A279" s="26"/>
      <c r="B279" s="26"/>
      <c r="C279" s="26"/>
      <c r="D279" s="26"/>
      <c r="E279" s="26"/>
      <c r="F279" s="26"/>
      <c r="G279" s="26"/>
      <c r="H279" s="26"/>
      <c r="I279" s="26"/>
    </row>
    <row r="280" spans="1:9" ht="15" x14ac:dyDescent="0.3">
      <c r="A280" s="26"/>
      <c r="B280" s="26"/>
      <c r="C280" s="26"/>
      <c r="D280" s="26"/>
      <c r="E280" s="26"/>
      <c r="F280" s="26"/>
      <c r="G280" s="26"/>
      <c r="H280" s="26"/>
      <c r="I280" s="26"/>
    </row>
    <row r="281" spans="1:9" ht="15" x14ac:dyDescent="0.3">
      <c r="A281" s="26"/>
      <c r="B281" s="26"/>
      <c r="C281" s="26"/>
      <c r="D281" s="26"/>
      <c r="E281" s="26"/>
      <c r="F281" s="26"/>
      <c r="G281" s="26"/>
      <c r="H281" s="26"/>
      <c r="I281" s="26"/>
    </row>
    <row r="282" spans="1:9" ht="15" x14ac:dyDescent="0.3">
      <c r="A282" s="26"/>
      <c r="B282" s="26"/>
      <c r="C282" s="26"/>
      <c r="D282" s="26"/>
      <c r="E282" s="26"/>
      <c r="F282" s="26"/>
      <c r="G282" s="26"/>
      <c r="H282" s="26"/>
      <c r="I282" s="26"/>
    </row>
    <row r="283" spans="1:9" ht="15" x14ac:dyDescent="0.3">
      <c r="A283" s="26"/>
      <c r="B283" s="26"/>
      <c r="C283" s="26"/>
      <c r="D283" s="26"/>
      <c r="E283" s="26"/>
      <c r="F283" s="26"/>
      <c r="G283" s="26"/>
      <c r="H283" s="26"/>
      <c r="I283" s="26"/>
    </row>
    <row r="284" spans="1:9" ht="15" x14ac:dyDescent="0.3">
      <c r="A284" s="26"/>
      <c r="B284" s="26"/>
      <c r="C284" s="26"/>
      <c r="D284" s="26"/>
      <c r="E284" s="26"/>
      <c r="F284" s="26"/>
      <c r="G284" s="26"/>
      <c r="H284" s="26"/>
      <c r="I284" s="26"/>
    </row>
    <row r="285" spans="1:9" ht="15" x14ac:dyDescent="0.3">
      <c r="A285" s="26"/>
      <c r="B285" s="26"/>
      <c r="C285" s="26"/>
      <c r="D285" s="26"/>
      <c r="E285" s="26"/>
      <c r="F285" s="26"/>
      <c r="G285" s="26"/>
      <c r="H285" s="26"/>
      <c r="I285" s="26"/>
    </row>
    <row r="286" spans="1:9" ht="15" x14ac:dyDescent="0.3">
      <c r="A286" s="26"/>
      <c r="B286" s="26"/>
      <c r="C286" s="26"/>
      <c r="D286" s="26"/>
      <c r="E286" s="26"/>
      <c r="F286" s="26"/>
      <c r="G286" s="26"/>
      <c r="H286" s="26"/>
      <c r="I286" s="26"/>
    </row>
    <row r="287" spans="1:9" ht="15" x14ac:dyDescent="0.3">
      <c r="A287" s="26"/>
      <c r="B287" s="26"/>
      <c r="C287" s="26"/>
      <c r="D287" s="26"/>
      <c r="E287" s="26"/>
      <c r="F287" s="26"/>
      <c r="G287" s="26"/>
      <c r="H287" s="26"/>
      <c r="I287" s="26"/>
    </row>
    <row r="288" spans="1:9" ht="15" x14ac:dyDescent="0.3">
      <c r="A288" s="26"/>
      <c r="B288" s="26"/>
      <c r="C288" s="26"/>
      <c r="D288" s="26"/>
      <c r="E288" s="26"/>
      <c r="F288" s="26"/>
      <c r="G288" s="26"/>
      <c r="H288" s="26"/>
      <c r="I288" s="26"/>
    </row>
    <row r="289" spans="1:9" ht="15" x14ac:dyDescent="0.3">
      <c r="A289" s="26"/>
      <c r="B289" s="26"/>
      <c r="C289" s="26"/>
      <c r="D289" s="26"/>
      <c r="E289" s="26"/>
      <c r="F289" s="26"/>
      <c r="G289" s="26"/>
      <c r="H289" s="26"/>
      <c r="I289" s="26"/>
    </row>
    <row r="290" spans="1:9" ht="15" x14ac:dyDescent="0.3">
      <c r="A290" s="26"/>
      <c r="B290" s="26"/>
      <c r="C290" s="26"/>
      <c r="D290" s="26"/>
      <c r="E290" s="26"/>
      <c r="F290" s="26"/>
      <c r="G290" s="26"/>
      <c r="H290" s="26"/>
      <c r="I290" s="26"/>
    </row>
    <row r="291" spans="1:9" ht="15" x14ac:dyDescent="0.3">
      <c r="A291" s="26"/>
      <c r="B291" s="26"/>
      <c r="C291" s="26"/>
      <c r="D291" s="26"/>
      <c r="E291" s="26"/>
      <c r="F291" s="26"/>
      <c r="G291" s="26"/>
      <c r="H291" s="26"/>
      <c r="I291" s="26"/>
    </row>
    <row r="292" spans="1:9" ht="15" x14ac:dyDescent="0.3">
      <c r="A292" s="26"/>
      <c r="B292" s="26"/>
      <c r="C292" s="26"/>
      <c r="D292" s="26"/>
      <c r="E292" s="26"/>
      <c r="F292" s="26"/>
      <c r="G292" s="26"/>
      <c r="H292" s="26"/>
      <c r="I292" s="26"/>
    </row>
    <row r="293" spans="1:9" ht="15" x14ac:dyDescent="0.3">
      <c r="A293" s="26"/>
      <c r="B293" s="26"/>
      <c r="C293" s="26"/>
      <c r="D293" s="26"/>
      <c r="E293" s="26"/>
      <c r="F293" s="26"/>
      <c r="G293" s="26"/>
      <c r="H293" s="26"/>
      <c r="I293" s="26"/>
    </row>
    <row r="294" spans="1:9" ht="15" x14ac:dyDescent="0.3">
      <c r="A294" s="26"/>
      <c r="B294" s="26"/>
      <c r="C294" s="26"/>
      <c r="D294" s="26"/>
      <c r="E294" s="26"/>
      <c r="F294" s="26"/>
      <c r="G294" s="26"/>
      <c r="H294" s="26"/>
      <c r="I294" s="26"/>
    </row>
    <row r="295" spans="1:9" ht="15" x14ac:dyDescent="0.3">
      <c r="A295" s="26"/>
      <c r="B295" s="26"/>
      <c r="C295" s="26"/>
      <c r="D295" s="26"/>
      <c r="E295" s="26"/>
      <c r="F295" s="26"/>
      <c r="G295" s="26"/>
      <c r="H295" s="26"/>
      <c r="I295" s="26"/>
    </row>
    <row r="296" spans="1:9" ht="15" x14ac:dyDescent="0.3">
      <c r="A296" s="26"/>
      <c r="B296" s="26"/>
      <c r="C296" s="26"/>
      <c r="D296" s="26"/>
      <c r="E296" s="26"/>
      <c r="F296" s="26"/>
      <c r="G296" s="26"/>
      <c r="H296" s="26"/>
      <c r="I296" s="26"/>
    </row>
    <row r="297" spans="1:9" ht="15" x14ac:dyDescent="0.3">
      <c r="A297" s="26"/>
      <c r="B297" s="26"/>
      <c r="C297" s="26"/>
      <c r="D297" s="26"/>
      <c r="E297" s="26"/>
      <c r="F297" s="26"/>
      <c r="G297" s="26"/>
      <c r="H297" s="26"/>
      <c r="I297" s="26"/>
    </row>
    <row r="298" spans="1:9" ht="15" x14ac:dyDescent="0.3">
      <c r="A298" s="26"/>
      <c r="B298" s="26"/>
      <c r="C298" s="26"/>
      <c r="D298" s="26"/>
      <c r="E298" s="26"/>
      <c r="F298" s="26"/>
      <c r="G298" s="26"/>
      <c r="H298" s="26"/>
      <c r="I298" s="26"/>
    </row>
    <row r="299" spans="1:9" ht="15" x14ac:dyDescent="0.3">
      <c r="A299" s="26"/>
      <c r="B299" s="26"/>
      <c r="C299" s="26"/>
      <c r="D299" s="26"/>
      <c r="E299" s="26"/>
      <c r="F299" s="26"/>
      <c r="G299" s="26"/>
      <c r="H299" s="26"/>
      <c r="I299" s="26"/>
    </row>
    <row r="300" spans="1:9" ht="15" x14ac:dyDescent="0.3">
      <c r="A300" s="26"/>
      <c r="B300" s="26"/>
      <c r="C300" s="26"/>
      <c r="D300" s="26"/>
      <c r="E300" s="26"/>
      <c r="F300" s="26"/>
      <c r="G300" s="26"/>
      <c r="H300" s="26"/>
      <c r="I300" s="26"/>
    </row>
    <row r="301" spans="1:9" ht="15" x14ac:dyDescent="0.3">
      <c r="A301" s="26"/>
      <c r="B301" s="26"/>
      <c r="C301" s="26"/>
      <c r="D301" s="26"/>
      <c r="E301" s="26"/>
      <c r="F301" s="26"/>
      <c r="G301" s="26"/>
      <c r="H301" s="26"/>
      <c r="I301" s="26"/>
    </row>
    <row r="302" spans="1:9" ht="15" x14ac:dyDescent="0.3">
      <c r="A302" s="26"/>
      <c r="B302" s="26"/>
      <c r="C302" s="26"/>
      <c r="D302" s="26"/>
      <c r="E302" s="26"/>
      <c r="F302" s="26"/>
      <c r="G302" s="26"/>
      <c r="H302" s="26"/>
      <c r="I302" s="26"/>
    </row>
    <row r="303" spans="1:9" ht="15" x14ac:dyDescent="0.3">
      <c r="A303" s="26"/>
      <c r="B303" s="26"/>
      <c r="C303" s="26"/>
      <c r="D303" s="26"/>
      <c r="E303" s="26"/>
      <c r="F303" s="26"/>
      <c r="G303" s="26"/>
      <c r="H303" s="26"/>
      <c r="I303" s="26"/>
    </row>
    <row r="304" spans="1:9" ht="15" x14ac:dyDescent="0.3">
      <c r="A304" s="26"/>
      <c r="B304" s="26"/>
      <c r="C304" s="26"/>
      <c r="D304" s="26"/>
      <c r="E304" s="26"/>
      <c r="F304" s="26"/>
      <c r="G304" s="26"/>
      <c r="H304" s="26"/>
      <c r="I304" s="26"/>
    </row>
    <row r="305" spans="1:9" ht="15" x14ac:dyDescent="0.3">
      <c r="A305" s="26"/>
      <c r="B305" s="26"/>
      <c r="C305" s="26"/>
      <c r="D305" s="26"/>
      <c r="E305" s="26"/>
      <c r="F305" s="26"/>
      <c r="G305" s="26"/>
      <c r="H305" s="26"/>
      <c r="I305" s="26"/>
    </row>
    <row r="306" spans="1:9" ht="15" x14ac:dyDescent="0.3">
      <c r="A306" s="26"/>
      <c r="B306" s="26"/>
      <c r="C306" s="26"/>
      <c r="D306" s="26"/>
      <c r="E306" s="26"/>
      <c r="F306" s="26"/>
      <c r="G306" s="26"/>
      <c r="H306" s="26"/>
      <c r="I306" s="26"/>
    </row>
    <row r="307" spans="1:9" ht="15" x14ac:dyDescent="0.3">
      <c r="A307" s="26"/>
      <c r="B307" s="26"/>
      <c r="C307" s="26"/>
      <c r="D307" s="26"/>
      <c r="E307" s="26"/>
      <c r="F307" s="26"/>
      <c r="G307" s="26"/>
      <c r="H307" s="26"/>
      <c r="I307" s="26"/>
    </row>
    <row r="308" spans="1:9" ht="15" x14ac:dyDescent="0.3">
      <c r="A308" s="26"/>
      <c r="B308" s="26"/>
      <c r="C308" s="26"/>
      <c r="D308" s="26"/>
      <c r="E308" s="26"/>
      <c r="F308" s="26"/>
      <c r="G308" s="26"/>
      <c r="H308" s="26"/>
      <c r="I308" s="26"/>
    </row>
    <row r="309" spans="1:9" ht="15" x14ac:dyDescent="0.3">
      <c r="A309" s="26"/>
      <c r="B309" s="26"/>
      <c r="C309" s="26"/>
      <c r="D309" s="26"/>
      <c r="E309" s="26"/>
      <c r="F309" s="26"/>
      <c r="G309" s="26"/>
      <c r="H309" s="26"/>
      <c r="I309" s="26"/>
    </row>
    <row r="310" spans="1:9" ht="15" x14ac:dyDescent="0.3">
      <c r="A310" s="26"/>
      <c r="B310" s="26"/>
      <c r="C310" s="26"/>
      <c r="D310" s="26"/>
      <c r="E310" s="26"/>
      <c r="F310" s="26"/>
      <c r="G310" s="26"/>
      <c r="H310" s="26"/>
      <c r="I310" s="26"/>
    </row>
    <row r="311" spans="1:9" ht="15" x14ac:dyDescent="0.3">
      <c r="A311" s="26"/>
      <c r="B311" s="26"/>
      <c r="C311" s="26"/>
      <c r="D311" s="26"/>
      <c r="E311" s="26"/>
      <c r="F311" s="26"/>
      <c r="G311" s="26"/>
      <c r="H311" s="26"/>
      <c r="I311" s="26"/>
    </row>
    <row r="312" spans="1:9" ht="15" x14ac:dyDescent="0.3">
      <c r="A312" s="26"/>
      <c r="B312" s="26"/>
      <c r="C312" s="26"/>
      <c r="D312" s="26"/>
      <c r="E312" s="26"/>
      <c r="F312" s="26"/>
      <c r="G312" s="26"/>
      <c r="H312" s="26"/>
      <c r="I312" s="26"/>
    </row>
    <row r="313" spans="1:9" ht="15" x14ac:dyDescent="0.3">
      <c r="A313" s="26"/>
      <c r="B313" s="26"/>
      <c r="C313" s="26"/>
      <c r="D313" s="26"/>
      <c r="E313" s="26"/>
      <c r="F313" s="26"/>
      <c r="G313" s="26"/>
      <c r="H313" s="26"/>
      <c r="I313" s="26"/>
    </row>
    <row r="314" spans="1:9" ht="15" x14ac:dyDescent="0.3">
      <c r="A314" s="26"/>
      <c r="B314" s="26"/>
      <c r="C314" s="26"/>
      <c r="D314" s="26"/>
      <c r="E314" s="26"/>
      <c r="F314" s="26"/>
      <c r="G314" s="26"/>
      <c r="H314" s="26"/>
      <c r="I314" s="26"/>
    </row>
    <row r="315" spans="1:9" ht="15" x14ac:dyDescent="0.3">
      <c r="A315" s="26"/>
      <c r="B315" s="26"/>
      <c r="C315" s="26"/>
      <c r="D315" s="26"/>
      <c r="E315" s="26"/>
      <c r="F315" s="26"/>
      <c r="G315" s="26"/>
      <c r="H315" s="26"/>
      <c r="I315" s="26"/>
    </row>
    <row r="316" spans="1:9" ht="15" x14ac:dyDescent="0.3">
      <c r="A316" s="26"/>
      <c r="B316" s="26"/>
      <c r="C316" s="26"/>
      <c r="D316" s="26"/>
      <c r="E316" s="26"/>
      <c r="F316" s="26"/>
      <c r="G316" s="26"/>
      <c r="H316" s="26"/>
      <c r="I316" s="26"/>
    </row>
    <row r="317" spans="1:9" ht="15" x14ac:dyDescent="0.3">
      <c r="A317" s="26"/>
      <c r="B317" s="26"/>
      <c r="C317" s="26"/>
      <c r="D317" s="26"/>
      <c r="E317" s="26"/>
      <c r="F317" s="26"/>
      <c r="G317" s="26"/>
      <c r="H317" s="26"/>
      <c r="I317" s="26"/>
    </row>
    <row r="318" spans="1:9" ht="15" x14ac:dyDescent="0.3">
      <c r="A318" s="26"/>
      <c r="B318" s="26"/>
      <c r="C318" s="26"/>
      <c r="D318" s="26"/>
      <c r="E318" s="26"/>
      <c r="F318" s="26"/>
      <c r="G318" s="26"/>
      <c r="H318" s="26"/>
      <c r="I318" s="26"/>
    </row>
    <row r="319" spans="1:9" ht="15" x14ac:dyDescent="0.3">
      <c r="A319" s="26"/>
      <c r="B319" s="26"/>
      <c r="C319" s="26"/>
      <c r="D319" s="26"/>
      <c r="E319" s="26"/>
      <c r="F319" s="26"/>
      <c r="G319" s="26"/>
      <c r="H319" s="26"/>
      <c r="I319" s="26"/>
    </row>
    <row r="320" spans="1:9" ht="15" x14ac:dyDescent="0.3">
      <c r="A320" s="26"/>
      <c r="B320" s="26"/>
      <c r="C320" s="26"/>
      <c r="D320" s="26"/>
      <c r="E320" s="26"/>
      <c r="F320" s="26"/>
      <c r="G320" s="26"/>
      <c r="H320" s="26"/>
      <c r="I320" s="26"/>
    </row>
    <row r="321" spans="1:9" ht="15" x14ac:dyDescent="0.3">
      <c r="A321" s="26"/>
      <c r="B321" s="26"/>
      <c r="C321" s="26"/>
      <c r="D321" s="26"/>
      <c r="E321" s="26"/>
      <c r="F321" s="26"/>
      <c r="G321" s="26"/>
      <c r="H321" s="26"/>
      <c r="I321" s="26"/>
    </row>
    <row r="322" spans="1:9" ht="15" x14ac:dyDescent="0.3">
      <c r="A322" s="26"/>
      <c r="B322" s="26"/>
      <c r="C322" s="26"/>
      <c r="D322" s="26"/>
      <c r="E322" s="26"/>
      <c r="F322" s="26"/>
      <c r="G322" s="26"/>
      <c r="H322" s="26"/>
      <c r="I322" s="26"/>
    </row>
    <row r="323" spans="1:9" ht="15" x14ac:dyDescent="0.3">
      <c r="A323" s="26"/>
      <c r="B323" s="26"/>
      <c r="C323" s="26"/>
      <c r="D323" s="26"/>
      <c r="E323" s="26"/>
      <c r="F323" s="26"/>
      <c r="G323" s="26"/>
      <c r="H323" s="26"/>
      <c r="I323" s="26"/>
    </row>
    <row r="324" spans="1:9" ht="15" x14ac:dyDescent="0.3">
      <c r="A324" s="26"/>
      <c r="B324" s="26"/>
      <c r="C324" s="26"/>
      <c r="D324" s="26"/>
      <c r="E324" s="26"/>
      <c r="F324" s="26"/>
      <c r="G324" s="26"/>
      <c r="H324" s="26"/>
      <c r="I324" s="26"/>
    </row>
    <row r="325" spans="1:9" ht="15" x14ac:dyDescent="0.3">
      <c r="A325" s="26"/>
      <c r="B325" s="26"/>
      <c r="C325" s="26"/>
      <c r="D325" s="26"/>
      <c r="E325" s="26"/>
      <c r="F325" s="26"/>
      <c r="G325" s="26"/>
      <c r="H325" s="26"/>
      <c r="I325" s="26"/>
    </row>
    <row r="326" spans="1:9" ht="15" x14ac:dyDescent="0.3">
      <c r="A326" s="26"/>
      <c r="B326" s="26"/>
      <c r="C326" s="26"/>
      <c r="D326" s="26"/>
      <c r="E326" s="26"/>
      <c r="F326" s="26"/>
      <c r="G326" s="26"/>
      <c r="H326" s="26"/>
      <c r="I326" s="26"/>
    </row>
    <row r="327" spans="1:9" ht="15" x14ac:dyDescent="0.3">
      <c r="A327" s="26"/>
      <c r="B327" s="26"/>
      <c r="C327" s="26"/>
      <c r="D327" s="26"/>
      <c r="E327" s="26"/>
      <c r="F327" s="26"/>
      <c r="G327" s="26"/>
      <c r="H327" s="26"/>
      <c r="I327" s="26"/>
    </row>
    <row r="328" spans="1:9" ht="15" x14ac:dyDescent="0.3">
      <c r="A328" s="26"/>
      <c r="B328" s="26"/>
      <c r="C328" s="26"/>
      <c r="D328" s="26"/>
      <c r="E328" s="26"/>
      <c r="F328" s="26"/>
      <c r="G328" s="26"/>
      <c r="H328" s="26"/>
      <c r="I328" s="26"/>
    </row>
    <row r="329" spans="1:9" ht="15" x14ac:dyDescent="0.3">
      <c r="A329" s="26"/>
      <c r="B329" s="26"/>
      <c r="C329" s="26"/>
      <c r="D329" s="26"/>
      <c r="E329" s="26"/>
      <c r="F329" s="26"/>
      <c r="G329" s="26"/>
      <c r="H329" s="26"/>
      <c r="I329" s="26"/>
    </row>
    <row r="330" spans="1:9" ht="15" x14ac:dyDescent="0.3">
      <c r="A330" s="26"/>
      <c r="B330" s="26"/>
      <c r="C330" s="26"/>
      <c r="D330" s="26"/>
      <c r="E330" s="26"/>
      <c r="F330" s="26"/>
      <c r="G330" s="26"/>
      <c r="H330" s="26"/>
      <c r="I330" s="26"/>
    </row>
    <row r="331" spans="1:9" ht="15" x14ac:dyDescent="0.3">
      <c r="A331" s="26"/>
      <c r="B331" s="26"/>
      <c r="C331" s="26"/>
      <c r="D331" s="26"/>
      <c r="E331" s="26"/>
      <c r="F331" s="26"/>
      <c r="G331" s="26"/>
      <c r="H331" s="26"/>
      <c r="I331" s="26"/>
    </row>
    <row r="332" spans="1:9" ht="15" x14ac:dyDescent="0.3">
      <c r="A332" s="26"/>
      <c r="B332" s="26"/>
      <c r="C332" s="26"/>
      <c r="D332" s="26"/>
      <c r="E332" s="26"/>
      <c r="F332" s="26"/>
      <c r="G332" s="26"/>
      <c r="H332" s="26"/>
      <c r="I332" s="26"/>
    </row>
    <row r="333" spans="1:9" ht="15" x14ac:dyDescent="0.3">
      <c r="A333" s="26"/>
      <c r="B333" s="26"/>
      <c r="C333" s="26"/>
      <c r="D333" s="26"/>
      <c r="E333" s="26"/>
      <c r="F333" s="26"/>
      <c r="G333" s="26"/>
      <c r="H333" s="26"/>
      <c r="I333" s="26"/>
    </row>
    <row r="334" spans="1:9" ht="15" x14ac:dyDescent="0.3">
      <c r="A334" s="26"/>
      <c r="B334" s="26"/>
      <c r="C334" s="26"/>
      <c r="D334" s="26"/>
      <c r="E334" s="26"/>
      <c r="F334" s="26"/>
      <c r="G334" s="26"/>
      <c r="H334" s="26"/>
      <c r="I334" s="26"/>
    </row>
  </sheetData>
  <mergeCells count="66">
    <mergeCell ref="A118:Q118"/>
    <mergeCell ref="E92:G92"/>
    <mergeCell ref="O92:Q92"/>
    <mergeCell ref="L92:N92"/>
    <mergeCell ref="L97:N97"/>
    <mergeCell ref="L102:N102"/>
    <mergeCell ref="K108:M108"/>
    <mergeCell ref="O102:Q102"/>
    <mergeCell ref="O97:Q97"/>
    <mergeCell ref="N108:P108"/>
    <mergeCell ref="A108:A109"/>
    <mergeCell ref="B108:D108"/>
    <mergeCell ref="E108:G108"/>
    <mergeCell ref="E102:G102"/>
    <mergeCell ref="H108:J108"/>
    <mergeCell ref="L11:M11"/>
    <mergeCell ref="L9:M9"/>
    <mergeCell ref="L4:M4"/>
    <mergeCell ref="L10:M10"/>
    <mergeCell ref="B11:C11"/>
    <mergeCell ref="D11:G11"/>
    <mergeCell ref="N1:P1"/>
    <mergeCell ref="J1:K1"/>
    <mergeCell ref="L5:M5"/>
    <mergeCell ref="L6:M6"/>
    <mergeCell ref="L8:M8"/>
    <mergeCell ref="L1:M1"/>
    <mergeCell ref="J2:K2"/>
    <mergeCell ref="L7:M7"/>
    <mergeCell ref="L2:M2"/>
    <mergeCell ref="L3:M3"/>
    <mergeCell ref="H1:I1"/>
    <mergeCell ref="H7:I7"/>
    <mergeCell ref="D7:G7"/>
    <mergeCell ref="B9:C9"/>
    <mergeCell ref="A13:E13"/>
    <mergeCell ref="F13:G13"/>
    <mergeCell ref="B8:C8"/>
    <mergeCell ref="D8:G8"/>
    <mergeCell ref="D9:G9"/>
    <mergeCell ref="D10:G10"/>
    <mergeCell ref="B10:C10"/>
    <mergeCell ref="B7:C7"/>
    <mergeCell ref="H12:I12"/>
    <mergeCell ref="A60:Q60"/>
    <mergeCell ref="A61:Q61"/>
    <mergeCell ref="B92:D92"/>
    <mergeCell ref="B97:D97"/>
    <mergeCell ref="B102:D102"/>
    <mergeCell ref="I92:K92"/>
    <mergeCell ref="I97:K97"/>
    <mergeCell ref="I102:K102"/>
    <mergeCell ref="E97:G97"/>
    <mergeCell ref="A58:Q58"/>
    <mergeCell ref="A59:Q59"/>
    <mergeCell ref="A57:J57"/>
    <mergeCell ref="J12:Q13"/>
    <mergeCell ref="G31:Q31"/>
    <mergeCell ref="A40:J40"/>
    <mergeCell ref="A36:Q36"/>
    <mergeCell ref="G32:Q35"/>
    <mergeCell ref="G28:Q30"/>
    <mergeCell ref="A38:J38"/>
    <mergeCell ref="A39:J39"/>
    <mergeCell ref="G27:Q27"/>
    <mergeCell ref="A37:J37"/>
  </mergeCells>
  <phoneticPr fontId="35" type="noConversion"/>
  <printOptions horizontalCentered="1"/>
  <pageMargins left="0.23622047244094491" right="0.23622047244094491" top="0.47244094488188981" bottom="0.74803149606299213" header="0.31496062992125984" footer="0.31496062992125984"/>
  <pageSetup scale="56" orientation="landscape" horizontalDpi="4294967293" verticalDpi="4294967293" r:id="rId1"/>
  <headerFooter alignWithMargins="0">
    <oddHeader>&amp;C&amp;"Arial Black,Regular"&amp;12ACCESS PIPELINES - NEX South Spread - NPS 42</oddHeader>
    <oddFooter>&amp;L&amp;"Arial Black,Regular"&amp;8DUNN HIEBERT AND ASSOCIATES&amp;R&amp;D</oddFooter>
  </headerFooter>
  <rowBreaks count="1" manualBreakCount="1">
    <brk id="56" max="16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AI163"/>
  <sheetViews>
    <sheetView tabSelected="1" zoomScale="80" zoomScaleNormal="80" workbookViewId="0">
      <pane ySplit="12" topLeftCell="A13" activePane="bottomLeft" state="frozen"/>
      <selection pane="bottomLeft" activeCell="J1" sqref="J1"/>
    </sheetView>
  </sheetViews>
  <sheetFormatPr defaultRowHeight="12.75" x14ac:dyDescent="0.2"/>
  <cols>
    <col min="1" max="1" width="6.42578125" customWidth="1"/>
    <col min="2" max="2" width="32" customWidth="1"/>
    <col min="3" max="3" width="13.28515625" bestFit="1" customWidth="1"/>
    <col min="4" max="4" width="9.42578125" customWidth="1"/>
    <col min="5" max="5" width="9.28515625" customWidth="1"/>
    <col min="6" max="6" width="9.85546875" customWidth="1"/>
    <col min="7" max="7" width="10" customWidth="1"/>
    <col min="8" max="8" width="9.42578125" customWidth="1"/>
    <col min="9" max="9" width="11.140625" customWidth="1"/>
    <col min="10" max="10" width="9.28515625" customWidth="1"/>
    <col min="11" max="11" width="10.28515625" customWidth="1"/>
    <col min="12" max="12" width="10.7109375" customWidth="1"/>
    <col min="13" max="13" width="9" customWidth="1"/>
    <col min="14" max="14" width="8.7109375" customWidth="1"/>
    <col min="15" max="15" width="9.28515625" bestFit="1" customWidth="1"/>
    <col min="16" max="16" width="8.7109375" customWidth="1"/>
    <col min="17" max="18" width="8.28515625" customWidth="1"/>
    <col min="19" max="19" width="7.28515625" customWidth="1"/>
    <col min="20" max="20" width="8.42578125" customWidth="1"/>
    <col min="21" max="21" width="7.42578125" customWidth="1"/>
    <col min="22" max="22" width="7" customWidth="1"/>
    <col min="23" max="23" width="8.5703125" customWidth="1"/>
    <col min="24" max="24" width="8" customWidth="1"/>
    <col min="25" max="25" width="7" customWidth="1"/>
    <col min="26" max="27" width="9.85546875" customWidth="1"/>
    <col min="28" max="28" width="10.28515625" customWidth="1"/>
    <col min="29" max="29" width="1.7109375" customWidth="1"/>
    <col min="30" max="30" width="11.42578125" customWidth="1"/>
  </cols>
  <sheetData>
    <row r="1" spans="1:35" ht="12.75" customHeight="1" x14ac:dyDescent="0.2">
      <c r="A1" s="1041" t="s">
        <v>290</v>
      </c>
      <c r="B1" s="1042"/>
      <c r="C1" s="1047"/>
      <c r="D1" s="1048"/>
      <c r="E1" s="1048"/>
      <c r="F1" s="1049"/>
      <c r="G1" s="4" t="s">
        <v>1</v>
      </c>
      <c r="H1" s="5"/>
      <c r="I1" s="5"/>
      <c r="J1" s="25">
        <v>36000</v>
      </c>
      <c r="K1" s="1045"/>
      <c r="L1" s="1046"/>
      <c r="M1" s="704"/>
      <c r="N1" s="704"/>
      <c r="O1" s="704"/>
      <c r="P1" s="704"/>
      <c r="Q1" s="704"/>
      <c r="R1" s="704"/>
      <c r="S1" s="1"/>
      <c r="T1" s="1"/>
      <c r="U1" s="1"/>
      <c r="V1" s="54"/>
      <c r="W1" s="48"/>
      <c r="X1" s="48"/>
      <c r="Y1" s="48"/>
      <c r="Z1" s="48"/>
      <c r="AA1" s="48"/>
      <c r="AB1" s="116"/>
      <c r="AC1" s="117">
        <v>1</v>
      </c>
      <c r="AD1" s="15"/>
      <c r="AE1" s="3"/>
      <c r="AF1" s="3"/>
      <c r="AG1" s="3"/>
      <c r="AH1" s="3"/>
      <c r="AI1" s="3"/>
    </row>
    <row r="2" spans="1:35" ht="13.15" customHeight="1" x14ac:dyDescent="0.2">
      <c r="A2" s="1050"/>
      <c r="B2" s="1051"/>
      <c r="C2" s="701"/>
      <c r="D2" s="702"/>
      <c r="E2" s="703"/>
      <c r="F2" s="703"/>
      <c r="G2" s="6" t="s">
        <v>2</v>
      </c>
      <c r="H2" s="39"/>
      <c r="I2" s="13"/>
      <c r="J2" s="893">
        <f>SUM(D8+E8+F8+G8+H8+I8+J8+K8+L8+M8+N8)/11</f>
        <v>0</v>
      </c>
      <c r="K2" s="705"/>
      <c r="L2" s="705"/>
      <c r="M2" s="705"/>
      <c r="N2" s="705"/>
      <c r="O2" s="705"/>
      <c r="P2" s="705"/>
      <c r="Q2" s="705"/>
      <c r="R2" s="705"/>
      <c r="S2" s="1"/>
      <c r="T2" s="1"/>
      <c r="U2" s="1"/>
      <c r="V2" s="54"/>
      <c r="W2" s="48"/>
      <c r="X2" s="48"/>
      <c r="Y2" s="48"/>
      <c r="Z2" s="48"/>
      <c r="AA2" s="48"/>
      <c r="AB2" s="116"/>
      <c r="AC2" s="15"/>
      <c r="AD2" s="3"/>
      <c r="AE2" s="3"/>
      <c r="AF2" s="3"/>
      <c r="AG2" s="3"/>
      <c r="AH2" s="3"/>
      <c r="AI2" s="3"/>
    </row>
    <row r="3" spans="1:35" x14ac:dyDescent="0.2">
      <c r="A3" s="1043" t="s">
        <v>320</v>
      </c>
      <c r="B3" s="1044"/>
      <c r="C3" s="187"/>
      <c r="D3" s="188"/>
      <c r="E3" s="188"/>
      <c r="F3" s="189"/>
      <c r="G3" s="53"/>
      <c r="H3" s="53"/>
      <c r="I3" s="23"/>
      <c r="J3" s="23"/>
      <c r="K3" s="705"/>
      <c r="L3" s="705"/>
      <c r="M3" s="705"/>
      <c r="N3" s="705"/>
      <c r="O3" s="705"/>
      <c r="P3" s="705"/>
      <c r="Q3" s="705"/>
      <c r="R3" s="705"/>
      <c r="S3" s="1"/>
      <c r="T3" s="1"/>
      <c r="U3" s="1"/>
      <c r="V3" s="54"/>
      <c r="W3" s="48"/>
      <c r="X3" s="48"/>
      <c r="Y3" s="48"/>
      <c r="Z3" s="48"/>
      <c r="AA3" s="48"/>
      <c r="AB3" s="118"/>
      <c r="AC3" s="15"/>
      <c r="AD3" s="3"/>
      <c r="AE3" s="3"/>
      <c r="AF3" s="3"/>
      <c r="AG3" s="3"/>
      <c r="AH3" s="3"/>
      <c r="AI3" s="3"/>
    </row>
    <row r="4" spans="1:35" ht="13.9" customHeight="1" thickBot="1" x14ac:dyDescent="0.25">
      <c r="A4" s="1038"/>
      <c r="B4" s="1039"/>
      <c r="C4" s="190"/>
      <c r="D4" s="191"/>
      <c r="E4" s="192"/>
      <c r="F4" s="193"/>
      <c r="G4" s="185" t="s">
        <v>5</v>
      </c>
      <c r="H4" s="28"/>
      <c r="I4" s="860"/>
      <c r="J4" s="139"/>
      <c r="K4" s="1040"/>
      <c r="L4" s="1040"/>
      <c r="M4" s="705"/>
      <c r="N4" s="706"/>
      <c r="O4" s="707"/>
      <c r="P4" s="707"/>
      <c r="Q4" s="705"/>
      <c r="R4" s="705"/>
      <c r="U4" s="107"/>
      <c r="V4" s="107"/>
      <c r="W4" s="107"/>
      <c r="X4" s="108"/>
      <c r="Y4" s="108"/>
      <c r="Z4" s="109"/>
      <c r="AA4" s="109"/>
      <c r="AB4" s="110"/>
      <c r="AC4" s="15"/>
      <c r="AD4" s="3"/>
      <c r="AE4" s="3"/>
      <c r="AF4" s="3"/>
      <c r="AG4" s="3"/>
      <c r="AH4" s="3"/>
      <c r="AI4" s="3"/>
    </row>
    <row r="5" spans="1:35" ht="13.5" thickBot="1" x14ac:dyDescent="0.25">
      <c r="A5" s="171" t="s">
        <v>8</v>
      </c>
      <c r="B5" s="172">
        <f>REPORT!E1</f>
        <v>0</v>
      </c>
      <c r="C5" s="186"/>
      <c r="V5" s="107"/>
      <c r="W5" s="107"/>
      <c r="X5" s="108"/>
      <c r="Y5" s="108"/>
      <c r="Z5" s="109"/>
      <c r="AA5" s="109"/>
      <c r="AB5" s="110"/>
      <c r="AC5" s="3"/>
      <c r="AD5" s="3"/>
      <c r="AE5" s="3"/>
      <c r="AF5" s="3"/>
      <c r="AG5" s="3"/>
      <c r="AH5" s="3"/>
      <c r="AI5" s="3"/>
    </row>
    <row r="6" spans="1:35" x14ac:dyDescent="0.2">
      <c r="A6" s="53"/>
      <c r="B6" s="53"/>
      <c r="C6" s="102"/>
      <c r="D6" s="103"/>
      <c r="E6" s="104"/>
      <c r="F6" s="105"/>
      <c r="G6" s="53"/>
      <c r="H6" s="53"/>
      <c r="I6" s="53"/>
      <c r="J6" s="53"/>
      <c r="K6" s="53"/>
      <c r="L6" s="53"/>
      <c r="M6" s="53"/>
      <c r="N6" s="53"/>
      <c r="O6" s="53"/>
      <c r="P6" s="53"/>
      <c r="Q6" s="106"/>
      <c r="R6" s="106"/>
      <c r="S6" s="108"/>
      <c r="T6" s="108"/>
      <c r="U6" s="107"/>
      <c r="V6" s="107"/>
      <c r="W6" s="107"/>
      <c r="X6" s="108"/>
      <c r="Y6" s="108"/>
      <c r="Z6" s="109"/>
      <c r="AA6" s="109"/>
      <c r="AB6" s="110"/>
      <c r="AC6" s="3"/>
      <c r="AD6" s="3"/>
      <c r="AE6" s="3"/>
      <c r="AF6" s="3"/>
      <c r="AG6" s="3"/>
      <c r="AH6" s="3"/>
      <c r="AI6" s="3"/>
    </row>
    <row r="7" spans="1:35" x14ac:dyDescent="0.2">
      <c r="A7" s="98" t="s">
        <v>7</v>
      </c>
      <c r="B7" s="99"/>
      <c r="C7" s="855">
        <f>100%-C8</f>
        <v>1</v>
      </c>
      <c r="D7" s="855">
        <f t="shared" ref="D7:R7" si="0">100%-D8</f>
        <v>1</v>
      </c>
      <c r="E7" s="207">
        <f t="shared" si="0"/>
        <v>1</v>
      </c>
      <c r="F7" s="207">
        <f t="shared" si="0"/>
        <v>1</v>
      </c>
      <c r="G7" s="207">
        <f t="shared" si="0"/>
        <v>1</v>
      </c>
      <c r="H7" s="207">
        <f t="shared" si="0"/>
        <v>1</v>
      </c>
      <c r="I7" s="195">
        <f t="shared" si="0"/>
        <v>1</v>
      </c>
      <c r="J7" s="16">
        <f t="shared" si="0"/>
        <v>1</v>
      </c>
      <c r="K7" s="16">
        <f t="shared" si="0"/>
        <v>1</v>
      </c>
      <c r="L7" s="16">
        <f t="shared" si="0"/>
        <v>1</v>
      </c>
      <c r="M7" s="16">
        <f t="shared" si="0"/>
        <v>1</v>
      </c>
      <c r="N7" s="16">
        <f t="shared" si="0"/>
        <v>1</v>
      </c>
      <c r="O7" s="806">
        <f t="shared" si="0"/>
        <v>1</v>
      </c>
      <c r="P7" s="16">
        <f t="shared" si="0"/>
        <v>1</v>
      </c>
      <c r="Q7" s="16">
        <f t="shared" si="0"/>
        <v>1</v>
      </c>
      <c r="R7" s="16">
        <f t="shared" si="0"/>
        <v>1</v>
      </c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9"/>
      <c r="AD7" s="1"/>
    </row>
    <row r="8" spans="1:35" x14ac:dyDescent="0.2">
      <c r="A8" s="98" t="s">
        <v>4</v>
      </c>
      <c r="B8" s="99"/>
      <c r="C8" s="892">
        <f t="shared" ref="C8:R8" si="1">+C10/$J1</f>
        <v>0</v>
      </c>
      <c r="D8" s="856">
        <f t="shared" si="1"/>
        <v>0</v>
      </c>
      <c r="E8" s="208">
        <f t="shared" si="1"/>
        <v>0</v>
      </c>
      <c r="F8" s="208">
        <f t="shared" si="1"/>
        <v>0</v>
      </c>
      <c r="G8" s="208">
        <f t="shared" si="1"/>
        <v>0</v>
      </c>
      <c r="H8" s="208">
        <f t="shared" si="1"/>
        <v>0</v>
      </c>
      <c r="I8" s="196">
        <f t="shared" si="1"/>
        <v>0</v>
      </c>
      <c r="J8" s="17">
        <f t="shared" si="1"/>
        <v>0</v>
      </c>
      <c r="K8" s="17">
        <f t="shared" si="1"/>
        <v>0</v>
      </c>
      <c r="L8" s="17">
        <f t="shared" si="1"/>
        <v>0</v>
      </c>
      <c r="M8" s="17">
        <f t="shared" si="1"/>
        <v>0</v>
      </c>
      <c r="N8" s="17">
        <f t="shared" si="1"/>
        <v>0</v>
      </c>
      <c r="O8" s="807">
        <f t="shared" si="1"/>
        <v>0</v>
      </c>
      <c r="P8" s="17">
        <f t="shared" si="1"/>
        <v>0</v>
      </c>
      <c r="Q8" s="17">
        <f t="shared" si="1"/>
        <v>0</v>
      </c>
      <c r="R8" s="17">
        <f t="shared" si="1"/>
        <v>0</v>
      </c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20"/>
      <c r="AD8" s="1"/>
    </row>
    <row r="9" spans="1:35" x14ac:dyDescent="0.2">
      <c r="A9" s="97" t="s">
        <v>6</v>
      </c>
      <c r="B9" s="12"/>
      <c r="C9" s="857">
        <f t="shared" ref="C9:R9" si="2">+$J1-C10</f>
        <v>36000</v>
      </c>
      <c r="D9" s="857">
        <f t="shared" si="2"/>
        <v>36000</v>
      </c>
      <c r="E9" s="205">
        <f t="shared" si="2"/>
        <v>36000</v>
      </c>
      <c r="F9" s="205">
        <f t="shared" si="2"/>
        <v>36000</v>
      </c>
      <c r="G9" s="205">
        <f t="shared" si="2"/>
        <v>36000</v>
      </c>
      <c r="H9" s="205">
        <f t="shared" si="2"/>
        <v>36000</v>
      </c>
      <c r="I9" s="206">
        <f t="shared" si="2"/>
        <v>36000</v>
      </c>
      <c r="J9" s="205">
        <f t="shared" si="2"/>
        <v>36000</v>
      </c>
      <c r="K9" s="205">
        <f t="shared" si="2"/>
        <v>36000</v>
      </c>
      <c r="L9" s="205">
        <f t="shared" si="2"/>
        <v>36000</v>
      </c>
      <c r="M9" s="205">
        <f t="shared" si="2"/>
        <v>36000</v>
      </c>
      <c r="N9" s="205">
        <f t="shared" si="2"/>
        <v>36000</v>
      </c>
      <c r="O9" s="808">
        <f t="shared" si="2"/>
        <v>36000</v>
      </c>
      <c r="P9" s="205">
        <f t="shared" si="2"/>
        <v>36000</v>
      </c>
      <c r="Q9" s="205">
        <f t="shared" si="2"/>
        <v>36000</v>
      </c>
      <c r="R9" s="205">
        <f t="shared" si="2"/>
        <v>36000</v>
      </c>
      <c r="S9" s="114"/>
      <c r="T9" s="114"/>
      <c r="U9" s="114"/>
      <c r="V9" s="114"/>
      <c r="W9" s="114"/>
      <c r="X9" s="114"/>
      <c r="Y9" s="114"/>
      <c r="Z9" s="114"/>
      <c r="AA9" s="114"/>
      <c r="AB9" s="113"/>
      <c r="AC9" s="21"/>
      <c r="AD9" s="1"/>
    </row>
    <row r="10" spans="1:35" x14ac:dyDescent="0.2">
      <c r="A10" s="12" t="s">
        <v>3</v>
      </c>
      <c r="B10" s="11"/>
      <c r="C10" s="858">
        <f t="shared" ref="C10:R10" si="3">SUM(C13:C163)</f>
        <v>0</v>
      </c>
      <c r="D10" s="858">
        <f t="shared" si="3"/>
        <v>0</v>
      </c>
      <c r="E10" s="209">
        <f t="shared" si="3"/>
        <v>0</v>
      </c>
      <c r="F10" s="209">
        <f t="shared" si="3"/>
        <v>0</v>
      </c>
      <c r="G10" s="209">
        <f t="shared" si="3"/>
        <v>0</v>
      </c>
      <c r="H10" s="209">
        <f t="shared" si="3"/>
        <v>0</v>
      </c>
      <c r="I10" s="209">
        <f t="shared" si="3"/>
        <v>0</v>
      </c>
      <c r="J10" s="209">
        <f t="shared" si="3"/>
        <v>0</v>
      </c>
      <c r="K10" s="209">
        <f t="shared" si="3"/>
        <v>0</v>
      </c>
      <c r="L10" s="209">
        <f t="shared" si="3"/>
        <v>0</v>
      </c>
      <c r="M10" s="209">
        <f t="shared" si="3"/>
        <v>0</v>
      </c>
      <c r="N10" s="209">
        <f t="shared" si="3"/>
        <v>0</v>
      </c>
      <c r="O10" s="809">
        <f t="shared" si="3"/>
        <v>0</v>
      </c>
      <c r="P10" s="209">
        <f t="shared" si="3"/>
        <v>0</v>
      </c>
      <c r="Q10" s="209">
        <f t="shared" si="3"/>
        <v>0</v>
      </c>
      <c r="R10" s="209">
        <f t="shared" si="3"/>
        <v>0</v>
      </c>
      <c r="S10" s="115"/>
      <c r="T10" s="115"/>
      <c r="U10" s="115"/>
      <c r="V10" s="115"/>
      <c r="W10" s="115"/>
      <c r="X10" s="115"/>
      <c r="Y10" s="115"/>
      <c r="Z10" s="115"/>
      <c r="AA10" s="115"/>
      <c r="AB10" s="114"/>
      <c r="AC10" s="167"/>
      <c r="AD10" s="166"/>
    </row>
    <row r="11" spans="1:35" x14ac:dyDescent="0.2">
      <c r="A11" s="53"/>
      <c r="B11" s="53"/>
      <c r="C11" s="101"/>
      <c r="D11" s="101"/>
      <c r="E11" s="101"/>
      <c r="F11" s="101"/>
      <c r="G11" s="101"/>
      <c r="H11" s="101"/>
      <c r="I11" s="101"/>
      <c r="J11" s="1037">
        <f>SUM(J10+K10)/2</f>
        <v>0</v>
      </c>
      <c r="K11" s="1037"/>
      <c r="L11" s="101"/>
      <c r="M11" s="101"/>
      <c r="N11" s="101"/>
      <c r="O11" s="132"/>
      <c r="P11" s="133"/>
      <c r="Q11" s="133"/>
      <c r="R11" s="133"/>
      <c r="S11" s="134"/>
      <c r="T11" s="134"/>
      <c r="U11" s="134"/>
      <c r="V11" s="134"/>
      <c r="W11" s="134"/>
      <c r="X11" s="134"/>
      <c r="Y11" s="134"/>
      <c r="Z11" s="135"/>
      <c r="AA11" s="136"/>
      <c r="AB11" s="137"/>
      <c r="AC11" s="166"/>
      <c r="AD11" s="166"/>
    </row>
    <row r="12" spans="1:35" ht="36" customHeight="1" x14ac:dyDescent="0.2">
      <c r="A12" s="258" t="s">
        <v>24</v>
      </c>
      <c r="B12" s="258" t="s">
        <v>8</v>
      </c>
      <c r="C12" s="859" t="s">
        <v>32</v>
      </c>
      <c r="D12" s="853" t="s">
        <v>114</v>
      </c>
      <c r="E12" s="260" t="s">
        <v>86</v>
      </c>
      <c r="F12" s="260" t="s">
        <v>115</v>
      </c>
      <c r="G12" s="259" t="s">
        <v>9</v>
      </c>
      <c r="H12" s="259" t="s">
        <v>10</v>
      </c>
      <c r="I12" s="261" t="s">
        <v>88</v>
      </c>
      <c r="J12" s="261" t="s">
        <v>116</v>
      </c>
      <c r="K12" s="261" t="s">
        <v>0</v>
      </c>
      <c r="L12" s="261" t="s">
        <v>117</v>
      </c>
      <c r="M12" s="261" t="s">
        <v>11</v>
      </c>
      <c r="N12" s="261" t="s">
        <v>118</v>
      </c>
      <c r="O12" s="810" t="s">
        <v>268</v>
      </c>
      <c r="P12" s="179"/>
      <c r="Q12" s="179"/>
      <c r="R12" s="179"/>
      <c r="S12" s="24"/>
      <c r="T12" s="24"/>
      <c r="U12" s="24"/>
      <c r="V12" s="24"/>
      <c r="W12" s="122"/>
      <c r="X12" s="24"/>
      <c r="Y12" s="122"/>
      <c r="Z12" s="24"/>
      <c r="AA12" s="123"/>
      <c r="AB12" s="123"/>
      <c r="AC12" s="168"/>
      <c r="AD12" s="169"/>
      <c r="AE12" s="100"/>
      <c r="AF12" s="1"/>
    </row>
    <row r="13" spans="1:35" x14ac:dyDescent="0.2">
      <c r="A13" s="138">
        <v>1</v>
      </c>
      <c r="B13" s="170">
        <v>42217</v>
      </c>
      <c r="C13" s="854"/>
      <c r="D13" s="854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131"/>
      <c r="T13" s="124"/>
      <c r="U13" s="124"/>
      <c r="V13" s="124"/>
      <c r="W13" s="124"/>
      <c r="X13" s="124"/>
      <c r="Y13" s="124"/>
      <c r="Z13" s="124"/>
      <c r="AA13" s="124"/>
      <c r="AB13" s="124"/>
      <c r="AC13" s="27"/>
      <c r="AD13" s="27"/>
      <c r="AE13" s="100"/>
      <c r="AF13" s="1"/>
    </row>
    <row r="14" spans="1:35" x14ac:dyDescent="0.2">
      <c r="A14" s="138">
        <v>2</v>
      </c>
      <c r="B14" s="170">
        <v>42218</v>
      </c>
      <c r="C14" s="854"/>
      <c r="D14" s="854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131"/>
      <c r="T14" s="124"/>
      <c r="U14" s="124"/>
      <c r="V14" s="124"/>
      <c r="W14" s="124"/>
      <c r="X14" s="124"/>
      <c r="Y14" s="124"/>
      <c r="Z14" s="124"/>
      <c r="AA14" s="124"/>
      <c r="AB14" s="124"/>
      <c r="AC14" s="27"/>
      <c r="AD14" s="27"/>
      <c r="AE14" s="1"/>
      <c r="AF14" s="1"/>
    </row>
    <row r="15" spans="1:35" ht="13.5" customHeight="1" x14ac:dyDescent="0.2">
      <c r="A15" s="138">
        <v>3</v>
      </c>
      <c r="B15" s="170">
        <v>42219</v>
      </c>
      <c r="C15" s="854"/>
      <c r="D15" s="854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131"/>
      <c r="T15" s="124"/>
      <c r="U15" s="124"/>
      <c r="V15" s="124"/>
      <c r="W15" s="124"/>
      <c r="X15" s="124"/>
      <c r="Y15" s="124"/>
      <c r="Z15" s="124"/>
      <c r="AA15" s="124"/>
      <c r="AB15" s="124"/>
      <c r="AC15" s="27"/>
      <c r="AD15" s="27"/>
      <c r="AE15" s="125"/>
      <c r="AF15" s="1"/>
    </row>
    <row r="16" spans="1:35" x14ac:dyDescent="0.2">
      <c r="A16" s="138">
        <v>4</v>
      </c>
      <c r="B16" s="170">
        <v>42220</v>
      </c>
      <c r="C16" s="854"/>
      <c r="D16" s="854"/>
      <c r="E16" s="854"/>
      <c r="F16" s="854"/>
      <c r="G16" s="854"/>
      <c r="H16" s="854"/>
      <c r="I16" s="854"/>
      <c r="J16" s="854"/>
      <c r="K16" s="854"/>
      <c r="L16" s="854"/>
      <c r="M16" s="854"/>
      <c r="N16" s="854"/>
      <c r="O16" s="854"/>
      <c r="P16" s="203"/>
      <c r="Q16" s="203"/>
      <c r="R16" s="203"/>
      <c r="S16" s="7"/>
      <c r="T16" s="7"/>
      <c r="U16" s="46"/>
      <c r="V16" s="46"/>
      <c r="W16" s="46"/>
      <c r="X16" s="46"/>
      <c r="Y16" s="46"/>
      <c r="Z16" s="46"/>
      <c r="AA16" s="46"/>
      <c r="AB16" s="46"/>
      <c r="AC16" s="27"/>
      <c r="AD16" s="27"/>
      <c r="AE16" s="1"/>
      <c r="AF16" s="1"/>
    </row>
    <row r="17" spans="1:32" x14ac:dyDescent="0.2">
      <c r="A17" s="138">
        <v>5</v>
      </c>
      <c r="B17" s="170">
        <v>42221</v>
      </c>
      <c r="C17" s="854"/>
      <c r="D17" s="854"/>
      <c r="E17" s="854"/>
      <c r="F17" s="854"/>
      <c r="G17" s="854"/>
      <c r="H17" s="854"/>
      <c r="I17" s="854"/>
      <c r="J17" s="854"/>
      <c r="K17" s="203"/>
      <c r="L17" s="203"/>
      <c r="M17" s="203"/>
      <c r="N17" s="203"/>
      <c r="O17" s="203"/>
      <c r="P17" s="203"/>
      <c r="Q17" s="203"/>
      <c r="R17" s="203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27"/>
      <c r="AD17" s="22"/>
      <c r="AE17" s="1"/>
      <c r="AF17" s="1"/>
    </row>
    <row r="18" spans="1:32" x14ac:dyDescent="0.2">
      <c r="A18" s="138">
        <v>6</v>
      </c>
      <c r="B18" s="170">
        <v>42222</v>
      </c>
      <c r="C18" s="854"/>
      <c r="D18" s="854"/>
      <c r="E18" s="854"/>
      <c r="F18" s="854"/>
      <c r="G18" s="854"/>
      <c r="H18" s="854"/>
      <c r="I18" s="854"/>
      <c r="J18" s="854"/>
      <c r="K18" s="203"/>
      <c r="L18" s="203"/>
      <c r="M18" s="203"/>
      <c r="N18" s="203"/>
      <c r="O18" s="203"/>
      <c r="P18" s="203"/>
      <c r="Q18" s="203"/>
      <c r="R18" s="203"/>
      <c r="S18" s="46"/>
      <c r="T18" s="46"/>
      <c r="U18" s="46"/>
      <c r="V18" s="46"/>
      <c r="W18" s="46"/>
      <c r="X18" s="46"/>
      <c r="Y18" s="46"/>
      <c r="Z18" s="126"/>
      <c r="AA18" s="47"/>
      <c r="AB18" s="47"/>
      <c r="AC18" s="27"/>
      <c r="AD18" s="22"/>
      <c r="AE18" s="1"/>
      <c r="AF18" s="1"/>
    </row>
    <row r="19" spans="1:32" x14ac:dyDescent="0.2">
      <c r="A19" s="138">
        <v>7</v>
      </c>
      <c r="B19" s="170">
        <v>42223</v>
      </c>
      <c r="C19" s="854"/>
      <c r="D19" s="854"/>
      <c r="E19" s="854"/>
      <c r="F19" s="854"/>
      <c r="G19" s="854"/>
      <c r="H19" s="854"/>
      <c r="I19" s="854"/>
      <c r="J19" s="854"/>
      <c r="K19" s="203"/>
      <c r="L19" s="203"/>
      <c r="M19" s="203"/>
      <c r="N19" s="203"/>
      <c r="O19" s="203"/>
      <c r="P19" s="203"/>
      <c r="Q19" s="203"/>
      <c r="R19" s="203"/>
      <c r="S19" s="46"/>
      <c r="T19" s="46"/>
      <c r="U19" s="46"/>
      <c r="V19" s="46"/>
      <c r="W19" s="46"/>
      <c r="X19" s="46"/>
      <c r="Y19" s="46"/>
      <c r="Z19" s="46"/>
      <c r="AA19" s="47"/>
      <c r="AB19" s="47"/>
      <c r="AC19" s="46"/>
      <c r="AD19" s="22"/>
      <c r="AE19" s="1"/>
      <c r="AF19" s="1"/>
    </row>
    <row r="20" spans="1:32" x14ac:dyDescent="0.2">
      <c r="A20" s="138">
        <v>8</v>
      </c>
      <c r="B20" s="170">
        <v>42224</v>
      </c>
      <c r="C20" s="854"/>
      <c r="D20" s="854"/>
      <c r="E20" s="854"/>
      <c r="F20" s="854"/>
      <c r="G20" s="854"/>
      <c r="H20" s="854"/>
      <c r="I20" s="854"/>
      <c r="J20" s="854"/>
      <c r="K20" s="203"/>
      <c r="L20" s="203"/>
      <c r="M20" s="203"/>
      <c r="N20" s="203"/>
      <c r="O20" s="203"/>
      <c r="P20" s="203"/>
      <c r="Q20" s="203"/>
      <c r="R20" s="203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2"/>
      <c r="AE20" s="1"/>
      <c r="AF20" s="1"/>
    </row>
    <row r="21" spans="1:32" x14ac:dyDescent="0.2">
      <c r="A21" s="138">
        <v>9</v>
      </c>
      <c r="B21" s="170">
        <v>42225</v>
      </c>
      <c r="C21" s="854"/>
      <c r="D21" s="854"/>
      <c r="E21" s="854"/>
      <c r="F21" s="854"/>
      <c r="G21" s="854"/>
      <c r="H21" s="854"/>
      <c r="I21" s="854"/>
      <c r="J21" s="854"/>
      <c r="K21" s="203"/>
      <c r="L21" s="203"/>
      <c r="M21" s="203"/>
      <c r="N21" s="203"/>
      <c r="O21" s="203"/>
      <c r="P21" s="203"/>
      <c r="Q21" s="203"/>
      <c r="R21" s="203"/>
      <c r="S21" s="124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22"/>
      <c r="AE21" s="1"/>
      <c r="AF21" s="1"/>
    </row>
    <row r="22" spans="1:32" ht="13.5" customHeight="1" x14ac:dyDescent="0.2">
      <c r="A22" s="138">
        <v>10</v>
      </c>
      <c r="B22" s="170">
        <v>42226</v>
      </c>
      <c r="C22" s="854"/>
      <c r="D22" s="854"/>
      <c r="E22" s="854"/>
      <c r="F22" s="854"/>
      <c r="G22" s="854"/>
      <c r="H22" s="854"/>
      <c r="I22" s="854"/>
      <c r="J22" s="854"/>
      <c r="K22" s="203"/>
      <c r="L22" s="203"/>
      <c r="M22" s="203"/>
      <c r="N22" s="203"/>
      <c r="O22" s="203"/>
      <c r="P22" s="203"/>
      <c r="Q22" s="203"/>
      <c r="R22" s="203"/>
      <c r="S22" s="1"/>
      <c r="T22" s="1"/>
      <c r="U22" s="1"/>
      <c r="V22" s="166"/>
      <c r="W22" s="1"/>
      <c r="X22" s="1"/>
      <c r="Y22" s="1"/>
      <c r="Z22" s="127"/>
      <c r="AA22" s="14"/>
      <c r="AB22" s="14"/>
      <c r="AC22" s="14"/>
      <c r="AD22" s="1"/>
      <c r="AE22" s="1"/>
      <c r="AF22" s="1"/>
    </row>
    <row r="23" spans="1:32" x14ac:dyDescent="0.2">
      <c r="A23" s="138">
        <v>11</v>
      </c>
      <c r="B23" s="170">
        <v>42227</v>
      </c>
      <c r="C23" s="854"/>
      <c r="D23" s="854"/>
      <c r="E23" s="854"/>
      <c r="F23" s="854"/>
      <c r="G23" s="854"/>
      <c r="H23" s="854"/>
      <c r="I23" s="854"/>
      <c r="J23" s="854"/>
      <c r="K23" s="203"/>
      <c r="L23" s="203"/>
      <c r="M23" s="203"/>
      <c r="N23" s="203"/>
      <c r="O23" s="203"/>
      <c r="P23" s="203"/>
      <c r="Q23" s="203"/>
      <c r="R23" s="203"/>
      <c r="S23" s="1"/>
      <c r="T23" s="1"/>
      <c r="U23" s="1"/>
      <c r="V23" s="128"/>
      <c r="W23" s="1"/>
      <c r="X23" s="1"/>
      <c r="Y23" s="1"/>
      <c r="Z23" s="8"/>
      <c r="AA23" s="8"/>
      <c r="AB23" s="8"/>
      <c r="AC23" s="8"/>
      <c r="AD23" s="1"/>
      <c r="AE23" s="1"/>
      <c r="AF23" s="1"/>
    </row>
    <row r="24" spans="1:32" x14ac:dyDescent="0.2">
      <c r="A24" s="138">
        <v>12</v>
      </c>
      <c r="B24" s="170">
        <v>42228</v>
      </c>
      <c r="C24" s="854"/>
      <c r="D24" s="854"/>
      <c r="E24" s="854"/>
      <c r="F24" s="854"/>
      <c r="G24" s="854"/>
      <c r="H24" s="854"/>
      <c r="I24" s="854"/>
      <c r="J24" s="854"/>
      <c r="K24" s="203"/>
      <c r="L24" s="203"/>
      <c r="M24" s="203"/>
      <c r="N24" s="203"/>
      <c r="O24" s="203"/>
      <c r="P24" s="203"/>
      <c r="Q24" s="203"/>
      <c r="R24" s="203"/>
      <c r="S24" s="1"/>
      <c r="T24" s="1"/>
      <c r="U24" s="1"/>
      <c r="V24" s="129"/>
      <c r="W24" s="1"/>
      <c r="X24" s="1"/>
      <c r="Y24" s="1"/>
      <c r="Z24" s="7"/>
      <c r="AA24" s="7"/>
      <c r="AB24" s="7"/>
      <c r="AC24" s="7"/>
      <c r="AD24" s="1"/>
      <c r="AE24" s="1"/>
      <c r="AF24" s="1"/>
    </row>
    <row r="25" spans="1:32" ht="13.5" customHeight="1" x14ac:dyDescent="0.2">
      <c r="A25" s="138">
        <v>13</v>
      </c>
      <c r="B25" s="170">
        <v>42229</v>
      </c>
      <c r="C25" s="854"/>
      <c r="D25" s="854"/>
      <c r="E25" s="854"/>
      <c r="F25" s="854"/>
      <c r="G25" s="854"/>
      <c r="H25" s="854"/>
      <c r="I25" s="854"/>
      <c r="J25" s="854"/>
      <c r="K25" s="203"/>
      <c r="L25" s="203"/>
      <c r="M25" s="203"/>
      <c r="N25" s="203"/>
      <c r="O25" s="203"/>
      <c r="P25" s="203"/>
      <c r="Q25" s="203"/>
      <c r="R25" s="203"/>
      <c r="S25" s="1"/>
      <c r="T25" s="1"/>
      <c r="U25" s="1"/>
      <c r="V25" s="130"/>
      <c r="W25" s="1"/>
      <c r="X25" s="1"/>
      <c r="Y25" s="1"/>
      <c r="Z25" s="7"/>
      <c r="AA25" s="7"/>
      <c r="AB25" s="7"/>
      <c r="AC25" s="7"/>
      <c r="AD25" s="1"/>
      <c r="AE25" s="1"/>
      <c r="AF25" s="1"/>
    </row>
    <row r="26" spans="1:32" x14ac:dyDescent="0.2">
      <c r="A26" s="138">
        <v>14</v>
      </c>
      <c r="B26" s="170">
        <v>42230</v>
      </c>
      <c r="C26" s="854"/>
      <c r="D26" s="854"/>
      <c r="E26" s="854"/>
      <c r="F26" s="854"/>
      <c r="G26" s="854"/>
      <c r="H26" s="854"/>
      <c r="I26" s="854"/>
      <c r="J26" s="854"/>
      <c r="K26" s="203"/>
      <c r="L26" s="203"/>
      <c r="M26" s="203"/>
      <c r="N26" s="203"/>
      <c r="O26" s="203"/>
      <c r="P26" s="203"/>
      <c r="Q26" s="203"/>
      <c r="R26" s="203"/>
      <c r="S26" s="1"/>
      <c r="T26" s="1"/>
      <c r="U26" s="1"/>
      <c r="V26" s="130"/>
      <c r="W26" s="1"/>
      <c r="X26" s="1"/>
      <c r="Y26" s="1"/>
      <c r="Z26" s="7"/>
      <c r="AA26" s="7"/>
      <c r="AB26" s="7"/>
      <c r="AC26" s="7"/>
      <c r="AD26" s="1"/>
      <c r="AE26" s="1"/>
      <c r="AF26" s="1"/>
    </row>
    <row r="27" spans="1:32" x14ac:dyDescent="0.2">
      <c r="A27" s="138">
        <v>15</v>
      </c>
      <c r="B27" s="170">
        <v>42231</v>
      </c>
      <c r="C27" s="854"/>
      <c r="D27" s="854"/>
      <c r="E27" s="854"/>
      <c r="F27" s="854"/>
      <c r="G27" s="854"/>
      <c r="H27" s="854"/>
      <c r="I27" s="854"/>
      <c r="J27" s="854"/>
      <c r="K27" s="203"/>
      <c r="L27" s="203"/>
      <c r="M27" s="203"/>
      <c r="N27" s="203"/>
      <c r="O27" s="203"/>
      <c r="P27" s="203"/>
      <c r="Q27" s="203"/>
      <c r="R27" s="203"/>
      <c r="S27" s="120"/>
      <c r="T27" s="120"/>
      <c r="U27" s="120"/>
      <c r="V27" s="121"/>
      <c r="W27" s="54"/>
      <c r="X27" s="54"/>
      <c r="Y27" s="54"/>
      <c r="Z27" s="119"/>
      <c r="AA27" s="119"/>
      <c r="AB27" s="7"/>
      <c r="AC27" s="7"/>
      <c r="AD27" s="1"/>
      <c r="AE27" s="1"/>
      <c r="AF27" s="1"/>
    </row>
    <row r="28" spans="1:32" x14ac:dyDescent="0.2">
      <c r="A28" s="138">
        <v>16</v>
      </c>
      <c r="B28" s="170">
        <v>42232</v>
      </c>
      <c r="C28" s="854"/>
      <c r="D28" s="854"/>
      <c r="E28" s="854"/>
      <c r="F28" s="854"/>
      <c r="G28" s="854"/>
      <c r="H28" s="854"/>
      <c r="I28" s="854"/>
      <c r="J28" s="854"/>
      <c r="K28" s="203"/>
      <c r="L28" s="203"/>
      <c r="M28" s="203"/>
      <c r="N28" s="203"/>
      <c r="O28" s="203"/>
      <c r="P28" s="203"/>
      <c r="Q28" s="203"/>
      <c r="R28" s="203"/>
      <c r="S28" s="43"/>
      <c r="T28" s="43"/>
      <c r="U28" s="43"/>
      <c r="V28" s="43"/>
      <c r="W28" s="43"/>
      <c r="X28" s="43"/>
      <c r="Y28" s="43"/>
      <c r="Z28" s="43"/>
      <c r="AA28" s="7"/>
      <c r="AB28" s="7"/>
      <c r="AC28" s="7"/>
      <c r="AD28" s="1"/>
      <c r="AE28" s="1"/>
      <c r="AF28" s="1"/>
    </row>
    <row r="29" spans="1:32" x14ac:dyDescent="0.2">
      <c r="A29" s="138">
        <v>17</v>
      </c>
      <c r="B29" s="170">
        <v>42233</v>
      </c>
      <c r="C29" s="854"/>
      <c r="D29" s="854"/>
      <c r="E29" s="854"/>
      <c r="F29" s="854"/>
      <c r="G29" s="854"/>
      <c r="H29" s="854"/>
      <c r="I29" s="854"/>
      <c r="J29" s="854"/>
      <c r="K29" s="203"/>
      <c r="L29" s="203"/>
      <c r="M29" s="203"/>
      <c r="N29" s="203"/>
      <c r="O29" s="203"/>
      <c r="P29" s="203"/>
      <c r="Q29" s="203"/>
      <c r="R29" s="203"/>
      <c r="S29" s="43"/>
      <c r="T29" s="43"/>
      <c r="U29" s="43"/>
      <c r="V29" s="43"/>
      <c r="W29" s="43"/>
      <c r="X29" s="43"/>
      <c r="Y29" s="43"/>
      <c r="Z29" s="43"/>
      <c r="AA29" s="7"/>
      <c r="AB29" s="7"/>
      <c r="AC29" s="7"/>
      <c r="AD29" s="1"/>
      <c r="AE29" s="1"/>
      <c r="AF29" s="1"/>
    </row>
    <row r="30" spans="1:32" x14ac:dyDescent="0.2">
      <c r="A30" s="138">
        <v>18</v>
      </c>
      <c r="B30" s="170">
        <v>42234</v>
      </c>
      <c r="C30" s="854"/>
      <c r="D30" s="854"/>
      <c r="E30" s="854"/>
      <c r="F30" s="854"/>
      <c r="G30" s="854"/>
      <c r="H30" s="854"/>
      <c r="I30" s="854"/>
      <c r="J30" s="854"/>
      <c r="K30" s="203"/>
      <c r="L30" s="203"/>
      <c r="M30" s="203"/>
      <c r="N30" s="203"/>
      <c r="O30" s="203"/>
      <c r="P30" s="203"/>
      <c r="Q30" s="203"/>
      <c r="R30" s="203"/>
      <c r="S30" s="43"/>
      <c r="T30" s="43"/>
      <c r="U30" s="43"/>
      <c r="V30" s="43"/>
      <c r="W30" s="43"/>
      <c r="X30" s="43"/>
      <c r="Y30" s="43"/>
      <c r="Z30" s="7"/>
      <c r="AA30" s="7"/>
      <c r="AB30" s="7"/>
      <c r="AC30" s="1"/>
    </row>
    <row r="31" spans="1:32" x14ac:dyDescent="0.2">
      <c r="A31" s="138">
        <v>19</v>
      </c>
      <c r="B31" s="170">
        <v>42235</v>
      </c>
      <c r="C31" s="854"/>
      <c r="D31" s="854"/>
      <c r="E31" s="854"/>
      <c r="F31" s="854"/>
      <c r="G31" s="854"/>
      <c r="H31" s="854"/>
      <c r="I31" s="854"/>
      <c r="J31" s="854"/>
      <c r="K31" s="203"/>
      <c r="L31" s="203"/>
      <c r="M31" s="203"/>
      <c r="N31" s="203"/>
      <c r="O31" s="203"/>
      <c r="P31" s="203"/>
      <c r="Q31" s="203"/>
      <c r="R31" s="203"/>
      <c r="S31" s="43"/>
      <c r="T31" s="43"/>
      <c r="U31" s="43"/>
      <c r="V31" s="43"/>
      <c r="W31" s="43"/>
      <c r="X31" s="43"/>
      <c r="Y31" s="43"/>
      <c r="Z31" s="7"/>
      <c r="AA31" s="7"/>
      <c r="AB31" s="7"/>
      <c r="AC31" s="1"/>
    </row>
    <row r="32" spans="1:32" x14ac:dyDescent="0.2">
      <c r="A32" s="138">
        <v>20</v>
      </c>
      <c r="B32" s="170">
        <v>42236</v>
      </c>
      <c r="C32" s="854"/>
      <c r="D32" s="854"/>
      <c r="E32" s="854"/>
      <c r="F32" s="854"/>
      <c r="G32" s="854"/>
      <c r="H32" s="854"/>
      <c r="I32" s="854"/>
      <c r="J32" s="854"/>
      <c r="K32" s="203"/>
      <c r="L32" s="203"/>
      <c r="M32" s="203"/>
      <c r="N32" s="203"/>
      <c r="O32" s="203"/>
      <c r="P32" s="203"/>
      <c r="Q32" s="203"/>
      <c r="R32" s="203"/>
      <c r="S32" s="43"/>
      <c r="T32" s="43"/>
      <c r="U32" s="43"/>
      <c r="V32" s="43"/>
      <c r="W32" s="43"/>
      <c r="X32" s="43"/>
      <c r="Y32" s="43"/>
      <c r="Z32" s="7"/>
      <c r="AA32" s="7"/>
      <c r="AB32" s="7"/>
      <c r="AC32" s="1"/>
    </row>
    <row r="33" spans="1:33" x14ac:dyDescent="0.2">
      <c r="A33" s="138">
        <v>21</v>
      </c>
      <c r="B33" s="170">
        <v>42237</v>
      </c>
      <c r="C33" s="854"/>
      <c r="D33" s="854"/>
      <c r="E33" s="854"/>
      <c r="F33" s="854"/>
      <c r="G33" s="854"/>
      <c r="H33" s="854"/>
      <c r="I33" s="854"/>
      <c r="J33" s="854"/>
      <c r="K33" s="203"/>
      <c r="L33" s="203"/>
      <c r="M33" s="203"/>
      <c r="N33" s="203"/>
      <c r="O33" s="203"/>
      <c r="P33" s="203"/>
      <c r="Q33" s="203"/>
      <c r="R33" s="203"/>
      <c r="S33" s="43"/>
      <c r="T33" s="43"/>
      <c r="U33" s="43"/>
      <c r="V33" s="43"/>
      <c r="W33" s="43"/>
      <c r="X33" s="43"/>
      <c r="Y33" s="43"/>
      <c r="Z33" s="7"/>
      <c r="AA33" s="7"/>
      <c r="AB33" s="7"/>
      <c r="AC33" s="1"/>
    </row>
    <row r="34" spans="1:33" x14ac:dyDescent="0.2">
      <c r="A34" s="138">
        <v>22</v>
      </c>
      <c r="B34" s="170">
        <v>42238</v>
      </c>
      <c r="C34" s="854"/>
      <c r="D34" s="854"/>
      <c r="E34" s="854"/>
      <c r="F34" s="854"/>
      <c r="G34" s="854"/>
      <c r="H34" s="854"/>
      <c r="I34" s="854"/>
      <c r="J34" s="854"/>
      <c r="K34" s="203"/>
      <c r="L34" s="203"/>
      <c r="M34" s="203"/>
      <c r="N34" s="203"/>
      <c r="O34" s="203"/>
      <c r="P34" s="203"/>
      <c r="Q34" s="203"/>
      <c r="R34" s="203"/>
      <c r="S34" s="43"/>
      <c r="T34" s="43"/>
      <c r="U34" s="44"/>
      <c r="V34" s="43"/>
      <c r="W34" s="43"/>
      <c r="X34" s="43"/>
      <c r="Y34" s="43"/>
      <c r="Z34" s="7"/>
      <c r="AA34" s="7"/>
      <c r="AB34" s="7"/>
      <c r="AC34" s="1"/>
    </row>
    <row r="35" spans="1:33" x14ac:dyDescent="0.2">
      <c r="A35" s="138">
        <v>23</v>
      </c>
      <c r="B35" s="170">
        <v>42239</v>
      </c>
      <c r="C35" s="854"/>
      <c r="D35" s="854"/>
      <c r="E35" s="854"/>
      <c r="F35" s="854"/>
      <c r="G35" s="854"/>
      <c r="H35" s="854"/>
      <c r="I35" s="854"/>
      <c r="J35" s="854"/>
      <c r="K35" s="203"/>
      <c r="L35" s="203"/>
      <c r="M35" s="203"/>
      <c r="N35" s="203"/>
      <c r="O35" s="203"/>
      <c r="P35" s="203"/>
      <c r="Q35" s="203"/>
      <c r="R35" s="203"/>
      <c r="S35" s="43"/>
      <c r="T35" s="43"/>
      <c r="U35" s="43"/>
      <c r="V35" s="43"/>
      <c r="W35" s="43"/>
      <c r="X35" s="43"/>
      <c r="Y35" s="43"/>
      <c r="Z35" s="7"/>
      <c r="AA35" s="7"/>
      <c r="AB35" s="7"/>
      <c r="AC35" s="1"/>
    </row>
    <row r="36" spans="1:33" x14ac:dyDescent="0.2">
      <c r="A36" s="138">
        <v>24</v>
      </c>
      <c r="B36" s="170">
        <v>42240</v>
      </c>
      <c r="C36" s="854"/>
      <c r="D36" s="854"/>
      <c r="E36" s="854"/>
      <c r="F36" s="854"/>
      <c r="G36" s="854"/>
      <c r="H36" s="854"/>
      <c r="I36" s="854"/>
      <c r="J36" s="854"/>
      <c r="K36" s="203"/>
      <c r="L36" s="203"/>
      <c r="M36" s="203"/>
      <c r="N36" s="203"/>
      <c r="O36" s="203"/>
      <c r="P36" s="203"/>
      <c r="Q36" s="203"/>
      <c r="R36" s="203"/>
      <c r="S36" s="7"/>
      <c r="T36" s="7"/>
      <c r="U36" s="7"/>
      <c r="V36" s="7"/>
      <c r="W36" s="7"/>
      <c r="X36" s="7"/>
      <c r="Y36" s="7"/>
      <c r="Z36" s="7"/>
      <c r="AA36" s="7"/>
      <c r="AB36" s="7"/>
      <c r="AC36" s="1"/>
    </row>
    <row r="37" spans="1:33" x14ac:dyDescent="0.2">
      <c r="A37" s="138">
        <v>25</v>
      </c>
      <c r="B37" s="170">
        <v>42241</v>
      </c>
      <c r="C37" s="854"/>
      <c r="D37" s="854"/>
      <c r="E37" s="854"/>
      <c r="F37" s="854"/>
      <c r="G37" s="854"/>
      <c r="H37" s="854"/>
      <c r="I37" s="854"/>
      <c r="J37" s="854"/>
      <c r="K37" s="203"/>
      <c r="L37" s="203"/>
      <c r="M37" s="203"/>
      <c r="N37" s="203"/>
      <c r="O37" s="203"/>
      <c r="P37" s="203"/>
      <c r="Q37" s="203"/>
      <c r="R37" s="203"/>
      <c r="S37" s="7"/>
      <c r="T37" s="7"/>
      <c r="U37" s="7"/>
      <c r="V37" s="7"/>
      <c r="W37" s="7"/>
      <c r="X37" s="7"/>
      <c r="Y37" s="7"/>
      <c r="Z37" s="7"/>
      <c r="AA37" s="7"/>
      <c r="AB37" s="7"/>
      <c r="AC37" s="1"/>
    </row>
    <row r="38" spans="1:33" x14ac:dyDescent="0.2">
      <c r="A38" s="138">
        <v>26</v>
      </c>
      <c r="B38" s="170">
        <v>42242</v>
      </c>
      <c r="C38" s="854"/>
      <c r="D38" s="854"/>
      <c r="E38" s="854"/>
      <c r="F38" s="854"/>
      <c r="G38" s="854"/>
      <c r="H38" s="854"/>
      <c r="I38" s="854"/>
      <c r="J38" s="854"/>
      <c r="K38" s="203"/>
      <c r="L38" s="203"/>
      <c r="M38" s="203"/>
      <c r="N38" s="203"/>
      <c r="O38" s="203"/>
      <c r="P38" s="203"/>
      <c r="Q38" s="203"/>
      <c r="R38" s="203"/>
      <c r="S38" s="7"/>
      <c r="T38" s="7"/>
      <c r="U38" s="7"/>
      <c r="V38" s="7"/>
      <c r="W38" s="7"/>
      <c r="X38" s="7"/>
      <c r="Y38" s="7"/>
      <c r="Z38" s="7"/>
      <c r="AA38" s="7"/>
      <c r="AB38" s="7"/>
      <c r="AC38" s="1"/>
    </row>
    <row r="39" spans="1:33" x14ac:dyDescent="0.2">
      <c r="A39" s="138">
        <v>27</v>
      </c>
      <c r="B39" s="170">
        <v>42243</v>
      </c>
      <c r="C39" s="854"/>
      <c r="D39" s="854"/>
      <c r="E39" s="854"/>
      <c r="F39" s="854"/>
      <c r="G39" s="854"/>
      <c r="H39" s="854"/>
      <c r="I39" s="854"/>
      <c r="J39" s="854"/>
      <c r="K39" s="203"/>
      <c r="L39" s="203"/>
      <c r="M39" s="203"/>
      <c r="N39" s="203"/>
      <c r="O39" s="203"/>
      <c r="P39" s="203"/>
      <c r="Q39" s="203"/>
      <c r="R39" s="203"/>
      <c r="S39" s="7"/>
      <c r="T39" s="7"/>
      <c r="U39" s="7"/>
      <c r="V39" s="7"/>
      <c r="W39" s="7"/>
      <c r="X39" s="7"/>
      <c r="Y39" s="7"/>
      <c r="Z39" s="7"/>
      <c r="AA39" s="7"/>
      <c r="AB39" s="7"/>
      <c r="AC39" s="1"/>
    </row>
    <row r="40" spans="1:33" x14ac:dyDescent="0.2">
      <c r="A40" s="138">
        <v>28</v>
      </c>
      <c r="B40" s="170">
        <v>42244</v>
      </c>
      <c r="C40" s="854"/>
      <c r="D40" s="854"/>
      <c r="E40" s="854"/>
      <c r="F40" s="854"/>
      <c r="G40" s="854"/>
      <c r="H40" s="854"/>
      <c r="I40" s="854"/>
      <c r="J40" s="854"/>
      <c r="K40" s="203"/>
      <c r="L40" s="203"/>
      <c r="M40" s="203"/>
      <c r="N40" s="203"/>
      <c r="O40" s="203"/>
      <c r="P40" s="203"/>
      <c r="Q40" s="203"/>
      <c r="R40" s="203"/>
      <c r="S40" s="7"/>
      <c r="T40" s="7"/>
      <c r="U40" s="7"/>
      <c r="V40" s="7"/>
      <c r="W40" s="7"/>
      <c r="X40" s="7"/>
      <c r="Y40" s="7"/>
      <c r="Z40" s="7"/>
      <c r="AA40" s="7"/>
      <c r="AB40" s="7"/>
      <c r="AC40" s="1"/>
    </row>
    <row r="41" spans="1:33" x14ac:dyDescent="0.2">
      <c r="A41" s="138">
        <v>29</v>
      </c>
      <c r="B41" s="170">
        <v>42245</v>
      </c>
      <c r="C41" s="854"/>
      <c r="D41" s="854"/>
      <c r="E41" s="854"/>
      <c r="F41" s="854"/>
      <c r="G41" s="854"/>
      <c r="H41" s="854"/>
      <c r="I41" s="854"/>
      <c r="J41" s="854"/>
      <c r="K41" s="203"/>
      <c r="L41" s="203"/>
      <c r="M41" s="203"/>
      <c r="N41" s="203"/>
      <c r="O41" s="203"/>
      <c r="P41" s="203"/>
      <c r="Q41" s="203"/>
      <c r="R41" s="203"/>
      <c r="S41" s="7"/>
      <c r="T41" s="7"/>
      <c r="U41" s="7"/>
      <c r="V41" s="7"/>
      <c r="W41" s="7"/>
      <c r="X41" s="7"/>
      <c r="Y41" s="7"/>
      <c r="Z41" s="7"/>
      <c r="AA41" s="7"/>
      <c r="AB41" s="7"/>
      <c r="AC41" s="1"/>
    </row>
    <row r="42" spans="1:33" x14ac:dyDescent="0.2">
      <c r="A42" s="138">
        <v>30</v>
      </c>
      <c r="B42" s="170">
        <v>42246</v>
      </c>
      <c r="C42" s="854"/>
      <c r="D42" s="854"/>
      <c r="E42" s="854"/>
      <c r="F42" s="854"/>
      <c r="G42" s="854"/>
      <c r="H42" s="854"/>
      <c r="I42" s="854"/>
      <c r="J42" s="854"/>
      <c r="K42" s="203"/>
      <c r="L42" s="203"/>
      <c r="M42" s="203"/>
      <c r="N42" s="203"/>
      <c r="O42" s="203"/>
      <c r="P42" s="203"/>
      <c r="Q42" s="203"/>
      <c r="R42" s="203"/>
      <c r="S42" s="7"/>
      <c r="T42" s="7"/>
      <c r="U42" s="7"/>
      <c r="V42" s="7"/>
      <c r="W42" s="7"/>
      <c r="X42" s="7"/>
      <c r="Y42" s="7"/>
      <c r="Z42" s="7"/>
      <c r="AA42" s="7"/>
      <c r="AB42" s="7"/>
      <c r="AC42" s="1"/>
    </row>
    <row r="43" spans="1:33" x14ac:dyDescent="0.2">
      <c r="A43" s="138">
        <v>31</v>
      </c>
      <c r="B43" s="170">
        <v>42247</v>
      </c>
      <c r="C43" s="854"/>
      <c r="D43" s="854"/>
      <c r="E43" s="854"/>
      <c r="F43" s="854"/>
      <c r="G43" s="854"/>
      <c r="H43" s="854"/>
      <c r="I43" s="854"/>
      <c r="J43" s="854"/>
      <c r="K43" s="203"/>
      <c r="L43" s="203"/>
      <c r="M43" s="203"/>
      <c r="N43" s="203"/>
      <c r="O43" s="203"/>
      <c r="P43" s="203"/>
      <c r="Q43" s="203"/>
      <c r="R43" s="203"/>
      <c r="S43" s="7"/>
      <c r="T43" s="7"/>
      <c r="U43" s="7"/>
      <c r="V43" s="7"/>
      <c r="W43" s="7"/>
      <c r="X43" s="7"/>
      <c r="Y43" s="7"/>
      <c r="Z43" s="7"/>
      <c r="AA43" s="7"/>
      <c r="AB43" s="7"/>
      <c r="AC43" s="1"/>
    </row>
    <row r="44" spans="1:33" x14ac:dyDescent="0.2">
      <c r="A44" s="138">
        <v>32</v>
      </c>
      <c r="B44" s="170">
        <v>42248</v>
      </c>
      <c r="C44" s="854"/>
      <c r="D44" s="854"/>
      <c r="E44" s="854"/>
      <c r="F44" s="854"/>
      <c r="G44" s="854"/>
      <c r="H44" s="854"/>
      <c r="I44" s="854"/>
      <c r="J44" s="854"/>
      <c r="K44" s="203"/>
      <c r="L44" s="203"/>
      <c r="M44" s="203"/>
      <c r="N44" s="203"/>
      <c r="O44" s="203"/>
      <c r="P44" s="203"/>
      <c r="Q44" s="203"/>
      <c r="R44" s="203"/>
      <c r="S44" s="7"/>
      <c r="T44" s="7"/>
      <c r="U44" s="7"/>
      <c r="V44" s="7"/>
      <c r="W44" s="7"/>
      <c r="X44" s="7"/>
      <c r="Y44" s="7"/>
      <c r="Z44" s="7"/>
      <c r="AA44" s="7"/>
      <c r="AB44" s="7"/>
      <c r="AC44" s="1"/>
    </row>
    <row r="45" spans="1:33" x14ac:dyDescent="0.2">
      <c r="A45" s="138">
        <v>33</v>
      </c>
      <c r="B45" s="170">
        <v>42249</v>
      </c>
      <c r="C45" s="854"/>
      <c r="D45" s="854"/>
      <c r="E45" s="854"/>
      <c r="F45" s="854"/>
      <c r="G45" s="854"/>
      <c r="H45" s="854"/>
      <c r="I45" s="854"/>
      <c r="J45" s="854"/>
      <c r="K45" s="203"/>
      <c r="L45" s="203"/>
      <c r="M45" s="203"/>
      <c r="N45" s="203"/>
      <c r="O45" s="203"/>
      <c r="P45" s="203"/>
      <c r="Q45" s="203"/>
      <c r="R45" s="203"/>
      <c r="S45" s="7"/>
      <c r="T45" s="7"/>
      <c r="U45" s="7"/>
      <c r="V45" s="7"/>
      <c r="W45" s="7"/>
      <c r="X45" s="7"/>
      <c r="Y45" s="7"/>
      <c r="Z45" s="7"/>
      <c r="AA45" s="7"/>
      <c r="AB45" s="7"/>
      <c r="AC45" s="1"/>
    </row>
    <row r="46" spans="1:33" x14ac:dyDescent="0.2">
      <c r="A46" s="138">
        <v>34</v>
      </c>
      <c r="B46" s="170">
        <v>42250</v>
      </c>
      <c r="C46" s="854"/>
      <c r="D46" s="854"/>
      <c r="E46" s="854"/>
      <c r="F46" s="854"/>
      <c r="G46" s="854"/>
      <c r="H46" s="854"/>
      <c r="I46" s="854"/>
      <c r="J46" s="854"/>
      <c r="K46" s="203"/>
      <c r="L46" s="203"/>
      <c r="M46" s="203"/>
      <c r="N46" s="203"/>
      <c r="O46" s="203"/>
      <c r="P46" s="203"/>
      <c r="Q46" s="203"/>
      <c r="R46" s="203"/>
      <c r="S46" s="7"/>
      <c r="T46" s="7"/>
      <c r="U46" s="7"/>
      <c r="V46" s="7"/>
      <c r="W46" s="7"/>
      <c r="X46" s="8"/>
      <c r="Y46" s="8"/>
      <c r="Z46" s="8"/>
      <c r="AA46" s="8"/>
      <c r="AB46" s="8"/>
      <c r="AC46" s="1"/>
      <c r="AD46" s="1"/>
      <c r="AE46" s="1"/>
      <c r="AF46" s="1"/>
      <c r="AG46" s="1"/>
    </row>
    <row r="47" spans="1:33" x14ac:dyDescent="0.2">
      <c r="A47" s="138">
        <v>35</v>
      </c>
      <c r="B47" s="170">
        <v>42251</v>
      </c>
      <c r="C47" s="854"/>
      <c r="D47" s="854"/>
      <c r="E47" s="854"/>
      <c r="F47" s="854"/>
      <c r="G47" s="854"/>
      <c r="H47" s="854"/>
      <c r="I47" s="854"/>
      <c r="J47" s="854"/>
      <c r="K47" s="203"/>
      <c r="L47" s="203"/>
      <c r="M47" s="203"/>
      <c r="N47" s="203"/>
      <c r="O47" s="203"/>
      <c r="P47" s="203"/>
      <c r="Q47" s="203"/>
      <c r="R47" s="203"/>
      <c r="S47" s="7"/>
      <c r="T47" s="7"/>
      <c r="U47" s="7"/>
      <c r="V47" s="7"/>
      <c r="W47" s="7"/>
      <c r="X47" s="8"/>
      <c r="Y47" s="8"/>
      <c r="Z47" s="8"/>
      <c r="AA47" s="8"/>
      <c r="AB47" s="8"/>
      <c r="AC47" s="1"/>
      <c r="AD47" s="1"/>
      <c r="AE47" s="1"/>
      <c r="AF47" s="1"/>
      <c r="AG47" s="1"/>
    </row>
    <row r="48" spans="1:33" x14ac:dyDescent="0.2">
      <c r="A48" s="138">
        <v>36</v>
      </c>
      <c r="B48" s="170">
        <v>42252</v>
      </c>
      <c r="C48" s="854"/>
      <c r="D48" s="854"/>
      <c r="E48" s="854"/>
      <c r="F48" s="854"/>
      <c r="G48" s="854"/>
      <c r="H48" s="854"/>
      <c r="I48" s="854"/>
      <c r="J48" s="854"/>
      <c r="K48" s="203"/>
      <c r="L48" s="203"/>
      <c r="M48" s="203"/>
      <c r="N48" s="203"/>
      <c r="O48" s="203"/>
      <c r="P48" s="203"/>
      <c r="Q48" s="203"/>
      <c r="R48" s="203"/>
      <c r="S48" s="7"/>
      <c r="T48" s="7"/>
      <c r="U48" s="7"/>
      <c r="V48" s="7"/>
      <c r="W48" s="7"/>
      <c r="X48" s="8"/>
      <c r="Y48" s="8"/>
      <c r="Z48" s="8"/>
      <c r="AA48" s="8"/>
      <c r="AB48" s="8"/>
      <c r="AC48" s="1"/>
      <c r="AD48" s="1"/>
      <c r="AE48" s="1"/>
      <c r="AF48" s="1"/>
      <c r="AG48" s="1"/>
    </row>
    <row r="49" spans="1:33" x14ac:dyDescent="0.2">
      <c r="A49" s="138">
        <v>37</v>
      </c>
      <c r="B49" s="170">
        <v>42253</v>
      </c>
      <c r="C49" s="854"/>
      <c r="D49" s="854"/>
      <c r="E49" s="854"/>
      <c r="F49" s="854"/>
      <c r="G49" s="854"/>
      <c r="H49" s="854"/>
      <c r="I49" s="854"/>
      <c r="J49" s="854"/>
      <c r="K49" s="203"/>
      <c r="L49" s="203"/>
      <c r="M49" s="203"/>
      <c r="N49" s="203"/>
      <c r="O49" s="203"/>
      <c r="P49" s="203"/>
      <c r="Q49" s="203"/>
      <c r="R49" s="203"/>
      <c r="S49" s="7"/>
      <c r="T49" s="7"/>
      <c r="U49" s="7"/>
      <c r="V49" s="7"/>
      <c r="W49" s="7"/>
      <c r="X49" s="9"/>
      <c r="Y49" s="9"/>
      <c r="Z49" s="9"/>
      <c r="AA49" s="9"/>
      <c r="AB49" s="9"/>
      <c r="AC49" s="1"/>
      <c r="AD49" s="1"/>
      <c r="AE49" s="1"/>
      <c r="AF49" s="1"/>
      <c r="AG49" s="1"/>
    </row>
    <row r="50" spans="1:33" x14ac:dyDescent="0.2">
      <c r="A50" s="138">
        <v>38</v>
      </c>
      <c r="B50" s="170">
        <v>42254</v>
      </c>
      <c r="C50" s="854"/>
      <c r="D50" s="854"/>
      <c r="E50" s="854"/>
      <c r="F50" s="854"/>
      <c r="G50" s="854"/>
      <c r="H50" s="854"/>
      <c r="I50" s="854"/>
      <c r="J50" s="854"/>
      <c r="K50" s="203"/>
      <c r="L50" s="203"/>
      <c r="M50" s="203"/>
      <c r="N50" s="203"/>
      <c r="O50" s="203"/>
      <c r="P50" s="203"/>
      <c r="Q50" s="203"/>
      <c r="R50" s="203"/>
      <c r="S50" s="7"/>
      <c r="T50" s="7"/>
      <c r="U50" s="7"/>
      <c r="V50" s="7"/>
      <c r="W50" s="7"/>
      <c r="X50" s="9"/>
      <c r="Y50" s="9"/>
      <c r="Z50" s="9"/>
      <c r="AA50" s="9"/>
      <c r="AB50" s="9"/>
      <c r="AC50" s="1"/>
      <c r="AD50" s="1"/>
      <c r="AE50" s="1"/>
      <c r="AF50" s="1"/>
      <c r="AG50" s="1"/>
    </row>
    <row r="51" spans="1:33" x14ac:dyDescent="0.2">
      <c r="A51" s="138">
        <v>39</v>
      </c>
      <c r="B51" s="170">
        <v>42255</v>
      </c>
      <c r="C51" s="854"/>
      <c r="D51" s="854"/>
      <c r="E51" s="854"/>
      <c r="F51" s="854"/>
      <c r="G51" s="854"/>
      <c r="H51" s="854"/>
      <c r="I51" s="854"/>
      <c r="J51" s="854"/>
      <c r="K51" s="203"/>
      <c r="L51" s="203"/>
      <c r="M51" s="203"/>
      <c r="N51" s="203"/>
      <c r="O51" s="203"/>
      <c r="P51" s="203"/>
      <c r="Q51" s="203"/>
      <c r="R51" s="203"/>
      <c r="S51" s="8"/>
      <c r="T51" s="8"/>
      <c r="U51" s="8"/>
      <c r="V51" s="8"/>
      <c r="W51" s="8"/>
      <c r="X51" s="9"/>
      <c r="Y51" s="9"/>
      <c r="Z51" s="9"/>
      <c r="AA51" s="9"/>
      <c r="AB51" s="9"/>
      <c r="AC51" s="1"/>
      <c r="AD51" s="1"/>
      <c r="AE51" s="1"/>
      <c r="AF51" s="1"/>
      <c r="AG51" s="1"/>
    </row>
    <row r="52" spans="1:33" x14ac:dyDescent="0.2">
      <c r="A52" s="138">
        <v>40</v>
      </c>
      <c r="B52" s="170">
        <v>42256</v>
      </c>
      <c r="C52" s="854"/>
      <c r="D52" s="854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8"/>
      <c r="T52" s="8"/>
      <c r="U52" s="8"/>
      <c r="V52" s="8"/>
      <c r="W52" s="8"/>
      <c r="X52" s="9"/>
      <c r="Y52" s="9"/>
      <c r="Z52" s="9"/>
      <c r="AA52" s="9"/>
      <c r="AB52" s="9"/>
      <c r="AC52" s="1"/>
      <c r="AD52" s="1"/>
      <c r="AE52" s="1"/>
    </row>
    <row r="53" spans="1:33" x14ac:dyDescent="0.2">
      <c r="A53" s="138">
        <v>41</v>
      </c>
      <c r="B53" s="170">
        <v>42257</v>
      </c>
      <c r="C53" s="854"/>
      <c r="D53" s="854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8"/>
      <c r="T53" s="8"/>
      <c r="U53" s="8"/>
      <c r="V53" s="8"/>
      <c r="W53" s="8"/>
      <c r="X53" s="9"/>
      <c r="Y53" s="9"/>
      <c r="Z53" s="9"/>
      <c r="AA53" s="9"/>
      <c r="AB53" s="9"/>
      <c r="AC53" s="1"/>
      <c r="AD53" s="1"/>
      <c r="AE53" s="1"/>
    </row>
    <row r="54" spans="1:33" x14ac:dyDescent="0.2">
      <c r="A54" s="138">
        <v>42</v>
      </c>
      <c r="B54" s="170">
        <v>42258</v>
      </c>
      <c r="C54" s="854"/>
      <c r="D54" s="854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8"/>
      <c r="T54" s="8"/>
      <c r="U54" s="8"/>
      <c r="V54" s="8"/>
      <c r="W54" s="8"/>
      <c r="X54" s="9"/>
      <c r="Y54" s="9"/>
      <c r="Z54" s="9"/>
      <c r="AA54" s="9"/>
      <c r="AB54" s="9"/>
      <c r="AC54" s="1"/>
      <c r="AD54" s="1"/>
      <c r="AE54" s="1"/>
    </row>
    <row r="55" spans="1:33" x14ac:dyDescent="0.2">
      <c r="A55" s="138">
        <v>43</v>
      </c>
      <c r="B55" s="170">
        <v>42259</v>
      </c>
      <c r="C55" s="854"/>
      <c r="D55" s="854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8"/>
      <c r="T55" s="8"/>
      <c r="U55" s="8"/>
      <c r="V55" s="8"/>
      <c r="W55" s="8"/>
      <c r="X55" s="9"/>
      <c r="Y55" s="9"/>
      <c r="Z55" s="9"/>
      <c r="AA55" s="9"/>
      <c r="AB55" s="9"/>
      <c r="AC55" s="1"/>
      <c r="AD55" s="1"/>
      <c r="AE55" s="1"/>
    </row>
    <row r="56" spans="1:33" x14ac:dyDescent="0.2">
      <c r="A56" s="138">
        <v>44</v>
      </c>
      <c r="B56" s="170">
        <v>42260</v>
      </c>
      <c r="C56" s="854"/>
      <c r="D56" s="854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8"/>
      <c r="T56" s="8"/>
      <c r="U56" s="8"/>
      <c r="V56" s="8"/>
      <c r="W56" s="8"/>
      <c r="X56" s="9"/>
      <c r="Y56" s="9"/>
      <c r="Z56" s="9"/>
      <c r="AA56" s="9"/>
      <c r="AB56" s="9"/>
      <c r="AC56" s="1"/>
      <c r="AD56" s="1"/>
      <c r="AE56" s="1"/>
    </row>
    <row r="57" spans="1:33" x14ac:dyDescent="0.2">
      <c r="A57" s="138">
        <v>45</v>
      </c>
      <c r="B57" s="170">
        <v>42261</v>
      </c>
      <c r="C57" s="854"/>
      <c r="D57" s="854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8"/>
      <c r="T57" s="8"/>
      <c r="U57" s="8"/>
      <c r="V57" s="8"/>
      <c r="W57" s="8"/>
      <c r="X57" s="9"/>
      <c r="Y57" s="9"/>
      <c r="Z57" s="9"/>
      <c r="AA57" s="9"/>
      <c r="AB57" s="9"/>
      <c r="AC57" s="1"/>
      <c r="AD57" s="1"/>
      <c r="AE57" s="1"/>
    </row>
    <row r="58" spans="1:33" x14ac:dyDescent="0.2">
      <c r="A58" s="138">
        <v>46</v>
      </c>
      <c r="B58" s="170">
        <v>42262</v>
      </c>
      <c r="C58" s="854"/>
      <c r="D58" s="854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8"/>
      <c r="T58" s="8"/>
      <c r="U58" s="8"/>
      <c r="V58" s="8"/>
      <c r="W58" s="8"/>
      <c r="X58" s="9"/>
      <c r="Y58" s="9"/>
      <c r="Z58" s="9"/>
      <c r="AA58" s="9"/>
      <c r="AB58" s="9"/>
      <c r="AC58" s="1"/>
      <c r="AD58" s="1"/>
      <c r="AE58" s="1"/>
    </row>
    <row r="59" spans="1:33" x14ac:dyDescent="0.2">
      <c r="A59" s="138">
        <v>47</v>
      </c>
      <c r="B59" s="170">
        <v>42263</v>
      </c>
      <c r="C59" s="854"/>
      <c r="D59" s="854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8"/>
      <c r="T59" s="8"/>
      <c r="U59" s="8"/>
      <c r="V59" s="8"/>
      <c r="W59" s="8"/>
      <c r="X59" s="9"/>
      <c r="Y59" s="9"/>
      <c r="Z59" s="9"/>
      <c r="AA59" s="9"/>
      <c r="AB59" s="9"/>
      <c r="AC59" s="1"/>
    </row>
    <row r="60" spans="1:33" x14ac:dyDescent="0.2">
      <c r="A60" s="138">
        <v>48</v>
      </c>
      <c r="B60" s="170">
        <v>42264</v>
      </c>
      <c r="C60" s="854"/>
      <c r="D60" s="854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8"/>
      <c r="T60" s="8"/>
      <c r="U60" s="8"/>
      <c r="V60" s="8"/>
      <c r="W60" s="8"/>
      <c r="X60" s="9"/>
      <c r="Y60" s="9"/>
      <c r="Z60" s="9"/>
      <c r="AA60" s="9"/>
      <c r="AB60" s="9"/>
      <c r="AC60" s="1"/>
    </row>
    <row r="61" spans="1:33" x14ac:dyDescent="0.2">
      <c r="A61" s="138">
        <v>49</v>
      </c>
      <c r="B61" s="170">
        <v>42265</v>
      </c>
      <c r="C61" s="854"/>
      <c r="D61" s="854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8"/>
      <c r="T61" s="8"/>
      <c r="U61" s="8"/>
      <c r="V61" s="8"/>
      <c r="W61" s="8"/>
      <c r="X61" s="9"/>
      <c r="Y61" s="9"/>
      <c r="Z61" s="9"/>
      <c r="AA61" s="9"/>
      <c r="AB61" s="9"/>
      <c r="AC61" s="1"/>
    </row>
    <row r="62" spans="1:33" x14ac:dyDescent="0.2">
      <c r="A62" s="138">
        <v>50</v>
      </c>
      <c r="B62" s="170">
        <v>42266</v>
      </c>
      <c r="C62" s="854"/>
      <c r="D62" s="854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8"/>
      <c r="T62" s="8"/>
      <c r="U62" s="8"/>
      <c r="V62" s="8"/>
      <c r="W62" s="8"/>
      <c r="X62" s="9"/>
      <c r="Y62" s="9"/>
      <c r="Z62" s="9"/>
      <c r="AA62" s="9"/>
      <c r="AB62" s="9"/>
      <c r="AC62" s="1"/>
    </row>
    <row r="63" spans="1:33" x14ac:dyDescent="0.2">
      <c r="A63" s="138">
        <v>51</v>
      </c>
      <c r="B63" s="170">
        <v>42267</v>
      </c>
      <c r="C63" s="854"/>
      <c r="D63" s="854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8"/>
      <c r="T63" s="8"/>
      <c r="U63" s="8"/>
      <c r="V63" s="8"/>
      <c r="W63" s="8"/>
      <c r="X63" s="9"/>
      <c r="Y63" s="9"/>
      <c r="Z63" s="9"/>
      <c r="AA63" s="9"/>
      <c r="AB63" s="9"/>
      <c r="AC63" s="1"/>
    </row>
    <row r="64" spans="1:33" x14ac:dyDescent="0.2">
      <c r="A64" s="138">
        <v>52</v>
      </c>
      <c r="B64" s="170">
        <v>42268</v>
      </c>
      <c r="C64" s="854"/>
      <c r="D64" s="854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8"/>
      <c r="T64" s="8"/>
      <c r="U64" s="8"/>
      <c r="V64" s="8"/>
      <c r="W64" s="8"/>
      <c r="X64" s="9"/>
      <c r="Y64" s="9"/>
      <c r="Z64" s="9"/>
      <c r="AA64" s="9"/>
      <c r="AB64" s="9"/>
      <c r="AC64" s="1"/>
    </row>
    <row r="65" spans="1:29" x14ac:dyDescent="0.2">
      <c r="A65" s="138">
        <v>53</v>
      </c>
      <c r="B65" s="170">
        <v>42269</v>
      </c>
      <c r="C65" s="854"/>
      <c r="D65" s="854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8"/>
      <c r="T65" s="8"/>
      <c r="U65" s="8"/>
      <c r="V65" s="8"/>
      <c r="W65" s="8"/>
      <c r="X65" s="9"/>
      <c r="Y65" s="9"/>
      <c r="Z65" s="9"/>
      <c r="AA65" s="9"/>
      <c r="AB65" s="9"/>
      <c r="AC65" s="1"/>
    </row>
    <row r="66" spans="1:29" x14ac:dyDescent="0.2">
      <c r="A66" s="138">
        <v>54</v>
      </c>
      <c r="B66" s="170">
        <v>42270</v>
      </c>
      <c r="C66" s="854"/>
      <c r="D66" s="854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8"/>
      <c r="T66" s="8"/>
      <c r="U66" s="8"/>
      <c r="V66" s="8"/>
      <c r="W66" s="8"/>
      <c r="X66" s="9"/>
      <c r="Y66" s="9"/>
      <c r="Z66" s="9"/>
      <c r="AA66" s="9"/>
      <c r="AB66" s="9"/>
      <c r="AC66" s="1"/>
    </row>
    <row r="67" spans="1:29" x14ac:dyDescent="0.2">
      <c r="A67" s="138">
        <v>55</v>
      </c>
      <c r="B67" s="170">
        <v>42271</v>
      </c>
      <c r="C67" s="854"/>
      <c r="D67" s="854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8"/>
      <c r="T67" s="8"/>
      <c r="U67" s="8"/>
      <c r="V67" s="8"/>
      <c r="W67" s="8"/>
      <c r="X67" s="9"/>
      <c r="Y67" s="9"/>
      <c r="Z67" s="9"/>
      <c r="AA67" s="9"/>
      <c r="AB67" s="9"/>
      <c r="AC67" s="1"/>
    </row>
    <row r="68" spans="1:29" x14ac:dyDescent="0.2">
      <c r="A68" s="138">
        <v>56</v>
      </c>
      <c r="B68" s="170">
        <v>42272</v>
      </c>
      <c r="C68" s="854"/>
      <c r="D68" s="854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8"/>
      <c r="T68" s="8"/>
      <c r="U68" s="8"/>
      <c r="V68" s="8"/>
      <c r="W68" s="8"/>
      <c r="X68" s="9"/>
      <c r="Y68" s="9"/>
      <c r="Z68" s="9"/>
      <c r="AA68" s="9"/>
      <c r="AB68" s="9"/>
      <c r="AC68" s="1"/>
    </row>
    <row r="69" spans="1:29" x14ac:dyDescent="0.2">
      <c r="A69" s="138">
        <v>57</v>
      </c>
      <c r="B69" s="170">
        <v>42273</v>
      </c>
      <c r="C69" s="854"/>
      <c r="D69" s="854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8"/>
      <c r="T69" s="8"/>
      <c r="U69" s="8"/>
      <c r="V69" s="8"/>
      <c r="W69" s="8"/>
      <c r="X69" s="9"/>
      <c r="Y69" s="9"/>
      <c r="Z69" s="9"/>
      <c r="AA69" s="9"/>
      <c r="AB69" s="9"/>
      <c r="AC69" s="1"/>
    </row>
    <row r="70" spans="1:29" x14ac:dyDescent="0.2">
      <c r="A70" s="138">
        <v>58</v>
      </c>
      <c r="B70" s="170">
        <v>42274</v>
      </c>
      <c r="C70" s="854"/>
      <c r="D70" s="854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8"/>
      <c r="T70" s="8"/>
      <c r="U70" s="8"/>
      <c r="V70" s="8"/>
      <c r="W70" s="8"/>
      <c r="X70" s="9"/>
      <c r="Y70" s="9"/>
      <c r="Z70" s="9"/>
      <c r="AA70" s="9"/>
      <c r="AB70" s="9"/>
      <c r="AC70" s="1"/>
    </row>
    <row r="71" spans="1:29" x14ac:dyDescent="0.2">
      <c r="A71" s="138">
        <v>58</v>
      </c>
      <c r="B71" s="170">
        <v>42275</v>
      </c>
      <c r="C71" s="854"/>
      <c r="D71" s="854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8"/>
      <c r="T71" s="8"/>
      <c r="U71" s="8"/>
      <c r="V71" s="8"/>
      <c r="W71" s="8"/>
      <c r="X71" s="9"/>
      <c r="Y71" s="9"/>
      <c r="Z71" s="9"/>
      <c r="AA71" s="9"/>
      <c r="AB71" s="9"/>
      <c r="AC71" s="1"/>
    </row>
    <row r="72" spans="1:29" x14ac:dyDescent="0.2">
      <c r="A72" s="138">
        <v>59</v>
      </c>
      <c r="B72" s="170">
        <v>42276</v>
      </c>
      <c r="C72" s="854"/>
      <c r="D72" s="854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8"/>
      <c r="T72" s="8"/>
      <c r="U72" s="8"/>
      <c r="V72" s="8"/>
      <c r="W72" s="8"/>
      <c r="X72" s="9"/>
      <c r="Y72" s="9"/>
      <c r="Z72" s="9"/>
      <c r="AA72" s="9"/>
      <c r="AB72" s="9"/>
      <c r="AC72" s="1"/>
    </row>
    <row r="73" spans="1:29" x14ac:dyDescent="0.2">
      <c r="A73" s="138">
        <v>61</v>
      </c>
      <c r="B73" s="170">
        <v>42277</v>
      </c>
      <c r="C73" s="854"/>
      <c r="D73" s="854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8"/>
      <c r="T73" s="8"/>
      <c r="U73" s="8"/>
      <c r="V73" s="8"/>
      <c r="W73" s="8"/>
      <c r="X73" s="9"/>
      <c r="Y73" s="9"/>
      <c r="Z73" s="9"/>
      <c r="AA73" s="9"/>
      <c r="AB73" s="9"/>
      <c r="AC73" s="1"/>
    </row>
    <row r="74" spans="1:29" x14ac:dyDescent="0.2">
      <c r="A74" s="138">
        <v>62</v>
      </c>
      <c r="B74" s="170">
        <v>42278</v>
      </c>
      <c r="C74" s="854"/>
      <c r="D74" s="854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8"/>
      <c r="T74" s="8"/>
      <c r="U74" s="8"/>
      <c r="V74" s="8"/>
      <c r="W74" s="8"/>
      <c r="X74" s="9"/>
      <c r="Y74" s="9"/>
      <c r="Z74" s="9"/>
      <c r="AA74" s="9"/>
      <c r="AB74" s="9"/>
      <c r="AC74" s="1"/>
    </row>
    <row r="75" spans="1:29" x14ac:dyDescent="0.2">
      <c r="A75" s="138">
        <v>63</v>
      </c>
      <c r="B75" s="170">
        <v>42279</v>
      </c>
      <c r="C75" s="854"/>
      <c r="D75" s="854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8"/>
      <c r="T75" s="8"/>
      <c r="U75" s="8"/>
      <c r="V75" s="8"/>
      <c r="W75" s="8"/>
      <c r="X75" s="9"/>
      <c r="Y75" s="9"/>
      <c r="Z75" s="9"/>
      <c r="AA75" s="9"/>
      <c r="AB75" s="9"/>
      <c r="AC75" s="1"/>
    </row>
    <row r="76" spans="1:29" x14ac:dyDescent="0.2">
      <c r="A76" s="138">
        <v>64</v>
      </c>
      <c r="B76" s="170">
        <v>42280</v>
      </c>
      <c r="C76" s="854"/>
      <c r="D76" s="854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8"/>
      <c r="T76" s="8"/>
      <c r="U76" s="8"/>
      <c r="V76" s="8"/>
      <c r="W76" s="8"/>
      <c r="X76" s="9"/>
      <c r="Y76" s="9"/>
      <c r="Z76" s="9"/>
      <c r="AA76" s="9"/>
      <c r="AB76" s="9"/>
      <c r="AC76" s="1"/>
    </row>
    <row r="77" spans="1:29" x14ac:dyDescent="0.2">
      <c r="A77" s="138">
        <v>65</v>
      </c>
      <c r="B77" s="170">
        <v>42281</v>
      </c>
      <c r="C77" s="854"/>
      <c r="D77" s="854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8"/>
      <c r="T77" s="8"/>
      <c r="U77" s="8"/>
      <c r="V77" s="8"/>
      <c r="W77" s="8"/>
      <c r="X77" s="9"/>
      <c r="Y77" s="9"/>
      <c r="Z77" s="9"/>
      <c r="AA77" s="9"/>
      <c r="AB77" s="9"/>
      <c r="AC77" s="1"/>
    </row>
    <row r="78" spans="1:29" x14ac:dyDescent="0.2">
      <c r="A78" s="138">
        <v>66</v>
      </c>
      <c r="B78" s="170">
        <v>42282</v>
      </c>
      <c r="C78" s="854"/>
      <c r="D78" s="854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8"/>
      <c r="T78" s="8"/>
      <c r="U78" s="8"/>
      <c r="V78" s="8"/>
      <c r="W78" s="8"/>
      <c r="X78" s="9"/>
      <c r="Y78" s="9"/>
      <c r="Z78" s="9"/>
      <c r="AA78" s="9"/>
      <c r="AB78" s="9"/>
      <c r="AC78" s="1"/>
    </row>
    <row r="79" spans="1:29" x14ac:dyDescent="0.2">
      <c r="A79" s="138">
        <v>67</v>
      </c>
      <c r="B79" s="170">
        <v>42283</v>
      </c>
      <c r="C79" s="854"/>
      <c r="D79" s="854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8"/>
      <c r="T79" s="8"/>
      <c r="U79" s="8"/>
      <c r="V79" s="8"/>
      <c r="W79" s="8"/>
      <c r="X79" s="9"/>
      <c r="Y79" s="9"/>
      <c r="Z79" s="9"/>
      <c r="AA79" s="9"/>
      <c r="AB79" s="9"/>
      <c r="AC79" s="1"/>
    </row>
    <row r="80" spans="1:29" x14ac:dyDescent="0.2">
      <c r="A80" s="138">
        <v>68</v>
      </c>
      <c r="B80" s="170">
        <v>42284</v>
      </c>
      <c r="C80" s="854"/>
      <c r="D80" s="854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8"/>
      <c r="T80" s="8"/>
      <c r="U80" s="8"/>
      <c r="V80" s="8"/>
      <c r="W80" s="8"/>
      <c r="X80" s="9"/>
      <c r="Y80" s="9"/>
      <c r="Z80" s="9"/>
      <c r="AA80" s="9"/>
      <c r="AB80" s="9"/>
      <c r="AC80" s="1"/>
    </row>
    <row r="81" spans="1:29" x14ac:dyDescent="0.2">
      <c r="A81" s="138">
        <v>69</v>
      </c>
      <c r="B81" s="170">
        <v>42285</v>
      </c>
      <c r="C81" s="854"/>
      <c r="D81" s="854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8"/>
      <c r="T81" s="8"/>
      <c r="U81" s="8"/>
      <c r="V81" s="8"/>
      <c r="W81" s="8"/>
      <c r="X81" s="9"/>
      <c r="Y81" s="9"/>
      <c r="Z81" s="9"/>
      <c r="AA81" s="9"/>
      <c r="AB81" s="9"/>
      <c r="AC81" s="1"/>
    </row>
    <row r="82" spans="1:29" x14ac:dyDescent="0.2">
      <c r="A82" s="138">
        <v>70</v>
      </c>
      <c r="B82" s="170">
        <v>42286</v>
      </c>
      <c r="C82" s="854"/>
      <c r="D82" s="854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8"/>
      <c r="T82" s="8"/>
      <c r="U82" s="8"/>
      <c r="V82" s="8"/>
      <c r="W82" s="8"/>
      <c r="X82" s="9"/>
      <c r="Y82" s="9"/>
      <c r="Z82" s="9"/>
      <c r="AA82" s="9"/>
      <c r="AB82" s="9"/>
      <c r="AC82" s="1"/>
    </row>
    <row r="83" spans="1:29" x14ac:dyDescent="0.2">
      <c r="A83" s="138">
        <v>71</v>
      </c>
      <c r="B83" s="170">
        <v>42287</v>
      </c>
      <c r="C83" s="854"/>
      <c r="D83" s="854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8"/>
      <c r="T83" s="8"/>
      <c r="U83" s="8"/>
      <c r="V83" s="8"/>
      <c r="W83" s="8"/>
      <c r="X83" s="9"/>
      <c r="Y83" s="9"/>
      <c r="Z83" s="9"/>
      <c r="AA83" s="9"/>
      <c r="AB83" s="9"/>
      <c r="AC83" s="1"/>
    </row>
    <row r="84" spans="1:29" x14ac:dyDescent="0.2">
      <c r="A84" s="138">
        <v>72</v>
      </c>
      <c r="B84" s="170">
        <v>42288</v>
      </c>
      <c r="C84" s="854"/>
      <c r="D84" s="854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8"/>
      <c r="T84" s="8"/>
      <c r="U84" s="8"/>
      <c r="V84" s="8"/>
      <c r="W84" s="8"/>
      <c r="X84" s="9"/>
      <c r="Y84" s="9"/>
      <c r="Z84" s="9"/>
      <c r="AA84" s="9"/>
      <c r="AB84" s="9"/>
      <c r="AC84" s="1"/>
    </row>
    <row r="85" spans="1:29" x14ac:dyDescent="0.2">
      <c r="A85" s="138">
        <v>73</v>
      </c>
      <c r="B85" s="170">
        <v>42289</v>
      </c>
      <c r="C85" s="854"/>
      <c r="D85" s="854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8"/>
      <c r="T85" s="8"/>
      <c r="U85" s="8"/>
      <c r="V85" s="8"/>
      <c r="W85" s="8"/>
      <c r="X85" s="9"/>
      <c r="Y85" s="9"/>
      <c r="Z85" s="9"/>
      <c r="AA85" s="9"/>
      <c r="AB85" s="9"/>
      <c r="AC85" s="1"/>
    </row>
    <row r="86" spans="1:29" x14ac:dyDescent="0.2">
      <c r="A86" s="138">
        <v>74</v>
      </c>
      <c r="B86" s="170">
        <v>42290</v>
      </c>
      <c r="C86" s="854"/>
      <c r="D86" s="854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8"/>
      <c r="T86" s="8"/>
      <c r="U86" s="8"/>
      <c r="V86" s="8"/>
      <c r="W86" s="8"/>
      <c r="X86" s="9"/>
      <c r="Y86" s="9"/>
      <c r="Z86" s="9"/>
      <c r="AA86" s="9"/>
      <c r="AB86" s="9"/>
      <c r="AC86" s="1"/>
    </row>
    <row r="87" spans="1:29" x14ac:dyDescent="0.2">
      <c r="A87" s="138">
        <v>75</v>
      </c>
      <c r="B87" s="170">
        <v>42291</v>
      </c>
      <c r="C87" s="854"/>
      <c r="D87" s="854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8"/>
      <c r="T87" s="8"/>
      <c r="U87" s="8"/>
      <c r="V87" s="8"/>
      <c r="W87" s="8"/>
      <c r="X87" s="9"/>
      <c r="Y87" s="9"/>
      <c r="Z87" s="9"/>
      <c r="AA87" s="9"/>
      <c r="AB87" s="9"/>
      <c r="AC87" s="1"/>
    </row>
    <row r="88" spans="1:29" x14ac:dyDescent="0.2">
      <c r="A88" s="138">
        <v>76</v>
      </c>
      <c r="B88" s="170">
        <v>42292</v>
      </c>
      <c r="C88" s="854"/>
      <c r="D88" s="854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8"/>
      <c r="T88" s="8"/>
      <c r="U88" s="8"/>
      <c r="V88" s="8"/>
      <c r="W88" s="8"/>
      <c r="X88" s="9"/>
      <c r="Y88" s="9"/>
      <c r="Z88" s="9"/>
      <c r="AA88" s="9"/>
      <c r="AB88" s="9"/>
      <c r="AC88" s="1"/>
    </row>
    <row r="89" spans="1:29" x14ac:dyDescent="0.2">
      <c r="A89" s="138">
        <v>77</v>
      </c>
      <c r="B89" s="170">
        <v>42293</v>
      </c>
      <c r="C89" s="854"/>
      <c r="D89" s="854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8"/>
      <c r="T89" s="8"/>
      <c r="U89" s="8"/>
      <c r="V89" s="8"/>
      <c r="W89" s="8"/>
      <c r="X89" s="9"/>
      <c r="Y89" s="9"/>
      <c r="Z89" s="9"/>
      <c r="AA89" s="9"/>
      <c r="AB89" s="9"/>
      <c r="AC89" s="1"/>
    </row>
    <row r="90" spans="1:29" x14ac:dyDescent="0.2">
      <c r="A90" s="138">
        <v>78</v>
      </c>
      <c r="B90" s="170">
        <v>42294</v>
      </c>
      <c r="C90" s="854"/>
      <c r="D90" s="854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8"/>
      <c r="T90" s="8"/>
      <c r="U90" s="8"/>
      <c r="V90" s="8"/>
      <c r="W90" s="8"/>
      <c r="X90" s="9"/>
      <c r="Y90" s="9"/>
      <c r="Z90" s="9"/>
      <c r="AA90" s="9"/>
      <c r="AB90" s="9"/>
      <c r="AC90" s="1"/>
    </row>
    <row r="91" spans="1:29" x14ac:dyDescent="0.2">
      <c r="A91" s="138">
        <v>79</v>
      </c>
      <c r="B91" s="170">
        <v>42295</v>
      </c>
      <c r="C91" s="854"/>
      <c r="D91" s="854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8"/>
      <c r="T91" s="8"/>
      <c r="U91" s="8"/>
      <c r="V91" s="8"/>
      <c r="W91" s="8"/>
      <c r="X91" s="9"/>
      <c r="Y91" s="9"/>
      <c r="Z91" s="9"/>
      <c r="AA91" s="9"/>
      <c r="AB91" s="9"/>
      <c r="AC91" s="1"/>
    </row>
    <row r="92" spans="1:29" x14ac:dyDescent="0.2">
      <c r="A92" s="138">
        <v>80</v>
      </c>
      <c r="B92" s="170">
        <v>42296</v>
      </c>
      <c r="C92" s="854"/>
      <c r="D92" s="854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8"/>
      <c r="T92" s="8"/>
      <c r="U92" s="8"/>
      <c r="V92" s="8"/>
      <c r="W92" s="8"/>
      <c r="X92" s="9"/>
      <c r="Y92" s="9"/>
      <c r="Z92" s="9"/>
      <c r="AA92" s="9"/>
      <c r="AB92" s="9"/>
      <c r="AC92" s="1"/>
    </row>
    <row r="93" spans="1:29" x14ac:dyDescent="0.2">
      <c r="A93" s="138">
        <v>81</v>
      </c>
      <c r="B93" s="170">
        <v>42297</v>
      </c>
      <c r="C93" s="854"/>
      <c r="D93" s="854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8"/>
      <c r="T93" s="8"/>
      <c r="U93" s="8"/>
      <c r="V93" s="8"/>
      <c r="W93" s="8"/>
      <c r="X93" s="9"/>
      <c r="Y93" s="9"/>
      <c r="Z93" s="9"/>
      <c r="AA93" s="9"/>
      <c r="AB93" s="9"/>
      <c r="AC93" s="1"/>
    </row>
    <row r="94" spans="1:29" x14ac:dyDescent="0.2">
      <c r="A94" s="138">
        <v>82</v>
      </c>
      <c r="B94" s="170">
        <v>42298</v>
      </c>
      <c r="C94" s="854"/>
      <c r="D94" s="854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8"/>
      <c r="T94" s="8"/>
      <c r="U94" s="8"/>
      <c r="V94" s="8"/>
      <c r="W94" s="8"/>
      <c r="X94" s="9"/>
      <c r="Y94" s="9"/>
      <c r="Z94" s="9"/>
      <c r="AA94" s="9"/>
      <c r="AB94" s="9"/>
      <c r="AC94" s="1"/>
    </row>
    <row r="95" spans="1:29" x14ac:dyDescent="0.2">
      <c r="A95" s="138">
        <v>83</v>
      </c>
      <c r="B95" s="170">
        <v>42299</v>
      </c>
      <c r="C95" s="854"/>
      <c r="D95" s="854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8"/>
      <c r="T95" s="8"/>
      <c r="U95" s="8"/>
      <c r="V95" s="8"/>
      <c r="W95" s="8"/>
      <c r="X95" s="9"/>
      <c r="Y95" s="9"/>
      <c r="Z95" s="9"/>
      <c r="AA95" s="9"/>
      <c r="AB95" s="9"/>
      <c r="AC95" s="1"/>
    </row>
    <row r="96" spans="1:29" x14ac:dyDescent="0.2">
      <c r="A96" s="138">
        <v>84</v>
      </c>
      <c r="B96" s="170">
        <v>42300</v>
      </c>
      <c r="C96" s="854"/>
      <c r="D96" s="854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8"/>
      <c r="T96" s="8"/>
      <c r="U96" s="8"/>
      <c r="V96" s="8"/>
      <c r="W96" s="8"/>
      <c r="X96" s="9"/>
      <c r="Y96" s="9"/>
      <c r="Z96" s="9"/>
      <c r="AA96" s="9"/>
      <c r="AB96" s="9"/>
      <c r="AC96" s="1"/>
    </row>
    <row r="97" spans="1:29" x14ac:dyDescent="0.2">
      <c r="A97" s="138">
        <v>85</v>
      </c>
      <c r="B97" s="170">
        <v>42301</v>
      </c>
      <c r="C97" s="854"/>
      <c r="D97" s="854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8"/>
      <c r="T97" s="8"/>
      <c r="U97" s="8"/>
      <c r="V97" s="8"/>
      <c r="W97" s="8"/>
      <c r="X97" s="9"/>
      <c r="Y97" s="9"/>
      <c r="Z97" s="9"/>
      <c r="AA97" s="9"/>
      <c r="AB97" s="9"/>
      <c r="AC97" s="1"/>
    </row>
    <row r="98" spans="1:29" x14ac:dyDescent="0.2">
      <c r="A98" s="138">
        <v>86</v>
      </c>
      <c r="B98" s="170">
        <v>42302</v>
      </c>
      <c r="C98" s="854"/>
      <c r="D98" s="854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8"/>
      <c r="T98" s="8"/>
      <c r="U98" s="8"/>
      <c r="V98" s="8"/>
      <c r="W98" s="8"/>
      <c r="X98" s="9"/>
      <c r="Y98" s="9"/>
      <c r="Z98" s="9"/>
      <c r="AA98" s="9"/>
      <c r="AB98" s="9"/>
      <c r="AC98" s="1"/>
    </row>
    <row r="99" spans="1:29" x14ac:dyDescent="0.2">
      <c r="A99" s="138">
        <v>87</v>
      </c>
      <c r="B99" s="170">
        <v>42303</v>
      </c>
      <c r="C99" s="854"/>
      <c r="D99" s="854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8"/>
      <c r="T99" s="8"/>
      <c r="U99" s="8"/>
      <c r="V99" s="8"/>
      <c r="W99" s="8"/>
      <c r="X99" s="9"/>
      <c r="Y99" s="9"/>
      <c r="Z99" s="9"/>
      <c r="AA99" s="9"/>
      <c r="AB99" s="9"/>
      <c r="AC99" s="1"/>
    </row>
    <row r="100" spans="1:29" x14ac:dyDescent="0.2">
      <c r="A100" s="138">
        <v>88</v>
      </c>
      <c r="B100" s="170">
        <v>42304</v>
      </c>
      <c r="C100" s="854"/>
      <c r="D100" s="854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8"/>
      <c r="T100" s="8"/>
      <c r="U100" s="8"/>
      <c r="V100" s="8"/>
      <c r="W100" s="8"/>
      <c r="X100" s="9"/>
      <c r="Y100" s="9"/>
      <c r="Z100" s="9"/>
      <c r="AA100" s="9"/>
      <c r="AB100" s="9"/>
      <c r="AC100" s="1"/>
    </row>
    <row r="101" spans="1:29" x14ac:dyDescent="0.2">
      <c r="A101" s="138">
        <v>89</v>
      </c>
      <c r="B101" s="170">
        <v>42305</v>
      </c>
      <c r="C101" s="854"/>
      <c r="D101" s="854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8"/>
      <c r="T101" s="8"/>
      <c r="U101" s="8"/>
      <c r="V101" s="8"/>
      <c r="W101" s="8"/>
      <c r="X101" s="9"/>
      <c r="Y101" s="9"/>
      <c r="Z101" s="9"/>
      <c r="AA101" s="9"/>
      <c r="AB101" s="9"/>
      <c r="AC101" s="1"/>
    </row>
    <row r="102" spans="1:29" x14ac:dyDescent="0.2">
      <c r="A102" s="138">
        <v>90</v>
      </c>
      <c r="B102" s="170">
        <v>42306</v>
      </c>
      <c r="C102" s="854"/>
      <c r="D102" s="854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8"/>
      <c r="T102" s="8"/>
      <c r="U102" s="8"/>
      <c r="V102" s="8"/>
      <c r="W102" s="8"/>
      <c r="X102" s="9"/>
      <c r="Y102" s="9"/>
      <c r="Z102" s="9"/>
      <c r="AA102" s="9"/>
      <c r="AB102" s="9"/>
      <c r="AC102" s="1"/>
    </row>
    <row r="103" spans="1:29" x14ac:dyDescent="0.2">
      <c r="A103" s="138">
        <v>91</v>
      </c>
      <c r="B103" s="170">
        <v>42307</v>
      </c>
      <c r="C103" s="854"/>
      <c r="D103" s="854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8"/>
      <c r="T103" s="8"/>
      <c r="U103" s="8"/>
      <c r="V103" s="8"/>
      <c r="W103" s="8"/>
      <c r="X103" s="9"/>
      <c r="Y103" s="9"/>
      <c r="Z103" s="9"/>
      <c r="AA103" s="9"/>
      <c r="AB103" s="9"/>
      <c r="AC103" s="1"/>
    </row>
    <row r="104" spans="1:29" x14ac:dyDescent="0.2">
      <c r="A104" s="138">
        <v>92</v>
      </c>
      <c r="B104" s="170">
        <v>42308</v>
      </c>
      <c r="C104" s="854"/>
      <c r="D104" s="854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8"/>
      <c r="T104" s="8"/>
      <c r="U104" s="8"/>
      <c r="V104" s="8"/>
      <c r="W104" s="8"/>
      <c r="X104" s="9"/>
      <c r="Y104" s="9"/>
      <c r="Z104" s="9"/>
      <c r="AA104" s="9"/>
      <c r="AB104" s="9"/>
      <c r="AC104" s="1"/>
    </row>
    <row r="105" spans="1:29" x14ac:dyDescent="0.2">
      <c r="A105" s="138">
        <v>93</v>
      </c>
      <c r="B105" s="170">
        <v>42309</v>
      </c>
      <c r="C105" s="854"/>
      <c r="D105" s="854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8"/>
      <c r="T105" s="8"/>
      <c r="U105" s="8"/>
      <c r="V105" s="8"/>
      <c r="W105" s="8"/>
      <c r="X105" s="9"/>
      <c r="Y105" s="9"/>
      <c r="Z105" s="9"/>
      <c r="AA105" s="9"/>
      <c r="AB105" s="9"/>
      <c r="AC105" s="1"/>
    </row>
    <row r="106" spans="1:29" x14ac:dyDescent="0.2">
      <c r="A106" s="138">
        <v>94</v>
      </c>
      <c r="B106" s="170">
        <v>42310</v>
      </c>
      <c r="C106" s="854"/>
      <c r="D106" s="854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8"/>
      <c r="T106" s="8"/>
      <c r="U106" s="8"/>
      <c r="V106" s="8"/>
      <c r="W106" s="8"/>
      <c r="X106" s="9"/>
      <c r="Y106" s="9"/>
      <c r="Z106" s="9"/>
      <c r="AA106" s="9"/>
      <c r="AB106" s="9"/>
      <c r="AC106" s="1"/>
    </row>
    <row r="107" spans="1:29" x14ac:dyDescent="0.2">
      <c r="A107" s="138">
        <v>95</v>
      </c>
      <c r="B107" s="170">
        <v>42311</v>
      </c>
      <c r="C107" s="854"/>
      <c r="D107" s="854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8"/>
      <c r="T107" s="8"/>
      <c r="U107" s="8"/>
      <c r="V107" s="8"/>
      <c r="W107" s="8"/>
      <c r="X107" s="9"/>
      <c r="Y107" s="9"/>
      <c r="Z107" s="9"/>
      <c r="AA107" s="9"/>
      <c r="AB107" s="9"/>
      <c r="AC107" s="1"/>
    </row>
    <row r="108" spans="1:29" x14ac:dyDescent="0.2">
      <c r="A108" s="138">
        <v>96</v>
      </c>
      <c r="B108" s="170">
        <v>42312</v>
      </c>
      <c r="C108" s="854"/>
      <c r="D108" s="854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8"/>
      <c r="T108" s="8"/>
      <c r="U108" s="8"/>
      <c r="V108" s="8"/>
      <c r="W108" s="8"/>
      <c r="X108" s="9"/>
      <c r="Y108" s="9"/>
      <c r="Z108" s="9"/>
      <c r="AA108" s="9"/>
      <c r="AB108" s="9"/>
      <c r="AC108" s="1"/>
    </row>
    <row r="109" spans="1:29" x14ac:dyDescent="0.2">
      <c r="A109" s="138">
        <v>97</v>
      </c>
      <c r="B109" s="170">
        <v>42313</v>
      </c>
      <c r="C109" s="854"/>
      <c r="D109" s="854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8"/>
      <c r="T109" s="8"/>
      <c r="U109" s="8"/>
      <c r="V109" s="8"/>
      <c r="W109" s="8"/>
      <c r="X109" s="9"/>
      <c r="Y109" s="9"/>
      <c r="Z109" s="9"/>
      <c r="AA109" s="9"/>
      <c r="AB109" s="9"/>
      <c r="AC109" s="1"/>
    </row>
    <row r="110" spans="1:29" x14ac:dyDescent="0.2">
      <c r="A110" s="138">
        <v>98</v>
      </c>
      <c r="B110" s="170">
        <v>42314</v>
      </c>
      <c r="C110" s="854"/>
      <c r="D110" s="854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8"/>
      <c r="T110" s="8"/>
      <c r="U110" s="8"/>
      <c r="V110" s="8"/>
      <c r="W110" s="8"/>
      <c r="X110" s="9"/>
      <c r="Y110" s="9"/>
      <c r="Z110" s="9"/>
      <c r="AA110" s="9"/>
      <c r="AB110" s="9"/>
      <c r="AC110" s="1"/>
    </row>
    <row r="111" spans="1:29" x14ac:dyDescent="0.2">
      <c r="A111" s="138">
        <v>99</v>
      </c>
      <c r="B111" s="170">
        <v>42315</v>
      </c>
      <c r="C111" s="854"/>
      <c r="D111" s="854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8"/>
      <c r="T111" s="8"/>
      <c r="U111" s="8"/>
      <c r="V111" s="8"/>
      <c r="W111" s="8"/>
      <c r="X111" s="9"/>
      <c r="Y111" s="9"/>
      <c r="Z111" s="9"/>
      <c r="AA111" s="9"/>
      <c r="AB111" s="9"/>
      <c r="AC111" s="1"/>
    </row>
    <row r="112" spans="1:29" x14ac:dyDescent="0.2">
      <c r="A112" s="138">
        <v>100</v>
      </c>
      <c r="B112" s="170">
        <v>42316</v>
      </c>
      <c r="C112" s="854"/>
      <c r="D112" s="854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8"/>
      <c r="T112" s="8"/>
      <c r="U112" s="8"/>
      <c r="V112" s="8"/>
      <c r="W112" s="8"/>
      <c r="X112" s="9"/>
      <c r="Y112" s="9"/>
      <c r="Z112" s="9"/>
      <c r="AA112" s="9"/>
      <c r="AB112" s="9"/>
      <c r="AC112" s="1"/>
    </row>
    <row r="113" spans="1:29" x14ac:dyDescent="0.2">
      <c r="A113" s="138">
        <v>101</v>
      </c>
      <c r="B113" s="170">
        <v>42317</v>
      </c>
      <c r="C113" s="854"/>
      <c r="D113" s="854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8"/>
      <c r="T113" s="8"/>
      <c r="U113" s="8"/>
      <c r="V113" s="8"/>
      <c r="W113" s="8"/>
      <c r="X113" s="9"/>
      <c r="Y113" s="9"/>
      <c r="Z113" s="9"/>
      <c r="AA113" s="9"/>
      <c r="AB113" s="9"/>
      <c r="AC113" s="1"/>
    </row>
    <row r="114" spans="1:29" x14ac:dyDescent="0.2">
      <c r="A114" s="138">
        <v>102</v>
      </c>
      <c r="B114" s="170">
        <v>42318</v>
      </c>
      <c r="C114" s="854"/>
      <c r="D114" s="854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8"/>
      <c r="T114" s="8"/>
      <c r="U114" s="8"/>
      <c r="V114" s="8"/>
      <c r="W114" s="8"/>
      <c r="X114" s="9"/>
      <c r="Y114" s="9"/>
      <c r="Z114" s="9"/>
      <c r="AA114" s="9"/>
      <c r="AB114" s="9"/>
      <c r="AC114" s="1"/>
    </row>
    <row r="115" spans="1:29" x14ac:dyDescent="0.2">
      <c r="A115" s="138">
        <v>103</v>
      </c>
      <c r="B115" s="170">
        <v>42319</v>
      </c>
      <c r="C115" s="854"/>
      <c r="D115" s="854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8"/>
      <c r="T115" s="8"/>
      <c r="U115" s="8"/>
      <c r="V115" s="8"/>
      <c r="W115" s="8"/>
      <c r="X115" s="9"/>
      <c r="Y115" s="9"/>
      <c r="Z115" s="9"/>
      <c r="AA115" s="9"/>
      <c r="AB115" s="9"/>
      <c r="AC115" s="1"/>
    </row>
    <row r="116" spans="1:29" x14ac:dyDescent="0.2">
      <c r="A116" s="138">
        <v>104</v>
      </c>
      <c r="B116" s="170">
        <v>42320</v>
      </c>
      <c r="C116" s="854"/>
      <c r="D116" s="854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10"/>
      <c r="T116" s="10"/>
      <c r="U116" s="10"/>
      <c r="V116" s="10"/>
      <c r="W116" s="10"/>
      <c r="X116" s="9"/>
      <c r="Y116" s="2"/>
      <c r="Z116" s="2"/>
      <c r="AA116" s="2"/>
      <c r="AB116" s="2"/>
    </row>
    <row r="117" spans="1:29" x14ac:dyDescent="0.2">
      <c r="A117" s="138">
        <v>105</v>
      </c>
      <c r="B117" s="170">
        <v>42321</v>
      </c>
      <c r="C117" s="854"/>
      <c r="D117" s="854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10"/>
      <c r="T117" s="10"/>
      <c r="U117" s="10"/>
      <c r="V117" s="10"/>
      <c r="W117" s="10"/>
      <c r="X117" s="9"/>
      <c r="Y117" s="2"/>
      <c r="Z117" s="2"/>
      <c r="AA117" s="2"/>
      <c r="AB117" s="2"/>
    </row>
    <row r="118" spans="1:29" x14ac:dyDescent="0.2">
      <c r="A118" s="138">
        <v>106</v>
      </c>
      <c r="B118" s="170">
        <v>42322</v>
      </c>
      <c r="C118" s="854"/>
      <c r="D118" s="854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10"/>
      <c r="T118" s="10"/>
      <c r="U118" s="10"/>
      <c r="V118" s="10"/>
      <c r="W118" s="10"/>
      <c r="X118" s="9"/>
      <c r="Y118" s="2"/>
      <c r="Z118" s="2"/>
      <c r="AA118" s="2"/>
      <c r="AB118" s="2"/>
    </row>
    <row r="119" spans="1:29" x14ac:dyDescent="0.2">
      <c r="A119" s="138">
        <v>107</v>
      </c>
      <c r="B119" s="170">
        <v>42323</v>
      </c>
      <c r="C119" s="854"/>
      <c r="D119" s="854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10"/>
      <c r="T119" s="10"/>
      <c r="U119" s="10"/>
      <c r="V119" s="10"/>
      <c r="W119" s="10"/>
      <c r="X119" s="9"/>
      <c r="Y119" s="2"/>
      <c r="Z119" s="2"/>
      <c r="AA119" s="2"/>
      <c r="AB119" s="2"/>
    </row>
    <row r="120" spans="1:29" x14ac:dyDescent="0.2">
      <c r="A120" s="138">
        <v>108</v>
      </c>
      <c r="B120" s="170">
        <v>42324</v>
      </c>
      <c r="C120" s="854"/>
      <c r="D120" s="854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10"/>
      <c r="T120" s="10"/>
      <c r="U120" s="10"/>
      <c r="V120" s="10"/>
      <c r="W120" s="10"/>
      <c r="X120" s="9"/>
      <c r="Y120" s="2"/>
      <c r="Z120" s="2"/>
      <c r="AA120" s="2"/>
      <c r="AB120" s="2"/>
    </row>
    <row r="121" spans="1:29" x14ac:dyDescent="0.2">
      <c r="A121" s="138">
        <v>109</v>
      </c>
      <c r="B121" s="170">
        <v>42325</v>
      </c>
      <c r="C121" s="854"/>
      <c r="D121" s="854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10"/>
      <c r="T121" s="10"/>
      <c r="U121" s="10"/>
      <c r="V121" s="10"/>
      <c r="W121" s="10"/>
      <c r="X121" s="9"/>
      <c r="Y121" s="2"/>
      <c r="Z121" s="2"/>
      <c r="AA121" s="2"/>
      <c r="AB121" s="2"/>
    </row>
    <row r="122" spans="1:29" x14ac:dyDescent="0.2">
      <c r="A122" s="138">
        <v>110</v>
      </c>
      <c r="B122" s="170">
        <v>42326</v>
      </c>
      <c r="C122" s="854"/>
      <c r="D122" s="854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10"/>
      <c r="T122" s="10"/>
      <c r="U122" s="10"/>
      <c r="V122" s="10"/>
      <c r="W122" s="10"/>
      <c r="X122" s="9"/>
      <c r="Y122" s="2"/>
      <c r="Z122" s="2"/>
      <c r="AA122" s="2"/>
      <c r="AB122" s="2"/>
    </row>
    <row r="123" spans="1:29" x14ac:dyDescent="0.2">
      <c r="A123" s="138">
        <v>111</v>
      </c>
      <c r="B123" s="170">
        <v>42327</v>
      </c>
      <c r="C123" s="854"/>
      <c r="D123" s="854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10"/>
      <c r="T123" s="10"/>
      <c r="U123" s="10"/>
      <c r="V123" s="10"/>
      <c r="W123" s="10"/>
      <c r="X123" s="9"/>
      <c r="Y123" s="2"/>
      <c r="Z123" s="2"/>
      <c r="AA123" s="2"/>
      <c r="AB123" s="2"/>
    </row>
    <row r="124" spans="1:29" x14ac:dyDescent="0.2">
      <c r="A124" s="138">
        <v>112</v>
      </c>
      <c r="B124" s="170">
        <v>42328</v>
      </c>
      <c r="C124" s="854"/>
      <c r="D124" s="854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10"/>
      <c r="T124" s="10"/>
      <c r="U124" s="10"/>
      <c r="V124" s="10"/>
      <c r="W124" s="10"/>
      <c r="X124" s="9"/>
      <c r="Y124" s="2"/>
      <c r="Z124" s="2"/>
      <c r="AA124" s="2"/>
      <c r="AB124" s="2"/>
    </row>
    <row r="125" spans="1:29" x14ac:dyDescent="0.2">
      <c r="A125" s="138">
        <v>113</v>
      </c>
      <c r="B125" s="170">
        <v>42329</v>
      </c>
      <c r="C125" s="854"/>
      <c r="D125" s="854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10"/>
      <c r="T125" s="10"/>
      <c r="U125" s="10"/>
      <c r="V125" s="10"/>
      <c r="W125" s="10"/>
      <c r="X125" s="9"/>
      <c r="Y125" s="2"/>
      <c r="Z125" s="2"/>
      <c r="AA125" s="2"/>
      <c r="AB125" s="2"/>
    </row>
    <row r="126" spans="1:29" x14ac:dyDescent="0.2">
      <c r="A126" s="138">
        <v>114</v>
      </c>
      <c r="B126" s="170">
        <v>42330</v>
      </c>
      <c r="C126" s="854"/>
      <c r="D126" s="854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10"/>
      <c r="T126" s="10"/>
      <c r="U126" s="10"/>
      <c r="V126" s="10"/>
      <c r="W126" s="10"/>
      <c r="X126" s="9"/>
      <c r="Y126" s="2"/>
      <c r="Z126" s="2"/>
      <c r="AA126" s="2"/>
      <c r="AB126" s="2"/>
    </row>
    <row r="127" spans="1:29" x14ac:dyDescent="0.2">
      <c r="A127" s="138">
        <v>115</v>
      </c>
      <c r="B127" s="170">
        <v>42331</v>
      </c>
      <c r="C127" s="854"/>
      <c r="D127" s="854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10"/>
      <c r="T127" s="10"/>
      <c r="U127" s="10"/>
      <c r="V127" s="10"/>
      <c r="W127" s="10"/>
      <c r="X127" s="9"/>
      <c r="Y127" s="2"/>
      <c r="Z127" s="2"/>
      <c r="AA127" s="2"/>
      <c r="AB127" s="2"/>
    </row>
    <row r="128" spans="1:29" x14ac:dyDescent="0.2">
      <c r="A128" s="138">
        <v>116</v>
      </c>
      <c r="B128" s="170">
        <v>42332</v>
      </c>
      <c r="C128" s="854"/>
      <c r="D128" s="854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10"/>
      <c r="T128" s="10"/>
      <c r="U128" s="10"/>
      <c r="V128" s="10"/>
      <c r="W128" s="10"/>
      <c r="X128" s="9"/>
      <c r="Y128" s="2"/>
      <c r="Z128" s="2"/>
      <c r="AA128" s="2"/>
      <c r="AB128" s="2"/>
    </row>
    <row r="129" spans="1:28" x14ac:dyDescent="0.2">
      <c r="A129" s="138">
        <v>117</v>
      </c>
      <c r="B129" s="170">
        <v>42333</v>
      </c>
      <c r="C129" s="854"/>
      <c r="D129" s="854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10"/>
      <c r="T129" s="10"/>
      <c r="U129" s="10"/>
      <c r="V129" s="10"/>
      <c r="W129" s="10"/>
      <c r="X129" s="9"/>
      <c r="Y129" s="2"/>
      <c r="Z129" s="2"/>
      <c r="AA129" s="2"/>
      <c r="AB129" s="2"/>
    </row>
    <row r="130" spans="1:28" x14ac:dyDescent="0.2">
      <c r="A130" s="138">
        <v>118</v>
      </c>
      <c r="B130" s="170">
        <v>42334</v>
      </c>
      <c r="C130" s="854"/>
      <c r="D130" s="854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10"/>
      <c r="T130" s="10"/>
      <c r="U130" s="10"/>
      <c r="V130" s="10"/>
      <c r="W130" s="10"/>
      <c r="X130" s="9"/>
      <c r="Y130" s="2"/>
      <c r="Z130" s="2"/>
      <c r="AA130" s="2"/>
      <c r="AB130" s="2"/>
    </row>
    <row r="131" spans="1:28" x14ac:dyDescent="0.2">
      <c r="A131" s="138">
        <v>119</v>
      </c>
      <c r="B131" s="170">
        <v>42335</v>
      </c>
      <c r="C131" s="854"/>
      <c r="D131" s="854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10"/>
      <c r="T131" s="10"/>
      <c r="U131" s="10"/>
      <c r="V131" s="10"/>
      <c r="W131" s="10"/>
      <c r="X131" s="9"/>
      <c r="Y131" s="2"/>
      <c r="Z131" s="2"/>
      <c r="AA131" s="2"/>
      <c r="AB131" s="2"/>
    </row>
    <row r="132" spans="1:28" x14ac:dyDescent="0.2">
      <c r="A132" s="138">
        <v>120</v>
      </c>
      <c r="B132" s="170">
        <v>42336</v>
      </c>
      <c r="C132" s="854"/>
      <c r="D132" s="854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"/>
      <c r="T132" s="2"/>
      <c r="U132" s="2"/>
      <c r="V132" s="2"/>
      <c r="W132" s="2"/>
      <c r="X132" s="9"/>
      <c r="Y132" s="2"/>
      <c r="Z132" s="2"/>
      <c r="AA132" s="2"/>
      <c r="AB132" s="2"/>
    </row>
    <row r="133" spans="1:28" x14ac:dyDescent="0.2">
      <c r="A133" s="138">
        <v>121</v>
      </c>
      <c r="B133" s="170">
        <v>42337</v>
      </c>
      <c r="C133" s="854"/>
      <c r="D133" s="854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"/>
      <c r="T133" s="2"/>
      <c r="U133" s="2"/>
      <c r="V133" s="2"/>
      <c r="W133" s="2"/>
      <c r="X133" s="9"/>
      <c r="Y133" s="2"/>
      <c r="Z133" s="2"/>
      <c r="AA133" s="2"/>
      <c r="AB133" s="2"/>
    </row>
    <row r="134" spans="1:28" x14ac:dyDescent="0.2">
      <c r="A134" s="138">
        <v>122</v>
      </c>
      <c r="B134" s="170">
        <v>42338</v>
      </c>
      <c r="C134" s="854"/>
      <c r="D134" s="854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"/>
      <c r="T134" s="2"/>
      <c r="U134" s="2"/>
      <c r="V134" s="2"/>
      <c r="W134" s="2"/>
      <c r="X134" s="9"/>
      <c r="Y134" s="2"/>
      <c r="Z134" s="2"/>
      <c r="AA134" s="2"/>
      <c r="AB134" s="2"/>
    </row>
    <row r="135" spans="1:28" x14ac:dyDescent="0.2">
      <c r="A135" s="138">
        <v>123</v>
      </c>
      <c r="B135" s="170">
        <v>42339</v>
      </c>
      <c r="C135" s="854"/>
      <c r="D135" s="854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"/>
      <c r="T135" s="2"/>
      <c r="U135" s="2"/>
      <c r="V135" s="2"/>
      <c r="W135" s="2"/>
      <c r="X135" s="9"/>
      <c r="Y135" s="2"/>
      <c r="Z135" s="2"/>
      <c r="AA135" s="2"/>
      <c r="AB135" s="2"/>
    </row>
    <row r="136" spans="1:28" x14ac:dyDescent="0.2">
      <c r="A136" s="138">
        <v>124</v>
      </c>
      <c r="B136" s="170">
        <v>42340</v>
      </c>
      <c r="C136" s="854"/>
      <c r="D136" s="854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"/>
      <c r="T136" s="2"/>
      <c r="U136" s="2"/>
      <c r="V136" s="2"/>
      <c r="W136" s="2"/>
      <c r="X136" s="9"/>
      <c r="Y136" s="2"/>
      <c r="Z136" s="2"/>
      <c r="AA136" s="2"/>
      <c r="AB136" s="2"/>
    </row>
    <row r="137" spans="1:28" x14ac:dyDescent="0.2">
      <c r="A137" s="138">
        <v>125</v>
      </c>
      <c r="B137" s="170">
        <v>42341</v>
      </c>
      <c r="C137" s="854"/>
      <c r="D137" s="854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"/>
      <c r="T137" s="2"/>
      <c r="U137" s="2"/>
      <c r="V137" s="2"/>
      <c r="W137" s="2"/>
      <c r="X137" s="9"/>
      <c r="Y137" s="2"/>
      <c r="Z137" s="2"/>
      <c r="AA137" s="2"/>
      <c r="AB137" s="2"/>
    </row>
    <row r="138" spans="1:28" x14ac:dyDescent="0.2">
      <c r="A138" s="138">
        <v>126</v>
      </c>
      <c r="B138" s="170">
        <v>42342</v>
      </c>
      <c r="C138" s="854"/>
      <c r="D138" s="854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"/>
      <c r="T138" s="2"/>
      <c r="U138" s="2"/>
      <c r="V138" s="2"/>
      <c r="W138" s="2"/>
      <c r="X138" s="9"/>
      <c r="Y138" s="2"/>
      <c r="Z138" s="2"/>
      <c r="AA138" s="2"/>
      <c r="AB138" s="2"/>
    </row>
    <row r="139" spans="1:28" x14ac:dyDescent="0.2">
      <c r="A139" s="138">
        <v>127</v>
      </c>
      <c r="B139" s="170">
        <v>42343</v>
      </c>
      <c r="C139" s="854"/>
      <c r="D139" s="854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"/>
      <c r="T139" s="2"/>
      <c r="U139" s="2"/>
      <c r="V139" s="2"/>
      <c r="W139" s="2"/>
      <c r="X139" s="9"/>
      <c r="Y139" s="2"/>
      <c r="Z139" s="2"/>
      <c r="AA139" s="2"/>
      <c r="AB139" s="2"/>
    </row>
    <row r="140" spans="1:28" x14ac:dyDescent="0.2">
      <c r="A140" s="138">
        <v>128</v>
      </c>
      <c r="B140" s="170">
        <v>42344</v>
      </c>
      <c r="C140" s="854"/>
      <c r="D140" s="854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"/>
      <c r="T140" s="2"/>
      <c r="U140" s="2"/>
      <c r="V140" s="2"/>
      <c r="W140" s="2"/>
      <c r="X140" s="9"/>
      <c r="Y140" s="2"/>
      <c r="Z140" s="2"/>
      <c r="AA140" s="2"/>
      <c r="AB140" s="2"/>
    </row>
    <row r="141" spans="1:28" x14ac:dyDescent="0.2">
      <c r="A141" s="138">
        <v>129</v>
      </c>
      <c r="B141" s="170">
        <v>42345</v>
      </c>
      <c r="C141" s="854"/>
      <c r="D141" s="854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"/>
      <c r="T141" s="2"/>
      <c r="U141" s="2"/>
      <c r="V141" s="2"/>
      <c r="W141" s="2"/>
      <c r="X141" s="9"/>
      <c r="Y141" s="2"/>
      <c r="Z141" s="2"/>
      <c r="AA141" s="2"/>
      <c r="AB141" s="2"/>
    </row>
    <row r="142" spans="1:28" x14ac:dyDescent="0.2">
      <c r="A142" s="138">
        <v>130</v>
      </c>
      <c r="B142" s="170">
        <v>42346</v>
      </c>
      <c r="C142" s="854"/>
      <c r="D142" s="854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"/>
      <c r="T142" s="2"/>
      <c r="U142" s="2"/>
      <c r="V142" s="2"/>
      <c r="W142" s="2"/>
      <c r="X142" s="9"/>
      <c r="Y142" s="2"/>
      <c r="Z142" s="2"/>
      <c r="AA142" s="2"/>
      <c r="AB142" s="2"/>
    </row>
    <row r="143" spans="1:28" x14ac:dyDescent="0.2">
      <c r="A143" s="138">
        <v>131</v>
      </c>
      <c r="B143" s="170">
        <v>42347</v>
      </c>
      <c r="C143" s="854"/>
      <c r="D143" s="854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"/>
      <c r="T143" s="2"/>
      <c r="U143" s="2"/>
      <c r="V143" s="2"/>
      <c r="W143" s="2"/>
      <c r="X143" s="9"/>
      <c r="Y143" s="2"/>
      <c r="Z143" s="2"/>
      <c r="AA143" s="2"/>
      <c r="AB143" s="2"/>
    </row>
    <row r="144" spans="1:28" x14ac:dyDescent="0.2">
      <c r="A144" s="138">
        <v>132</v>
      </c>
      <c r="B144" s="170">
        <v>42348</v>
      </c>
      <c r="C144" s="854"/>
      <c r="D144" s="854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"/>
      <c r="T144" s="2"/>
      <c r="U144" s="2"/>
      <c r="V144" s="2"/>
      <c r="W144" s="2"/>
      <c r="X144" s="9"/>
      <c r="Y144" s="2"/>
      <c r="Z144" s="2"/>
      <c r="AA144" s="2"/>
      <c r="AB144" s="2"/>
    </row>
    <row r="145" spans="1:28" x14ac:dyDescent="0.2">
      <c r="A145" s="138">
        <v>133</v>
      </c>
      <c r="B145" s="170">
        <v>42349</v>
      </c>
      <c r="C145" s="854"/>
      <c r="D145" s="854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"/>
      <c r="T145" s="2"/>
      <c r="U145" s="2"/>
      <c r="V145" s="2"/>
      <c r="W145" s="2"/>
      <c r="X145" s="9"/>
      <c r="Y145" s="2"/>
      <c r="Z145" s="2"/>
      <c r="AA145" s="2"/>
      <c r="AB145" s="2"/>
    </row>
    <row r="146" spans="1:28" x14ac:dyDescent="0.2">
      <c r="A146" s="138">
        <v>134</v>
      </c>
      <c r="B146" s="170">
        <v>42350</v>
      </c>
      <c r="C146" s="854"/>
      <c r="D146" s="854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"/>
      <c r="T146" s="2"/>
      <c r="U146" s="2"/>
      <c r="V146" s="2"/>
      <c r="W146" s="2"/>
      <c r="X146" s="9"/>
      <c r="Y146" s="2"/>
      <c r="Z146" s="2"/>
      <c r="AA146" s="2"/>
      <c r="AB146" s="2"/>
    </row>
    <row r="147" spans="1:28" x14ac:dyDescent="0.2">
      <c r="A147" s="138">
        <v>135</v>
      </c>
      <c r="B147" s="170">
        <v>42351</v>
      </c>
      <c r="C147" s="854"/>
      <c r="D147" s="854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"/>
      <c r="T147" s="2"/>
      <c r="U147" s="2"/>
      <c r="V147" s="2"/>
      <c r="W147" s="2"/>
      <c r="X147" s="9"/>
      <c r="Y147" s="2"/>
      <c r="Z147" s="2"/>
      <c r="AA147" s="2"/>
      <c r="AB147" s="2"/>
    </row>
    <row r="148" spans="1:28" x14ac:dyDescent="0.2">
      <c r="A148" s="138">
        <v>136</v>
      </c>
      <c r="B148" s="170">
        <v>42352</v>
      </c>
      <c r="C148" s="854"/>
      <c r="D148" s="854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3"/>
      <c r="Q148" s="203"/>
      <c r="R148" s="203"/>
      <c r="S148" s="2"/>
      <c r="T148" s="2"/>
      <c r="U148" s="2"/>
      <c r="V148" s="2"/>
      <c r="W148" s="2"/>
      <c r="X148" s="9"/>
      <c r="Y148" s="2"/>
      <c r="Z148" s="2"/>
      <c r="AA148" s="2"/>
      <c r="AB148" s="2"/>
    </row>
    <row r="149" spans="1:28" x14ac:dyDescent="0.2">
      <c r="A149" s="138">
        <v>137</v>
      </c>
      <c r="B149" s="170">
        <v>42353</v>
      </c>
      <c r="C149" s="854"/>
      <c r="D149" s="854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203"/>
      <c r="R149" s="203"/>
      <c r="S149" s="2"/>
      <c r="T149" s="2"/>
      <c r="U149" s="2"/>
      <c r="V149" s="2"/>
      <c r="W149" s="2"/>
      <c r="X149" s="9"/>
      <c r="Y149" s="2"/>
      <c r="Z149" s="2"/>
      <c r="AA149" s="2"/>
      <c r="AB149" s="2"/>
    </row>
    <row r="150" spans="1:28" x14ac:dyDescent="0.2">
      <c r="A150" s="138">
        <v>138</v>
      </c>
      <c r="B150" s="170">
        <v>42354</v>
      </c>
      <c r="C150" s="854"/>
      <c r="D150" s="854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"/>
      <c r="T150" s="2"/>
      <c r="U150" s="2"/>
      <c r="V150" s="2"/>
      <c r="W150" s="2"/>
      <c r="X150" s="9"/>
      <c r="Y150" s="2"/>
      <c r="Z150" s="2"/>
      <c r="AA150" s="2"/>
      <c r="AB150" s="2"/>
    </row>
    <row r="151" spans="1:28" x14ac:dyDescent="0.2">
      <c r="A151" s="138">
        <v>139</v>
      </c>
      <c r="B151" s="170">
        <v>42355</v>
      </c>
      <c r="C151" s="854"/>
      <c r="D151" s="854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"/>
      <c r="T151" s="2"/>
      <c r="U151" s="2"/>
      <c r="V151" s="2"/>
      <c r="W151" s="2"/>
      <c r="X151" s="9"/>
      <c r="Y151" s="2"/>
      <c r="Z151" s="2"/>
      <c r="AA151" s="2"/>
      <c r="AB151" s="2"/>
    </row>
    <row r="152" spans="1:28" x14ac:dyDescent="0.2">
      <c r="A152" s="138">
        <v>140</v>
      </c>
      <c r="B152" s="170">
        <v>42356</v>
      </c>
      <c r="C152" s="854"/>
      <c r="D152" s="854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"/>
      <c r="T152" s="2"/>
      <c r="U152" s="2"/>
      <c r="V152" s="2"/>
      <c r="W152" s="2"/>
      <c r="X152" s="9"/>
      <c r="Y152" s="2"/>
      <c r="Z152" s="2"/>
      <c r="AA152" s="2"/>
      <c r="AB152" s="2"/>
    </row>
    <row r="153" spans="1:28" x14ac:dyDescent="0.2">
      <c r="A153" s="138">
        <v>141</v>
      </c>
      <c r="B153" s="170">
        <v>42357</v>
      </c>
      <c r="C153" s="854"/>
      <c r="D153" s="854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"/>
      <c r="T153" s="2"/>
      <c r="U153" s="2"/>
      <c r="V153" s="2"/>
      <c r="W153" s="2"/>
      <c r="X153" s="9"/>
      <c r="Y153" s="2"/>
      <c r="Z153" s="2"/>
      <c r="AA153" s="2"/>
      <c r="AB153" s="2"/>
    </row>
    <row r="154" spans="1:28" x14ac:dyDescent="0.2">
      <c r="A154" s="138">
        <v>142</v>
      </c>
      <c r="B154" s="170">
        <v>42358</v>
      </c>
      <c r="C154" s="854"/>
      <c r="D154" s="854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"/>
      <c r="T154" s="2"/>
      <c r="U154" s="2"/>
      <c r="V154" s="2"/>
      <c r="W154" s="2"/>
      <c r="X154" s="9"/>
      <c r="Y154" s="2"/>
      <c r="Z154" s="2"/>
      <c r="AA154" s="2"/>
      <c r="AB154" s="2"/>
    </row>
    <row r="155" spans="1:28" x14ac:dyDescent="0.2">
      <c r="A155" s="138">
        <v>143</v>
      </c>
      <c r="B155" s="170">
        <v>42359</v>
      </c>
      <c r="C155" s="854"/>
      <c r="D155" s="854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"/>
      <c r="T155" s="2"/>
      <c r="U155" s="2"/>
      <c r="V155" s="2"/>
      <c r="W155" s="2"/>
      <c r="X155" s="9"/>
      <c r="Y155" s="2"/>
      <c r="Z155" s="2"/>
      <c r="AA155" s="2"/>
      <c r="AB155" s="2"/>
    </row>
    <row r="156" spans="1:28" x14ac:dyDescent="0.2">
      <c r="A156" s="138">
        <v>144</v>
      </c>
      <c r="B156" s="170">
        <v>42360</v>
      </c>
      <c r="C156" s="854"/>
      <c r="D156" s="854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"/>
      <c r="T156" s="2"/>
      <c r="U156" s="2"/>
      <c r="V156" s="2"/>
      <c r="W156" s="2"/>
      <c r="X156" s="9"/>
      <c r="Y156" s="2"/>
      <c r="Z156" s="2"/>
      <c r="AA156" s="2"/>
      <c r="AB156" s="2"/>
    </row>
    <row r="157" spans="1:28" x14ac:dyDescent="0.2">
      <c r="A157" s="138">
        <v>145</v>
      </c>
      <c r="B157" s="170">
        <v>42361</v>
      </c>
      <c r="C157" s="854"/>
      <c r="D157" s="854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"/>
      <c r="T157" s="2"/>
      <c r="U157" s="2"/>
      <c r="V157" s="2"/>
      <c r="W157" s="2"/>
      <c r="X157" s="9"/>
      <c r="Y157" s="2"/>
      <c r="Z157" s="2"/>
      <c r="AA157" s="2"/>
      <c r="AB157" s="2"/>
    </row>
    <row r="158" spans="1:28" x14ac:dyDescent="0.2">
      <c r="A158" s="138">
        <v>146</v>
      </c>
      <c r="B158" s="170">
        <v>42362</v>
      </c>
      <c r="C158" s="854"/>
      <c r="D158" s="854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"/>
      <c r="T158" s="2"/>
      <c r="U158" s="2"/>
      <c r="V158" s="2"/>
      <c r="W158" s="2"/>
      <c r="X158" s="9"/>
      <c r="Y158" s="2"/>
      <c r="Z158" s="2"/>
      <c r="AA158" s="2"/>
      <c r="AB158" s="2"/>
    </row>
    <row r="159" spans="1:28" x14ac:dyDescent="0.2">
      <c r="A159" s="138">
        <v>147</v>
      </c>
      <c r="B159" s="170">
        <v>42363</v>
      </c>
      <c r="C159" s="854"/>
      <c r="D159" s="854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"/>
      <c r="T159" s="2"/>
      <c r="U159" s="2"/>
      <c r="V159" s="2"/>
      <c r="W159" s="2"/>
      <c r="X159" s="9"/>
      <c r="Y159" s="2"/>
      <c r="Z159" s="2"/>
      <c r="AA159" s="2"/>
      <c r="AB159" s="2"/>
    </row>
    <row r="160" spans="1:28" x14ac:dyDescent="0.2">
      <c r="A160" s="138">
        <v>148</v>
      </c>
      <c r="B160" s="170">
        <v>42364</v>
      </c>
      <c r="C160" s="854"/>
      <c r="D160" s="854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"/>
      <c r="T160" s="2"/>
      <c r="U160" s="2"/>
      <c r="V160" s="2"/>
      <c r="W160" s="2"/>
      <c r="X160" s="9"/>
      <c r="Y160" s="2"/>
      <c r="Z160" s="2"/>
      <c r="AA160" s="2"/>
      <c r="AB160" s="2"/>
    </row>
    <row r="161" spans="1:28" x14ac:dyDescent="0.2">
      <c r="A161" s="138">
        <v>149</v>
      </c>
      <c r="B161" s="170">
        <v>42365</v>
      </c>
      <c r="C161" s="854"/>
      <c r="D161" s="854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"/>
      <c r="T161" s="2"/>
      <c r="U161" s="2"/>
      <c r="V161" s="2"/>
      <c r="W161" s="2"/>
      <c r="X161" s="9"/>
      <c r="Y161" s="2"/>
      <c r="Z161" s="2"/>
      <c r="AA161" s="2"/>
      <c r="AB161" s="2"/>
    </row>
    <row r="162" spans="1:28" x14ac:dyDescent="0.2">
      <c r="A162" s="138">
        <v>150</v>
      </c>
      <c r="B162" s="170">
        <v>42366</v>
      </c>
      <c r="C162" s="854"/>
      <c r="D162" s="854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"/>
      <c r="T162" s="2"/>
      <c r="U162" s="2"/>
      <c r="V162" s="2"/>
      <c r="W162" s="2"/>
      <c r="X162" s="9"/>
      <c r="Y162" s="2"/>
      <c r="Z162" s="2"/>
      <c r="AA162" s="2"/>
      <c r="AB162" s="2"/>
    </row>
    <row r="163" spans="1:28" x14ac:dyDescent="0.2">
      <c r="A163" s="138">
        <v>151</v>
      </c>
      <c r="B163" s="170">
        <v>42367</v>
      </c>
      <c r="C163" s="854"/>
      <c r="D163" s="854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"/>
      <c r="T163" s="2"/>
      <c r="U163" s="2"/>
      <c r="V163" s="2"/>
      <c r="W163" s="2"/>
      <c r="X163" s="9"/>
      <c r="Y163" s="2"/>
      <c r="Z163" s="2"/>
      <c r="AA163" s="2"/>
      <c r="AB163" s="2"/>
    </row>
  </sheetData>
  <mergeCells count="8">
    <mergeCell ref="J11:K11"/>
    <mergeCell ref="A4:B4"/>
    <mergeCell ref="K4:L4"/>
    <mergeCell ref="A1:B1"/>
    <mergeCell ref="A3:B3"/>
    <mergeCell ref="K1:L1"/>
    <mergeCell ref="C1:F1"/>
    <mergeCell ref="A2:B2"/>
  </mergeCells>
  <phoneticPr fontId="35" type="noConversion"/>
  <pageMargins left="0.74803149606299202" right="0.74803149606299202" top="0.98425196850393704" bottom="0.98425196850393704" header="0.511811023622047" footer="0.511811023622047"/>
  <pageSetup paperSize="3" scale="47" orientation="portrait" r:id="rId1"/>
  <headerFooter alignWithMargins="0">
    <oddHeader>&amp;C&amp;A</oddHeader>
    <oddFooter>&amp;L&amp;BDunn Hiebert &amp;&amp; Associates Confidential&amp;B&amp;C&amp;A&amp;RPage &amp;P</oddFooter>
  </headerFooter>
  <colBreaks count="2" manualBreakCount="2">
    <brk id="18" max="32" man="1"/>
    <brk id="27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99FF"/>
    <pageSetUpPr fitToPage="1"/>
  </sheetPr>
  <dimension ref="A1:AI150"/>
  <sheetViews>
    <sheetView zoomScale="80" zoomScaleNormal="80" workbookViewId="0">
      <pane ySplit="12" topLeftCell="A16" activePane="bottomLeft" state="frozen"/>
      <selection pane="bottomLeft" activeCell="D2" sqref="D2"/>
    </sheetView>
  </sheetViews>
  <sheetFormatPr defaultRowHeight="12.75" x14ac:dyDescent="0.2"/>
  <cols>
    <col min="1" max="1" width="6.42578125" customWidth="1"/>
    <col min="2" max="2" width="32" customWidth="1"/>
    <col min="3" max="3" width="12.140625" customWidth="1"/>
    <col min="4" max="4" width="9.42578125" customWidth="1"/>
    <col min="5" max="5" width="9.28515625" customWidth="1"/>
    <col min="6" max="6" width="9.85546875" customWidth="1"/>
    <col min="7" max="7" width="10" customWidth="1"/>
    <col min="8" max="8" width="9" customWidth="1"/>
    <col min="9" max="9" width="11.140625" customWidth="1"/>
    <col min="10" max="10" width="9.28515625" customWidth="1"/>
    <col min="11" max="11" width="10.28515625" customWidth="1"/>
    <col min="12" max="12" width="10.7109375" customWidth="1"/>
    <col min="13" max="13" width="9" customWidth="1"/>
    <col min="14" max="14" width="8.7109375" customWidth="1"/>
    <col min="15" max="15" width="8.28515625" bestFit="1" customWidth="1"/>
    <col min="16" max="16" width="8.7109375" customWidth="1"/>
    <col min="17" max="18" width="8.28515625" customWidth="1"/>
    <col min="19" max="19" width="7.28515625" customWidth="1"/>
    <col min="20" max="20" width="8.42578125" customWidth="1"/>
    <col min="21" max="21" width="7.42578125" customWidth="1"/>
    <col min="22" max="22" width="7" customWidth="1"/>
    <col min="23" max="23" width="8.5703125" customWidth="1"/>
    <col min="24" max="24" width="8" customWidth="1"/>
    <col min="25" max="25" width="7" customWidth="1"/>
    <col min="26" max="27" width="9.85546875" customWidth="1"/>
    <col min="28" max="28" width="10.28515625" customWidth="1"/>
    <col min="29" max="29" width="1.7109375" customWidth="1"/>
    <col min="30" max="30" width="11.42578125" customWidth="1"/>
  </cols>
  <sheetData>
    <row r="1" spans="1:35" ht="12.75" customHeight="1" x14ac:dyDescent="0.2">
      <c r="A1" s="1041" t="str">
        <f>'Actual PROGRESS'!A1</f>
        <v>Superintendent</v>
      </c>
      <c r="B1" s="1042"/>
      <c r="C1" s="1047"/>
      <c r="D1" s="1048"/>
      <c r="E1" s="1048"/>
      <c r="F1" s="1049"/>
      <c r="G1" s="4" t="s">
        <v>1</v>
      </c>
      <c r="H1" s="5"/>
      <c r="I1" s="5"/>
      <c r="J1" s="25">
        <v>0</v>
      </c>
      <c r="K1" s="1045"/>
      <c r="L1" s="1046"/>
      <c r="M1" s="704"/>
      <c r="N1" s="704"/>
      <c r="O1" s="704"/>
      <c r="P1" s="704"/>
      <c r="Q1" s="704"/>
      <c r="R1" s="704"/>
      <c r="S1" s="1"/>
      <c r="T1" s="1"/>
      <c r="U1" s="1"/>
      <c r="V1" s="54"/>
      <c r="W1" s="48"/>
      <c r="X1" s="48"/>
      <c r="Y1" s="48"/>
      <c r="Z1" s="48"/>
      <c r="AA1" s="48"/>
      <c r="AB1" s="116"/>
      <c r="AC1" s="117">
        <v>1</v>
      </c>
      <c r="AD1" s="15"/>
      <c r="AE1" s="3"/>
      <c r="AF1" s="3"/>
      <c r="AG1" s="3"/>
      <c r="AH1" s="3"/>
      <c r="AI1" s="3"/>
    </row>
    <row r="2" spans="1:35" ht="13.15" customHeight="1" x14ac:dyDescent="0.2">
      <c r="A2" s="1050">
        <f>'Actual PROGRESS'!A2</f>
        <v>0</v>
      </c>
      <c r="B2" s="1051"/>
      <c r="C2" s="701" t="s">
        <v>53</v>
      </c>
      <c r="D2" s="702"/>
      <c r="E2" s="703"/>
      <c r="F2" s="703"/>
      <c r="G2" s="827" t="s">
        <v>275</v>
      </c>
      <c r="H2" s="39"/>
      <c r="I2" s="13"/>
      <c r="J2" s="18" t="e">
        <f>SUM(D8+E8+F8+G8+H8+I8+J8+K8+L8+M8+N8)/11</f>
        <v>#DIV/0!</v>
      </c>
      <c r="K2" s="705"/>
      <c r="L2" s="705"/>
      <c r="M2" s="705"/>
      <c r="N2" s="705"/>
      <c r="O2" s="705"/>
      <c r="P2" s="705"/>
      <c r="Q2" s="705"/>
      <c r="R2" s="705"/>
      <c r="S2" s="1"/>
      <c r="T2" s="1"/>
      <c r="U2" s="1"/>
      <c r="V2" s="54"/>
      <c r="W2" s="48"/>
      <c r="X2" s="48"/>
      <c r="Y2" s="48"/>
      <c r="Z2" s="48"/>
      <c r="AA2" s="48"/>
      <c r="AB2" s="116"/>
      <c r="AC2" s="15"/>
      <c r="AD2" s="3"/>
      <c r="AE2" s="3"/>
      <c r="AF2" s="3"/>
      <c r="AG2" s="3"/>
      <c r="AH2" s="3"/>
      <c r="AI2" s="3"/>
    </row>
    <row r="3" spans="1:35" ht="13.15" customHeight="1" x14ac:dyDescent="0.2">
      <c r="A3" s="1043" t="str">
        <f>'Actual PROGRESS'!A3</f>
        <v>Contractor: Surerus</v>
      </c>
      <c r="B3" s="1044"/>
      <c r="C3" s="1054" t="s">
        <v>278</v>
      </c>
      <c r="D3" s="1055"/>
      <c r="E3" s="1055"/>
      <c r="F3" s="1056"/>
      <c r="G3" s="53"/>
      <c r="H3" s="53"/>
      <c r="I3" s="23"/>
      <c r="J3" s="23"/>
      <c r="K3" s="705"/>
      <c r="L3" s="705"/>
      <c r="M3" s="705"/>
      <c r="N3" s="705"/>
      <c r="O3" s="705"/>
      <c r="P3" s="705"/>
      <c r="Q3" s="705"/>
      <c r="R3" s="705"/>
      <c r="S3" s="1"/>
      <c r="T3" s="1"/>
      <c r="U3" s="1"/>
      <c r="V3" s="54"/>
      <c r="W3" s="48"/>
      <c r="X3" s="48"/>
      <c r="Y3" s="48"/>
      <c r="Z3" s="48"/>
      <c r="AA3" s="48"/>
      <c r="AB3" s="118"/>
      <c r="AC3" s="15"/>
      <c r="AD3" s="3"/>
      <c r="AE3" s="3"/>
      <c r="AF3" s="3"/>
      <c r="AG3" s="3"/>
      <c r="AH3" s="3"/>
      <c r="AI3" s="3"/>
    </row>
    <row r="4" spans="1:35" ht="13.9" customHeight="1" thickBot="1" x14ac:dyDescent="0.25">
      <c r="A4" s="1038">
        <f>'Actual PROGRESS'!A4</f>
        <v>0</v>
      </c>
      <c r="B4" s="1039"/>
      <c r="C4" s="1057"/>
      <c r="D4" s="1058"/>
      <c r="E4" s="1058"/>
      <c r="F4" s="1059"/>
      <c r="G4" s="185" t="s">
        <v>5</v>
      </c>
      <c r="H4" s="28"/>
      <c r="I4" s="95">
        <v>88300</v>
      </c>
      <c r="J4" s="139"/>
      <c r="K4" s="1040"/>
      <c r="L4" s="1040"/>
      <c r="M4" s="705"/>
      <c r="N4" s="706"/>
      <c r="O4" s="826"/>
      <c r="P4" s="826"/>
      <c r="Q4" s="705"/>
      <c r="R4" s="705"/>
      <c r="U4" s="107"/>
      <c r="V4" s="107"/>
      <c r="W4" s="107"/>
      <c r="X4" s="108"/>
      <c r="Y4" s="108"/>
      <c r="Z4" s="109"/>
      <c r="AA4" s="109"/>
      <c r="AB4" s="110"/>
      <c r="AC4" s="15"/>
      <c r="AD4" s="3"/>
      <c r="AE4" s="3"/>
      <c r="AF4" s="3"/>
      <c r="AG4" s="3"/>
      <c r="AH4" s="3"/>
      <c r="AI4" s="3"/>
    </row>
    <row r="5" spans="1:35" ht="13.5" thickBot="1" x14ac:dyDescent="0.25">
      <c r="A5" s="171" t="s">
        <v>8</v>
      </c>
      <c r="B5" s="172">
        <f>'Actual PROGRESS'!B5</f>
        <v>0</v>
      </c>
      <c r="C5" s="186"/>
      <c r="V5" s="107"/>
      <c r="W5" s="107"/>
      <c r="X5" s="108"/>
      <c r="Y5" s="108"/>
      <c r="Z5" s="109"/>
      <c r="AA5" s="109"/>
      <c r="AB5" s="110"/>
      <c r="AC5" s="3"/>
      <c r="AD5" s="3"/>
      <c r="AE5" s="3"/>
      <c r="AF5" s="3"/>
      <c r="AG5" s="3"/>
      <c r="AH5" s="3"/>
      <c r="AI5" s="3"/>
    </row>
    <row r="6" spans="1:35" x14ac:dyDescent="0.2">
      <c r="A6" s="53"/>
      <c r="B6" s="53"/>
      <c r="C6" s="102"/>
      <c r="D6" s="103"/>
      <c r="E6" s="104"/>
      <c r="F6" s="105"/>
      <c r="G6" s="53"/>
      <c r="H6" s="53"/>
      <c r="I6" s="53"/>
      <c r="J6" s="53"/>
      <c r="K6" s="53"/>
      <c r="L6" s="53"/>
      <c r="M6" s="53"/>
      <c r="N6" s="53"/>
      <c r="O6" s="53"/>
      <c r="P6" s="53"/>
      <c r="Q6" s="106"/>
      <c r="R6" s="106"/>
      <c r="S6" s="108"/>
      <c r="T6" s="108"/>
      <c r="U6" s="107"/>
      <c r="V6" s="107"/>
      <c r="W6" s="107"/>
      <c r="X6" s="108"/>
      <c r="Y6" s="108"/>
      <c r="Z6" s="109"/>
      <c r="AA6" s="109"/>
      <c r="AB6" s="110"/>
      <c r="AC6" s="3"/>
      <c r="AD6" s="3"/>
      <c r="AE6" s="3"/>
      <c r="AF6" s="3"/>
      <c r="AG6" s="3"/>
      <c r="AH6" s="3"/>
      <c r="AI6" s="3"/>
    </row>
    <row r="7" spans="1:35" x14ac:dyDescent="0.2">
      <c r="A7" s="98" t="s">
        <v>7</v>
      </c>
      <c r="B7" s="99"/>
      <c r="C7" s="207" t="e">
        <f>100%-C8</f>
        <v>#DIV/0!</v>
      </c>
      <c r="D7" s="207" t="e">
        <f t="shared" ref="D7:R7" si="0">100%-D8</f>
        <v>#DIV/0!</v>
      </c>
      <c r="E7" s="207" t="e">
        <f t="shared" si="0"/>
        <v>#DIV/0!</v>
      </c>
      <c r="F7" s="207" t="e">
        <f t="shared" si="0"/>
        <v>#DIV/0!</v>
      </c>
      <c r="G7" s="207" t="e">
        <f t="shared" si="0"/>
        <v>#DIV/0!</v>
      </c>
      <c r="H7" s="207" t="e">
        <f t="shared" si="0"/>
        <v>#DIV/0!</v>
      </c>
      <c r="I7" s="195" t="e">
        <f t="shared" si="0"/>
        <v>#DIV/0!</v>
      </c>
      <c r="J7" s="16" t="e">
        <f t="shared" si="0"/>
        <v>#DIV/0!</v>
      </c>
      <c r="K7" s="16" t="e">
        <f t="shared" si="0"/>
        <v>#DIV/0!</v>
      </c>
      <c r="L7" s="16" t="e">
        <f t="shared" si="0"/>
        <v>#DIV/0!</v>
      </c>
      <c r="M7" s="16" t="e">
        <f t="shared" si="0"/>
        <v>#DIV/0!</v>
      </c>
      <c r="N7" s="16" t="e">
        <f t="shared" si="0"/>
        <v>#DIV/0!</v>
      </c>
      <c r="O7" s="16" t="e">
        <f t="shared" si="0"/>
        <v>#DIV/0!</v>
      </c>
      <c r="P7" s="16" t="e">
        <f t="shared" si="0"/>
        <v>#DIV/0!</v>
      </c>
      <c r="Q7" s="16" t="e">
        <f t="shared" si="0"/>
        <v>#DIV/0!</v>
      </c>
      <c r="R7" s="16" t="e">
        <f t="shared" si="0"/>
        <v>#DIV/0!</v>
      </c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9"/>
      <c r="AD7" s="1"/>
    </row>
    <row r="8" spans="1:35" x14ac:dyDescent="0.2">
      <c r="A8" s="98" t="s">
        <v>4</v>
      </c>
      <c r="B8" s="99"/>
      <c r="C8" s="208" t="e">
        <f t="shared" ref="C8:R8" si="1">+C10/$J1</f>
        <v>#DIV/0!</v>
      </c>
      <c r="D8" s="208" t="e">
        <f t="shared" si="1"/>
        <v>#DIV/0!</v>
      </c>
      <c r="E8" s="208" t="e">
        <f t="shared" si="1"/>
        <v>#DIV/0!</v>
      </c>
      <c r="F8" s="208" t="e">
        <f t="shared" si="1"/>
        <v>#DIV/0!</v>
      </c>
      <c r="G8" s="208" t="e">
        <f t="shared" si="1"/>
        <v>#DIV/0!</v>
      </c>
      <c r="H8" s="208" t="e">
        <f t="shared" si="1"/>
        <v>#DIV/0!</v>
      </c>
      <c r="I8" s="196" t="e">
        <f t="shared" si="1"/>
        <v>#DIV/0!</v>
      </c>
      <c r="J8" s="17" t="e">
        <f t="shared" si="1"/>
        <v>#DIV/0!</v>
      </c>
      <c r="K8" s="17" t="e">
        <f t="shared" si="1"/>
        <v>#DIV/0!</v>
      </c>
      <c r="L8" s="17" t="e">
        <f t="shared" si="1"/>
        <v>#DIV/0!</v>
      </c>
      <c r="M8" s="17" t="e">
        <f t="shared" si="1"/>
        <v>#DIV/0!</v>
      </c>
      <c r="N8" s="17" t="e">
        <f t="shared" si="1"/>
        <v>#DIV/0!</v>
      </c>
      <c r="O8" s="17" t="e">
        <f t="shared" si="1"/>
        <v>#DIV/0!</v>
      </c>
      <c r="P8" s="17" t="e">
        <f t="shared" si="1"/>
        <v>#DIV/0!</v>
      </c>
      <c r="Q8" s="17" t="e">
        <f t="shared" si="1"/>
        <v>#DIV/0!</v>
      </c>
      <c r="R8" s="17" t="e">
        <f t="shared" si="1"/>
        <v>#DIV/0!</v>
      </c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20"/>
      <c r="AD8" s="1"/>
    </row>
    <row r="9" spans="1:35" x14ac:dyDescent="0.2">
      <c r="A9" s="97" t="s">
        <v>6</v>
      </c>
      <c r="B9" s="12"/>
      <c r="C9" s="205">
        <f t="shared" ref="C9:R9" si="2">+$J1-C10</f>
        <v>0</v>
      </c>
      <c r="D9" s="205">
        <f>+$J1-D10</f>
        <v>0</v>
      </c>
      <c r="E9" s="205">
        <f t="shared" si="2"/>
        <v>0</v>
      </c>
      <c r="F9" s="205">
        <f t="shared" si="2"/>
        <v>0</v>
      </c>
      <c r="G9" s="205">
        <f t="shared" si="2"/>
        <v>0</v>
      </c>
      <c r="H9" s="205">
        <f t="shared" si="2"/>
        <v>0</v>
      </c>
      <c r="I9" s="206">
        <f t="shared" si="2"/>
        <v>0</v>
      </c>
      <c r="J9" s="205">
        <f t="shared" si="2"/>
        <v>0</v>
      </c>
      <c r="K9" s="205">
        <f t="shared" si="2"/>
        <v>0</v>
      </c>
      <c r="L9" s="205">
        <f t="shared" si="2"/>
        <v>0</v>
      </c>
      <c r="M9" s="205">
        <f t="shared" si="2"/>
        <v>0</v>
      </c>
      <c r="N9" s="205">
        <f t="shared" si="2"/>
        <v>0</v>
      </c>
      <c r="O9" s="205">
        <f t="shared" si="2"/>
        <v>0</v>
      </c>
      <c r="P9" s="205">
        <f t="shared" si="2"/>
        <v>0</v>
      </c>
      <c r="Q9" s="205">
        <f t="shared" si="2"/>
        <v>0</v>
      </c>
      <c r="R9" s="205">
        <f t="shared" si="2"/>
        <v>0</v>
      </c>
      <c r="S9" s="114"/>
      <c r="T9" s="114"/>
      <c r="U9" s="114"/>
      <c r="V9" s="114"/>
      <c r="W9" s="114"/>
      <c r="X9" s="114"/>
      <c r="Y9" s="114"/>
      <c r="Z9" s="114"/>
      <c r="AA9" s="114"/>
      <c r="AB9" s="113"/>
      <c r="AC9" s="21"/>
      <c r="AD9" s="1"/>
    </row>
    <row r="10" spans="1:35" x14ac:dyDescent="0.2">
      <c r="A10" s="12" t="s">
        <v>316</v>
      </c>
      <c r="B10" s="11"/>
      <c r="C10" s="209">
        <f t="shared" ref="C10:R10" si="3">SUM(C13:C16)</f>
        <v>0</v>
      </c>
      <c r="D10" s="209">
        <f t="shared" si="3"/>
        <v>0</v>
      </c>
      <c r="E10" s="209">
        <f t="shared" si="3"/>
        <v>0</v>
      </c>
      <c r="F10" s="209">
        <f t="shared" si="3"/>
        <v>0</v>
      </c>
      <c r="G10" s="209">
        <f t="shared" si="3"/>
        <v>0</v>
      </c>
      <c r="H10" s="209">
        <f t="shared" si="3"/>
        <v>0</v>
      </c>
      <c r="I10" s="209">
        <f t="shared" si="3"/>
        <v>0</v>
      </c>
      <c r="J10" s="209">
        <f t="shared" si="3"/>
        <v>0</v>
      </c>
      <c r="K10" s="209">
        <f t="shared" si="3"/>
        <v>0</v>
      </c>
      <c r="L10" s="209">
        <f t="shared" si="3"/>
        <v>0</v>
      </c>
      <c r="M10" s="209">
        <f t="shared" si="3"/>
        <v>0</v>
      </c>
      <c r="N10" s="209">
        <f t="shared" si="3"/>
        <v>0</v>
      </c>
      <c r="O10" s="209">
        <f t="shared" si="3"/>
        <v>0</v>
      </c>
      <c r="P10" s="209">
        <f t="shared" si="3"/>
        <v>0</v>
      </c>
      <c r="Q10" s="209">
        <f t="shared" si="3"/>
        <v>0</v>
      </c>
      <c r="R10" s="209">
        <f t="shared" si="3"/>
        <v>0</v>
      </c>
      <c r="S10" s="115"/>
      <c r="T10" s="115"/>
      <c r="U10" s="115"/>
      <c r="V10" s="115"/>
      <c r="W10" s="115"/>
      <c r="X10" s="115"/>
      <c r="Y10" s="115"/>
      <c r="Z10" s="115"/>
      <c r="AA10" s="115"/>
      <c r="AB10" s="114"/>
      <c r="AC10" s="167"/>
      <c r="AD10" s="166"/>
    </row>
    <row r="11" spans="1:35" x14ac:dyDescent="0.2">
      <c r="A11" s="53"/>
      <c r="B11" s="53"/>
      <c r="C11" s="101"/>
      <c r="D11" s="101"/>
      <c r="E11" s="101"/>
      <c r="F11" s="101"/>
      <c r="G11" s="101"/>
      <c r="H11" s="101"/>
      <c r="I11" s="101"/>
      <c r="J11" s="1052">
        <f>SUM(J10+K10)/2</f>
        <v>0</v>
      </c>
      <c r="K11" s="1053"/>
      <c r="L11" s="101"/>
      <c r="M11" s="101"/>
      <c r="N11" s="101"/>
      <c r="O11" s="132"/>
      <c r="P11" s="133"/>
      <c r="Q11" s="133"/>
      <c r="R11" s="133"/>
      <c r="S11" s="134"/>
      <c r="T11" s="134"/>
      <c r="U11" s="134"/>
      <c r="V11" s="134"/>
      <c r="W11" s="134"/>
      <c r="X11" s="134"/>
      <c r="Y11" s="134"/>
      <c r="Z11" s="135"/>
      <c r="AA11" s="136"/>
      <c r="AB11" s="137"/>
      <c r="AC11" s="166"/>
      <c r="AD11" s="166"/>
    </row>
    <row r="12" spans="1:35" ht="36" customHeight="1" x14ac:dyDescent="0.2">
      <c r="A12" s="258" t="s">
        <v>24</v>
      </c>
      <c r="B12" s="258" t="s">
        <v>8</v>
      </c>
      <c r="C12" s="259" t="s">
        <v>32</v>
      </c>
      <c r="D12" s="260" t="s">
        <v>114</v>
      </c>
      <c r="E12" s="260" t="s">
        <v>296</v>
      </c>
      <c r="F12" s="260" t="s">
        <v>115</v>
      </c>
      <c r="G12" s="259" t="s">
        <v>9</v>
      </c>
      <c r="H12" s="259" t="s">
        <v>10</v>
      </c>
      <c r="I12" s="261" t="s">
        <v>88</v>
      </c>
      <c r="J12" s="261" t="s">
        <v>116</v>
      </c>
      <c r="K12" s="261" t="s">
        <v>0</v>
      </c>
      <c r="L12" s="261" t="s">
        <v>117</v>
      </c>
      <c r="M12" s="261" t="s">
        <v>11</v>
      </c>
      <c r="N12" s="261" t="s">
        <v>118</v>
      </c>
      <c r="O12" s="810"/>
      <c r="P12" s="179"/>
      <c r="Q12" s="179"/>
      <c r="R12" s="179"/>
      <c r="S12" s="24"/>
      <c r="T12" s="24"/>
      <c r="U12" s="24"/>
      <c r="V12" s="24"/>
      <c r="W12" s="122"/>
      <c r="X12" s="24"/>
      <c r="Y12" s="122"/>
      <c r="Z12" s="24"/>
      <c r="AA12" s="123"/>
      <c r="AB12" s="123"/>
      <c r="AC12" s="168"/>
      <c r="AD12" s="169"/>
      <c r="AE12" s="100"/>
      <c r="AF12" s="1"/>
    </row>
    <row r="13" spans="1:35" ht="12.6" customHeight="1" x14ac:dyDescent="0.2">
      <c r="A13" s="138">
        <v>166</v>
      </c>
      <c r="B13" s="170">
        <v>41988</v>
      </c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4"/>
      <c r="T13" s="24"/>
      <c r="U13" s="24"/>
      <c r="V13" s="24"/>
      <c r="W13" s="122"/>
      <c r="X13" s="24"/>
      <c r="Y13" s="122"/>
      <c r="Z13" s="24"/>
      <c r="AA13" s="123"/>
      <c r="AB13" s="123"/>
      <c r="AC13" s="168"/>
      <c r="AD13" s="169"/>
      <c r="AE13" s="100"/>
      <c r="AF13" s="1"/>
    </row>
    <row r="14" spans="1:35" ht="12.6" customHeight="1" x14ac:dyDescent="0.2">
      <c r="A14" s="138">
        <v>167</v>
      </c>
      <c r="B14" s="170">
        <v>41989</v>
      </c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4"/>
      <c r="T14" s="24"/>
      <c r="U14" s="24"/>
      <c r="V14" s="24"/>
      <c r="W14" s="122"/>
      <c r="X14" s="24"/>
      <c r="Y14" s="122"/>
      <c r="Z14" s="24"/>
      <c r="AA14" s="123"/>
      <c r="AB14" s="123"/>
      <c r="AC14" s="168"/>
      <c r="AD14" s="169"/>
      <c r="AE14" s="100"/>
      <c r="AF14" s="1"/>
    </row>
    <row r="15" spans="1:35" ht="12.6" customHeight="1" x14ac:dyDescent="0.2">
      <c r="A15" s="138">
        <v>168</v>
      </c>
      <c r="B15" s="170">
        <v>41990</v>
      </c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4"/>
      <c r="T15" s="24"/>
      <c r="U15" s="24"/>
      <c r="V15" s="24"/>
      <c r="W15" s="122"/>
      <c r="X15" s="24"/>
      <c r="Y15" s="122"/>
      <c r="Z15" s="24"/>
      <c r="AA15" s="123"/>
      <c r="AB15" s="123"/>
      <c r="AC15" s="168"/>
      <c r="AD15" s="169"/>
      <c r="AE15" s="100"/>
      <c r="AF15" s="1"/>
    </row>
    <row r="16" spans="1:35" ht="12.6" customHeight="1" x14ac:dyDescent="0.2">
      <c r="A16" s="138">
        <v>169</v>
      </c>
      <c r="B16" s="170">
        <v>41991</v>
      </c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4"/>
      <c r="T16" s="24"/>
      <c r="U16" s="24"/>
      <c r="V16" s="24"/>
      <c r="W16" s="122"/>
      <c r="X16" s="24"/>
      <c r="Y16" s="122"/>
      <c r="Z16" s="24"/>
      <c r="AA16" s="123"/>
      <c r="AB16" s="123"/>
      <c r="AC16" s="168"/>
      <c r="AD16" s="169"/>
      <c r="AE16" s="100"/>
      <c r="AF16" s="1"/>
    </row>
    <row r="17" spans="1:32" ht="12.6" customHeight="1" x14ac:dyDescent="0.2">
      <c r="A17" s="138">
        <v>170</v>
      </c>
      <c r="B17" s="170">
        <v>41992</v>
      </c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4"/>
      <c r="T17" s="24"/>
      <c r="U17" s="24"/>
      <c r="V17" s="24"/>
      <c r="W17" s="122"/>
      <c r="X17" s="24"/>
      <c r="Y17" s="122"/>
      <c r="Z17" s="24"/>
      <c r="AA17" s="123"/>
      <c r="AB17" s="123"/>
      <c r="AC17" s="168"/>
      <c r="AD17" s="169"/>
      <c r="AE17" s="100"/>
      <c r="AF17" s="1"/>
    </row>
    <row r="18" spans="1:32" x14ac:dyDescent="0.2">
      <c r="A18" s="138">
        <v>166</v>
      </c>
      <c r="B18" s="170">
        <v>42009</v>
      </c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</row>
    <row r="19" spans="1:32" x14ac:dyDescent="0.2">
      <c r="A19" s="138">
        <v>167</v>
      </c>
      <c r="B19" s="170">
        <v>42010</v>
      </c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</row>
    <row r="20" spans="1:32" x14ac:dyDescent="0.2">
      <c r="A20" s="138">
        <v>168</v>
      </c>
      <c r="B20" s="170">
        <v>42011</v>
      </c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</row>
    <row r="21" spans="1:32" x14ac:dyDescent="0.2">
      <c r="A21" s="138">
        <v>169</v>
      </c>
      <c r="B21" s="170">
        <v>42012</v>
      </c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</row>
    <row r="22" spans="1:32" x14ac:dyDescent="0.2">
      <c r="A22" s="138">
        <v>170</v>
      </c>
      <c r="B22" s="170">
        <v>42013</v>
      </c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</row>
    <row r="23" spans="1:32" x14ac:dyDescent="0.2">
      <c r="A23" s="138">
        <v>171</v>
      </c>
      <c r="B23" s="170">
        <v>42014</v>
      </c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</row>
    <row r="24" spans="1:32" x14ac:dyDescent="0.2">
      <c r="A24" s="138">
        <v>172</v>
      </c>
      <c r="B24" s="170">
        <v>42015</v>
      </c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</row>
    <row r="25" spans="1:32" x14ac:dyDescent="0.2">
      <c r="A25" s="138">
        <v>173</v>
      </c>
      <c r="B25" s="170">
        <v>42016</v>
      </c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</row>
    <row r="26" spans="1:32" x14ac:dyDescent="0.2">
      <c r="A26" s="138">
        <v>174</v>
      </c>
      <c r="B26" s="170">
        <v>42017</v>
      </c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</row>
    <row r="27" spans="1:32" x14ac:dyDescent="0.2">
      <c r="A27" s="138">
        <v>175</v>
      </c>
      <c r="B27" s="170">
        <v>42018</v>
      </c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</row>
    <row r="28" spans="1:32" x14ac:dyDescent="0.2">
      <c r="A28" s="138">
        <v>176</v>
      </c>
      <c r="B28" s="170">
        <v>42019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</row>
    <row r="29" spans="1:32" x14ac:dyDescent="0.2">
      <c r="A29" s="138">
        <v>177</v>
      </c>
      <c r="B29" s="170">
        <v>42020</v>
      </c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</row>
    <row r="30" spans="1:32" x14ac:dyDescent="0.2">
      <c r="A30" s="138">
        <v>178</v>
      </c>
      <c r="B30" s="170">
        <v>42021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</row>
    <row r="31" spans="1:32" x14ac:dyDescent="0.2">
      <c r="A31" s="138">
        <v>179</v>
      </c>
      <c r="B31" s="170">
        <v>42022</v>
      </c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</row>
    <row r="32" spans="1:32" x14ac:dyDescent="0.2">
      <c r="A32" s="138">
        <v>180</v>
      </c>
      <c r="B32" s="170">
        <v>42023</v>
      </c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</row>
    <row r="33" spans="1:18" x14ac:dyDescent="0.2">
      <c r="A33" s="138">
        <v>181</v>
      </c>
      <c r="B33" s="170">
        <v>42024</v>
      </c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</row>
    <row r="34" spans="1:18" x14ac:dyDescent="0.2">
      <c r="A34" s="138">
        <v>182</v>
      </c>
      <c r="B34" s="170">
        <v>42025</v>
      </c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</row>
    <row r="35" spans="1:18" x14ac:dyDescent="0.2">
      <c r="A35" s="138">
        <v>183</v>
      </c>
      <c r="B35" s="170">
        <v>42026</v>
      </c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</row>
    <row r="36" spans="1:18" x14ac:dyDescent="0.2">
      <c r="A36" s="138">
        <v>184</v>
      </c>
      <c r="B36" s="170">
        <v>42027</v>
      </c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</row>
    <row r="37" spans="1:18" x14ac:dyDescent="0.2">
      <c r="A37" s="138">
        <v>185</v>
      </c>
      <c r="B37" s="170">
        <v>42028</v>
      </c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</row>
    <row r="38" spans="1:18" x14ac:dyDescent="0.2">
      <c r="A38" s="138">
        <v>186</v>
      </c>
      <c r="B38" s="170">
        <v>42029</v>
      </c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</row>
    <row r="39" spans="1:18" x14ac:dyDescent="0.2">
      <c r="A39" s="138">
        <v>187</v>
      </c>
      <c r="B39" s="170">
        <v>42030</v>
      </c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</row>
    <row r="40" spans="1:18" x14ac:dyDescent="0.2">
      <c r="A40" s="138">
        <v>188</v>
      </c>
      <c r="B40" s="170">
        <v>42031</v>
      </c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</row>
    <row r="41" spans="1:18" x14ac:dyDescent="0.2">
      <c r="A41" s="138">
        <v>189</v>
      </c>
      <c r="B41" s="170">
        <v>42032</v>
      </c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</row>
    <row r="42" spans="1:18" x14ac:dyDescent="0.2">
      <c r="A42" s="138">
        <v>190</v>
      </c>
      <c r="B42" s="170">
        <v>42033</v>
      </c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</row>
    <row r="43" spans="1:18" x14ac:dyDescent="0.2">
      <c r="A43" s="138">
        <v>191</v>
      </c>
      <c r="B43" s="170">
        <v>42034</v>
      </c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</row>
    <row r="44" spans="1:18" x14ac:dyDescent="0.2">
      <c r="A44" s="138">
        <v>192</v>
      </c>
      <c r="B44" s="170">
        <v>42035</v>
      </c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</row>
    <row r="45" spans="1:18" x14ac:dyDescent="0.2">
      <c r="A45" s="138">
        <v>193</v>
      </c>
      <c r="B45" s="170">
        <v>42036</v>
      </c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</row>
    <row r="46" spans="1:18" x14ac:dyDescent="0.2">
      <c r="A46" s="138">
        <v>194</v>
      </c>
      <c r="B46" s="170">
        <v>42037</v>
      </c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</row>
    <row r="47" spans="1:18" x14ac:dyDescent="0.2">
      <c r="A47" s="138">
        <v>195</v>
      </c>
      <c r="B47" s="170">
        <v>42038</v>
      </c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</row>
    <row r="48" spans="1:18" x14ac:dyDescent="0.2">
      <c r="A48" s="138">
        <v>196</v>
      </c>
      <c r="B48" s="170">
        <v>42039</v>
      </c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</row>
    <row r="49" spans="1:18" x14ac:dyDescent="0.2">
      <c r="A49" s="138">
        <v>197</v>
      </c>
      <c r="B49" s="170">
        <v>42040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</row>
    <row r="50" spans="1:18" x14ac:dyDescent="0.2">
      <c r="A50" s="138">
        <v>198</v>
      </c>
      <c r="B50" s="170">
        <v>42041</v>
      </c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</row>
    <row r="51" spans="1:18" x14ac:dyDescent="0.2">
      <c r="A51" s="138">
        <v>199</v>
      </c>
      <c r="B51" s="170">
        <v>42042</v>
      </c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</row>
    <row r="52" spans="1:18" x14ac:dyDescent="0.2">
      <c r="A52" s="138">
        <v>200</v>
      </c>
      <c r="B52" s="170">
        <v>42043</v>
      </c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</row>
    <row r="53" spans="1:18" x14ac:dyDescent="0.2">
      <c r="A53" s="138">
        <v>201</v>
      </c>
      <c r="B53" s="170">
        <v>42044</v>
      </c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</row>
    <row r="54" spans="1:18" x14ac:dyDescent="0.2">
      <c r="A54" s="138">
        <v>202</v>
      </c>
      <c r="B54" s="170">
        <v>42045</v>
      </c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</row>
    <row r="55" spans="1:18" x14ac:dyDescent="0.2">
      <c r="A55" s="138">
        <v>203</v>
      </c>
      <c r="B55" s="170">
        <v>42046</v>
      </c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</row>
    <row r="56" spans="1:18" x14ac:dyDescent="0.2">
      <c r="A56" s="138">
        <v>204</v>
      </c>
      <c r="B56" s="170">
        <v>42047</v>
      </c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</row>
    <row r="57" spans="1:18" x14ac:dyDescent="0.2">
      <c r="A57" s="138">
        <v>205</v>
      </c>
      <c r="B57" s="170">
        <v>42048</v>
      </c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</row>
    <row r="58" spans="1:18" x14ac:dyDescent="0.2">
      <c r="A58" s="138">
        <v>206</v>
      </c>
      <c r="B58" s="170">
        <v>42049</v>
      </c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</row>
    <row r="59" spans="1:18" x14ac:dyDescent="0.2">
      <c r="A59" s="138">
        <v>207</v>
      </c>
      <c r="B59" s="170">
        <v>42050</v>
      </c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</row>
    <row r="60" spans="1:18" x14ac:dyDescent="0.2">
      <c r="A60" s="138">
        <v>208</v>
      </c>
      <c r="B60" s="170">
        <v>42051</v>
      </c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</row>
    <row r="61" spans="1:18" x14ac:dyDescent="0.2">
      <c r="A61" s="138">
        <v>209</v>
      </c>
      <c r="B61" s="170">
        <v>42052</v>
      </c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</row>
    <row r="62" spans="1:18" x14ac:dyDescent="0.2">
      <c r="A62" s="138">
        <v>210</v>
      </c>
      <c r="B62" s="170">
        <v>42053</v>
      </c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</row>
    <row r="63" spans="1:18" x14ac:dyDescent="0.2">
      <c r="A63" s="138">
        <v>211</v>
      </c>
      <c r="B63" s="170">
        <v>42054</v>
      </c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</row>
    <row r="64" spans="1:18" x14ac:dyDescent="0.2">
      <c r="A64" s="138">
        <v>212</v>
      </c>
      <c r="B64" s="170">
        <v>42055</v>
      </c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</row>
    <row r="65" spans="1:18" x14ac:dyDescent="0.2">
      <c r="A65" s="138">
        <v>213</v>
      </c>
      <c r="B65" s="170">
        <v>42056</v>
      </c>
      <c r="C65" s="203"/>
      <c r="D65" s="203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</row>
    <row r="66" spans="1:18" x14ac:dyDescent="0.2">
      <c r="A66" s="138">
        <v>214</v>
      </c>
      <c r="B66" s="170">
        <v>42057</v>
      </c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</row>
    <row r="67" spans="1:18" x14ac:dyDescent="0.2">
      <c r="A67" s="138">
        <v>215</v>
      </c>
      <c r="B67" s="170">
        <v>42058</v>
      </c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</row>
    <row r="68" spans="1:18" x14ac:dyDescent="0.2">
      <c r="A68" s="138">
        <v>216</v>
      </c>
      <c r="B68" s="170">
        <v>42059</v>
      </c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</row>
    <row r="69" spans="1:18" x14ac:dyDescent="0.2">
      <c r="A69" s="138">
        <v>217</v>
      </c>
      <c r="B69" s="170">
        <v>42060</v>
      </c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</row>
    <row r="70" spans="1:18" x14ac:dyDescent="0.2">
      <c r="A70" s="138">
        <v>218</v>
      </c>
      <c r="B70" s="170">
        <v>42061</v>
      </c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</row>
    <row r="71" spans="1:18" x14ac:dyDescent="0.2">
      <c r="A71" s="138">
        <v>219</v>
      </c>
      <c r="B71" s="170">
        <v>42062</v>
      </c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</row>
    <row r="72" spans="1:18" x14ac:dyDescent="0.2">
      <c r="A72" s="138">
        <v>220</v>
      </c>
      <c r="B72" s="170">
        <v>42063</v>
      </c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</row>
    <row r="73" spans="1:18" x14ac:dyDescent="0.2">
      <c r="A73" s="138">
        <v>221</v>
      </c>
      <c r="B73" s="170">
        <v>42064</v>
      </c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</row>
    <row r="74" spans="1:18" x14ac:dyDescent="0.2">
      <c r="A74" s="138">
        <v>222</v>
      </c>
      <c r="B74" s="170">
        <v>42065</v>
      </c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</row>
    <row r="75" spans="1:18" x14ac:dyDescent="0.2">
      <c r="A75" s="138">
        <v>223</v>
      </c>
      <c r="B75" s="170">
        <v>42066</v>
      </c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</row>
    <row r="76" spans="1:18" x14ac:dyDescent="0.2">
      <c r="A76" s="138">
        <v>224</v>
      </c>
      <c r="B76" s="170">
        <v>42067</v>
      </c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</row>
    <row r="77" spans="1:18" x14ac:dyDescent="0.2">
      <c r="A77" s="138">
        <v>225</v>
      </c>
      <c r="B77" s="170">
        <v>42068</v>
      </c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</row>
    <row r="78" spans="1:18" x14ac:dyDescent="0.2">
      <c r="A78" s="138">
        <v>226</v>
      </c>
      <c r="B78" s="170">
        <v>42069</v>
      </c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</row>
    <row r="79" spans="1:18" x14ac:dyDescent="0.2">
      <c r="A79" s="138">
        <v>227</v>
      </c>
      <c r="B79" s="170">
        <v>42070</v>
      </c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</row>
    <row r="80" spans="1:18" x14ac:dyDescent="0.2">
      <c r="A80" s="138">
        <v>228</v>
      </c>
      <c r="B80" s="170">
        <v>42071</v>
      </c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</row>
    <row r="81" spans="1:18" x14ac:dyDescent="0.2">
      <c r="A81" s="138">
        <v>229</v>
      </c>
      <c r="B81" s="170">
        <v>42072</v>
      </c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</row>
    <row r="82" spans="1:18" x14ac:dyDescent="0.2">
      <c r="A82" s="138">
        <v>230</v>
      </c>
      <c r="B82" s="170">
        <v>42073</v>
      </c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</row>
    <row r="83" spans="1:18" x14ac:dyDescent="0.2">
      <c r="A83" s="138">
        <v>231</v>
      </c>
      <c r="B83" s="170">
        <v>42074</v>
      </c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</row>
    <row r="84" spans="1:18" x14ac:dyDescent="0.2">
      <c r="A84" s="138">
        <v>232</v>
      </c>
      <c r="B84" s="170">
        <v>42075</v>
      </c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</row>
    <row r="85" spans="1:18" x14ac:dyDescent="0.2">
      <c r="A85" s="138">
        <v>233</v>
      </c>
      <c r="B85" s="170">
        <v>42076</v>
      </c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</row>
    <row r="86" spans="1:18" x14ac:dyDescent="0.2">
      <c r="A86" s="138">
        <v>234</v>
      </c>
      <c r="B86" s="170">
        <v>42077</v>
      </c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</row>
    <row r="87" spans="1:18" x14ac:dyDescent="0.2">
      <c r="A87" s="138">
        <v>235</v>
      </c>
      <c r="B87" s="170">
        <v>42078</v>
      </c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</row>
    <row r="88" spans="1:18" x14ac:dyDescent="0.2">
      <c r="A88" s="138">
        <v>236</v>
      </c>
      <c r="B88" s="170">
        <v>42079</v>
      </c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</row>
    <row r="89" spans="1:18" x14ac:dyDescent="0.2">
      <c r="A89" s="138">
        <v>237</v>
      </c>
      <c r="B89" s="170">
        <v>42080</v>
      </c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</row>
    <row r="90" spans="1:18" x14ac:dyDescent="0.2">
      <c r="A90" s="138">
        <v>238</v>
      </c>
      <c r="B90" s="170">
        <v>42081</v>
      </c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811"/>
      <c r="P90" s="203"/>
      <c r="Q90" s="203"/>
      <c r="R90" s="203"/>
    </row>
    <row r="91" spans="1:18" x14ac:dyDescent="0.2">
      <c r="A91" s="138">
        <v>239</v>
      </c>
      <c r="B91" s="170">
        <v>42082</v>
      </c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</row>
    <row r="92" spans="1:18" x14ac:dyDescent="0.2">
      <c r="A92" s="138">
        <v>240</v>
      </c>
      <c r="B92" s="170">
        <v>42083</v>
      </c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</row>
    <row r="93" spans="1:18" x14ac:dyDescent="0.2">
      <c r="A93" s="138">
        <v>241</v>
      </c>
      <c r="B93" s="170">
        <v>42084</v>
      </c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811"/>
      <c r="P93" s="203"/>
      <c r="Q93" s="203"/>
      <c r="R93" s="203"/>
    </row>
    <row r="94" spans="1:18" x14ac:dyDescent="0.2">
      <c r="A94" s="138">
        <v>242</v>
      </c>
      <c r="B94" s="170">
        <v>42085</v>
      </c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</row>
    <row r="95" spans="1:18" x14ac:dyDescent="0.2">
      <c r="A95" s="138">
        <v>243</v>
      </c>
      <c r="B95" s="170">
        <v>42086</v>
      </c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811"/>
      <c r="P95" s="203"/>
      <c r="Q95" s="203"/>
      <c r="R95" s="203"/>
    </row>
    <row r="96" spans="1:18" x14ac:dyDescent="0.2">
      <c r="A96" s="138">
        <v>244</v>
      </c>
      <c r="B96" s="170">
        <v>42087</v>
      </c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811"/>
      <c r="P96" s="203"/>
      <c r="Q96" s="203"/>
      <c r="R96" s="203"/>
    </row>
    <row r="97" spans="1:18" x14ac:dyDescent="0.2">
      <c r="A97" s="138">
        <v>245</v>
      </c>
      <c r="B97" s="170">
        <v>42088</v>
      </c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811"/>
      <c r="P97" s="203"/>
      <c r="Q97" s="203"/>
      <c r="R97" s="203"/>
    </row>
    <row r="98" spans="1:18" x14ac:dyDescent="0.2">
      <c r="A98" s="138">
        <v>246</v>
      </c>
      <c r="B98" s="170">
        <v>42089</v>
      </c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811"/>
      <c r="P98" s="203"/>
      <c r="Q98" s="203"/>
      <c r="R98" s="203"/>
    </row>
    <row r="99" spans="1:18" x14ac:dyDescent="0.2">
      <c r="A99" s="138">
        <v>247</v>
      </c>
      <c r="B99" s="170">
        <v>42090</v>
      </c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811"/>
      <c r="P99" s="203"/>
      <c r="Q99" s="203"/>
      <c r="R99" s="203"/>
    </row>
    <row r="100" spans="1:18" x14ac:dyDescent="0.2">
      <c r="A100" s="138">
        <v>248</v>
      </c>
      <c r="B100" s="170">
        <v>42091</v>
      </c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811"/>
      <c r="P100" s="203"/>
      <c r="Q100" s="203"/>
      <c r="R100" s="203"/>
    </row>
    <row r="101" spans="1:18" x14ac:dyDescent="0.2">
      <c r="A101" s="138">
        <v>249</v>
      </c>
      <c r="B101" s="170">
        <v>42092</v>
      </c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811"/>
      <c r="P101" s="203"/>
      <c r="Q101" s="203"/>
      <c r="R101" s="203"/>
    </row>
    <row r="102" spans="1:18" x14ac:dyDescent="0.2">
      <c r="A102" s="138">
        <v>250</v>
      </c>
      <c r="B102" s="170">
        <v>42093</v>
      </c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811"/>
      <c r="P102" s="203"/>
      <c r="Q102" s="203"/>
      <c r="R102" s="203"/>
    </row>
    <row r="103" spans="1:18" x14ac:dyDescent="0.2">
      <c r="A103" s="138">
        <v>251</v>
      </c>
      <c r="B103" s="170">
        <v>42094</v>
      </c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811"/>
      <c r="P103" s="203"/>
      <c r="Q103" s="203"/>
      <c r="R103" s="203"/>
    </row>
    <row r="104" spans="1:18" x14ac:dyDescent="0.2">
      <c r="A104" s="138">
        <v>252</v>
      </c>
      <c r="B104" s="170">
        <v>42095</v>
      </c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811"/>
      <c r="P104" s="203"/>
      <c r="Q104" s="203"/>
      <c r="R104" s="203"/>
    </row>
    <row r="105" spans="1:18" x14ac:dyDescent="0.2">
      <c r="A105" s="138">
        <v>253</v>
      </c>
      <c r="B105" s="170">
        <v>42096</v>
      </c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811"/>
      <c r="P105" s="203"/>
      <c r="Q105" s="203"/>
      <c r="R105" s="203"/>
    </row>
    <row r="106" spans="1:18" x14ac:dyDescent="0.2">
      <c r="A106" s="138">
        <v>254</v>
      </c>
      <c r="B106" s="170">
        <v>42097</v>
      </c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811"/>
      <c r="P106" s="203"/>
      <c r="Q106" s="203"/>
      <c r="R106" s="203"/>
    </row>
    <row r="107" spans="1:18" x14ac:dyDescent="0.2">
      <c r="A107" s="138">
        <v>255</v>
      </c>
      <c r="B107" s="170">
        <v>42098</v>
      </c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811"/>
      <c r="P107" s="203"/>
      <c r="Q107" s="203"/>
      <c r="R107" s="203"/>
    </row>
    <row r="108" spans="1:18" x14ac:dyDescent="0.2">
      <c r="A108" s="138">
        <v>256</v>
      </c>
      <c r="B108" s="170">
        <v>42099</v>
      </c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811"/>
      <c r="P108" s="203"/>
      <c r="Q108" s="203"/>
      <c r="R108" s="203"/>
    </row>
    <row r="109" spans="1:18" x14ac:dyDescent="0.2">
      <c r="A109" s="138">
        <v>257</v>
      </c>
      <c r="B109" s="170">
        <v>42100</v>
      </c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811"/>
      <c r="P109" s="203"/>
      <c r="Q109" s="203"/>
      <c r="R109" s="203"/>
    </row>
    <row r="110" spans="1:18" x14ac:dyDescent="0.2">
      <c r="A110" s="138">
        <v>258</v>
      </c>
      <c r="B110" s="170">
        <v>42101</v>
      </c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811"/>
      <c r="P110" s="203"/>
      <c r="Q110" s="203"/>
      <c r="R110" s="203"/>
    </row>
    <row r="111" spans="1:18" x14ac:dyDescent="0.2">
      <c r="A111" s="138">
        <v>259</v>
      </c>
      <c r="B111" s="170">
        <v>42102</v>
      </c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811"/>
      <c r="P111" s="203"/>
      <c r="Q111" s="203"/>
      <c r="R111" s="203"/>
    </row>
    <row r="112" spans="1:18" x14ac:dyDescent="0.2">
      <c r="A112" s="138">
        <v>260</v>
      </c>
      <c r="B112" s="170">
        <v>42103</v>
      </c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811"/>
      <c r="P112" s="203"/>
      <c r="Q112" s="203"/>
      <c r="R112" s="203"/>
    </row>
    <row r="113" spans="1:18" x14ac:dyDescent="0.2">
      <c r="A113" s="138">
        <v>261</v>
      </c>
      <c r="B113" s="170">
        <v>42104</v>
      </c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811"/>
      <c r="P113" s="203"/>
      <c r="Q113" s="203"/>
      <c r="R113" s="203"/>
    </row>
    <row r="114" spans="1:18" x14ac:dyDescent="0.2">
      <c r="A114" s="138">
        <v>262</v>
      </c>
      <c r="B114" s="170">
        <v>42105</v>
      </c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811"/>
      <c r="P114" s="203"/>
      <c r="Q114" s="203"/>
      <c r="R114" s="203"/>
    </row>
    <row r="115" spans="1:18" x14ac:dyDescent="0.2">
      <c r="A115" s="138">
        <v>263</v>
      </c>
      <c r="B115" s="170">
        <v>42106</v>
      </c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811"/>
      <c r="P115" s="203"/>
      <c r="Q115" s="203"/>
      <c r="R115" s="203"/>
    </row>
    <row r="116" spans="1:18" x14ac:dyDescent="0.2">
      <c r="A116" s="138">
        <v>264</v>
      </c>
      <c r="B116" s="170">
        <v>42107</v>
      </c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811"/>
      <c r="P116" s="203"/>
      <c r="Q116" s="203"/>
      <c r="R116" s="203"/>
    </row>
    <row r="117" spans="1:18" x14ac:dyDescent="0.2">
      <c r="A117" s="138">
        <v>265</v>
      </c>
      <c r="B117" s="170">
        <v>42108</v>
      </c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811"/>
      <c r="P117" s="203"/>
      <c r="Q117" s="203"/>
      <c r="R117" s="203"/>
    </row>
    <row r="118" spans="1:18" x14ac:dyDescent="0.2">
      <c r="A118" s="138">
        <v>266</v>
      </c>
      <c r="B118" s="170">
        <v>42109</v>
      </c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811"/>
      <c r="P118" s="203"/>
      <c r="Q118" s="203"/>
      <c r="R118" s="203"/>
    </row>
    <row r="119" spans="1:18" x14ac:dyDescent="0.2">
      <c r="A119" s="138">
        <v>267</v>
      </c>
      <c r="B119" s="170">
        <v>42110</v>
      </c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811"/>
      <c r="P119" s="203"/>
      <c r="Q119" s="203"/>
      <c r="R119" s="203"/>
    </row>
    <row r="120" spans="1:18" x14ac:dyDescent="0.2">
      <c r="A120" s="138">
        <v>268</v>
      </c>
      <c r="B120" s="170">
        <v>42111</v>
      </c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811"/>
      <c r="P120" s="203"/>
      <c r="Q120" s="203"/>
      <c r="R120" s="203"/>
    </row>
    <row r="121" spans="1:18" x14ac:dyDescent="0.2">
      <c r="A121" s="138">
        <v>269</v>
      </c>
      <c r="B121" s="170">
        <v>42112</v>
      </c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811"/>
      <c r="P121" s="203"/>
      <c r="Q121" s="203"/>
      <c r="R121" s="203"/>
    </row>
    <row r="122" spans="1:18" x14ac:dyDescent="0.2">
      <c r="A122" s="138">
        <v>270</v>
      </c>
      <c r="B122" s="170">
        <v>42113</v>
      </c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811"/>
      <c r="P122" s="203"/>
      <c r="Q122" s="203"/>
      <c r="R122" s="203"/>
    </row>
    <row r="123" spans="1:18" x14ac:dyDescent="0.2">
      <c r="A123" s="138">
        <v>271</v>
      </c>
      <c r="B123" s="170">
        <v>42114</v>
      </c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811"/>
      <c r="P123" s="203"/>
      <c r="Q123" s="203"/>
      <c r="R123" s="203"/>
    </row>
    <row r="124" spans="1:18" x14ac:dyDescent="0.2">
      <c r="A124" s="138">
        <v>272</v>
      </c>
      <c r="B124" s="170">
        <v>42115</v>
      </c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811"/>
      <c r="P124" s="203"/>
      <c r="Q124" s="203"/>
      <c r="R124" s="203"/>
    </row>
    <row r="125" spans="1:18" x14ac:dyDescent="0.2">
      <c r="A125" s="138">
        <v>273</v>
      </c>
      <c r="B125" s="170">
        <v>42116</v>
      </c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811"/>
      <c r="P125" s="203"/>
      <c r="Q125" s="203"/>
      <c r="R125" s="203"/>
    </row>
    <row r="126" spans="1:18" x14ac:dyDescent="0.2">
      <c r="A126" s="138">
        <v>274</v>
      </c>
      <c r="B126" s="170">
        <v>42117</v>
      </c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811"/>
      <c r="P126" s="203"/>
      <c r="Q126" s="203"/>
      <c r="R126" s="203"/>
    </row>
    <row r="127" spans="1:18" x14ac:dyDescent="0.2">
      <c r="A127" s="138">
        <v>275</v>
      </c>
      <c r="B127" s="170">
        <v>42118</v>
      </c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811"/>
      <c r="P127" s="203"/>
      <c r="Q127" s="203"/>
      <c r="R127" s="203"/>
    </row>
    <row r="128" spans="1:18" x14ac:dyDescent="0.2">
      <c r="A128" s="138">
        <v>276</v>
      </c>
      <c r="B128" s="170">
        <v>42119</v>
      </c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811"/>
      <c r="P128" s="203"/>
      <c r="Q128" s="203"/>
      <c r="R128" s="203"/>
    </row>
    <row r="129" spans="1:18" x14ac:dyDescent="0.2">
      <c r="A129" s="138">
        <v>277</v>
      </c>
      <c r="B129" s="170">
        <v>42120</v>
      </c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811"/>
      <c r="P129" s="203"/>
      <c r="Q129" s="203"/>
      <c r="R129" s="203"/>
    </row>
    <row r="130" spans="1:18" x14ac:dyDescent="0.2">
      <c r="A130" s="138">
        <v>278</v>
      </c>
      <c r="B130" s="170">
        <v>42121</v>
      </c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811"/>
      <c r="P130" s="203"/>
      <c r="Q130" s="203"/>
      <c r="R130" s="203"/>
    </row>
    <row r="131" spans="1:18" x14ac:dyDescent="0.2">
      <c r="A131" s="138">
        <v>279</v>
      </c>
      <c r="B131" s="170">
        <v>42122</v>
      </c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811"/>
      <c r="P131" s="203"/>
      <c r="Q131" s="203"/>
      <c r="R131" s="203"/>
    </row>
    <row r="132" spans="1:18" x14ac:dyDescent="0.2">
      <c r="A132" s="138">
        <v>280</v>
      </c>
      <c r="B132" s="170">
        <v>42123</v>
      </c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811"/>
      <c r="P132" s="203"/>
      <c r="Q132" s="203"/>
      <c r="R132" s="203"/>
    </row>
    <row r="133" spans="1:18" x14ac:dyDescent="0.2">
      <c r="A133" s="138">
        <v>281</v>
      </c>
      <c r="B133" s="170">
        <v>42124</v>
      </c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811"/>
      <c r="P133" s="203"/>
      <c r="Q133" s="203"/>
      <c r="R133" s="203"/>
    </row>
    <row r="134" spans="1:18" x14ac:dyDescent="0.2">
      <c r="A134" s="138">
        <v>282</v>
      </c>
      <c r="B134" s="170">
        <v>42125</v>
      </c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811"/>
      <c r="P134" s="203"/>
      <c r="Q134" s="203"/>
      <c r="R134" s="203"/>
    </row>
    <row r="135" spans="1:18" x14ac:dyDescent="0.2">
      <c r="A135" s="138">
        <v>283</v>
      </c>
      <c r="B135" s="170">
        <v>42126</v>
      </c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811"/>
      <c r="P135" s="203"/>
      <c r="Q135" s="203"/>
      <c r="R135" s="203"/>
    </row>
    <row r="136" spans="1:18" x14ac:dyDescent="0.2">
      <c r="A136" s="138">
        <v>284</v>
      </c>
      <c r="B136" s="170">
        <v>42127</v>
      </c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811"/>
      <c r="P136" s="203"/>
      <c r="Q136" s="203"/>
      <c r="R136" s="203"/>
    </row>
    <row r="137" spans="1:18" x14ac:dyDescent="0.2">
      <c r="A137" s="138">
        <v>285</v>
      </c>
      <c r="B137" s="170">
        <v>42128</v>
      </c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811"/>
      <c r="P137" s="203"/>
      <c r="Q137" s="203"/>
      <c r="R137" s="203"/>
    </row>
    <row r="138" spans="1:18" x14ac:dyDescent="0.2">
      <c r="A138" s="138">
        <v>286</v>
      </c>
      <c r="B138" s="170">
        <v>42129</v>
      </c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811"/>
      <c r="P138" s="203"/>
      <c r="Q138" s="203"/>
      <c r="R138" s="203"/>
    </row>
    <row r="139" spans="1:18" x14ac:dyDescent="0.2">
      <c r="A139" s="138">
        <v>287</v>
      </c>
      <c r="B139" s="170">
        <v>42130</v>
      </c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811"/>
      <c r="P139" s="203"/>
      <c r="Q139" s="203"/>
      <c r="R139" s="203"/>
    </row>
    <row r="140" spans="1:18" x14ac:dyDescent="0.2">
      <c r="A140" s="138">
        <v>288</v>
      </c>
      <c r="B140" s="170">
        <v>42131</v>
      </c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811"/>
      <c r="P140" s="203"/>
      <c r="Q140" s="203"/>
      <c r="R140" s="203"/>
    </row>
    <row r="141" spans="1:18" x14ac:dyDescent="0.2">
      <c r="A141" s="138">
        <v>289</v>
      </c>
      <c r="B141" s="170">
        <v>42132</v>
      </c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811"/>
      <c r="P141" s="203"/>
      <c r="Q141" s="203"/>
      <c r="R141" s="203"/>
    </row>
    <row r="142" spans="1:18" x14ac:dyDescent="0.2">
      <c r="A142" s="138">
        <v>290</v>
      </c>
      <c r="B142" s="170">
        <v>42133</v>
      </c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811"/>
      <c r="P142" s="203"/>
      <c r="Q142" s="203"/>
      <c r="R142" s="203"/>
    </row>
    <row r="143" spans="1:18" x14ac:dyDescent="0.2">
      <c r="A143" s="138">
        <v>291</v>
      </c>
      <c r="B143" s="170">
        <v>42134</v>
      </c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811"/>
      <c r="P143" s="203"/>
      <c r="Q143" s="203"/>
      <c r="R143" s="203"/>
    </row>
    <row r="144" spans="1:18" x14ac:dyDescent="0.2">
      <c r="A144" s="138">
        <v>292</v>
      </c>
      <c r="B144" s="170">
        <v>42135</v>
      </c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811"/>
      <c r="P144" s="203"/>
      <c r="Q144" s="203"/>
      <c r="R144" s="203"/>
    </row>
    <row r="145" spans="1:18" x14ac:dyDescent="0.2">
      <c r="A145" s="138">
        <v>293</v>
      </c>
      <c r="B145" s="170">
        <v>42136</v>
      </c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811"/>
      <c r="P145" s="203"/>
      <c r="Q145" s="203"/>
      <c r="R145" s="203"/>
    </row>
    <row r="146" spans="1:18" x14ac:dyDescent="0.2">
      <c r="A146" s="138">
        <v>294</v>
      </c>
      <c r="B146" s="170">
        <v>42137</v>
      </c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811"/>
      <c r="P146" s="203"/>
      <c r="Q146" s="203"/>
      <c r="R146" s="203"/>
    </row>
    <row r="147" spans="1:18" x14ac:dyDescent="0.2">
      <c r="A147" s="138">
        <v>295</v>
      </c>
      <c r="B147" s="170">
        <v>42138</v>
      </c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811"/>
      <c r="P147" s="203"/>
      <c r="Q147" s="203"/>
      <c r="R147" s="203"/>
    </row>
    <row r="148" spans="1:18" x14ac:dyDescent="0.2">
      <c r="A148" s="138">
        <v>296</v>
      </c>
      <c r="B148" s="170">
        <v>42139</v>
      </c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811"/>
      <c r="P148" s="203"/>
      <c r="Q148" s="203"/>
      <c r="R148" s="203"/>
    </row>
    <row r="149" spans="1:18" x14ac:dyDescent="0.2"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1:18" x14ac:dyDescent="0.2"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</sheetData>
  <mergeCells count="9">
    <mergeCell ref="J11:K11"/>
    <mergeCell ref="C3:F4"/>
    <mergeCell ref="A1:B1"/>
    <mergeCell ref="C1:F1"/>
    <mergeCell ref="K1:L1"/>
    <mergeCell ref="A2:B2"/>
    <mergeCell ref="A3:B3"/>
    <mergeCell ref="A4:B4"/>
    <mergeCell ref="K4:L4"/>
  </mergeCells>
  <pageMargins left="0.74803149606299202" right="0.74803149606299202" top="0.98425196850393704" bottom="0.98425196850393704" header="0.511811023622047" footer="0.511811023622047"/>
  <pageSetup paperSize="3" scale="47" orientation="portrait" r:id="rId1"/>
  <headerFooter alignWithMargins="0">
    <oddHeader>&amp;C&amp;A</oddHeader>
    <oddFooter>&amp;L&amp;BDunn Hiebert &amp;&amp; Associates Confidential&amp;B&amp;C&amp;A&amp;RPage &amp;P</oddFooter>
  </headerFooter>
  <colBreaks count="2" manualBreakCount="2">
    <brk id="18" max="32" man="1"/>
    <brk id="27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BQ33"/>
  <sheetViews>
    <sheetView zoomScaleNormal="100" zoomScalePageLayoutView="47" workbookViewId="0">
      <pane xSplit="4" topLeftCell="E1" activePane="topRight" state="frozen"/>
      <selection pane="topRight" activeCell="A6" sqref="A6"/>
    </sheetView>
  </sheetViews>
  <sheetFormatPr defaultRowHeight="12.75" x14ac:dyDescent="0.2"/>
  <cols>
    <col min="1" max="1" width="19.85546875" customWidth="1"/>
    <col min="2" max="2" width="9.28515625" customWidth="1"/>
    <col min="3" max="3" width="17" customWidth="1"/>
    <col min="4" max="4" width="23" customWidth="1"/>
    <col min="5" max="5" width="12.5703125" customWidth="1"/>
    <col min="6" max="6" width="10.140625" customWidth="1"/>
    <col min="7" max="9" width="18.85546875" customWidth="1"/>
    <col min="10" max="61" width="19.28515625" style="36" customWidth="1"/>
    <col min="62" max="62" width="18" bestFit="1" customWidth="1"/>
    <col min="63" max="65" width="18" customWidth="1"/>
    <col min="66" max="66" width="10.5703125" bestFit="1" customWidth="1"/>
    <col min="67" max="67" width="9.7109375" customWidth="1"/>
    <col min="68" max="68" width="11.5703125" customWidth="1"/>
    <col min="69" max="69" width="10.140625" customWidth="1"/>
  </cols>
  <sheetData>
    <row r="1" spans="1:69" s="1" customFormat="1" x14ac:dyDescent="0.2">
      <c r="A1" s="1097" t="s">
        <v>319</v>
      </c>
      <c r="B1" s="1097"/>
      <c r="C1" s="1097"/>
      <c r="D1" s="1097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1"/>
      <c r="BF1" s="141"/>
      <c r="BG1" s="141"/>
      <c r="BH1" s="141"/>
      <c r="BI1" s="141"/>
    </row>
    <row r="2" spans="1:69" s="1" customFormat="1" ht="15" x14ac:dyDescent="0.3">
      <c r="A2" s="1097"/>
      <c r="B2" s="1097"/>
      <c r="C2" s="1097"/>
      <c r="D2" s="1097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2"/>
      <c r="BG2" s="142"/>
      <c r="BH2" s="142"/>
      <c r="BI2" s="142"/>
    </row>
    <row r="3" spans="1:69" s="1" customFormat="1" ht="15" x14ac:dyDescent="0.3">
      <c r="A3" s="1098" t="s">
        <v>92</v>
      </c>
      <c r="B3" s="1098"/>
      <c r="C3" s="1098"/>
      <c r="D3" s="1098"/>
      <c r="E3" s="57"/>
      <c r="F3" s="57"/>
      <c r="G3" s="57"/>
      <c r="H3" s="57"/>
      <c r="I3" s="57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6"/>
      <c r="AP3" s="256"/>
      <c r="AQ3" s="256"/>
      <c r="AR3" s="256"/>
      <c r="AS3" s="256"/>
      <c r="AT3" s="256"/>
      <c r="AU3" s="256"/>
      <c r="AV3" s="256"/>
      <c r="AW3" s="256"/>
      <c r="AX3" s="256"/>
      <c r="AY3" s="256"/>
      <c r="AZ3" s="256"/>
      <c r="BA3" s="256"/>
      <c r="BB3" s="256"/>
      <c r="BC3" s="256"/>
      <c r="BD3" s="256"/>
      <c r="BE3" s="256"/>
      <c r="BF3" s="256"/>
      <c r="BG3" s="256"/>
      <c r="BH3" s="256"/>
      <c r="BI3" s="256"/>
    </row>
    <row r="4" spans="1:69" ht="15" x14ac:dyDescent="0.3">
      <c r="A4" s="708"/>
      <c r="B4" s="709"/>
      <c r="C4" s="709"/>
      <c r="D4" s="709"/>
      <c r="E4" s="197"/>
      <c r="F4" s="198"/>
      <c r="G4" s="199" t="s">
        <v>185</v>
      </c>
      <c r="H4" s="1100" t="s">
        <v>182</v>
      </c>
      <c r="I4" s="1101"/>
      <c r="J4" s="1104">
        <f>I19</f>
        <v>0</v>
      </c>
      <c r="K4" s="1106" t="s">
        <v>182</v>
      </c>
      <c r="L4" s="1107"/>
      <c r="M4" s="1110">
        <f>L19</f>
        <v>0</v>
      </c>
      <c r="N4" s="1118" t="s">
        <v>182</v>
      </c>
      <c r="O4" s="1119"/>
      <c r="P4" s="1122">
        <f>O19</f>
        <v>0</v>
      </c>
      <c r="Q4" s="1112" t="s">
        <v>182</v>
      </c>
      <c r="R4" s="1113"/>
      <c r="S4" s="1116">
        <f>R19</f>
        <v>0</v>
      </c>
      <c r="T4" s="1124" t="s">
        <v>182</v>
      </c>
      <c r="U4" s="1125"/>
      <c r="V4" s="1128">
        <f>U19</f>
        <v>0</v>
      </c>
      <c r="W4" s="1093" t="s">
        <v>182</v>
      </c>
      <c r="X4" s="1094"/>
      <c r="Y4" s="1130">
        <f>X19</f>
        <v>0</v>
      </c>
      <c r="Z4" s="1085" t="s">
        <v>182</v>
      </c>
      <c r="AA4" s="1086"/>
      <c r="AB4" s="1065">
        <f>AA19</f>
        <v>0</v>
      </c>
      <c r="AC4" s="1079" t="s">
        <v>182</v>
      </c>
      <c r="AD4" s="1080"/>
      <c r="AE4" s="1083">
        <f>AD19</f>
        <v>0</v>
      </c>
      <c r="AF4" s="1067" t="s">
        <v>182</v>
      </c>
      <c r="AG4" s="1068"/>
      <c r="AH4" s="1071">
        <f>AG19</f>
        <v>0</v>
      </c>
      <c r="AI4" s="1073" t="s">
        <v>182</v>
      </c>
      <c r="AJ4" s="1074"/>
      <c r="AK4" s="1077">
        <f>AJ19</f>
        <v>0</v>
      </c>
      <c r="AL4" s="1132" t="s">
        <v>182</v>
      </c>
      <c r="AM4" s="1133"/>
      <c r="AN4" s="1136">
        <f>AM19</f>
        <v>0</v>
      </c>
      <c r="AO4" s="1089" t="s">
        <v>182</v>
      </c>
      <c r="AP4" s="1090"/>
      <c r="AQ4" s="1060">
        <f>AP19</f>
        <v>0</v>
      </c>
      <c r="AR4" s="1093" t="s">
        <v>182</v>
      </c>
      <c r="AS4" s="1094"/>
      <c r="AT4" s="1130">
        <f>AS19</f>
        <v>0</v>
      </c>
      <c r="AU4" s="1132" t="s">
        <v>182</v>
      </c>
      <c r="AV4" s="1133"/>
      <c r="AW4" s="1136">
        <f>AV19</f>
        <v>0</v>
      </c>
      <c r="AX4" s="1089" t="s">
        <v>182</v>
      </c>
      <c r="AY4" s="1090"/>
      <c r="AZ4" s="1060">
        <f>AY19</f>
        <v>0</v>
      </c>
      <c r="BA4" s="1118" t="s">
        <v>182</v>
      </c>
      <c r="BB4" s="1119"/>
      <c r="BC4" s="1122">
        <f>BB19</f>
        <v>0</v>
      </c>
      <c r="BD4" s="1079" t="s">
        <v>182</v>
      </c>
      <c r="BE4" s="1080"/>
      <c r="BF4" s="1083">
        <f>BE19</f>
        <v>0</v>
      </c>
      <c r="BG4" s="1093" t="s">
        <v>182</v>
      </c>
      <c r="BH4" s="1094"/>
      <c r="BI4" s="1130">
        <f>BH19</f>
        <v>0</v>
      </c>
      <c r="BJ4" s="36"/>
      <c r="BK4" s="1141" t="s">
        <v>231</v>
      </c>
      <c r="BL4" s="1142"/>
      <c r="BM4" s="1143"/>
      <c r="BN4" s="36"/>
    </row>
    <row r="5" spans="1:69" ht="15" x14ac:dyDescent="0.3">
      <c r="A5" s="79"/>
      <c r="B5" s="78" t="s">
        <v>51</v>
      </c>
      <c r="C5" s="1099"/>
      <c r="D5" s="1099"/>
      <c r="E5" s="200" t="s">
        <v>49</v>
      </c>
      <c r="F5" s="201"/>
      <c r="G5" s="202">
        <f>G19</f>
        <v>0</v>
      </c>
      <c r="H5" s="1102"/>
      <c r="I5" s="1103"/>
      <c r="J5" s="1105"/>
      <c r="K5" s="1108"/>
      <c r="L5" s="1109"/>
      <c r="M5" s="1111"/>
      <c r="N5" s="1120"/>
      <c r="O5" s="1121"/>
      <c r="P5" s="1123"/>
      <c r="Q5" s="1114"/>
      <c r="R5" s="1115"/>
      <c r="S5" s="1117"/>
      <c r="T5" s="1126"/>
      <c r="U5" s="1127"/>
      <c r="V5" s="1129"/>
      <c r="W5" s="1095"/>
      <c r="X5" s="1096"/>
      <c r="Y5" s="1131"/>
      <c r="Z5" s="1087"/>
      <c r="AA5" s="1088"/>
      <c r="AB5" s="1066"/>
      <c r="AC5" s="1081"/>
      <c r="AD5" s="1082"/>
      <c r="AE5" s="1084"/>
      <c r="AF5" s="1069"/>
      <c r="AG5" s="1070"/>
      <c r="AH5" s="1072"/>
      <c r="AI5" s="1075"/>
      <c r="AJ5" s="1076"/>
      <c r="AK5" s="1078"/>
      <c r="AL5" s="1134"/>
      <c r="AM5" s="1135"/>
      <c r="AN5" s="1137"/>
      <c r="AO5" s="1091"/>
      <c r="AP5" s="1092"/>
      <c r="AQ5" s="1061"/>
      <c r="AR5" s="1095"/>
      <c r="AS5" s="1096"/>
      <c r="AT5" s="1131"/>
      <c r="AU5" s="1134"/>
      <c r="AV5" s="1135"/>
      <c r="AW5" s="1137"/>
      <c r="AX5" s="1091"/>
      <c r="AY5" s="1092"/>
      <c r="AZ5" s="1061"/>
      <c r="BA5" s="1120"/>
      <c r="BB5" s="1121"/>
      <c r="BC5" s="1123"/>
      <c r="BD5" s="1081"/>
      <c r="BE5" s="1082"/>
      <c r="BF5" s="1084"/>
      <c r="BG5" s="1095"/>
      <c r="BH5" s="1096"/>
      <c r="BI5" s="1131"/>
      <c r="BJ5" s="36"/>
      <c r="BK5" s="1144"/>
      <c r="BL5" s="1145"/>
      <c r="BM5" s="1146"/>
      <c r="BN5" s="36"/>
    </row>
    <row r="6" spans="1:69" ht="15" x14ac:dyDescent="0.3">
      <c r="A6" s="45" t="s">
        <v>84</v>
      </c>
      <c r="B6" s="144"/>
      <c r="C6" s="86">
        <v>0</v>
      </c>
      <c r="D6" s="96"/>
      <c r="E6" s="182"/>
      <c r="F6" s="183"/>
      <c r="G6" s="184"/>
      <c r="H6" s="1062" t="s">
        <v>220</v>
      </c>
      <c r="I6" s="1063"/>
      <c r="J6" s="1064"/>
      <c r="K6" s="1062" t="s">
        <v>227</v>
      </c>
      <c r="L6" s="1063"/>
      <c r="M6" s="1064"/>
      <c r="N6" s="1062" t="s">
        <v>229</v>
      </c>
      <c r="O6" s="1063"/>
      <c r="P6" s="1064"/>
      <c r="Q6" s="1062" t="s">
        <v>234</v>
      </c>
      <c r="R6" s="1063"/>
      <c r="S6" s="1064"/>
      <c r="T6" s="1062" t="s">
        <v>236</v>
      </c>
      <c r="U6" s="1063"/>
      <c r="V6" s="1064"/>
      <c r="W6" s="1062" t="s">
        <v>242</v>
      </c>
      <c r="X6" s="1063"/>
      <c r="Y6" s="1064"/>
      <c r="Z6" s="1062" t="s">
        <v>243</v>
      </c>
      <c r="AA6" s="1063"/>
      <c r="AB6" s="1064"/>
      <c r="AC6" s="1062" t="s">
        <v>245</v>
      </c>
      <c r="AD6" s="1063"/>
      <c r="AE6" s="1064"/>
      <c r="AF6" s="1062" t="s">
        <v>250</v>
      </c>
      <c r="AG6" s="1063"/>
      <c r="AH6" s="1064"/>
      <c r="AI6" s="1062" t="s">
        <v>259</v>
      </c>
      <c r="AJ6" s="1063"/>
      <c r="AK6" s="1064"/>
      <c r="AL6" s="1062" t="s">
        <v>257</v>
      </c>
      <c r="AM6" s="1063"/>
      <c r="AN6" s="1064"/>
      <c r="AO6" s="1062" t="s">
        <v>264</v>
      </c>
      <c r="AP6" s="1063"/>
      <c r="AQ6" s="1064"/>
      <c r="AR6" s="1062" t="s">
        <v>266</v>
      </c>
      <c r="AS6" s="1063"/>
      <c r="AT6" s="1064"/>
      <c r="AU6" s="1062" t="s">
        <v>271</v>
      </c>
      <c r="AV6" s="1063"/>
      <c r="AW6" s="1064"/>
      <c r="AX6" s="1062" t="s">
        <v>276</v>
      </c>
      <c r="AY6" s="1063"/>
      <c r="AZ6" s="1064"/>
      <c r="BA6" s="1062" t="s">
        <v>280</v>
      </c>
      <c r="BB6" s="1063"/>
      <c r="BC6" s="1064"/>
      <c r="BD6" s="1062" t="s">
        <v>282</v>
      </c>
      <c r="BE6" s="1063"/>
      <c r="BF6" s="1064"/>
      <c r="BG6" s="1062" t="s">
        <v>284</v>
      </c>
      <c r="BH6" s="1063"/>
      <c r="BI6" s="1064"/>
      <c r="BJ6" s="36"/>
      <c r="BK6" s="1147"/>
      <c r="BL6" s="1148"/>
      <c r="BM6" s="1149"/>
      <c r="BN6" s="1138" t="s">
        <v>261</v>
      </c>
      <c r="BO6" s="1139"/>
      <c r="BP6" s="1140" t="s">
        <v>262</v>
      </c>
      <c r="BQ6" s="1140"/>
    </row>
    <row r="7" spans="1:69" ht="51.75" x14ac:dyDescent="0.3">
      <c r="A7" s="52" t="s">
        <v>75</v>
      </c>
      <c r="B7" s="52" t="s">
        <v>13</v>
      </c>
      <c r="C7" s="164" t="s">
        <v>76</v>
      </c>
      <c r="D7" s="143" t="s">
        <v>12</v>
      </c>
      <c r="E7" s="152" t="s">
        <v>33</v>
      </c>
      <c r="F7" s="152" t="s">
        <v>48</v>
      </c>
      <c r="G7" s="152" t="s">
        <v>130</v>
      </c>
      <c r="H7" s="714" t="s">
        <v>221</v>
      </c>
      <c r="I7" s="714" t="s">
        <v>298</v>
      </c>
      <c r="J7" s="714" t="s">
        <v>222</v>
      </c>
      <c r="K7" s="729" t="s">
        <v>228</v>
      </c>
      <c r="L7" s="729" t="s">
        <v>299</v>
      </c>
      <c r="M7" s="729" t="s">
        <v>222</v>
      </c>
      <c r="N7" s="732" t="s">
        <v>230</v>
      </c>
      <c r="O7" s="732" t="s">
        <v>300</v>
      </c>
      <c r="P7" s="732" t="s">
        <v>222</v>
      </c>
      <c r="Q7" s="740" t="s">
        <v>235</v>
      </c>
      <c r="R7" s="740" t="s">
        <v>301</v>
      </c>
      <c r="S7" s="740" t="s">
        <v>222</v>
      </c>
      <c r="T7" s="747" t="s">
        <v>237</v>
      </c>
      <c r="U7" s="747" t="s">
        <v>302</v>
      </c>
      <c r="V7" s="747" t="s">
        <v>222</v>
      </c>
      <c r="W7" s="756" t="s">
        <v>237</v>
      </c>
      <c r="X7" s="756" t="s">
        <v>303</v>
      </c>
      <c r="Y7" s="756" t="s">
        <v>222</v>
      </c>
      <c r="Z7" s="759" t="s">
        <v>246</v>
      </c>
      <c r="AA7" s="759" t="s">
        <v>304</v>
      </c>
      <c r="AB7" s="759" t="s">
        <v>222</v>
      </c>
      <c r="AC7" s="716" t="s">
        <v>247</v>
      </c>
      <c r="AD7" s="716" t="s">
        <v>305</v>
      </c>
      <c r="AE7" s="716" t="s">
        <v>222</v>
      </c>
      <c r="AF7" s="768" t="s">
        <v>251</v>
      </c>
      <c r="AG7" s="768" t="s">
        <v>306</v>
      </c>
      <c r="AH7" s="768" t="s">
        <v>222</v>
      </c>
      <c r="AI7" s="785" t="s">
        <v>260</v>
      </c>
      <c r="AJ7" s="785" t="s">
        <v>307</v>
      </c>
      <c r="AK7" s="785" t="s">
        <v>222</v>
      </c>
      <c r="AL7" s="791" t="s">
        <v>258</v>
      </c>
      <c r="AM7" s="791" t="s">
        <v>308</v>
      </c>
      <c r="AN7" s="791" t="s">
        <v>222</v>
      </c>
      <c r="AO7" s="796" t="s">
        <v>265</v>
      </c>
      <c r="AP7" s="796" t="s">
        <v>309</v>
      </c>
      <c r="AQ7" s="796" t="s">
        <v>222</v>
      </c>
      <c r="AR7" s="756" t="s">
        <v>267</v>
      </c>
      <c r="AS7" s="756" t="s">
        <v>310</v>
      </c>
      <c r="AT7" s="756" t="s">
        <v>222</v>
      </c>
      <c r="AU7" s="791" t="s">
        <v>272</v>
      </c>
      <c r="AV7" s="791" t="s">
        <v>311</v>
      </c>
      <c r="AW7" s="791" t="s">
        <v>222</v>
      </c>
      <c r="AX7" s="796" t="s">
        <v>277</v>
      </c>
      <c r="AY7" s="796" t="s">
        <v>312</v>
      </c>
      <c r="AZ7" s="796" t="s">
        <v>222</v>
      </c>
      <c r="BA7" s="732" t="s">
        <v>281</v>
      </c>
      <c r="BB7" s="732" t="s">
        <v>313</v>
      </c>
      <c r="BC7" s="732" t="s">
        <v>222</v>
      </c>
      <c r="BD7" s="716" t="s">
        <v>283</v>
      </c>
      <c r="BE7" s="716" t="s">
        <v>314</v>
      </c>
      <c r="BF7" s="716" t="s">
        <v>222</v>
      </c>
      <c r="BG7" s="756" t="s">
        <v>285</v>
      </c>
      <c r="BH7" s="756" t="s">
        <v>297</v>
      </c>
      <c r="BI7" s="756" t="s">
        <v>222</v>
      </c>
      <c r="BJ7" s="715" t="s">
        <v>183</v>
      </c>
      <c r="BK7" s="204" t="s">
        <v>232</v>
      </c>
      <c r="BL7" s="204" t="s">
        <v>286</v>
      </c>
      <c r="BM7" s="204" t="s">
        <v>233</v>
      </c>
      <c r="BN7" s="204" t="s">
        <v>223</v>
      </c>
      <c r="BO7" s="204" t="s">
        <v>184</v>
      </c>
      <c r="BP7" s="738" t="s">
        <v>223</v>
      </c>
      <c r="BQ7" s="716" t="s">
        <v>184</v>
      </c>
    </row>
    <row r="8" spans="1:69" ht="13.5" x14ac:dyDescent="0.25">
      <c r="A8" s="51">
        <f>$B$6*C8</f>
        <v>0</v>
      </c>
      <c r="B8" s="145">
        <v>0.05</v>
      </c>
      <c r="C8" s="146">
        <f>$C$6*B8</f>
        <v>0</v>
      </c>
      <c r="D8" s="210" t="s">
        <v>85</v>
      </c>
      <c r="E8" s="153">
        <f>'Actual PROGRESS'!D8</f>
        <v>0</v>
      </c>
      <c r="F8" s="154">
        <f>'Actual PROGRESS'!D10</f>
        <v>0</v>
      </c>
      <c r="G8" s="155">
        <f>F8*C8</f>
        <v>0</v>
      </c>
      <c r="H8" s="717"/>
      <c r="I8" s="718">
        <f>C8*H8</f>
        <v>0</v>
      </c>
      <c r="J8" s="718">
        <f>I8</f>
        <v>0</v>
      </c>
      <c r="K8" s="730"/>
      <c r="L8" s="731">
        <f>C8*K8</f>
        <v>0</v>
      </c>
      <c r="M8" s="731">
        <f>I8+L8</f>
        <v>0</v>
      </c>
      <c r="N8" s="733"/>
      <c r="O8" s="734">
        <f>C8*N8</f>
        <v>0</v>
      </c>
      <c r="P8" s="734">
        <f>L8+O8+I8</f>
        <v>0</v>
      </c>
      <c r="Q8" s="741"/>
      <c r="R8" s="155">
        <f>C8*Q8</f>
        <v>0</v>
      </c>
      <c r="S8" s="155">
        <f>I8+L8+O8+R8</f>
        <v>0</v>
      </c>
      <c r="T8" s="748"/>
      <c r="U8" s="749">
        <f>T8*C8</f>
        <v>0</v>
      </c>
      <c r="V8" s="749">
        <f>U8+R8+O8+L8+I8</f>
        <v>0</v>
      </c>
      <c r="W8" s="757"/>
      <c r="X8" s="758">
        <f>W8*C8</f>
        <v>0</v>
      </c>
      <c r="Y8" s="758">
        <f>I8+L8+O8+R8+U8+X8</f>
        <v>0</v>
      </c>
      <c r="Z8" s="760"/>
      <c r="AA8" s="761">
        <f>Z8*C8</f>
        <v>0</v>
      </c>
      <c r="AB8" s="761">
        <f>I8+L8+O8+R8+U8+X8+AA8</f>
        <v>0</v>
      </c>
      <c r="AC8" s="764"/>
      <c r="AD8" s="765">
        <f>AC8*C8</f>
        <v>0</v>
      </c>
      <c r="AE8" s="765">
        <f>I8+L8+O8+R8+U8+X8+AA8+AD8</f>
        <v>0</v>
      </c>
      <c r="AF8" s="769"/>
      <c r="AG8" s="770">
        <f>AF8*C8</f>
        <v>0</v>
      </c>
      <c r="AH8" s="770">
        <f>I8+L8+O8+R8+U8+X8+AA8+AD8+AG8</f>
        <v>0</v>
      </c>
      <c r="AI8" s="786">
        <v>0</v>
      </c>
      <c r="AJ8" s="787">
        <f>AI8*F8</f>
        <v>0</v>
      </c>
      <c r="AK8" s="787">
        <f>I8+L8+O8+R8+U8+X8+AA8+AD8+AG8+AJ8</f>
        <v>0</v>
      </c>
      <c r="AL8" s="792">
        <v>0</v>
      </c>
      <c r="AM8" s="793">
        <f>AL8*I8</f>
        <v>0</v>
      </c>
      <c r="AN8" s="793">
        <f>I8+L8+O8+R8+U8+X8+AA8+AD8+AG8+AJ8+AM8</f>
        <v>0</v>
      </c>
      <c r="AO8" s="797">
        <v>0</v>
      </c>
      <c r="AP8" s="798">
        <f>AO8*C8</f>
        <v>0</v>
      </c>
      <c r="AQ8" s="798">
        <f>I8+L8+O8+R8+U8+X8+AA8+AD8+AG8+AJ8+AM8+AP8</f>
        <v>0</v>
      </c>
      <c r="AR8" s="757">
        <v>0</v>
      </c>
      <c r="AS8" s="758">
        <v>0</v>
      </c>
      <c r="AT8" s="758">
        <f>I8+L8+O8+R8+U8+X8+AA8+AD8+AG8+AJ8+AM8+AP8+AS8</f>
        <v>0</v>
      </c>
      <c r="AU8" s="792">
        <v>0</v>
      </c>
      <c r="AV8" s="793">
        <f>AU8*C8</f>
        <v>0</v>
      </c>
      <c r="AW8" s="793">
        <f>I8+L8+O8+R8+U8+X8+AA8+AD8+AG8+AJ8+AM8+AP8+AS8+AV8</f>
        <v>0</v>
      </c>
      <c r="AX8" s="797">
        <v>0</v>
      </c>
      <c r="AY8" s="798">
        <f>AX8*F8</f>
        <v>0</v>
      </c>
      <c r="AZ8" s="798">
        <f>AW8</f>
        <v>0</v>
      </c>
      <c r="BA8" s="733">
        <v>0</v>
      </c>
      <c r="BB8" s="734">
        <f>BA8*I8</f>
        <v>0</v>
      </c>
      <c r="BC8" s="734">
        <f>AZ8</f>
        <v>0</v>
      </c>
      <c r="BD8" s="764">
        <v>0</v>
      </c>
      <c r="BE8" s="765">
        <f>BD8*C8</f>
        <v>0</v>
      </c>
      <c r="BF8" s="765">
        <f>BC8</f>
        <v>0</v>
      </c>
      <c r="BG8" s="757"/>
      <c r="BH8" s="758">
        <f>BG8*F8</f>
        <v>0</v>
      </c>
      <c r="BI8" s="758">
        <f>BF8</f>
        <v>0</v>
      </c>
      <c r="BJ8" s="719">
        <f>A8-I8-L8-O8-R8-U8-X8-AA8-AD8-AG8-AJ8-AM8-AP8-AS8-AV8-AY8-BB8-BE8-BH8</f>
        <v>0</v>
      </c>
      <c r="BK8" s="735"/>
      <c r="BL8" s="735">
        <v>0</v>
      </c>
      <c r="BM8" s="736">
        <f>BK8*BN8</f>
        <v>0</v>
      </c>
      <c r="BN8" s="788">
        <f>H8+K8+N8+Q8+T8+W8+Z8+AC8+AF8+AI8+AO8+AU8+AX8</f>
        <v>0</v>
      </c>
      <c r="BO8" s="788">
        <f>$BN$5-BN8</f>
        <v>0</v>
      </c>
      <c r="BP8" s="788">
        <f>BN8</f>
        <v>0</v>
      </c>
      <c r="BQ8" s="789">
        <f>B6-BP8</f>
        <v>0</v>
      </c>
    </row>
    <row r="9" spans="1:69" ht="13.5" x14ac:dyDescent="0.25">
      <c r="A9" s="51">
        <f t="shared" ref="A9:A18" si="0">$B$6*C9</f>
        <v>0</v>
      </c>
      <c r="B9" s="145">
        <v>0.1</v>
      </c>
      <c r="C9" s="146">
        <f t="shared" ref="C9:C18" si="1">$C$6*B9</f>
        <v>0</v>
      </c>
      <c r="D9" s="210" t="s">
        <v>296</v>
      </c>
      <c r="E9" s="153">
        <f>'Actual PROGRESS'!E8</f>
        <v>0</v>
      </c>
      <c r="F9" s="154">
        <f>'Actual PROGRESS'!E10</f>
        <v>0</v>
      </c>
      <c r="G9" s="155">
        <f t="shared" ref="G9:G18" si="2">F9*C9</f>
        <v>0</v>
      </c>
      <c r="H9" s="717">
        <v>0</v>
      </c>
      <c r="I9" s="718">
        <f t="shared" ref="I9:I18" si="3">C9*H9</f>
        <v>0</v>
      </c>
      <c r="J9" s="718">
        <f t="shared" ref="J9:J18" si="4">I9</f>
        <v>0</v>
      </c>
      <c r="K9" s="730">
        <v>0</v>
      </c>
      <c r="L9" s="731">
        <f t="shared" ref="L9:L18" si="5">F9*K9</f>
        <v>0</v>
      </c>
      <c r="M9" s="731">
        <f t="shared" ref="M9:M18" si="6">L9</f>
        <v>0</v>
      </c>
      <c r="N9" s="733">
        <v>0</v>
      </c>
      <c r="O9" s="734">
        <f t="shared" ref="O9:O18" si="7">I9*N9</f>
        <v>0</v>
      </c>
      <c r="P9" s="734">
        <f t="shared" ref="P9:P18" si="8">O9</f>
        <v>0</v>
      </c>
      <c r="Q9" s="741">
        <v>0</v>
      </c>
      <c r="R9" s="155">
        <f t="shared" ref="R9:R18" si="9">L9*Q9</f>
        <v>0</v>
      </c>
      <c r="S9" s="155">
        <f t="shared" ref="S9:S18" si="10">R9</f>
        <v>0</v>
      </c>
      <c r="T9" s="748">
        <v>0</v>
      </c>
      <c r="U9" s="749">
        <f t="shared" ref="U9:U18" si="11">O9*T9</f>
        <v>0</v>
      </c>
      <c r="V9" s="749">
        <f t="shared" ref="V9:V18" si="12">U9</f>
        <v>0</v>
      </c>
      <c r="W9" s="757">
        <v>0</v>
      </c>
      <c r="X9" s="758">
        <f t="shared" ref="X9:X18" si="13">R9*W9</f>
        <v>0</v>
      </c>
      <c r="Y9" s="758">
        <f t="shared" ref="Y9:Y18" si="14">X9</f>
        <v>0</v>
      </c>
      <c r="Z9" s="760">
        <v>0</v>
      </c>
      <c r="AA9" s="761">
        <f t="shared" ref="AA9:AA18" si="15">U9*Z9</f>
        <v>0</v>
      </c>
      <c r="AB9" s="761">
        <f t="shared" ref="AB9:AB18" si="16">AA9</f>
        <v>0</v>
      </c>
      <c r="AC9" s="764">
        <v>0</v>
      </c>
      <c r="AD9" s="765">
        <f t="shared" ref="AD9:AD18" si="17">X9*AC9</f>
        <v>0</v>
      </c>
      <c r="AE9" s="765">
        <f t="shared" ref="AE9:AE18" si="18">AD9</f>
        <v>0</v>
      </c>
      <c r="AF9" s="769">
        <v>0</v>
      </c>
      <c r="AG9" s="770">
        <f t="shared" ref="AG9:AG18" si="19">AA9*AF9</f>
        <v>0</v>
      </c>
      <c r="AH9" s="770">
        <f t="shared" ref="AH9:AH18" si="20">AG9</f>
        <v>0</v>
      </c>
      <c r="AI9" s="786"/>
      <c r="AJ9" s="787">
        <f>AI9*C9</f>
        <v>0</v>
      </c>
      <c r="AK9" s="787">
        <f t="shared" ref="AK9:AK18" si="21">I9+L9+O9+R9+U9+X9+AA9+AD9+AG9+AJ9</f>
        <v>0</v>
      </c>
      <c r="AL9" s="792"/>
      <c r="AM9" s="793">
        <f>AL9*C9</f>
        <v>0</v>
      </c>
      <c r="AN9" s="793">
        <f t="shared" ref="AN9:AN18" si="22">I9+L9+O9+R9+U9+X9+AA9+AD9+AG9+AJ9+AM9</f>
        <v>0</v>
      </c>
      <c r="AO9" s="797"/>
      <c r="AP9" s="798">
        <f t="shared" ref="AP9:AP18" si="23">AO9*C9</f>
        <v>0</v>
      </c>
      <c r="AQ9" s="798">
        <f t="shared" ref="AQ9:AQ18" si="24">I9+L9+O9+R9+U9+X9+AA9+AD9+AG9+AJ9+AM9+AP9</f>
        <v>0</v>
      </c>
      <c r="AR9" s="757"/>
      <c r="AS9" s="758">
        <f>AR9*C9</f>
        <v>0</v>
      </c>
      <c r="AT9" s="758">
        <f t="shared" ref="AT9:AT18" si="25">I9+L9+O9+R9+U9+X9+AA9+AD9+AG9+AJ9+AM9+AP9+AS9</f>
        <v>0</v>
      </c>
      <c r="AU9" s="792"/>
      <c r="AV9" s="793">
        <f t="shared" ref="AV9:AV18" si="26">AU9*C9</f>
        <v>0</v>
      </c>
      <c r="AW9" s="793">
        <f t="shared" ref="AW9:AW18" si="27">I9+L9+O9+R9+U9+X9+AA9+AD9+AG9+AJ9+AM9+AP9+AS9+AV9</f>
        <v>0</v>
      </c>
      <c r="AX9" s="797"/>
      <c r="AY9" s="798">
        <f t="shared" ref="AY9:AY15" si="28">AX9*C9</f>
        <v>0</v>
      </c>
      <c r="AZ9" s="798">
        <f t="shared" ref="AZ9:AZ18" si="29">L9+O9+R9+U9+X9+AA9+AD9+AG9+AJ9+AM9+AP9+AS9+AV9+AY9</f>
        <v>0</v>
      </c>
      <c r="BA9" s="733"/>
      <c r="BB9" s="734">
        <f t="shared" ref="BB9:BB15" si="30">BA9*C9</f>
        <v>0</v>
      </c>
      <c r="BC9" s="734">
        <f t="shared" ref="BC9:BC18" si="31">O9+R9+U9+X9+AA9+AD9+AG9+AJ9+AM9+AP9+AS9+AV9+AY9+BB9</f>
        <v>0</v>
      </c>
      <c r="BD9" s="764"/>
      <c r="BE9" s="765">
        <f t="shared" ref="BE9:BE18" si="32">BD9*C9</f>
        <v>0</v>
      </c>
      <c r="BF9" s="765">
        <f t="shared" ref="BF9:BF18" si="33">R9+U9+X9+AA9+AD9+AG9+AJ9+AM9+AP9+AS9+AV9+AY9+BB9+BE9</f>
        <v>0</v>
      </c>
      <c r="BG9" s="757"/>
      <c r="BH9" s="758">
        <f t="shared" ref="BH9:BH15" si="34">BG9*C9</f>
        <v>0</v>
      </c>
      <c r="BI9" s="758">
        <f t="shared" ref="BI9:BI18" si="35">U9+X9+AA9+AD9+AG9+AJ9+AM9+AP9+AS9+AV9+AY9+BB9+BE9+BH9</f>
        <v>0</v>
      </c>
      <c r="BJ9" s="719">
        <f t="shared" ref="BJ9:BJ18" si="36">A9-I9-L9-O9-R9-U9-X9-AA9-AD9-AG9-AJ9-AM9-AP9-AS9-AV9-AY9-BB9-BE9-BH9</f>
        <v>0</v>
      </c>
      <c r="BK9" s="735"/>
      <c r="BL9" s="735">
        <f>BK9*BG9</f>
        <v>0</v>
      </c>
      <c r="BM9" s="736">
        <f>BN9*BK9</f>
        <v>0</v>
      </c>
      <c r="BN9" s="788">
        <f>AO9+AR9+AU9+AX9+BA9+BD9+BG9</f>
        <v>0</v>
      </c>
      <c r="BO9" s="788">
        <f t="shared" ref="BO9:BO18" si="37">$BN$5-BN9</f>
        <v>0</v>
      </c>
      <c r="BP9" s="788">
        <f t="shared" ref="BP9:BP18" si="38">BN9</f>
        <v>0</v>
      </c>
      <c r="BQ9" s="789">
        <f>B6-BP9</f>
        <v>0</v>
      </c>
    </row>
    <row r="10" spans="1:69" ht="13.5" x14ac:dyDescent="0.25">
      <c r="A10" s="51">
        <f t="shared" si="0"/>
        <v>0</v>
      </c>
      <c r="B10" s="145">
        <v>0.08</v>
      </c>
      <c r="C10" s="146">
        <f t="shared" si="1"/>
        <v>0</v>
      </c>
      <c r="D10" s="211" t="s">
        <v>87</v>
      </c>
      <c r="E10" s="153">
        <f>'Actual PROGRESS'!F8</f>
        <v>0</v>
      </c>
      <c r="F10" s="154">
        <f>'Actual PROGRESS'!F10</f>
        <v>0</v>
      </c>
      <c r="G10" s="155">
        <f t="shared" si="2"/>
        <v>0</v>
      </c>
      <c r="H10" s="717">
        <v>0</v>
      </c>
      <c r="I10" s="718">
        <f t="shared" si="3"/>
        <v>0</v>
      </c>
      <c r="J10" s="718">
        <f t="shared" si="4"/>
        <v>0</v>
      </c>
      <c r="K10" s="730">
        <v>0</v>
      </c>
      <c r="L10" s="731">
        <f t="shared" si="5"/>
        <v>0</v>
      </c>
      <c r="M10" s="731">
        <f t="shared" si="6"/>
        <v>0</v>
      </c>
      <c r="N10" s="733">
        <v>0</v>
      </c>
      <c r="O10" s="734">
        <f t="shared" si="7"/>
        <v>0</v>
      </c>
      <c r="P10" s="734">
        <f t="shared" si="8"/>
        <v>0</v>
      </c>
      <c r="Q10" s="741">
        <v>0</v>
      </c>
      <c r="R10" s="155">
        <f t="shared" si="9"/>
        <v>0</v>
      </c>
      <c r="S10" s="155">
        <f t="shared" si="10"/>
        <v>0</v>
      </c>
      <c r="T10" s="748">
        <v>0</v>
      </c>
      <c r="U10" s="749">
        <f t="shared" si="11"/>
        <v>0</v>
      </c>
      <c r="V10" s="749">
        <f t="shared" si="12"/>
        <v>0</v>
      </c>
      <c r="W10" s="757">
        <v>0</v>
      </c>
      <c r="X10" s="758">
        <f t="shared" si="13"/>
        <v>0</v>
      </c>
      <c r="Y10" s="758">
        <f t="shared" si="14"/>
        <v>0</v>
      </c>
      <c r="Z10" s="760">
        <v>0</v>
      </c>
      <c r="AA10" s="761">
        <f t="shared" si="15"/>
        <v>0</v>
      </c>
      <c r="AB10" s="761">
        <f t="shared" si="16"/>
        <v>0</v>
      </c>
      <c r="AC10" s="764">
        <v>0</v>
      </c>
      <c r="AD10" s="765">
        <f t="shared" si="17"/>
        <v>0</v>
      </c>
      <c r="AE10" s="765">
        <f t="shared" si="18"/>
        <v>0</v>
      </c>
      <c r="AF10" s="769">
        <v>0</v>
      </c>
      <c r="AG10" s="770">
        <f t="shared" si="19"/>
        <v>0</v>
      </c>
      <c r="AH10" s="770">
        <f t="shared" si="20"/>
        <v>0</v>
      </c>
      <c r="AI10" s="786">
        <v>0</v>
      </c>
      <c r="AJ10" s="787">
        <f t="shared" ref="AJ10:AJ18" si="39">AD10*AI10</f>
        <v>0</v>
      </c>
      <c r="AK10" s="787">
        <f t="shared" si="21"/>
        <v>0</v>
      </c>
      <c r="AL10" s="792">
        <v>0</v>
      </c>
      <c r="AM10" s="793">
        <f t="shared" ref="AM10:AM18" si="40">AG10*AL10</f>
        <v>0</v>
      </c>
      <c r="AN10" s="793">
        <f t="shared" si="22"/>
        <v>0</v>
      </c>
      <c r="AO10" s="797"/>
      <c r="AP10" s="798">
        <f t="shared" si="23"/>
        <v>0</v>
      </c>
      <c r="AQ10" s="798">
        <f t="shared" si="24"/>
        <v>0</v>
      </c>
      <c r="AR10" s="757"/>
      <c r="AS10" s="758">
        <f>AR10*C10</f>
        <v>0</v>
      </c>
      <c r="AT10" s="758">
        <f t="shared" si="25"/>
        <v>0</v>
      </c>
      <c r="AU10" s="792"/>
      <c r="AV10" s="793">
        <f t="shared" si="26"/>
        <v>0</v>
      </c>
      <c r="AW10" s="793">
        <f t="shared" si="27"/>
        <v>0</v>
      </c>
      <c r="AX10" s="797"/>
      <c r="AY10" s="798">
        <f t="shared" si="28"/>
        <v>0</v>
      </c>
      <c r="AZ10" s="798">
        <f t="shared" si="29"/>
        <v>0</v>
      </c>
      <c r="BA10" s="733"/>
      <c r="BB10" s="734">
        <f t="shared" si="30"/>
        <v>0</v>
      </c>
      <c r="BC10" s="734">
        <f t="shared" si="31"/>
        <v>0</v>
      </c>
      <c r="BD10" s="764"/>
      <c r="BE10" s="765">
        <f t="shared" si="32"/>
        <v>0</v>
      </c>
      <c r="BF10" s="765">
        <f t="shared" si="33"/>
        <v>0</v>
      </c>
      <c r="BG10" s="757"/>
      <c r="BH10" s="758">
        <f t="shared" si="34"/>
        <v>0</v>
      </c>
      <c r="BI10" s="758">
        <f t="shared" si="35"/>
        <v>0</v>
      </c>
      <c r="BJ10" s="719">
        <f t="shared" si="36"/>
        <v>0</v>
      </c>
      <c r="BK10" s="735"/>
      <c r="BL10" s="735">
        <f t="shared" ref="BL10:BL18" si="41">BK10*BG10</f>
        <v>0</v>
      </c>
      <c r="BM10" s="736">
        <f>BN10*BK10</f>
        <v>0</v>
      </c>
      <c r="BN10" s="788">
        <f>AO10+AR10+AU10+AX10+BA10+BD10+BG10</f>
        <v>0</v>
      </c>
      <c r="BO10" s="788">
        <f t="shared" si="37"/>
        <v>0</v>
      </c>
      <c r="BP10" s="788">
        <f t="shared" si="38"/>
        <v>0</v>
      </c>
      <c r="BQ10" s="789">
        <f>B6-BP10</f>
        <v>0</v>
      </c>
    </row>
    <row r="11" spans="1:69" ht="13.5" x14ac:dyDescent="0.25">
      <c r="A11" s="51">
        <f t="shared" si="0"/>
        <v>0</v>
      </c>
      <c r="B11" s="145">
        <v>0.05</v>
      </c>
      <c r="C11" s="146">
        <f t="shared" si="1"/>
        <v>0</v>
      </c>
      <c r="D11" s="211" t="s">
        <v>9</v>
      </c>
      <c r="E11" s="153">
        <f>'Actual PROGRESS'!G8</f>
        <v>0</v>
      </c>
      <c r="F11" s="154">
        <f>'Actual PROGRESS'!G10</f>
        <v>0</v>
      </c>
      <c r="G11" s="155">
        <f t="shared" si="2"/>
        <v>0</v>
      </c>
      <c r="H11" s="717">
        <v>0</v>
      </c>
      <c r="I11" s="718">
        <f t="shared" si="3"/>
        <v>0</v>
      </c>
      <c r="J11" s="718">
        <f t="shared" si="4"/>
        <v>0</v>
      </c>
      <c r="K11" s="730">
        <v>0</v>
      </c>
      <c r="L11" s="731">
        <f t="shared" si="5"/>
        <v>0</v>
      </c>
      <c r="M11" s="731">
        <f t="shared" si="6"/>
        <v>0</v>
      </c>
      <c r="N11" s="733">
        <v>0</v>
      </c>
      <c r="O11" s="734">
        <f t="shared" si="7"/>
        <v>0</v>
      </c>
      <c r="P11" s="734">
        <f t="shared" si="8"/>
        <v>0</v>
      </c>
      <c r="Q11" s="741">
        <v>0</v>
      </c>
      <c r="R11" s="155">
        <f t="shared" si="9"/>
        <v>0</v>
      </c>
      <c r="S11" s="155">
        <f t="shared" si="10"/>
        <v>0</v>
      </c>
      <c r="T11" s="748">
        <v>0</v>
      </c>
      <c r="U11" s="749">
        <f t="shared" si="11"/>
        <v>0</v>
      </c>
      <c r="V11" s="749">
        <f t="shared" si="12"/>
        <v>0</v>
      </c>
      <c r="W11" s="757">
        <v>0</v>
      </c>
      <c r="X11" s="758">
        <f t="shared" si="13"/>
        <v>0</v>
      </c>
      <c r="Y11" s="758">
        <f t="shared" si="14"/>
        <v>0</v>
      </c>
      <c r="Z11" s="760">
        <v>0</v>
      </c>
      <c r="AA11" s="761">
        <f t="shared" si="15"/>
        <v>0</v>
      </c>
      <c r="AB11" s="761">
        <f t="shared" si="16"/>
        <v>0</v>
      </c>
      <c r="AC11" s="764">
        <v>0</v>
      </c>
      <c r="AD11" s="765">
        <f t="shared" si="17"/>
        <v>0</v>
      </c>
      <c r="AE11" s="765">
        <f t="shared" si="18"/>
        <v>0</v>
      </c>
      <c r="AF11" s="769">
        <v>0</v>
      </c>
      <c r="AG11" s="770">
        <f t="shared" si="19"/>
        <v>0</v>
      </c>
      <c r="AH11" s="770">
        <f t="shared" si="20"/>
        <v>0</v>
      </c>
      <c r="AI11" s="786">
        <v>0</v>
      </c>
      <c r="AJ11" s="787">
        <f t="shared" si="39"/>
        <v>0</v>
      </c>
      <c r="AK11" s="787">
        <f t="shared" si="21"/>
        <v>0</v>
      </c>
      <c r="AL11" s="792">
        <v>0</v>
      </c>
      <c r="AM11" s="793">
        <f t="shared" si="40"/>
        <v>0</v>
      </c>
      <c r="AN11" s="793">
        <f t="shared" si="22"/>
        <v>0</v>
      </c>
      <c r="AO11" s="797"/>
      <c r="AP11" s="798">
        <f t="shared" si="23"/>
        <v>0</v>
      </c>
      <c r="AQ11" s="798">
        <f t="shared" si="24"/>
        <v>0</v>
      </c>
      <c r="AR11" s="757"/>
      <c r="AS11" s="758">
        <f>AR11*C11</f>
        <v>0</v>
      </c>
      <c r="AT11" s="758">
        <f t="shared" si="25"/>
        <v>0</v>
      </c>
      <c r="AU11" s="792"/>
      <c r="AV11" s="793">
        <f t="shared" si="26"/>
        <v>0</v>
      </c>
      <c r="AW11" s="793">
        <f t="shared" si="27"/>
        <v>0</v>
      </c>
      <c r="AX11" s="797"/>
      <c r="AY11" s="798">
        <f t="shared" si="28"/>
        <v>0</v>
      </c>
      <c r="AZ11" s="798">
        <f t="shared" si="29"/>
        <v>0</v>
      </c>
      <c r="BA11" s="733"/>
      <c r="BB11" s="734">
        <f t="shared" si="30"/>
        <v>0</v>
      </c>
      <c r="BC11" s="734">
        <f t="shared" si="31"/>
        <v>0</v>
      </c>
      <c r="BD11" s="764"/>
      <c r="BE11" s="765">
        <f t="shared" si="32"/>
        <v>0</v>
      </c>
      <c r="BF11" s="765">
        <f t="shared" si="33"/>
        <v>0</v>
      </c>
      <c r="BG11" s="757"/>
      <c r="BH11" s="758">
        <f t="shared" si="34"/>
        <v>0</v>
      </c>
      <c r="BI11" s="758">
        <f t="shared" si="35"/>
        <v>0</v>
      </c>
      <c r="BJ11" s="719">
        <f t="shared" si="36"/>
        <v>0</v>
      </c>
      <c r="BK11" s="735"/>
      <c r="BL11" s="735">
        <f t="shared" si="41"/>
        <v>0</v>
      </c>
      <c r="BM11" s="736">
        <f t="shared" ref="BM11:BM18" si="42">BK11*BN11</f>
        <v>0</v>
      </c>
      <c r="BN11" s="788">
        <f t="shared" ref="BN11:BN18" si="43">AO11+AR11+AU11+AX11+BA11+BD11+BG11</f>
        <v>0</v>
      </c>
      <c r="BO11" s="788">
        <f t="shared" si="37"/>
        <v>0</v>
      </c>
      <c r="BP11" s="788">
        <f t="shared" si="38"/>
        <v>0</v>
      </c>
      <c r="BQ11" s="789">
        <f>B6-BP11</f>
        <v>0</v>
      </c>
    </row>
    <row r="12" spans="1:69" ht="13.5" x14ac:dyDescent="0.25">
      <c r="A12" s="51">
        <f t="shared" si="0"/>
        <v>0</v>
      </c>
      <c r="B12" s="145">
        <v>0.2</v>
      </c>
      <c r="C12" s="146">
        <f t="shared" si="1"/>
        <v>0</v>
      </c>
      <c r="D12" s="211" t="s">
        <v>10</v>
      </c>
      <c r="E12" s="153">
        <f>'Actual PROGRESS'!H8</f>
        <v>0</v>
      </c>
      <c r="F12" s="154">
        <f>'Actual PROGRESS'!H10</f>
        <v>0</v>
      </c>
      <c r="G12" s="155">
        <f t="shared" si="2"/>
        <v>0</v>
      </c>
      <c r="H12" s="717">
        <v>0</v>
      </c>
      <c r="I12" s="718">
        <f t="shared" si="3"/>
        <v>0</v>
      </c>
      <c r="J12" s="718">
        <f t="shared" si="4"/>
        <v>0</v>
      </c>
      <c r="K12" s="730">
        <v>0</v>
      </c>
      <c r="L12" s="731">
        <f t="shared" si="5"/>
        <v>0</v>
      </c>
      <c r="M12" s="731">
        <f t="shared" si="6"/>
        <v>0</v>
      </c>
      <c r="N12" s="733">
        <v>0</v>
      </c>
      <c r="O12" s="734">
        <f t="shared" si="7"/>
        <v>0</v>
      </c>
      <c r="P12" s="734">
        <f t="shared" si="8"/>
        <v>0</v>
      </c>
      <c r="Q12" s="741">
        <v>0</v>
      </c>
      <c r="R12" s="155">
        <f t="shared" si="9"/>
        <v>0</v>
      </c>
      <c r="S12" s="155">
        <f t="shared" si="10"/>
        <v>0</v>
      </c>
      <c r="T12" s="748">
        <v>0</v>
      </c>
      <c r="U12" s="749">
        <f t="shared" si="11"/>
        <v>0</v>
      </c>
      <c r="V12" s="749">
        <f t="shared" si="12"/>
        <v>0</v>
      </c>
      <c r="W12" s="757">
        <v>0</v>
      </c>
      <c r="X12" s="758">
        <f t="shared" si="13"/>
        <v>0</v>
      </c>
      <c r="Y12" s="758">
        <f t="shared" si="14"/>
        <v>0</v>
      </c>
      <c r="Z12" s="760">
        <v>0</v>
      </c>
      <c r="AA12" s="761">
        <f t="shared" si="15"/>
        <v>0</v>
      </c>
      <c r="AB12" s="761">
        <f t="shared" si="16"/>
        <v>0</v>
      </c>
      <c r="AC12" s="764">
        <v>0</v>
      </c>
      <c r="AD12" s="765">
        <f t="shared" si="17"/>
        <v>0</v>
      </c>
      <c r="AE12" s="765">
        <f t="shared" si="18"/>
        <v>0</v>
      </c>
      <c r="AF12" s="769">
        <v>0</v>
      </c>
      <c r="AG12" s="770">
        <f t="shared" si="19"/>
        <v>0</v>
      </c>
      <c r="AH12" s="770">
        <f t="shared" si="20"/>
        <v>0</v>
      </c>
      <c r="AI12" s="786">
        <v>0</v>
      </c>
      <c r="AJ12" s="787">
        <f t="shared" si="39"/>
        <v>0</v>
      </c>
      <c r="AK12" s="787">
        <f t="shared" si="21"/>
        <v>0</v>
      </c>
      <c r="AL12" s="792">
        <v>0</v>
      </c>
      <c r="AM12" s="793">
        <f t="shared" si="40"/>
        <v>0</v>
      </c>
      <c r="AN12" s="793">
        <f t="shared" si="22"/>
        <v>0</v>
      </c>
      <c r="AO12" s="797">
        <v>0</v>
      </c>
      <c r="AP12" s="798">
        <f t="shared" si="23"/>
        <v>0</v>
      </c>
      <c r="AQ12" s="798">
        <f t="shared" si="24"/>
        <v>0</v>
      </c>
      <c r="AR12" s="757">
        <v>0</v>
      </c>
      <c r="AS12" s="758">
        <f>AR12*C12</f>
        <v>0</v>
      </c>
      <c r="AT12" s="758">
        <f t="shared" si="25"/>
        <v>0</v>
      </c>
      <c r="AU12" s="792"/>
      <c r="AV12" s="793">
        <f t="shared" si="26"/>
        <v>0</v>
      </c>
      <c r="AW12" s="793">
        <f t="shared" si="27"/>
        <v>0</v>
      </c>
      <c r="AX12" s="797"/>
      <c r="AY12" s="798">
        <f t="shared" si="28"/>
        <v>0</v>
      </c>
      <c r="AZ12" s="798">
        <f t="shared" si="29"/>
        <v>0</v>
      </c>
      <c r="BA12" s="733"/>
      <c r="BB12" s="734">
        <f t="shared" si="30"/>
        <v>0</v>
      </c>
      <c r="BC12" s="734">
        <f t="shared" si="31"/>
        <v>0</v>
      </c>
      <c r="BD12" s="764"/>
      <c r="BE12" s="765">
        <f t="shared" si="32"/>
        <v>0</v>
      </c>
      <c r="BF12" s="765">
        <f t="shared" si="33"/>
        <v>0</v>
      </c>
      <c r="BG12" s="757"/>
      <c r="BH12" s="758">
        <f t="shared" si="34"/>
        <v>0</v>
      </c>
      <c r="BI12" s="758">
        <f t="shared" si="35"/>
        <v>0</v>
      </c>
      <c r="BJ12" s="719">
        <f t="shared" si="36"/>
        <v>0</v>
      </c>
      <c r="BK12" s="735"/>
      <c r="BL12" s="735">
        <f t="shared" si="41"/>
        <v>0</v>
      </c>
      <c r="BM12" s="736">
        <f t="shared" si="42"/>
        <v>0</v>
      </c>
      <c r="BN12" s="788">
        <f t="shared" si="43"/>
        <v>0</v>
      </c>
      <c r="BO12" s="788">
        <f t="shared" si="37"/>
        <v>0</v>
      </c>
      <c r="BP12" s="788">
        <f t="shared" si="38"/>
        <v>0</v>
      </c>
      <c r="BQ12" s="789">
        <f>$B$6-BP12</f>
        <v>0</v>
      </c>
    </row>
    <row r="13" spans="1:69" ht="13.5" x14ac:dyDescent="0.25">
      <c r="A13" s="51">
        <f t="shared" si="0"/>
        <v>0</v>
      </c>
      <c r="B13" s="145">
        <v>0.1</v>
      </c>
      <c r="C13" s="146">
        <f t="shared" ref="C13" si="44">$C$6*B13</f>
        <v>0</v>
      </c>
      <c r="D13" s="211" t="s">
        <v>268</v>
      </c>
      <c r="E13" s="153"/>
      <c r="F13" s="154">
        <f>'Actual PROGRESS'!H11</f>
        <v>0</v>
      </c>
      <c r="G13" s="155">
        <f t="shared" ref="G13" si="45">F13*C13</f>
        <v>0</v>
      </c>
      <c r="H13" s="717">
        <v>1</v>
      </c>
      <c r="I13" s="718">
        <f t="shared" ref="I13" si="46">C13*H13</f>
        <v>0</v>
      </c>
      <c r="J13" s="718">
        <f t="shared" ref="J13" si="47">I13</f>
        <v>0</v>
      </c>
      <c r="K13" s="730">
        <v>1</v>
      </c>
      <c r="L13" s="731">
        <f t="shared" ref="L13" si="48">F13*K13</f>
        <v>0</v>
      </c>
      <c r="M13" s="731">
        <f t="shared" ref="M13" si="49">L13</f>
        <v>0</v>
      </c>
      <c r="N13" s="733">
        <v>1</v>
      </c>
      <c r="O13" s="734">
        <f t="shared" ref="O13" si="50">I13*N13</f>
        <v>0</v>
      </c>
      <c r="P13" s="734">
        <f t="shared" ref="P13" si="51">O13</f>
        <v>0</v>
      </c>
      <c r="Q13" s="741">
        <v>1</v>
      </c>
      <c r="R13" s="155">
        <f t="shared" ref="R13" si="52">L13*Q13</f>
        <v>0</v>
      </c>
      <c r="S13" s="155">
        <f t="shared" ref="S13" si="53">R13</f>
        <v>0</v>
      </c>
      <c r="T13" s="748">
        <v>1</v>
      </c>
      <c r="U13" s="749">
        <f t="shared" ref="U13" si="54">O13*T13</f>
        <v>0</v>
      </c>
      <c r="V13" s="749">
        <f t="shared" ref="V13" si="55">U13</f>
        <v>0</v>
      </c>
      <c r="W13" s="757">
        <v>1</v>
      </c>
      <c r="X13" s="758">
        <f t="shared" ref="X13" si="56">R13*W13</f>
        <v>0</v>
      </c>
      <c r="Y13" s="758">
        <f t="shared" ref="Y13" si="57">X13</f>
        <v>0</v>
      </c>
      <c r="Z13" s="760">
        <v>1</v>
      </c>
      <c r="AA13" s="761">
        <f t="shared" ref="AA13" si="58">U13*Z13</f>
        <v>0</v>
      </c>
      <c r="AB13" s="761">
        <f t="shared" ref="AB13" si="59">AA13</f>
        <v>0</v>
      </c>
      <c r="AC13" s="764">
        <v>1</v>
      </c>
      <c r="AD13" s="765">
        <f t="shared" ref="AD13" si="60">X13*AC13</f>
        <v>0</v>
      </c>
      <c r="AE13" s="765">
        <f t="shared" ref="AE13" si="61">AD13</f>
        <v>0</v>
      </c>
      <c r="AF13" s="769">
        <v>1</v>
      </c>
      <c r="AG13" s="770">
        <f t="shared" ref="AG13" si="62">AA13*AF13</f>
        <v>0</v>
      </c>
      <c r="AH13" s="770">
        <f t="shared" ref="AH13" si="63">AG13</f>
        <v>0</v>
      </c>
      <c r="AI13" s="786">
        <v>1</v>
      </c>
      <c r="AJ13" s="787">
        <f t="shared" ref="AJ13" si="64">AD13*AI13</f>
        <v>0</v>
      </c>
      <c r="AK13" s="787">
        <f t="shared" ref="AK13" si="65">I13+L13+O13+R13+U13+X13+AA13+AD13+AG13+AJ13</f>
        <v>0</v>
      </c>
      <c r="AL13" s="792">
        <v>1</v>
      </c>
      <c r="AM13" s="793">
        <f t="shared" ref="AM13" si="66">AG13*AL13</f>
        <v>0</v>
      </c>
      <c r="AN13" s="793">
        <f t="shared" ref="AN13" si="67">I13+L13+O13+R13+U13+X13+AA13+AD13+AG13+AJ13+AM13</f>
        <v>0</v>
      </c>
      <c r="AO13" s="797">
        <v>1</v>
      </c>
      <c r="AP13" s="798">
        <f t="shared" ref="AP13" si="68">AO13*C13</f>
        <v>0</v>
      </c>
      <c r="AQ13" s="798">
        <f t="shared" ref="AQ13" si="69">I13+L13+O13+R13+U13+X13+AA13+AD13+AG13+AJ13+AM13+AP13</f>
        <v>0</v>
      </c>
      <c r="AR13" s="757">
        <v>1</v>
      </c>
      <c r="AS13" s="758">
        <f>AR13*C13</f>
        <v>0</v>
      </c>
      <c r="AT13" s="758">
        <f t="shared" ref="AT13" si="70">I13+L13+O13+R13+U13+X13+AA13+AD13+AG13+AJ13+AM13+AP13+AS13</f>
        <v>0</v>
      </c>
      <c r="AU13" s="792"/>
      <c r="AV13" s="793">
        <f t="shared" ref="AV13" si="71">AU13*C13</f>
        <v>0</v>
      </c>
      <c r="AW13" s="793">
        <f t="shared" ref="AW13" si="72">I13+L13+O13+R13+U13+X13+AA13+AD13+AG13+AJ13+AM13+AP13+AS13+AV13</f>
        <v>0</v>
      </c>
      <c r="AX13" s="797"/>
      <c r="AY13" s="798">
        <f t="shared" ref="AY13" si="73">AX13*C13</f>
        <v>0</v>
      </c>
      <c r="AZ13" s="798">
        <f t="shared" ref="AZ13" si="74">L13+O13+R13+U13+X13+AA13+AD13+AG13+AJ13+AM13+AP13+AS13+AV13+AY13</f>
        <v>0</v>
      </c>
      <c r="BA13" s="733"/>
      <c r="BB13" s="734">
        <f t="shared" ref="BB13" si="75">BA13*C13</f>
        <v>0</v>
      </c>
      <c r="BC13" s="734">
        <f t="shared" ref="BC13" si="76">O13+R13+U13+X13+AA13+AD13+AG13+AJ13+AM13+AP13+AS13+AV13+AY13+BB13</f>
        <v>0</v>
      </c>
      <c r="BD13" s="764"/>
      <c r="BE13" s="765">
        <f t="shared" ref="BE13" si="77">BD13*C13</f>
        <v>0</v>
      </c>
      <c r="BF13" s="765">
        <f t="shared" ref="BF13" si="78">R13+U13+X13+AA13+AD13+AG13+AJ13+AM13+AP13+AS13+AV13+AY13+BB13+BE13</f>
        <v>0</v>
      </c>
      <c r="BG13" s="757"/>
      <c r="BH13" s="758">
        <f t="shared" ref="BH13" si="79">BG13*C13</f>
        <v>0</v>
      </c>
      <c r="BI13" s="758">
        <f t="shared" ref="BI13" si="80">U13+X13+AA13+AD13+AG13+AJ13+AM13+AP13+AS13+AV13+AY13+BB13+BE13+BH13</f>
        <v>0</v>
      </c>
      <c r="BJ13" s="719">
        <f t="shared" ref="BJ13" si="81">A13-I13-L13-O13-R13-U13-X13-AA13-AD13-AG13-AJ13-AM13-AP13-AS13-AV13-AY13-BB13-BE13-BH13</f>
        <v>0</v>
      </c>
      <c r="BK13" s="735"/>
      <c r="BL13" s="735">
        <f t="shared" ref="BL13" si="82">BK13*BG13</f>
        <v>0</v>
      </c>
      <c r="BM13" s="736">
        <f t="shared" ref="BM13" si="83">BK13*BN13</f>
        <v>0</v>
      </c>
      <c r="BN13" s="788">
        <f t="shared" ref="BN13" si="84">AO13+AR13+AU13+AX13+BA13+BD13+BG13</f>
        <v>2</v>
      </c>
      <c r="BO13" s="788">
        <f t="shared" si="37"/>
        <v>-2</v>
      </c>
      <c r="BP13" s="788">
        <f t="shared" ref="BP13" si="85">BN13</f>
        <v>2</v>
      </c>
      <c r="BQ13" s="789">
        <f>$B$6-BP13</f>
        <v>-2</v>
      </c>
    </row>
    <row r="14" spans="1:69" ht="13.5" x14ac:dyDescent="0.25">
      <c r="A14" s="51">
        <f t="shared" si="0"/>
        <v>0</v>
      </c>
      <c r="B14" s="145">
        <v>0.12</v>
      </c>
      <c r="C14" s="146">
        <f t="shared" si="1"/>
        <v>0</v>
      </c>
      <c r="D14" s="211" t="s">
        <v>88</v>
      </c>
      <c r="E14" s="153">
        <f>'Actual PROGRESS'!I8</f>
        <v>0</v>
      </c>
      <c r="F14" s="154">
        <f>'Actual PROGRESS'!I10</f>
        <v>0</v>
      </c>
      <c r="G14" s="155">
        <f t="shared" si="2"/>
        <v>0</v>
      </c>
      <c r="H14" s="717">
        <v>0</v>
      </c>
      <c r="I14" s="718">
        <f t="shared" si="3"/>
        <v>0</v>
      </c>
      <c r="J14" s="718">
        <f t="shared" si="4"/>
        <v>0</v>
      </c>
      <c r="K14" s="730">
        <v>0</v>
      </c>
      <c r="L14" s="731">
        <f t="shared" si="5"/>
        <v>0</v>
      </c>
      <c r="M14" s="731">
        <f t="shared" si="6"/>
        <v>0</v>
      </c>
      <c r="N14" s="733">
        <v>0</v>
      </c>
      <c r="O14" s="734">
        <f t="shared" si="7"/>
        <v>0</v>
      </c>
      <c r="P14" s="734">
        <f t="shared" si="8"/>
        <v>0</v>
      </c>
      <c r="Q14" s="741">
        <v>0</v>
      </c>
      <c r="R14" s="155">
        <f t="shared" si="9"/>
        <v>0</v>
      </c>
      <c r="S14" s="155">
        <f t="shared" si="10"/>
        <v>0</v>
      </c>
      <c r="T14" s="748">
        <v>0</v>
      </c>
      <c r="U14" s="749">
        <f t="shared" si="11"/>
        <v>0</v>
      </c>
      <c r="V14" s="749">
        <f t="shared" si="12"/>
        <v>0</v>
      </c>
      <c r="W14" s="757">
        <v>0</v>
      </c>
      <c r="X14" s="758">
        <f t="shared" si="13"/>
        <v>0</v>
      </c>
      <c r="Y14" s="758">
        <f t="shared" si="14"/>
        <v>0</v>
      </c>
      <c r="Z14" s="760">
        <v>0</v>
      </c>
      <c r="AA14" s="761">
        <f t="shared" si="15"/>
        <v>0</v>
      </c>
      <c r="AB14" s="761">
        <f t="shared" si="16"/>
        <v>0</v>
      </c>
      <c r="AC14" s="764">
        <v>0</v>
      </c>
      <c r="AD14" s="765">
        <f t="shared" si="17"/>
        <v>0</v>
      </c>
      <c r="AE14" s="765">
        <f t="shared" si="18"/>
        <v>0</v>
      </c>
      <c r="AF14" s="769">
        <v>0</v>
      </c>
      <c r="AG14" s="770">
        <f t="shared" si="19"/>
        <v>0</v>
      </c>
      <c r="AH14" s="770">
        <f t="shared" si="20"/>
        <v>0</v>
      </c>
      <c r="AI14" s="786">
        <v>0</v>
      </c>
      <c r="AJ14" s="787">
        <f t="shared" si="39"/>
        <v>0</v>
      </c>
      <c r="AK14" s="787">
        <f t="shared" si="21"/>
        <v>0</v>
      </c>
      <c r="AL14" s="792">
        <v>0</v>
      </c>
      <c r="AM14" s="793">
        <f t="shared" si="40"/>
        <v>0</v>
      </c>
      <c r="AN14" s="793">
        <f t="shared" si="22"/>
        <v>0</v>
      </c>
      <c r="AO14" s="797">
        <v>0</v>
      </c>
      <c r="AP14" s="798">
        <f t="shared" si="23"/>
        <v>0</v>
      </c>
      <c r="AQ14" s="798">
        <f t="shared" si="24"/>
        <v>0</v>
      </c>
      <c r="AR14" s="757">
        <v>0</v>
      </c>
      <c r="AS14" s="758">
        <v>0</v>
      </c>
      <c r="AT14" s="758">
        <f t="shared" si="25"/>
        <v>0</v>
      </c>
      <c r="AU14" s="792">
        <v>0</v>
      </c>
      <c r="AV14" s="793">
        <f t="shared" si="26"/>
        <v>0</v>
      </c>
      <c r="AW14" s="793">
        <f t="shared" si="27"/>
        <v>0</v>
      </c>
      <c r="AX14" s="797"/>
      <c r="AY14" s="798">
        <f t="shared" si="28"/>
        <v>0</v>
      </c>
      <c r="AZ14" s="798">
        <f t="shared" si="29"/>
        <v>0</v>
      </c>
      <c r="BA14" s="733"/>
      <c r="BB14" s="734">
        <f t="shared" si="30"/>
        <v>0</v>
      </c>
      <c r="BC14" s="734">
        <f t="shared" si="31"/>
        <v>0</v>
      </c>
      <c r="BD14" s="764"/>
      <c r="BE14" s="765">
        <f t="shared" si="32"/>
        <v>0</v>
      </c>
      <c r="BF14" s="765">
        <f t="shared" si="33"/>
        <v>0</v>
      </c>
      <c r="BG14" s="757"/>
      <c r="BH14" s="758">
        <f t="shared" si="34"/>
        <v>0</v>
      </c>
      <c r="BI14" s="758">
        <f t="shared" si="35"/>
        <v>0</v>
      </c>
      <c r="BJ14" s="719">
        <f t="shared" si="36"/>
        <v>0</v>
      </c>
      <c r="BK14" s="735"/>
      <c r="BL14" s="735">
        <f t="shared" si="41"/>
        <v>0</v>
      </c>
      <c r="BM14" s="736">
        <f t="shared" si="42"/>
        <v>0</v>
      </c>
      <c r="BN14" s="788">
        <f t="shared" si="43"/>
        <v>0</v>
      </c>
      <c r="BO14" s="788">
        <f t="shared" si="37"/>
        <v>0</v>
      </c>
      <c r="BP14" s="788">
        <f t="shared" si="38"/>
        <v>0</v>
      </c>
      <c r="BQ14" s="789">
        <f t="shared" ref="BQ14:BQ18" si="86">$B$6-BP14</f>
        <v>0</v>
      </c>
    </row>
    <row r="15" spans="1:69" ht="13.5" x14ac:dyDescent="0.25">
      <c r="A15" s="51">
        <f t="shared" si="0"/>
        <v>0</v>
      </c>
      <c r="B15" s="145">
        <v>0.15</v>
      </c>
      <c r="C15" s="146">
        <f t="shared" si="1"/>
        <v>0</v>
      </c>
      <c r="D15" s="212" t="s">
        <v>89</v>
      </c>
      <c r="E15" s="153">
        <f>SUM('Actual PROGRESS'!J8+'Actual PROGRESS'!K8)/2</f>
        <v>0</v>
      </c>
      <c r="F15" s="154">
        <f>SUM('Actual PROGRESS'!J10+'Actual PROGRESS'!K10)/2</f>
        <v>0</v>
      </c>
      <c r="G15" s="155">
        <f t="shared" si="2"/>
        <v>0</v>
      </c>
      <c r="H15" s="717">
        <v>0</v>
      </c>
      <c r="I15" s="718">
        <f t="shared" si="3"/>
        <v>0</v>
      </c>
      <c r="J15" s="718">
        <f t="shared" si="4"/>
        <v>0</v>
      </c>
      <c r="K15" s="730">
        <v>0</v>
      </c>
      <c r="L15" s="731">
        <f t="shared" si="5"/>
        <v>0</v>
      </c>
      <c r="M15" s="731">
        <f t="shared" si="6"/>
        <v>0</v>
      </c>
      <c r="N15" s="733">
        <v>0</v>
      </c>
      <c r="O15" s="734">
        <f t="shared" si="7"/>
        <v>0</v>
      </c>
      <c r="P15" s="734">
        <f t="shared" si="8"/>
        <v>0</v>
      </c>
      <c r="Q15" s="741">
        <v>0</v>
      </c>
      <c r="R15" s="155">
        <f t="shared" si="9"/>
        <v>0</v>
      </c>
      <c r="S15" s="155">
        <f t="shared" si="10"/>
        <v>0</v>
      </c>
      <c r="T15" s="748">
        <v>0</v>
      </c>
      <c r="U15" s="749">
        <f t="shared" si="11"/>
        <v>0</v>
      </c>
      <c r="V15" s="749">
        <f t="shared" si="12"/>
        <v>0</v>
      </c>
      <c r="W15" s="757">
        <v>0</v>
      </c>
      <c r="X15" s="758">
        <f t="shared" si="13"/>
        <v>0</v>
      </c>
      <c r="Y15" s="758">
        <f t="shared" si="14"/>
        <v>0</v>
      </c>
      <c r="Z15" s="760">
        <v>0</v>
      </c>
      <c r="AA15" s="761">
        <f t="shared" si="15"/>
        <v>0</v>
      </c>
      <c r="AB15" s="761">
        <f t="shared" si="16"/>
        <v>0</v>
      </c>
      <c r="AC15" s="764">
        <v>0</v>
      </c>
      <c r="AD15" s="765">
        <f t="shared" si="17"/>
        <v>0</v>
      </c>
      <c r="AE15" s="765">
        <f t="shared" si="18"/>
        <v>0</v>
      </c>
      <c r="AF15" s="769">
        <v>0</v>
      </c>
      <c r="AG15" s="770">
        <f t="shared" si="19"/>
        <v>0</v>
      </c>
      <c r="AH15" s="770">
        <f t="shared" si="20"/>
        <v>0</v>
      </c>
      <c r="AI15" s="786">
        <v>0</v>
      </c>
      <c r="AJ15" s="787">
        <f t="shared" si="39"/>
        <v>0</v>
      </c>
      <c r="AK15" s="787">
        <f t="shared" si="21"/>
        <v>0</v>
      </c>
      <c r="AL15" s="792">
        <v>0</v>
      </c>
      <c r="AM15" s="793">
        <f t="shared" si="40"/>
        <v>0</v>
      </c>
      <c r="AN15" s="793">
        <f t="shared" si="22"/>
        <v>0</v>
      </c>
      <c r="AO15" s="797">
        <v>0</v>
      </c>
      <c r="AP15" s="798">
        <f t="shared" si="23"/>
        <v>0</v>
      </c>
      <c r="AQ15" s="798">
        <f t="shared" si="24"/>
        <v>0</v>
      </c>
      <c r="AR15" s="757">
        <v>0</v>
      </c>
      <c r="AS15" s="758">
        <v>0</v>
      </c>
      <c r="AT15" s="758">
        <f t="shared" si="25"/>
        <v>0</v>
      </c>
      <c r="AU15" s="792">
        <v>0</v>
      </c>
      <c r="AV15" s="793">
        <f t="shared" si="26"/>
        <v>0</v>
      </c>
      <c r="AW15" s="793">
        <f t="shared" si="27"/>
        <v>0</v>
      </c>
      <c r="AX15" s="797"/>
      <c r="AY15" s="798">
        <f t="shared" si="28"/>
        <v>0</v>
      </c>
      <c r="AZ15" s="798">
        <f t="shared" si="29"/>
        <v>0</v>
      </c>
      <c r="BA15" s="733"/>
      <c r="BB15" s="734">
        <f t="shared" si="30"/>
        <v>0</v>
      </c>
      <c r="BC15" s="734">
        <f t="shared" si="31"/>
        <v>0</v>
      </c>
      <c r="BD15" s="764"/>
      <c r="BE15" s="765">
        <f t="shared" si="32"/>
        <v>0</v>
      </c>
      <c r="BF15" s="765">
        <f t="shared" si="33"/>
        <v>0</v>
      </c>
      <c r="BG15" s="757"/>
      <c r="BH15" s="758">
        <f t="shared" si="34"/>
        <v>0</v>
      </c>
      <c r="BI15" s="758">
        <f t="shared" si="35"/>
        <v>0</v>
      </c>
      <c r="BJ15" s="719">
        <f t="shared" si="36"/>
        <v>0</v>
      </c>
      <c r="BK15" s="735"/>
      <c r="BL15" s="735">
        <f t="shared" si="41"/>
        <v>0</v>
      </c>
      <c r="BM15" s="736">
        <f t="shared" si="42"/>
        <v>0</v>
      </c>
      <c r="BN15" s="788">
        <f t="shared" si="43"/>
        <v>0</v>
      </c>
      <c r="BO15" s="788">
        <f t="shared" si="37"/>
        <v>0</v>
      </c>
      <c r="BP15" s="788">
        <f t="shared" si="38"/>
        <v>0</v>
      </c>
      <c r="BQ15" s="789">
        <f t="shared" si="86"/>
        <v>0</v>
      </c>
    </row>
    <row r="16" spans="1:69" ht="13.5" x14ac:dyDescent="0.25">
      <c r="A16" s="51">
        <f t="shared" si="0"/>
        <v>0</v>
      </c>
      <c r="B16" s="145">
        <v>0.05</v>
      </c>
      <c r="C16" s="146">
        <f>$C$6*B16</f>
        <v>0</v>
      </c>
      <c r="D16" s="212" t="s">
        <v>90</v>
      </c>
      <c r="E16" s="153">
        <f>'Actual PROGRESS'!L8</f>
        <v>0</v>
      </c>
      <c r="F16" s="154">
        <f>'Actual PROGRESS'!L10</f>
        <v>0</v>
      </c>
      <c r="G16" s="155">
        <f t="shared" si="2"/>
        <v>0</v>
      </c>
      <c r="H16" s="717">
        <v>0</v>
      </c>
      <c r="I16" s="718">
        <f t="shared" si="3"/>
        <v>0</v>
      </c>
      <c r="J16" s="718">
        <f t="shared" si="4"/>
        <v>0</v>
      </c>
      <c r="K16" s="730">
        <v>0</v>
      </c>
      <c r="L16" s="731">
        <f t="shared" si="5"/>
        <v>0</v>
      </c>
      <c r="M16" s="731">
        <f t="shared" si="6"/>
        <v>0</v>
      </c>
      <c r="N16" s="733">
        <v>0</v>
      </c>
      <c r="O16" s="734">
        <f t="shared" si="7"/>
        <v>0</v>
      </c>
      <c r="P16" s="734">
        <f t="shared" si="8"/>
        <v>0</v>
      </c>
      <c r="Q16" s="741">
        <v>0</v>
      </c>
      <c r="R16" s="155">
        <f t="shared" si="9"/>
        <v>0</v>
      </c>
      <c r="S16" s="155">
        <f t="shared" si="10"/>
        <v>0</v>
      </c>
      <c r="T16" s="748">
        <v>0</v>
      </c>
      <c r="U16" s="749">
        <f t="shared" si="11"/>
        <v>0</v>
      </c>
      <c r="V16" s="749">
        <f t="shared" si="12"/>
        <v>0</v>
      </c>
      <c r="W16" s="757">
        <v>0</v>
      </c>
      <c r="X16" s="758">
        <f t="shared" si="13"/>
        <v>0</v>
      </c>
      <c r="Y16" s="758">
        <f t="shared" si="14"/>
        <v>0</v>
      </c>
      <c r="Z16" s="760">
        <v>0</v>
      </c>
      <c r="AA16" s="761">
        <f t="shared" si="15"/>
        <v>0</v>
      </c>
      <c r="AB16" s="761">
        <f t="shared" si="16"/>
        <v>0</v>
      </c>
      <c r="AC16" s="764">
        <v>0</v>
      </c>
      <c r="AD16" s="765">
        <f t="shared" si="17"/>
        <v>0</v>
      </c>
      <c r="AE16" s="765">
        <f t="shared" si="18"/>
        <v>0</v>
      </c>
      <c r="AF16" s="769">
        <v>0</v>
      </c>
      <c r="AG16" s="770">
        <f t="shared" si="19"/>
        <v>0</v>
      </c>
      <c r="AH16" s="770">
        <f t="shared" si="20"/>
        <v>0</v>
      </c>
      <c r="AI16" s="786">
        <v>0</v>
      </c>
      <c r="AJ16" s="787">
        <f t="shared" si="39"/>
        <v>0</v>
      </c>
      <c r="AK16" s="787">
        <f t="shared" si="21"/>
        <v>0</v>
      </c>
      <c r="AL16" s="792">
        <v>0</v>
      </c>
      <c r="AM16" s="793">
        <f t="shared" si="40"/>
        <v>0</v>
      </c>
      <c r="AN16" s="793">
        <f t="shared" si="22"/>
        <v>0</v>
      </c>
      <c r="AO16" s="797">
        <v>0</v>
      </c>
      <c r="AP16" s="798">
        <f t="shared" si="23"/>
        <v>0</v>
      </c>
      <c r="AQ16" s="798">
        <f t="shared" si="24"/>
        <v>0</v>
      </c>
      <c r="AR16" s="757">
        <v>0</v>
      </c>
      <c r="AS16" s="758">
        <v>0</v>
      </c>
      <c r="AT16" s="758">
        <f t="shared" si="25"/>
        <v>0</v>
      </c>
      <c r="AU16" s="792">
        <v>0</v>
      </c>
      <c r="AV16" s="793">
        <f t="shared" si="26"/>
        <v>0</v>
      </c>
      <c r="AW16" s="793">
        <f t="shared" si="27"/>
        <v>0</v>
      </c>
      <c r="AX16" s="797">
        <v>0</v>
      </c>
      <c r="AY16" s="798">
        <f t="shared" ref="AY16:AY18" si="87">AX16*F16</f>
        <v>0</v>
      </c>
      <c r="AZ16" s="798">
        <f t="shared" si="29"/>
        <v>0</v>
      </c>
      <c r="BA16" s="733">
        <v>0</v>
      </c>
      <c r="BB16" s="734">
        <f t="shared" ref="BB16:BB18" si="88">BA16*I16</f>
        <v>0</v>
      </c>
      <c r="BC16" s="734">
        <f t="shared" si="31"/>
        <v>0</v>
      </c>
      <c r="BD16" s="764"/>
      <c r="BE16" s="765">
        <f t="shared" si="32"/>
        <v>0</v>
      </c>
      <c r="BF16" s="765">
        <f t="shared" si="33"/>
        <v>0</v>
      </c>
      <c r="BG16" s="757"/>
      <c r="BH16" s="758">
        <f t="shared" ref="BH16:BH18" si="89">BG16*F16</f>
        <v>0</v>
      </c>
      <c r="BI16" s="758">
        <f t="shared" si="35"/>
        <v>0</v>
      </c>
      <c r="BJ16" s="719">
        <f t="shared" si="36"/>
        <v>0</v>
      </c>
      <c r="BK16" s="735"/>
      <c r="BL16" s="735">
        <f t="shared" si="41"/>
        <v>0</v>
      </c>
      <c r="BM16" s="736">
        <f t="shared" si="42"/>
        <v>0</v>
      </c>
      <c r="BN16" s="788">
        <f t="shared" si="43"/>
        <v>0</v>
      </c>
      <c r="BO16" s="788">
        <f t="shared" si="37"/>
        <v>0</v>
      </c>
      <c r="BP16" s="788">
        <f t="shared" si="38"/>
        <v>0</v>
      </c>
      <c r="BQ16" s="789">
        <f t="shared" si="86"/>
        <v>0</v>
      </c>
    </row>
    <row r="17" spans="1:69" ht="13.5" x14ac:dyDescent="0.25">
      <c r="A17" s="51">
        <f t="shared" si="0"/>
        <v>0</v>
      </c>
      <c r="B17" s="145">
        <v>7.0000000000000007E-2</v>
      </c>
      <c r="C17" s="146">
        <f t="shared" si="1"/>
        <v>0</v>
      </c>
      <c r="D17" s="212" t="s">
        <v>217</v>
      </c>
      <c r="E17" s="153">
        <f>'Actual PROGRESS'!D16</f>
        <v>0</v>
      </c>
      <c r="F17" s="154">
        <f>'Actual PROGRESS'!M10</f>
        <v>0</v>
      </c>
      <c r="G17" s="155">
        <f t="shared" si="2"/>
        <v>0</v>
      </c>
      <c r="H17" s="717">
        <v>0</v>
      </c>
      <c r="I17" s="718">
        <f t="shared" si="3"/>
        <v>0</v>
      </c>
      <c r="J17" s="718">
        <f t="shared" si="4"/>
        <v>0</v>
      </c>
      <c r="K17" s="730">
        <v>0</v>
      </c>
      <c r="L17" s="731">
        <f t="shared" si="5"/>
        <v>0</v>
      </c>
      <c r="M17" s="731">
        <f t="shared" si="6"/>
        <v>0</v>
      </c>
      <c r="N17" s="733">
        <v>0</v>
      </c>
      <c r="O17" s="734">
        <f t="shared" si="7"/>
        <v>0</v>
      </c>
      <c r="P17" s="734">
        <f t="shared" si="8"/>
        <v>0</v>
      </c>
      <c r="Q17" s="741">
        <v>0</v>
      </c>
      <c r="R17" s="155">
        <f t="shared" si="9"/>
        <v>0</v>
      </c>
      <c r="S17" s="155">
        <f t="shared" si="10"/>
        <v>0</v>
      </c>
      <c r="T17" s="748">
        <v>0</v>
      </c>
      <c r="U17" s="749">
        <f t="shared" si="11"/>
        <v>0</v>
      </c>
      <c r="V17" s="749">
        <f t="shared" si="12"/>
        <v>0</v>
      </c>
      <c r="W17" s="757">
        <v>0</v>
      </c>
      <c r="X17" s="758">
        <f t="shared" si="13"/>
        <v>0</v>
      </c>
      <c r="Y17" s="758">
        <f t="shared" si="14"/>
        <v>0</v>
      </c>
      <c r="Z17" s="760">
        <v>0</v>
      </c>
      <c r="AA17" s="761">
        <f t="shared" si="15"/>
        <v>0</v>
      </c>
      <c r="AB17" s="761">
        <f t="shared" si="16"/>
        <v>0</v>
      </c>
      <c r="AC17" s="764">
        <v>0</v>
      </c>
      <c r="AD17" s="765">
        <f t="shared" si="17"/>
        <v>0</v>
      </c>
      <c r="AE17" s="765">
        <f t="shared" si="18"/>
        <v>0</v>
      </c>
      <c r="AF17" s="769">
        <v>0</v>
      </c>
      <c r="AG17" s="770">
        <f t="shared" si="19"/>
        <v>0</v>
      </c>
      <c r="AH17" s="770">
        <f t="shared" si="20"/>
        <v>0</v>
      </c>
      <c r="AI17" s="786">
        <v>0</v>
      </c>
      <c r="AJ17" s="787">
        <f t="shared" si="39"/>
        <v>0</v>
      </c>
      <c r="AK17" s="787">
        <f t="shared" si="21"/>
        <v>0</v>
      </c>
      <c r="AL17" s="792">
        <v>0</v>
      </c>
      <c r="AM17" s="793">
        <f t="shared" si="40"/>
        <v>0</v>
      </c>
      <c r="AN17" s="793">
        <f t="shared" si="22"/>
        <v>0</v>
      </c>
      <c r="AO17" s="797">
        <v>0</v>
      </c>
      <c r="AP17" s="798">
        <f t="shared" si="23"/>
        <v>0</v>
      </c>
      <c r="AQ17" s="798">
        <f t="shared" si="24"/>
        <v>0</v>
      </c>
      <c r="AR17" s="757">
        <v>0</v>
      </c>
      <c r="AS17" s="758">
        <v>0</v>
      </c>
      <c r="AT17" s="758">
        <f t="shared" si="25"/>
        <v>0</v>
      </c>
      <c r="AU17" s="792">
        <v>0</v>
      </c>
      <c r="AV17" s="793">
        <f t="shared" si="26"/>
        <v>0</v>
      </c>
      <c r="AW17" s="793">
        <f t="shared" si="27"/>
        <v>0</v>
      </c>
      <c r="AX17" s="797">
        <v>0</v>
      </c>
      <c r="AY17" s="798">
        <f t="shared" si="87"/>
        <v>0</v>
      </c>
      <c r="AZ17" s="798">
        <f t="shared" si="29"/>
        <v>0</v>
      </c>
      <c r="BA17" s="733">
        <v>0</v>
      </c>
      <c r="BB17" s="734">
        <f t="shared" si="88"/>
        <v>0</v>
      </c>
      <c r="BC17" s="734">
        <f t="shared" si="31"/>
        <v>0</v>
      </c>
      <c r="BD17" s="764"/>
      <c r="BE17" s="765">
        <f t="shared" si="32"/>
        <v>0</v>
      </c>
      <c r="BF17" s="765">
        <f t="shared" si="33"/>
        <v>0</v>
      </c>
      <c r="BG17" s="757"/>
      <c r="BH17" s="758">
        <f t="shared" si="89"/>
        <v>0</v>
      </c>
      <c r="BI17" s="758">
        <f t="shared" si="35"/>
        <v>0</v>
      </c>
      <c r="BJ17" s="719">
        <f t="shared" si="36"/>
        <v>0</v>
      </c>
      <c r="BK17" s="735"/>
      <c r="BL17" s="735">
        <f t="shared" si="41"/>
        <v>0</v>
      </c>
      <c r="BM17" s="736">
        <f t="shared" si="42"/>
        <v>0</v>
      </c>
      <c r="BN17" s="788">
        <f t="shared" si="43"/>
        <v>0</v>
      </c>
      <c r="BO17" s="788">
        <f t="shared" si="37"/>
        <v>0</v>
      </c>
      <c r="BP17" s="788">
        <f t="shared" si="38"/>
        <v>0</v>
      </c>
      <c r="BQ17" s="789">
        <f t="shared" si="86"/>
        <v>0</v>
      </c>
    </row>
    <row r="18" spans="1:69" ht="13.5" x14ac:dyDescent="0.25">
      <c r="A18" s="51">
        <f t="shared" si="0"/>
        <v>0</v>
      </c>
      <c r="B18" s="145">
        <v>0.03</v>
      </c>
      <c r="C18" s="146">
        <f t="shared" si="1"/>
        <v>0</v>
      </c>
      <c r="D18" s="212" t="s">
        <v>91</v>
      </c>
      <c r="E18" s="153">
        <f>'Actual PROGRESS'!D17</f>
        <v>0</v>
      </c>
      <c r="F18" s="154">
        <f>'Actual PROGRESS'!N10</f>
        <v>0</v>
      </c>
      <c r="G18" s="155">
        <f t="shared" si="2"/>
        <v>0</v>
      </c>
      <c r="H18" s="717">
        <v>0</v>
      </c>
      <c r="I18" s="718">
        <f t="shared" si="3"/>
        <v>0</v>
      </c>
      <c r="J18" s="718">
        <f t="shared" si="4"/>
        <v>0</v>
      </c>
      <c r="K18" s="730">
        <v>0</v>
      </c>
      <c r="L18" s="731">
        <f t="shared" si="5"/>
        <v>0</v>
      </c>
      <c r="M18" s="731">
        <f t="shared" si="6"/>
        <v>0</v>
      </c>
      <c r="N18" s="733">
        <v>0</v>
      </c>
      <c r="O18" s="734">
        <f t="shared" si="7"/>
        <v>0</v>
      </c>
      <c r="P18" s="734">
        <f t="shared" si="8"/>
        <v>0</v>
      </c>
      <c r="Q18" s="741">
        <v>0</v>
      </c>
      <c r="R18" s="155">
        <f t="shared" si="9"/>
        <v>0</v>
      </c>
      <c r="S18" s="155">
        <f t="shared" si="10"/>
        <v>0</v>
      </c>
      <c r="T18" s="748">
        <v>0</v>
      </c>
      <c r="U18" s="749">
        <f t="shared" si="11"/>
        <v>0</v>
      </c>
      <c r="V18" s="749">
        <f t="shared" si="12"/>
        <v>0</v>
      </c>
      <c r="W18" s="757">
        <v>0</v>
      </c>
      <c r="X18" s="758">
        <f t="shared" si="13"/>
        <v>0</v>
      </c>
      <c r="Y18" s="758">
        <f t="shared" si="14"/>
        <v>0</v>
      </c>
      <c r="Z18" s="760">
        <v>0</v>
      </c>
      <c r="AA18" s="761">
        <f t="shared" si="15"/>
        <v>0</v>
      </c>
      <c r="AB18" s="761">
        <f t="shared" si="16"/>
        <v>0</v>
      </c>
      <c r="AC18" s="764">
        <v>0</v>
      </c>
      <c r="AD18" s="765">
        <f t="shared" si="17"/>
        <v>0</v>
      </c>
      <c r="AE18" s="765">
        <f t="shared" si="18"/>
        <v>0</v>
      </c>
      <c r="AF18" s="769">
        <v>0</v>
      </c>
      <c r="AG18" s="770">
        <f t="shared" si="19"/>
        <v>0</v>
      </c>
      <c r="AH18" s="770">
        <f t="shared" si="20"/>
        <v>0</v>
      </c>
      <c r="AI18" s="786">
        <v>0</v>
      </c>
      <c r="AJ18" s="787">
        <f t="shared" si="39"/>
        <v>0</v>
      </c>
      <c r="AK18" s="787">
        <f t="shared" si="21"/>
        <v>0</v>
      </c>
      <c r="AL18" s="792">
        <v>0</v>
      </c>
      <c r="AM18" s="793">
        <f t="shared" si="40"/>
        <v>0</v>
      </c>
      <c r="AN18" s="793">
        <f t="shared" si="22"/>
        <v>0</v>
      </c>
      <c r="AO18" s="797">
        <v>0</v>
      </c>
      <c r="AP18" s="798">
        <f t="shared" si="23"/>
        <v>0</v>
      </c>
      <c r="AQ18" s="798">
        <f t="shared" si="24"/>
        <v>0</v>
      </c>
      <c r="AR18" s="757">
        <v>0</v>
      </c>
      <c r="AS18" s="758">
        <v>0</v>
      </c>
      <c r="AT18" s="758">
        <f t="shared" si="25"/>
        <v>0</v>
      </c>
      <c r="AU18" s="792">
        <v>0</v>
      </c>
      <c r="AV18" s="793">
        <f t="shared" si="26"/>
        <v>0</v>
      </c>
      <c r="AW18" s="793">
        <f t="shared" si="27"/>
        <v>0</v>
      </c>
      <c r="AX18" s="797">
        <v>0</v>
      </c>
      <c r="AY18" s="798">
        <f t="shared" si="87"/>
        <v>0</v>
      </c>
      <c r="AZ18" s="798">
        <f t="shared" si="29"/>
        <v>0</v>
      </c>
      <c r="BA18" s="733">
        <v>0</v>
      </c>
      <c r="BB18" s="734">
        <f t="shared" si="88"/>
        <v>0</v>
      </c>
      <c r="BC18" s="734">
        <f t="shared" si="31"/>
        <v>0</v>
      </c>
      <c r="BD18" s="764"/>
      <c r="BE18" s="765">
        <f t="shared" si="32"/>
        <v>0</v>
      </c>
      <c r="BF18" s="765">
        <f t="shared" si="33"/>
        <v>0</v>
      </c>
      <c r="BG18" s="757"/>
      <c r="BH18" s="758">
        <f t="shared" si="89"/>
        <v>0</v>
      </c>
      <c r="BI18" s="758">
        <f t="shared" si="35"/>
        <v>0</v>
      </c>
      <c r="BJ18" s="719">
        <f t="shared" si="36"/>
        <v>0</v>
      </c>
      <c r="BK18" s="735"/>
      <c r="BL18" s="735">
        <f t="shared" si="41"/>
        <v>0</v>
      </c>
      <c r="BM18" s="736">
        <f t="shared" si="42"/>
        <v>0</v>
      </c>
      <c r="BN18" s="788">
        <f t="shared" si="43"/>
        <v>0</v>
      </c>
      <c r="BO18" s="788">
        <f t="shared" si="37"/>
        <v>0</v>
      </c>
      <c r="BP18" s="788">
        <f t="shared" si="38"/>
        <v>0</v>
      </c>
      <c r="BQ18" s="789">
        <f t="shared" si="86"/>
        <v>0</v>
      </c>
    </row>
    <row r="19" spans="1:69" ht="15" x14ac:dyDescent="0.3">
      <c r="A19" s="147">
        <f>SUM(A8:A18)</f>
        <v>0</v>
      </c>
      <c r="B19" s="148">
        <f>SUM(B8:B18)</f>
        <v>1.0000000000000002</v>
      </c>
      <c r="C19" s="165">
        <f>SUM(C8:C18)</f>
        <v>0</v>
      </c>
      <c r="D19" s="149" t="s">
        <v>14</v>
      </c>
      <c r="E19" s="149"/>
      <c r="F19" s="150"/>
      <c r="G19" s="151">
        <f>SUM(G8:G18)</f>
        <v>0</v>
      </c>
      <c r="H19" s="720"/>
      <c r="I19" s="151">
        <f>SUM(I8:I18)</f>
        <v>0</v>
      </c>
      <c r="J19" s="151">
        <f>SUM(J8:J18)</f>
        <v>0</v>
      </c>
      <c r="K19" s="720"/>
      <c r="L19" s="151">
        <f>SUM(L8:L18)</f>
        <v>0</v>
      </c>
      <c r="M19" s="151">
        <f>SUM(M8:M18)</f>
        <v>0</v>
      </c>
      <c r="N19" s="720"/>
      <c r="O19" s="151">
        <f>SUM(O8:O18)</f>
        <v>0</v>
      </c>
      <c r="P19" s="151">
        <f>SUM(P8:P18)</f>
        <v>0</v>
      </c>
      <c r="Q19" s="720"/>
      <c r="R19" s="151">
        <f>SUM(R8:R18)</f>
        <v>0</v>
      </c>
      <c r="S19" s="151">
        <f>SUM(S8:S18)</f>
        <v>0</v>
      </c>
      <c r="T19" s="720"/>
      <c r="U19" s="151">
        <f>SUM(U8:U18)</f>
        <v>0</v>
      </c>
      <c r="V19" s="151">
        <f>SUM(V8:V18)</f>
        <v>0</v>
      </c>
      <c r="W19" s="720"/>
      <c r="X19" s="151">
        <f>SUM(X8:X18)</f>
        <v>0</v>
      </c>
      <c r="Y19" s="151">
        <f>SUM(Y8:Y18)</f>
        <v>0</v>
      </c>
      <c r="Z19" s="720"/>
      <c r="AA19" s="151">
        <f>SUM(AA8:AA18)</f>
        <v>0</v>
      </c>
      <c r="AB19" s="151">
        <f>SUM(AB8:AB18)</f>
        <v>0</v>
      </c>
      <c r="AC19" s="720"/>
      <c r="AD19" s="151">
        <f>SUM(AD8:AD18)</f>
        <v>0</v>
      </c>
      <c r="AE19" s="151">
        <f>SUM(AE8:AE18)</f>
        <v>0</v>
      </c>
      <c r="AF19" s="720"/>
      <c r="AG19" s="151">
        <f>SUM(AG8:AG18)</f>
        <v>0</v>
      </c>
      <c r="AH19" s="151">
        <f>SUM(AH8:AH18)</f>
        <v>0</v>
      </c>
      <c r="AI19" s="720"/>
      <c r="AJ19" s="151">
        <f>SUM(AJ8:AJ18)</f>
        <v>0</v>
      </c>
      <c r="AK19" s="151">
        <f>SUM(AK8:AK18)</f>
        <v>0</v>
      </c>
      <c r="AL19" s="720"/>
      <c r="AM19" s="151">
        <f>SUM(AM8:AM18)</f>
        <v>0</v>
      </c>
      <c r="AN19" s="151">
        <f>SUM(AN8:AN18)</f>
        <v>0</v>
      </c>
      <c r="AO19" s="720"/>
      <c r="AP19" s="151">
        <f>SUM(AP8:AP18)</f>
        <v>0</v>
      </c>
      <c r="AQ19" s="151">
        <f>SUM(AQ8:AQ18)</f>
        <v>0</v>
      </c>
      <c r="AR19" s="720"/>
      <c r="AS19" s="151">
        <f>SUM(AS8:AS18)</f>
        <v>0</v>
      </c>
      <c r="AT19" s="151">
        <f>SUM(AT8:AT18)</f>
        <v>0</v>
      </c>
      <c r="AU19" s="720"/>
      <c r="AV19" s="151">
        <f>SUM(AV8:AV18)</f>
        <v>0</v>
      </c>
      <c r="AW19" s="151">
        <f>SUM(AW8:AW18)</f>
        <v>0</v>
      </c>
      <c r="AX19" s="720"/>
      <c r="AY19" s="151">
        <f>SUM(AY8:AY18)</f>
        <v>0</v>
      </c>
      <c r="AZ19" s="151">
        <f>SUM(AZ8:AZ18)</f>
        <v>0</v>
      </c>
      <c r="BA19" s="720"/>
      <c r="BB19" s="151">
        <f>SUM(BB8:BB18)</f>
        <v>0</v>
      </c>
      <c r="BC19" s="151">
        <f>SUM(BC8:BC18)</f>
        <v>0</v>
      </c>
      <c r="BD19" s="720"/>
      <c r="BE19" s="151">
        <f>SUM(BE8:BE18)</f>
        <v>0</v>
      </c>
      <c r="BF19" s="151">
        <f>SUM(BF8:BF18)</f>
        <v>0</v>
      </c>
      <c r="BG19" s="720"/>
      <c r="BH19" s="151">
        <f>SUM(BH8:BH18)</f>
        <v>0</v>
      </c>
      <c r="BI19" s="151">
        <f>SUM(BI8:BI18)</f>
        <v>0</v>
      </c>
      <c r="BJ19" s="151">
        <f>SUM(BJ8:BJ18)</f>
        <v>0</v>
      </c>
      <c r="BK19" s="737">
        <f t="shared" ref="BK19:BM19" si="90">SUM(BK8:BK18)</f>
        <v>0</v>
      </c>
      <c r="BL19" s="737">
        <f t="shared" si="90"/>
        <v>0</v>
      </c>
      <c r="BM19" s="737">
        <f t="shared" si="90"/>
        <v>0</v>
      </c>
      <c r="BN19" s="41"/>
    </row>
    <row r="20" spans="1:69" ht="13.5" x14ac:dyDescent="0.25"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</row>
    <row r="22" spans="1:69" x14ac:dyDescent="0.2">
      <c r="C22" s="744"/>
      <c r="J22" s="42"/>
      <c r="K22" s="42"/>
      <c r="L22" s="42"/>
      <c r="M22" s="42"/>
      <c r="N22" s="42"/>
      <c r="O22" s="42"/>
      <c r="P22" s="42"/>
      <c r="Q22" s="42"/>
      <c r="R22" s="7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739"/>
      <c r="BK22" s="739"/>
    </row>
    <row r="24" spans="1:69" x14ac:dyDescent="0.2">
      <c r="S24" s="743"/>
      <c r="T24" s="743"/>
      <c r="U24" s="743"/>
      <c r="V24" s="743"/>
      <c r="W24" s="743"/>
      <c r="X24" s="743"/>
      <c r="Y24" s="743"/>
      <c r="Z24" s="743"/>
      <c r="AA24" s="743"/>
      <c r="AB24" s="743"/>
      <c r="AC24" s="743"/>
      <c r="AD24" s="743"/>
      <c r="AE24" s="743"/>
      <c r="AF24" s="743"/>
      <c r="AG24" s="743"/>
      <c r="AH24" s="743"/>
      <c r="AI24" s="743"/>
      <c r="AJ24" s="743"/>
      <c r="AK24" s="743"/>
      <c r="AL24" s="743"/>
      <c r="AM24" s="743"/>
      <c r="AN24" s="743"/>
      <c r="AO24" s="743"/>
      <c r="AP24" s="743"/>
      <c r="AQ24" s="743"/>
      <c r="AR24" s="743"/>
      <c r="AS24" s="743"/>
      <c r="AT24" s="743"/>
      <c r="AU24" s="743"/>
      <c r="AV24" s="743"/>
      <c r="AW24" s="743"/>
      <c r="AX24" s="743"/>
      <c r="AY24" s="743"/>
      <c r="AZ24" s="743"/>
      <c r="BA24" s="743"/>
      <c r="BB24" s="743"/>
      <c r="BC24" s="743"/>
      <c r="BD24" s="743"/>
      <c r="BE24" s="743"/>
      <c r="BF24" s="743"/>
      <c r="BG24" s="743"/>
      <c r="BH24" s="743"/>
      <c r="BI24" s="743"/>
    </row>
    <row r="25" spans="1:69" x14ac:dyDescent="0.2">
      <c r="BK25" s="744"/>
    </row>
    <row r="26" spans="1:69" x14ac:dyDescent="0.2">
      <c r="T26" s="750"/>
    </row>
    <row r="27" spans="1:69" x14ac:dyDescent="0.2">
      <c r="T27" s="743"/>
    </row>
    <row r="33" spans="62:63" x14ac:dyDescent="0.2">
      <c r="BJ33" s="739"/>
      <c r="BK33" s="739"/>
    </row>
  </sheetData>
  <mergeCells count="60">
    <mergeCell ref="BA4:BB5"/>
    <mergeCell ref="BC4:BC5"/>
    <mergeCell ref="BA6:BC6"/>
    <mergeCell ref="BN6:BO6"/>
    <mergeCell ref="BP6:BQ6"/>
    <mergeCell ref="BK4:BM6"/>
    <mergeCell ref="BD4:BE5"/>
    <mergeCell ref="BF4:BF5"/>
    <mergeCell ref="BD6:BF6"/>
    <mergeCell ref="BG4:BH5"/>
    <mergeCell ref="BI4:BI5"/>
    <mergeCell ref="BG6:BI6"/>
    <mergeCell ref="AL4:AM5"/>
    <mergeCell ref="AN4:AN5"/>
    <mergeCell ref="AL6:AN6"/>
    <mergeCell ref="AO4:AP5"/>
    <mergeCell ref="AQ4:AQ5"/>
    <mergeCell ref="AO6:AQ6"/>
    <mergeCell ref="AT4:AT5"/>
    <mergeCell ref="AR6:AT6"/>
    <mergeCell ref="AU4:AV5"/>
    <mergeCell ref="AW4:AW5"/>
    <mergeCell ref="AU6:AW6"/>
    <mergeCell ref="T4:U5"/>
    <mergeCell ref="V4:V5"/>
    <mergeCell ref="T6:V6"/>
    <mergeCell ref="W4:X5"/>
    <mergeCell ref="Y4:Y5"/>
    <mergeCell ref="W6:Y6"/>
    <mergeCell ref="K4:L5"/>
    <mergeCell ref="M4:M5"/>
    <mergeCell ref="K6:M6"/>
    <mergeCell ref="Q4:R5"/>
    <mergeCell ref="S4:S5"/>
    <mergeCell ref="Q6:S6"/>
    <mergeCell ref="N4:O5"/>
    <mergeCell ref="P4:P5"/>
    <mergeCell ref="N6:P6"/>
    <mergeCell ref="H6:J6"/>
    <mergeCell ref="A1:D2"/>
    <mergeCell ref="A3:D3"/>
    <mergeCell ref="C5:D5"/>
    <mergeCell ref="H4:I5"/>
    <mergeCell ref="J4:J5"/>
    <mergeCell ref="AZ4:AZ5"/>
    <mergeCell ref="AX6:AZ6"/>
    <mergeCell ref="AB4:AB5"/>
    <mergeCell ref="Z6:AB6"/>
    <mergeCell ref="AF4:AG5"/>
    <mergeCell ref="AH4:AH5"/>
    <mergeCell ref="AF6:AH6"/>
    <mergeCell ref="AI4:AJ5"/>
    <mergeCell ref="AK4:AK5"/>
    <mergeCell ref="AI6:AK6"/>
    <mergeCell ref="AC4:AD5"/>
    <mergeCell ref="AE4:AE5"/>
    <mergeCell ref="AC6:AE6"/>
    <mergeCell ref="Z4:AA5"/>
    <mergeCell ref="AX4:AY5"/>
    <mergeCell ref="AR4:AS5"/>
  </mergeCells>
  <phoneticPr fontId="35" type="noConversion"/>
  <pageMargins left="0.74803149606299213" right="0.74803149606299213" top="0.98425196850393704" bottom="0.98425196850393704" header="0.51181102362204722" footer="0.51181102362204722"/>
  <pageSetup paperSize="3" scale="10" orientation="landscape" r:id="rId1"/>
  <headerFooter alignWithMargins="0">
    <oddHeader>&amp;L&amp;"Arial Black,Regular"&amp;8DUNN HEIBERT AND ASSOCIATES&amp;C&amp;A&amp;R&amp;"Arial Black,Regular"&amp;9ACCESS PIPELINES NEX - SOUTH SPREAD</oddHeader>
    <oddFooter>&amp;L&amp;D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623"/>
  <sheetViews>
    <sheetView zoomScale="90" zoomScaleNormal="90" workbookViewId="0">
      <selection sqref="A1:A2"/>
    </sheetView>
  </sheetViews>
  <sheetFormatPr defaultColWidth="8.85546875" defaultRowHeight="12.75" x14ac:dyDescent="0.2"/>
  <cols>
    <col min="1" max="1" width="10" style="313" customWidth="1"/>
    <col min="2" max="2" width="50" style="313" customWidth="1"/>
    <col min="3" max="3" width="9.5703125" style="313" bestFit="1" customWidth="1"/>
    <col min="4" max="4" width="16.140625" style="313" customWidth="1"/>
    <col min="5" max="5" width="13.28515625" style="313" customWidth="1"/>
    <col min="6" max="6" width="15.140625" style="313" customWidth="1"/>
    <col min="7" max="7" width="19.28515625" style="378" customWidth="1"/>
    <col min="8" max="8" width="19.28515625" style="378" bestFit="1" customWidth="1"/>
    <col min="9" max="9" width="16.28515625" style="313" customWidth="1"/>
    <col min="10" max="10" width="11.42578125" style="313" customWidth="1"/>
    <col min="11" max="11" width="13.28515625" style="313" bestFit="1" customWidth="1"/>
    <col min="12" max="12" width="13.5703125" style="313" customWidth="1"/>
    <col min="13" max="13" width="16.140625" style="313" bestFit="1" customWidth="1"/>
    <col min="14" max="14" width="17.5703125" style="313" customWidth="1"/>
    <col min="15" max="15" width="16" style="313" customWidth="1"/>
    <col min="16" max="19" width="7.85546875" style="313" customWidth="1"/>
    <col min="20" max="16384" width="8.85546875" style="313"/>
  </cols>
  <sheetData>
    <row r="1" spans="1:33" ht="16.5" thickBot="1" x14ac:dyDescent="0.3">
      <c r="A1" s="1153"/>
      <c r="B1" s="710" t="s">
        <v>131</v>
      </c>
      <c r="C1" s="305" t="s">
        <v>132</v>
      </c>
      <c r="D1" s="305" t="s">
        <v>133</v>
      </c>
      <c r="E1" s="306" t="s">
        <v>134</v>
      </c>
      <c r="F1" s="307" t="s">
        <v>135</v>
      </c>
      <c r="G1" s="308" t="s">
        <v>136</v>
      </c>
      <c r="H1" s="309">
        <f>H21</f>
        <v>0</v>
      </c>
      <c r="I1" s="310">
        <f>I21</f>
        <v>0</v>
      </c>
      <c r="J1" s="311"/>
      <c r="K1" s="1150" t="s">
        <v>137</v>
      </c>
      <c r="L1" s="1151"/>
      <c r="M1" s="312">
        <f>M21</f>
        <v>0</v>
      </c>
      <c r="N1" s="304"/>
      <c r="O1" s="304"/>
    </row>
    <row r="2" spans="1:33" ht="13.5" x14ac:dyDescent="0.25">
      <c r="A2" s="1154"/>
      <c r="B2" s="711" t="s">
        <v>138</v>
      </c>
      <c r="C2" s="315"/>
      <c r="D2" s="315"/>
      <c r="E2" s="316"/>
      <c r="F2" s="316"/>
      <c r="G2" s="317"/>
      <c r="H2" s="317"/>
      <c r="I2" s="314" t="s">
        <v>22</v>
      </c>
      <c r="J2" s="1152"/>
      <c r="K2" s="1152"/>
      <c r="L2" s="1152"/>
      <c r="M2" s="1152"/>
      <c r="N2" s="1152"/>
      <c r="O2" s="318" t="s">
        <v>139</v>
      </c>
      <c r="P2" s="319"/>
      <c r="Q2" s="319"/>
      <c r="R2" s="319"/>
      <c r="S2" s="319"/>
      <c r="T2" s="320"/>
      <c r="U2" s="320"/>
      <c r="V2" s="320"/>
      <c r="W2" s="320"/>
      <c r="X2" s="321"/>
      <c r="Y2" s="321"/>
      <c r="Z2" s="321"/>
      <c r="AA2" s="321"/>
      <c r="AB2" s="321"/>
      <c r="AC2" s="321"/>
      <c r="AD2" s="321"/>
      <c r="AE2" s="321"/>
      <c r="AF2" s="321"/>
      <c r="AG2" s="321"/>
    </row>
    <row r="3" spans="1:33" ht="35.25" customHeight="1" x14ac:dyDescent="0.2">
      <c r="A3" s="322" t="s">
        <v>140</v>
      </c>
      <c r="B3" s="322" t="s">
        <v>141</v>
      </c>
      <c r="C3" s="322"/>
      <c r="D3" s="322"/>
      <c r="E3" s="323"/>
      <c r="F3" s="323"/>
      <c r="G3" s="324" t="s">
        <v>142</v>
      </c>
      <c r="H3" s="324" t="s">
        <v>143</v>
      </c>
      <c r="I3" s="322" t="s">
        <v>144</v>
      </c>
      <c r="J3" s="322" t="s">
        <v>145</v>
      </c>
      <c r="K3" s="322" t="s">
        <v>146</v>
      </c>
      <c r="L3" s="322" t="s">
        <v>147</v>
      </c>
      <c r="M3" s="322" t="s">
        <v>148</v>
      </c>
      <c r="N3" s="322" t="s">
        <v>149</v>
      </c>
      <c r="O3" s="325" t="s">
        <v>150</v>
      </c>
      <c r="P3" s="326"/>
      <c r="Q3" s="326"/>
      <c r="R3" s="326"/>
      <c r="S3" s="326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  <c r="AG3" s="321"/>
    </row>
    <row r="4" spans="1:33" ht="20.25" customHeight="1" x14ac:dyDescent="0.2">
      <c r="A4" s="327" t="s">
        <v>151</v>
      </c>
      <c r="B4" s="328" t="s">
        <v>152</v>
      </c>
      <c r="C4" s="322"/>
      <c r="D4" s="322"/>
      <c r="E4" s="323"/>
      <c r="F4" s="323"/>
      <c r="G4" s="324"/>
      <c r="H4" s="324"/>
      <c r="I4" s="322"/>
      <c r="J4" s="322"/>
      <c r="K4" s="322"/>
      <c r="L4" s="322"/>
      <c r="M4" s="329"/>
      <c r="N4" s="322"/>
      <c r="O4" s="325"/>
      <c r="P4" s="326"/>
      <c r="Q4" s="326"/>
      <c r="R4" s="326"/>
      <c r="S4" s="326"/>
      <c r="T4" s="321"/>
      <c r="U4" s="321"/>
      <c r="V4" s="321"/>
      <c r="W4" s="321"/>
      <c r="X4" s="321"/>
      <c r="Y4" s="321"/>
      <c r="Z4" s="321"/>
      <c r="AA4" s="321"/>
      <c r="AB4" s="321"/>
      <c r="AC4" s="321"/>
      <c r="AD4" s="321"/>
      <c r="AE4" s="321"/>
      <c r="AF4" s="321"/>
      <c r="AG4" s="321"/>
    </row>
    <row r="5" spans="1:33" s="343" customFormat="1" x14ac:dyDescent="0.2">
      <c r="A5" s="330" t="s">
        <v>153</v>
      </c>
      <c r="B5" s="305" t="s">
        <v>154</v>
      </c>
      <c r="C5" s="331" t="s">
        <v>155</v>
      </c>
      <c r="D5" s="332"/>
      <c r="E5" s="673"/>
      <c r="F5" s="334"/>
      <c r="G5" s="674"/>
      <c r="H5" s="335">
        <f>F5</f>
        <v>0</v>
      </c>
      <c r="I5" s="336">
        <f>H5</f>
        <v>0</v>
      </c>
      <c r="J5" s="337"/>
      <c r="K5" s="338"/>
      <c r="L5" s="339"/>
      <c r="M5" s="340"/>
      <c r="N5" s="341"/>
      <c r="O5" s="342">
        <f>N5*10%</f>
        <v>0</v>
      </c>
      <c r="P5" s="326"/>
      <c r="Q5" s="326"/>
      <c r="R5" s="326"/>
      <c r="S5" s="326"/>
      <c r="T5" s="321"/>
      <c r="U5" s="321"/>
      <c r="V5" s="321"/>
      <c r="W5" s="321"/>
      <c r="X5" s="321"/>
      <c r="Y5" s="321"/>
      <c r="Z5" s="321"/>
      <c r="AA5" s="321"/>
      <c r="AB5" s="321"/>
      <c r="AC5" s="321"/>
      <c r="AD5" s="321"/>
      <c r="AE5" s="321"/>
      <c r="AF5" s="321"/>
      <c r="AG5" s="321"/>
    </row>
    <row r="6" spans="1:33" s="343" customFormat="1" x14ac:dyDescent="0.2">
      <c r="A6" s="330"/>
      <c r="B6" s="305"/>
      <c r="C6" s="331"/>
      <c r="D6" s="332"/>
      <c r="E6" s="673"/>
      <c r="F6" s="334"/>
      <c r="G6" s="674"/>
      <c r="H6" s="335">
        <f>F6</f>
        <v>0</v>
      </c>
      <c r="I6" s="336">
        <f>H6</f>
        <v>0</v>
      </c>
      <c r="J6" s="337"/>
      <c r="K6" s="338"/>
      <c r="L6" s="339"/>
      <c r="M6" s="340"/>
      <c r="N6" s="341"/>
      <c r="O6" s="342"/>
      <c r="P6" s="326"/>
      <c r="Q6" s="326"/>
      <c r="R6" s="326"/>
      <c r="S6" s="326"/>
      <c r="T6" s="321"/>
      <c r="U6" s="321"/>
      <c r="V6" s="321"/>
      <c r="W6" s="321"/>
      <c r="X6" s="321"/>
      <c r="Y6" s="321"/>
      <c r="Z6" s="321"/>
      <c r="AA6" s="321"/>
      <c r="AB6" s="321"/>
      <c r="AC6" s="321"/>
      <c r="AD6" s="321"/>
      <c r="AE6" s="321"/>
      <c r="AF6" s="321"/>
      <c r="AG6" s="321"/>
    </row>
    <row r="7" spans="1:33" s="343" customFormat="1" x14ac:dyDescent="0.2">
      <c r="A7" s="330"/>
      <c r="B7" s="305"/>
      <c r="C7" s="331"/>
      <c r="D7" s="332"/>
      <c r="E7" s="673"/>
      <c r="F7" s="334"/>
      <c r="G7" s="674"/>
      <c r="H7" s="335">
        <f>F7</f>
        <v>0</v>
      </c>
      <c r="I7" s="336">
        <f>H7</f>
        <v>0</v>
      </c>
      <c r="J7" s="337"/>
      <c r="K7" s="338"/>
      <c r="L7" s="339"/>
      <c r="M7" s="340"/>
      <c r="N7" s="341"/>
      <c r="O7" s="342"/>
      <c r="P7" s="326"/>
      <c r="Q7" s="326"/>
      <c r="R7" s="326"/>
      <c r="S7" s="326"/>
      <c r="T7" s="321"/>
      <c r="U7" s="321"/>
      <c r="V7" s="321"/>
      <c r="W7" s="321"/>
      <c r="X7" s="321"/>
      <c r="Y7" s="321"/>
      <c r="Z7" s="321"/>
      <c r="AA7" s="321"/>
      <c r="AB7" s="321"/>
      <c r="AC7" s="321"/>
      <c r="AD7" s="321"/>
      <c r="AE7" s="321"/>
      <c r="AF7" s="321"/>
      <c r="AG7" s="321"/>
    </row>
    <row r="8" spans="1:33" s="343" customFormat="1" x14ac:dyDescent="0.2">
      <c r="A8" s="330" t="s">
        <v>156</v>
      </c>
      <c r="B8" s="305" t="s">
        <v>157</v>
      </c>
      <c r="C8" s="331" t="s">
        <v>155</v>
      </c>
      <c r="D8" s="332"/>
      <c r="E8" s="333"/>
      <c r="F8" s="334"/>
      <c r="G8" s="379"/>
      <c r="H8" s="335"/>
      <c r="I8" s="336"/>
      <c r="J8" s="337"/>
      <c r="K8" s="338"/>
      <c r="L8" s="339"/>
      <c r="M8" s="340"/>
      <c r="N8" s="341"/>
      <c r="O8" s="342">
        <f>N8*10%</f>
        <v>0</v>
      </c>
      <c r="P8" s="326"/>
      <c r="Q8" s="326"/>
      <c r="R8" s="326"/>
      <c r="S8" s="326"/>
      <c r="T8" s="321"/>
      <c r="U8" s="321"/>
      <c r="V8" s="321"/>
      <c r="W8" s="321"/>
      <c r="X8" s="321"/>
      <c r="Y8" s="321"/>
      <c r="Z8" s="321"/>
      <c r="AA8" s="321"/>
      <c r="AB8" s="321"/>
      <c r="AC8" s="321"/>
      <c r="AD8" s="321"/>
      <c r="AE8" s="321"/>
      <c r="AF8" s="321"/>
      <c r="AG8" s="321"/>
    </row>
    <row r="9" spans="1:33" s="343" customFormat="1" x14ac:dyDescent="0.2">
      <c r="A9" s="330" t="s">
        <v>158</v>
      </c>
      <c r="B9" s="305" t="s">
        <v>159</v>
      </c>
      <c r="C9" s="345" t="s">
        <v>155</v>
      </c>
      <c r="D9" s="332"/>
      <c r="E9" s="828"/>
      <c r="F9" s="334"/>
      <c r="G9" s="829"/>
      <c r="H9" s="335"/>
      <c r="I9" s="336"/>
      <c r="J9" s="337"/>
      <c r="K9" s="338"/>
      <c r="L9" s="339"/>
      <c r="M9" s="340"/>
      <c r="N9" s="346"/>
      <c r="O9" s="342">
        <f>N9*10%</f>
        <v>0</v>
      </c>
      <c r="P9" s="326"/>
      <c r="Q9" s="326"/>
      <c r="R9" s="326"/>
      <c r="S9" s="326"/>
      <c r="T9" s="321"/>
      <c r="U9" s="321"/>
      <c r="V9" s="321"/>
      <c r="W9" s="321"/>
      <c r="X9" s="321"/>
      <c r="Y9" s="321"/>
      <c r="Z9" s="321"/>
      <c r="AA9" s="321"/>
      <c r="AB9" s="321"/>
      <c r="AC9" s="321"/>
      <c r="AD9" s="321"/>
      <c r="AE9" s="321"/>
      <c r="AF9" s="321"/>
      <c r="AG9" s="321"/>
    </row>
    <row r="10" spans="1:33" s="343" customFormat="1" x14ac:dyDescent="0.2">
      <c r="A10" s="330"/>
      <c r="B10" s="305"/>
      <c r="C10" s="345"/>
      <c r="D10" s="332"/>
      <c r="E10" s="828"/>
      <c r="F10" s="334"/>
      <c r="G10" s="829"/>
      <c r="H10" s="335"/>
      <c r="I10" s="336"/>
      <c r="J10" s="337"/>
      <c r="K10" s="338"/>
      <c r="L10" s="339"/>
      <c r="M10" s="340"/>
      <c r="N10" s="346"/>
      <c r="O10" s="342"/>
      <c r="P10" s="326"/>
      <c r="Q10" s="326"/>
      <c r="R10" s="326"/>
      <c r="S10" s="326"/>
      <c r="T10" s="321"/>
      <c r="U10" s="321"/>
      <c r="V10" s="321"/>
      <c r="W10" s="321"/>
      <c r="X10" s="321"/>
      <c r="Y10" s="321"/>
      <c r="Z10" s="321"/>
      <c r="AA10" s="321"/>
      <c r="AB10" s="321"/>
      <c r="AC10" s="321"/>
      <c r="AD10" s="321"/>
      <c r="AE10" s="321"/>
      <c r="AF10" s="321"/>
      <c r="AG10" s="321"/>
    </row>
    <row r="11" spans="1:33" s="343" customFormat="1" x14ac:dyDescent="0.2">
      <c r="A11" s="330"/>
      <c r="B11" s="305"/>
      <c r="C11" s="345"/>
      <c r="D11" s="332"/>
      <c r="E11" s="840"/>
      <c r="F11" s="334"/>
      <c r="G11" s="829"/>
      <c r="H11" s="335"/>
      <c r="I11" s="336"/>
      <c r="J11" s="337"/>
      <c r="K11" s="338"/>
      <c r="L11" s="339"/>
      <c r="M11" s="340"/>
      <c r="N11" s="346"/>
      <c r="O11" s="342"/>
      <c r="P11" s="326"/>
      <c r="Q11" s="326"/>
      <c r="R11" s="326"/>
      <c r="S11" s="326"/>
      <c r="T11" s="321"/>
      <c r="U11" s="321"/>
      <c r="V11" s="321"/>
      <c r="W11" s="321"/>
      <c r="X11" s="321"/>
      <c r="Y11" s="321"/>
      <c r="Z11" s="321"/>
      <c r="AA11" s="321"/>
      <c r="AB11" s="321"/>
      <c r="AC11" s="321"/>
      <c r="AD11" s="321"/>
      <c r="AE11" s="321"/>
      <c r="AF11" s="321"/>
      <c r="AG11" s="321"/>
    </row>
    <row r="12" spans="1:33" s="343" customFormat="1" x14ac:dyDescent="0.2">
      <c r="A12" s="330"/>
      <c r="B12" s="305"/>
      <c r="C12" s="345"/>
      <c r="D12" s="332"/>
      <c r="E12" s="828"/>
      <c r="F12" s="334"/>
      <c r="G12" s="829"/>
      <c r="H12" s="335"/>
      <c r="I12" s="336"/>
      <c r="J12" s="337"/>
      <c r="K12" s="338"/>
      <c r="L12" s="339"/>
      <c r="M12" s="340"/>
      <c r="N12" s="346"/>
      <c r="O12" s="342"/>
      <c r="P12" s="326"/>
      <c r="Q12" s="326"/>
      <c r="R12" s="326"/>
      <c r="S12" s="326"/>
      <c r="T12" s="321"/>
      <c r="U12" s="321"/>
      <c r="V12" s="321"/>
      <c r="W12" s="321"/>
      <c r="X12" s="321"/>
      <c r="Y12" s="321"/>
      <c r="Z12" s="321"/>
      <c r="AA12" s="321"/>
      <c r="AB12" s="321"/>
      <c r="AC12" s="321"/>
      <c r="AD12" s="321"/>
      <c r="AE12" s="321"/>
      <c r="AF12" s="321"/>
      <c r="AG12" s="321"/>
    </row>
    <row r="13" spans="1:33" x14ac:dyDescent="0.2">
      <c r="A13" s="330" t="s">
        <v>160</v>
      </c>
      <c r="B13" s="305" t="s">
        <v>161</v>
      </c>
      <c r="C13" s="331" t="s">
        <v>155</v>
      </c>
      <c r="D13" s="347"/>
      <c r="E13" s="348"/>
      <c r="F13" s="334"/>
      <c r="G13" s="379"/>
      <c r="H13" s="335"/>
      <c r="I13" s="350"/>
      <c r="J13" s="351"/>
      <c r="K13" s="351"/>
      <c r="L13" s="352"/>
      <c r="M13" s="350"/>
      <c r="N13" s="353"/>
      <c r="O13" s="354"/>
      <c r="P13" s="355"/>
      <c r="Q13" s="355"/>
      <c r="R13" s="355"/>
      <c r="S13" s="355"/>
      <c r="T13" s="321"/>
      <c r="U13" s="321"/>
      <c r="V13" s="321"/>
      <c r="W13" s="321"/>
      <c r="X13" s="321"/>
      <c r="Y13" s="321"/>
      <c r="Z13" s="321"/>
      <c r="AA13" s="321"/>
      <c r="AB13" s="321"/>
      <c r="AC13" s="321"/>
      <c r="AD13" s="321"/>
      <c r="AE13" s="321"/>
      <c r="AF13" s="321"/>
      <c r="AG13" s="321"/>
    </row>
    <row r="14" spans="1:33" x14ac:dyDescent="0.2">
      <c r="A14" s="330" t="s">
        <v>162</v>
      </c>
      <c r="B14" s="305" t="s">
        <v>163</v>
      </c>
      <c r="C14" s="331" t="s">
        <v>155</v>
      </c>
      <c r="D14" s="332"/>
      <c r="E14" s="348"/>
      <c r="F14" s="334"/>
      <c r="G14" s="379"/>
      <c r="H14" s="335"/>
      <c r="I14" s="350"/>
      <c r="J14" s="351"/>
      <c r="K14" s="351"/>
      <c r="L14" s="352"/>
      <c r="M14" s="350"/>
      <c r="N14" s="353"/>
      <c r="O14" s="354"/>
      <c r="P14" s="355"/>
      <c r="Q14" s="355"/>
      <c r="R14" s="355"/>
      <c r="S14" s="355"/>
      <c r="T14" s="321"/>
      <c r="U14" s="321"/>
      <c r="V14" s="321"/>
      <c r="W14" s="321"/>
      <c r="X14" s="321"/>
      <c r="Y14" s="321"/>
      <c r="Z14" s="321"/>
      <c r="AA14" s="321"/>
      <c r="AB14" s="321"/>
      <c r="AC14" s="321"/>
      <c r="AD14" s="321"/>
      <c r="AE14" s="321"/>
      <c r="AF14" s="321"/>
      <c r="AG14" s="321"/>
    </row>
    <row r="15" spans="1:33" x14ac:dyDescent="0.2">
      <c r="A15" s="330" t="s">
        <v>215</v>
      </c>
      <c r="B15" s="305" t="s">
        <v>216</v>
      </c>
      <c r="C15" s="331" t="s">
        <v>155</v>
      </c>
      <c r="D15" s="332"/>
      <c r="E15" s="348"/>
      <c r="F15" s="348"/>
      <c r="G15" s="349"/>
      <c r="H15" s="335"/>
      <c r="I15" s="336"/>
      <c r="J15" s="337"/>
      <c r="K15" s="338"/>
      <c r="L15" s="339"/>
      <c r="M15" s="340"/>
      <c r="N15" s="341"/>
      <c r="O15" s="342">
        <f t="shared" ref="O15:O18" si="0">N15*10%</f>
        <v>0</v>
      </c>
      <c r="P15" s="355"/>
      <c r="Q15" s="355"/>
      <c r="R15" s="355"/>
      <c r="S15" s="355"/>
      <c r="T15" s="321"/>
      <c r="U15" s="321"/>
      <c r="V15" s="321"/>
      <c r="W15" s="321"/>
      <c r="X15" s="321"/>
      <c r="Y15" s="321"/>
      <c r="Z15" s="321"/>
      <c r="AA15" s="321"/>
      <c r="AB15" s="321"/>
      <c r="AC15" s="321"/>
      <c r="AD15" s="321"/>
      <c r="AE15" s="321"/>
      <c r="AF15" s="321"/>
      <c r="AG15" s="321"/>
    </row>
    <row r="16" spans="1:33" x14ac:dyDescent="0.2">
      <c r="A16" s="330"/>
      <c r="B16" s="305"/>
      <c r="C16" s="331"/>
      <c r="D16" s="347"/>
      <c r="E16" s="348"/>
      <c r="F16" s="348"/>
      <c r="G16" s="349"/>
      <c r="H16" s="335"/>
      <c r="I16" s="336"/>
      <c r="J16" s="337"/>
      <c r="K16" s="338"/>
      <c r="L16" s="339"/>
      <c r="M16" s="340"/>
      <c r="N16" s="341"/>
      <c r="O16" s="342">
        <f t="shared" si="0"/>
        <v>0</v>
      </c>
      <c r="P16" s="355"/>
      <c r="Q16" s="355"/>
      <c r="R16" s="355"/>
      <c r="S16" s="355"/>
      <c r="T16" s="321"/>
      <c r="U16" s="321"/>
      <c r="V16" s="321"/>
      <c r="W16" s="321"/>
      <c r="X16" s="321"/>
      <c r="Y16" s="321"/>
      <c r="Z16" s="321"/>
      <c r="AA16" s="321"/>
      <c r="AB16" s="321"/>
      <c r="AC16" s="321"/>
      <c r="AD16" s="321"/>
      <c r="AE16" s="321"/>
      <c r="AF16" s="321"/>
      <c r="AG16" s="321"/>
    </row>
    <row r="17" spans="1:33" x14ac:dyDescent="0.2">
      <c r="A17" s="330"/>
      <c r="B17" s="305"/>
      <c r="C17" s="331"/>
      <c r="D17" s="347"/>
      <c r="E17" s="348"/>
      <c r="F17" s="348"/>
      <c r="G17" s="349"/>
      <c r="H17" s="335"/>
      <c r="I17" s="336"/>
      <c r="J17" s="337"/>
      <c r="K17" s="338"/>
      <c r="L17" s="339"/>
      <c r="M17" s="340"/>
      <c r="N17" s="341"/>
      <c r="O17" s="342">
        <f t="shared" si="0"/>
        <v>0</v>
      </c>
      <c r="P17" s="355"/>
      <c r="Q17" s="355"/>
      <c r="R17" s="355"/>
      <c r="S17" s="355"/>
      <c r="T17" s="321"/>
      <c r="U17" s="321"/>
      <c r="V17" s="321"/>
      <c r="W17" s="321"/>
      <c r="X17" s="321"/>
      <c r="Y17" s="321"/>
      <c r="Z17" s="321"/>
      <c r="AA17" s="321"/>
      <c r="AB17" s="321"/>
      <c r="AC17" s="321"/>
      <c r="AD17" s="321"/>
      <c r="AE17" s="321"/>
      <c r="AF17" s="321"/>
      <c r="AG17" s="321"/>
    </row>
    <row r="18" spans="1:33" x14ac:dyDescent="0.2">
      <c r="A18" s="330"/>
      <c r="B18" s="305"/>
      <c r="C18" s="331"/>
      <c r="D18" s="347"/>
      <c r="E18" s="348"/>
      <c r="F18" s="348"/>
      <c r="G18" s="349"/>
      <c r="H18" s="335"/>
      <c r="I18" s="336"/>
      <c r="J18" s="337"/>
      <c r="K18" s="338"/>
      <c r="L18" s="339"/>
      <c r="M18" s="340"/>
      <c r="N18" s="341"/>
      <c r="O18" s="342">
        <f t="shared" si="0"/>
        <v>0</v>
      </c>
      <c r="P18" s="355"/>
      <c r="Q18" s="355"/>
      <c r="R18" s="355"/>
      <c r="S18" s="355"/>
      <c r="T18" s="321"/>
      <c r="U18" s="321"/>
      <c r="V18" s="321"/>
      <c r="W18" s="321"/>
      <c r="X18" s="321"/>
      <c r="Y18" s="321"/>
      <c r="Z18" s="321"/>
      <c r="AA18" s="321"/>
      <c r="AB18" s="321"/>
      <c r="AC18" s="321"/>
      <c r="AD18" s="321"/>
      <c r="AE18" s="321"/>
      <c r="AF18" s="321"/>
      <c r="AG18" s="321"/>
    </row>
    <row r="19" spans="1:33" x14ac:dyDescent="0.2">
      <c r="A19" s="338"/>
      <c r="B19" s="305"/>
      <c r="C19" s="351"/>
      <c r="D19" s="351"/>
      <c r="E19" s="356"/>
      <c r="F19" s="357"/>
      <c r="G19" s="358"/>
      <c r="H19" s="359"/>
      <c r="I19" s="360"/>
      <c r="J19" s="351"/>
      <c r="K19" s="351"/>
      <c r="L19" s="351"/>
      <c r="M19" s="350"/>
      <c r="N19" s="361"/>
      <c r="O19" s="361"/>
      <c r="P19" s="326"/>
      <c r="Q19" s="326"/>
      <c r="R19" s="326"/>
      <c r="S19" s="326"/>
      <c r="T19" s="321"/>
      <c r="U19" s="321"/>
      <c r="V19" s="321"/>
      <c r="W19" s="321"/>
      <c r="X19" s="321"/>
      <c r="Y19" s="321"/>
      <c r="Z19" s="321"/>
      <c r="AA19" s="321"/>
      <c r="AB19" s="321"/>
      <c r="AC19" s="321"/>
      <c r="AD19" s="321"/>
      <c r="AE19" s="321"/>
      <c r="AF19" s="321"/>
      <c r="AG19" s="321"/>
    </row>
    <row r="20" spans="1:33" x14ac:dyDescent="0.2">
      <c r="A20" s="362"/>
      <c r="B20" s="362"/>
      <c r="C20" s="362"/>
      <c r="D20" s="362"/>
      <c r="E20" s="362"/>
      <c r="F20" s="363"/>
      <c r="G20" s="362"/>
      <c r="H20" s="362"/>
      <c r="I20" s="364"/>
      <c r="J20" s="362"/>
      <c r="K20" s="362"/>
      <c r="L20" s="362"/>
      <c r="M20" s="364"/>
      <c r="N20" s="365"/>
      <c r="O20" s="366"/>
      <c r="P20" s="355"/>
      <c r="Q20" s="355"/>
      <c r="R20" s="355"/>
      <c r="S20" s="355"/>
      <c r="T20" s="321"/>
      <c r="U20" s="321"/>
      <c r="V20" s="321"/>
      <c r="W20" s="321"/>
      <c r="X20" s="321"/>
      <c r="Y20" s="321"/>
      <c r="Z20" s="321"/>
      <c r="AA20" s="321"/>
      <c r="AB20" s="321"/>
      <c r="AC20" s="321"/>
      <c r="AD20" s="321"/>
      <c r="AE20" s="321"/>
      <c r="AF20" s="321"/>
      <c r="AG20" s="321"/>
    </row>
    <row r="21" spans="1:33" x14ac:dyDescent="0.2">
      <c r="A21" s="367"/>
      <c r="B21" s="367"/>
      <c r="C21" s="338" t="s">
        <v>164</v>
      </c>
      <c r="D21" s="338"/>
      <c r="E21" s="368"/>
      <c r="F21" s="369"/>
      <c r="G21" s="370"/>
      <c r="H21" s="370">
        <f>SUM(H4:H19)</f>
        <v>0</v>
      </c>
      <c r="I21" s="350"/>
      <c r="J21" s="350"/>
      <c r="K21" s="350"/>
      <c r="L21" s="350"/>
      <c r="M21" s="350">
        <f>SUM(M5:M20)</f>
        <v>0</v>
      </c>
      <c r="N21" s="350">
        <f>SUM(N5:N20)</f>
        <v>0</v>
      </c>
      <c r="O21" s="371">
        <f>SUM(O5:O20)</f>
        <v>0</v>
      </c>
      <c r="P21" s="372"/>
      <c r="Q21" s="372"/>
      <c r="R21" s="372"/>
      <c r="S21" s="372"/>
      <c r="T21" s="321"/>
      <c r="U21" s="321"/>
      <c r="V21" s="321"/>
      <c r="W21" s="321"/>
      <c r="X21" s="321"/>
      <c r="Y21" s="321"/>
      <c r="Z21" s="321"/>
      <c r="AA21" s="321"/>
      <c r="AB21" s="321"/>
      <c r="AC21" s="321"/>
      <c r="AD21" s="321"/>
      <c r="AE21" s="321"/>
      <c r="AF21" s="321"/>
      <c r="AG21" s="321"/>
    </row>
    <row r="22" spans="1:33" x14ac:dyDescent="0.2">
      <c r="A22" s="373"/>
      <c r="B22" s="367"/>
      <c r="C22" s="367"/>
      <c r="D22" s="367"/>
      <c r="E22" s="367"/>
      <c r="F22" s="367"/>
      <c r="G22" s="367"/>
      <c r="H22" s="367"/>
      <c r="I22" s="374"/>
      <c r="J22" s="367"/>
      <c r="K22" s="367"/>
      <c r="L22" s="367"/>
      <c r="M22" s="374"/>
      <c r="N22" s="326"/>
      <c r="O22" s="326"/>
      <c r="P22" s="326"/>
      <c r="Q22" s="326"/>
      <c r="R22" s="326"/>
      <c r="S22" s="326"/>
      <c r="T22" s="321"/>
      <c r="U22" s="321"/>
      <c r="V22" s="321"/>
      <c r="W22" s="321"/>
      <c r="X22" s="321"/>
      <c r="Y22" s="321"/>
      <c r="Z22" s="321"/>
      <c r="AA22" s="321"/>
      <c r="AB22" s="321"/>
      <c r="AC22" s="321"/>
      <c r="AD22" s="321"/>
      <c r="AE22" s="321"/>
      <c r="AF22" s="321"/>
      <c r="AG22" s="321"/>
    </row>
    <row r="23" spans="1:33" x14ac:dyDescent="0.2">
      <c r="A23" s="373"/>
      <c r="B23" s="367"/>
      <c r="C23" s="367"/>
      <c r="D23" s="367"/>
      <c r="E23" s="367"/>
      <c r="F23" s="367"/>
      <c r="G23" s="367"/>
      <c r="H23" s="367"/>
      <c r="I23" s="374"/>
      <c r="J23" s="367"/>
      <c r="K23" s="367"/>
      <c r="L23" s="367"/>
      <c r="M23" s="374"/>
      <c r="N23" s="326"/>
      <c r="O23" s="326"/>
      <c r="P23" s="326"/>
      <c r="Q23" s="326"/>
      <c r="R23" s="326"/>
      <c r="S23" s="326"/>
      <c r="T23" s="321"/>
      <c r="U23" s="321"/>
      <c r="V23" s="321"/>
      <c r="W23" s="321"/>
      <c r="X23" s="321"/>
      <c r="Y23" s="321"/>
      <c r="Z23" s="321"/>
      <c r="AA23" s="321"/>
      <c r="AB23" s="321"/>
      <c r="AC23" s="321"/>
      <c r="AD23" s="321"/>
      <c r="AE23" s="321"/>
      <c r="AF23" s="321"/>
      <c r="AG23" s="321"/>
    </row>
    <row r="24" spans="1:33" x14ac:dyDescent="0.2">
      <c r="A24" s="367"/>
      <c r="B24" s="367"/>
      <c r="C24" s="367"/>
      <c r="D24" s="367"/>
      <c r="E24" s="367"/>
      <c r="F24" s="367"/>
      <c r="G24" s="367"/>
      <c r="H24" s="367"/>
      <c r="I24" s="374"/>
      <c r="J24" s="367"/>
      <c r="K24" s="367"/>
      <c r="L24" s="367"/>
      <c r="M24" s="374"/>
      <c r="N24" s="355"/>
      <c r="O24" s="355"/>
      <c r="P24" s="355"/>
      <c r="Q24" s="355"/>
      <c r="R24" s="355"/>
      <c r="S24" s="355"/>
      <c r="T24" s="321"/>
      <c r="U24" s="321"/>
      <c r="V24" s="321"/>
      <c r="W24" s="321"/>
      <c r="X24" s="321"/>
      <c r="Y24" s="321"/>
      <c r="Z24" s="321"/>
      <c r="AA24" s="321"/>
      <c r="AB24" s="321"/>
      <c r="AC24" s="321"/>
      <c r="AD24" s="321"/>
      <c r="AE24" s="321"/>
      <c r="AF24" s="321"/>
      <c r="AG24" s="321"/>
    </row>
    <row r="25" spans="1:33" x14ac:dyDescent="0.2">
      <c r="A25" s="367"/>
      <c r="B25" s="367"/>
      <c r="C25" s="367"/>
      <c r="D25" s="367"/>
      <c r="E25" s="367"/>
      <c r="F25" s="367"/>
      <c r="G25" s="367"/>
      <c r="H25" s="367"/>
      <c r="I25" s="374"/>
      <c r="J25" s="367"/>
      <c r="K25" s="367"/>
      <c r="L25" s="367"/>
      <c r="M25" s="374"/>
      <c r="N25" s="355"/>
      <c r="O25" s="355"/>
      <c r="P25" s="355"/>
      <c r="Q25" s="355"/>
      <c r="R25" s="355"/>
      <c r="S25" s="355"/>
      <c r="T25" s="321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</row>
    <row r="26" spans="1:33" x14ac:dyDescent="0.2">
      <c r="A26" s="367"/>
      <c r="B26" s="367"/>
      <c r="C26" s="367"/>
      <c r="D26" s="367"/>
      <c r="E26" s="367"/>
      <c r="F26" s="367"/>
      <c r="G26" s="367"/>
      <c r="H26" s="367"/>
      <c r="I26" s="374"/>
      <c r="J26" s="367"/>
      <c r="K26" s="367"/>
      <c r="L26" s="367"/>
      <c r="M26" s="374"/>
      <c r="N26" s="372"/>
      <c r="O26" s="372"/>
      <c r="P26" s="372"/>
      <c r="Q26" s="372"/>
      <c r="R26" s="372"/>
      <c r="S26" s="372"/>
      <c r="T26" s="321"/>
      <c r="U26" s="321"/>
      <c r="V26" s="321"/>
      <c r="W26" s="321"/>
      <c r="X26" s="321"/>
      <c r="Y26" s="321"/>
      <c r="Z26" s="321"/>
      <c r="AA26" s="321"/>
      <c r="AB26" s="321"/>
      <c r="AC26" s="321"/>
      <c r="AD26" s="321"/>
      <c r="AE26" s="321"/>
      <c r="AF26" s="321"/>
      <c r="AG26" s="321"/>
    </row>
    <row r="27" spans="1:33" x14ac:dyDescent="0.2">
      <c r="A27" s="373"/>
      <c r="B27" s="367"/>
      <c r="C27" s="367"/>
      <c r="D27" s="367"/>
      <c r="E27" s="367"/>
      <c r="F27" s="367"/>
      <c r="G27" s="367"/>
      <c r="H27" s="367"/>
      <c r="I27" s="374"/>
      <c r="J27" s="367"/>
      <c r="K27" s="367"/>
      <c r="L27" s="367"/>
      <c r="M27" s="374"/>
      <c r="N27" s="326"/>
      <c r="O27" s="326"/>
      <c r="P27" s="326"/>
      <c r="Q27" s="326"/>
      <c r="R27" s="326"/>
      <c r="S27" s="326"/>
      <c r="T27" s="321"/>
      <c r="U27" s="321"/>
      <c r="V27" s="321"/>
      <c r="W27" s="321"/>
      <c r="X27" s="321"/>
      <c r="Y27" s="321"/>
      <c r="Z27" s="321"/>
      <c r="AA27" s="321"/>
      <c r="AB27" s="321"/>
      <c r="AC27" s="321"/>
      <c r="AD27" s="321"/>
      <c r="AE27" s="321"/>
      <c r="AF27" s="321"/>
      <c r="AG27" s="321"/>
    </row>
    <row r="28" spans="1:33" x14ac:dyDescent="0.2">
      <c r="A28" s="373"/>
      <c r="B28" s="367"/>
      <c r="C28" s="367"/>
      <c r="D28" s="367"/>
      <c r="E28" s="367"/>
      <c r="F28" s="367"/>
      <c r="G28" s="367"/>
      <c r="H28" s="367"/>
      <c r="I28" s="374"/>
      <c r="J28" s="367"/>
      <c r="K28" s="367"/>
      <c r="L28" s="367"/>
      <c r="M28" s="374"/>
      <c r="N28" s="326"/>
      <c r="O28" s="326"/>
      <c r="P28" s="326"/>
      <c r="Q28" s="326"/>
      <c r="R28" s="326"/>
      <c r="S28" s="326"/>
      <c r="T28" s="321"/>
      <c r="U28" s="321"/>
      <c r="V28" s="321"/>
      <c r="W28" s="321"/>
      <c r="X28" s="321"/>
      <c r="Y28" s="321"/>
      <c r="Z28" s="321"/>
      <c r="AA28" s="321"/>
      <c r="AB28" s="321"/>
      <c r="AC28" s="321"/>
      <c r="AD28" s="321"/>
      <c r="AE28" s="321"/>
      <c r="AF28" s="321"/>
      <c r="AG28" s="321"/>
    </row>
    <row r="29" spans="1:33" x14ac:dyDescent="0.2">
      <c r="A29" s="367"/>
      <c r="B29" s="367"/>
      <c r="C29" s="367"/>
      <c r="D29" s="367"/>
      <c r="E29" s="367"/>
      <c r="F29" s="367"/>
      <c r="G29" s="367"/>
      <c r="H29" s="367"/>
      <c r="I29" s="374"/>
      <c r="J29" s="367"/>
      <c r="K29" s="367"/>
      <c r="L29" s="367"/>
      <c r="M29" s="374"/>
      <c r="N29" s="355"/>
      <c r="O29" s="355"/>
      <c r="P29" s="355"/>
      <c r="Q29" s="355"/>
      <c r="R29" s="355"/>
      <c r="S29" s="355"/>
      <c r="T29" s="321"/>
      <c r="U29" s="321"/>
      <c r="V29" s="321"/>
      <c r="W29" s="321"/>
      <c r="X29" s="321"/>
      <c r="Y29" s="321"/>
      <c r="Z29" s="321"/>
      <c r="AA29" s="321"/>
      <c r="AB29" s="321"/>
      <c r="AC29" s="321"/>
      <c r="AD29" s="321"/>
      <c r="AE29" s="321"/>
      <c r="AF29" s="321"/>
      <c r="AG29" s="321"/>
    </row>
    <row r="30" spans="1:33" x14ac:dyDescent="0.2">
      <c r="A30" s="367"/>
      <c r="B30" s="367"/>
      <c r="C30" s="367"/>
      <c r="D30" s="367"/>
      <c r="E30" s="367"/>
      <c r="F30" s="367"/>
      <c r="G30" s="367"/>
      <c r="H30" s="367"/>
      <c r="I30" s="374"/>
      <c r="J30" s="367"/>
      <c r="K30" s="367"/>
      <c r="L30" s="367"/>
      <c r="M30" s="374"/>
      <c r="N30" s="355"/>
      <c r="O30" s="355"/>
      <c r="P30" s="355"/>
      <c r="Q30" s="355"/>
      <c r="R30" s="355"/>
      <c r="S30" s="355"/>
      <c r="T30" s="321"/>
      <c r="U30" s="321"/>
      <c r="V30" s="321"/>
      <c r="W30" s="321"/>
      <c r="X30" s="321"/>
      <c r="Y30" s="321"/>
      <c r="Z30" s="321"/>
      <c r="AA30" s="321"/>
      <c r="AB30" s="321"/>
      <c r="AC30" s="321"/>
      <c r="AD30" s="321"/>
      <c r="AE30" s="321"/>
      <c r="AF30" s="321"/>
      <c r="AG30" s="321"/>
    </row>
    <row r="31" spans="1:33" x14ac:dyDescent="0.2">
      <c r="A31" s="367"/>
      <c r="B31" s="367"/>
      <c r="C31" s="367"/>
      <c r="D31" s="367"/>
      <c r="E31" s="367"/>
      <c r="F31" s="367"/>
      <c r="G31" s="367"/>
      <c r="H31" s="367"/>
      <c r="I31" s="374"/>
      <c r="J31" s="367"/>
      <c r="K31" s="367"/>
      <c r="L31" s="367"/>
      <c r="M31" s="374"/>
      <c r="N31" s="372"/>
      <c r="O31" s="372"/>
      <c r="P31" s="372"/>
      <c r="Q31" s="372"/>
      <c r="R31" s="372"/>
      <c r="S31" s="372"/>
      <c r="T31" s="321"/>
      <c r="U31" s="321"/>
      <c r="V31" s="321"/>
      <c r="W31" s="321"/>
      <c r="X31" s="321"/>
      <c r="Y31" s="321"/>
      <c r="Z31" s="321"/>
      <c r="AA31" s="321"/>
      <c r="AB31" s="321"/>
      <c r="AC31" s="321"/>
      <c r="AD31" s="321"/>
      <c r="AE31" s="321"/>
      <c r="AF31" s="321"/>
      <c r="AG31" s="321"/>
    </row>
    <row r="32" spans="1:33" x14ac:dyDescent="0.2">
      <c r="A32" s="373"/>
      <c r="B32" s="367"/>
      <c r="C32" s="367"/>
      <c r="D32" s="367"/>
      <c r="E32" s="367"/>
      <c r="F32" s="367"/>
      <c r="G32" s="367"/>
      <c r="H32" s="367"/>
      <c r="I32" s="374"/>
      <c r="J32" s="367"/>
      <c r="K32" s="367"/>
      <c r="L32" s="367"/>
      <c r="M32" s="374"/>
      <c r="N32" s="326"/>
      <c r="O32" s="326"/>
      <c r="P32" s="326"/>
      <c r="Q32" s="326"/>
      <c r="R32" s="326"/>
      <c r="S32" s="326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21"/>
    </row>
    <row r="33" spans="1:33" x14ac:dyDescent="0.2">
      <c r="A33" s="326"/>
      <c r="B33" s="375"/>
      <c r="C33" s="375"/>
      <c r="D33" s="375"/>
      <c r="E33" s="375"/>
      <c r="F33" s="375"/>
      <c r="G33" s="375"/>
      <c r="H33" s="375"/>
      <c r="I33" s="375"/>
      <c r="J33" s="375"/>
      <c r="K33" s="375"/>
      <c r="L33" s="375"/>
      <c r="M33" s="375"/>
      <c r="N33" s="326"/>
      <c r="O33" s="326"/>
      <c r="P33" s="326"/>
      <c r="Q33" s="326"/>
      <c r="R33" s="326"/>
      <c r="S33" s="326"/>
      <c r="T33" s="321"/>
      <c r="U33" s="321"/>
      <c r="V33" s="321"/>
      <c r="W33" s="321"/>
      <c r="X33" s="321"/>
      <c r="Y33" s="321"/>
      <c r="Z33" s="321"/>
      <c r="AA33" s="321"/>
      <c r="AB33" s="321"/>
      <c r="AC33" s="321"/>
      <c r="AD33" s="321"/>
      <c r="AE33" s="321"/>
      <c r="AF33" s="321"/>
      <c r="AG33" s="321"/>
    </row>
    <row r="34" spans="1:33" x14ac:dyDescent="0.2">
      <c r="A34" s="355"/>
      <c r="B34" s="355"/>
      <c r="C34" s="355"/>
      <c r="D34" s="355"/>
      <c r="E34" s="355"/>
      <c r="F34" s="355"/>
      <c r="G34" s="355"/>
      <c r="H34" s="355"/>
      <c r="I34" s="355"/>
      <c r="J34" s="355"/>
      <c r="K34" s="355"/>
      <c r="L34" s="355"/>
      <c r="M34" s="355"/>
      <c r="N34" s="355"/>
      <c r="O34" s="355"/>
      <c r="P34" s="355"/>
      <c r="Q34" s="355"/>
      <c r="R34" s="355"/>
      <c r="S34" s="355"/>
      <c r="T34" s="321"/>
      <c r="U34" s="321"/>
      <c r="V34" s="321"/>
      <c r="W34" s="321"/>
      <c r="X34" s="321"/>
      <c r="Y34" s="321"/>
      <c r="Z34" s="321"/>
      <c r="AA34" s="321"/>
      <c r="AB34" s="321"/>
      <c r="AC34" s="321"/>
      <c r="AD34" s="321"/>
      <c r="AE34" s="321"/>
      <c r="AF34" s="321"/>
      <c r="AG34" s="321"/>
    </row>
    <row r="35" spans="1:33" x14ac:dyDescent="0.2">
      <c r="A35" s="355"/>
      <c r="B35" s="355"/>
      <c r="C35" s="355"/>
      <c r="D35" s="355"/>
      <c r="E35" s="355"/>
      <c r="F35" s="355"/>
      <c r="G35" s="355"/>
      <c r="H35" s="355"/>
      <c r="I35" s="355"/>
      <c r="J35" s="355"/>
      <c r="K35" s="355"/>
      <c r="L35" s="355"/>
      <c r="M35" s="355"/>
      <c r="N35" s="355"/>
      <c r="O35" s="355"/>
      <c r="P35" s="355"/>
      <c r="Q35" s="355"/>
      <c r="R35" s="355"/>
      <c r="S35" s="355"/>
      <c r="T35" s="321"/>
      <c r="U35" s="321"/>
      <c r="V35" s="321"/>
      <c r="W35" s="321"/>
      <c r="X35" s="321"/>
      <c r="Y35" s="321"/>
      <c r="Z35" s="321"/>
      <c r="AA35" s="321"/>
      <c r="AB35" s="321"/>
      <c r="AC35" s="321"/>
      <c r="AD35" s="321"/>
      <c r="AE35" s="321"/>
      <c r="AF35" s="321"/>
      <c r="AG35" s="321"/>
    </row>
    <row r="36" spans="1:33" x14ac:dyDescent="0.2">
      <c r="A36" s="372"/>
      <c r="B36" s="372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2"/>
      <c r="R36" s="372"/>
      <c r="S36" s="372"/>
      <c r="T36" s="321"/>
      <c r="U36" s="321"/>
      <c r="V36" s="321"/>
      <c r="W36" s="321"/>
      <c r="X36" s="321"/>
      <c r="Y36" s="321"/>
      <c r="Z36" s="321"/>
      <c r="AA36" s="321"/>
      <c r="AB36" s="321"/>
      <c r="AC36" s="321"/>
      <c r="AD36" s="321"/>
      <c r="AE36" s="321"/>
      <c r="AF36" s="321"/>
      <c r="AG36" s="321"/>
    </row>
    <row r="37" spans="1:33" x14ac:dyDescent="0.2">
      <c r="A37" s="326"/>
      <c r="B37" s="375"/>
      <c r="C37" s="375"/>
      <c r="D37" s="375"/>
      <c r="E37" s="375"/>
      <c r="F37" s="375"/>
      <c r="G37" s="375"/>
      <c r="H37" s="375"/>
      <c r="I37" s="375"/>
      <c r="J37" s="375"/>
      <c r="K37" s="375"/>
      <c r="L37" s="375"/>
      <c r="M37" s="375"/>
      <c r="N37" s="326"/>
      <c r="O37" s="326"/>
      <c r="P37" s="326"/>
      <c r="Q37" s="326"/>
      <c r="R37" s="326"/>
      <c r="S37" s="326"/>
      <c r="T37" s="321"/>
      <c r="U37" s="321"/>
      <c r="V37" s="321"/>
      <c r="W37" s="321"/>
      <c r="X37" s="321"/>
      <c r="Y37" s="321"/>
      <c r="Z37" s="321"/>
      <c r="AA37" s="321"/>
      <c r="AB37" s="321"/>
      <c r="AC37" s="321"/>
      <c r="AD37" s="321"/>
      <c r="AE37" s="321"/>
      <c r="AF37" s="321"/>
      <c r="AG37" s="321"/>
    </row>
    <row r="38" spans="1:33" x14ac:dyDescent="0.2">
      <c r="A38" s="326"/>
      <c r="B38" s="375"/>
      <c r="C38" s="375"/>
      <c r="D38" s="375"/>
      <c r="E38" s="375"/>
      <c r="F38" s="375"/>
      <c r="G38" s="375"/>
      <c r="H38" s="375"/>
      <c r="I38" s="375"/>
      <c r="J38" s="375"/>
      <c r="K38" s="375"/>
      <c r="L38" s="375"/>
      <c r="M38" s="375"/>
      <c r="N38" s="326"/>
      <c r="O38" s="326"/>
      <c r="P38" s="326"/>
      <c r="Q38" s="326"/>
      <c r="R38" s="326"/>
      <c r="S38" s="326"/>
      <c r="T38" s="321"/>
      <c r="U38" s="321"/>
      <c r="V38" s="321"/>
      <c r="W38" s="321"/>
      <c r="X38" s="321"/>
      <c r="Y38" s="321"/>
      <c r="Z38" s="321"/>
      <c r="AA38" s="321"/>
      <c r="AB38" s="321"/>
      <c r="AC38" s="321"/>
      <c r="AD38" s="321"/>
      <c r="AE38" s="321"/>
      <c r="AF38" s="321"/>
      <c r="AG38" s="321"/>
    </row>
    <row r="39" spans="1:33" x14ac:dyDescent="0.2">
      <c r="A39" s="355"/>
      <c r="B39" s="355"/>
      <c r="C39" s="355"/>
      <c r="D39" s="355"/>
      <c r="E39" s="355"/>
      <c r="F39" s="355"/>
      <c r="G39" s="355"/>
      <c r="H39" s="355"/>
      <c r="I39" s="355"/>
      <c r="J39" s="355"/>
      <c r="K39" s="355"/>
      <c r="L39" s="355"/>
      <c r="M39" s="355"/>
      <c r="N39" s="355"/>
      <c r="O39" s="355"/>
      <c r="P39" s="355"/>
      <c r="Q39" s="355"/>
      <c r="R39" s="355"/>
      <c r="S39" s="355"/>
      <c r="T39" s="321"/>
      <c r="U39" s="321"/>
      <c r="V39" s="321"/>
      <c r="W39" s="321"/>
      <c r="X39" s="321"/>
      <c r="Y39" s="321"/>
      <c r="Z39" s="321"/>
      <c r="AA39" s="321"/>
      <c r="AB39" s="321"/>
      <c r="AC39" s="321"/>
      <c r="AD39" s="321"/>
      <c r="AE39" s="321"/>
      <c r="AF39" s="321"/>
      <c r="AG39" s="321"/>
    </row>
    <row r="40" spans="1:33" x14ac:dyDescent="0.2">
      <c r="A40" s="355"/>
      <c r="B40" s="355"/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21"/>
      <c r="U40" s="321"/>
      <c r="V40" s="321"/>
      <c r="W40" s="321"/>
      <c r="X40" s="321"/>
      <c r="Y40" s="321"/>
      <c r="Z40" s="321"/>
      <c r="AA40" s="321"/>
      <c r="AB40" s="321"/>
      <c r="AC40" s="321"/>
      <c r="AD40" s="321"/>
      <c r="AE40" s="321"/>
      <c r="AF40" s="321"/>
      <c r="AG40" s="321"/>
    </row>
    <row r="41" spans="1:33" x14ac:dyDescent="0.2">
      <c r="A41" s="355"/>
      <c r="B41" s="355"/>
      <c r="C41" s="355"/>
      <c r="D41" s="355"/>
      <c r="E41" s="355"/>
      <c r="F41" s="355"/>
      <c r="G41" s="355"/>
      <c r="H41" s="355"/>
      <c r="I41" s="355"/>
      <c r="J41" s="355"/>
      <c r="K41" s="355"/>
      <c r="L41" s="355"/>
      <c r="M41" s="355"/>
      <c r="N41" s="355"/>
      <c r="O41" s="355"/>
      <c r="P41" s="355"/>
      <c r="Q41" s="355"/>
      <c r="R41" s="355"/>
      <c r="S41" s="355"/>
      <c r="T41" s="321"/>
      <c r="U41" s="321"/>
      <c r="V41" s="321"/>
      <c r="W41" s="321"/>
      <c r="X41" s="321"/>
      <c r="Y41" s="321"/>
      <c r="Z41" s="321"/>
      <c r="AA41" s="321"/>
      <c r="AB41" s="321"/>
      <c r="AC41" s="321"/>
      <c r="AD41" s="321"/>
      <c r="AE41" s="321"/>
      <c r="AF41" s="321"/>
      <c r="AG41" s="321"/>
    </row>
    <row r="42" spans="1:33" x14ac:dyDescent="0.2">
      <c r="A42" s="355"/>
      <c r="B42" s="355"/>
      <c r="C42" s="355"/>
      <c r="D42" s="355"/>
      <c r="E42" s="355"/>
      <c r="F42" s="355"/>
      <c r="G42" s="355"/>
      <c r="H42" s="355"/>
      <c r="I42" s="355"/>
      <c r="J42" s="355"/>
      <c r="K42" s="355"/>
      <c r="L42" s="355"/>
      <c r="M42" s="355"/>
      <c r="N42" s="355"/>
      <c r="O42" s="355"/>
      <c r="P42" s="355"/>
      <c r="Q42" s="355"/>
      <c r="R42" s="355"/>
      <c r="S42" s="355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</row>
    <row r="43" spans="1:33" x14ac:dyDescent="0.2">
      <c r="A43" s="372"/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</row>
    <row r="44" spans="1:33" x14ac:dyDescent="0.2">
      <c r="A44" s="326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26"/>
      <c r="O44" s="326"/>
      <c r="P44" s="326"/>
      <c r="Q44" s="326"/>
      <c r="R44" s="326"/>
      <c r="S44" s="326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</row>
    <row r="45" spans="1:33" x14ac:dyDescent="0.2">
      <c r="A45" s="326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26"/>
      <c r="O45" s="326"/>
      <c r="P45" s="326"/>
      <c r="Q45" s="326"/>
      <c r="R45" s="326"/>
      <c r="S45" s="326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</row>
    <row r="46" spans="1:33" x14ac:dyDescent="0.2">
      <c r="A46" s="355"/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</row>
    <row r="47" spans="1:33" x14ac:dyDescent="0.2">
      <c r="A47" s="355"/>
      <c r="B47" s="355"/>
      <c r="C47" s="355"/>
      <c r="D47" s="355"/>
      <c r="E47" s="355"/>
      <c r="F47" s="355"/>
      <c r="G47" s="355"/>
      <c r="H47" s="355"/>
      <c r="I47" s="355"/>
      <c r="J47" s="355"/>
      <c r="K47" s="355"/>
      <c r="L47" s="355"/>
      <c r="M47" s="355"/>
      <c r="N47" s="355"/>
      <c r="O47" s="355"/>
      <c r="P47" s="355"/>
      <c r="Q47" s="355"/>
      <c r="R47" s="355"/>
      <c r="S47" s="355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</row>
    <row r="48" spans="1:33" x14ac:dyDescent="0.2">
      <c r="A48" s="372"/>
      <c r="B48" s="372"/>
      <c r="C48" s="372"/>
      <c r="D48" s="372"/>
      <c r="E48" s="372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372"/>
      <c r="Q48" s="372"/>
      <c r="R48" s="372"/>
      <c r="S48" s="372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</row>
    <row r="49" spans="1:33" x14ac:dyDescent="0.2">
      <c r="A49" s="326"/>
      <c r="B49" s="375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26"/>
      <c r="O49" s="326"/>
      <c r="P49" s="326"/>
      <c r="Q49" s="326"/>
      <c r="R49" s="326"/>
      <c r="S49" s="326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</row>
    <row r="50" spans="1:33" x14ac:dyDescent="0.2">
      <c r="A50" s="326"/>
      <c r="B50" s="375"/>
      <c r="C50" s="375"/>
      <c r="D50" s="375"/>
      <c r="E50" s="375"/>
      <c r="F50" s="375"/>
      <c r="G50" s="375"/>
      <c r="H50" s="375"/>
      <c r="I50" s="375"/>
      <c r="J50" s="375"/>
      <c r="K50" s="375"/>
      <c r="L50" s="375"/>
      <c r="M50" s="375"/>
      <c r="N50" s="326"/>
      <c r="O50" s="326"/>
      <c r="P50" s="326"/>
      <c r="Q50" s="326"/>
      <c r="R50" s="326"/>
      <c r="S50" s="326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</row>
    <row r="51" spans="1:33" x14ac:dyDescent="0.2">
      <c r="A51" s="355"/>
      <c r="B51" s="355"/>
      <c r="C51" s="355"/>
      <c r="D51" s="355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5"/>
      <c r="P51" s="355"/>
      <c r="Q51" s="355"/>
      <c r="R51" s="355"/>
      <c r="S51" s="355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</row>
    <row r="52" spans="1:33" x14ac:dyDescent="0.2">
      <c r="A52" s="355"/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</row>
    <row r="53" spans="1:33" x14ac:dyDescent="0.2">
      <c r="A53" s="355"/>
      <c r="B53" s="355"/>
      <c r="C53" s="355"/>
      <c r="D53" s="355"/>
      <c r="E53" s="355"/>
      <c r="F53" s="355"/>
      <c r="G53" s="355"/>
      <c r="H53" s="355"/>
      <c r="I53" s="355"/>
      <c r="J53" s="355"/>
      <c r="K53" s="355"/>
      <c r="L53" s="355"/>
      <c r="M53" s="355"/>
      <c r="N53" s="355"/>
      <c r="O53" s="355"/>
      <c r="P53" s="355"/>
      <c r="Q53" s="355"/>
      <c r="R53" s="355"/>
      <c r="S53" s="355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</row>
    <row r="54" spans="1:33" x14ac:dyDescent="0.2">
      <c r="A54" s="372"/>
      <c r="B54" s="372"/>
      <c r="C54" s="372"/>
      <c r="D54" s="372"/>
      <c r="E54" s="372"/>
      <c r="F54" s="372"/>
      <c r="G54" s="372"/>
      <c r="H54" s="372"/>
      <c r="I54" s="372"/>
      <c r="J54" s="372"/>
      <c r="K54" s="372"/>
      <c r="L54" s="372"/>
      <c r="M54" s="372"/>
      <c r="N54" s="372"/>
      <c r="O54" s="372"/>
      <c r="P54" s="372"/>
      <c r="Q54" s="372"/>
      <c r="R54" s="372"/>
      <c r="S54" s="372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</row>
    <row r="55" spans="1:33" x14ac:dyDescent="0.2">
      <c r="A55" s="326"/>
      <c r="B55" s="375"/>
      <c r="C55" s="375"/>
      <c r="D55" s="375"/>
      <c r="E55" s="375"/>
      <c r="F55" s="375"/>
      <c r="G55" s="375"/>
      <c r="H55" s="375"/>
      <c r="I55" s="375"/>
      <c r="J55" s="375"/>
      <c r="K55" s="375"/>
      <c r="L55" s="375"/>
      <c r="M55" s="375"/>
      <c r="N55" s="326"/>
      <c r="O55" s="326"/>
      <c r="P55" s="326"/>
      <c r="Q55" s="326"/>
      <c r="R55" s="326"/>
      <c r="S55" s="326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</row>
    <row r="56" spans="1:33" x14ac:dyDescent="0.2">
      <c r="A56" s="326"/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M56" s="375"/>
      <c r="N56" s="326"/>
      <c r="O56" s="326"/>
      <c r="P56" s="326"/>
      <c r="Q56" s="326"/>
      <c r="R56" s="326"/>
      <c r="S56" s="326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</row>
    <row r="57" spans="1:33" x14ac:dyDescent="0.2">
      <c r="A57" s="355"/>
      <c r="B57" s="355"/>
      <c r="C57" s="355"/>
      <c r="D57" s="355"/>
      <c r="E57" s="355"/>
      <c r="F57" s="355"/>
      <c r="G57" s="355"/>
      <c r="H57" s="355"/>
      <c r="I57" s="355"/>
      <c r="J57" s="355"/>
      <c r="K57" s="355"/>
      <c r="L57" s="355"/>
      <c r="M57" s="355"/>
      <c r="N57" s="355"/>
      <c r="O57" s="355"/>
      <c r="P57" s="355"/>
      <c r="Q57" s="355"/>
      <c r="R57" s="355"/>
      <c r="S57" s="355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</row>
    <row r="58" spans="1:33" x14ac:dyDescent="0.2">
      <c r="A58" s="355"/>
      <c r="B58" s="355"/>
      <c r="C58" s="355"/>
      <c r="D58" s="355"/>
      <c r="E58" s="355"/>
      <c r="F58" s="355"/>
      <c r="G58" s="355"/>
      <c r="H58" s="355"/>
      <c r="I58" s="355"/>
      <c r="J58" s="355"/>
      <c r="K58" s="355"/>
      <c r="L58" s="355"/>
      <c r="M58" s="355"/>
      <c r="N58" s="355"/>
      <c r="O58" s="355"/>
      <c r="P58" s="355"/>
      <c r="Q58" s="355"/>
      <c r="R58" s="355"/>
      <c r="S58" s="355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</row>
    <row r="59" spans="1:33" x14ac:dyDescent="0.2">
      <c r="A59" s="355"/>
      <c r="B59" s="355"/>
      <c r="C59" s="355"/>
      <c r="D59" s="355"/>
      <c r="E59" s="355"/>
      <c r="F59" s="355"/>
      <c r="G59" s="355"/>
      <c r="H59" s="355"/>
      <c r="I59" s="355"/>
      <c r="J59" s="355"/>
      <c r="K59" s="355"/>
      <c r="L59" s="355"/>
      <c r="M59" s="355"/>
      <c r="N59" s="355"/>
      <c r="O59" s="355"/>
      <c r="P59" s="355"/>
      <c r="Q59" s="355"/>
      <c r="R59" s="355"/>
      <c r="S59" s="355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</row>
    <row r="60" spans="1:33" x14ac:dyDescent="0.2">
      <c r="A60" s="372"/>
      <c r="B60" s="372"/>
      <c r="C60" s="372"/>
      <c r="D60" s="372"/>
      <c r="E60" s="372"/>
      <c r="F60" s="372"/>
      <c r="G60" s="372"/>
      <c r="H60" s="372"/>
      <c r="I60" s="372"/>
      <c r="J60" s="372"/>
      <c r="K60" s="372"/>
      <c r="L60" s="372"/>
      <c r="M60" s="372"/>
      <c r="N60" s="372"/>
      <c r="O60" s="372"/>
      <c r="P60" s="372"/>
      <c r="Q60" s="372"/>
      <c r="R60" s="372"/>
      <c r="S60" s="372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</row>
    <row r="61" spans="1:33" x14ac:dyDescent="0.2">
      <c r="A61" s="326"/>
      <c r="B61" s="375"/>
      <c r="C61" s="375"/>
      <c r="D61" s="375"/>
      <c r="E61" s="375"/>
      <c r="F61" s="375"/>
      <c r="G61" s="375"/>
      <c r="H61" s="375"/>
      <c r="I61" s="375"/>
      <c r="J61" s="375"/>
      <c r="K61" s="375"/>
      <c r="L61" s="375"/>
      <c r="M61" s="375"/>
      <c r="N61" s="326"/>
      <c r="O61" s="326"/>
      <c r="P61" s="326"/>
      <c r="Q61" s="326"/>
      <c r="R61" s="326"/>
      <c r="S61" s="326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</row>
    <row r="62" spans="1:33" x14ac:dyDescent="0.2">
      <c r="A62" s="326"/>
      <c r="B62" s="375"/>
      <c r="C62" s="375"/>
      <c r="D62" s="375"/>
      <c r="E62" s="375"/>
      <c r="F62" s="375"/>
      <c r="G62" s="375"/>
      <c r="H62" s="375"/>
      <c r="I62" s="375"/>
      <c r="J62" s="375"/>
      <c r="K62" s="375"/>
      <c r="L62" s="375"/>
      <c r="M62" s="375"/>
      <c r="N62" s="326"/>
      <c r="O62" s="326"/>
      <c r="P62" s="326"/>
      <c r="Q62" s="326"/>
      <c r="R62" s="326"/>
      <c r="S62" s="326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</row>
    <row r="63" spans="1:33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</row>
    <row r="64" spans="1:33" x14ac:dyDescent="0.2">
      <c r="A64" s="355"/>
      <c r="B64" s="355"/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</row>
    <row r="65" spans="1:33" x14ac:dyDescent="0.2">
      <c r="A65" s="355"/>
      <c r="B65" s="355"/>
      <c r="C65" s="355"/>
      <c r="D65" s="355"/>
      <c r="E65" s="355"/>
      <c r="F65" s="355"/>
      <c r="G65" s="355"/>
      <c r="H65" s="355"/>
      <c r="I65" s="355"/>
      <c r="J65" s="355"/>
      <c r="K65" s="355"/>
      <c r="L65" s="355"/>
      <c r="M65" s="355"/>
      <c r="N65" s="355"/>
      <c r="O65" s="355"/>
      <c r="P65" s="355"/>
      <c r="Q65" s="355"/>
      <c r="R65" s="355"/>
      <c r="S65" s="355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</row>
    <row r="66" spans="1:33" x14ac:dyDescent="0.2">
      <c r="A66" s="372"/>
      <c r="B66" s="372"/>
      <c r="C66" s="372"/>
      <c r="D66" s="372"/>
      <c r="E66" s="372"/>
      <c r="F66" s="372"/>
      <c r="G66" s="372"/>
      <c r="H66" s="372"/>
      <c r="I66" s="372"/>
      <c r="J66" s="372"/>
      <c r="K66" s="372"/>
      <c r="L66" s="372"/>
      <c r="M66" s="372"/>
      <c r="N66" s="372"/>
      <c r="O66" s="372"/>
      <c r="P66" s="372"/>
      <c r="Q66" s="372"/>
      <c r="R66" s="372"/>
      <c r="S66" s="372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</row>
    <row r="67" spans="1:33" x14ac:dyDescent="0.2">
      <c r="A67" s="326"/>
      <c r="B67" s="375"/>
      <c r="C67" s="375"/>
      <c r="D67" s="375"/>
      <c r="E67" s="375"/>
      <c r="F67" s="375"/>
      <c r="G67" s="375"/>
      <c r="H67" s="375"/>
      <c r="I67" s="375"/>
      <c r="J67" s="375"/>
      <c r="K67" s="375"/>
      <c r="L67" s="375"/>
      <c r="M67" s="375"/>
      <c r="N67" s="326"/>
      <c r="O67" s="326"/>
      <c r="P67" s="326"/>
      <c r="Q67" s="326"/>
      <c r="R67" s="326"/>
      <c r="S67" s="326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</row>
    <row r="68" spans="1:33" x14ac:dyDescent="0.2">
      <c r="A68" s="326"/>
      <c r="B68" s="375"/>
      <c r="C68" s="375"/>
      <c r="D68" s="375"/>
      <c r="E68" s="375"/>
      <c r="F68" s="375"/>
      <c r="G68" s="375"/>
      <c r="H68" s="375"/>
      <c r="I68" s="375"/>
      <c r="J68" s="375"/>
      <c r="K68" s="375"/>
      <c r="L68" s="375"/>
      <c r="M68" s="375"/>
      <c r="N68" s="326"/>
      <c r="O68" s="326"/>
      <c r="P68" s="326"/>
      <c r="Q68" s="326"/>
      <c r="R68" s="326"/>
      <c r="S68" s="326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</row>
    <row r="69" spans="1:33" x14ac:dyDescent="0.2">
      <c r="A69" s="355"/>
      <c r="B69" s="355"/>
      <c r="C69" s="355"/>
      <c r="D69" s="355"/>
      <c r="E69" s="355"/>
      <c r="F69" s="355"/>
      <c r="G69" s="355"/>
      <c r="H69" s="355"/>
      <c r="I69" s="355"/>
      <c r="J69" s="355"/>
      <c r="K69" s="355"/>
      <c r="L69" s="355"/>
      <c r="M69" s="355"/>
      <c r="N69" s="355"/>
      <c r="O69" s="355"/>
      <c r="P69" s="355"/>
      <c r="Q69" s="355"/>
      <c r="R69" s="355"/>
      <c r="S69" s="355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</row>
    <row r="70" spans="1:33" x14ac:dyDescent="0.2">
      <c r="A70" s="355"/>
      <c r="B70" s="355"/>
      <c r="C70" s="355"/>
      <c r="D70" s="355"/>
      <c r="E70" s="355"/>
      <c r="F70" s="355"/>
      <c r="G70" s="355"/>
      <c r="H70" s="355"/>
      <c r="I70" s="355"/>
      <c r="J70" s="355"/>
      <c r="K70" s="355"/>
      <c r="L70" s="355"/>
      <c r="M70" s="355"/>
      <c r="N70" s="355"/>
      <c r="O70" s="355"/>
      <c r="P70" s="355"/>
      <c r="Q70" s="355"/>
      <c r="R70" s="355"/>
      <c r="S70" s="355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</row>
    <row r="71" spans="1:33" x14ac:dyDescent="0.2">
      <c r="A71" s="355"/>
      <c r="B71" s="355"/>
      <c r="C71" s="355"/>
      <c r="D71" s="355"/>
      <c r="E71" s="355"/>
      <c r="F71" s="355"/>
      <c r="G71" s="355"/>
      <c r="H71" s="355"/>
      <c r="I71" s="355"/>
      <c r="J71" s="355"/>
      <c r="K71" s="355"/>
      <c r="L71" s="355"/>
      <c r="M71" s="355"/>
      <c r="N71" s="355"/>
      <c r="O71" s="355"/>
      <c r="P71" s="355"/>
      <c r="Q71" s="355"/>
      <c r="R71" s="355"/>
      <c r="S71" s="355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</row>
    <row r="72" spans="1:33" x14ac:dyDescent="0.2">
      <c r="A72" s="355"/>
      <c r="B72" s="355"/>
      <c r="C72" s="355"/>
      <c r="D72" s="355"/>
      <c r="E72" s="355"/>
      <c r="F72" s="355"/>
      <c r="G72" s="355"/>
      <c r="H72" s="355"/>
      <c r="I72" s="355"/>
      <c r="J72" s="355"/>
      <c r="K72" s="355"/>
      <c r="L72" s="355"/>
      <c r="M72" s="355"/>
      <c r="N72" s="355"/>
      <c r="O72" s="355"/>
      <c r="P72" s="355"/>
      <c r="Q72" s="355"/>
      <c r="R72" s="355"/>
      <c r="S72" s="355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</row>
    <row r="73" spans="1:33" x14ac:dyDescent="0.2">
      <c r="A73" s="355"/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55"/>
      <c r="P73" s="355"/>
      <c r="Q73" s="355"/>
      <c r="R73" s="355"/>
      <c r="S73" s="355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</row>
    <row r="74" spans="1:33" x14ac:dyDescent="0.2">
      <c r="A74" s="355"/>
      <c r="B74" s="355"/>
      <c r="C74" s="355"/>
      <c r="D74" s="355"/>
      <c r="E74" s="355"/>
      <c r="F74" s="355"/>
      <c r="G74" s="355"/>
      <c r="H74" s="355"/>
      <c r="I74" s="355"/>
      <c r="J74" s="355"/>
      <c r="K74" s="355"/>
      <c r="L74" s="355"/>
      <c r="M74" s="355"/>
      <c r="N74" s="355"/>
      <c r="O74" s="355"/>
      <c r="P74" s="355"/>
      <c r="Q74" s="355"/>
      <c r="R74" s="355"/>
      <c r="S74" s="355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</row>
    <row r="75" spans="1:33" x14ac:dyDescent="0.2">
      <c r="A75" s="355"/>
      <c r="B75" s="355"/>
      <c r="C75" s="355"/>
      <c r="D75" s="355"/>
      <c r="E75" s="355"/>
      <c r="F75" s="355"/>
      <c r="G75" s="355"/>
      <c r="H75" s="355"/>
      <c r="I75" s="355"/>
      <c r="J75" s="355"/>
      <c r="K75" s="355"/>
      <c r="L75" s="355"/>
      <c r="M75" s="355"/>
      <c r="N75" s="355"/>
      <c r="O75" s="355"/>
      <c r="P75" s="355"/>
      <c r="Q75" s="355"/>
      <c r="R75" s="355"/>
      <c r="S75" s="355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</row>
    <row r="76" spans="1:33" x14ac:dyDescent="0.2">
      <c r="A76" s="355"/>
      <c r="B76" s="355"/>
      <c r="C76" s="355"/>
      <c r="D76" s="355"/>
      <c r="E76" s="355"/>
      <c r="F76" s="355"/>
      <c r="G76" s="355"/>
      <c r="H76" s="355"/>
      <c r="I76" s="355"/>
      <c r="J76" s="355"/>
      <c r="K76" s="355"/>
      <c r="L76" s="355"/>
      <c r="M76" s="355"/>
      <c r="N76" s="355"/>
      <c r="O76" s="355"/>
      <c r="P76" s="355"/>
      <c r="Q76" s="355"/>
      <c r="R76" s="355"/>
      <c r="S76" s="355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</row>
    <row r="77" spans="1:33" x14ac:dyDescent="0.2">
      <c r="A77" s="355"/>
      <c r="B77" s="355"/>
      <c r="C77" s="355"/>
      <c r="D77" s="355"/>
      <c r="E77" s="355"/>
      <c r="F77" s="355"/>
      <c r="G77" s="355"/>
      <c r="H77" s="355"/>
      <c r="I77" s="355"/>
      <c r="J77" s="355"/>
      <c r="K77" s="355"/>
      <c r="L77" s="355"/>
      <c r="M77" s="355"/>
      <c r="N77" s="355"/>
      <c r="O77" s="355"/>
      <c r="P77" s="355"/>
      <c r="Q77" s="355"/>
      <c r="R77" s="355"/>
      <c r="S77" s="355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</row>
    <row r="78" spans="1:33" x14ac:dyDescent="0.2">
      <c r="A78" s="372"/>
      <c r="B78" s="372"/>
      <c r="C78" s="372"/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R78" s="372"/>
      <c r="S78" s="372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</row>
    <row r="79" spans="1:33" x14ac:dyDescent="0.2">
      <c r="A79" s="326"/>
      <c r="B79" s="326"/>
      <c r="C79" s="326"/>
      <c r="D79" s="326"/>
      <c r="E79" s="326"/>
      <c r="F79" s="326"/>
      <c r="G79" s="326"/>
      <c r="H79" s="326"/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</row>
    <row r="80" spans="1:33" x14ac:dyDescent="0.2">
      <c r="A80" s="326"/>
      <c r="B80" s="326"/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</row>
    <row r="81" spans="1:33" x14ac:dyDescent="0.2">
      <c r="A81" s="355"/>
      <c r="B81" s="355"/>
      <c r="C81" s="355"/>
      <c r="D81" s="355"/>
      <c r="E81" s="355"/>
      <c r="F81" s="355"/>
      <c r="G81" s="355"/>
      <c r="H81" s="355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</row>
    <row r="82" spans="1:33" x14ac:dyDescent="0.2">
      <c r="A82" s="355"/>
      <c r="B82" s="355"/>
      <c r="C82" s="355"/>
      <c r="D82" s="355"/>
      <c r="E82" s="355"/>
      <c r="F82" s="355"/>
      <c r="G82" s="355"/>
      <c r="H82" s="355"/>
      <c r="I82" s="355"/>
      <c r="J82" s="355"/>
      <c r="K82" s="355"/>
      <c r="L82" s="355"/>
      <c r="M82" s="355"/>
      <c r="N82" s="355"/>
      <c r="O82" s="355"/>
      <c r="P82" s="355"/>
      <c r="Q82" s="355"/>
      <c r="R82" s="355"/>
      <c r="S82" s="355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</row>
    <row r="83" spans="1:33" x14ac:dyDescent="0.2">
      <c r="A83" s="355"/>
      <c r="B83" s="355"/>
      <c r="C83" s="355"/>
      <c r="D83" s="355"/>
      <c r="E83" s="355"/>
      <c r="F83" s="355"/>
      <c r="G83" s="355"/>
      <c r="H83" s="355"/>
      <c r="I83" s="355"/>
      <c r="J83" s="355"/>
      <c r="K83" s="355"/>
      <c r="L83" s="355"/>
      <c r="M83" s="355"/>
      <c r="N83" s="355"/>
      <c r="O83" s="355"/>
      <c r="P83" s="355"/>
      <c r="Q83" s="355"/>
      <c r="R83" s="355"/>
      <c r="S83" s="355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</row>
    <row r="84" spans="1:33" x14ac:dyDescent="0.2">
      <c r="A84" s="372"/>
      <c r="B84" s="372"/>
      <c r="C84" s="372"/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  <c r="R84" s="372"/>
      <c r="S84" s="372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</row>
    <row r="85" spans="1:33" x14ac:dyDescent="0.2">
      <c r="A85" s="326"/>
      <c r="B85" s="326"/>
      <c r="C85" s="326"/>
      <c r="D85" s="326"/>
      <c r="E85" s="326"/>
      <c r="F85" s="326"/>
      <c r="G85" s="326"/>
      <c r="H85" s="326"/>
      <c r="I85" s="326"/>
      <c r="J85" s="326"/>
      <c r="K85" s="326"/>
      <c r="L85" s="326"/>
      <c r="M85" s="326"/>
      <c r="N85" s="326"/>
      <c r="O85" s="326"/>
      <c r="P85" s="326"/>
      <c r="Q85" s="326"/>
      <c r="R85" s="326"/>
      <c r="S85" s="326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</row>
    <row r="86" spans="1:33" x14ac:dyDescent="0.2">
      <c r="A86" s="326"/>
      <c r="B86" s="326"/>
      <c r="C86" s="326"/>
      <c r="D86" s="326"/>
      <c r="E86" s="326"/>
      <c r="F86" s="326"/>
      <c r="G86" s="326"/>
      <c r="H86" s="326"/>
      <c r="I86" s="326"/>
      <c r="J86" s="326"/>
      <c r="K86" s="326"/>
      <c r="L86" s="326"/>
      <c r="M86" s="326"/>
      <c r="N86" s="326"/>
      <c r="O86" s="326"/>
      <c r="P86" s="326"/>
      <c r="Q86" s="326"/>
      <c r="R86" s="326"/>
      <c r="S86" s="326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</row>
    <row r="87" spans="1:33" x14ac:dyDescent="0.2">
      <c r="A87" s="355"/>
      <c r="B87" s="355"/>
      <c r="C87" s="355"/>
      <c r="D87" s="355"/>
      <c r="E87" s="355"/>
      <c r="F87" s="355"/>
      <c r="G87" s="355"/>
      <c r="H87" s="355"/>
      <c r="I87" s="355"/>
      <c r="J87" s="355"/>
      <c r="K87" s="355"/>
      <c r="L87" s="355"/>
      <c r="M87" s="355"/>
      <c r="N87" s="355"/>
      <c r="O87" s="355"/>
      <c r="P87" s="355"/>
      <c r="Q87" s="355"/>
      <c r="R87" s="355"/>
      <c r="S87" s="355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</row>
    <row r="88" spans="1:33" x14ac:dyDescent="0.2">
      <c r="A88" s="355"/>
      <c r="B88" s="355"/>
      <c r="C88" s="355"/>
      <c r="D88" s="355"/>
      <c r="E88" s="355"/>
      <c r="F88" s="355"/>
      <c r="G88" s="355"/>
      <c r="H88" s="355"/>
      <c r="I88" s="355"/>
      <c r="J88" s="355"/>
      <c r="K88" s="355"/>
      <c r="L88" s="355"/>
      <c r="M88" s="355"/>
      <c r="N88" s="355"/>
      <c r="O88" s="355"/>
      <c r="P88" s="355"/>
      <c r="Q88" s="355"/>
      <c r="R88" s="355"/>
      <c r="S88" s="355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</row>
    <row r="89" spans="1:33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</row>
    <row r="90" spans="1:33" x14ac:dyDescent="0.2">
      <c r="A90" s="372"/>
      <c r="B90" s="372"/>
      <c r="C90" s="372"/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2"/>
      <c r="P90" s="372"/>
      <c r="Q90" s="372"/>
      <c r="R90" s="372"/>
      <c r="S90" s="372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</row>
    <row r="91" spans="1:33" x14ac:dyDescent="0.2">
      <c r="A91" s="326"/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326"/>
      <c r="N91" s="326"/>
      <c r="O91" s="326"/>
      <c r="P91" s="326"/>
      <c r="Q91" s="326"/>
      <c r="R91" s="326"/>
      <c r="S91" s="326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</row>
    <row r="92" spans="1:33" x14ac:dyDescent="0.2">
      <c r="A92" s="326"/>
      <c r="B92" s="326"/>
      <c r="C92" s="326"/>
      <c r="D92" s="326"/>
      <c r="E92" s="326"/>
      <c r="F92" s="326"/>
      <c r="G92" s="326"/>
      <c r="H92" s="326"/>
      <c r="I92" s="326"/>
      <c r="J92" s="326"/>
      <c r="K92" s="326"/>
      <c r="L92" s="326"/>
      <c r="M92" s="326"/>
      <c r="N92" s="326"/>
      <c r="O92" s="326"/>
      <c r="P92" s="326"/>
      <c r="Q92" s="326"/>
      <c r="R92" s="326"/>
      <c r="S92" s="326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</row>
    <row r="93" spans="1:33" x14ac:dyDescent="0.2">
      <c r="A93" s="355"/>
      <c r="B93" s="355"/>
      <c r="C93" s="355"/>
      <c r="D93" s="355"/>
      <c r="E93" s="355"/>
      <c r="F93" s="355"/>
      <c r="G93" s="355"/>
      <c r="H93" s="355"/>
      <c r="I93" s="355"/>
      <c r="J93" s="355"/>
      <c r="K93" s="355"/>
      <c r="L93" s="355"/>
      <c r="M93" s="355"/>
      <c r="N93" s="355"/>
      <c r="O93" s="355"/>
      <c r="P93" s="355"/>
      <c r="Q93" s="355"/>
      <c r="R93" s="355"/>
      <c r="S93" s="355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</row>
    <row r="94" spans="1:33" x14ac:dyDescent="0.2">
      <c r="A94" s="355"/>
      <c r="B94" s="355"/>
      <c r="C94" s="355"/>
      <c r="D94" s="355"/>
      <c r="E94" s="355"/>
      <c r="F94" s="355"/>
      <c r="G94" s="355"/>
      <c r="H94" s="355"/>
      <c r="I94" s="355"/>
      <c r="J94" s="355"/>
      <c r="K94" s="355"/>
      <c r="L94" s="355"/>
      <c r="M94" s="355"/>
      <c r="N94" s="355"/>
      <c r="O94" s="355"/>
      <c r="P94" s="355"/>
      <c r="Q94" s="355"/>
      <c r="R94" s="355"/>
      <c r="S94" s="355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</row>
    <row r="95" spans="1:33" x14ac:dyDescent="0.2">
      <c r="A95" s="355"/>
      <c r="B95" s="355"/>
      <c r="C95" s="355"/>
      <c r="D95" s="355"/>
      <c r="E95" s="355"/>
      <c r="F95" s="355"/>
      <c r="G95" s="355"/>
      <c r="H95" s="355"/>
      <c r="I95" s="355"/>
      <c r="J95" s="355"/>
      <c r="K95" s="355"/>
      <c r="L95" s="355"/>
      <c r="M95" s="355"/>
      <c r="N95" s="355"/>
      <c r="O95" s="355"/>
      <c r="P95" s="355"/>
      <c r="Q95" s="355"/>
      <c r="R95" s="355"/>
      <c r="S95" s="355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</row>
    <row r="96" spans="1:33" x14ac:dyDescent="0.2">
      <c r="A96" s="372"/>
      <c r="B96" s="372"/>
      <c r="C96" s="372"/>
      <c r="D96" s="372"/>
      <c r="E96" s="372"/>
      <c r="F96" s="372"/>
      <c r="G96" s="372"/>
      <c r="H96" s="372"/>
      <c r="I96" s="372"/>
      <c r="J96" s="372"/>
      <c r="K96" s="372"/>
      <c r="L96" s="372"/>
      <c r="M96" s="372"/>
      <c r="N96" s="372"/>
      <c r="O96" s="372"/>
      <c r="P96" s="372"/>
      <c r="Q96" s="372"/>
      <c r="R96" s="372"/>
      <c r="S96" s="372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</row>
    <row r="97" spans="1:33" x14ac:dyDescent="0.2">
      <c r="A97" s="326"/>
      <c r="B97" s="326"/>
      <c r="C97" s="326"/>
      <c r="D97" s="326"/>
      <c r="E97" s="326"/>
      <c r="F97" s="326"/>
      <c r="G97" s="326"/>
      <c r="H97" s="326"/>
      <c r="I97" s="326"/>
      <c r="J97" s="326"/>
      <c r="K97" s="326"/>
      <c r="L97" s="326"/>
      <c r="M97" s="326"/>
      <c r="N97" s="326"/>
      <c r="O97" s="326"/>
      <c r="P97" s="326"/>
      <c r="Q97" s="326"/>
      <c r="R97" s="326"/>
      <c r="S97" s="326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</row>
    <row r="98" spans="1:33" x14ac:dyDescent="0.2">
      <c r="A98" s="326"/>
      <c r="B98" s="326"/>
      <c r="C98" s="326"/>
      <c r="D98" s="326"/>
      <c r="E98" s="326"/>
      <c r="F98" s="326"/>
      <c r="G98" s="326"/>
      <c r="H98" s="326"/>
      <c r="I98" s="326"/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</row>
    <row r="99" spans="1:33" x14ac:dyDescent="0.2">
      <c r="A99" s="355"/>
      <c r="B99" s="355"/>
      <c r="C99" s="355"/>
      <c r="D99" s="355"/>
      <c r="E99" s="355"/>
      <c r="F99" s="355"/>
      <c r="G99" s="355"/>
      <c r="H99" s="355"/>
      <c r="I99" s="355"/>
      <c r="J99" s="355"/>
      <c r="K99" s="355"/>
      <c r="L99" s="355"/>
      <c r="M99" s="355"/>
      <c r="N99" s="355"/>
      <c r="O99" s="355"/>
      <c r="P99" s="355"/>
      <c r="Q99" s="355"/>
      <c r="R99" s="355"/>
      <c r="S99" s="355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</row>
    <row r="100" spans="1:33" x14ac:dyDescent="0.2">
      <c r="A100" s="355"/>
      <c r="B100" s="355"/>
      <c r="C100" s="355"/>
      <c r="D100" s="355"/>
      <c r="E100" s="355"/>
      <c r="F100" s="355"/>
      <c r="G100" s="355"/>
      <c r="H100" s="355"/>
      <c r="I100" s="355"/>
      <c r="J100" s="355"/>
      <c r="K100" s="355"/>
      <c r="L100" s="355"/>
      <c r="M100" s="355"/>
      <c r="N100" s="355"/>
      <c r="O100" s="355"/>
      <c r="P100" s="355"/>
      <c r="Q100" s="355"/>
      <c r="R100" s="355"/>
      <c r="S100" s="355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</row>
    <row r="101" spans="1:33" x14ac:dyDescent="0.2">
      <c r="A101" s="355"/>
      <c r="B101" s="355"/>
      <c r="C101" s="355"/>
      <c r="D101" s="355"/>
      <c r="E101" s="355"/>
      <c r="F101" s="355"/>
      <c r="G101" s="355"/>
      <c r="H101" s="355"/>
      <c r="I101" s="355"/>
      <c r="J101" s="355"/>
      <c r="K101" s="355"/>
      <c r="L101" s="355"/>
      <c r="M101" s="355"/>
      <c r="N101" s="355"/>
      <c r="O101" s="355"/>
      <c r="P101" s="355"/>
      <c r="Q101" s="355"/>
      <c r="R101" s="355"/>
      <c r="S101" s="355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</row>
    <row r="102" spans="1:33" x14ac:dyDescent="0.2">
      <c r="A102" s="372"/>
      <c r="B102" s="372"/>
      <c r="C102" s="372"/>
      <c r="D102" s="372"/>
      <c r="E102" s="372"/>
      <c r="F102" s="372"/>
      <c r="G102" s="372"/>
      <c r="H102" s="372"/>
      <c r="I102" s="372"/>
      <c r="J102" s="372"/>
      <c r="K102" s="372"/>
      <c r="L102" s="372"/>
      <c r="M102" s="372"/>
      <c r="N102" s="372"/>
      <c r="O102" s="372"/>
      <c r="P102" s="372"/>
      <c r="Q102" s="372"/>
      <c r="R102" s="372"/>
      <c r="S102" s="372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</row>
    <row r="103" spans="1:33" x14ac:dyDescent="0.2">
      <c r="A103" s="326"/>
      <c r="B103" s="326"/>
      <c r="C103" s="326"/>
      <c r="D103" s="326"/>
      <c r="E103" s="326"/>
      <c r="F103" s="326"/>
      <c r="G103" s="326"/>
      <c r="H103" s="326"/>
      <c r="I103" s="326"/>
      <c r="J103" s="326"/>
      <c r="K103" s="326"/>
      <c r="L103" s="326"/>
      <c r="M103" s="326"/>
      <c r="N103" s="326"/>
      <c r="O103" s="326"/>
      <c r="P103" s="326"/>
      <c r="Q103" s="326"/>
      <c r="R103" s="326"/>
      <c r="S103" s="326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</row>
    <row r="104" spans="1:33" x14ac:dyDescent="0.2">
      <c r="A104" s="376"/>
      <c r="B104" s="376"/>
      <c r="C104" s="376"/>
      <c r="D104" s="376"/>
      <c r="E104" s="376"/>
      <c r="F104" s="376"/>
      <c r="G104" s="376"/>
      <c r="H104" s="376"/>
      <c r="I104" s="376"/>
      <c r="J104" s="376"/>
      <c r="K104" s="376"/>
      <c r="L104" s="376"/>
      <c r="M104" s="376"/>
      <c r="N104" s="376"/>
      <c r="O104" s="376"/>
      <c r="P104" s="376"/>
      <c r="Q104" s="376"/>
      <c r="R104" s="376"/>
      <c r="S104" s="376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</row>
    <row r="105" spans="1:33" x14ac:dyDescent="0.2">
      <c r="A105" s="355"/>
      <c r="B105" s="355"/>
      <c r="C105" s="355"/>
      <c r="D105" s="355"/>
      <c r="E105" s="355"/>
      <c r="F105" s="355"/>
      <c r="G105" s="355"/>
      <c r="H105" s="355"/>
      <c r="I105" s="355"/>
      <c r="J105" s="355"/>
      <c r="K105" s="355"/>
      <c r="L105" s="355"/>
      <c r="M105" s="355"/>
      <c r="N105" s="355"/>
      <c r="O105" s="355"/>
      <c r="P105" s="355"/>
      <c r="Q105" s="355"/>
      <c r="R105" s="355"/>
      <c r="S105" s="355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</row>
    <row r="106" spans="1:33" x14ac:dyDescent="0.2">
      <c r="A106" s="355"/>
      <c r="B106" s="355"/>
      <c r="C106" s="355"/>
      <c r="D106" s="355"/>
      <c r="E106" s="355"/>
      <c r="F106" s="355"/>
      <c r="G106" s="355"/>
      <c r="H106" s="355"/>
      <c r="I106" s="355"/>
      <c r="J106" s="355"/>
      <c r="K106" s="355"/>
      <c r="L106" s="355"/>
      <c r="M106" s="355"/>
      <c r="N106" s="355"/>
      <c r="O106" s="355"/>
      <c r="P106" s="355"/>
      <c r="Q106" s="355"/>
      <c r="R106" s="355"/>
      <c r="S106" s="355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</row>
    <row r="107" spans="1:33" x14ac:dyDescent="0.2">
      <c r="A107" s="355"/>
      <c r="B107" s="355"/>
      <c r="C107" s="355"/>
      <c r="D107" s="355"/>
      <c r="E107" s="355"/>
      <c r="F107" s="355"/>
      <c r="G107" s="355"/>
      <c r="H107" s="355"/>
      <c r="I107" s="355"/>
      <c r="J107" s="355"/>
      <c r="K107" s="355"/>
      <c r="L107" s="355"/>
      <c r="M107" s="355"/>
      <c r="N107" s="355"/>
      <c r="O107" s="355"/>
      <c r="P107" s="355"/>
      <c r="Q107" s="355"/>
      <c r="R107" s="355"/>
      <c r="S107" s="355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</row>
    <row r="108" spans="1:33" x14ac:dyDescent="0.2">
      <c r="A108" s="372"/>
      <c r="B108" s="372"/>
      <c r="C108" s="372"/>
      <c r="D108" s="372"/>
      <c r="E108" s="372"/>
      <c r="F108" s="372"/>
      <c r="G108" s="372"/>
      <c r="H108" s="372"/>
      <c r="I108" s="372"/>
      <c r="J108" s="372"/>
      <c r="K108" s="372"/>
      <c r="L108" s="372"/>
      <c r="M108" s="372"/>
      <c r="N108" s="372"/>
      <c r="O108" s="372"/>
      <c r="P108" s="372"/>
      <c r="Q108" s="372"/>
      <c r="R108" s="372"/>
      <c r="S108" s="372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</row>
    <row r="109" spans="1:33" x14ac:dyDescent="0.2">
      <c r="A109" s="326"/>
      <c r="B109" s="326"/>
      <c r="C109" s="326"/>
      <c r="D109" s="326"/>
      <c r="E109" s="326"/>
      <c r="F109" s="326"/>
      <c r="G109" s="326"/>
      <c r="H109" s="326"/>
      <c r="I109" s="326"/>
      <c r="J109" s="326"/>
      <c r="K109" s="326"/>
      <c r="L109" s="326"/>
      <c r="M109" s="326"/>
      <c r="N109" s="326"/>
      <c r="O109" s="326"/>
      <c r="P109" s="326"/>
      <c r="Q109" s="326"/>
      <c r="R109" s="326"/>
      <c r="S109" s="326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</row>
    <row r="110" spans="1:33" x14ac:dyDescent="0.2">
      <c r="A110" s="326"/>
      <c r="B110" s="326"/>
      <c r="C110" s="326"/>
      <c r="D110" s="326"/>
      <c r="E110" s="326"/>
      <c r="F110" s="326"/>
      <c r="G110" s="326"/>
      <c r="H110" s="326"/>
      <c r="I110" s="326"/>
      <c r="J110" s="326"/>
      <c r="K110" s="326"/>
      <c r="L110" s="326"/>
      <c r="M110" s="326"/>
      <c r="N110" s="326"/>
      <c r="O110" s="326"/>
      <c r="P110" s="326"/>
      <c r="Q110" s="326"/>
      <c r="R110" s="326"/>
      <c r="S110" s="326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</row>
    <row r="111" spans="1:33" x14ac:dyDescent="0.2">
      <c r="A111" s="355"/>
      <c r="B111" s="355"/>
      <c r="C111" s="355"/>
      <c r="D111" s="355"/>
      <c r="E111" s="355"/>
      <c r="F111" s="355"/>
      <c r="G111" s="355"/>
      <c r="H111" s="355"/>
      <c r="I111" s="355"/>
      <c r="J111" s="355"/>
      <c r="K111" s="355"/>
      <c r="L111" s="355"/>
      <c r="M111" s="355"/>
      <c r="N111" s="355"/>
      <c r="O111" s="355"/>
      <c r="P111" s="355"/>
      <c r="Q111" s="355"/>
      <c r="R111" s="355"/>
      <c r="S111" s="355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</row>
    <row r="112" spans="1:33" x14ac:dyDescent="0.2">
      <c r="A112" s="355"/>
      <c r="B112" s="355"/>
      <c r="C112" s="355"/>
      <c r="D112" s="355"/>
      <c r="E112" s="355"/>
      <c r="F112" s="355"/>
      <c r="G112" s="355"/>
      <c r="H112" s="355"/>
      <c r="I112" s="355"/>
      <c r="J112" s="355"/>
      <c r="K112" s="355"/>
      <c r="L112" s="355"/>
      <c r="M112" s="355"/>
      <c r="N112" s="355"/>
      <c r="O112" s="355"/>
      <c r="P112" s="355"/>
      <c r="Q112" s="355"/>
      <c r="R112" s="355"/>
      <c r="S112" s="355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</row>
    <row r="113" spans="1:33" x14ac:dyDescent="0.2">
      <c r="A113" s="355"/>
      <c r="B113" s="355"/>
      <c r="C113" s="355"/>
      <c r="D113" s="355"/>
      <c r="E113" s="355"/>
      <c r="F113" s="355"/>
      <c r="G113" s="355"/>
      <c r="H113" s="355"/>
      <c r="I113" s="355"/>
      <c r="J113" s="355"/>
      <c r="K113" s="355"/>
      <c r="L113" s="355"/>
      <c r="M113" s="355"/>
      <c r="N113" s="355"/>
      <c r="O113" s="355"/>
      <c r="P113" s="355"/>
      <c r="Q113" s="355"/>
      <c r="R113" s="355"/>
      <c r="S113" s="355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</row>
    <row r="114" spans="1:33" x14ac:dyDescent="0.2">
      <c r="A114" s="355"/>
      <c r="B114" s="355"/>
      <c r="C114" s="355"/>
      <c r="D114" s="355"/>
      <c r="E114" s="355"/>
      <c r="F114" s="355"/>
      <c r="G114" s="355"/>
      <c r="H114" s="355"/>
      <c r="I114" s="355"/>
      <c r="J114" s="355"/>
      <c r="K114" s="355"/>
      <c r="L114" s="355"/>
      <c r="M114" s="355"/>
      <c r="N114" s="355"/>
      <c r="O114" s="355"/>
      <c r="P114" s="355"/>
      <c r="Q114" s="355"/>
      <c r="R114" s="355"/>
      <c r="S114" s="355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</row>
    <row r="115" spans="1:33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</row>
    <row r="116" spans="1:33" x14ac:dyDescent="0.2">
      <c r="A116" s="355"/>
      <c r="B116" s="355"/>
      <c r="C116" s="355"/>
      <c r="D116" s="355"/>
      <c r="E116" s="355"/>
      <c r="F116" s="355"/>
      <c r="G116" s="355"/>
      <c r="H116" s="355"/>
      <c r="I116" s="355"/>
      <c r="J116" s="355"/>
      <c r="K116" s="355"/>
      <c r="L116" s="355"/>
      <c r="M116" s="355"/>
      <c r="N116" s="355"/>
      <c r="O116" s="355"/>
      <c r="P116" s="355"/>
      <c r="Q116" s="355"/>
      <c r="R116" s="355"/>
      <c r="S116" s="355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</row>
    <row r="117" spans="1:33" x14ac:dyDescent="0.2">
      <c r="A117" s="355"/>
      <c r="B117" s="355"/>
      <c r="C117" s="355"/>
      <c r="D117" s="355"/>
      <c r="E117" s="355"/>
      <c r="F117" s="355"/>
      <c r="G117" s="355"/>
      <c r="H117" s="355"/>
      <c r="I117" s="355"/>
      <c r="J117" s="355"/>
      <c r="K117" s="355"/>
      <c r="L117" s="355"/>
      <c r="M117" s="355"/>
      <c r="N117" s="355"/>
      <c r="O117" s="355"/>
      <c r="P117" s="355"/>
      <c r="Q117" s="355"/>
      <c r="R117" s="355"/>
      <c r="S117" s="355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</row>
    <row r="118" spans="1:33" x14ac:dyDescent="0.2">
      <c r="A118" s="355"/>
      <c r="B118" s="355"/>
      <c r="C118" s="355"/>
      <c r="D118" s="355"/>
      <c r="E118" s="355"/>
      <c r="F118" s="355"/>
      <c r="G118" s="355"/>
      <c r="H118" s="355"/>
      <c r="I118" s="355"/>
      <c r="J118" s="355"/>
      <c r="K118" s="355"/>
      <c r="L118" s="355"/>
      <c r="M118" s="355"/>
      <c r="N118" s="355"/>
      <c r="O118" s="355"/>
      <c r="P118" s="355"/>
      <c r="Q118" s="355"/>
      <c r="R118" s="355"/>
      <c r="S118" s="355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</row>
    <row r="119" spans="1:33" x14ac:dyDescent="0.2">
      <c r="A119" s="355"/>
      <c r="B119" s="355"/>
      <c r="C119" s="355"/>
      <c r="D119" s="355"/>
      <c r="E119" s="355"/>
      <c r="F119" s="355"/>
      <c r="G119" s="355"/>
      <c r="H119" s="355"/>
      <c r="I119" s="355"/>
      <c r="J119" s="355"/>
      <c r="K119" s="355"/>
      <c r="L119" s="355"/>
      <c r="M119" s="355"/>
      <c r="N119" s="355"/>
      <c r="O119" s="355"/>
      <c r="P119" s="355"/>
      <c r="Q119" s="355"/>
      <c r="R119" s="355"/>
      <c r="S119" s="355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</row>
    <row r="120" spans="1:33" x14ac:dyDescent="0.2">
      <c r="A120" s="355"/>
      <c r="B120" s="355"/>
      <c r="C120" s="355"/>
      <c r="D120" s="355"/>
      <c r="E120" s="355"/>
      <c r="F120" s="355"/>
      <c r="G120" s="355"/>
      <c r="H120" s="355"/>
      <c r="I120" s="355"/>
      <c r="J120" s="355"/>
      <c r="K120" s="355"/>
      <c r="L120" s="355"/>
      <c r="M120" s="355"/>
      <c r="N120" s="355"/>
      <c r="O120" s="355"/>
      <c r="P120" s="355"/>
      <c r="Q120" s="355"/>
      <c r="R120" s="355"/>
      <c r="S120" s="355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</row>
    <row r="121" spans="1:33" x14ac:dyDescent="0.2">
      <c r="A121" s="355"/>
      <c r="B121" s="355"/>
      <c r="C121" s="355"/>
      <c r="D121" s="355"/>
      <c r="E121" s="355"/>
      <c r="F121" s="355"/>
      <c r="G121" s="355"/>
      <c r="H121" s="355"/>
      <c r="I121" s="355"/>
      <c r="J121" s="355"/>
      <c r="K121" s="355"/>
      <c r="L121" s="355"/>
      <c r="M121" s="355"/>
      <c r="N121" s="355"/>
      <c r="O121" s="355"/>
      <c r="P121" s="355"/>
      <c r="Q121" s="355"/>
      <c r="R121" s="355"/>
      <c r="S121" s="355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</row>
    <row r="122" spans="1:33" x14ac:dyDescent="0.2">
      <c r="A122" s="355"/>
      <c r="B122" s="355"/>
      <c r="C122" s="355"/>
      <c r="D122" s="355"/>
      <c r="E122" s="355"/>
      <c r="F122" s="355"/>
      <c r="G122" s="355"/>
      <c r="H122" s="355"/>
      <c r="I122" s="355"/>
      <c r="J122" s="355"/>
      <c r="K122" s="355"/>
      <c r="L122" s="355"/>
      <c r="M122" s="355"/>
      <c r="N122" s="355"/>
      <c r="O122" s="355"/>
      <c r="P122" s="355"/>
      <c r="Q122" s="355"/>
      <c r="R122" s="355"/>
      <c r="S122" s="355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</row>
    <row r="123" spans="1:33" x14ac:dyDescent="0.2">
      <c r="A123" s="355"/>
      <c r="B123" s="355"/>
      <c r="C123" s="355"/>
      <c r="D123" s="355"/>
      <c r="E123" s="355"/>
      <c r="F123" s="355"/>
      <c r="G123" s="355"/>
      <c r="H123" s="355"/>
      <c r="I123" s="355"/>
      <c r="J123" s="355"/>
      <c r="K123" s="355"/>
      <c r="L123" s="355"/>
      <c r="M123" s="355"/>
      <c r="N123" s="355"/>
      <c r="O123" s="355"/>
      <c r="P123" s="355"/>
      <c r="Q123" s="355"/>
      <c r="R123" s="355"/>
      <c r="S123" s="355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</row>
    <row r="124" spans="1:33" x14ac:dyDescent="0.2">
      <c r="A124" s="355"/>
      <c r="B124" s="355"/>
      <c r="C124" s="355"/>
      <c r="D124" s="355"/>
      <c r="E124" s="355"/>
      <c r="F124" s="355"/>
      <c r="G124" s="355"/>
      <c r="H124" s="355"/>
      <c r="I124" s="355"/>
      <c r="J124" s="355"/>
      <c r="K124" s="355"/>
      <c r="L124" s="355"/>
      <c r="M124" s="355"/>
      <c r="N124" s="355"/>
      <c r="O124" s="355"/>
      <c r="P124" s="355"/>
      <c r="Q124" s="355"/>
      <c r="R124" s="355"/>
      <c r="S124" s="355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</row>
    <row r="125" spans="1:33" x14ac:dyDescent="0.2">
      <c r="A125" s="355"/>
      <c r="B125" s="355"/>
      <c r="C125" s="355"/>
      <c r="D125" s="355"/>
      <c r="E125" s="355"/>
      <c r="F125" s="355"/>
      <c r="G125" s="355"/>
      <c r="H125" s="355"/>
      <c r="I125" s="355"/>
      <c r="J125" s="355"/>
      <c r="K125" s="355"/>
      <c r="L125" s="355"/>
      <c r="M125" s="355"/>
      <c r="N125" s="355"/>
      <c r="O125" s="355"/>
      <c r="P125" s="355"/>
      <c r="Q125" s="355"/>
      <c r="R125" s="355"/>
      <c r="S125" s="355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</row>
    <row r="126" spans="1:33" x14ac:dyDescent="0.2">
      <c r="A126" s="355"/>
      <c r="B126" s="355"/>
      <c r="C126" s="355"/>
      <c r="D126" s="355"/>
      <c r="E126" s="355"/>
      <c r="F126" s="355"/>
      <c r="G126" s="355"/>
      <c r="H126" s="355"/>
      <c r="I126" s="355"/>
      <c r="J126" s="355"/>
      <c r="K126" s="355"/>
      <c r="L126" s="355"/>
      <c r="M126" s="355"/>
      <c r="N126" s="355"/>
      <c r="O126" s="355"/>
      <c r="P126" s="355"/>
      <c r="Q126" s="355"/>
      <c r="R126" s="355"/>
      <c r="S126" s="355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</row>
    <row r="127" spans="1:33" x14ac:dyDescent="0.2">
      <c r="A127" s="355"/>
      <c r="B127" s="355"/>
      <c r="C127" s="355"/>
      <c r="D127" s="355"/>
      <c r="E127" s="355"/>
      <c r="F127" s="355"/>
      <c r="G127" s="355"/>
      <c r="H127" s="355"/>
      <c r="I127" s="355"/>
      <c r="J127" s="355"/>
      <c r="K127" s="355"/>
      <c r="L127" s="355"/>
      <c r="M127" s="355"/>
      <c r="N127" s="355"/>
      <c r="O127" s="355"/>
      <c r="P127" s="355"/>
      <c r="Q127" s="355"/>
      <c r="R127" s="355"/>
      <c r="S127" s="355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</row>
    <row r="128" spans="1:33" x14ac:dyDescent="0.2">
      <c r="A128" s="355"/>
      <c r="B128" s="355"/>
      <c r="C128" s="355"/>
      <c r="D128" s="355"/>
      <c r="E128" s="355"/>
      <c r="F128" s="355"/>
      <c r="G128" s="355"/>
      <c r="H128" s="355"/>
      <c r="I128" s="355"/>
      <c r="J128" s="355"/>
      <c r="K128" s="355"/>
      <c r="L128" s="355"/>
      <c r="M128" s="355"/>
      <c r="N128" s="355"/>
      <c r="O128" s="355"/>
      <c r="P128" s="355"/>
      <c r="Q128" s="355"/>
      <c r="R128" s="355"/>
      <c r="S128" s="355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</row>
    <row r="129" spans="1:33" x14ac:dyDescent="0.2">
      <c r="A129" s="355"/>
      <c r="B129" s="355"/>
      <c r="C129" s="355"/>
      <c r="D129" s="355"/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O129" s="355"/>
      <c r="P129" s="355"/>
      <c r="Q129" s="355"/>
      <c r="R129" s="355"/>
      <c r="S129" s="355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</row>
    <row r="130" spans="1:33" x14ac:dyDescent="0.2">
      <c r="A130" s="355"/>
      <c r="B130" s="355"/>
      <c r="C130" s="355"/>
      <c r="D130" s="355"/>
      <c r="E130" s="355"/>
      <c r="F130" s="355"/>
      <c r="G130" s="355"/>
      <c r="H130" s="355"/>
      <c r="I130" s="355"/>
      <c r="J130" s="355"/>
      <c r="K130" s="355"/>
      <c r="L130" s="355"/>
      <c r="M130" s="355"/>
      <c r="N130" s="355"/>
      <c r="O130" s="355"/>
      <c r="P130" s="355"/>
      <c r="Q130" s="355"/>
      <c r="R130" s="355"/>
      <c r="S130" s="355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</row>
    <row r="131" spans="1:33" x14ac:dyDescent="0.2">
      <c r="A131" s="355"/>
      <c r="B131" s="355"/>
      <c r="C131" s="355"/>
      <c r="D131" s="355"/>
      <c r="E131" s="355"/>
      <c r="F131" s="355"/>
      <c r="G131" s="355"/>
      <c r="H131" s="355"/>
      <c r="I131" s="355"/>
      <c r="J131" s="355"/>
      <c r="K131" s="355"/>
      <c r="L131" s="355"/>
      <c r="M131" s="355"/>
      <c r="N131" s="355"/>
      <c r="O131" s="355"/>
      <c r="P131" s="355"/>
      <c r="Q131" s="355"/>
      <c r="R131" s="355"/>
      <c r="S131" s="355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</row>
    <row r="132" spans="1:33" x14ac:dyDescent="0.2">
      <c r="A132" s="355"/>
      <c r="B132" s="355"/>
      <c r="C132" s="355"/>
      <c r="D132" s="355"/>
      <c r="E132" s="355"/>
      <c r="F132" s="355"/>
      <c r="G132" s="355"/>
      <c r="H132" s="355"/>
      <c r="I132" s="355"/>
      <c r="J132" s="355"/>
      <c r="K132" s="355"/>
      <c r="L132" s="355"/>
      <c r="M132" s="355"/>
      <c r="N132" s="355"/>
      <c r="O132" s="355"/>
      <c r="P132" s="355"/>
      <c r="Q132" s="355"/>
      <c r="R132" s="355"/>
      <c r="S132" s="355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</row>
    <row r="133" spans="1:33" x14ac:dyDescent="0.2">
      <c r="A133" s="355"/>
      <c r="B133" s="355"/>
      <c r="C133" s="355"/>
      <c r="D133" s="355"/>
      <c r="E133" s="355"/>
      <c r="F133" s="355"/>
      <c r="G133" s="355"/>
      <c r="H133" s="355"/>
      <c r="I133" s="355"/>
      <c r="J133" s="355"/>
      <c r="K133" s="355"/>
      <c r="L133" s="355"/>
      <c r="M133" s="355"/>
      <c r="N133" s="355"/>
      <c r="O133" s="355"/>
      <c r="P133" s="355"/>
      <c r="Q133" s="355"/>
      <c r="R133" s="355"/>
      <c r="S133" s="355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</row>
    <row r="134" spans="1:33" x14ac:dyDescent="0.2">
      <c r="A134" s="355"/>
      <c r="B134" s="355"/>
      <c r="C134" s="355"/>
      <c r="D134" s="355"/>
      <c r="E134" s="355"/>
      <c r="F134" s="355"/>
      <c r="G134" s="355"/>
      <c r="H134" s="355"/>
      <c r="I134" s="355"/>
      <c r="J134" s="355"/>
      <c r="K134" s="355"/>
      <c r="L134" s="355"/>
      <c r="M134" s="355"/>
      <c r="N134" s="355"/>
      <c r="O134" s="355"/>
      <c r="P134" s="355"/>
      <c r="Q134" s="355"/>
      <c r="R134" s="355"/>
      <c r="S134" s="355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</row>
    <row r="135" spans="1:33" x14ac:dyDescent="0.2">
      <c r="A135" s="355"/>
      <c r="B135" s="355"/>
      <c r="C135" s="355"/>
      <c r="D135" s="355"/>
      <c r="E135" s="355"/>
      <c r="F135" s="355"/>
      <c r="G135" s="355"/>
      <c r="H135" s="355"/>
      <c r="I135" s="355"/>
      <c r="J135" s="355"/>
      <c r="K135" s="355"/>
      <c r="L135" s="355"/>
      <c r="M135" s="355"/>
      <c r="N135" s="355"/>
      <c r="O135" s="355"/>
      <c r="P135" s="355"/>
      <c r="Q135" s="355"/>
      <c r="R135" s="355"/>
      <c r="S135" s="355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</row>
    <row r="136" spans="1:33" x14ac:dyDescent="0.2">
      <c r="A136" s="355"/>
      <c r="B136" s="355"/>
      <c r="C136" s="355"/>
      <c r="D136" s="355"/>
      <c r="E136" s="355"/>
      <c r="F136" s="355"/>
      <c r="G136" s="355"/>
      <c r="H136" s="355"/>
      <c r="I136" s="355"/>
      <c r="J136" s="355"/>
      <c r="K136" s="355"/>
      <c r="L136" s="355"/>
      <c r="M136" s="355"/>
      <c r="N136" s="355"/>
      <c r="O136" s="355"/>
      <c r="P136" s="355"/>
      <c r="Q136" s="355"/>
      <c r="R136" s="355"/>
      <c r="S136" s="355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</row>
    <row r="137" spans="1:33" x14ac:dyDescent="0.2">
      <c r="A137" s="355"/>
      <c r="B137" s="355"/>
      <c r="C137" s="355"/>
      <c r="D137" s="355"/>
      <c r="E137" s="355"/>
      <c r="F137" s="355"/>
      <c r="G137" s="355"/>
      <c r="H137" s="355"/>
      <c r="I137" s="355"/>
      <c r="J137" s="355"/>
      <c r="K137" s="355"/>
      <c r="L137" s="355"/>
      <c r="M137" s="355"/>
      <c r="N137" s="355"/>
      <c r="O137" s="355"/>
      <c r="P137" s="355"/>
      <c r="Q137" s="355"/>
      <c r="R137" s="355"/>
      <c r="S137" s="355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</row>
    <row r="138" spans="1:33" x14ac:dyDescent="0.2">
      <c r="A138" s="355"/>
      <c r="B138" s="355"/>
      <c r="C138" s="355"/>
      <c r="D138" s="355"/>
      <c r="E138" s="355"/>
      <c r="F138" s="355"/>
      <c r="G138" s="355"/>
      <c r="H138" s="355"/>
      <c r="I138" s="355"/>
      <c r="J138" s="355"/>
      <c r="K138" s="355"/>
      <c r="L138" s="355"/>
      <c r="M138" s="355"/>
      <c r="N138" s="355"/>
      <c r="O138" s="355"/>
      <c r="P138" s="355"/>
      <c r="Q138" s="355"/>
      <c r="R138" s="355"/>
      <c r="S138" s="355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</row>
    <row r="139" spans="1:33" x14ac:dyDescent="0.2">
      <c r="A139" s="355"/>
      <c r="B139" s="355"/>
      <c r="C139" s="355"/>
      <c r="D139" s="355"/>
      <c r="E139" s="355"/>
      <c r="F139" s="355"/>
      <c r="G139" s="355"/>
      <c r="H139" s="355"/>
      <c r="I139" s="355"/>
      <c r="J139" s="355"/>
      <c r="K139" s="355"/>
      <c r="L139" s="355"/>
      <c r="M139" s="355"/>
      <c r="N139" s="355"/>
      <c r="O139" s="355"/>
      <c r="P139" s="355"/>
      <c r="Q139" s="355"/>
      <c r="R139" s="355"/>
      <c r="S139" s="355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</row>
    <row r="140" spans="1:33" x14ac:dyDescent="0.2">
      <c r="A140" s="355"/>
      <c r="B140" s="355"/>
      <c r="C140" s="355"/>
      <c r="D140" s="355"/>
      <c r="E140" s="355"/>
      <c r="F140" s="355"/>
      <c r="G140" s="355"/>
      <c r="H140" s="355"/>
      <c r="I140" s="355"/>
      <c r="J140" s="355"/>
      <c r="K140" s="355"/>
      <c r="L140" s="355"/>
      <c r="M140" s="355"/>
      <c r="N140" s="355"/>
      <c r="O140" s="355"/>
      <c r="P140" s="355"/>
      <c r="Q140" s="355"/>
      <c r="R140" s="355"/>
      <c r="S140" s="355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</row>
    <row r="141" spans="1:33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</row>
    <row r="142" spans="1:33" x14ac:dyDescent="0.2">
      <c r="A142" s="355"/>
      <c r="B142" s="355"/>
      <c r="C142" s="355"/>
      <c r="D142" s="355"/>
      <c r="E142" s="355"/>
      <c r="F142" s="355"/>
      <c r="G142" s="355"/>
      <c r="H142" s="355"/>
      <c r="I142" s="355"/>
      <c r="J142" s="355"/>
      <c r="K142" s="355"/>
      <c r="L142" s="355"/>
      <c r="M142" s="355"/>
      <c r="N142" s="355"/>
      <c r="O142" s="355"/>
      <c r="P142" s="355"/>
      <c r="Q142" s="355"/>
      <c r="R142" s="355"/>
      <c r="S142" s="355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</row>
    <row r="143" spans="1:33" x14ac:dyDescent="0.2">
      <c r="A143" s="355"/>
      <c r="B143" s="355"/>
      <c r="C143" s="355"/>
      <c r="D143" s="355"/>
      <c r="E143" s="355"/>
      <c r="F143" s="355"/>
      <c r="G143" s="355"/>
      <c r="H143" s="355"/>
      <c r="I143" s="355"/>
      <c r="J143" s="355"/>
      <c r="K143" s="355"/>
      <c r="L143" s="355"/>
      <c r="M143" s="355"/>
      <c r="N143" s="355"/>
      <c r="O143" s="355"/>
      <c r="P143" s="355"/>
      <c r="Q143" s="355"/>
      <c r="R143" s="355"/>
      <c r="S143" s="355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</row>
    <row r="144" spans="1:33" x14ac:dyDescent="0.2">
      <c r="A144" s="355"/>
      <c r="B144" s="355"/>
      <c r="C144" s="355"/>
      <c r="D144" s="355"/>
      <c r="E144" s="355"/>
      <c r="F144" s="355"/>
      <c r="G144" s="355"/>
      <c r="H144" s="355"/>
      <c r="I144" s="355"/>
      <c r="J144" s="355"/>
      <c r="K144" s="355"/>
      <c r="L144" s="355"/>
      <c r="M144" s="355"/>
      <c r="N144" s="355"/>
      <c r="O144" s="355"/>
      <c r="P144" s="355"/>
      <c r="Q144" s="355"/>
      <c r="R144" s="355"/>
      <c r="S144" s="355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</row>
    <row r="145" spans="1:33" x14ac:dyDescent="0.2">
      <c r="A145" s="355"/>
      <c r="B145" s="355"/>
      <c r="C145" s="355"/>
      <c r="D145" s="355"/>
      <c r="E145" s="355"/>
      <c r="F145" s="355"/>
      <c r="G145" s="355"/>
      <c r="H145" s="355"/>
      <c r="I145" s="355"/>
      <c r="J145" s="355"/>
      <c r="K145" s="355"/>
      <c r="L145" s="355"/>
      <c r="M145" s="355"/>
      <c r="N145" s="355"/>
      <c r="O145" s="355"/>
      <c r="P145" s="355"/>
      <c r="Q145" s="355"/>
      <c r="R145" s="355"/>
      <c r="S145" s="355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</row>
    <row r="146" spans="1:33" x14ac:dyDescent="0.2">
      <c r="A146" s="355"/>
      <c r="B146" s="355"/>
      <c r="C146" s="355"/>
      <c r="D146" s="355"/>
      <c r="E146" s="355"/>
      <c r="F146" s="355"/>
      <c r="G146" s="355"/>
      <c r="H146" s="355"/>
      <c r="I146" s="355"/>
      <c r="J146" s="355"/>
      <c r="K146" s="355"/>
      <c r="L146" s="355"/>
      <c r="M146" s="355"/>
      <c r="N146" s="355"/>
      <c r="O146" s="355"/>
      <c r="P146" s="355"/>
      <c r="Q146" s="355"/>
      <c r="R146" s="355"/>
      <c r="S146" s="355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</row>
    <row r="147" spans="1:33" x14ac:dyDescent="0.2">
      <c r="A147" s="355"/>
      <c r="B147" s="355"/>
      <c r="C147" s="355"/>
      <c r="D147" s="355"/>
      <c r="E147" s="355"/>
      <c r="F147" s="355"/>
      <c r="G147" s="355"/>
      <c r="H147" s="355"/>
      <c r="I147" s="355"/>
      <c r="J147" s="355"/>
      <c r="K147" s="355"/>
      <c r="L147" s="355"/>
      <c r="M147" s="355"/>
      <c r="N147" s="355"/>
      <c r="O147" s="355"/>
      <c r="P147" s="355"/>
      <c r="Q147" s="355"/>
      <c r="R147" s="355"/>
      <c r="S147" s="355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</row>
    <row r="148" spans="1:33" x14ac:dyDescent="0.2">
      <c r="A148" s="355"/>
      <c r="B148" s="355"/>
      <c r="C148" s="355"/>
      <c r="D148" s="355"/>
      <c r="E148" s="355"/>
      <c r="F148" s="355"/>
      <c r="G148" s="355"/>
      <c r="H148" s="355"/>
      <c r="I148" s="355"/>
      <c r="J148" s="355"/>
      <c r="K148" s="355"/>
      <c r="L148" s="355"/>
      <c r="M148" s="355"/>
      <c r="N148" s="355"/>
      <c r="O148" s="355"/>
      <c r="P148" s="355"/>
      <c r="Q148" s="355"/>
      <c r="R148" s="355"/>
      <c r="S148" s="355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</row>
    <row r="149" spans="1:33" x14ac:dyDescent="0.2">
      <c r="A149" s="355"/>
      <c r="B149" s="355"/>
      <c r="C149" s="355"/>
      <c r="D149" s="355"/>
      <c r="E149" s="355"/>
      <c r="F149" s="355"/>
      <c r="G149" s="355"/>
      <c r="H149" s="355"/>
      <c r="I149" s="355"/>
      <c r="J149" s="355"/>
      <c r="K149" s="355"/>
      <c r="L149" s="355"/>
      <c r="M149" s="355"/>
      <c r="N149" s="355"/>
      <c r="O149" s="355"/>
      <c r="P149" s="355"/>
      <c r="Q149" s="355"/>
      <c r="R149" s="355"/>
      <c r="S149" s="355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</row>
    <row r="150" spans="1:33" x14ac:dyDescent="0.2">
      <c r="A150" s="355"/>
      <c r="B150" s="355"/>
      <c r="C150" s="355"/>
      <c r="D150" s="355"/>
      <c r="E150" s="355"/>
      <c r="F150" s="355"/>
      <c r="G150" s="355"/>
      <c r="H150" s="355"/>
      <c r="I150" s="355"/>
      <c r="J150" s="355"/>
      <c r="K150" s="355"/>
      <c r="L150" s="355"/>
      <c r="M150" s="355"/>
      <c r="N150" s="355"/>
      <c r="O150" s="355"/>
      <c r="P150" s="355"/>
      <c r="Q150" s="355"/>
      <c r="R150" s="355"/>
      <c r="S150" s="355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</row>
    <row r="151" spans="1:33" x14ac:dyDescent="0.2">
      <c r="A151" s="355"/>
      <c r="B151" s="355"/>
      <c r="C151" s="355"/>
      <c r="D151" s="355"/>
      <c r="E151" s="355"/>
      <c r="F151" s="355"/>
      <c r="G151" s="355"/>
      <c r="H151" s="355"/>
      <c r="I151" s="355"/>
      <c r="J151" s="355"/>
      <c r="K151" s="355"/>
      <c r="L151" s="355"/>
      <c r="M151" s="355"/>
      <c r="N151" s="355"/>
      <c r="O151" s="355"/>
      <c r="P151" s="355"/>
      <c r="Q151" s="355"/>
      <c r="R151" s="355"/>
      <c r="S151" s="355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</row>
    <row r="152" spans="1:33" x14ac:dyDescent="0.2">
      <c r="A152" s="355"/>
      <c r="B152" s="355"/>
      <c r="C152" s="355"/>
      <c r="D152" s="355"/>
      <c r="E152" s="355"/>
      <c r="F152" s="355"/>
      <c r="G152" s="355"/>
      <c r="H152" s="355"/>
      <c r="I152" s="355"/>
      <c r="J152" s="355"/>
      <c r="K152" s="355"/>
      <c r="L152" s="355"/>
      <c r="M152" s="355"/>
      <c r="N152" s="355"/>
      <c r="O152" s="355"/>
      <c r="P152" s="355"/>
      <c r="Q152" s="355"/>
      <c r="R152" s="355"/>
      <c r="S152" s="355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</row>
    <row r="153" spans="1:33" x14ac:dyDescent="0.2">
      <c r="A153" s="355"/>
      <c r="B153" s="355"/>
      <c r="C153" s="355"/>
      <c r="D153" s="355"/>
      <c r="E153" s="355"/>
      <c r="F153" s="355"/>
      <c r="G153" s="355"/>
      <c r="H153" s="355"/>
      <c r="I153" s="355"/>
      <c r="J153" s="355"/>
      <c r="K153" s="355"/>
      <c r="L153" s="355"/>
      <c r="M153" s="355"/>
      <c r="N153" s="355"/>
      <c r="O153" s="355"/>
      <c r="P153" s="355"/>
      <c r="Q153" s="355"/>
      <c r="R153" s="355"/>
      <c r="S153" s="355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</row>
    <row r="154" spans="1:33" x14ac:dyDescent="0.2">
      <c r="A154" s="355"/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5"/>
      <c r="Q154" s="355"/>
      <c r="R154" s="355"/>
      <c r="S154" s="355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</row>
    <row r="155" spans="1:33" x14ac:dyDescent="0.2">
      <c r="A155" s="355"/>
      <c r="B155" s="355"/>
      <c r="C155" s="355"/>
      <c r="D155" s="355"/>
      <c r="E155" s="355"/>
      <c r="F155" s="355"/>
      <c r="G155" s="355"/>
      <c r="H155" s="355"/>
      <c r="I155" s="355"/>
      <c r="J155" s="355"/>
      <c r="K155" s="355"/>
      <c r="L155" s="355"/>
      <c r="M155" s="355"/>
      <c r="N155" s="355"/>
      <c r="O155" s="355"/>
      <c r="P155" s="355"/>
      <c r="Q155" s="355"/>
      <c r="R155" s="355"/>
      <c r="S155" s="355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</row>
    <row r="156" spans="1:33" x14ac:dyDescent="0.2">
      <c r="A156" s="355"/>
      <c r="B156" s="355"/>
      <c r="C156" s="355"/>
      <c r="D156" s="355"/>
      <c r="E156" s="355"/>
      <c r="F156" s="355"/>
      <c r="G156" s="355"/>
      <c r="H156" s="355"/>
      <c r="I156" s="355"/>
      <c r="J156" s="355"/>
      <c r="K156" s="355"/>
      <c r="L156" s="355"/>
      <c r="M156" s="355"/>
      <c r="N156" s="355"/>
      <c r="O156" s="355"/>
      <c r="P156" s="355"/>
      <c r="Q156" s="355"/>
      <c r="R156" s="355"/>
      <c r="S156" s="355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</row>
    <row r="157" spans="1:33" x14ac:dyDescent="0.2">
      <c r="A157" s="355"/>
      <c r="B157" s="355"/>
      <c r="C157" s="355"/>
      <c r="D157" s="355"/>
      <c r="E157" s="355"/>
      <c r="F157" s="355"/>
      <c r="G157" s="355"/>
      <c r="H157" s="355"/>
      <c r="I157" s="355"/>
      <c r="J157" s="355"/>
      <c r="K157" s="355"/>
      <c r="L157" s="355"/>
      <c r="M157" s="355"/>
      <c r="N157" s="355"/>
      <c r="O157" s="355"/>
      <c r="P157" s="355"/>
      <c r="Q157" s="355"/>
      <c r="R157" s="355"/>
      <c r="S157" s="355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</row>
    <row r="158" spans="1:33" x14ac:dyDescent="0.2">
      <c r="A158" s="355"/>
      <c r="B158" s="355"/>
      <c r="C158" s="355"/>
      <c r="D158" s="355"/>
      <c r="E158" s="355"/>
      <c r="F158" s="355"/>
      <c r="G158" s="355"/>
      <c r="H158" s="355"/>
      <c r="I158" s="355"/>
      <c r="J158" s="355"/>
      <c r="K158" s="355"/>
      <c r="L158" s="355"/>
      <c r="M158" s="355"/>
      <c r="N158" s="355"/>
      <c r="O158" s="355"/>
      <c r="P158" s="355"/>
      <c r="Q158" s="355"/>
      <c r="R158" s="355"/>
      <c r="S158" s="355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</row>
    <row r="159" spans="1:33" x14ac:dyDescent="0.2">
      <c r="A159" s="355"/>
      <c r="B159" s="355"/>
      <c r="C159" s="355"/>
      <c r="D159" s="355"/>
      <c r="E159" s="355"/>
      <c r="F159" s="355"/>
      <c r="G159" s="355"/>
      <c r="H159" s="355"/>
      <c r="I159" s="355"/>
      <c r="J159" s="355"/>
      <c r="K159" s="355"/>
      <c r="L159" s="355"/>
      <c r="M159" s="355"/>
      <c r="N159" s="355"/>
      <c r="O159" s="355"/>
      <c r="P159" s="355"/>
      <c r="Q159" s="355"/>
      <c r="R159" s="355"/>
      <c r="S159" s="355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</row>
    <row r="160" spans="1:33" x14ac:dyDescent="0.2">
      <c r="A160" s="355"/>
      <c r="B160" s="355"/>
      <c r="C160" s="355"/>
      <c r="D160" s="355"/>
      <c r="E160" s="355"/>
      <c r="F160" s="355"/>
      <c r="G160" s="355"/>
      <c r="H160" s="355"/>
      <c r="I160" s="355"/>
      <c r="J160" s="355"/>
      <c r="K160" s="355"/>
      <c r="L160" s="355"/>
      <c r="M160" s="355"/>
      <c r="N160" s="355"/>
      <c r="O160" s="355"/>
      <c r="P160" s="355"/>
      <c r="Q160" s="355"/>
      <c r="R160" s="355"/>
      <c r="S160" s="355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</row>
    <row r="161" spans="1:33" x14ac:dyDescent="0.2">
      <c r="A161" s="355"/>
      <c r="B161" s="355"/>
      <c r="C161" s="355"/>
      <c r="D161" s="355"/>
      <c r="E161" s="355"/>
      <c r="F161" s="355"/>
      <c r="G161" s="355"/>
      <c r="H161" s="355"/>
      <c r="I161" s="355"/>
      <c r="J161" s="355"/>
      <c r="K161" s="355"/>
      <c r="L161" s="355"/>
      <c r="M161" s="355"/>
      <c r="N161" s="355"/>
      <c r="O161" s="355"/>
      <c r="P161" s="355"/>
      <c r="Q161" s="355"/>
      <c r="R161" s="355"/>
      <c r="S161" s="355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</row>
    <row r="162" spans="1:33" x14ac:dyDescent="0.2">
      <c r="A162" s="355"/>
      <c r="B162" s="355"/>
      <c r="C162" s="355"/>
      <c r="D162" s="355"/>
      <c r="E162" s="355"/>
      <c r="F162" s="355"/>
      <c r="G162" s="355"/>
      <c r="H162" s="355"/>
      <c r="I162" s="355"/>
      <c r="J162" s="355"/>
      <c r="K162" s="355"/>
      <c r="L162" s="355"/>
      <c r="M162" s="355"/>
      <c r="N162" s="355"/>
      <c r="O162" s="355"/>
      <c r="P162" s="355"/>
      <c r="Q162" s="355"/>
      <c r="R162" s="355"/>
      <c r="S162" s="355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</row>
    <row r="163" spans="1:33" x14ac:dyDescent="0.2">
      <c r="A163" s="355"/>
      <c r="B163" s="355"/>
      <c r="C163" s="355"/>
      <c r="D163" s="355"/>
      <c r="E163" s="355"/>
      <c r="F163" s="355"/>
      <c r="G163" s="355"/>
      <c r="H163" s="355"/>
      <c r="I163" s="355"/>
      <c r="J163" s="355"/>
      <c r="K163" s="355"/>
      <c r="L163" s="355"/>
      <c r="M163" s="355"/>
      <c r="N163" s="355"/>
      <c r="O163" s="355"/>
      <c r="P163" s="355"/>
      <c r="Q163" s="355"/>
      <c r="R163" s="355"/>
      <c r="S163" s="355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</row>
    <row r="164" spans="1:33" x14ac:dyDescent="0.2">
      <c r="A164" s="355"/>
      <c r="B164" s="355"/>
      <c r="C164" s="355"/>
      <c r="D164" s="355"/>
      <c r="E164" s="355"/>
      <c r="F164" s="355"/>
      <c r="G164" s="355"/>
      <c r="H164" s="355"/>
      <c r="I164" s="355"/>
      <c r="J164" s="355"/>
      <c r="K164" s="355"/>
      <c r="L164" s="355"/>
      <c r="M164" s="355"/>
      <c r="N164" s="355"/>
      <c r="O164" s="355"/>
      <c r="P164" s="355"/>
      <c r="Q164" s="355"/>
      <c r="R164" s="355"/>
      <c r="S164" s="355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</row>
    <row r="165" spans="1:33" x14ac:dyDescent="0.2">
      <c r="A165" s="355"/>
      <c r="B165" s="355"/>
      <c r="C165" s="355"/>
      <c r="D165" s="355"/>
      <c r="E165" s="355"/>
      <c r="F165" s="355"/>
      <c r="G165" s="355"/>
      <c r="H165" s="355"/>
      <c r="I165" s="355"/>
      <c r="J165" s="355"/>
      <c r="K165" s="355"/>
      <c r="L165" s="355"/>
      <c r="M165" s="355"/>
      <c r="N165" s="355"/>
      <c r="O165" s="355"/>
      <c r="P165" s="355"/>
      <c r="Q165" s="355"/>
      <c r="R165" s="355"/>
      <c r="S165" s="355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</row>
    <row r="166" spans="1:33" x14ac:dyDescent="0.2">
      <c r="A166" s="355"/>
      <c r="B166" s="355"/>
      <c r="C166" s="355"/>
      <c r="D166" s="355"/>
      <c r="E166" s="355"/>
      <c r="F166" s="355"/>
      <c r="G166" s="355"/>
      <c r="H166" s="355"/>
      <c r="I166" s="355"/>
      <c r="J166" s="355"/>
      <c r="K166" s="355"/>
      <c r="L166" s="355"/>
      <c r="M166" s="355"/>
      <c r="N166" s="355"/>
      <c r="O166" s="355"/>
      <c r="P166" s="355"/>
      <c r="Q166" s="355"/>
      <c r="R166" s="355"/>
      <c r="S166" s="355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</row>
    <row r="167" spans="1:33" x14ac:dyDescent="0.2">
      <c r="A167" s="355"/>
      <c r="B167" s="355"/>
      <c r="C167" s="355"/>
      <c r="D167" s="355"/>
      <c r="E167" s="355"/>
      <c r="F167" s="355"/>
      <c r="G167" s="355"/>
      <c r="H167" s="355"/>
      <c r="I167" s="355"/>
      <c r="J167" s="355"/>
      <c r="K167" s="355"/>
      <c r="L167" s="355"/>
      <c r="M167" s="355"/>
      <c r="N167" s="355"/>
      <c r="O167" s="355"/>
      <c r="P167" s="355"/>
      <c r="Q167" s="355"/>
      <c r="R167" s="355"/>
      <c r="S167" s="355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</row>
    <row r="168" spans="1:33" x14ac:dyDescent="0.2">
      <c r="A168" s="355"/>
      <c r="B168" s="355"/>
      <c r="C168" s="355"/>
      <c r="D168" s="355"/>
      <c r="E168" s="355"/>
      <c r="F168" s="355"/>
      <c r="G168" s="355"/>
      <c r="H168" s="355"/>
      <c r="I168" s="355"/>
      <c r="J168" s="355"/>
      <c r="K168" s="355"/>
      <c r="L168" s="355"/>
      <c r="M168" s="355"/>
      <c r="N168" s="355"/>
      <c r="O168" s="355"/>
      <c r="P168" s="355"/>
      <c r="Q168" s="355"/>
      <c r="R168" s="355"/>
      <c r="S168" s="355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</row>
    <row r="169" spans="1:33" x14ac:dyDescent="0.2">
      <c r="A169" s="355"/>
      <c r="B169" s="355"/>
      <c r="C169" s="355"/>
      <c r="D169" s="355"/>
      <c r="E169" s="355"/>
      <c r="F169" s="355"/>
      <c r="G169" s="355"/>
      <c r="H169" s="355"/>
      <c r="I169" s="355"/>
      <c r="J169" s="355"/>
      <c r="K169" s="355"/>
      <c r="L169" s="355"/>
      <c r="M169" s="355"/>
      <c r="N169" s="355"/>
      <c r="O169" s="355"/>
      <c r="P169" s="355"/>
      <c r="Q169" s="355"/>
      <c r="R169" s="355"/>
      <c r="S169" s="355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</row>
    <row r="170" spans="1:33" x14ac:dyDescent="0.2">
      <c r="A170" s="355"/>
      <c r="B170" s="355"/>
      <c r="C170" s="355"/>
      <c r="D170" s="355"/>
      <c r="E170" s="355"/>
      <c r="F170" s="355"/>
      <c r="G170" s="355"/>
      <c r="H170" s="355"/>
      <c r="I170" s="355"/>
      <c r="J170" s="355"/>
      <c r="K170" s="355"/>
      <c r="L170" s="355"/>
      <c r="M170" s="355"/>
      <c r="N170" s="355"/>
      <c r="O170" s="355"/>
      <c r="P170" s="355"/>
      <c r="Q170" s="355"/>
      <c r="R170" s="355"/>
      <c r="S170" s="355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</row>
    <row r="171" spans="1:33" x14ac:dyDescent="0.2">
      <c r="A171" s="355"/>
      <c r="B171" s="355"/>
      <c r="C171" s="355"/>
      <c r="D171" s="355"/>
      <c r="E171" s="355"/>
      <c r="F171" s="355"/>
      <c r="G171" s="355"/>
      <c r="H171" s="355"/>
      <c r="I171" s="355"/>
      <c r="J171" s="355"/>
      <c r="K171" s="355"/>
      <c r="L171" s="355"/>
      <c r="M171" s="355"/>
      <c r="N171" s="355"/>
      <c r="O171" s="355"/>
      <c r="P171" s="355"/>
      <c r="Q171" s="355"/>
      <c r="R171" s="355"/>
      <c r="S171" s="355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</row>
    <row r="172" spans="1:33" x14ac:dyDescent="0.2">
      <c r="A172" s="355"/>
      <c r="B172" s="355"/>
      <c r="C172" s="355"/>
      <c r="D172" s="355"/>
      <c r="E172" s="355"/>
      <c r="F172" s="355"/>
      <c r="G172" s="355"/>
      <c r="H172" s="355"/>
      <c r="I172" s="355"/>
      <c r="J172" s="355"/>
      <c r="K172" s="355"/>
      <c r="L172" s="355"/>
      <c r="M172" s="355"/>
      <c r="N172" s="355"/>
      <c r="O172" s="355"/>
      <c r="P172" s="355"/>
      <c r="Q172" s="355"/>
      <c r="R172" s="355"/>
      <c r="S172" s="355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</row>
    <row r="173" spans="1:33" x14ac:dyDescent="0.2">
      <c r="A173" s="355"/>
      <c r="B173" s="355"/>
      <c r="C173" s="355"/>
      <c r="D173" s="355"/>
      <c r="E173" s="355"/>
      <c r="F173" s="355"/>
      <c r="G173" s="355"/>
      <c r="H173" s="355"/>
      <c r="I173" s="355"/>
      <c r="J173" s="355"/>
      <c r="K173" s="355"/>
      <c r="L173" s="355"/>
      <c r="M173" s="355"/>
      <c r="N173" s="355"/>
      <c r="O173" s="355"/>
      <c r="P173" s="355"/>
      <c r="Q173" s="355"/>
      <c r="R173" s="355"/>
      <c r="S173" s="355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</row>
    <row r="174" spans="1:33" x14ac:dyDescent="0.2">
      <c r="A174" s="355"/>
      <c r="B174" s="355"/>
      <c r="C174" s="355"/>
      <c r="D174" s="355"/>
      <c r="E174" s="355"/>
      <c r="F174" s="355"/>
      <c r="G174" s="355"/>
      <c r="H174" s="355"/>
      <c r="I174" s="355"/>
      <c r="J174" s="355"/>
      <c r="K174" s="355"/>
      <c r="L174" s="355"/>
      <c r="M174" s="355"/>
      <c r="N174" s="355"/>
      <c r="O174" s="355"/>
      <c r="P174" s="355"/>
      <c r="Q174" s="355"/>
      <c r="R174" s="355"/>
      <c r="S174" s="355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</row>
    <row r="175" spans="1:33" x14ac:dyDescent="0.2">
      <c r="A175" s="355"/>
      <c r="B175" s="355"/>
      <c r="C175" s="355"/>
      <c r="D175" s="355"/>
      <c r="E175" s="355"/>
      <c r="F175" s="355"/>
      <c r="G175" s="355"/>
      <c r="H175" s="355"/>
      <c r="I175" s="355"/>
      <c r="J175" s="355"/>
      <c r="K175" s="355"/>
      <c r="L175" s="355"/>
      <c r="M175" s="355"/>
      <c r="N175" s="355"/>
      <c r="O175" s="355"/>
      <c r="P175" s="355"/>
      <c r="Q175" s="355"/>
      <c r="R175" s="355"/>
      <c r="S175" s="355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</row>
    <row r="176" spans="1:33" x14ac:dyDescent="0.2">
      <c r="A176" s="355"/>
      <c r="B176" s="355"/>
      <c r="C176" s="355"/>
      <c r="D176" s="355"/>
      <c r="E176" s="355"/>
      <c r="F176" s="355"/>
      <c r="G176" s="355"/>
      <c r="H176" s="355"/>
      <c r="I176" s="355"/>
      <c r="J176" s="355"/>
      <c r="K176" s="355"/>
      <c r="L176" s="355"/>
      <c r="M176" s="355"/>
      <c r="N176" s="355"/>
      <c r="O176" s="355"/>
      <c r="P176" s="355"/>
      <c r="Q176" s="355"/>
      <c r="R176" s="355"/>
      <c r="S176" s="355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</row>
    <row r="177" spans="1:33" x14ac:dyDescent="0.2">
      <c r="A177" s="355"/>
      <c r="B177" s="355"/>
      <c r="C177" s="355"/>
      <c r="D177" s="355"/>
      <c r="E177" s="355"/>
      <c r="F177" s="355"/>
      <c r="G177" s="355"/>
      <c r="H177" s="355"/>
      <c r="I177" s="355"/>
      <c r="J177" s="355"/>
      <c r="K177" s="355"/>
      <c r="L177" s="355"/>
      <c r="M177" s="355"/>
      <c r="N177" s="355"/>
      <c r="O177" s="355"/>
      <c r="P177" s="355"/>
      <c r="Q177" s="355"/>
      <c r="R177" s="355"/>
      <c r="S177" s="355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</row>
    <row r="178" spans="1:33" x14ac:dyDescent="0.2">
      <c r="A178" s="355"/>
      <c r="B178" s="355"/>
      <c r="C178" s="355"/>
      <c r="D178" s="355"/>
      <c r="E178" s="355"/>
      <c r="F178" s="355"/>
      <c r="G178" s="355"/>
      <c r="H178" s="355"/>
      <c r="I178" s="355"/>
      <c r="J178" s="355"/>
      <c r="K178" s="355"/>
      <c r="L178" s="355"/>
      <c r="M178" s="355"/>
      <c r="N178" s="355"/>
      <c r="O178" s="355"/>
      <c r="P178" s="355"/>
      <c r="Q178" s="355"/>
      <c r="R178" s="355"/>
      <c r="S178" s="355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</row>
    <row r="179" spans="1:33" x14ac:dyDescent="0.2">
      <c r="A179" s="355"/>
      <c r="B179" s="355"/>
      <c r="C179" s="355"/>
      <c r="D179" s="355"/>
      <c r="E179" s="355"/>
      <c r="F179" s="355"/>
      <c r="G179" s="355"/>
      <c r="H179" s="355"/>
      <c r="I179" s="355"/>
      <c r="J179" s="355"/>
      <c r="K179" s="355"/>
      <c r="L179" s="355"/>
      <c r="M179" s="355"/>
      <c r="N179" s="355"/>
      <c r="O179" s="355"/>
      <c r="P179" s="355"/>
      <c r="Q179" s="355"/>
      <c r="R179" s="355"/>
      <c r="S179" s="355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</row>
    <row r="180" spans="1:33" x14ac:dyDescent="0.2">
      <c r="A180" s="355"/>
      <c r="B180" s="355"/>
      <c r="C180" s="355"/>
      <c r="D180" s="355"/>
      <c r="E180" s="355"/>
      <c r="F180" s="355"/>
      <c r="G180" s="355"/>
      <c r="H180" s="355"/>
      <c r="I180" s="355"/>
      <c r="J180" s="355"/>
      <c r="K180" s="355"/>
      <c r="L180" s="355"/>
      <c r="M180" s="355"/>
      <c r="N180" s="355"/>
      <c r="O180" s="355"/>
      <c r="P180" s="355"/>
      <c r="Q180" s="355"/>
      <c r="R180" s="355"/>
      <c r="S180" s="355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</row>
    <row r="181" spans="1:33" x14ac:dyDescent="0.2">
      <c r="A181" s="355"/>
      <c r="B181" s="355"/>
      <c r="C181" s="355"/>
      <c r="D181" s="355"/>
      <c r="E181" s="355"/>
      <c r="F181" s="355"/>
      <c r="G181" s="355"/>
      <c r="H181" s="355"/>
      <c r="I181" s="355"/>
      <c r="J181" s="355"/>
      <c r="K181" s="355"/>
      <c r="L181" s="355"/>
      <c r="M181" s="355"/>
      <c r="N181" s="355"/>
      <c r="O181" s="355"/>
      <c r="P181" s="355"/>
      <c r="Q181" s="355"/>
      <c r="R181" s="355"/>
      <c r="S181" s="355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</row>
    <row r="182" spans="1:33" x14ac:dyDescent="0.2">
      <c r="A182" s="355"/>
      <c r="B182" s="355"/>
      <c r="C182" s="355"/>
      <c r="D182" s="355"/>
      <c r="E182" s="355"/>
      <c r="F182" s="355"/>
      <c r="G182" s="355"/>
      <c r="H182" s="355"/>
      <c r="I182" s="355"/>
      <c r="J182" s="355"/>
      <c r="K182" s="355"/>
      <c r="L182" s="355"/>
      <c r="M182" s="355"/>
      <c r="N182" s="355"/>
      <c r="O182" s="355"/>
      <c r="P182" s="355"/>
      <c r="Q182" s="355"/>
      <c r="R182" s="355"/>
      <c r="S182" s="355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</row>
    <row r="183" spans="1:33" x14ac:dyDescent="0.2">
      <c r="A183" s="355"/>
      <c r="B183" s="355"/>
      <c r="C183" s="355"/>
      <c r="D183" s="355"/>
      <c r="E183" s="355"/>
      <c r="F183" s="355"/>
      <c r="G183" s="355"/>
      <c r="H183" s="355"/>
      <c r="I183" s="355"/>
      <c r="J183" s="355"/>
      <c r="K183" s="355"/>
      <c r="L183" s="355"/>
      <c r="M183" s="355"/>
      <c r="N183" s="355"/>
      <c r="O183" s="355"/>
      <c r="P183" s="355"/>
      <c r="Q183" s="355"/>
      <c r="R183" s="355"/>
      <c r="S183" s="355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</row>
    <row r="184" spans="1:33" x14ac:dyDescent="0.2">
      <c r="A184" s="355"/>
      <c r="B184" s="355"/>
      <c r="C184" s="355"/>
      <c r="D184" s="355"/>
      <c r="E184" s="355"/>
      <c r="F184" s="355"/>
      <c r="G184" s="355"/>
      <c r="H184" s="355"/>
      <c r="I184" s="355"/>
      <c r="J184" s="355"/>
      <c r="K184" s="355"/>
      <c r="L184" s="355"/>
      <c r="M184" s="355"/>
      <c r="N184" s="355"/>
      <c r="O184" s="355"/>
      <c r="P184" s="355"/>
      <c r="Q184" s="355"/>
      <c r="R184" s="355"/>
      <c r="S184" s="355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</row>
    <row r="185" spans="1:33" x14ac:dyDescent="0.2">
      <c r="A185" s="355"/>
      <c r="B185" s="355"/>
      <c r="C185" s="355"/>
      <c r="D185" s="355"/>
      <c r="E185" s="355"/>
      <c r="F185" s="355"/>
      <c r="G185" s="355"/>
      <c r="H185" s="355"/>
      <c r="I185" s="355"/>
      <c r="J185" s="355"/>
      <c r="K185" s="355"/>
      <c r="L185" s="355"/>
      <c r="M185" s="355"/>
      <c r="N185" s="355"/>
      <c r="O185" s="355"/>
      <c r="P185" s="355"/>
      <c r="Q185" s="355"/>
      <c r="R185" s="355"/>
      <c r="S185" s="355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</row>
    <row r="186" spans="1:33" x14ac:dyDescent="0.2">
      <c r="A186" s="355"/>
      <c r="B186" s="355"/>
      <c r="C186" s="355"/>
      <c r="D186" s="355"/>
      <c r="E186" s="355"/>
      <c r="F186" s="355"/>
      <c r="G186" s="355"/>
      <c r="H186" s="355"/>
      <c r="I186" s="355"/>
      <c r="J186" s="355"/>
      <c r="K186" s="355"/>
      <c r="L186" s="355"/>
      <c r="M186" s="355"/>
      <c r="N186" s="355"/>
      <c r="O186" s="355"/>
      <c r="P186" s="355"/>
      <c r="Q186" s="355"/>
      <c r="R186" s="355"/>
      <c r="S186" s="355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</row>
    <row r="187" spans="1:33" x14ac:dyDescent="0.2">
      <c r="A187" s="355"/>
      <c r="B187" s="355"/>
      <c r="C187" s="355"/>
      <c r="D187" s="355"/>
      <c r="E187" s="355"/>
      <c r="F187" s="355"/>
      <c r="G187" s="355"/>
      <c r="H187" s="355"/>
      <c r="I187" s="355"/>
      <c r="J187" s="355"/>
      <c r="K187" s="355"/>
      <c r="L187" s="355"/>
      <c r="M187" s="355"/>
      <c r="N187" s="355"/>
      <c r="O187" s="355"/>
      <c r="P187" s="355"/>
      <c r="Q187" s="355"/>
      <c r="R187" s="355"/>
      <c r="S187" s="355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</row>
    <row r="188" spans="1:33" x14ac:dyDescent="0.2">
      <c r="A188" s="355"/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5"/>
      <c r="P188" s="355"/>
      <c r="Q188" s="355"/>
      <c r="R188" s="355"/>
      <c r="S188" s="355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</row>
    <row r="189" spans="1:33" x14ac:dyDescent="0.2">
      <c r="A189" s="355"/>
      <c r="B189" s="355"/>
      <c r="C189" s="355"/>
      <c r="D189" s="355"/>
      <c r="E189" s="355"/>
      <c r="F189" s="355"/>
      <c r="G189" s="355"/>
      <c r="H189" s="355"/>
      <c r="I189" s="355"/>
      <c r="J189" s="355"/>
      <c r="K189" s="355"/>
      <c r="L189" s="355"/>
      <c r="M189" s="355"/>
      <c r="N189" s="355"/>
      <c r="O189" s="355"/>
      <c r="P189" s="355"/>
      <c r="Q189" s="355"/>
      <c r="R189" s="355"/>
      <c r="S189" s="355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</row>
    <row r="190" spans="1:33" x14ac:dyDescent="0.2">
      <c r="A190" s="355"/>
      <c r="B190" s="355"/>
      <c r="C190" s="355"/>
      <c r="D190" s="355"/>
      <c r="E190" s="355"/>
      <c r="F190" s="355"/>
      <c r="G190" s="355"/>
      <c r="H190" s="355"/>
      <c r="I190" s="355"/>
      <c r="J190" s="355"/>
      <c r="K190" s="355"/>
      <c r="L190" s="355"/>
      <c r="M190" s="355"/>
      <c r="N190" s="355"/>
      <c r="O190" s="355"/>
      <c r="P190" s="355"/>
      <c r="Q190" s="355"/>
      <c r="R190" s="355"/>
      <c r="S190" s="355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</row>
    <row r="191" spans="1:33" x14ac:dyDescent="0.2">
      <c r="A191" s="355"/>
      <c r="B191" s="355"/>
      <c r="C191" s="355"/>
      <c r="D191" s="355"/>
      <c r="E191" s="355"/>
      <c r="F191" s="355"/>
      <c r="G191" s="355"/>
      <c r="H191" s="355"/>
      <c r="I191" s="355"/>
      <c r="J191" s="355"/>
      <c r="K191" s="355"/>
      <c r="L191" s="355"/>
      <c r="M191" s="355"/>
      <c r="N191" s="355"/>
      <c r="O191" s="355"/>
      <c r="P191" s="355"/>
      <c r="Q191" s="355"/>
      <c r="R191" s="355"/>
      <c r="S191" s="355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</row>
    <row r="192" spans="1:33" x14ac:dyDescent="0.2">
      <c r="A192" s="355"/>
      <c r="B192" s="355"/>
      <c r="C192" s="355"/>
      <c r="D192" s="355"/>
      <c r="E192" s="355"/>
      <c r="F192" s="355"/>
      <c r="G192" s="355"/>
      <c r="H192" s="355"/>
      <c r="I192" s="355"/>
      <c r="J192" s="355"/>
      <c r="K192" s="355"/>
      <c r="L192" s="355"/>
      <c r="M192" s="355"/>
      <c r="N192" s="355"/>
      <c r="O192" s="355"/>
      <c r="P192" s="355"/>
      <c r="Q192" s="355"/>
      <c r="R192" s="355"/>
      <c r="S192" s="355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</row>
    <row r="193" spans="1:33" x14ac:dyDescent="0.2">
      <c r="A193" s="355"/>
      <c r="B193" s="355"/>
      <c r="C193" s="355"/>
      <c r="D193" s="355"/>
      <c r="E193" s="355"/>
      <c r="F193" s="355"/>
      <c r="G193" s="355"/>
      <c r="H193" s="355"/>
      <c r="I193" s="355"/>
      <c r="J193" s="355"/>
      <c r="K193" s="355"/>
      <c r="L193" s="355"/>
      <c r="M193" s="355"/>
      <c r="N193" s="355"/>
      <c r="O193" s="355"/>
      <c r="P193" s="355"/>
      <c r="Q193" s="355"/>
      <c r="R193" s="355"/>
      <c r="S193" s="355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</row>
    <row r="194" spans="1:33" x14ac:dyDescent="0.2">
      <c r="A194" s="355"/>
      <c r="B194" s="355"/>
      <c r="C194" s="355"/>
      <c r="D194" s="355"/>
      <c r="E194" s="355"/>
      <c r="F194" s="355"/>
      <c r="G194" s="355"/>
      <c r="H194" s="355"/>
      <c r="I194" s="355"/>
      <c r="J194" s="355"/>
      <c r="K194" s="355"/>
      <c r="L194" s="355"/>
      <c r="M194" s="355"/>
      <c r="N194" s="355"/>
      <c r="O194" s="355"/>
      <c r="P194" s="355"/>
      <c r="Q194" s="355"/>
      <c r="R194" s="355"/>
      <c r="S194" s="355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</row>
    <row r="195" spans="1:33" x14ac:dyDescent="0.2">
      <c r="A195" s="355"/>
      <c r="B195" s="355"/>
      <c r="C195" s="355"/>
      <c r="D195" s="355"/>
      <c r="E195" s="355"/>
      <c r="F195" s="355"/>
      <c r="G195" s="355"/>
      <c r="H195" s="355"/>
      <c r="I195" s="355"/>
      <c r="J195" s="355"/>
      <c r="K195" s="355"/>
      <c r="L195" s="355"/>
      <c r="M195" s="355"/>
      <c r="N195" s="355"/>
      <c r="O195" s="355"/>
      <c r="P195" s="355"/>
      <c r="Q195" s="355"/>
      <c r="R195" s="355"/>
      <c r="S195" s="355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</row>
    <row r="196" spans="1:33" x14ac:dyDescent="0.2">
      <c r="A196" s="355"/>
      <c r="B196" s="355"/>
      <c r="C196" s="355"/>
      <c r="D196" s="355"/>
      <c r="E196" s="355"/>
      <c r="F196" s="355"/>
      <c r="G196" s="355"/>
      <c r="H196" s="355"/>
      <c r="I196" s="355"/>
      <c r="J196" s="355"/>
      <c r="K196" s="355"/>
      <c r="L196" s="355"/>
      <c r="M196" s="355"/>
      <c r="N196" s="355"/>
      <c r="O196" s="355"/>
      <c r="P196" s="355"/>
      <c r="Q196" s="355"/>
      <c r="R196" s="355"/>
      <c r="S196" s="355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</row>
    <row r="197" spans="1:33" x14ac:dyDescent="0.2">
      <c r="A197" s="355"/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355"/>
      <c r="M197" s="355"/>
      <c r="N197" s="355"/>
      <c r="O197" s="355"/>
      <c r="P197" s="355"/>
      <c r="Q197" s="355"/>
      <c r="R197" s="355"/>
      <c r="S197" s="355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</row>
    <row r="198" spans="1:33" x14ac:dyDescent="0.2">
      <c r="A198" s="355"/>
      <c r="B198" s="355"/>
      <c r="C198" s="355"/>
      <c r="D198" s="355"/>
      <c r="E198" s="355"/>
      <c r="F198" s="355"/>
      <c r="G198" s="355"/>
      <c r="H198" s="355"/>
      <c r="I198" s="355"/>
      <c r="J198" s="355"/>
      <c r="K198" s="355"/>
      <c r="L198" s="355"/>
      <c r="M198" s="355"/>
      <c r="N198" s="355"/>
      <c r="O198" s="355"/>
      <c r="P198" s="355"/>
      <c r="Q198" s="355"/>
      <c r="R198" s="355"/>
      <c r="S198" s="355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</row>
    <row r="199" spans="1:33" x14ac:dyDescent="0.2">
      <c r="A199" s="355"/>
      <c r="B199" s="355"/>
      <c r="C199" s="355"/>
      <c r="D199" s="355"/>
      <c r="E199" s="355"/>
      <c r="F199" s="355"/>
      <c r="G199" s="355"/>
      <c r="H199" s="355"/>
      <c r="I199" s="355"/>
      <c r="J199" s="355"/>
      <c r="K199" s="355"/>
      <c r="L199" s="355"/>
      <c r="M199" s="355"/>
      <c r="N199" s="355"/>
      <c r="O199" s="355"/>
      <c r="P199" s="355"/>
      <c r="Q199" s="355"/>
      <c r="R199" s="355"/>
      <c r="S199" s="355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</row>
    <row r="200" spans="1:33" x14ac:dyDescent="0.2">
      <c r="A200" s="355"/>
      <c r="B200" s="355"/>
      <c r="C200" s="355"/>
      <c r="D200" s="355"/>
      <c r="E200" s="355"/>
      <c r="F200" s="355"/>
      <c r="G200" s="355"/>
      <c r="H200" s="355"/>
      <c r="I200" s="355"/>
      <c r="J200" s="355"/>
      <c r="K200" s="355"/>
      <c r="L200" s="355"/>
      <c r="M200" s="355"/>
      <c r="N200" s="355"/>
      <c r="O200" s="355"/>
      <c r="P200" s="355"/>
      <c r="Q200" s="355"/>
      <c r="R200" s="355"/>
      <c r="S200" s="355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</row>
    <row r="201" spans="1:33" x14ac:dyDescent="0.2">
      <c r="A201" s="355"/>
      <c r="B201" s="355"/>
      <c r="C201" s="355"/>
      <c r="D201" s="355"/>
      <c r="E201" s="355"/>
      <c r="F201" s="355"/>
      <c r="G201" s="355"/>
      <c r="H201" s="355"/>
      <c r="I201" s="355"/>
      <c r="J201" s="355"/>
      <c r="K201" s="355"/>
      <c r="L201" s="355"/>
      <c r="M201" s="355"/>
      <c r="N201" s="355"/>
      <c r="O201" s="355"/>
      <c r="P201" s="355"/>
      <c r="Q201" s="355"/>
      <c r="R201" s="355"/>
      <c r="S201" s="355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</row>
    <row r="202" spans="1:33" x14ac:dyDescent="0.2">
      <c r="A202" s="355"/>
      <c r="B202" s="355"/>
      <c r="C202" s="355"/>
      <c r="D202" s="355"/>
      <c r="E202" s="355"/>
      <c r="F202" s="355"/>
      <c r="G202" s="355"/>
      <c r="H202" s="355"/>
      <c r="I202" s="355"/>
      <c r="J202" s="355"/>
      <c r="K202" s="355"/>
      <c r="L202" s="355"/>
      <c r="M202" s="355"/>
      <c r="N202" s="355"/>
      <c r="O202" s="355"/>
      <c r="P202" s="355"/>
      <c r="Q202" s="355"/>
      <c r="R202" s="355"/>
      <c r="S202" s="355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</row>
    <row r="203" spans="1:33" x14ac:dyDescent="0.2">
      <c r="A203" s="355"/>
      <c r="B203" s="355"/>
      <c r="C203" s="355"/>
      <c r="D203" s="355"/>
      <c r="E203" s="355"/>
      <c r="F203" s="355"/>
      <c r="G203" s="355"/>
      <c r="H203" s="355"/>
      <c r="I203" s="355"/>
      <c r="J203" s="355"/>
      <c r="K203" s="355"/>
      <c r="L203" s="355"/>
      <c r="M203" s="355"/>
      <c r="N203" s="355"/>
      <c r="O203" s="355"/>
      <c r="P203" s="355"/>
      <c r="Q203" s="355"/>
      <c r="R203" s="355"/>
      <c r="S203" s="355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</row>
    <row r="204" spans="1:33" x14ac:dyDescent="0.2">
      <c r="A204" s="355"/>
      <c r="B204" s="355"/>
      <c r="C204" s="355"/>
      <c r="D204" s="355"/>
      <c r="E204" s="355"/>
      <c r="F204" s="355"/>
      <c r="G204" s="355"/>
      <c r="H204" s="355"/>
      <c r="I204" s="355"/>
      <c r="J204" s="355"/>
      <c r="K204" s="355"/>
      <c r="L204" s="355"/>
      <c r="M204" s="355"/>
      <c r="N204" s="355"/>
      <c r="O204" s="355"/>
      <c r="P204" s="355"/>
      <c r="Q204" s="355"/>
      <c r="R204" s="355"/>
      <c r="S204" s="355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</row>
    <row r="205" spans="1:33" x14ac:dyDescent="0.2">
      <c r="A205" s="355"/>
      <c r="B205" s="355"/>
      <c r="C205" s="355"/>
      <c r="D205" s="355"/>
      <c r="E205" s="355"/>
      <c r="F205" s="355"/>
      <c r="G205" s="355"/>
      <c r="H205" s="355"/>
      <c r="I205" s="355"/>
      <c r="J205" s="355"/>
      <c r="K205" s="355"/>
      <c r="L205" s="355"/>
      <c r="M205" s="355"/>
      <c r="N205" s="355"/>
      <c r="O205" s="355"/>
      <c r="P205" s="355"/>
      <c r="Q205" s="355"/>
      <c r="R205" s="355"/>
      <c r="S205" s="355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</row>
    <row r="206" spans="1:33" x14ac:dyDescent="0.2">
      <c r="A206" s="355"/>
      <c r="B206" s="355"/>
      <c r="C206" s="355"/>
      <c r="D206" s="355"/>
      <c r="E206" s="355"/>
      <c r="F206" s="355"/>
      <c r="G206" s="355"/>
      <c r="H206" s="355"/>
      <c r="I206" s="355"/>
      <c r="J206" s="355"/>
      <c r="K206" s="355"/>
      <c r="L206" s="355"/>
      <c r="M206" s="355"/>
      <c r="N206" s="355"/>
      <c r="O206" s="355"/>
      <c r="P206" s="355"/>
      <c r="Q206" s="355"/>
      <c r="R206" s="355"/>
      <c r="S206" s="355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</row>
    <row r="207" spans="1:33" x14ac:dyDescent="0.2">
      <c r="A207" s="355"/>
      <c r="B207" s="355"/>
      <c r="C207" s="355"/>
      <c r="D207" s="355"/>
      <c r="E207" s="355"/>
      <c r="F207" s="355"/>
      <c r="G207" s="355"/>
      <c r="H207" s="355"/>
      <c r="I207" s="355"/>
      <c r="J207" s="355"/>
      <c r="K207" s="355"/>
      <c r="L207" s="355"/>
      <c r="M207" s="355"/>
      <c r="N207" s="355"/>
      <c r="O207" s="355"/>
      <c r="P207" s="355"/>
      <c r="Q207" s="355"/>
      <c r="R207" s="355"/>
      <c r="S207" s="355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</row>
    <row r="208" spans="1:33" x14ac:dyDescent="0.2">
      <c r="A208" s="355"/>
      <c r="B208" s="355"/>
      <c r="C208" s="355"/>
      <c r="D208" s="355"/>
      <c r="E208" s="355"/>
      <c r="F208" s="355"/>
      <c r="G208" s="355"/>
      <c r="H208" s="355"/>
      <c r="I208" s="355"/>
      <c r="J208" s="355"/>
      <c r="K208" s="355"/>
      <c r="L208" s="355"/>
      <c r="M208" s="355"/>
      <c r="N208" s="355"/>
      <c r="O208" s="355"/>
      <c r="P208" s="355"/>
      <c r="Q208" s="355"/>
      <c r="R208" s="355"/>
      <c r="S208" s="355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</row>
    <row r="209" spans="1:33" x14ac:dyDescent="0.2">
      <c r="A209" s="355"/>
      <c r="B209" s="355"/>
      <c r="C209" s="355"/>
      <c r="D209" s="355"/>
      <c r="E209" s="355"/>
      <c r="F209" s="355"/>
      <c r="G209" s="355"/>
      <c r="H209" s="355"/>
      <c r="I209" s="355"/>
      <c r="J209" s="355"/>
      <c r="K209" s="355"/>
      <c r="L209" s="355"/>
      <c r="M209" s="355"/>
      <c r="N209" s="355"/>
      <c r="O209" s="355"/>
      <c r="P209" s="355"/>
      <c r="Q209" s="355"/>
      <c r="R209" s="355"/>
      <c r="S209" s="355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</row>
    <row r="210" spans="1:33" x14ac:dyDescent="0.2">
      <c r="A210" s="355"/>
      <c r="B210" s="355"/>
      <c r="C210" s="355"/>
      <c r="D210" s="355"/>
      <c r="E210" s="355"/>
      <c r="F210" s="355"/>
      <c r="G210" s="355"/>
      <c r="H210" s="355"/>
      <c r="I210" s="355"/>
      <c r="J210" s="355"/>
      <c r="K210" s="355"/>
      <c r="L210" s="355"/>
      <c r="M210" s="355"/>
      <c r="N210" s="355"/>
      <c r="O210" s="355"/>
      <c r="P210" s="355"/>
      <c r="Q210" s="355"/>
      <c r="R210" s="355"/>
      <c r="S210" s="355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</row>
    <row r="211" spans="1:33" x14ac:dyDescent="0.2">
      <c r="A211" s="355"/>
      <c r="B211" s="355"/>
      <c r="C211" s="355"/>
      <c r="D211" s="355"/>
      <c r="E211" s="355"/>
      <c r="F211" s="355"/>
      <c r="G211" s="355"/>
      <c r="H211" s="355"/>
      <c r="I211" s="355"/>
      <c r="J211" s="355"/>
      <c r="K211" s="355"/>
      <c r="L211" s="355"/>
      <c r="M211" s="355"/>
      <c r="N211" s="355"/>
      <c r="O211" s="355"/>
      <c r="P211" s="355"/>
      <c r="Q211" s="355"/>
      <c r="R211" s="355"/>
      <c r="S211" s="355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</row>
    <row r="212" spans="1:33" x14ac:dyDescent="0.2">
      <c r="A212" s="355"/>
      <c r="B212" s="355"/>
      <c r="C212" s="355"/>
      <c r="D212" s="355"/>
      <c r="E212" s="355"/>
      <c r="F212" s="355"/>
      <c r="G212" s="355"/>
      <c r="H212" s="355"/>
      <c r="I212" s="355"/>
      <c r="J212" s="355"/>
      <c r="K212" s="355"/>
      <c r="L212" s="355"/>
      <c r="M212" s="355"/>
      <c r="N212" s="355"/>
      <c r="O212" s="355"/>
      <c r="P212" s="355"/>
      <c r="Q212" s="355"/>
      <c r="R212" s="355"/>
      <c r="S212" s="355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</row>
    <row r="213" spans="1:33" x14ac:dyDescent="0.2">
      <c r="A213" s="355"/>
      <c r="B213" s="355"/>
      <c r="C213" s="355"/>
      <c r="D213" s="355"/>
      <c r="E213" s="355"/>
      <c r="F213" s="355"/>
      <c r="G213" s="355"/>
      <c r="H213" s="355"/>
      <c r="I213" s="355"/>
      <c r="J213" s="355"/>
      <c r="K213" s="355"/>
      <c r="L213" s="355"/>
      <c r="M213" s="355"/>
      <c r="N213" s="355"/>
      <c r="O213" s="355"/>
      <c r="P213" s="355"/>
      <c r="Q213" s="355"/>
      <c r="R213" s="355"/>
      <c r="S213" s="355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</row>
    <row r="214" spans="1:33" x14ac:dyDescent="0.2">
      <c r="A214" s="355"/>
      <c r="B214" s="355"/>
      <c r="C214" s="355"/>
      <c r="D214" s="355"/>
      <c r="E214" s="355"/>
      <c r="F214" s="355"/>
      <c r="G214" s="355"/>
      <c r="H214" s="355"/>
      <c r="I214" s="355"/>
      <c r="J214" s="355"/>
      <c r="K214" s="355"/>
      <c r="L214" s="355"/>
      <c r="M214" s="355"/>
      <c r="N214" s="355"/>
      <c r="O214" s="355"/>
      <c r="P214" s="355"/>
      <c r="Q214" s="355"/>
      <c r="R214" s="355"/>
      <c r="S214" s="355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</row>
    <row r="215" spans="1:33" x14ac:dyDescent="0.2">
      <c r="A215" s="355"/>
      <c r="B215" s="355"/>
      <c r="C215" s="355"/>
      <c r="D215" s="355"/>
      <c r="E215" s="355"/>
      <c r="F215" s="355"/>
      <c r="G215" s="355"/>
      <c r="H215" s="355"/>
      <c r="I215" s="355"/>
      <c r="J215" s="355"/>
      <c r="K215" s="355"/>
      <c r="L215" s="355"/>
      <c r="M215" s="355"/>
      <c r="N215" s="355"/>
      <c r="O215" s="355"/>
      <c r="P215" s="355"/>
      <c r="Q215" s="355"/>
      <c r="R215" s="355"/>
      <c r="S215" s="355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</row>
    <row r="216" spans="1:33" x14ac:dyDescent="0.2">
      <c r="A216" s="355"/>
      <c r="B216" s="355"/>
      <c r="C216" s="355"/>
      <c r="D216" s="355"/>
      <c r="E216" s="355"/>
      <c r="F216" s="355"/>
      <c r="G216" s="355"/>
      <c r="H216" s="355"/>
      <c r="I216" s="355"/>
      <c r="J216" s="355"/>
      <c r="K216" s="355"/>
      <c r="L216" s="355"/>
      <c r="M216" s="355"/>
      <c r="N216" s="355"/>
      <c r="O216" s="355"/>
      <c r="P216" s="355"/>
      <c r="Q216" s="355"/>
      <c r="R216" s="355"/>
      <c r="S216" s="355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</row>
    <row r="217" spans="1:33" x14ac:dyDescent="0.2">
      <c r="A217" s="355"/>
      <c r="B217" s="355"/>
      <c r="C217" s="355"/>
      <c r="D217" s="355"/>
      <c r="E217" s="355"/>
      <c r="F217" s="355"/>
      <c r="G217" s="355"/>
      <c r="H217" s="355"/>
      <c r="I217" s="355"/>
      <c r="J217" s="355"/>
      <c r="K217" s="355"/>
      <c r="L217" s="355"/>
      <c r="M217" s="355"/>
      <c r="N217" s="355"/>
      <c r="O217" s="355"/>
      <c r="P217" s="355"/>
      <c r="Q217" s="355"/>
      <c r="R217" s="355"/>
      <c r="S217" s="355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</row>
    <row r="218" spans="1:33" x14ac:dyDescent="0.2">
      <c r="A218" s="355"/>
      <c r="B218" s="355"/>
      <c r="C218" s="355"/>
      <c r="D218" s="355"/>
      <c r="E218" s="355"/>
      <c r="F218" s="355"/>
      <c r="G218" s="355"/>
      <c r="H218" s="355"/>
      <c r="I218" s="355"/>
      <c r="J218" s="355"/>
      <c r="K218" s="355"/>
      <c r="L218" s="355"/>
      <c r="M218" s="355"/>
      <c r="N218" s="355"/>
      <c r="O218" s="355"/>
      <c r="P218" s="355"/>
      <c r="Q218" s="355"/>
      <c r="R218" s="355"/>
      <c r="S218" s="355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</row>
    <row r="219" spans="1:33" x14ac:dyDescent="0.2">
      <c r="A219" s="355"/>
      <c r="B219" s="355"/>
      <c r="C219" s="355"/>
      <c r="D219" s="355"/>
      <c r="E219" s="355"/>
      <c r="F219" s="355"/>
      <c r="G219" s="355"/>
      <c r="H219" s="355"/>
      <c r="I219" s="355"/>
      <c r="J219" s="355"/>
      <c r="K219" s="355"/>
      <c r="L219" s="355"/>
      <c r="M219" s="355"/>
      <c r="N219" s="355"/>
      <c r="O219" s="355"/>
      <c r="P219" s="355"/>
      <c r="Q219" s="355"/>
      <c r="R219" s="355"/>
      <c r="S219" s="355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</row>
    <row r="220" spans="1:33" x14ac:dyDescent="0.2">
      <c r="A220" s="355"/>
      <c r="B220" s="355"/>
      <c r="C220" s="355"/>
      <c r="D220" s="355"/>
      <c r="E220" s="355"/>
      <c r="F220" s="355"/>
      <c r="G220" s="355"/>
      <c r="H220" s="355"/>
      <c r="I220" s="355"/>
      <c r="J220" s="355"/>
      <c r="K220" s="355"/>
      <c r="L220" s="355"/>
      <c r="M220" s="355"/>
      <c r="N220" s="355"/>
      <c r="O220" s="355"/>
      <c r="P220" s="355"/>
      <c r="Q220" s="355"/>
      <c r="R220" s="355"/>
      <c r="S220" s="355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</row>
    <row r="221" spans="1:33" x14ac:dyDescent="0.2">
      <c r="A221" s="355"/>
      <c r="B221" s="355"/>
      <c r="C221" s="355"/>
      <c r="D221" s="355"/>
      <c r="E221" s="355"/>
      <c r="F221" s="355"/>
      <c r="G221" s="355"/>
      <c r="H221" s="355"/>
      <c r="I221" s="355"/>
      <c r="J221" s="355"/>
      <c r="K221" s="355"/>
      <c r="L221" s="355"/>
      <c r="M221" s="355"/>
      <c r="N221" s="355"/>
      <c r="O221" s="355"/>
      <c r="P221" s="355"/>
      <c r="Q221" s="355"/>
      <c r="R221" s="355"/>
      <c r="S221" s="355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</row>
    <row r="222" spans="1:33" x14ac:dyDescent="0.2">
      <c r="A222" s="355"/>
      <c r="B222" s="355"/>
      <c r="C222" s="355"/>
      <c r="D222" s="355"/>
      <c r="E222" s="355"/>
      <c r="F222" s="355"/>
      <c r="G222" s="355"/>
      <c r="H222" s="355"/>
      <c r="I222" s="355"/>
      <c r="J222" s="355"/>
      <c r="K222" s="355"/>
      <c r="L222" s="355"/>
      <c r="M222" s="355"/>
      <c r="N222" s="355"/>
      <c r="O222" s="355"/>
      <c r="P222" s="355"/>
      <c r="Q222" s="355"/>
      <c r="R222" s="355"/>
      <c r="S222" s="355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</row>
    <row r="223" spans="1:33" x14ac:dyDescent="0.2">
      <c r="A223" s="355"/>
      <c r="B223" s="355"/>
      <c r="C223" s="355"/>
      <c r="D223" s="355"/>
      <c r="E223" s="355"/>
      <c r="F223" s="355"/>
      <c r="G223" s="355"/>
      <c r="H223" s="355"/>
      <c r="I223" s="355"/>
      <c r="J223" s="355"/>
      <c r="K223" s="355"/>
      <c r="L223" s="355"/>
      <c r="M223" s="355"/>
      <c r="N223" s="355"/>
      <c r="O223" s="355"/>
      <c r="P223" s="355"/>
      <c r="Q223" s="355"/>
      <c r="R223" s="355"/>
      <c r="S223" s="355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</row>
    <row r="224" spans="1:33" x14ac:dyDescent="0.2">
      <c r="A224" s="355"/>
      <c r="B224" s="355"/>
      <c r="C224" s="355"/>
      <c r="D224" s="355"/>
      <c r="E224" s="355"/>
      <c r="F224" s="355"/>
      <c r="G224" s="355"/>
      <c r="H224" s="355"/>
      <c r="I224" s="355"/>
      <c r="J224" s="355"/>
      <c r="K224" s="355"/>
      <c r="L224" s="355"/>
      <c r="M224" s="355"/>
      <c r="N224" s="355"/>
      <c r="O224" s="355"/>
      <c r="P224" s="355"/>
      <c r="Q224" s="355"/>
      <c r="R224" s="355"/>
      <c r="S224" s="355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</row>
    <row r="225" spans="1:33" x14ac:dyDescent="0.2">
      <c r="A225" s="355"/>
      <c r="B225" s="355"/>
      <c r="C225" s="355"/>
      <c r="D225" s="355"/>
      <c r="E225" s="355"/>
      <c r="F225" s="355"/>
      <c r="G225" s="355"/>
      <c r="H225" s="355"/>
      <c r="I225" s="355"/>
      <c r="J225" s="355"/>
      <c r="K225" s="355"/>
      <c r="L225" s="355"/>
      <c r="M225" s="355"/>
      <c r="N225" s="355"/>
      <c r="O225" s="355"/>
      <c r="P225" s="355"/>
      <c r="Q225" s="355"/>
      <c r="R225" s="355"/>
      <c r="S225" s="355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</row>
    <row r="226" spans="1:33" x14ac:dyDescent="0.2">
      <c r="A226" s="355"/>
      <c r="B226" s="355"/>
      <c r="C226" s="355"/>
      <c r="D226" s="355"/>
      <c r="E226" s="355"/>
      <c r="F226" s="355"/>
      <c r="G226" s="355"/>
      <c r="H226" s="355"/>
      <c r="I226" s="355"/>
      <c r="J226" s="355"/>
      <c r="K226" s="355"/>
      <c r="L226" s="355"/>
      <c r="M226" s="355"/>
      <c r="N226" s="355"/>
      <c r="O226" s="355"/>
      <c r="P226" s="355"/>
      <c r="Q226" s="355"/>
      <c r="R226" s="355"/>
      <c r="S226" s="355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</row>
    <row r="227" spans="1:33" x14ac:dyDescent="0.2">
      <c r="A227" s="355"/>
      <c r="B227" s="355"/>
      <c r="C227" s="355"/>
      <c r="D227" s="355"/>
      <c r="E227" s="355"/>
      <c r="F227" s="355"/>
      <c r="G227" s="355"/>
      <c r="H227" s="355"/>
      <c r="I227" s="355"/>
      <c r="J227" s="355"/>
      <c r="K227" s="355"/>
      <c r="L227" s="355"/>
      <c r="M227" s="355"/>
      <c r="N227" s="355"/>
      <c r="O227" s="355"/>
      <c r="P227" s="355"/>
      <c r="Q227" s="355"/>
      <c r="R227" s="355"/>
      <c r="S227" s="355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</row>
    <row r="228" spans="1:33" x14ac:dyDescent="0.2">
      <c r="A228" s="355"/>
      <c r="B228" s="355"/>
      <c r="C228" s="355"/>
      <c r="D228" s="355"/>
      <c r="E228" s="355"/>
      <c r="F228" s="355"/>
      <c r="G228" s="355"/>
      <c r="H228" s="355"/>
      <c r="I228" s="355"/>
      <c r="J228" s="355"/>
      <c r="K228" s="355"/>
      <c r="L228" s="355"/>
      <c r="M228" s="355"/>
      <c r="N228" s="355"/>
      <c r="O228" s="355"/>
      <c r="P228" s="355"/>
      <c r="Q228" s="355"/>
      <c r="R228" s="355"/>
      <c r="S228" s="355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</row>
    <row r="229" spans="1:33" x14ac:dyDescent="0.2">
      <c r="A229" s="355"/>
      <c r="B229" s="355"/>
      <c r="C229" s="355"/>
      <c r="D229" s="355"/>
      <c r="E229" s="355"/>
      <c r="F229" s="355"/>
      <c r="G229" s="355"/>
      <c r="H229" s="355"/>
      <c r="I229" s="355"/>
      <c r="J229" s="355"/>
      <c r="K229" s="355"/>
      <c r="L229" s="355"/>
      <c r="M229" s="355"/>
      <c r="N229" s="355"/>
      <c r="O229" s="355"/>
      <c r="P229" s="355"/>
      <c r="Q229" s="355"/>
      <c r="R229" s="355"/>
      <c r="S229" s="355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</row>
    <row r="230" spans="1:33" x14ac:dyDescent="0.2">
      <c r="A230" s="355"/>
      <c r="B230" s="355"/>
      <c r="C230" s="355"/>
      <c r="D230" s="355"/>
      <c r="E230" s="355"/>
      <c r="F230" s="355"/>
      <c r="G230" s="355"/>
      <c r="H230" s="355"/>
      <c r="I230" s="355"/>
      <c r="J230" s="355"/>
      <c r="K230" s="355"/>
      <c r="L230" s="355"/>
      <c r="M230" s="355"/>
      <c r="N230" s="355"/>
      <c r="O230" s="355"/>
      <c r="P230" s="355"/>
      <c r="Q230" s="355"/>
      <c r="R230" s="355"/>
      <c r="S230" s="355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</row>
    <row r="231" spans="1:33" x14ac:dyDescent="0.2">
      <c r="A231" s="355"/>
      <c r="B231" s="355"/>
      <c r="C231" s="355"/>
      <c r="D231" s="355"/>
      <c r="E231" s="355"/>
      <c r="F231" s="355"/>
      <c r="G231" s="355"/>
      <c r="H231" s="355"/>
      <c r="I231" s="355"/>
      <c r="J231" s="355"/>
      <c r="K231" s="355"/>
      <c r="L231" s="355"/>
      <c r="M231" s="355"/>
      <c r="N231" s="355"/>
      <c r="O231" s="355"/>
      <c r="P231" s="355"/>
      <c r="Q231" s="355"/>
      <c r="R231" s="355"/>
      <c r="S231" s="355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</row>
    <row r="232" spans="1:33" x14ac:dyDescent="0.2">
      <c r="A232" s="355"/>
      <c r="B232" s="355"/>
      <c r="C232" s="355"/>
      <c r="D232" s="355"/>
      <c r="E232" s="355"/>
      <c r="F232" s="355"/>
      <c r="G232" s="355"/>
      <c r="H232" s="355"/>
      <c r="I232" s="355"/>
      <c r="J232" s="355"/>
      <c r="K232" s="355"/>
      <c r="L232" s="355"/>
      <c r="M232" s="355"/>
      <c r="N232" s="355"/>
      <c r="O232" s="355"/>
      <c r="P232" s="355"/>
      <c r="Q232" s="355"/>
      <c r="R232" s="355"/>
      <c r="S232" s="355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</row>
    <row r="233" spans="1:33" x14ac:dyDescent="0.2">
      <c r="A233" s="355"/>
      <c r="B233" s="355"/>
      <c r="C233" s="355"/>
      <c r="D233" s="355"/>
      <c r="E233" s="355"/>
      <c r="F233" s="355"/>
      <c r="G233" s="355"/>
      <c r="H233" s="355"/>
      <c r="I233" s="355"/>
      <c r="J233" s="355"/>
      <c r="K233" s="355"/>
      <c r="L233" s="355"/>
      <c r="M233" s="355"/>
      <c r="N233" s="355"/>
      <c r="O233" s="355"/>
      <c r="P233" s="355"/>
      <c r="Q233" s="355"/>
      <c r="R233" s="355"/>
      <c r="S233" s="355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</row>
    <row r="234" spans="1:33" x14ac:dyDescent="0.2">
      <c r="A234" s="355"/>
      <c r="B234" s="355"/>
      <c r="C234" s="355"/>
      <c r="D234" s="355"/>
      <c r="E234" s="355"/>
      <c r="F234" s="355"/>
      <c r="G234" s="355"/>
      <c r="H234" s="355"/>
      <c r="I234" s="355"/>
      <c r="J234" s="355"/>
      <c r="K234" s="355"/>
      <c r="L234" s="355"/>
      <c r="M234" s="355"/>
      <c r="N234" s="355"/>
      <c r="O234" s="355"/>
      <c r="P234" s="355"/>
      <c r="Q234" s="355"/>
      <c r="R234" s="355"/>
      <c r="S234" s="355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</row>
    <row r="235" spans="1:33" x14ac:dyDescent="0.2">
      <c r="A235" s="355"/>
      <c r="B235" s="355"/>
      <c r="C235" s="355"/>
      <c r="D235" s="355"/>
      <c r="E235" s="355"/>
      <c r="F235" s="355"/>
      <c r="G235" s="355"/>
      <c r="H235" s="355"/>
      <c r="I235" s="355"/>
      <c r="J235" s="355"/>
      <c r="K235" s="355"/>
      <c r="L235" s="355"/>
      <c r="M235" s="355"/>
      <c r="N235" s="355"/>
      <c r="O235" s="355"/>
      <c r="P235" s="355"/>
      <c r="Q235" s="355"/>
      <c r="R235" s="355"/>
      <c r="S235" s="355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</row>
    <row r="236" spans="1:33" x14ac:dyDescent="0.2">
      <c r="A236" s="355"/>
      <c r="B236" s="355"/>
      <c r="C236" s="355"/>
      <c r="D236" s="355"/>
      <c r="E236" s="355"/>
      <c r="F236" s="355"/>
      <c r="G236" s="355"/>
      <c r="H236" s="355"/>
      <c r="I236" s="355"/>
      <c r="J236" s="355"/>
      <c r="K236" s="355"/>
      <c r="L236" s="355"/>
      <c r="M236" s="355"/>
      <c r="N236" s="355"/>
      <c r="O236" s="355"/>
      <c r="P236" s="355"/>
      <c r="Q236" s="355"/>
      <c r="R236" s="355"/>
      <c r="S236" s="355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</row>
    <row r="237" spans="1:33" x14ac:dyDescent="0.2">
      <c r="A237" s="355"/>
      <c r="B237" s="355"/>
      <c r="C237" s="355"/>
      <c r="D237" s="355"/>
      <c r="E237" s="355"/>
      <c r="F237" s="355"/>
      <c r="G237" s="355"/>
      <c r="H237" s="355"/>
      <c r="I237" s="355"/>
      <c r="J237" s="355"/>
      <c r="K237" s="355"/>
      <c r="L237" s="355"/>
      <c r="M237" s="355"/>
      <c r="N237" s="355"/>
      <c r="O237" s="355"/>
      <c r="P237" s="355"/>
      <c r="Q237" s="355"/>
      <c r="R237" s="355"/>
      <c r="S237" s="355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</row>
    <row r="238" spans="1:33" x14ac:dyDescent="0.2">
      <c r="A238" s="355"/>
      <c r="B238" s="355"/>
      <c r="C238" s="355"/>
      <c r="D238" s="355"/>
      <c r="E238" s="355"/>
      <c r="F238" s="355"/>
      <c r="G238" s="355"/>
      <c r="H238" s="355"/>
      <c r="I238" s="355"/>
      <c r="J238" s="355"/>
      <c r="K238" s="355"/>
      <c r="L238" s="355"/>
      <c r="M238" s="355"/>
      <c r="N238" s="355"/>
      <c r="O238" s="355"/>
      <c r="P238" s="355"/>
      <c r="Q238" s="355"/>
      <c r="R238" s="355"/>
      <c r="S238" s="355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</row>
    <row r="239" spans="1:33" x14ac:dyDescent="0.2">
      <c r="A239" s="355"/>
      <c r="B239" s="355"/>
      <c r="C239" s="355"/>
      <c r="D239" s="355"/>
      <c r="E239" s="355"/>
      <c r="F239" s="355"/>
      <c r="G239" s="355"/>
      <c r="H239" s="355"/>
      <c r="I239" s="355"/>
      <c r="J239" s="355"/>
      <c r="K239" s="355"/>
      <c r="L239" s="355"/>
      <c r="M239" s="355"/>
      <c r="N239" s="355"/>
      <c r="O239" s="355"/>
      <c r="P239" s="355"/>
      <c r="Q239" s="355"/>
      <c r="R239" s="355"/>
      <c r="S239" s="355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</row>
    <row r="240" spans="1:33" x14ac:dyDescent="0.2">
      <c r="A240" s="355"/>
      <c r="B240" s="355"/>
      <c r="C240" s="355"/>
      <c r="D240" s="355"/>
      <c r="E240" s="355"/>
      <c r="F240" s="355"/>
      <c r="G240" s="355"/>
      <c r="H240" s="355"/>
      <c r="I240" s="355"/>
      <c r="J240" s="355"/>
      <c r="K240" s="355"/>
      <c r="L240" s="355"/>
      <c r="M240" s="355"/>
      <c r="N240" s="355"/>
      <c r="O240" s="355"/>
      <c r="P240" s="355"/>
      <c r="Q240" s="355"/>
      <c r="R240" s="355"/>
      <c r="S240" s="355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</row>
    <row r="241" spans="1:33" x14ac:dyDescent="0.2">
      <c r="A241" s="355"/>
      <c r="B241" s="355"/>
      <c r="C241" s="355"/>
      <c r="D241" s="355"/>
      <c r="E241" s="355"/>
      <c r="F241" s="355"/>
      <c r="G241" s="355"/>
      <c r="H241" s="355"/>
      <c r="I241" s="355"/>
      <c r="J241" s="355"/>
      <c r="K241" s="355"/>
      <c r="L241" s="355"/>
      <c r="M241" s="355"/>
      <c r="N241" s="355"/>
      <c r="O241" s="355"/>
      <c r="P241" s="355"/>
      <c r="Q241" s="355"/>
      <c r="R241" s="355"/>
      <c r="S241" s="355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</row>
    <row r="242" spans="1:33" x14ac:dyDescent="0.2">
      <c r="A242" s="355"/>
      <c r="B242" s="355"/>
      <c r="C242" s="355"/>
      <c r="D242" s="355"/>
      <c r="E242" s="355"/>
      <c r="F242" s="355"/>
      <c r="G242" s="355"/>
      <c r="H242" s="355"/>
      <c r="I242" s="355"/>
      <c r="J242" s="355"/>
      <c r="K242" s="355"/>
      <c r="L242" s="355"/>
      <c r="M242" s="355"/>
      <c r="N242" s="355"/>
      <c r="O242" s="355"/>
      <c r="P242" s="355"/>
      <c r="Q242" s="355"/>
      <c r="R242" s="355"/>
      <c r="S242" s="355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</row>
    <row r="243" spans="1:33" x14ac:dyDescent="0.2">
      <c r="A243" s="355"/>
      <c r="B243" s="355"/>
      <c r="C243" s="355"/>
      <c r="D243" s="355"/>
      <c r="E243" s="355"/>
      <c r="F243" s="355"/>
      <c r="G243" s="355"/>
      <c r="H243" s="355"/>
      <c r="I243" s="355"/>
      <c r="J243" s="355"/>
      <c r="K243" s="355"/>
      <c r="L243" s="355"/>
      <c r="M243" s="355"/>
      <c r="N243" s="355"/>
      <c r="O243" s="355"/>
      <c r="P243" s="355"/>
      <c r="Q243" s="355"/>
      <c r="R243" s="355"/>
      <c r="S243" s="355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</row>
    <row r="244" spans="1:33" x14ac:dyDescent="0.2">
      <c r="A244" s="355"/>
      <c r="B244" s="355"/>
      <c r="C244" s="355"/>
      <c r="D244" s="355"/>
      <c r="E244" s="355"/>
      <c r="F244" s="355"/>
      <c r="G244" s="355"/>
      <c r="H244" s="355"/>
      <c r="I244" s="355"/>
      <c r="J244" s="355"/>
      <c r="K244" s="355"/>
      <c r="L244" s="355"/>
      <c r="M244" s="355"/>
      <c r="N244" s="355"/>
      <c r="O244" s="355"/>
      <c r="P244" s="355"/>
      <c r="Q244" s="355"/>
      <c r="R244" s="355"/>
      <c r="S244" s="355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</row>
    <row r="245" spans="1:33" x14ac:dyDescent="0.2">
      <c r="A245" s="355"/>
      <c r="B245" s="355"/>
      <c r="C245" s="355"/>
      <c r="D245" s="355"/>
      <c r="E245" s="355"/>
      <c r="F245" s="355"/>
      <c r="G245" s="355"/>
      <c r="H245" s="355"/>
      <c r="I245" s="355"/>
      <c r="J245" s="355"/>
      <c r="K245" s="355"/>
      <c r="L245" s="355"/>
      <c r="M245" s="355"/>
      <c r="N245" s="355"/>
      <c r="O245" s="355"/>
      <c r="P245" s="355"/>
      <c r="Q245" s="355"/>
      <c r="R245" s="355"/>
      <c r="S245" s="355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</row>
    <row r="246" spans="1:33" x14ac:dyDescent="0.2">
      <c r="A246" s="355"/>
      <c r="B246" s="355"/>
      <c r="C246" s="355"/>
      <c r="D246" s="355"/>
      <c r="E246" s="355"/>
      <c r="F246" s="355"/>
      <c r="G246" s="355"/>
      <c r="H246" s="355"/>
      <c r="I246" s="355"/>
      <c r="J246" s="355"/>
      <c r="K246" s="355"/>
      <c r="L246" s="355"/>
      <c r="M246" s="355"/>
      <c r="N246" s="355"/>
      <c r="O246" s="355"/>
      <c r="P246" s="355"/>
      <c r="Q246" s="355"/>
      <c r="R246" s="355"/>
      <c r="S246" s="355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</row>
    <row r="247" spans="1:33" x14ac:dyDescent="0.2">
      <c r="A247" s="355"/>
      <c r="B247" s="355"/>
      <c r="C247" s="355"/>
      <c r="D247" s="355"/>
      <c r="E247" s="355"/>
      <c r="F247" s="355"/>
      <c r="G247" s="355"/>
      <c r="H247" s="355"/>
      <c r="I247" s="355"/>
      <c r="J247" s="355"/>
      <c r="K247" s="355"/>
      <c r="L247" s="355"/>
      <c r="M247" s="355"/>
      <c r="N247" s="355"/>
      <c r="O247" s="355"/>
      <c r="P247" s="355"/>
      <c r="Q247" s="355"/>
      <c r="R247" s="355"/>
      <c r="S247" s="355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</row>
    <row r="248" spans="1:33" x14ac:dyDescent="0.2">
      <c r="A248" s="355"/>
      <c r="B248" s="355"/>
      <c r="C248" s="355"/>
      <c r="D248" s="355"/>
      <c r="E248" s="355"/>
      <c r="F248" s="355"/>
      <c r="G248" s="355"/>
      <c r="H248" s="355"/>
      <c r="I248" s="355"/>
      <c r="J248" s="355"/>
      <c r="K248" s="355"/>
      <c r="L248" s="355"/>
      <c r="M248" s="355"/>
      <c r="N248" s="355"/>
      <c r="O248" s="355"/>
      <c r="P248" s="355"/>
      <c r="Q248" s="355"/>
      <c r="R248" s="355"/>
      <c r="S248" s="355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</row>
    <row r="249" spans="1:33" x14ac:dyDescent="0.2">
      <c r="A249" s="355"/>
      <c r="B249" s="355"/>
      <c r="C249" s="355"/>
      <c r="D249" s="355"/>
      <c r="E249" s="355"/>
      <c r="F249" s="355"/>
      <c r="G249" s="355"/>
      <c r="H249" s="355"/>
      <c r="I249" s="355"/>
      <c r="J249" s="355"/>
      <c r="K249" s="355"/>
      <c r="L249" s="355"/>
      <c r="M249" s="355"/>
      <c r="N249" s="355"/>
      <c r="O249" s="355"/>
      <c r="P249" s="355"/>
      <c r="Q249" s="355"/>
      <c r="R249" s="355"/>
      <c r="S249" s="355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</row>
    <row r="250" spans="1:33" x14ac:dyDescent="0.2">
      <c r="A250" s="355"/>
      <c r="B250" s="355"/>
      <c r="C250" s="355"/>
      <c r="D250" s="355"/>
      <c r="E250" s="355"/>
      <c r="F250" s="355"/>
      <c r="G250" s="355"/>
      <c r="H250" s="355"/>
      <c r="I250" s="355"/>
      <c r="J250" s="355"/>
      <c r="K250" s="355"/>
      <c r="L250" s="355"/>
      <c r="M250" s="355"/>
      <c r="N250" s="355"/>
      <c r="O250" s="355"/>
      <c r="P250" s="355"/>
      <c r="Q250" s="355"/>
      <c r="R250" s="355"/>
      <c r="S250" s="355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</row>
    <row r="251" spans="1:33" x14ac:dyDescent="0.2">
      <c r="A251" s="355"/>
      <c r="B251" s="355"/>
      <c r="C251" s="355"/>
      <c r="D251" s="355"/>
      <c r="E251" s="355"/>
      <c r="F251" s="355"/>
      <c r="G251" s="355"/>
      <c r="H251" s="355"/>
      <c r="I251" s="355"/>
      <c r="J251" s="355"/>
      <c r="K251" s="355"/>
      <c r="L251" s="355"/>
      <c r="M251" s="355"/>
      <c r="N251" s="355"/>
      <c r="O251" s="355"/>
      <c r="P251" s="355"/>
      <c r="Q251" s="355"/>
      <c r="R251" s="355"/>
      <c r="S251" s="355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</row>
    <row r="252" spans="1:33" x14ac:dyDescent="0.2">
      <c r="A252" s="355"/>
      <c r="B252" s="355"/>
      <c r="C252" s="355"/>
      <c r="D252" s="355"/>
      <c r="E252" s="355"/>
      <c r="F252" s="355"/>
      <c r="G252" s="355"/>
      <c r="H252" s="355"/>
      <c r="I252" s="355"/>
      <c r="J252" s="355"/>
      <c r="K252" s="355"/>
      <c r="L252" s="355"/>
      <c r="M252" s="355"/>
      <c r="N252" s="355"/>
      <c r="O252" s="355"/>
      <c r="P252" s="355"/>
      <c r="Q252" s="355"/>
      <c r="R252" s="355"/>
      <c r="S252" s="355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</row>
    <row r="253" spans="1:33" x14ac:dyDescent="0.2">
      <c r="A253" s="355"/>
      <c r="B253" s="355"/>
      <c r="C253" s="355"/>
      <c r="D253" s="355"/>
      <c r="E253" s="355"/>
      <c r="F253" s="355"/>
      <c r="G253" s="355"/>
      <c r="H253" s="355"/>
      <c r="I253" s="355"/>
      <c r="J253" s="355"/>
      <c r="K253" s="355"/>
      <c r="L253" s="355"/>
      <c r="M253" s="355"/>
      <c r="N253" s="355"/>
      <c r="O253" s="355"/>
      <c r="P253" s="355"/>
      <c r="Q253" s="355"/>
      <c r="R253" s="355"/>
      <c r="S253" s="355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</row>
    <row r="254" spans="1:33" x14ac:dyDescent="0.2">
      <c r="A254" s="355"/>
      <c r="B254" s="355"/>
      <c r="C254" s="355"/>
      <c r="D254" s="355"/>
      <c r="E254" s="355"/>
      <c r="F254" s="355"/>
      <c r="G254" s="355"/>
      <c r="H254" s="355"/>
      <c r="I254" s="355"/>
      <c r="J254" s="355"/>
      <c r="K254" s="355"/>
      <c r="L254" s="355"/>
      <c r="M254" s="355"/>
      <c r="N254" s="355"/>
      <c r="O254" s="355"/>
      <c r="P254" s="355"/>
      <c r="Q254" s="355"/>
      <c r="R254" s="355"/>
      <c r="S254" s="355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</row>
    <row r="255" spans="1:33" x14ac:dyDescent="0.2">
      <c r="A255" s="355"/>
      <c r="B255" s="355"/>
      <c r="C255" s="355"/>
      <c r="D255" s="355"/>
      <c r="E255" s="355"/>
      <c r="F255" s="355"/>
      <c r="G255" s="355"/>
      <c r="H255" s="355"/>
      <c r="I255" s="355"/>
      <c r="J255" s="355"/>
      <c r="K255" s="355"/>
      <c r="L255" s="355"/>
      <c r="M255" s="355"/>
      <c r="N255" s="355"/>
      <c r="O255" s="355"/>
      <c r="P255" s="355"/>
      <c r="Q255" s="355"/>
      <c r="R255" s="355"/>
      <c r="S255" s="355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</row>
    <row r="256" spans="1:33" x14ac:dyDescent="0.2">
      <c r="A256" s="355"/>
      <c r="B256" s="355"/>
      <c r="C256" s="355"/>
      <c r="D256" s="355"/>
      <c r="E256" s="355"/>
      <c r="F256" s="355"/>
      <c r="G256" s="355"/>
      <c r="H256" s="355"/>
      <c r="I256" s="355"/>
      <c r="J256" s="355"/>
      <c r="K256" s="355"/>
      <c r="L256" s="355"/>
      <c r="M256" s="355"/>
      <c r="N256" s="355"/>
      <c r="O256" s="355"/>
      <c r="P256" s="355"/>
      <c r="Q256" s="355"/>
      <c r="R256" s="355"/>
      <c r="S256" s="355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</row>
    <row r="257" spans="1:33" x14ac:dyDescent="0.2">
      <c r="A257" s="355"/>
      <c r="B257" s="355"/>
      <c r="C257" s="355"/>
      <c r="D257" s="355"/>
      <c r="E257" s="355"/>
      <c r="F257" s="355"/>
      <c r="G257" s="355"/>
      <c r="H257" s="355"/>
      <c r="I257" s="355"/>
      <c r="J257" s="355"/>
      <c r="K257" s="355"/>
      <c r="L257" s="355"/>
      <c r="M257" s="355"/>
      <c r="N257" s="355"/>
      <c r="O257" s="355"/>
      <c r="P257" s="355"/>
      <c r="Q257" s="355"/>
      <c r="R257" s="355"/>
      <c r="S257" s="355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</row>
    <row r="258" spans="1:33" x14ac:dyDescent="0.2">
      <c r="A258" s="355"/>
      <c r="B258" s="355"/>
      <c r="C258" s="355"/>
      <c r="D258" s="355"/>
      <c r="E258" s="355"/>
      <c r="F258" s="355"/>
      <c r="G258" s="355"/>
      <c r="H258" s="355"/>
      <c r="I258" s="355"/>
      <c r="J258" s="355"/>
      <c r="K258" s="355"/>
      <c r="L258" s="355"/>
      <c r="M258" s="355"/>
      <c r="N258" s="355"/>
      <c r="O258" s="355"/>
      <c r="P258" s="355"/>
      <c r="Q258" s="355"/>
      <c r="R258" s="355"/>
      <c r="S258" s="355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</row>
    <row r="259" spans="1:33" x14ac:dyDescent="0.2">
      <c r="A259" s="355"/>
      <c r="B259" s="355"/>
      <c r="C259" s="355"/>
      <c r="D259" s="355"/>
      <c r="E259" s="355"/>
      <c r="F259" s="355"/>
      <c r="G259" s="355"/>
      <c r="H259" s="355"/>
      <c r="I259" s="355"/>
      <c r="J259" s="355"/>
      <c r="K259" s="355"/>
      <c r="L259" s="355"/>
      <c r="M259" s="355"/>
      <c r="N259" s="355"/>
      <c r="O259" s="355"/>
      <c r="P259" s="355"/>
      <c r="Q259" s="355"/>
      <c r="R259" s="355"/>
      <c r="S259" s="355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</row>
    <row r="260" spans="1:33" x14ac:dyDescent="0.2">
      <c r="A260" s="355"/>
      <c r="B260" s="355"/>
      <c r="C260" s="355"/>
      <c r="D260" s="355"/>
      <c r="E260" s="355"/>
      <c r="F260" s="355"/>
      <c r="G260" s="355"/>
      <c r="H260" s="355"/>
      <c r="I260" s="355"/>
      <c r="J260" s="355"/>
      <c r="K260" s="355"/>
      <c r="L260" s="355"/>
      <c r="M260" s="355"/>
      <c r="N260" s="355"/>
      <c r="O260" s="355"/>
      <c r="P260" s="355"/>
      <c r="Q260" s="355"/>
      <c r="R260" s="355"/>
      <c r="S260" s="355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</row>
    <row r="261" spans="1:33" x14ac:dyDescent="0.2">
      <c r="A261" s="355"/>
      <c r="B261" s="355"/>
      <c r="C261" s="355"/>
      <c r="D261" s="355"/>
      <c r="E261" s="355"/>
      <c r="F261" s="355"/>
      <c r="G261" s="355"/>
      <c r="H261" s="355"/>
      <c r="I261" s="355"/>
      <c r="J261" s="355"/>
      <c r="K261" s="355"/>
      <c r="L261" s="355"/>
      <c r="M261" s="355"/>
      <c r="N261" s="355"/>
      <c r="O261" s="355"/>
      <c r="P261" s="355"/>
      <c r="Q261" s="355"/>
      <c r="R261" s="355"/>
      <c r="S261" s="355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</row>
    <row r="262" spans="1:33" x14ac:dyDescent="0.2">
      <c r="A262" s="355"/>
      <c r="B262" s="355"/>
      <c r="C262" s="355"/>
      <c r="D262" s="355"/>
      <c r="E262" s="355"/>
      <c r="F262" s="355"/>
      <c r="G262" s="355"/>
      <c r="H262" s="355"/>
      <c r="I262" s="355"/>
      <c r="J262" s="355"/>
      <c r="K262" s="355"/>
      <c r="L262" s="355"/>
      <c r="M262" s="355"/>
      <c r="N262" s="355"/>
      <c r="O262" s="355"/>
      <c r="P262" s="355"/>
      <c r="Q262" s="355"/>
      <c r="R262" s="355"/>
      <c r="S262" s="355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</row>
    <row r="263" spans="1:33" x14ac:dyDescent="0.2">
      <c r="A263" s="355"/>
      <c r="B263" s="355"/>
      <c r="C263" s="355"/>
      <c r="D263" s="355"/>
      <c r="E263" s="355"/>
      <c r="F263" s="355"/>
      <c r="G263" s="355"/>
      <c r="H263" s="355"/>
      <c r="I263" s="355"/>
      <c r="J263" s="355"/>
      <c r="K263" s="355"/>
      <c r="L263" s="355"/>
      <c r="M263" s="355"/>
      <c r="N263" s="355"/>
      <c r="O263" s="355"/>
      <c r="P263" s="355"/>
      <c r="Q263" s="355"/>
      <c r="R263" s="355"/>
      <c r="S263" s="355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</row>
    <row r="264" spans="1:33" x14ac:dyDescent="0.2">
      <c r="A264" s="355"/>
      <c r="B264" s="355"/>
      <c r="C264" s="355"/>
      <c r="D264" s="355"/>
      <c r="E264" s="355"/>
      <c r="F264" s="355"/>
      <c r="G264" s="355"/>
      <c r="H264" s="355"/>
      <c r="I264" s="355"/>
      <c r="J264" s="355"/>
      <c r="K264" s="355"/>
      <c r="L264" s="355"/>
      <c r="M264" s="355"/>
      <c r="N264" s="355"/>
      <c r="O264" s="355"/>
      <c r="P264" s="355"/>
      <c r="Q264" s="355"/>
      <c r="R264" s="355"/>
      <c r="S264" s="355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</row>
    <row r="265" spans="1:33" x14ac:dyDescent="0.2">
      <c r="A265" s="355"/>
      <c r="B265" s="355"/>
      <c r="C265" s="355"/>
      <c r="D265" s="355"/>
      <c r="E265" s="355"/>
      <c r="F265" s="355"/>
      <c r="G265" s="355"/>
      <c r="H265" s="355"/>
      <c r="I265" s="355"/>
      <c r="J265" s="355"/>
      <c r="K265" s="355"/>
      <c r="L265" s="355"/>
      <c r="M265" s="355"/>
      <c r="N265" s="355"/>
      <c r="O265" s="355"/>
      <c r="P265" s="355"/>
      <c r="Q265" s="355"/>
      <c r="R265" s="355"/>
      <c r="S265" s="355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</row>
    <row r="266" spans="1:33" x14ac:dyDescent="0.2">
      <c r="A266" s="355"/>
      <c r="B266" s="355"/>
      <c r="C266" s="355"/>
      <c r="D266" s="355"/>
      <c r="E266" s="355"/>
      <c r="F266" s="355"/>
      <c r="G266" s="355"/>
      <c r="H266" s="355"/>
      <c r="I266" s="355"/>
      <c r="J266" s="355"/>
      <c r="K266" s="355"/>
      <c r="L266" s="355"/>
      <c r="M266" s="355"/>
      <c r="N266" s="355"/>
      <c r="O266" s="355"/>
      <c r="P266" s="355"/>
      <c r="Q266" s="355"/>
      <c r="R266" s="355"/>
      <c r="S266" s="355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</row>
    <row r="267" spans="1:33" x14ac:dyDescent="0.2">
      <c r="A267" s="355"/>
      <c r="B267" s="355"/>
      <c r="C267" s="355"/>
      <c r="D267" s="355"/>
      <c r="E267" s="355"/>
      <c r="F267" s="355"/>
      <c r="G267" s="355"/>
      <c r="H267" s="355"/>
      <c r="I267" s="355"/>
      <c r="J267" s="355"/>
      <c r="K267" s="355"/>
      <c r="L267" s="355"/>
      <c r="M267" s="355"/>
      <c r="N267" s="355"/>
      <c r="O267" s="355"/>
      <c r="P267" s="355"/>
      <c r="Q267" s="355"/>
      <c r="R267" s="355"/>
      <c r="S267" s="355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</row>
    <row r="268" spans="1:33" x14ac:dyDescent="0.2">
      <c r="A268" s="355"/>
      <c r="B268" s="355"/>
      <c r="C268" s="355"/>
      <c r="D268" s="355"/>
      <c r="E268" s="355"/>
      <c r="F268" s="355"/>
      <c r="G268" s="355"/>
      <c r="H268" s="355"/>
      <c r="I268" s="355"/>
      <c r="J268" s="355"/>
      <c r="K268" s="355"/>
      <c r="L268" s="355"/>
      <c r="M268" s="355"/>
      <c r="N268" s="355"/>
      <c r="O268" s="355"/>
      <c r="P268" s="355"/>
      <c r="Q268" s="355"/>
      <c r="R268" s="355"/>
      <c r="S268" s="355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</row>
    <row r="269" spans="1:33" x14ac:dyDescent="0.2">
      <c r="A269" s="355"/>
      <c r="B269" s="355"/>
      <c r="C269" s="355"/>
      <c r="D269" s="355"/>
      <c r="E269" s="355"/>
      <c r="F269" s="355"/>
      <c r="G269" s="355"/>
      <c r="H269" s="355"/>
      <c r="I269" s="355"/>
      <c r="J269" s="355"/>
      <c r="K269" s="355"/>
      <c r="L269" s="355"/>
      <c r="M269" s="355"/>
      <c r="N269" s="355"/>
      <c r="O269" s="355"/>
      <c r="P269" s="355"/>
      <c r="Q269" s="355"/>
      <c r="R269" s="355"/>
      <c r="S269" s="355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</row>
    <row r="270" spans="1:33" x14ac:dyDescent="0.2">
      <c r="A270" s="355"/>
      <c r="B270" s="355"/>
      <c r="C270" s="355"/>
      <c r="D270" s="355"/>
      <c r="E270" s="355"/>
      <c r="F270" s="355"/>
      <c r="G270" s="355"/>
      <c r="H270" s="355"/>
      <c r="I270" s="355"/>
      <c r="J270" s="355"/>
      <c r="K270" s="355"/>
      <c r="L270" s="355"/>
      <c r="M270" s="355"/>
      <c r="N270" s="355"/>
      <c r="O270" s="355"/>
      <c r="P270" s="355"/>
      <c r="Q270" s="355"/>
      <c r="R270" s="355"/>
      <c r="S270" s="355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</row>
    <row r="271" spans="1:33" x14ac:dyDescent="0.2">
      <c r="A271" s="355"/>
      <c r="B271" s="355"/>
      <c r="C271" s="355"/>
      <c r="D271" s="355"/>
      <c r="E271" s="355"/>
      <c r="F271" s="355"/>
      <c r="G271" s="355"/>
      <c r="H271" s="355"/>
      <c r="I271" s="355"/>
      <c r="J271" s="355"/>
      <c r="K271" s="355"/>
      <c r="L271" s="355"/>
      <c r="M271" s="355"/>
      <c r="N271" s="355"/>
      <c r="O271" s="355"/>
      <c r="P271" s="355"/>
      <c r="Q271" s="355"/>
      <c r="R271" s="355"/>
      <c r="S271" s="355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</row>
    <row r="272" spans="1:33" x14ac:dyDescent="0.2">
      <c r="A272" s="355"/>
      <c r="B272" s="355"/>
      <c r="C272" s="355"/>
      <c r="D272" s="355"/>
      <c r="E272" s="355"/>
      <c r="F272" s="355"/>
      <c r="G272" s="355"/>
      <c r="H272" s="355"/>
      <c r="I272" s="355"/>
      <c r="J272" s="355"/>
      <c r="K272" s="355"/>
      <c r="L272" s="355"/>
      <c r="M272" s="355"/>
      <c r="N272" s="355"/>
      <c r="O272" s="355"/>
      <c r="P272" s="355"/>
      <c r="Q272" s="355"/>
      <c r="R272" s="355"/>
      <c r="S272" s="355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</row>
    <row r="273" spans="1:33" x14ac:dyDescent="0.2">
      <c r="A273" s="355"/>
      <c r="B273" s="355"/>
      <c r="C273" s="355"/>
      <c r="D273" s="355"/>
      <c r="E273" s="355"/>
      <c r="F273" s="355"/>
      <c r="G273" s="355"/>
      <c r="H273" s="355"/>
      <c r="I273" s="355"/>
      <c r="J273" s="355"/>
      <c r="K273" s="355"/>
      <c r="L273" s="355"/>
      <c r="M273" s="355"/>
      <c r="N273" s="355"/>
      <c r="O273" s="355"/>
      <c r="P273" s="355"/>
      <c r="Q273" s="355"/>
      <c r="R273" s="355"/>
      <c r="S273" s="355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</row>
    <row r="274" spans="1:33" x14ac:dyDescent="0.2">
      <c r="A274" s="355"/>
      <c r="B274" s="355"/>
      <c r="C274" s="355"/>
      <c r="D274" s="355"/>
      <c r="E274" s="355"/>
      <c r="F274" s="355"/>
      <c r="G274" s="355"/>
      <c r="H274" s="355"/>
      <c r="I274" s="355"/>
      <c r="J274" s="355"/>
      <c r="K274" s="355"/>
      <c r="L274" s="355"/>
      <c r="M274" s="355"/>
      <c r="N274" s="355"/>
      <c r="O274" s="355"/>
      <c r="P274" s="355"/>
      <c r="Q274" s="355"/>
      <c r="R274" s="355"/>
      <c r="S274" s="355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</row>
    <row r="275" spans="1:33" x14ac:dyDescent="0.2">
      <c r="A275" s="355"/>
      <c r="B275" s="355"/>
      <c r="C275" s="355"/>
      <c r="D275" s="355"/>
      <c r="E275" s="355"/>
      <c r="F275" s="355"/>
      <c r="G275" s="355"/>
      <c r="H275" s="355"/>
      <c r="I275" s="355"/>
      <c r="J275" s="355"/>
      <c r="K275" s="355"/>
      <c r="L275" s="355"/>
      <c r="M275" s="355"/>
      <c r="N275" s="355"/>
      <c r="O275" s="355"/>
      <c r="P275" s="355"/>
      <c r="Q275" s="355"/>
      <c r="R275" s="355"/>
      <c r="S275" s="355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</row>
    <row r="276" spans="1:33" x14ac:dyDescent="0.2">
      <c r="A276" s="355"/>
      <c r="B276" s="355"/>
      <c r="C276" s="355"/>
      <c r="D276" s="355"/>
      <c r="E276" s="355"/>
      <c r="F276" s="355"/>
      <c r="G276" s="355"/>
      <c r="H276" s="355"/>
      <c r="I276" s="355"/>
      <c r="J276" s="355"/>
      <c r="K276" s="355"/>
      <c r="L276" s="355"/>
      <c r="M276" s="355"/>
      <c r="N276" s="355"/>
      <c r="O276" s="355"/>
      <c r="P276" s="355"/>
      <c r="Q276" s="355"/>
      <c r="R276" s="355"/>
      <c r="S276" s="355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</row>
    <row r="277" spans="1:33" x14ac:dyDescent="0.2">
      <c r="A277" s="355"/>
      <c r="B277" s="355"/>
      <c r="C277" s="355"/>
      <c r="D277" s="355"/>
      <c r="E277" s="355"/>
      <c r="F277" s="355"/>
      <c r="G277" s="355"/>
      <c r="H277" s="355"/>
      <c r="I277" s="355"/>
      <c r="J277" s="355"/>
      <c r="K277" s="355"/>
      <c r="L277" s="355"/>
      <c r="M277" s="355"/>
      <c r="N277" s="355"/>
      <c r="O277" s="355"/>
      <c r="P277" s="355"/>
      <c r="Q277" s="355"/>
      <c r="R277" s="355"/>
      <c r="S277" s="355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</row>
    <row r="278" spans="1:33" x14ac:dyDescent="0.2">
      <c r="A278" s="355"/>
      <c r="B278" s="355"/>
      <c r="C278" s="355"/>
      <c r="D278" s="355"/>
      <c r="E278" s="355"/>
      <c r="F278" s="355"/>
      <c r="G278" s="355"/>
      <c r="H278" s="355"/>
      <c r="I278" s="355"/>
      <c r="J278" s="355"/>
      <c r="K278" s="355"/>
      <c r="L278" s="355"/>
      <c r="M278" s="355"/>
      <c r="N278" s="355"/>
      <c r="O278" s="355"/>
      <c r="P278" s="355"/>
      <c r="Q278" s="355"/>
      <c r="R278" s="355"/>
      <c r="S278" s="355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</row>
    <row r="279" spans="1:33" x14ac:dyDescent="0.2">
      <c r="A279" s="355"/>
      <c r="B279" s="355"/>
      <c r="C279" s="355"/>
      <c r="D279" s="355"/>
      <c r="E279" s="355"/>
      <c r="F279" s="355"/>
      <c r="G279" s="355"/>
      <c r="H279" s="355"/>
      <c r="I279" s="355"/>
      <c r="J279" s="355"/>
      <c r="K279" s="355"/>
      <c r="L279" s="355"/>
      <c r="M279" s="355"/>
      <c r="N279" s="355"/>
      <c r="O279" s="355"/>
      <c r="P279" s="355"/>
      <c r="Q279" s="355"/>
      <c r="R279" s="355"/>
      <c r="S279" s="355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</row>
    <row r="280" spans="1:33" x14ac:dyDescent="0.2">
      <c r="A280" s="355"/>
      <c r="B280" s="355"/>
      <c r="C280" s="355"/>
      <c r="D280" s="355"/>
      <c r="E280" s="355"/>
      <c r="F280" s="355"/>
      <c r="G280" s="355"/>
      <c r="H280" s="355"/>
      <c r="I280" s="355"/>
      <c r="J280" s="355"/>
      <c r="K280" s="355"/>
      <c r="L280" s="355"/>
      <c r="M280" s="355"/>
      <c r="N280" s="355"/>
      <c r="O280" s="355"/>
      <c r="P280" s="355"/>
      <c r="Q280" s="355"/>
      <c r="R280" s="355"/>
      <c r="S280" s="355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</row>
    <row r="281" spans="1:33" x14ac:dyDescent="0.2">
      <c r="A281" s="355"/>
      <c r="B281" s="355"/>
      <c r="C281" s="355"/>
      <c r="D281" s="355"/>
      <c r="E281" s="355"/>
      <c r="F281" s="355"/>
      <c r="G281" s="355"/>
      <c r="H281" s="355"/>
      <c r="I281" s="355"/>
      <c r="J281" s="355"/>
      <c r="K281" s="355"/>
      <c r="L281" s="355"/>
      <c r="M281" s="355"/>
      <c r="N281" s="355"/>
      <c r="O281" s="355"/>
      <c r="P281" s="355"/>
      <c r="Q281" s="355"/>
      <c r="R281" s="355"/>
      <c r="S281" s="355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</row>
    <row r="282" spans="1:33" x14ac:dyDescent="0.2">
      <c r="A282" s="355"/>
      <c r="B282" s="355"/>
      <c r="C282" s="355"/>
      <c r="D282" s="355"/>
      <c r="E282" s="355"/>
      <c r="F282" s="355"/>
      <c r="G282" s="355"/>
      <c r="H282" s="355"/>
      <c r="I282" s="355"/>
      <c r="J282" s="355"/>
      <c r="K282" s="355"/>
      <c r="L282" s="355"/>
      <c r="M282" s="355"/>
      <c r="N282" s="355"/>
      <c r="O282" s="355"/>
      <c r="P282" s="355"/>
      <c r="Q282" s="355"/>
      <c r="R282" s="355"/>
      <c r="S282" s="355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</row>
    <row r="283" spans="1:33" x14ac:dyDescent="0.2">
      <c r="A283" s="355"/>
      <c r="B283" s="355"/>
      <c r="C283" s="355"/>
      <c r="D283" s="355"/>
      <c r="E283" s="355"/>
      <c r="F283" s="355"/>
      <c r="G283" s="355"/>
      <c r="H283" s="355"/>
      <c r="I283" s="355"/>
      <c r="J283" s="355"/>
      <c r="K283" s="355"/>
      <c r="L283" s="355"/>
      <c r="M283" s="355"/>
      <c r="N283" s="355"/>
      <c r="O283" s="355"/>
      <c r="P283" s="355"/>
      <c r="Q283" s="355"/>
      <c r="R283" s="355"/>
      <c r="S283" s="355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</row>
    <row r="284" spans="1:33" x14ac:dyDescent="0.2">
      <c r="A284" s="355"/>
      <c r="B284" s="355"/>
      <c r="C284" s="355"/>
      <c r="D284" s="355"/>
      <c r="E284" s="355"/>
      <c r="F284" s="355"/>
      <c r="G284" s="355"/>
      <c r="H284" s="355"/>
      <c r="I284" s="355"/>
      <c r="J284" s="355"/>
      <c r="K284" s="355"/>
      <c r="L284" s="355"/>
      <c r="M284" s="355"/>
      <c r="N284" s="355"/>
      <c r="O284" s="355"/>
      <c r="P284" s="355"/>
      <c r="Q284" s="355"/>
      <c r="R284" s="355"/>
      <c r="S284" s="355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</row>
    <row r="285" spans="1:33" x14ac:dyDescent="0.2">
      <c r="A285" s="355"/>
      <c r="B285" s="355"/>
      <c r="C285" s="355"/>
      <c r="D285" s="355"/>
      <c r="E285" s="355"/>
      <c r="F285" s="355"/>
      <c r="G285" s="355"/>
      <c r="H285" s="355"/>
      <c r="I285" s="355"/>
      <c r="J285" s="355"/>
      <c r="K285" s="355"/>
      <c r="L285" s="355"/>
      <c r="M285" s="355"/>
      <c r="N285" s="355"/>
      <c r="O285" s="355"/>
      <c r="P285" s="355"/>
      <c r="Q285" s="355"/>
      <c r="R285" s="355"/>
      <c r="S285" s="355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</row>
    <row r="286" spans="1:33" x14ac:dyDescent="0.2">
      <c r="A286" s="355"/>
      <c r="B286" s="355"/>
      <c r="C286" s="355"/>
      <c r="D286" s="355"/>
      <c r="E286" s="355"/>
      <c r="F286" s="355"/>
      <c r="G286" s="355"/>
      <c r="H286" s="355"/>
      <c r="I286" s="355"/>
      <c r="J286" s="355"/>
      <c r="K286" s="355"/>
      <c r="L286" s="355"/>
      <c r="M286" s="355"/>
      <c r="N286" s="355"/>
      <c r="O286" s="355"/>
      <c r="P286" s="355"/>
      <c r="Q286" s="355"/>
      <c r="R286" s="355"/>
      <c r="S286" s="355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</row>
    <row r="287" spans="1:33" x14ac:dyDescent="0.2">
      <c r="A287" s="355"/>
      <c r="B287" s="355"/>
      <c r="C287" s="355"/>
      <c r="D287" s="355"/>
      <c r="E287" s="355"/>
      <c r="F287" s="355"/>
      <c r="G287" s="355"/>
      <c r="H287" s="355"/>
      <c r="I287" s="355"/>
      <c r="J287" s="355"/>
      <c r="K287" s="355"/>
      <c r="L287" s="355"/>
      <c r="M287" s="355"/>
      <c r="N287" s="355"/>
      <c r="O287" s="355"/>
      <c r="P287" s="355"/>
      <c r="Q287" s="355"/>
      <c r="R287" s="355"/>
      <c r="S287" s="355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</row>
    <row r="288" spans="1:33" x14ac:dyDescent="0.2">
      <c r="A288" s="355"/>
      <c r="B288" s="355"/>
      <c r="C288" s="355"/>
      <c r="D288" s="355"/>
      <c r="E288" s="355"/>
      <c r="F288" s="355"/>
      <c r="G288" s="355"/>
      <c r="H288" s="355"/>
      <c r="I288" s="355"/>
      <c r="J288" s="355"/>
      <c r="K288" s="355"/>
      <c r="L288" s="355"/>
      <c r="M288" s="355"/>
      <c r="N288" s="355"/>
      <c r="O288" s="355"/>
      <c r="P288" s="355"/>
      <c r="Q288" s="355"/>
      <c r="R288" s="355"/>
      <c r="S288" s="355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</row>
    <row r="289" spans="1:33" x14ac:dyDescent="0.2">
      <c r="A289" s="355"/>
      <c r="B289" s="355"/>
      <c r="C289" s="355"/>
      <c r="D289" s="355"/>
      <c r="E289" s="355"/>
      <c r="F289" s="355"/>
      <c r="G289" s="355"/>
      <c r="H289" s="355"/>
      <c r="I289" s="355"/>
      <c r="J289" s="355"/>
      <c r="K289" s="355"/>
      <c r="L289" s="355"/>
      <c r="M289" s="355"/>
      <c r="N289" s="355"/>
      <c r="O289" s="355"/>
      <c r="P289" s="355"/>
      <c r="Q289" s="355"/>
      <c r="R289" s="355"/>
      <c r="S289" s="355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</row>
    <row r="290" spans="1:33" x14ac:dyDescent="0.2">
      <c r="A290" s="355"/>
      <c r="B290" s="355"/>
      <c r="C290" s="355"/>
      <c r="D290" s="355"/>
      <c r="E290" s="355"/>
      <c r="F290" s="355"/>
      <c r="G290" s="355"/>
      <c r="H290" s="355"/>
      <c r="I290" s="355"/>
      <c r="J290" s="355"/>
      <c r="K290" s="355"/>
      <c r="L290" s="355"/>
      <c r="M290" s="355"/>
      <c r="N290" s="355"/>
      <c r="O290" s="355"/>
      <c r="P290" s="355"/>
      <c r="Q290" s="355"/>
      <c r="R290" s="355"/>
      <c r="S290" s="355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</row>
    <row r="291" spans="1:33" x14ac:dyDescent="0.2">
      <c r="A291" s="355"/>
      <c r="B291" s="355"/>
      <c r="C291" s="355"/>
      <c r="D291" s="355"/>
      <c r="E291" s="355"/>
      <c r="F291" s="355"/>
      <c r="G291" s="355"/>
      <c r="H291" s="355"/>
      <c r="I291" s="355"/>
      <c r="J291" s="355"/>
      <c r="K291" s="355"/>
      <c r="L291" s="355"/>
      <c r="M291" s="355"/>
      <c r="N291" s="355"/>
      <c r="O291" s="355"/>
      <c r="P291" s="355"/>
      <c r="Q291" s="355"/>
      <c r="R291" s="355"/>
      <c r="S291" s="355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</row>
    <row r="292" spans="1:33" x14ac:dyDescent="0.2">
      <c r="A292" s="355"/>
      <c r="B292" s="355"/>
      <c r="C292" s="355"/>
      <c r="D292" s="355"/>
      <c r="E292" s="355"/>
      <c r="F292" s="355"/>
      <c r="G292" s="355"/>
      <c r="H292" s="355"/>
      <c r="I292" s="355"/>
      <c r="J292" s="355"/>
      <c r="K292" s="355"/>
      <c r="L292" s="355"/>
      <c r="M292" s="355"/>
      <c r="N292" s="355"/>
      <c r="O292" s="355"/>
      <c r="P292" s="355"/>
      <c r="Q292" s="355"/>
      <c r="R292" s="355"/>
      <c r="S292" s="355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</row>
    <row r="293" spans="1:33" x14ac:dyDescent="0.2">
      <c r="A293" s="355"/>
      <c r="B293" s="355"/>
      <c r="C293" s="355"/>
      <c r="D293" s="355"/>
      <c r="E293" s="355"/>
      <c r="F293" s="355"/>
      <c r="G293" s="355"/>
      <c r="H293" s="355"/>
      <c r="I293" s="355"/>
      <c r="J293" s="355"/>
      <c r="K293" s="355"/>
      <c r="L293" s="355"/>
      <c r="M293" s="355"/>
      <c r="N293" s="355"/>
      <c r="O293" s="355"/>
      <c r="P293" s="355"/>
      <c r="Q293" s="355"/>
      <c r="R293" s="355"/>
      <c r="S293" s="355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</row>
    <row r="294" spans="1:33" x14ac:dyDescent="0.2">
      <c r="A294" s="355"/>
      <c r="B294" s="355"/>
      <c r="C294" s="355"/>
      <c r="D294" s="355"/>
      <c r="E294" s="355"/>
      <c r="F294" s="355"/>
      <c r="G294" s="355"/>
      <c r="H294" s="355"/>
      <c r="I294" s="355"/>
      <c r="J294" s="355"/>
      <c r="K294" s="355"/>
      <c r="L294" s="355"/>
      <c r="M294" s="355"/>
      <c r="N294" s="355"/>
      <c r="O294" s="355"/>
      <c r="P294" s="355"/>
      <c r="Q294" s="355"/>
      <c r="R294" s="355"/>
      <c r="S294" s="355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</row>
    <row r="295" spans="1:33" x14ac:dyDescent="0.2">
      <c r="A295" s="355"/>
      <c r="B295" s="355"/>
      <c r="C295" s="355"/>
      <c r="D295" s="355"/>
      <c r="E295" s="355"/>
      <c r="F295" s="355"/>
      <c r="G295" s="355"/>
      <c r="H295" s="355"/>
      <c r="I295" s="355"/>
      <c r="J295" s="355"/>
      <c r="K295" s="355"/>
      <c r="L295" s="355"/>
      <c r="M295" s="355"/>
      <c r="N295" s="355"/>
      <c r="O295" s="355"/>
      <c r="P295" s="355"/>
      <c r="Q295" s="355"/>
      <c r="R295" s="355"/>
      <c r="S295" s="355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</row>
    <row r="296" spans="1:33" x14ac:dyDescent="0.2">
      <c r="A296" s="355"/>
      <c r="B296" s="355"/>
      <c r="C296" s="355"/>
      <c r="D296" s="355"/>
      <c r="E296" s="355"/>
      <c r="F296" s="355"/>
      <c r="G296" s="355"/>
      <c r="H296" s="355"/>
      <c r="I296" s="355"/>
      <c r="J296" s="355"/>
      <c r="K296" s="355"/>
      <c r="L296" s="355"/>
      <c r="M296" s="355"/>
      <c r="N296" s="355"/>
      <c r="O296" s="355"/>
      <c r="P296" s="355"/>
      <c r="Q296" s="355"/>
      <c r="R296" s="355"/>
      <c r="S296" s="355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</row>
    <row r="297" spans="1:33" x14ac:dyDescent="0.2">
      <c r="A297" s="355"/>
      <c r="B297" s="355"/>
      <c r="C297" s="355"/>
      <c r="D297" s="355"/>
      <c r="E297" s="355"/>
      <c r="F297" s="355"/>
      <c r="G297" s="355"/>
      <c r="H297" s="355"/>
      <c r="I297" s="355"/>
      <c r="J297" s="355"/>
      <c r="K297" s="355"/>
      <c r="L297" s="355"/>
      <c r="M297" s="355"/>
      <c r="N297" s="355"/>
      <c r="O297" s="355"/>
      <c r="P297" s="355"/>
      <c r="Q297" s="355"/>
      <c r="R297" s="355"/>
      <c r="S297" s="355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</row>
    <row r="298" spans="1:33" x14ac:dyDescent="0.2">
      <c r="A298" s="355"/>
      <c r="B298" s="355"/>
      <c r="C298" s="355"/>
      <c r="D298" s="355"/>
      <c r="E298" s="355"/>
      <c r="F298" s="355"/>
      <c r="G298" s="355"/>
      <c r="H298" s="355"/>
      <c r="I298" s="355"/>
      <c r="J298" s="355"/>
      <c r="K298" s="355"/>
      <c r="L298" s="355"/>
      <c r="M298" s="355"/>
      <c r="N298" s="355"/>
      <c r="O298" s="355"/>
      <c r="P298" s="355"/>
      <c r="Q298" s="355"/>
      <c r="R298" s="355"/>
      <c r="S298" s="355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</row>
    <row r="299" spans="1:33" x14ac:dyDescent="0.2">
      <c r="A299" s="355"/>
      <c r="B299" s="355"/>
      <c r="C299" s="355"/>
      <c r="D299" s="355"/>
      <c r="E299" s="355"/>
      <c r="F299" s="355"/>
      <c r="G299" s="355"/>
      <c r="H299" s="355"/>
      <c r="I299" s="355"/>
      <c r="J299" s="355"/>
      <c r="K299" s="355"/>
      <c r="L299" s="355"/>
      <c r="M299" s="355"/>
      <c r="N299" s="355"/>
      <c r="O299" s="355"/>
      <c r="P299" s="355"/>
      <c r="Q299" s="355"/>
      <c r="R299" s="355"/>
      <c r="S299" s="355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</row>
    <row r="300" spans="1:33" x14ac:dyDescent="0.2">
      <c r="A300" s="355"/>
      <c r="B300" s="355"/>
      <c r="C300" s="355"/>
      <c r="D300" s="355"/>
      <c r="E300" s="355"/>
      <c r="F300" s="355"/>
      <c r="G300" s="355"/>
      <c r="H300" s="355"/>
      <c r="I300" s="355"/>
      <c r="J300" s="355"/>
      <c r="K300" s="355"/>
      <c r="L300" s="355"/>
      <c r="M300" s="355"/>
      <c r="N300" s="355"/>
      <c r="O300" s="355"/>
      <c r="P300" s="355"/>
      <c r="Q300" s="355"/>
      <c r="R300" s="355"/>
      <c r="S300" s="355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</row>
    <row r="301" spans="1:33" x14ac:dyDescent="0.2">
      <c r="A301" s="355"/>
      <c r="B301" s="355"/>
      <c r="C301" s="355"/>
      <c r="D301" s="355"/>
      <c r="E301" s="355"/>
      <c r="F301" s="355"/>
      <c r="G301" s="355"/>
      <c r="H301" s="355"/>
      <c r="I301" s="355"/>
      <c r="J301" s="355"/>
      <c r="K301" s="355"/>
      <c r="L301" s="355"/>
      <c r="M301" s="355"/>
      <c r="N301" s="355"/>
      <c r="O301" s="355"/>
      <c r="P301" s="355"/>
      <c r="Q301" s="355"/>
      <c r="R301" s="355"/>
      <c r="S301" s="355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</row>
    <row r="302" spans="1:33" x14ac:dyDescent="0.2">
      <c r="A302" s="355"/>
      <c r="B302" s="355"/>
      <c r="C302" s="355"/>
      <c r="D302" s="355"/>
      <c r="E302" s="355"/>
      <c r="F302" s="355"/>
      <c r="G302" s="355"/>
      <c r="H302" s="355"/>
      <c r="I302" s="355"/>
      <c r="J302" s="355"/>
      <c r="K302" s="355"/>
      <c r="L302" s="355"/>
      <c r="M302" s="355"/>
      <c r="N302" s="355"/>
      <c r="O302" s="355"/>
      <c r="P302" s="355"/>
      <c r="Q302" s="355"/>
      <c r="R302" s="355"/>
      <c r="S302" s="355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</row>
    <row r="303" spans="1:33" x14ac:dyDescent="0.2">
      <c r="A303" s="355"/>
      <c r="B303" s="355"/>
      <c r="C303" s="355"/>
      <c r="D303" s="355"/>
      <c r="E303" s="355"/>
      <c r="F303" s="355"/>
      <c r="G303" s="355"/>
      <c r="H303" s="355"/>
      <c r="I303" s="355"/>
      <c r="J303" s="355"/>
      <c r="K303" s="355"/>
      <c r="L303" s="355"/>
      <c r="M303" s="355"/>
      <c r="N303" s="355"/>
      <c r="O303" s="355"/>
      <c r="P303" s="355"/>
      <c r="Q303" s="355"/>
      <c r="R303" s="355"/>
      <c r="S303" s="355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</row>
    <row r="304" spans="1:33" x14ac:dyDescent="0.2">
      <c r="A304" s="355"/>
      <c r="B304" s="355"/>
      <c r="C304" s="355"/>
      <c r="D304" s="355"/>
      <c r="E304" s="355"/>
      <c r="F304" s="355"/>
      <c r="G304" s="355"/>
      <c r="H304" s="355"/>
      <c r="I304" s="355"/>
      <c r="J304" s="355"/>
      <c r="K304" s="355"/>
      <c r="L304" s="355"/>
      <c r="M304" s="355"/>
      <c r="N304" s="355"/>
      <c r="O304" s="355"/>
      <c r="P304" s="355"/>
      <c r="Q304" s="355"/>
      <c r="R304" s="355"/>
      <c r="S304" s="355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</row>
    <row r="305" spans="1:33" x14ac:dyDescent="0.2">
      <c r="A305" s="355"/>
      <c r="B305" s="355"/>
      <c r="C305" s="355"/>
      <c r="D305" s="355"/>
      <c r="E305" s="355"/>
      <c r="F305" s="355"/>
      <c r="G305" s="355"/>
      <c r="H305" s="355"/>
      <c r="I305" s="355"/>
      <c r="J305" s="355"/>
      <c r="K305" s="355"/>
      <c r="L305" s="355"/>
      <c r="M305" s="355"/>
      <c r="N305" s="355"/>
      <c r="O305" s="355"/>
      <c r="P305" s="355"/>
      <c r="Q305" s="355"/>
      <c r="R305" s="355"/>
      <c r="S305" s="355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</row>
    <row r="306" spans="1:33" x14ac:dyDescent="0.2">
      <c r="A306" s="355"/>
      <c r="B306" s="355"/>
      <c r="C306" s="355"/>
      <c r="D306" s="355"/>
      <c r="E306" s="355"/>
      <c r="F306" s="355"/>
      <c r="G306" s="355"/>
      <c r="H306" s="355"/>
      <c r="I306" s="355"/>
      <c r="J306" s="355"/>
      <c r="K306" s="355"/>
      <c r="L306" s="355"/>
      <c r="M306" s="355"/>
      <c r="N306" s="355"/>
      <c r="O306" s="355"/>
      <c r="P306" s="355"/>
      <c r="Q306" s="355"/>
      <c r="R306" s="355"/>
      <c r="S306" s="355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</row>
    <row r="307" spans="1:33" x14ac:dyDescent="0.2">
      <c r="A307" s="355"/>
      <c r="B307" s="355"/>
      <c r="C307" s="355"/>
      <c r="D307" s="355"/>
      <c r="E307" s="355"/>
      <c r="F307" s="355"/>
      <c r="G307" s="355"/>
      <c r="H307" s="355"/>
      <c r="I307" s="355"/>
      <c r="J307" s="355"/>
      <c r="K307" s="355"/>
      <c r="L307" s="355"/>
      <c r="M307" s="355"/>
      <c r="N307" s="355"/>
      <c r="O307" s="355"/>
      <c r="P307" s="355"/>
      <c r="Q307" s="355"/>
      <c r="R307" s="355"/>
      <c r="S307" s="355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</row>
    <row r="308" spans="1:33" x14ac:dyDescent="0.2">
      <c r="A308" s="355"/>
      <c r="B308" s="355"/>
      <c r="C308" s="355"/>
      <c r="D308" s="355"/>
      <c r="E308" s="355"/>
      <c r="F308" s="355"/>
      <c r="G308" s="355"/>
      <c r="H308" s="355"/>
      <c r="I308" s="355"/>
      <c r="J308" s="355"/>
      <c r="K308" s="355"/>
      <c r="L308" s="355"/>
      <c r="M308" s="355"/>
      <c r="N308" s="355"/>
      <c r="O308" s="355"/>
      <c r="P308" s="355"/>
      <c r="Q308" s="355"/>
      <c r="R308" s="355"/>
      <c r="S308" s="355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</row>
    <row r="309" spans="1:33" x14ac:dyDescent="0.2">
      <c r="A309" s="355"/>
      <c r="B309" s="355"/>
      <c r="C309" s="355"/>
      <c r="D309" s="355"/>
      <c r="E309" s="355"/>
      <c r="F309" s="355"/>
      <c r="G309" s="355"/>
      <c r="H309" s="355"/>
      <c r="I309" s="355"/>
      <c r="J309" s="355"/>
      <c r="K309" s="355"/>
      <c r="L309" s="355"/>
      <c r="M309" s="355"/>
      <c r="N309" s="355"/>
      <c r="O309" s="355"/>
      <c r="P309" s="355"/>
      <c r="Q309" s="355"/>
      <c r="R309" s="355"/>
      <c r="S309" s="355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</row>
    <row r="310" spans="1:33" x14ac:dyDescent="0.2">
      <c r="A310" s="355"/>
      <c r="B310" s="355"/>
      <c r="C310" s="355"/>
      <c r="D310" s="355"/>
      <c r="E310" s="355"/>
      <c r="F310" s="355"/>
      <c r="G310" s="355"/>
      <c r="H310" s="355"/>
      <c r="I310" s="355"/>
      <c r="J310" s="355"/>
      <c r="K310" s="355"/>
      <c r="L310" s="355"/>
      <c r="M310" s="355"/>
      <c r="N310" s="355"/>
      <c r="O310" s="355"/>
      <c r="P310" s="355"/>
      <c r="Q310" s="355"/>
      <c r="R310" s="355"/>
      <c r="S310" s="355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</row>
    <row r="311" spans="1:33" x14ac:dyDescent="0.2">
      <c r="A311" s="355"/>
      <c r="B311" s="355"/>
      <c r="C311" s="355"/>
      <c r="D311" s="355"/>
      <c r="E311" s="355"/>
      <c r="F311" s="355"/>
      <c r="G311" s="355"/>
      <c r="H311" s="355"/>
      <c r="I311" s="355"/>
      <c r="J311" s="355"/>
      <c r="K311" s="355"/>
      <c r="L311" s="355"/>
      <c r="M311" s="355"/>
      <c r="N311" s="355"/>
      <c r="O311" s="355"/>
      <c r="P311" s="355"/>
      <c r="Q311" s="355"/>
      <c r="R311" s="355"/>
      <c r="S311" s="355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</row>
    <row r="312" spans="1:33" x14ac:dyDescent="0.2">
      <c r="A312" s="355"/>
      <c r="B312" s="355"/>
      <c r="C312" s="355"/>
      <c r="D312" s="355"/>
      <c r="E312" s="355"/>
      <c r="F312" s="355"/>
      <c r="G312" s="355"/>
      <c r="H312" s="355"/>
      <c r="I312" s="355"/>
      <c r="J312" s="355"/>
      <c r="K312" s="355"/>
      <c r="L312" s="355"/>
      <c r="M312" s="355"/>
      <c r="N312" s="355"/>
      <c r="O312" s="355"/>
      <c r="P312" s="355"/>
      <c r="Q312" s="355"/>
      <c r="R312" s="355"/>
      <c r="S312" s="355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</row>
    <row r="313" spans="1:33" x14ac:dyDescent="0.2">
      <c r="A313" s="355"/>
      <c r="B313" s="355"/>
      <c r="C313" s="355"/>
      <c r="D313" s="355"/>
      <c r="E313" s="355"/>
      <c r="F313" s="355"/>
      <c r="G313" s="355"/>
      <c r="H313" s="355"/>
      <c r="I313" s="355"/>
      <c r="J313" s="355"/>
      <c r="K313" s="355"/>
      <c r="L313" s="355"/>
      <c r="M313" s="355"/>
      <c r="N313" s="355"/>
      <c r="O313" s="355"/>
      <c r="P313" s="355"/>
      <c r="Q313" s="355"/>
      <c r="R313" s="355"/>
      <c r="S313" s="355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</row>
    <row r="314" spans="1:33" x14ac:dyDescent="0.2">
      <c r="A314" s="355"/>
      <c r="B314" s="355"/>
      <c r="C314" s="355"/>
      <c r="D314" s="355"/>
      <c r="E314" s="355"/>
      <c r="F314" s="355"/>
      <c r="G314" s="355"/>
      <c r="H314" s="355"/>
      <c r="I314" s="355"/>
      <c r="J314" s="355"/>
      <c r="K314" s="355"/>
      <c r="L314" s="355"/>
      <c r="M314" s="355"/>
      <c r="N314" s="355"/>
      <c r="O314" s="355"/>
      <c r="P314" s="355"/>
      <c r="Q314" s="355"/>
      <c r="R314" s="355"/>
      <c r="S314" s="355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</row>
    <row r="315" spans="1:33" x14ac:dyDescent="0.2">
      <c r="A315" s="355"/>
      <c r="B315" s="355"/>
      <c r="C315" s="355"/>
      <c r="D315" s="355"/>
      <c r="E315" s="355"/>
      <c r="F315" s="355"/>
      <c r="G315" s="355"/>
      <c r="H315" s="355"/>
      <c r="I315" s="355"/>
      <c r="J315" s="355"/>
      <c r="K315" s="355"/>
      <c r="L315" s="355"/>
      <c r="M315" s="355"/>
      <c r="N315" s="355"/>
      <c r="O315" s="355"/>
      <c r="P315" s="355"/>
      <c r="Q315" s="355"/>
      <c r="R315" s="355"/>
      <c r="S315" s="355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</row>
    <row r="316" spans="1:33" x14ac:dyDescent="0.2">
      <c r="A316" s="355"/>
      <c r="B316" s="355"/>
      <c r="C316" s="355"/>
      <c r="D316" s="355"/>
      <c r="E316" s="355"/>
      <c r="F316" s="355"/>
      <c r="G316" s="355"/>
      <c r="H316" s="355"/>
      <c r="I316" s="355"/>
      <c r="J316" s="355"/>
      <c r="K316" s="355"/>
      <c r="L316" s="355"/>
      <c r="M316" s="355"/>
      <c r="N316" s="355"/>
      <c r="O316" s="355"/>
      <c r="P316" s="355"/>
      <c r="Q316" s="355"/>
      <c r="R316" s="355"/>
      <c r="S316" s="355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</row>
    <row r="317" spans="1:33" x14ac:dyDescent="0.2">
      <c r="A317" s="355"/>
      <c r="B317" s="355"/>
      <c r="C317" s="355"/>
      <c r="D317" s="355"/>
      <c r="E317" s="355"/>
      <c r="F317" s="355"/>
      <c r="G317" s="355"/>
      <c r="H317" s="355"/>
      <c r="I317" s="355"/>
      <c r="J317" s="355"/>
      <c r="K317" s="355"/>
      <c r="L317" s="355"/>
      <c r="M317" s="355"/>
      <c r="N317" s="355"/>
      <c r="O317" s="355"/>
      <c r="P317" s="355"/>
      <c r="Q317" s="355"/>
      <c r="R317" s="355"/>
      <c r="S317" s="355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</row>
    <row r="318" spans="1:33" x14ac:dyDescent="0.2">
      <c r="A318" s="355"/>
      <c r="B318" s="355"/>
      <c r="C318" s="355"/>
      <c r="D318" s="355"/>
      <c r="E318" s="355"/>
      <c r="F318" s="355"/>
      <c r="G318" s="355"/>
      <c r="H318" s="355"/>
      <c r="I318" s="355"/>
      <c r="J318" s="355"/>
      <c r="K318" s="355"/>
      <c r="L318" s="355"/>
      <c r="M318" s="355"/>
      <c r="N318" s="355"/>
      <c r="O318" s="355"/>
      <c r="P318" s="355"/>
      <c r="Q318" s="355"/>
      <c r="R318" s="355"/>
      <c r="S318" s="355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</row>
    <row r="319" spans="1:33" x14ac:dyDescent="0.2">
      <c r="A319" s="355"/>
      <c r="B319" s="355"/>
      <c r="C319" s="355"/>
      <c r="D319" s="355"/>
      <c r="E319" s="355"/>
      <c r="F319" s="355"/>
      <c r="G319" s="355"/>
      <c r="H319" s="355"/>
      <c r="I319" s="355"/>
      <c r="J319" s="355"/>
      <c r="K319" s="355"/>
      <c r="L319" s="355"/>
      <c r="M319" s="355"/>
      <c r="N319" s="355"/>
      <c r="O319" s="355"/>
      <c r="P319" s="355"/>
      <c r="Q319" s="355"/>
      <c r="R319" s="355"/>
      <c r="S319" s="355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</row>
    <row r="320" spans="1:33" x14ac:dyDescent="0.2">
      <c r="A320" s="355"/>
      <c r="B320" s="355"/>
      <c r="C320" s="355"/>
      <c r="D320" s="355"/>
      <c r="E320" s="355"/>
      <c r="F320" s="355"/>
      <c r="G320" s="355"/>
      <c r="H320" s="355"/>
      <c r="I320" s="355"/>
      <c r="J320" s="355"/>
      <c r="K320" s="355"/>
      <c r="L320" s="355"/>
      <c r="M320" s="355"/>
      <c r="N320" s="355"/>
      <c r="O320" s="355"/>
      <c r="P320" s="355"/>
      <c r="Q320" s="355"/>
      <c r="R320" s="355"/>
      <c r="S320" s="355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</row>
    <row r="321" spans="1:33" x14ac:dyDescent="0.2">
      <c r="A321" s="355"/>
      <c r="B321" s="355"/>
      <c r="C321" s="355"/>
      <c r="D321" s="355"/>
      <c r="E321" s="355"/>
      <c r="F321" s="355"/>
      <c r="G321" s="355"/>
      <c r="H321" s="355"/>
      <c r="I321" s="355"/>
      <c r="J321" s="355"/>
      <c r="K321" s="355"/>
      <c r="L321" s="355"/>
      <c r="M321" s="355"/>
      <c r="N321" s="355"/>
      <c r="O321" s="355"/>
      <c r="P321" s="355"/>
      <c r="Q321" s="355"/>
      <c r="R321" s="355"/>
      <c r="S321" s="355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</row>
    <row r="322" spans="1:33" x14ac:dyDescent="0.2">
      <c r="A322" s="355"/>
      <c r="B322" s="355"/>
      <c r="C322" s="355"/>
      <c r="D322" s="355"/>
      <c r="E322" s="355"/>
      <c r="F322" s="355"/>
      <c r="G322" s="355"/>
      <c r="H322" s="355"/>
      <c r="I322" s="355"/>
      <c r="J322" s="355"/>
      <c r="K322" s="355"/>
      <c r="L322" s="355"/>
      <c r="M322" s="355"/>
      <c r="N322" s="355"/>
      <c r="O322" s="355"/>
      <c r="P322" s="355"/>
      <c r="Q322" s="355"/>
      <c r="R322" s="355"/>
      <c r="S322" s="355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</row>
    <row r="323" spans="1:33" x14ac:dyDescent="0.2">
      <c r="A323" s="355"/>
      <c r="B323" s="355"/>
      <c r="C323" s="355"/>
      <c r="D323" s="355"/>
      <c r="E323" s="355"/>
      <c r="F323" s="355"/>
      <c r="G323" s="355"/>
      <c r="H323" s="355"/>
      <c r="I323" s="355"/>
      <c r="J323" s="355"/>
      <c r="K323" s="355"/>
      <c r="L323" s="355"/>
      <c r="M323" s="355"/>
      <c r="N323" s="355"/>
      <c r="O323" s="355"/>
      <c r="P323" s="355"/>
      <c r="Q323" s="355"/>
      <c r="R323" s="355"/>
      <c r="S323" s="355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</row>
    <row r="324" spans="1:33" x14ac:dyDescent="0.2">
      <c r="A324" s="355"/>
      <c r="B324" s="355"/>
      <c r="C324" s="355"/>
      <c r="D324" s="355"/>
      <c r="E324" s="355"/>
      <c r="F324" s="355"/>
      <c r="G324" s="355"/>
      <c r="H324" s="355"/>
      <c r="I324" s="355"/>
      <c r="J324" s="355"/>
      <c r="K324" s="355"/>
      <c r="L324" s="355"/>
      <c r="M324" s="355"/>
      <c r="N324" s="355"/>
      <c r="O324" s="355"/>
      <c r="P324" s="355"/>
      <c r="Q324" s="355"/>
      <c r="R324" s="355"/>
      <c r="S324" s="355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</row>
    <row r="325" spans="1:33" x14ac:dyDescent="0.2">
      <c r="A325" s="355"/>
      <c r="B325" s="355"/>
      <c r="C325" s="355"/>
      <c r="D325" s="355"/>
      <c r="E325" s="355"/>
      <c r="F325" s="355"/>
      <c r="G325" s="355"/>
      <c r="H325" s="355"/>
      <c r="I325" s="355"/>
      <c r="J325" s="355"/>
      <c r="K325" s="355"/>
      <c r="L325" s="355"/>
      <c r="M325" s="355"/>
      <c r="N325" s="355"/>
      <c r="O325" s="355"/>
      <c r="P325" s="355"/>
      <c r="Q325" s="355"/>
      <c r="R325" s="355"/>
      <c r="S325" s="355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</row>
    <row r="326" spans="1:33" x14ac:dyDescent="0.2">
      <c r="A326" s="355"/>
      <c r="B326" s="355"/>
      <c r="C326" s="355"/>
      <c r="D326" s="355"/>
      <c r="E326" s="355"/>
      <c r="F326" s="355"/>
      <c r="G326" s="355"/>
      <c r="H326" s="355"/>
      <c r="I326" s="355"/>
      <c r="J326" s="355"/>
      <c r="K326" s="355"/>
      <c r="L326" s="355"/>
      <c r="M326" s="355"/>
      <c r="N326" s="355"/>
      <c r="O326" s="355"/>
      <c r="P326" s="355"/>
      <c r="Q326" s="355"/>
      <c r="R326" s="355"/>
      <c r="S326" s="355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</row>
    <row r="327" spans="1:33" x14ac:dyDescent="0.2">
      <c r="A327" s="355"/>
      <c r="B327" s="355"/>
      <c r="C327" s="355"/>
      <c r="D327" s="355"/>
      <c r="E327" s="355"/>
      <c r="F327" s="355"/>
      <c r="G327" s="355"/>
      <c r="H327" s="355"/>
      <c r="I327" s="355"/>
      <c r="J327" s="355"/>
      <c r="K327" s="355"/>
      <c r="L327" s="355"/>
      <c r="M327" s="355"/>
      <c r="N327" s="355"/>
      <c r="O327" s="355"/>
      <c r="P327" s="355"/>
      <c r="Q327" s="355"/>
      <c r="R327" s="355"/>
      <c r="S327" s="355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</row>
    <row r="328" spans="1:33" x14ac:dyDescent="0.2">
      <c r="A328" s="355"/>
      <c r="B328" s="355"/>
      <c r="C328" s="355"/>
      <c r="D328" s="355"/>
      <c r="E328" s="355"/>
      <c r="F328" s="355"/>
      <c r="G328" s="355"/>
      <c r="H328" s="355"/>
      <c r="I328" s="355"/>
      <c r="J328" s="355"/>
      <c r="K328" s="355"/>
      <c r="L328" s="355"/>
      <c r="M328" s="355"/>
      <c r="N328" s="355"/>
      <c r="O328" s="355"/>
      <c r="P328" s="355"/>
      <c r="Q328" s="355"/>
      <c r="R328" s="355"/>
      <c r="S328" s="355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</row>
    <row r="329" spans="1:33" x14ac:dyDescent="0.2">
      <c r="A329" s="355"/>
      <c r="B329" s="355"/>
      <c r="C329" s="355"/>
      <c r="D329" s="355"/>
      <c r="E329" s="355"/>
      <c r="F329" s="355"/>
      <c r="G329" s="355"/>
      <c r="H329" s="355"/>
      <c r="I329" s="355"/>
      <c r="J329" s="355"/>
      <c r="K329" s="355"/>
      <c r="L329" s="355"/>
      <c r="M329" s="355"/>
      <c r="N329" s="355"/>
      <c r="O329" s="355"/>
      <c r="P329" s="355"/>
      <c r="Q329" s="355"/>
      <c r="R329" s="355"/>
      <c r="S329" s="355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</row>
    <row r="330" spans="1:33" x14ac:dyDescent="0.2">
      <c r="A330" s="355"/>
      <c r="B330" s="355"/>
      <c r="C330" s="355"/>
      <c r="D330" s="355"/>
      <c r="E330" s="355"/>
      <c r="F330" s="355"/>
      <c r="G330" s="355"/>
      <c r="H330" s="355"/>
      <c r="I330" s="355"/>
      <c r="J330" s="355"/>
      <c r="K330" s="355"/>
      <c r="L330" s="355"/>
      <c r="M330" s="355"/>
      <c r="N330" s="355"/>
      <c r="O330" s="355"/>
      <c r="P330" s="355"/>
      <c r="Q330" s="355"/>
      <c r="R330" s="355"/>
      <c r="S330" s="355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</row>
    <row r="331" spans="1:33" x14ac:dyDescent="0.2">
      <c r="A331" s="355"/>
      <c r="B331" s="355"/>
      <c r="C331" s="355"/>
      <c r="D331" s="355"/>
      <c r="E331" s="355"/>
      <c r="F331" s="355"/>
      <c r="G331" s="355"/>
      <c r="H331" s="355"/>
      <c r="I331" s="355"/>
      <c r="J331" s="355"/>
      <c r="K331" s="355"/>
      <c r="L331" s="355"/>
      <c r="M331" s="355"/>
      <c r="N331" s="355"/>
      <c r="O331" s="355"/>
      <c r="P331" s="355"/>
      <c r="Q331" s="355"/>
      <c r="R331" s="355"/>
      <c r="S331" s="355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</row>
    <row r="332" spans="1:33" x14ac:dyDescent="0.2">
      <c r="A332" s="355"/>
      <c r="B332" s="355"/>
      <c r="C332" s="355"/>
      <c r="D332" s="355"/>
      <c r="E332" s="355"/>
      <c r="F332" s="355"/>
      <c r="G332" s="355"/>
      <c r="H332" s="355"/>
      <c r="I332" s="355"/>
      <c r="J332" s="355"/>
      <c r="K332" s="355"/>
      <c r="L332" s="355"/>
      <c r="M332" s="355"/>
      <c r="N332" s="355"/>
      <c r="O332" s="355"/>
      <c r="P332" s="355"/>
      <c r="Q332" s="355"/>
      <c r="R332" s="355"/>
      <c r="S332" s="355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</row>
    <row r="333" spans="1:33" x14ac:dyDescent="0.2">
      <c r="A333" s="355"/>
      <c r="B333" s="355"/>
      <c r="C333" s="355"/>
      <c r="D333" s="355"/>
      <c r="E333" s="355"/>
      <c r="F333" s="355"/>
      <c r="G333" s="355"/>
      <c r="H333" s="355"/>
      <c r="I333" s="355"/>
      <c r="J333" s="355"/>
      <c r="K333" s="355"/>
      <c r="L333" s="355"/>
      <c r="M333" s="355"/>
      <c r="N333" s="355"/>
      <c r="O333" s="355"/>
      <c r="P333" s="355"/>
      <c r="Q333" s="355"/>
      <c r="R333" s="355"/>
      <c r="S333" s="355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</row>
    <row r="334" spans="1:33" x14ac:dyDescent="0.2">
      <c r="A334" s="355"/>
      <c r="B334" s="355"/>
      <c r="C334" s="355"/>
      <c r="D334" s="355"/>
      <c r="E334" s="355"/>
      <c r="F334" s="355"/>
      <c r="G334" s="355"/>
      <c r="H334" s="355"/>
      <c r="I334" s="355"/>
      <c r="J334" s="355"/>
      <c r="K334" s="355"/>
      <c r="L334" s="355"/>
      <c r="M334" s="355"/>
      <c r="N334" s="355"/>
      <c r="O334" s="355"/>
      <c r="P334" s="355"/>
      <c r="Q334" s="355"/>
      <c r="R334" s="355"/>
      <c r="S334" s="355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</row>
    <row r="335" spans="1:33" x14ac:dyDescent="0.2">
      <c r="A335" s="355"/>
      <c r="B335" s="355"/>
      <c r="C335" s="355"/>
      <c r="D335" s="355"/>
      <c r="E335" s="355"/>
      <c r="F335" s="355"/>
      <c r="G335" s="355"/>
      <c r="H335" s="355"/>
      <c r="I335" s="355"/>
      <c r="J335" s="355"/>
      <c r="K335" s="355"/>
      <c r="L335" s="355"/>
      <c r="M335" s="355"/>
      <c r="N335" s="355"/>
      <c r="O335" s="355"/>
      <c r="P335" s="355"/>
      <c r="Q335" s="355"/>
      <c r="R335" s="355"/>
      <c r="S335" s="355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</row>
    <row r="336" spans="1:33" x14ac:dyDescent="0.2">
      <c r="A336" s="355"/>
      <c r="B336" s="355"/>
      <c r="C336" s="355"/>
      <c r="D336" s="355"/>
      <c r="E336" s="355"/>
      <c r="F336" s="355"/>
      <c r="G336" s="355"/>
      <c r="H336" s="355"/>
      <c r="I336" s="355"/>
      <c r="J336" s="355"/>
      <c r="K336" s="355"/>
      <c r="L336" s="355"/>
      <c r="M336" s="355"/>
      <c r="N336" s="355"/>
      <c r="O336" s="355"/>
      <c r="P336" s="355"/>
      <c r="Q336" s="355"/>
      <c r="R336" s="355"/>
      <c r="S336" s="355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</row>
    <row r="337" spans="1:33" x14ac:dyDescent="0.2">
      <c r="A337" s="355"/>
      <c r="B337" s="355"/>
      <c r="C337" s="355"/>
      <c r="D337" s="355"/>
      <c r="E337" s="355"/>
      <c r="F337" s="355"/>
      <c r="G337" s="355"/>
      <c r="H337" s="355"/>
      <c r="I337" s="355"/>
      <c r="J337" s="355"/>
      <c r="K337" s="355"/>
      <c r="L337" s="355"/>
      <c r="M337" s="355"/>
      <c r="N337" s="355"/>
      <c r="O337" s="355"/>
      <c r="P337" s="355"/>
      <c r="Q337" s="355"/>
      <c r="R337" s="355"/>
      <c r="S337" s="355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</row>
    <row r="338" spans="1:33" x14ac:dyDescent="0.2">
      <c r="A338" s="355"/>
      <c r="B338" s="355"/>
      <c r="C338" s="355"/>
      <c r="D338" s="355"/>
      <c r="E338" s="355"/>
      <c r="F338" s="355"/>
      <c r="G338" s="355"/>
      <c r="H338" s="355"/>
      <c r="I338" s="355"/>
      <c r="J338" s="355"/>
      <c r="K338" s="355"/>
      <c r="L338" s="355"/>
      <c r="M338" s="355"/>
      <c r="N338" s="355"/>
      <c r="O338" s="355"/>
      <c r="P338" s="355"/>
      <c r="Q338" s="355"/>
      <c r="R338" s="355"/>
      <c r="S338" s="355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</row>
    <row r="339" spans="1:33" x14ac:dyDescent="0.2">
      <c r="A339" s="355"/>
      <c r="B339" s="355"/>
      <c r="C339" s="355"/>
      <c r="D339" s="355"/>
      <c r="E339" s="355"/>
      <c r="F339" s="355"/>
      <c r="G339" s="355"/>
      <c r="H339" s="355"/>
      <c r="I339" s="355"/>
      <c r="J339" s="355"/>
      <c r="K339" s="355"/>
      <c r="L339" s="355"/>
      <c r="M339" s="355"/>
      <c r="N339" s="355"/>
      <c r="O339" s="355"/>
      <c r="P339" s="355"/>
      <c r="Q339" s="355"/>
      <c r="R339" s="355"/>
      <c r="S339" s="355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</row>
    <row r="340" spans="1:33" x14ac:dyDescent="0.2">
      <c r="A340" s="355"/>
      <c r="B340" s="355"/>
      <c r="C340" s="355"/>
      <c r="D340" s="355"/>
      <c r="E340" s="355"/>
      <c r="F340" s="355"/>
      <c r="G340" s="355"/>
      <c r="H340" s="355"/>
      <c r="I340" s="355"/>
      <c r="J340" s="355"/>
      <c r="K340" s="355"/>
      <c r="L340" s="355"/>
      <c r="M340" s="355"/>
      <c r="N340" s="355"/>
      <c r="O340" s="355"/>
      <c r="P340" s="355"/>
      <c r="Q340" s="355"/>
      <c r="R340" s="355"/>
      <c r="S340" s="355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</row>
    <row r="341" spans="1:33" x14ac:dyDescent="0.2">
      <c r="A341" s="355"/>
      <c r="B341" s="355"/>
      <c r="C341" s="355"/>
      <c r="D341" s="355"/>
      <c r="E341" s="355"/>
      <c r="F341" s="355"/>
      <c r="G341" s="355"/>
      <c r="H341" s="355"/>
      <c r="I341" s="355"/>
      <c r="J341" s="355"/>
      <c r="K341" s="355"/>
      <c r="L341" s="355"/>
      <c r="M341" s="355"/>
      <c r="N341" s="355"/>
      <c r="O341" s="355"/>
      <c r="P341" s="355"/>
      <c r="Q341" s="355"/>
      <c r="R341" s="355"/>
      <c r="S341" s="355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</row>
    <row r="342" spans="1:33" x14ac:dyDescent="0.2">
      <c r="A342" s="355"/>
      <c r="B342" s="355"/>
      <c r="C342" s="355"/>
      <c r="D342" s="355"/>
      <c r="E342" s="355"/>
      <c r="F342" s="355"/>
      <c r="G342" s="355"/>
      <c r="H342" s="355"/>
      <c r="I342" s="355"/>
      <c r="J342" s="355"/>
      <c r="K342" s="355"/>
      <c r="L342" s="355"/>
      <c r="M342" s="355"/>
      <c r="N342" s="355"/>
      <c r="O342" s="355"/>
      <c r="P342" s="355"/>
      <c r="Q342" s="355"/>
      <c r="R342" s="355"/>
      <c r="S342" s="355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</row>
    <row r="343" spans="1:33" x14ac:dyDescent="0.2">
      <c r="A343" s="355"/>
      <c r="B343" s="355"/>
      <c r="C343" s="355"/>
      <c r="D343" s="355"/>
      <c r="E343" s="355"/>
      <c r="F343" s="355"/>
      <c r="G343" s="355"/>
      <c r="H343" s="355"/>
      <c r="I343" s="355"/>
      <c r="J343" s="355"/>
      <c r="K343" s="355"/>
      <c r="L343" s="355"/>
      <c r="M343" s="355"/>
      <c r="N343" s="355"/>
      <c r="O343" s="355"/>
      <c r="P343" s="355"/>
      <c r="Q343" s="355"/>
      <c r="R343" s="355"/>
      <c r="S343" s="355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</row>
    <row r="344" spans="1:33" x14ac:dyDescent="0.2">
      <c r="A344" s="355"/>
      <c r="B344" s="355"/>
      <c r="C344" s="355"/>
      <c r="D344" s="355"/>
      <c r="E344" s="355"/>
      <c r="F344" s="355"/>
      <c r="G344" s="355"/>
      <c r="H344" s="355"/>
      <c r="I344" s="355"/>
      <c r="J344" s="355"/>
      <c r="K344" s="355"/>
      <c r="L344" s="355"/>
      <c r="M344" s="355"/>
      <c r="N344" s="355"/>
      <c r="O344" s="355"/>
      <c r="P344" s="355"/>
      <c r="Q344" s="355"/>
      <c r="R344" s="355"/>
      <c r="S344" s="355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</row>
    <row r="345" spans="1:33" x14ac:dyDescent="0.2">
      <c r="A345" s="355"/>
      <c r="B345" s="355"/>
      <c r="C345" s="355"/>
      <c r="D345" s="355"/>
      <c r="E345" s="355"/>
      <c r="F345" s="355"/>
      <c r="G345" s="355"/>
      <c r="H345" s="355"/>
      <c r="I345" s="355"/>
      <c r="J345" s="355"/>
      <c r="K345" s="355"/>
      <c r="L345" s="355"/>
      <c r="M345" s="355"/>
      <c r="N345" s="355"/>
      <c r="O345" s="355"/>
      <c r="P345" s="355"/>
      <c r="Q345" s="355"/>
      <c r="R345" s="355"/>
      <c r="S345" s="355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</row>
    <row r="346" spans="1:33" x14ac:dyDescent="0.2">
      <c r="A346" s="355"/>
      <c r="B346" s="355"/>
      <c r="C346" s="355"/>
      <c r="D346" s="355"/>
      <c r="E346" s="355"/>
      <c r="F346" s="355"/>
      <c r="G346" s="355"/>
      <c r="H346" s="355"/>
      <c r="I346" s="355"/>
      <c r="J346" s="355"/>
      <c r="K346" s="355"/>
      <c r="L346" s="355"/>
      <c r="M346" s="355"/>
      <c r="N346" s="355"/>
      <c r="O346" s="355"/>
      <c r="P346" s="355"/>
      <c r="Q346" s="355"/>
      <c r="R346" s="355"/>
      <c r="S346" s="355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</row>
    <row r="347" spans="1:33" x14ac:dyDescent="0.2">
      <c r="A347" s="355"/>
      <c r="B347" s="355"/>
      <c r="C347" s="355"/>
      <c r="D347" s="355"/>
      <c r="E347" s="355"/>
      <c r="F347" s="355"/>
      <c r="G347" s="355"/>
      <c r="H347" s="355"/>
      <c r="I347" s="355"/>
      <c r="J347" s="355"/>
      <c r="K347" s="355"/>
      <c r="L347" s="355"/>
      <c r="M347" s="355"/>
      <c r="N347" s="355"/>
      <c r="O347" s="355"/>
      <c r="P347" s="355"/>
      <c r="Q347" s="355"/>
      <c r="R347" s="355"/>
      <c r="S347" s="355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</row>
    <row r="348" spans="1:33" x14ac:dyDescent="0.2">
      <c r="A348" s="355"/>
      <c r="B348" s="355"/>
      <c r="C348" s="355"/>
      <c r="D348" s="355"/>
      <c r="E348" s="355"/>
      <c r="F348" s="355"/>
      <c r="G348" s="355"/>
      <c r="H348" s="355"/>
      <c r="I348" s="355"/>
      <c r="J348" s="355"/>
      <c r="K348" s="355"/>
      <c r="L348" s="355"/>
      <c r="M348" s="355"/>
      <c r="N348" s="355"/>
      <c r="O348" s="355"/>
      <c r="P348" s="355"/>
      <c r="Q348" s="355"/>
      <c r="R348" s="355"/>
      <c r="S348" s="355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</row>
    <row r="349" spans="1:33" x14ac:dyDescent="0.2">
      <c r="A349" s="377"/>
      <c r="B349" s="377"/>
      <c r="C349" s="377"/>
      <c r="D349" s="377"/>
      <c r="E349" s="377"/>
      <c r="F349" s="377"/>
      <c r="G349" s="377"/>
      <c r="H349" s="377"/>
      <c r="I349" s="377"/>
      <c r="J349" s="377"/>
      <c r="K349" s="377"/>
      <c r="L349" s="377"/>
      <c r="M349" s="377"/>
      <c r="N349" s="377"/>
      <c r="O349" s="377"/>
      <c r="P349" s="377"/>
      <c r="Q349" s="377"/>
      <c r="R349" s="377"/>
      <c r="S349" s="377"/>
    </row>
    <row r="350" spans="1:33" x14ac:dyDescent="0.2">
      <c r="A350" s="377"/>
      <c r="B350" s="377"/>
      <c r="C350" s="377"/>
      <c r="D350" s="377"/>
      <c r="E350" s="377"/>
      <c r="F350" s="377"/>
      <c r="G350" s="377"/>
      <c r="H350" s="377"/>
      <c r="I350" s="377"/>
      <c r="J350" s="377"/>
      <c r="K350" s="377"/>
      <c r="L350" s="377"/>
      <c r="M350" s="377"/>
      <c r="N350" s="377"/>
      <c r="O350" s="377"/>
      <c r="P350" s="377"/>
      <c r="Q350" s="377"/>
      <c r="R350" s="377"/>
      <c r="S350" s="377"/>
    </row>
    <row r="351" spans="1:33" x14ac:dyDescent="0.2">
      <c r="A351" s="377"/>
      <c r="B351" s="377"/>
      <c r="C351" s="377"/>
      <c r="D351" s="377"/>
      <c r="E351" s="377"/>
      <c r="F351" s="377"/>
      <c r="G351" s="377"/>
      <c r="H351" s="377"/>
      <c r="I351" s="377"/>
      <c r="J351" s="377"/>
      <c r="K351" s="377"/>
      <c r="L351" s="377"/>
      <c r="M351" s="377"/>
      <c r="N351" s="377"/>
      <c r="O351" s="377"/>
      <c r="P351" s="377"/>
      <c r="Q351" s="377"/>
      <c r="R351" s="377"/>
      <c r="S351" s="377"/>
    </row>
    <row r="352" spans="1:33" x14ac:dyDescent="0.2">
      <c r="A352" s="377"/>
      <c r="B352" s="377"/>
      <c r="C352" s="377"/>
      <c r="D352" s="377"/>
      <c r="E352" s="377"/>
      <c r="F352" s="377"/>
      <c r="G352" s="377"/>
      <c r="H352" s="377"/>
      <c r="I352" s="377"/>
      <c r="J352" s="377"/>
      <c r="K352" s="377"/>
      <c r="L352" s="377"/>
      <c r="M352" s="377"/>
      <c r="N352" s="377"/>
      <c r="O352" s="377"/>
      <c r="P352" s="377"/>
      <c r="Q352" s="377"/>
      <c r="R352" s="377"/>
      <c r="S352" s="377"/>
    </row>
    <row r="353" spans="1:19" x14ac:dyDescent="0.2">
      <c r="A353" s="377"/>
      <c r="B353" s="377"/>
      <c r="C353" s="377"/>
      <c r="D353" s="377"/>
      <c r="E353" s="377"/>
      <c r="F353" s="377"/>
      <c r="G353" s="377"/>
      <c r="H353" s="377"/>
      <c r="I353" s="377"/>
      <c r="J353" s="377"/>
      <c r="K353" s="377"/>
      <c r="L353" s="377"/>
      <c r="M353" s="377"/>
      <c r="N353" s="377"/>
      <c r="O353" s="377"/>
      <c r="P353" s="377"/>
      <c r="Q353" s="377"/>
      <c r="R353" s="377"/>
      <c r="S353" s="377"/>
    </row>
    <row r="354" spans="1:19" x14ac:dyDescent="0.2">
      <c r="A354" s="377"/>
      <c r="B354" s="377"/>
      <c r="C354" s="377"/>
      <c r="D354" s="377"/>
      <c r="E354" s="377"/>
      <c r="F354" s="377"/>
      <c r="G354" s="377"/>
      <c r="H354" s="377"/>
      <c r="I354" s="377"/>
      <c r="J354" s="377"/>
      <c r="K354" s="377"/>
      <c r="L354" s="377"/>
      <c r="M354" s="377"/>
      <c r="N354" s="377"/>
      <c r="O354" s="377"/>
      <c r="P354" s="377"/>
      <c r="Q354" s="377"/>
      <c r="R354" s="377"/>
      <c r="S354" s="377"/>
    </row>
    <row r="355" spans="1:19" x14ac:dyDescent="0.2">
      <c r="A355" s="377"/>
      <c r="B355" s="377"/>
      <c r="C355" s="377"/>
      <c r="D355" s="377"/>
      <c r="E355" s="377"/>
      <c r="F355" s="377"/>
      <c r="G355" s="377"/>
      <c r="H355" s="377"/>
      <c r="I355" s="377"/>
      <c r="J355" s="377"/>
      <c r="K355" s="377"/>
      <c r="L355" s="377"/>
      <c r="M355" s="377"/>
      <c r="N355" s="377"/>
      <c r="O355" s="377"/>
      <c r="P355" s="377"/>
      <c r="Q355" s="377"/>
      <c r="R355" s="377"/>
      <c r="S355" s="377"/>
    </row>
    <row r="356" spans="1:19" x14ac:dyDescent="0.2">
      <c r="A356" s="377"/>
      <c r="B356" s="377"/>
      <c r="C356" s="377"/>
      <c r="D356" s="377"/>
      <c r="E356" s="377"/>
      <c r="F356" s="377"/>
      <c r="G356" s="377"/>
      <c r="H356" s="377"/>
      <c r="I356" s="377"/>
      <c r="J356" s="377"/>
      <c r="K356" s="377"/>
      <c r="L356" s="377"/>
      <c r="M356" s="377"/>
      <c r="N356" s="377"/>
      <c r="O356" s="377"/>
      <c r="P356" s="377"/>
      <c r="Q356" s="377"/>
      <c r="R356" s="377"/>
      <c r="S356" s="377"/>
    </row>
    <row r="357" spans="1:19" x14ac:dyDescent="0.2">
      <c r="A357" s="377"/>
      <c r="B357" s="377"/>
      <c r="C357" s="377"/>
      <c r="D357" s="377"/>
      <c r="E357" s="377"/>
      <c r="F357" s="377"/>
      <c r="G357" s="377"/>
      <c r="H357" s="377"/>
      <c r="I357" s="377"/>
      <c r="J357" s="377"/>
      <c r="K357" s="377"/>
      <c r="L357" s="377"/>
      <c r="M357" s="377"/>
      <c r="N357" s="377"/>
      <c r="O357" s="377"/>
      <c r="P357" s="377"/>
      <c r="Q357" s="377"/>
      <c r="R357" s="377"/>
      <c r="S357" s="377"/>
    </row>
    <row r="358" spans="1:19" x14ac:dyDescent="0.2">
      <c r="A358" s="377"/>
      <c r="B358" s="377"/>
      <c r="C358" s="377"/>
      <c r="D358" s="377"/>
      <c r="E358" s="377"/>
      <c r="F358" s="377"/>
      <c r="G358" s="377"/>
      <c r="H358" s="377"/>
      <c r="I358" s="377"/>
      <c r="J358" s="377"/>
      <c r="K358" s="377"/>
      <c r="L358" s="377"/>
      <c r="M358" s="377"/>
      <c r="N358" s="377"/>
      <c r="O358" s="377"/>
      <c r="P358" s="377"/>
      <c r="Q358" s="377"/>
      <c r="R358" s="377"/>
      <c r="S358" s="377"/>
    </row>
    <row r="359" spans="1:19" x14ac:dyDescent="0.2">
      <c r="A359" s="377"/>
      <c r="B359" s="377"/>
      <c r="C359" s="377"/>
      <c r="D359" s="377"/>
      <c r="E359" s="377"/>
      <c r="F359" s="377"/>
      <c r="G359" s="377"/>
      <c r="H359" s="377"/>
      <c r="I359" s="377"/>
      <c r="J359" s="377"/>
      <c r="K359" s="377"/>
      <c r="L359" s="377"/>
      <c r="M359" s="377"/>
      <c r="N359" s="377"/>
      <c r="O359" s="377"/>
      <c r="P359" s="377"/>
      <c r="Q359" s="377"/>
      <c r="R359" s="377"/>
      <c r="S359" s="377"/>
    </row>
    <row r="360" spans="1:19" x14ac:dyDescent="0.2">
      <c r="A360" s="377"/>
      <c r="B360" s="377"/>
      <c r="C360" s="377"/>
      <c r="D360" s="377"/>
      <c r="E360" s="377"/>
      <c r="F360" s="377"/>
      <c r="G360" s="377"/>
      <c r="H360" s="377"/>
      <c r="I360" s="377"/>
      <c r="J360" s="377"/>
      <c r="K360" s="377"/>
      <c r="L360" s="377"/>
      <c r="M360" s="377"/>
      <c r="N360" s="377"/>
      <c r="O360" s="377"/>
      <c r="P360" s="377"/>
      <c r="Q360" s="377"/>
      <c r="R360" s="377"/>
      <c r="S360" s="377"/>
    </row>
    <row r="361" spans="1:19" x14ac:dyDescent="0.2">
      <c r="A361" s="377"/>
      <c r="B361" s="377"/>
      <c r="C361" s="377"/>
      <c r="D361" s="377"/>
      <c r="E361" s="377"/>
      <c r="F361" s="377"/>
      <c r="G361" s="377"/>
      <c r="H361" s="377"/>
      <c r="I361" s="377"/>
      <c r="J361" s="377"/>
      <c r="K361" s="377"/>
      <c r="L361" s="377"/>
      <c r="M361" s="377"/>
      <c r="N361" s="377"/>
      <c r="O361" s="377"/>
      <c r="P361" s="377"/>
      <c r="Q361" s="377"/>
      <c r="R361" s="377"/>
      <c r="S361" s="377"/>
    </row>
    <row r="362" spans="1:19" x14ac:dyDescent="0.2">
      <c r="A362" s="377"/>
      <c r="B362" s="377"/>
      <c r="C362" s="377"/>
      <c r="D362" s="377"/>
      <c r="E362" s="377"/>
      <c r="F362" s="377"/>
      <c r="G362" s="377"/>
      <c r="H362" s="377"/>
      <c r="I362" s="377"/>
      <c r="J362" s="377"/>
      <c r="K362" s="377"/>
      <c r="L362" s="377"/>
      <c r="M362" s="377"/>
      <c r="N362" s="377"/>
      <c r="O362" s="377"/>
      <c r="P362" s="377"/>
      <c r="Q362" s="377"/>
      <c r="R362" s="377"/>
      <c r="S362" s="377"/>
    </row>
    <row r="363" spans="1:19" x14ac:dyDescent="0.2">
      <c r="A363" s="377"/>
      <c r="B363" s="377"/>
      <c r="C363" s="377"/>
      <c r="D363" s="377"/>
      <c r="E363" s="377"/>
      <c r="F363" s="377"/>
      <c r="G363" s="377"/>
      <c r="H363" s="377"/>
      <c r="I363" s="377"/>
      <c r="J363" s="377"/>
      <c r="K363" s="377"/>
      <c r="L363" s="377"/>
      <c r="M363" s="377"/>
      <c r="N363" s="377"/>
      <c r="O363" s="377"/>
      <c r="P363" s="377"/>
      <c r="Q363" s="377"/>
      <c r="R363" s="377"/>
      <c r="S363" s="377"/>
    </row>
    <row r="364" spans="1:19" x14ac:dyDescent="0.2">
      <c r="A364" s="377"/>
      <c r="B364" s="377"/>
      <c r="C364" s="377"/>
      <c r="D364" s="377"/>
      <c r="E364" s="377"/>
      <c r="F364" s="377"/>
      <c r="G364" s="377"/>
      <c r="H364" s="377"/>
      <c r="I364" s="377"/>
      <c r="J364" s="377"/>
      <c r="K364" s="377"/>
      <c r="L364" s="377"/>
      <c r="M364" s="377"/>
      <c r="N364" s="377"/>
      <c r="O364" s="377"/>
      <c r="P364" s="377"/>
      <c r="Q364" s="377"/>
      <c r="R364" s="377"/>
      <c r="S364" s="377"/>
    </row>
    <row r="365" spans="1:19" x14ac:dyDescent="0.2">
      <c r="A365" s="377"/>
      <c r="B365" s="377"/>
      <c r="C365" s="377"/>
      <c r="D365" s="377"/>
      <c r="E365" s="377"/>
      <c r="F365" s="377"/>
      <c r="G365" s="377"/>
      <c r="H365" s="377"/>
      <c r="I365" s="377"/>
      <c r="J365" s="377"/>
      <c r="K365" s="377"/>
      <c r="L365" s="377"/>
      <c r="M365" s="377"/>
      <c r="N365" s="377"/>
      <c r="O365" s="377"/>
      <c r="P365" s="377"/>
      <c r="Q365" s="377"/>
      <c r="R365" s="377"/>
      <c r="S365" s="377"/>
    </row>
    <row r="366" spans="1:19" x14ac:dyDescent="0.2">
      <c r="A366" s="377"/>
      <c r="B366" s="377"/>
      <c r="C366" s="377"/>
      <c r="D366" s="377"/>
      <c r="E366" s="377"/>
      <c r="F366" s="377"/>
      <c r="G366" s="377"/>
      <c r="H366" s="377"/>
      <c r="I366" s="377"/>
      <c r="J366" s="377"/>
      <c r="K366" s="377"/>
      <c r="L366" s="377"/>
      <c r="M366" s="377"/>
      <c r="N366" s="377"/>
      <c r="O366" s="377"/>
      <c r="P366" s="377"/>
      <c r="Q366" s="377"/>
      <c r="R366" s="377"/>
      <c r="S366" s="377"/>
    </row>
    <row r="367" spans="1:19" x14ac:dyDescent="0.2">
      <c r="A367" s="377"/>
      <c r="B367" s="377"/>
      <c r="C367" s="377"/>
      <c r="D367" s="377"/>
      <c r="E367" s="377"/>
      <c r="F367" s="377"/>
      <c r="G367" s="377"/>
      <c r="H367" s="377"/>
      <c r="I367" s="377"/>
      <c r="J367" s="377"/>
      <c r="K367" s="377"/>
      <c r="L367" s="377"/>
      <c r="M367" s="377"/>
      <c r="N367" s="377"/>
      <c r="O367" s="377"/>
      <c r="P367" s="377"/>
      <c r="Q367" s="377"/>
      <c r="R367" s="377"/>
      <c r="S367" s="377"/>
    </row>
    <row r="368" spans="1:19" x14ac:dyDescent="0.2">
      <c r="A368" s="377"/>
      <c r="B368" s="377"/>
      <c r="C368" s="377"/>
      <c r="D368" s="377"/>
      <c r="E368" s="377"/>
      <c r="F368" s="377"/>
      <c r="G368" s="377"/>
      <c r="H368" s="377"/>
      <c r="I368" s="377"/>
      <c r="J368" s="377"/>
      <c r="K368" s="377"/>
      <c r="L368" s="377"/>
      <c r="M368" s="377"/>
      <c r="N368" s="377"/>
      <c r="O368" s="377"/>
      <c r="P368" s="377"/>
      <c r="Q368" s="377"/>
      <c r="R368" s="377"/>
      <c r="S368" s="377"/>
    </row>
    <row r="369" spans="1:19" x14ac:dyDescent="0.2">
      <c r="A369" s="377"/>
      <c r="B369" s="377"/>
      <c r="C369" s="377"/>
      <c r="D369" s="377"/>
      <c r="E369" s="377"/>
      <c r="F369" s="377"/>
      <c r="G369" s="377"/>
      <c r="H369" s="377"/>
      <c r="I369" s="377"/>
      <c r="J369" s="377"/>
      <c r="K369" s="377"/>
      <c r="L369" s="377"/>
      <c r="M369" s="377"/>
      <c r="N369" s="377"/>
      <c r="O369" s="377"/>
      <c r="P369" s="377"/>
      <c r="Q369" s="377"/>
      <c r="R369" s="377"/>
      <c r="S369" s="377"/>
    </row>
    <row r="370" spans="1:19" x14ac:dyDescent="0.2">
      <c r="A370" s="377"/>
      <c r="B370" s="377"/>
      <c r="C370" s="377"/>
      <c r="D370" s="377"/>
      <c r="E370" s="377"/>
      <c r="F370" s="377"/>
      <c r="G370" s="377"/>
      <c r="H370" s="377"/>
      <c r="I370" s="377"/>
      <c r="J370" s="377"/>
      <c r="K370" s="377"/>
      <c r="L370" s="377"/>
      <c r="M370" s="377"/>
      <c r="N370" s="377"/>
      <c r="O370" s="377"/>
      <c r="P370" s="377"/>
      <c r="Q370" s="377"/>
      <c r="R370" s="377"/>
      <c r="S370" s="377"/>
    </row>
    <row r="371" spans="1:19" x14ac:dyDescent="0.2">
      <c r="A371" s="377"/>
      <c r="B371" s="377"/>
      <c r="C371" s="377"/>
      <c r="D371" s="377"/>
      <c r="E371" s="377"/>
      <c r="F371" s="377"/>
      <c r="G371" s="377"/>
      <c r="H371" s="377"/>
      <c r="I371" s="377"/>
      <c r="J371" s="377"/>
      <c r="K371" s="377"/>
      <c r="L371" s="377"/>
      <c r="M371" s="377"/>
      <c r="N371" s="377"/>
      <c r="O371" s="377"/>
      <c r="P371" s="377"/>
      <c r="Q371" s="377"/>
      <c r="R371" s="377"/>
      <c r="S371" s="377"/>
    </row>
    <row r="372" spans="1:19" x14ac:dyDescent="0.2">
      <c r="A372" s="377"/>
      <c r="B372" s="377"/>
      <c r="C372" s="377"/>
      <c r="D372" s="377"/>
      <c r="E372" s="377"/>
      <c r="F372" s="377"/>
      <c r="G372" s="377"/>
      <c r="H372" s="377"/>
      <c r="I372" s="377"/>
      <c r="J372" s="377"/>
      <c r="K372" s="377"/>
      <c r="L372" s="377"/>
      <c r="M372" s="377"/>
      <c r="N372" s="377"/>
      <c r="O372" s="377"/>
      <c r="P372" s="377"/>
      <c r="Q372" s="377"/>
      <c r="R372" s="377"/>
      <c r="S372" s="377"/>
    </row>
    <row r="373" spans="1:19" x14ac:dyDescent="0.2">
      <c r="A373" s="377"/>
      <c r="B373" s="377"/>
      <c r="C373" s="377"/>
      <c r="D373" s="377"/>
      <c r="E373" s="377"/>
      <c r="F373" s="377"/>
      <c r="G373" s="377"/>
      <c r="H373" s="377"/>
      <c r="I373" s="377"/>
      <c r="J373" s="377"/>
      <c r="K373" s="377"/>
      <c r="L373" s="377"/>
      <c r="M373" s="377"/>
      <c r="N373" s="377"/>
      <c r="O373" s="377"/>
      <c r="P373" s="377"/>
      <c r="Q373" s="377"/>
      <c r="R373" s="377"/>
      <c r="S373" s="377"/>
    </row>
    <row r="374" spans="1:19" x14ac:dyDescent="0.2">
      <c r="A374" s="377"/>
      <c r="B374" s="377"/>
      <c r="C374" s="377"/>
      <c r="D374" s="377"/>
      <c r="E374" s="377"/>
      <c r="F374" s="377"/>
      <c r="G374" s="377"/>
      <c r="H374" s="377"/>
      <c r="I374" s="377"/>
      <c r="J374" s="377"/>
      <c r="K374" s="377"/>
      <c r="L374" s="377"/>
      <c r="M374" s="377"/>
      <c r="N374" s="377"/>
      <c r="O374" s="377"/>
      <c r="P374" s="377"/>
      <c r="Q374" s="377"/>
      <c r="R374" s="377"/>
      <c r="S374" s="377"/>
    </row>
    <row r="375" spans="1:19" x14ac:dyDescent="0.2">
      <c r="A375" s="377"/>
      <c r="B375" s="377"/>
      <c r="C375" s="377"/>
      <c r="D375" s="377"/>
      <c r="E375" s="377"/>
      <c r="F375" s="377"/>
      <c r="G375" s="377"/>
      <c r="H375" s="377"/>
      <c r="I375" s="377"/>
      <c r="J375" s="377"/>
      <c r="K375" s="377"/>
      <c r="L375" s="377"/>
      <c r="M375" s="377"/>
      <c r="N375" s="377"/>
      <c r="O375" s="377"/>
      <c r="P375" s="377"/>
      <c r="Q375" s="377"/>
      <c r="R375" s="377"/>
      <c r="S375" s="377"/>
    </row>
    <row r="376" spans="1:19" x14ac:dyDescent="0.2">
      <c r="A376" s="377"/>
      <c r="B376" s="377"/>
      <c r="C376" s="377"/>
      <c r="D376" s="377"/>
      <c r="E376" s="377"/>
      <c r="F376" s="377"/>
      <c r="G376" s="377"/>
      <c r="H376" s="377"/>
      <c r="I376" s="377"/>
      <c r="J376" s="377"/>
      <c r="K376" s="377"/>
      <c r="L376" s="377"/>
      <c r="M376" s="377"/>
      <c r="N376" s="377"/>
      <c r="O376" s="377"/>
      <c r="P376" s="377"/>
      <c r="Q376" s="377"/>
      <c r="R376" s="377"/>
      <c r="S376" s="377"/>
    </row>
    <row r="377" spans="1:19" x14ac:dyDescent="0.2">
      <c r="A377" s="377"/>
      <c r="B377" s="377"/>
      <c r="C377" s="377"/>
      <c r="D377" s="377"/>
      <c r="E377" s="377"/>
      <c r="F377" s="377"/>
      <c r="G377" s="377"/>
      <c r="H377" s="377"/>
      <c r="I377" s="377"/>
      <c r="J377" s="377"/>
      <c r="K377" s="377"/>
      <c r="L377" s="377"/>
      <c r="M377" s="377"/>
      <c r="N377" s="377"/>
      <c r="O377" s="377"/>
      <c r="P377" s="377"/>
      <c r="Q377" s="377"/>
      <c r="R377" s="377"/>
      <c r="S377" s="377"/>
    </row>
    <row r="378" spans="1:19" x14ac:dyDescent="0.2">
      <c r="A378" s="377"/>
      <c r="B378" s="377"/>
      <c r="C378" s="377"/>
      <c r="D378" s="377"/>
      <c r="E378" s="377"/>
      <c r="F378" s="377"/>
      <c r="G378" s="377"/>
      <c r="H378" s="377"/>
      <c r="I378" s="377"/>
      <c r="J378" s="377"/>
      <c r="K378" s="377"/>
      <c r="L378" s="377"/>
      <c r="M378" s="377"/>
      <c r="N378" s="377"/>
      <c r="O378" s="377"/>
      <c r="P378" s="377"/>
      <c r="Q378" s="377"/>
      <c r="R378" s="377"/>
      <c r="S378" s="377"/>
    </row>
    <row r="379" spans="1:19" x14ac:dyDescent="0.2">
      <c r="A379" s="377"/>
      <c r="B379" s="377"/>
      <c r="C379" s="377"/>
      <c r="D379" s="377"/>
      <c r="E379" s="377"/>
      <c r="F379" s="377"/>
      <c r="G379" s="377"/>
      <c r="H379" s="377"/>
      <c r="I379" s="377"/>
      <c r="J379" s="377"/>
      <c r="K379" s="377"/>
      <c r="L379" s="377"/>
      <c r="M379" s="377"/>
      <c r="N379" s="377"/>
      <c r="O379" s="377"/>
      <c r="P379" s="377"/>
      <c r="Q379" s="377"/>
      <c r="R379" s="377"/>
      <c r="S379" s="377"/>
    </row>
    <row r="380" spans="1:19" x14ac:dyDescent="0.2">
      <c r="A380" s="377"/>
      <c r="B380" s="377"/>
      <c r="C380" s="377"/>
      <c r="D380" s="377"/>
      <c r="E380" s="377"/>
      <c r="F380" s="377"/>
      <c r="G380" s="377"/>
      <c r="H380" s="377"/>
      <c r="I380" s="377"/>
      <c r="J380" s="377"/>
      <c r="K380" s="377"/>
      <c r="L380" s="377"/>
      <c r="M380" s="377"/>
      <c r="N380" s="377"/>
      <c r="O380" s="377"/>
      <c r="P380" s="377"/>
      <c r="Q380" s="377"/>
      <c r="R380" s="377"/>
      <c r="S380" s="377"/>
    </row>
    <row r="381" spans="1:19" x14ac:dyDescent="0.2">
      <c r="A381" s="377"/>
      <c r="B381" s="377"/>
      <c r="C381" s="377"/>
      <c r="D381" s="377"/>
      <c r="E381" s="377"/>
      <c r="F381" s="377"/>
      <c r="G381" s="377"/>
      <c r="H381" s="377"/>
      <c r="I381" s="377"/>
      <c r="J381" s="377"/>
      <c r="K381" s="377"/>
      <c r="L381" s="377"/>
      <c r="M381" s="377"/>
      <c r="N381" s="377"/>
      <c r="O381" s="377"/>
      <c r="P381" s="377"/>
      <c r="Q381" s="377"/>
      <c r="R381" s="377"/>
      <c r="S381" s="377"/>
    </row>
    <row r="382" spans="1:19" x14ac:dyDescent="0.2">
      <c r="A382" s="377"/>
      <c r="B382" s="377"/>
      <c r="C382" s="377"/>
      <c r="D382" s="377"/>
      <c r="E382" s="377"/>
      <c r="F382" s="377"/>
      <c r="G382" s="377"/>
      <c r="H382" s="377"/>
      <c r="I382" s="377"/>
      <c r="J382" s="377"/>
      <c r="K382" s="377"/>
      <c r="L382" s="377"/>
      <c r="M382" s="377"/>
      <c r="N382" s="377"/>
      <c r="O382" s="377"/>
      <c r="P382" s="377"/>
      <c r="Q382" s="377"/>
      <c r="R382" s="377"/>
      <c r="S382" s="377"/>
    </row>
    <row r="383" spans="1:19" x14ac:dyDescent="0.2">
      <c r="A383" s="377"/>
      <c r="B383" s="377"/>
      <c r="C383" s="377"/>
      <c r="D383" s="377"/>
      <c r="E383" s="377"/>
      <c r="F383" s="377"/>
      <c r="G383" s="377"/>
      <c r="H383" s="377"/>
      <c r="I383" s="377"/>
      <c r="J383" s="377"/>
      <c r="K383" s="377"/>
      <c r="L383" s="377"/>
      <c r="M383" s="377"/>
      <c r="N383" s="377"/>
      <c r="O383" s="377"/>
      <c r="P383" s="377"/>
      <c r="Q383" s="377"/>
      <c r="R383" s="377"/>
      <c r="S383" s="377"/>
    </row>
    <row r="384" spans="1:19" x14ac:dyDescent="0.2">
      <c r="A384" s="377"/>
      <c r="B384" s="377"/>
      <c r="C384" s="377"/>
      <c r="D384" s="377"/>
      <c r="E384" s="377"/>
      <c r="F384" s="377"/>
      <c r="G384" s="377"/>
      <c r="H384" s="377"/>
      <c r="I384" s="377"/>
      <c r="J384" s="377"/>
      <c r="K384" s="377"/>
      <c r="L384" s="377"/>
      <c r="M384" s="377"/>
      <c r="N384" s="377"/>
      <c r="O384" s="377"/>
      <c r="P384" s="377"/>
      <c r="Q384" s="377"/>
      <c r="R384" s="377"/>
      <c r="S384" s="377"/>
    </row>
    <row r="385" spans="1:19" x14ac:dyDescent="0.2">
      <c r="A385" s="377"/>
      <c r="B385" s="377"/>
      <c r="C385" s="377"/>
      <c r="D385" s="377"/>
      <c r="E385" s="377"/>
      <c r="F385" s="377"/>
      <c r="G385" s="377"/>
      <c r="H385" s="377"/>
      <c r="I385" s="377"/>
      <c r="J385" s="377"/>
      <c r="K385" s="377"/>
      <c r="L385" s="377"/>
      <c r="M385" s="377"/>
      <c r="N385" s="377"/>
      <c r="O385" s="377"/>
      <c r="P385" s="377"/>
      <c r="Q385" s="377"/>
      <c r="R385" s="377"/>
      <c r="S385" s="377"/>
    </row>
    <row r="386" spans="1:19" x14ac:dyDescent="0.2">
      <c r="A386" s="377"/>
      <c r="B386" s="377"/>
      <c r="C386" s="377"/>
      <c r="D386" s="377"/>
      <c r="E386" s="377"/>
      <c r="F386" s="377"/>
      <c r="G386" s="377"/>
      <c r="H386" s="377"/>
      <c r="I386" s="377"/>
      <c r="J386" s="377"/>
      <c r="K386" s="377"/>
      <c r="L386" s="377"/>
      <c r="M386" s="377"/>
      <c r="N386" s="377"/>
      <c r="O386" s="377"/>
      <c r="P386" s="377"/>
      <c r="Q386" s="377"/>
      <c r="R386" s="377"/>
      <c r="S386" s="377"/>
    </row>
    <row r="387" spans="1:19" x14ac:dyDescent="0.2">
      <c r="A387" s="377"/>
      <c r="B387" s="377"/>
      <c r="C387" s="377"/>
      <c r="D387" s="377"/>
      <c r="E387" s="377"/>
      <c r="F387" s="377"/>
      <c r="G387" s="377"/>
      <c r="H387" s="377"/>
      <c r="I387" s="377"/>
      <c r="J387" s="377"/>
      <c r="K387" s="377"/>
      <c r="L387" s="377"/>
      <c r="M387" s="377"/>
      <c r="N387" s="377"/>
      <c r="O387" s="377"/>
      <c r="P387" s="377"/>
      <c r="Q387" s="377"/>
      <c r="R387" s="377"/>
      <c r="S387" s="377"/>
    </row>
    <row r="388" spans="1:19" x14ac:dyDescent="0.2">
      <c r="A388" s="377"/>
      <c r="B388" s="377"/>
      <c r="C388" s="377"/>
      <c r="D388" s="377"/>
      <c r="E388" s="377"/>
      <c r="F388" s="377"/>
      <c r="G388" s="377"/>
      <c r="H388" s="377"/>
      <c r="I388" s="377"/>
      <c r="J388" s="377"/>
      <c r="K388" s="377"/>
      <c r="L388" s="377"/>
      <c r="M388" s="377"/>
      <c r="N388" s="377"/>
      <c r="O388" s="377"/>
      <c r="P388" s="377"/>
      <c r="Q388" s="377"/>
      <c r="R388" s="377"/>
      <c r="S388" s="377"/>
    </row>
    <row r="389" spans="1:19" x14ac:dyDescent="0.2">
      <c r="A389" s="377"/>
      <c r="B389" s="377"/>
      <c r="C389" s="377"/>
      <c r="D389" s="377"/>
      <c r="E389" s="377"/>
      <c r="F389" s="377"/>
      <c r="G389" s="377"/>
      <c r="H389" s="377"/>
      <c r="I389" s="377"/>
      <c r="J389" s="377"/>
      <c r="K389" s="377"/>
      <c r="L389" s="377"/>
      <c r="M389" s="377"/>
      <c r="N389" s="377"/>
      <c r="O389" s="377"/>
      <c r="P389" s="377"/>
      <c r="Q389" s="377"/>
      <c r="R389" s="377"/>
      <c r="S389" s="377"/>
    </row>
    <row r="390" spans="1:19" x14ac:dyDescent="0.2">
      <c r="A390" s="377"/>
      <c r="B390" s="377"/>
      <c r="C390" s="377"/>
      <c r="D390" s="377"/>
      <c r="E390" s="377"/>
      <c r="F390" s="377"/>
      <c r="G390" s="377"/>
      <c r="H390" s="377"/>
      <c r="I390" s="377"/>
      <c r="J390" s="377"/>
      <c r="K390" s="377"/>
      <c r="L390" s="377"/>
      <c r="M390" s="377"/>
      <c r="N390" s="377"/>
      <c r="O390" s="377"/>
      <c r="P390" s="377"/>
      <c r="Q390" s="377"/>
      <c r="R390" s="377"/>
      <c r="S390" s="377"/>
    </row>
    <row r="391" spans="1:19" x14ac:dyDescent="0.2">
      <c r="A391" s="377"/>
      <c r="B391" s="377"/>
      <c r="C391" s="377"/>
      <c r="D391" s="377"/>
      <c r="E391" s="377"/>
      <c r="F391" s="377"/>
      <c r="G391" s="377"/>
      <c r="H391" s="377"/>
      <c r="I391" s="377"/>
      <c r="J391" s="377"/>
      <c r="K391" s="377"/>
      <c r="L391" s="377"/>
      <c r="M391" s="377"/>
      <c r="N391" s="377"/>
      <c r="O391" s="377"/>
      <c r="P391" s="377"/>
      <c r="Q391" s="377"/>
      <c r="R391" s="377"/>
      <c r="S391" s="377"/>
    </row>
    <row r="392" spans="1:19" x14ac:dyDescent="0.2">
      <c r="A392" s="377"/>
      <c r="B392" s="377"/>
      <c r="C392" s="377"/>
      <c r="D392" s="377"/>
      <c r="E392" s="377"/>
      <c r="F392" s="377"/>
      <c r="G392" s="377"/>
      <c r="H392" s="377"/>
      <c r="I392" s="377"/>
      <c r="J392" s="377"/>
      <c r="K392" s="377"/>
      <c r="L392" s="377"/>
      <c r="M392" s="377"/>
      <c r="N392" s="377"/>
      <c r="O392" s="377"/>
      <c r="P392" s="377"/>
      <c r="Q392" s="377"/>
      <c r="R392" s="377"/>
      <c r="S392" s="377"/>
    </row>
    <row r="393" spans="1:19" x14ac:dyDescent="0.2">
      <c r="A393" s="377"/>
      <c r="B393" s="377"/>
      <c r="C393" s="377"/>
      <c r="D393" s="377"/>
      <c r="E393" s="377"/>
      <c r="F393" s="377"/>
      <c r="G393" s="377"/>
      <c r="H393" s="377"/>
      <c r="I393" s="377"/>
      <c r="J393" s="377"/>
      <c r="K393" s="377"/>
      <c r="L393" s="377"/>
      <c r="M393" s="377"/>
      <c r="N393" s="377"/>
      <c r="O393" s="377"/>
      <c r="P393" s="377"/>
      <c r="Q393" s="377"/>
      <c r="R393" s="377"/>
      <c r="S393" s="377"/>
    </row>
    <row r="394" spans="1:19" x14ac:dyDescent="0.2">
      <c r="A394" s="377"/>
      <c r="B394" s="377"/>
      <c r="C394" s="377"/>
      <c r="D394" s="377"/>
      <c r="E394" s="377"/>
      <c r="F394" s="377"/>
      <c r="G394" s="377"/>
      <c r="H394" s="377"/>
      <c r="I394" s="377"/>
      <c r="J394" s="377"/>
      <c r="K394" s="377"/>
      <c r="L394" s="377"/>
      <c r="M394" s="377"/>
      <c r="N394" s="377"/>
      <c r="O394" s="377"/>
      <c r="P394" s="377"/>
      <c r="Q394" s="377"/>
      <c r="R394" s="377"/>
      <c r="S394" s="377"/>
    </row>
    <row r="395" spans="1:19" x14ac:dyDescent="0.2">
      <c r="A395" s="377"/>
      <c r="B395" s="377"/>
      <c r="C395" s="377"/>
      <c r="D395" s="377"/>
      <c r="E395" s="377"/>
      <c r="F395" s="377"/>
      <c r="G395" s="377"/>
      <c r="H395" s="377"/>
      <c r="I395" s="377"/>
      <c r="J395" s="377"/>
      <c r="K395" s="377"/>
      <c r="L395" s="377"/>
      <c r="M395" s="377"/>
      <c r="N395" s="377"/>
      <c r="O395" s="377"/>
      <c r="P395" s="377"/>
      <c r="Q395" s="377"/>
      <c r="R395" s="377"/>
      <c r="S395" s="377"/>
    </row>
    <row r="396" spans="1:19" x14ac:dyDescent="0.2">
      <c r="A396" s="377"/>
      <c r="B396" s="377"/>
      <c r="C396" s="377"/>
      <c r="D396" s="377"/>
      <c r="E396" s="377"/>
      <c r="F396" s="377"/>
      <c r="G396" s="377"/>
      <c r="H396" s="377"/>
      <c r="I396" s="377"/>
      <c r="J396" s="377"/>
      <c r="K396" s="377"/>
      <c r="L396" s="377"/>
      <c r="M396" s="377"/>
      <c r="N396" s="377"/>
      <c r="O396" s="377"/>
      <c r="P396" s="377"/>
      <c r="Q396" s="377"/>
      <c r="R396" s="377"/>
      <c r="S396" s="377"/>
    </row>
    <row r="397" spans="1:19" x14ac:dyDescent="0.2">
      <c r="A397" s="377"/>
      <c r="B397" s="377"/>
      <c r="C397" s="377"/>
      <c r="D397" s="377"/>
      <c r="E397" s="377"/>
      <c r="F397" s="377"/>
      <c r="G397" s="377"/>
      <c r="H397" s="377"/>
      <c r="I397" s="377"/>
      <c r="J397" s="377"/>
      <c r="K397" s="377"/>
      <c r="L397" s="377"/>
      <c r="M397" s="377"/>
      <c r="N397" s="377"/>
      <c r="O397" s="377"/>
      <c r="P397" s="377"/>
      <c r="Q397" s="377"/>
      <c r="R397" s="377"/>
      <c r="S397" s="377"/>
    </row>
    <row r="398" spans="1:19" x14ac:dyDescent="0.2">
      <c r="A398" s="377"/>
      <c r="B398" s="377"/>
      <c r="C398" s="377"/>
      <c r="D398" s="377"/>
      <c r="E398" s="377"/>
      <c r="F398" s="377"/>
      <c r="G398" s="377"/>
      <c r="H398" s="377"/>
      <c r="I398" s="377"/>
      <c r="J398" s="377"/>
      <c r="K398" s="377"/>
      <c r="L398" s="377"/>
      <c r="M398" s="377"/>
      <c r="N398" s="377"/>
      <c r="O398" s="377"/>
      <c r="P398" s="377"/>
      <c r="Q398" s="377"/>
      <c r="R398" s="377"/>
      <c r="S398" s="377"/>
    </row>
    <row r="399" spans="1:19" x14ac:dyDescent="0.2">
      <c r="A399" s="377"/>
      <c r="B399" s="377"/>
      <c r="C399" s="377"/>
      <c r="D399" s="377"/>
      <c r="E399" s="377"/>
      <c r="F399" s="377"/>
      <c r="G399" s="377"/>
      <c r="H399" s="377"/>
      <c r="I399" s="377"/>
      <c r="J399" s="377"/>
      <c r="K399" s="377"/>
      <c r="L399" s="377"/>
      <c r="M399" s="377"/>
      <c r="N399" s="377"/>
      <c r="O399" s="377"/>
      <c r="P399" s="377"/>
      <c r="Q399" s="377"/>
      <c r="R399" s="377"/>
      <c r="S399" s="377"/>
    </row>
    <row r="400" spans="1:19" x14ac:dyDescent="0.2">
      <c r="A400" s="377"/>
      <c r="B400" s="377"/>
      <c r="C400" s="377"/>
      <c r="D400" s="377"/>
      <c r="E400" s="377"/>
      <c r="F400" s="377"/>
      <c r="G400" s="377"/>
      <c r="H400" s="377"/>
      <c r="I400" s="377"/>
      <c r="J400" s="377"/>
      <c r="K400" s="377"/>
      <c r="L400" s="377"/>
      <c r="M400" s="377"/>
      <c r="N400" s="377"/>
      <c r="O400" s="377"/>
      <c r="P400" s="377"/>
      <c r="Q400" s="377"/>
      <c r="R400" s="377"/>
      <c r="S400" s="377"/>
    </row>
    <row r="401" spans="1:19" x14ac:dyDescent="0.2">
      <c r="A401" s="377"/>
      <c r="B401" s="377"/>
      <c r="C401" s="377"/>
      <c r="D401" s="377"/>
      <c r="E401" s="377"/>
      <c r="F401" s="377"/>
      <c r="G401" s="377"/>
      <c r="H401" s="377"/>
      <c r="I401" s="377"/>
      <c r="J401" s="377"/>
      <c r="K401" s="377"/>
      <c r="L401" s="377"/>
      <c r="M401" s="377"/>
      <c r="N401" s="377"/>
      <c r="O401" s="377"/>
      <c r="P401" s="377"/>
      <c r="Q401" s="377"/>
      <c r="R401" s="377"/>
      <c r="S401" s="377"/>
    </row>
    <row r="402" spans="1:19" x14ac:dyDescent="0.2">
      <c r="A402" s="377"/>
      <c r="B402" s="377"/>
      <c r="C402" s="377"/>
      <c r="D402" s="377"/>
      <c r="E402" s="377"/>
      <c r="F402" s="377"/>
      <c r="G402" s="377"/>
      <c r="H402" s="377"/>
      <c r="I402" s="377"/>
      <c r="J402" s="377"/>
      <c r="K402" s="377"/>
      <c r="L402" s="377"/>
      <c r="M402" s="377"/>
      <c r="N402" s="377"/>
      <c r="O402" s="377"/>
      <c r="P402" s="377"/>
      <c r="Q402" s="377"/>
      <c r="R402" s="377"/>
      <c r="S402" s="377"/>
    </row>
    <row r="403" spans="1:19" x14ac:dyDescent="0.2">
      <c r="A403" s="377"/>
      <c r="B403" s="377"/>
      <c r="C403" s="377"/>
      <c r="D403" s="377"/>
      <c r="E403" s="377"/>
      <c r="F403" s="377"/>
      <c r="G403" s="377"/>
      <c r="H403" s="377"/>
      <c r="I403" s="377"/>
      <c r="J403" s="377"/>
      <c r="K403" s="377"/>
      <c r="L403" s="377"/>
      <c r="M403" s="377"/>
      <c r="N403" s="377"/>
      <c r="O403" s="377"/>
      <c r="P403" s="377"/>
      <c r="Q403" s="377"/>
      <c r="R403" s="377"/>
      <c r="S403" s="377"/>
    </row>
    <row r="404" spans="1:19" x14ac:dyDescent="0.2">
      <c r="A404" s="377"/>
      <c r="B404" s="377"/>
      <c r="C404" s="377"/>
      <c r="D404" s="377"/>
      <c r="E404" s="377"/>
      <c r="F404" s="377"/>
      <c r="G404" s="377"/>
      <c r="H404" s="377"/>
      <c r="I404" s="377"/>
      <c r="J404" s="377"/>
      <c r="K404" s="377"/>
      <c r="L404" s="377"/>
      <c r="M404" s="377"/>
      <c r="N404" s="377"/>
      <c r="O404" s="377"/>
      <c r="P404" s="377"/>
      <c r="Q404" s="377"/>
      <c r="R404" s="377"/>
      <c r="S404" s="377"/>
    </row>
    <row r="405" spans="1:19" x14ac:dyDescent="0.2">
      <c r="A405" s="377"/>
      <c r="B405" s="377"/>
      <c r="C405" s="377"/>
      <c r="D405" s="377"/>
      <c r="E405" s="377"/>
      <c r="F405" s="377"/>
      <c r="G405" s="377"/>
      <c r="H405" s="377"/>
      <c r="I405" s="377"/>
      <c r="J405" s="377"/>
      <c r="K405" s="377"/>
      <c r="L405" s="377"/>
      <c r="M405" s="377"/>
      <c r="N405" s="377"/>
      <c r="O405" s="377"/>
      <c r="P405" s="377"/>
      <c r="Q405" s="377"/>
      <c r="R405" s="377"/>
      <c r="S405" s="377"/>
    </row>
    <row r="406" spans="1:19" x14ac:dyDescent="0.2">
      <c r="A406" s="377"/>
      <c r="B406" s="377"/>
      <c r="C406" s="377"/>
      <c r="D406" s="377"/>
      <c r="E406" s="377"/>
      <c r="F406" s="377"/>
      <c r="G406" s="377"/>
      <c r="H406" s="377"/>
      <c r="I406" s="377"/>
      <c r="J406" s="377"/>
      <c r="K406" s="377"/>
      <c r="L406" s="377"/>
      <c r="M406" s="377"/>
      <c r="N406" s="377"/>
      <c r="O406" s="377"/>
      <c r="P406" s="377"/>
      <c r="Q406" s="377"/>
      <c r="R406" s="377"/>
      <c r="S406" s="377"/>
    </row>
    <row r="407" spans="1:19" x14ac:dyDescent="0.2">
      <c r="A407" s="377"/>
      <c r="B407" s="377"/>
      <c r="C407" s="377"/>
      <c r="D407" s="377"/>
      <c r="E407" s="377"/>
      <c r="F407" s="377"/>
      <c r="G407" s="377"/>
      <c r="H407" s="377"/>
      <c r="I407" s="377"/>
      <c r="J407" s="377"/>
      <c r="K407" s="377"/>
      <c r="L407" s="377"/>
      <c r="M407" s="377"/>
      <c r="N407" s="377"/>
      <c r="O407" s="377"/>
      <c r="P407" s="377"/>
      <c r="Q407" s="377"/>
      <c r="R407" s="377"/>
      <c r="S407" s="377"/>
    </row>
    <row r="408" spans="1:19" x14ac:dyDescent="0.2">
      <c r="A408" s="377"/>
      <c r="B408" s="377"/>
      <c r="C408" s="377"/>
      <c r="D408" s="377"/>
      <c r="E408" s="377"/>
      <c r="F408" s="377"/>
      <c r="G408" s="377"/>
      <c r="H408" s="377"/>
      <c r="I408" s="377"/>
      <c r="J408" s="377"/>
      <c r="K408" s="377"/>
      <c r="L408" s="377"/>
      <c r="M408" s="377"/>
      <c r="N408" s="377"/>
      <c r="O408" s="377"/>
      <c r="P408" s="377"/>
      <c r="Q408" s="377"/>
      <c r="R408" s="377"/>
      <c r="S408" s="377"/>
    </row>
    <row r="409" spans="1:19" x14ac:dyDescent="0.2">
      <c r="A409" s="377"/>
      <c r="B409" s="377"/>
      <c r="C409" s="377"/>
      <c r="D409" s="377"/>
      <c r="E409" s="377"/>
      <c r="F409" s="377"/>
      <c r="G409" s="377"/>
      <c r="H409" s="377"/>
      <c r="I409" s="377"/>
      <c r="J409" s="377"/>
      <c r="K409" s="377"/>
      <c r="L409" s="377"/>
      <c r="M409" s="377"/>
      <c r="N409" s="377"/>
      <c r="O409" s="377"/>
      <c r="P409" s="377"/>
      <c r="Q409" s="377"/>
      <c r="R409" s="377"/>
      <c r="S409" s="377"/>
    </row>
    <row r="410" spans="1:19" x14ac:dyDescent="0.2">
      <c r="A410" s="377"/>
      <c r="B410" s="377"/>
      <c r="C410" s="377"/>
      <c r="D410" s="377"/>
      <c r="E410" s="377"/>
      <c r="F410" s="377"/>
      <c r="G410" s="377"/>
      <c r="H410" s="377"/>
      <c r="I410" s="377"/>
      <c r="J410" s="377"/>
      <c r="K410" s="377"/>
      <c r="L410" s="377"/>
      <c r="M410" s="377"/>
      <c r="N410" s="377"/>
      <c r="O410" s="377"/>
      <c r="P410" s="377"/>
      <c r="Q410" s="377"/>
      <c r="R410" s="377"/>
      <c r="S410" s="377"/>
    </row>
    <row r="411" spans="1:19" x14ac:dyDescent="0.2">
      <c r="A411" s="377"/>
      <c r="B411" s="377"/>
      <c r="C411" s="377"/>
      <c r="D411" s="377"/>
      <c r="E411" s="377"/>
      <c r="F411" s="377"/>
      <c r="G411" s="377"/>
      <c r="H411" s="377"/>
      <c r="I411" s="377"/>
      <c r="J411" s="377"/>
      <c r="K411" s="377"/>
      <c r="L411" s="377"/>
      <c r="M411" s="377"/>
      <c r="N411" s="377"/>
      <c r="O411" s="377"/>
      <c r="P411" s="377"/>
      <c r="Q411" s="377"/>
      <c r="R411" s="377"/>
      <c r="S411" s="377"/>
    </row>
    <row r="412" spans="1:19" x14ac:dyDescent="0.2">
      <c r="A412" s="377"/>
      <c r="B412" s="377"/>
      <c r="C412" s="377"/>
      <c r="D412" s="377"/>
      <c r="E412" s="377"/>
      <c r="F412" s="377"/>
      <c r="G412" s="377"/>
      <c r="H412" s="377"/>
      <c r="I412" s="377"/>
      <c r="J412" s="377"/>
      <c r="K412" s="377"/>
      <c r="L412" s="377"/>
      <c r="M412" s="377"/>
      <c r="N412" s="377"/>
      <c r="O412" s="377"/>
      <c r="P412" s="377"/>
      <c r="Q412" s="377"/>
      <c r="R412" s="377"/>
      <c r="S412" s="377"/>
    </row>
    <row r="413" spans="1:19" x14ac:dyDescent="0.2">
      <c r="A413" s="377"/>
      <c r="B413" s="377"/>
      <c r="C413" s="377"/>
      <c r="D413" s="377"/>
      <c r="E413" s="377"/>
      <c r="F413" s="377"/>
      <c r="G413" s="377"/>
      <c r="H413" s="377"/>
      <c r="I413" s="377"/>
      <c r="J413" s="377"/>
      <c r="K413" s="377"/>
      <c r="L413" s="377"/>
      <c r="M413" s="377"/>
      <c r="N413" s="377"/>
      <c r="O413" s="377"/>
      <c r="P413" s="377"/>
      <c r="Q413" s="377"/>
      <c r="R413" s="377"/>
      <c r="S413" s="377"/>
    </row>
    <row r="414" spans="1:19" x14ac:dyDescent="0.2">
      <c r="A414" s="377"/>
      <c r="B414" s="377"/>
      <c r="C414" s="377"/>
      <c r="D414" s="377"/>
      <c r="E414" s="377"/>
      <c r="F414" s="377"/>
      <c r="G414" s="377"/>
      <c r="H414" s="377"/>
      <c r="I414" s="377"/>
      <c r="J414" s="377"/>
      <c r="K414" s="377"/>
      <c r="L414" s="377"/>
      <c r="M414" s="377"/>
      <c r="N414" s="377"/>
      <c r="O414" s="377"/>
      <c r="P414" s="377"/>
      <c r="Q414" s="377"/>
      <c r="R414" s="377"/>
      <c r="S414" s="377"/>
    </row>
    <row r="415" spans="1:19" x14ac:dyDescent="0.2">
      <c r="A415" s="377"/>
      <c r="B415" s="377"/>
      <c r="C415" s="377"/>
      <c r="D415" s="377"/>
      <c r="E415" s="377"/>
      <c r="F415" s="377"/>
      <c r="G415" s="377"/>
      <c r="H415" s="377"/>
      <c r="I415" s="377"/>
      <c r="J415" s="377"/>
      <c r="K415" s="377"/>
      <c r="L415" s="377"/>
      <c r="M415" s="377"/>
      <c r="N415" s="377"/>
      <c r="O415" s="377"/>
      <c r="P415" s="377"/>
      <c r="Q415" s="377"/>
      <c r="R415" s="377"/>
      <c r="S415" s="377"/>
    </row>
    <row r="416" spans="1:19" x14ac:dyDescent="0.2">
      <c r="A416" s="377"/>
      <c r="B416" s="377"/>
      <c r="C416" s="377"/>
      <c r="D416" s="377"/>
      <c r="E416" s="377"/>
      <c r="F416" s="377"/>
      <c r="G416" s="377"/>
      <c r="H416" s="377"/>
      <c r="I416" s="377"/>
      <c r="J416" s="377"/>
      <c r="K416" s="377"/>
      <c r="L416" s="377"/>
      <c r="M416" s="377"/>
      <c r="N416" s="377"/>
      <c r="O416" s="377"/>
      <c r="P416" s="377"/>
      <c r="Q416" s="377"/>
      <c r="R416" s="377"/>
      <c r="S416" s="377"/>
    </row>
    <row r="417" spans="1:19" x14ac:dyDescent="0.2">
      <c r="A417" s="377"/>
      <c r="B417" s="377"/>
      <c r="C417" s="377"/>
      <c r="D417" s="377"/>
      <c r="E417" s="377"/>
      <c r="F417" s="377"/>
      <c r="G417" s="377"/>
      <c r="H417" s="377"/>
      <c r="I417" s="377"/>
      <c r="J417" s="377"/>
      <c r="K417" s="377"/>
      <c r="L417" s="377"/>
      <c r="M417" s="377"/>
      <c r="N417" s="377"/>
      <c r="O417" s="377"/>
      <c r="P417" s="377"/>
      <c r="Q417" s="377"/>
      <c r="R417" s="377"/>
      <c r="S417" s="377"/>
    </row>
    <row r="418" spans="1:19" x14ac:dyDescent="0.2">
      <c r="A418" s="377"/>
      <c r="B418" s="377"/>
      <c r="C418" s="377"/>
      <c r="D418" s="377"/>
      <c r="E418" s="377"/>
      <c r="F418" s="377"/>
      <c r="G418" s="377"/>
      <c r="H418" s="377"/>
      <c r="I418" s="377"/>
      <c r="J418" s="377"/>
      <c r="K418" s="377"/>
      <c r="L418" s="377"/>
      <c r="M418" s="377"/>
      <c r="N418" s="377"/>
      <c r="O418" s="377"/>
      <c r="P418" s="377"/>
      <c r="Q418" s="377"/>
      <c r="R418" s="377"/>
      <c r="S418" s="377"/>
    </row>
    <row r="419" spans="1:19" x14ac:dyDescent="0.2">
      <c r="A419" s="377"/>
      <c r="B419" s="377"/>
      <c r="C419" s="377"/>
      <c r="D419" s="377"/>
      <c r="E419" s="377"/>
      <c r="F419" s="377"/>
      <c r="G419" s="377"/>
      <c r="H419" s="377"/>
      <c r="I419" s="377"/>
      <c r="J419" s="377"/>
      <c r="K419" s="377"/>
      <c r="L419" s="377"/>
      <c r="M419" s="377"/>
      <c r="N419" s="377"/>
      <c r="O419" s="377"/>
      <c r="P419" s="377"/>
      <c r="Q419" s="377"/>
      <c r="R419" s="377"/>
      <c r="S419" s="377"/>
    </row>
    <row r="420" spans="1:19" x14ac:dyDescent="0.2">
      <c r="A420" s="377"/>
      <c r="B420" s="377"/>
      <c r="C420" s="377"/>
      <c r="D420" s="377"/>
      <c r="E420" s="377"/>
      <c r="F420" s="377"/>
      <c r="G420" s="377"/>
      <c r="H420" s="377"/>
      <c r="I420" s="377"/>
      <c r="J420" s="377"/>
      <c r="K420" s="377"/>
      <c r="L420" s="377"/>
      <c r="M420" s="377"/>
      <c r="N420" s="377"/>
      <c r="O420" s="377"/>
      <c r="P420" s="377"/>
      <c r="Q420" s="377"/>
      <c r="R420" s="377"/>
      <c r="S420" s="377"/>
    </row>
    <row r="421" spans="1:19" x14ac:dyDescent="0.2">
      <c r="A421" s="377"/>
      <c r="B421" s="377"/>
      <c r="C421" s="377"/>
      <c r="D421" s="377"/>
      <c r="E421" s="377"/>
      <c r="F421" s="377"/>
      <c r="G421" s="377"/>
      <c r="H421" s="377"/>
      <c r="I421" s="377"/>
      <c r="J421" s="377"/>
      <c r="K421" s="377"/>
      <c r="L421" s="377"/>
      <c r="M421" s="377"/>
      <c r="N421" s="377"/>
      <c r="O421" s="377"/>
      <c r="P421" s="377"/>
      <c r="Q421" s="377"/>
      <c r="R421" s="377"/>
      <c r="S421" s="377"/>
    </row>
    <row r="422" spans="1:19" x14ac:dyDescent="0.2">
      <c r="A422" s="377"/>
      <c r="B422" s="377"/>
      <c r="C422" s="377"/>
      <c r="D422" s="377"/>
      <c r="E422" s="377"/>
      <c r="F422" s="377"/>
      <c r="G422" s="377"/>
      <c r="H422" s="377"/>
      <c r="I422" s="377"/>
      <c r="J422" s="377"/>
      <c r="K422" s="377"/>
      <c r="L422" s="377"/>
      <c r="M422" s="377"/>
      <c r="N422" s="377"/>
      <c r="O422" s="377"/>
      <c r="P422" s="377"/>
      <c r="Q422" s="377"/>
      <c r="R422" s="377"/>
      <c r="S422" s="377"/>
    </row>
    <row r="423" spans="1:19" x14ac:dyDescent="0.2">
      <c r="A423" s="377"/>
      <c r="B423" s="377"/>
      <c r="C423" s="377"/>
      <c r="D423" s="377"/>
      <c r="E423" s="377"/>
      <c r="F423" s="377"/>
      <c r="G423" s="377"/>
      <c r="H423" s="377"/>
      <c r="I423" s="377"/>
      <c r="J423" s="377"/>
      <c r="K423" s="377"/>
      <c r="L423" s="377"/>
      <c r="M423" s="377"/>
      <c r="N423" s="377"/>
      <c r="O423" s="377"/>
      <c r="P423" s="377"/>
      <c r="Q423" s="377"/>
      <c r="R423" s="377"/>
      <c r="S423" s="377"/>
    </row>
    <row r="424" spans="1:19" x14ac:dyDescent="0.2">
      <c r="A424" s="377"/>
      <c r="B424" s="377"/>
      <c r="C424" s="377"/>
      <c r="D424" s="377"/>
      <c r="E424" s="377"/>
      <c r="F424" s="377"/>
      <c r="G424" s="377"/>
      <c r="H424" s="377"/>
      <c r="I424" s="377"/>
      <c r="J424" s="377"/>
      <c r="K424" s="377"/>
      <c r="L424" s="377"/>
      <c r="M424" s="377"/>
      <c r="N424" s="377"/>
      <c r="O424" s="377"/>
      <c r="P424" s="377"/>
      <c r="Q424" s="377"/>
      <c r="R424" s="377"/>
      <c r="S424" s="377"/>
    </row>
    <row r="425" spans="1:19" x14ac:dyDescent="0.2">
      <c r="A425" s="377"/>
      <c r="B425" s="377"/>
      <c r="C425" s="377"/>
      <c r="D425" s="377"/>
      <c r="E425" s="377"/>
      <c r="F425" s="377"/>
      <c r="G425" s="377"/>
      <c r="H425" s="377"/>
      <c r="I425" s="377"/>
      <c r="J425" s="377"/>
      <c r="K425" s="377"/>
      <c r="L425" s="377"/>
      <c r="M425" s="377"/>
      <c r="N425" s="377"/>
      <c r="O425" s="377"/>
      <c r="P425" s="377"/>
      <c r="Q425" s="377"/>
      <c r="R425" s="377"/>
      <c r="S425" s="377"/>
    </row>
    <row r="426" spans="1:19" x14ac:dyDescent="0.2">
      <c r="A426" s="377"/>
      <c r="B426" s="377"/>
      <c r="C426" s="377"/>
      <c r="D426" s="377"/>
      <c r="E426" s="377"/>
      <c r="F426" s="377"/>
      <c r="G426" s="377"/>
      <c r="H426" s="377"/>
      <c r="I426" s="377"/>
      <c r="J426" s="377"/>
      <c r="K426" s="377"/>
      <c r="L426" s="377"/>
      <c r="M426" s="377"/>
      <c r="N426" s="377"/>
      <c r="O426" s="377"/>
      <c r="P426" s="377"/>
      <c r="Q426" s="377"/>
      <c r="R426" s="377"/>
      <c r="S426" s="377"/>
    </row>
    <row r="427" spans="1:19" x14ac:dyDescent="0.2">
      <c r="A427" s="377"/>
      <c r="B427" s="377"/>
      <c r="C427" s="377"/>
      <c r="D427" s="377"/>
      <c r="E427" s="377"/>
      <c r="F427" s="377"/>
      <c r="G427" s="377"/>
      <c r="H427" s="377"/>
      <c r="I427" s="377"/>
      <c r="J427" s="377"/>
      <c r="K427" s="377"/>
      <c r="L427" s="377"/>
      <c r="M427" s="377"/>
      <c r="N427" s="377"/>
      <c r="O427" s="377"/>
      <c r="P427" s="377"/>
      <c r="Q427" s="377"/>
      <c r="R427" s="377"/>
      <c r="S427" s="377"/>
    </row>
    <row r="428" spans="1:19" x14ac:dyDescent="0.2">
      <c r="A428" s="377"/>
      <c r="B428" s="377"/>
      <c r="C428" s="377"/>
      <c r="D428" s="377"/>
      <c r="E428" s="377"/>
      <c r="F428" s="377"/>
      <c r="G428" s="377"/>
      <c r="H428" s="377"/>
      <c r="I428" s="377"/>
      <c r="J428" s="377"/>
      <c r="K428" s="377"/>
      <c r="L428" s="377"/>
      <c r="M428" s="377"/>
      <c r="N428" s="377"/>
      <c r="O428" s="377"/>
      <c r="P428" s="377"/>
      <c r="Q428" s="377"/>
      <c r="R428" s="377"/>
      <c r="S428" s="377"/>
    </row>
    <row r="429" spans="1:19" x14ac:dyDescent="0.2">
      <c r="A429" s="377"/>
      <c r="B429" s="377"/>
      <c r="C429" s="377"/>
      <c r="D429" s="377"/>
      <c r="E429" s="377"/>
      <c r="F429" s="377"/>
      <c r="G429" s="377"/>
      <c r="H429" s="377"/>
      <c r="I429" s="377"/>
      <c r="J429" s="377"/>
      <c r="K429" s="377"/>
      <c r="L429" s="377"/>
      <c r="M429" s="377"/>
      <c r="N429" s="377"/>
      <c r="O429" s="377"/>
      <c r="P429" s="377"/>
      <c r="Q429" s="377"/>
      <c r="R429" s="377"/>
      <c r="S429" s="377"/>
    </row>
    <row r="430" spans="1:19" x14ac:dyDescent="0.2">
      <c r="A430" s="377"/>
      <c r="B430" s="377"/>
      <c r="C430" s="377"/>
      <c r="D430" s="377"/>
      <c r="E430" s="377"/>
      <c r="F430" s="377"/>
      <c r="G430" s="377"/>
      <c r="H430" s="377"/>
      <c r="I430" s="377"/>
      <c r="J430" s="377"/>
      <c r="K430" s="377"/>
      <c r="L430" s="377"/>
      <c r="M430" s="377"/>
      <c r="N430" s="377"/>
      <c r="O430" s="377"/>
      <c r="P430" s="377"/>
      <c r="Q430" s="377"/>
      <c r="R430" s="377"/>
      <c r="S430" s="377"/>
    </row>
    <row r="431" spans="1:19" x14ac:dyDescent="0.2">
      <c r="A431" s="377"/>
      <c r="B431" s="377"/>
      <c r="C431" s="377"/>
      <c r="D431" s="377"/>
      <c r="E431" s="377"/>
      <c r="F431" s="377"/>
      <c r="G431" s="377"/>
      <c r="H431" s="377"/>
      <c r="I431" s="377"/>
      <c r="J431" s="377"/>
      <c r="K431" s="377"/>
      <c r="L431" s="377"/>
      <c r="M431" s="377"/>
      <c r="N431" s="377"/>
      <c r="O431" s="377"/>
      <c r="P431" s="377"/>
      <c r="Q431" s="377"/>
      <c r="R431" s="377"/>
      <c r="S431" s="377"/>
    </row>
    <row r="432" spans="1:19" x14ac:dyDescent="0.2">
      <c r="A432" s="377"/>
      <c r="B432" s="377"/>
      <c r="C432" s="377"/>
      <c r="D432" s="377"/>
      <c r="E432" s="377"/>
      <c r="F432" s="377"/>
      <c r="G432" s="377"/>
      <c r="H432" s="377"/>
      <c r="I432" s="377"/>
      <c r="J432" s="377"/>
      <c r="K432" s="377"/>
      <c r="L432" s="377"/>
      <c r="M432" s="377"/>
      <c r="N432" s="377"/>
      <c r="O432" s="377"/>
      <c r="P432" s="377"/>
      <c r="Q432" s="377"/>
      <c r="R432" s="377"/>
      <c r="S432" s="377"/>
    </row>
    <row r="433" spans="1:19" x14ac:dyDescent="0.2">
      <c r="A433" s="377"/>
      <c r="B433" s="377"/>
      <c r="C433" s="377"/>
      <c r="D433" s="377"/>
      <c r="E433" s="377"/>
      <c r="F433" s="377"/>
      <c r="G433" s="377"/>
      <c r="H433" s="377"/>
      <c r="I433" s="377"/>
      <c r="J433" s="377"/>
      <c r="K433" s="377"/>
      <c r="L433" s="377"/>
      <c r="M433" s="377"/>
      <c r="N433" s="377"/>
      <c r="O433" s="377"/>
      <c r="P433" s="377"/>
      <c r="Q433" s="377"/>
      <c r="R433" s="377"/>
      <c r="S433" s="377"/>
    </row>
    <row r="434" spans="1:19" x14ac:dyDescent="0.2">
      <c r="A434" s="377"/>
      <c r="B434" s="377"/>
      <c r="C434" s="377"/>
      <c r="D434" s="377"/>
      <c r="E434" s="377"/>
      <c r="F434" s="377"/>
      <c r="G434" s="377"/>
      <c r="H434" s="377"/>
      <c r="I434" s="377"/>
      <c r="J434" s="377"/>
      <c r="K434" s="377"/>
      <c r="L434" s="377"/>
      <c r="M434" s="377"/>
      <c r="N434" s="377"/>
      <c r="O434" s="377"/>
      <c r="P434" s="377"/>
      <c r="Q434" s="377"/>
      <c r="R434" s="377"/>
      <c r="S434" s="377"/>
    </row>
    <row r="435" spans="1:19" x14ac:dyDescent="0.2">
      <c r="A435" s="377"/>
      <c r="B435" s="377"/>
      <c r="C435" s="377"/>
      <c r="D435" s="377"/>
      <c r="E435" s="377"/>
      <c r="F435" s="377"/>
      <c r="G435" s="377"/>
      <c r="H435" s="377"/>
      <c r="I435" s="377"/>
      <c r="J435" s="377"/>
      <c r="K435" s="377"/>
      <c r="L435" s="377"/>
      <c r="M435" s="377"/>
      <c r="N435" s="377"/>
      <c r="O435" s="377"/>
      <c r="P435" s="377"/>
      <c r="Q435" s="377"/>
      <c r="R435" s="377"/>
      <c r="S435" s="377"/>
    </row>
    <row r="436" spans="1:19" x14ac:dyDescent="0.2">
      <c r="A436" s="377"/>
      <c r="B436" s="377"/>
      <c r="C436" s="377"/>
      <c r="D436" s="377"/>
      <c r="E436" s="377"/>
      <c r="F436" s="377"/>
      <c r="G436" s="377"/>
      <c r="H436" s="377"/>
      <c r="I436" s="377"/>
      <c r="J436" s="377"/>
      <c r="K436" s="377"/>
      <c r="L436" s="377"/>
      <c r="M436" s="377"/>
      <c r="N436" s="377"/>
      <c r="O436" s="377"/>
      <c r="P436" s="377"/>
      <c r="Q436" s="377"/>
      <c r="R436" s="377"/>
      <c r="S436" s="377"/>
    </row>
    <row r="437" spans="1:19" x14ac:dyDescent="0.2">
      <c r="A437" s="377"/>
      <c r="B437" s="377"/>
      <c r="C437" s="377"/>
      <c r="D437" s="377"/>
      <c r="E437" s="377"/>
      <c r="F437" s="377"/>
      <c r="G437" s="377"/>
      <c r="H437" s="377"/>
      <c r="I437" s="377"/>
      <c r="J437" s="377"/>
      <c r="K437" s="377"/>
      <c r="L437" s="377"/>
      <c r="M437" s="377"/>
      <c r="N437" s="377"/>
      <c r="O437" s="377"/>
      <c r="P437" s="377"/>
      <c r="Q437" s="377"/>
      <c r="R437" s="377"/>
      <c r="S437" s="377"/>
    </row>
    <row r="438" spans="1:19" x14ac:dyDescent="0.2">
      <c r="A438" s="377"/>
      <c r="B438" s="377"/>
      <c r="C438" s="377"/>
      <c r="D438" s="377"/>
      <c r="E438" s="377"/>
      <c r="F438" s="377"/>
      <c r="G438" s="377"/>
      <c r="H438" s="377"/>
      <c r="I438" s="377"/>
      <c r="J438" s="377"/>
      <c r="K438" s="377"/>
      <c r="L438" s="377"/>
      <c r="M438" s="377"/>
      <c r="N438" s="377"/>
      <c r="O438" s="377"/>
      <c r="P438" s="377"/>
      <c r="Q438" s="377"/>
      <c r="R438" s="377"/>
      <c r="S438" s="377"/>
    </row>
    <row r="439" spans="1:19" x14ac:dyDescent="0.2">
      <c r="A439" s="377"/>
      <c r="B439" s="377"/>
      <c r="C439" s="377"/>
      <c r="D439" s="377"/>
      <c r="E439" s="377"/>
      <c r="F439" s="377"/>
      <c r="G439" s="377"/>
      <c r="H439" s="377"/>
      <c r="I439" s="377"/>
      <c r="J439" s="377"/>
      <c r="K439" s="377"/>
      <c r="L439" s="377"/>
      <c r="M439" s="377"/>
      <c r="N439" s="377"/>
      <c r="O439" s="377"/>
      <c r="P439" s="377"/>
      <c r="Q439" s="377"/>
      <c r="R439" s="377"/>
      <c r="S439" s="377"/>
    </row>
    <row r="440" spans="1:19" x14ac:dyDescent="0.2">
      <c r="A440" s="377"/>
      <c r="B440" s="377"/>
      <c r="C440" s="377"/>
      <c r="D440" s="377"/>
      <c r="E440" s="377"/>
      <c r="F440" s="377"/>
      <c r="G440" s="377"/>
      <c r="H440" s="377"/>
      <c r="I440" s="377"/>
      <c r="J440" s="377"/>
      <c r="K440" s="377"/>
      <c r="L440" s="377"/>
      <c r="M440" s="377"/>
      <c r="N440" s="377"/>
      <c r="O440" s="377"/>
      <c r="P440" s="377"/>
      <c r="Q440" s="377"/>
      <c r="R440" s="377"/>
      <c r="S440" s="377"/>
    </row>
    <row r="441" spans="1:19" x14ac:dyDescent="0.2">
      <c r="A441" s="377"/>
      <c r="B441" s="377"/>
      <c r="C441" s="377"/>
      <c r="D441" s="377"/>
      <c r="E441" s="377"/>
      <c r="F441" s="377"/>
      <c r="G441" s="377"/>
      <c r="H441" s="377"/>
      <c r="I441" s="377"/>
      <c r="J441" s="377"/>
      <c r="K441" s="377"/>
      <c r="L441" s="377"/>
      <c r="M441" s="377"/>
      <c r="N441" s="377"/>
      <c r="O441" s="377"/>
      <c r="P441" s="377"/>
      <c r="Q441" s="377"/>
      <c r="R441" s="377"/>
      <c r="S441" s="377"/>
    </row>
    <row r="442" spans="1:19" x14ac:dyDescent="0.2">
      <c r="A442" s="377"/>
      <c r="B442" s="377"/>
      <c r="C442" s="377"/>
      <c r="D442" s="377"/>
      <c r="E442" s="377"/>
      <c r="F442" s="377"/>
      <c r="G442" s="377"/>
      <c r="H442" s="377"/>
      <c r="I442" s="377"/>
      <c r="J442" s="377"/>
      <c r="K442" s="377"/>
      <c r="L442" s="377"/>
      <c r="M442" s="377"/>
      <c r="N442" s="377"/>
      <c r="O442" s="377"/>
      <c r="P442" s="377"/>
      <c r="Q442" s="377"/>
      <c r="R442" s="377"/>
      <c r="S442" s="377"/>
    </row>
    <row r="443" spans="1:19" x14ac:dyDescent="0.2">
      <c r="A443" s="377"/>
      <c r="B443" s="377"/>
      <c r="C443" s="377"/>
      <c r="D443" s="377"/>
      <c r="E443" s="377"/>
      <c r="F443" s="377"/>
      <c r="G443" s="377"/>
      <c r="H443" s="377"/>
      <c r="I443" s="377"/>
      <c r="J443" s="377"/>
      <c r="K443" s="377"/>
      <c r="L443" s="377"/>
      <c r="M443" s="377"/>
      <c r="N443" s="377"/>
      <c r="O443" s="377"/>
      <c r="P443" s="377"/>
      <c r="Q443" s="377"/>
      <c r="R443" s="377"/>
      <c r="S443" s="377"/>
    </row>
    <row r="444" spans="1:19" x14ac:dyDescent="0.2">
      <c r="A444" s="377"/>
      <c r="B444" s="377"/>
      <c r="C444" s="377"/>
      <c r="D444" s="377"/>
      <c r="E444" s="377"/>
      <c r="F444" s="377"/>
      <c r="G444" s="377"/>
      <c r="H444" s="377"/>
      <c r="I444" s="377"/>
      <c r="J444" s="377"/>
      <c r="K444" s="377"/>
      <c r="L444" s="377"/>
      <c r="M444" s="377"/>
      <c r="N444" s="377"/>
      <c r="O444" s="377"/>
      <c r="P444" s="377"/>
      <c r="Q444" s="377"/>
      <c r="R444" s="377"/>
      <c r="S444" s="377"/>
    </row>
    <row r="445" spans="1:19" x14ac:dyDescent="0.2">
      <c r="A445" s="377"/>
      <c r="B445" s="377"/>
      <c r="C445" s="377"/>
      <c r="D445" s="377"/>
      <c r="E445" s="377"/>
      <c r="F445" s="377"/>
      <c r="G445" s="377"/>
      <c r="H445" s="377"/>
      <c r="I445" s="377"/>
      <c r="J445" s="377"/>
      <c r="K445" s="377"/>
      <c r="L445" s="377"/>
      <c r="M445" s="377"/>
      <c r="N445" s="377"/>
      <c r="O445" s="377"/>
      <c r="P445" s="377"/>
      <c r="Q445" s="377"/>
      <c r="R445" s="377"/>
      <c r="S445" s="377"/>
    </row>
    <row r="446" spans="1:19" x14ac:dyDescent="0.2">
      <c r="A446" s="377"/>
      <c r="B446" s="377"/>
      <c r="C446" s="377"/>
      <c r="D446" s="377"/>
      <c r="E446" s="377"/>
      <c r="F446" s="377"/>
      <c r="G446" s="377"/>
      <c r="H446" s="377"/>
      <c r="I446" s="377"/>
      <c r="J446" s="377"/>
      <c r="K446" s="377"/>
      <c r="L446" s="377"/>
      <c r="M446" s="377"/>
      <c r="N446" s="377"/>
      <c r="O446" s="377"/>
      <c r="P446" s="377"/>
      <c r="Q446" s="377"/>
      <c r="R446" s="377"/>
      <c r="S446" s="377"/>
    </row>
    <row r="447" spans="1:19" x14ac:dyDescent="0.2">
      <c r="A447" s="377"/>
      <c r="B447" s="377"/>
      <c r="C447" s="377"/>
      <c r="D447" s="377"/>
      <c r="E447" s="377"/>
      <c r="F447" s="377"/>
      <c r="G447" s="377"/>
      <c r="H447" s="377"/>
      <c r="I447" s="377"/>
      <c r="J447" s="377"/>
      <c r="K447" s="377"/>
      <c r="L447" s="377"/>
      <c r="M447" s="377"/>
      <c r="N447" s="377"/>
      <c r="O447" s="377"/>
      <c r="P447" s="377"/>
      <c r="Q447" s="377"/>
      <c r="R447" s="377"/>
      <c r="S447" s="377"/>
    </row>
    <row r="448" spans="1:19" x14ac:dyDescent="0.2">
      <c r="A448" s="377"/>
      <c r="B448" s="377"/>
      <c r="C448" s="377"/>
      <c r="D448" s="377"/>
      <c r="E448" s="377"/>
      <c r="F448" s="377"/>
      <c r="G448" s="377"/>
      <c r="H448" s="377"/>
      <c r="I448" s="377"/>
      <c r="J448" s="377"/>
      <c r="K448" s="377"/>
      <c r="L448" s="377"/>
      <c r="M448" s="377"/>
      <c r="N448" s="377"/>
      <c r="O448" s="377"/>
      <c r="P448" s="377"/>
      <c r="Q448" s="377"/>
      <c r="R448" s="377"/>
      <c r="S448" s="377"/>
    </row>
    <row r="449" spans="1:19" x14ac:dyDescent="0.2">
      <c r="A449" s="377"/>
      <c r="B449" s="377"/>
      <c r="C449" s="377"/>
      <c r="D449" s="377"/>
      <c r="E449" s="377"/>
      <c r="F449" s="377"/>
      <c r="G449" s="377"/>
      <c r="H449" s="377"/>
      <c r="I449" s="377"/>
      <c r="J449" s="377"/>
      <c r="K449" s="377"/>
      <c r="L449" s="377"/>
      <c r="M449" s="377"/>
      <c r="N449" s="377"/>
      <c r="O449" s="377"/>
      <c r="P449" s="377"/>
      <c r="Q449" s="377"/>
      <c r="R449" s="377"/>
      <c r="S449" s="377"/>
    </row>
    <row r="450" spans="1:19" x14ac:dyDescent="0.2">
      <c r="A450" s="377"/>
      <c r="B450" s="377"/>
      <c r="C450" s="377"/>
      <c r="D450" s="377"/>
      <c r="E450" s="377"/>
      <c r="F450" s="377"/>
      <c r="G450" s="377"/>
      <c r="H450" s="377"/>
      <c r="I450" s="377"/>
      <c r="J450" s="377"/>
      <c r="K450" s="377"/>
      <c r="L450" s="377"/>
      <c r="M450" s="377"/>
      <c r="N450" s="377"/>
      <c r="O450" s="377"/>
      <c r="P450" s="377"/>
      <c r="Q450" s="377"/>
      <c r="R450" s="377"/>
      <c r="S450" s="377"/>
    </row>
    <row r="451" spans="1:19" x14ac:dyDescent="0.2">
      <c r="A451" s="377"/>
      <c r="B451" s="377"/>
      <c r="C451" s="377"/>
      <c r="D451" s="377"/>
      <c r="E451" s="377"/>
      <c r="F451" s="377"/>
      <c r="G451" s="377"/>
      <c r="H451" s="377"/>
      <c r="I451" s="377"/>
      <c r="J451" s="377"/>
      <c r="K451" s="377"/>
      <c r="L451" s="377"/>
      <c r="M451" s="377"/>
      <c r="N451" s="377"/>
      <c r="O451" s="377"/>
      <c r="P451" s="377"/>
      <c r="Q451" s="377"/>
      <c r="R451" s="377"/>
      <c r="S451" s="377"/>
    </row>
    <row r="452" spans="1:19" x14ac:dyDescent="0.2">
      <c r="A452" s="377"/>
      <c r="B452" s="377"/>
      <c r="C452" s="377"/>
      <c r="D452" s="377"/>
      <c r="E452" s="377"/>
      <c r="F452" s="377"/>
      <c r="G452" s="377"/>
      <c r="H452" s="377"/>
      <c r="I452" s="377"/>
      <c r="J452" s="377"/>
      <c r="K452" s="377"/>
      <c r="L452" s="377"/>
      <c r="M452" s="377"/>
      <c r="N452" s="377"/>
      <c r="O452" s="377"/>
      <c r="P452" s="377"/>
      <c r="Q452" s="377"/>
      <c r="R452" s="377"/>
      <c r="S452" s="377"/>
    </row>
    <row r="453" spans="1:19" x14ac:dyDescent="0.2">
      <c r="A453" s="377"/>
      <c r="B453" s="377"/>
      <c r="C453" s="377"/>
      <c r="D453" s="377"/>
      <c r="E453" s="377"/>
      <c r="F453" s="377"/>
      <c r="G453" s="377"/>
      <c r="H453" s="377"/>
      <c r="I453" s="377"/>
      <c r="J453" s="377"/>
      <c r="K453" s="377"/>
      <c r="L453" s="377"/>
      <c r="M453" s="377"/>
      <c r="N453" s="377"/>
      <c r="O453" s="377"/>
      <c r="P453" s="377"/>
      <c r="Q453" s="377"/>
      <c r="R453" s="377"/>
      <c r="S453" s="377"/>
    </row>
    <row r="454" spans="1:19" x14ac:dyDescent="0.2">
      <c r="A454" s="377"/>
      <c r="B454" s="377"/>
      <c r="C454" s="377"/>
      <c r="D454" s="377"/>
      <c r="E454" s="377"/>
      <c r="F454" s="377"/>
      <c r="G454" s="377"/>
      <c r="H454" s="377"/>
      <c r="I454" s="377"/>
      <c r="J454" s="377"/>
      <c r="K454" s="377"/>
      <c r="L454" s="377"/>
      <c r="M454" s="377"/>
      <c r="N454" s="377"/>
      <c r="O454" s="377"/>
      <c r="P454" s="377"/>
      <c r="Q454" s="377"/>
      <c r="R454" s="377"/>
      <c r="S454" s="377"/>
    </row>
    <row r="455" spans="1:19" x14ac:dyDescent="0.2">
      <c r="A455" s="377"/>
      <c r="B455" s="377"/>
      <c r="C455" s="377"/>
      <c r="D455" s="377"/>
      <c r="E455" s="377"/>
      <c r="F455" s="377"/>
      <c r="G455" s="377"/>
      <c r="H455" s="377"/>
      <c r="I455" s="377"/>
      <c r="J455" s="377"/>
      <c r="K455" s="377"/>
      <c r="L455" s="377"/>
      <c r="M455" s="377"/>
      <c r="N455" s="377"/>
      <c r="O455" s="377"/>
      <c r="P455" s="377"/>
      <c r="Q455" s="377"/>
      <c r="R455" s="377"/>
      <c r="S455" s="377"/>
    </row>
    <row r="456" spans="1:19" x14ac:dyDescent="0.2">
      <c r="A456" s="377"/>
      <c r="B456" s="377"/>
      <c r="C456" s="377"/>
      <c r="D456" s="377"/>
      <c r="E456" s="377"/>
      <c r="F456" s="377"/>
      <c r="G456" s="377"/>
      <c r="H456" s="377"/>
      <c r="I456" s="377"/>
      <c r="J456" s="377"/>
      <c r="K456" s="377"/>
      <c r="L456" s="377"/>
      <c r="M456" s="377"/>
      <c r="N456" s="377"/>
      <c r="O456" s="377"/>
      <c r="P456" s="377"/>
      <c r="Q456" s="377"/>
      <c r="R456" s="377"/>
      <c r="S456" s="377"/>
    </row>
    <row r="457" spans="1:19" x14ac:dyDescent="0.2">
      <c r="A457" s="377"/>
      <c r="B457" s="377"/>
      <c r="C457" s="377"/>
      <c r="D457" s="377"/>
      <c r="E457" s="377"/>
      <c r="F457" s="377"/>
      <c r="G457" s="377"/>
      <c r="H457" s="377"/>
      <c r="I457" s="377"/>
      <c r="J457" s="377"/>
      <c r="K457" s="377"/>
      <c r="L457" s="377"/>
      <c r="M457" s="377"/>
      <c r="N457" s="377"/>
      <c r="O457" s="377"/>
      <c r="P457" s="377"/>
      <c r="Q457" s="377"/>
      <c r="R457" s="377"/>
      <c r="S457" s="377"/>
    </row>
    <row r="458" spans="1:19" x14ac:dyDescent="0.2">
      <c r="A458" s="377"/>
      <c r="B458" s="377"/>
      <c r="C458" s="377"/>
      <c r="D458" s="377"/>
      <c r="E458" s="377"/>
      <c r="F458" s="377"/>
      <c r="G458" s="377"/>
      <c r="H458" s="377"/>
      <c r="I458" s="377"/>
      <c r="J458" s="377"/>
      <c r="K458" s="377"/>
      <c r="L458" s="377"/>
      <c r="M458" s="377"/>
      <c r="N458" s="377"/>
      <c r="O458" s="377"/>
      <c r="P458" s="377"/>
      <c r="Q458" s="377"/>
      <c r="R458" s="377"/>
      <c r="S458" s="377"/>
    </row>
    <row r="459" spans="1:19" x14ac:dyDescent="0.2">
      <c r="A459" s="377"/>
      <c r="B459" s="377"/>
      <c r="C459" s="377"/>
      <c r="D459" s="377"/>
      <c r="E459" s="377"/>
      <c r="F459" s="377"/>
      <c r="G459" s="377"/>
      <c r="H459" s="377"/>
      <c r="I459" s="377"/>
      <c r="J459" s="377"/>
      <c r="K459" s="377"/>
      <c r="L459" s="377"/>
      <c r="M459" s="377"/>
      <c r="N459" s="377"/>
      <c r="O459" s="377"/>
      <c r="P459" s="377"/>
      <c r="Q459" s="377"/>
      <c r="R459" s="377"/>
      <c r="S459" s="377"/>
    </row>
    <row r="460" spans="1:19" x14ac:dyDescent="0.2">
      <c r="A460" s="377"/>
      <c r="B460" s="377"/>
      <c r="C460" s="377"/>
      <c r="D460" s="377"/>
      <c r="E460" s="377"/>
      <c r="F460" s="377"/>
      <c r="G460" s="377"/>
      <c r="H460" s="377"/>
      <c r="I460" s="377"/>
      <c r="J460" s="377"/>
      <c r="K460" s="377"/>
      <c r="L460" s="377"/>
      <c r="M460" s="377"/>
      <c r="N460" s="377"/>
      <c r="O460" s="377"/>
      <c r="P460" s="377"/>
      <c r="Q460" s="377"/>
      <c r="R460" s="377"/>
      <c r="S460" s="377"/>
    </row>
    <row r="461" spans="1:19" x14ac:dyDescent="0.2">
      <c r="A461" s="377"/>
      <c r="B461" s="377"/>
      <c r="C461" s="377"/>
      <c r="D461" s="377"/>
      <c r="E461" s="377"/>
      <c r="F461" s="377"/>
      <c r="G461" s="377"/>
      <c r="H461" s="377"/>
      <c r="I461" s="377"/>
      <c r="J461" s="377"/>
      <c r="K461" s="377"/>
      <c r="L461" s="377"/>
      <c r="M461" s="377"/>
      <c r="N461" s="377"/>
      <c r="O461" s="377"/>
      <c r="P461" s="377"/>
      <c r="Q461" s="377"/>
      <c r="R461" s="377"/>
      <c r="S461" s="377"/>
    </row>
    <row r="462" spans="1:19" x14ac:dyDescent="0.2">
      <c r="A462" s="377"/>
      <c r="B462" s="377"/>
      <c r="C462" s="377"/>
      <c r="D462" s="377"/>
      <c r="E462" s="377"/>
      <c r="F462" s="377"/>
      <c r="G462" s="377"/>
      <c r="H462" s="377"/>
      <c r="I462" s="377"/>
      <c r="J462" s="377"/>
      <c r="K462" s="377"/>
      <c r="L462" s="377"/>
      <c r="M462" s="377"/>
      <c r="N462" s="377"/>
      <c r="O462" s="377"/>
      <c r="P462" s="377"/>
      <c r="Q462" s="377"/>
      <c r="R462" s="377"/>
      <c r="S462" s="377"/>
    </row>
    <row r="463" spans="1:19" x14ac:dyDescent="0.2">
      <c r="A463" s="377"/>
      <c r="B463" s="377"/>
      <c r="C463" s="377"/>
      <c r="D463" s="377"/>
      <c r="E463" s="377"/>
      <c r="F463" s="377"/>
      <c r="G463" s="377"/>
      <c r="H463" s="377"/>
      <c r="I463" s="377"/>
      <c r="J463" s="377"/>
      <c r="K463" s="377"/>
      <c r="L463" s="377"/>
      <c r="M463" s="377"/>
      <c r="N463" s="377"/>
      <c r="O463" s="377"/>
      <c r="P463" s="377"/>
      <c r="Q463" s="377"/>
      <c r="R463" s="377"/>
      <c r="S463" s="377"/>
    </row>
    <row r="464" spans="1:19" x14ac:dyDescent="0.2">
      <c r="A464" s="377"/>
      <c r="B464" s="377"/>
      <c r="C464" s="377"/>
      <c r="D464" s="377"/>
      <c r="E464" s="377"/>
      <c r="F464" s="377"/>
      <c r="G464" s="377"/>
      <c r="H464" s="377"/>
      <c r="I464" s="377"/>
      <c r="J464" s="377"/>
      <c r="K464" s="377"/>
      <c r="L464" s="377"/>
      <c r="M464" s="377"/>
      <c r="N464" s="377"/>
      <c r="O464" s="377"/>
      <c r="P464" s="377"/>
      <c r="Q464" s="377"/>
      <c r="R464" s="377"/>
      <c r="S464" s="377"/>
    </row>
    <row r="465" spans="1:19" x14ac:dyDescent="0.2">
      <c r="A465" s="377"/>
      <c r="B465" s="377"/>
      <c r="C465" s="377"/>
      <c r="D465" s="377"/>
      <c r="E465" s="377"/>
      <c r="F465" s="377"/>
      <c r="G465" s="377"/>
      <c r="H465" s="377"/>
      <c r="I465" s="377"/>
      <c r="J465" s="377"/>
      <c r="K465" s="377"/>
      <c r="L465" s="377"/>
      <c r="M465" s="377"/>
      <c r="N465" s="377"/>
      <c r="O465" s="377"/>
      <c r="P465" s="377"/>
      <c r="Q465" s="377"/>
      <c r="R465" s="377"/>
      <c r="S465" s="377"/>
    </row>
    <row r="466" spans="1:19" x14ac:dyDescent="0.2">
      <c r="A466" s="377"/>
      <c r="B466" s="377"/>
      <c r="C466" s="377"/>
      <c r="D466" s="377"/>
      <c r="E466" s="377"/>
      <c r="F466" s="377"/>
      <c r="G466" s="377"/>
      <c r="H466" s="377"/>
      <c r="I466" s="377"/>
      <c r="J466" s="377"/>
      <c r="K466" s="377"/>
      <c r="L466" s="377"/>
      <c r="M466" s="377"/>
      <c r="N466" s="377"/>
      <c r="O466" s="377"/>
      <c r="P466" s="377"/>
      <c r="Q466" s="377"/>
      <c r="R466" s="377"/>
      <c r="S466" s="377"/>
    </row>
    <row r="467" spans="1:19" x14ac:dyDescent="0.2">
      <c r="A467" s="377"/>
      <c r="B467" s="377"/>
      <c r="C467" s="377"/>
      <c r="D467" s="377"/>
      <c r="E467" s="377"/>
      <c r="F467" s="377"/>
      <c r="G467" s="377"/>
      <c r="H467" s="377"/>
      <c r="I467" s="377"/>
      <c r="J467" s="377"/>
      <c r="K467" s="377"/>
      <c r="L467" s="377"/>
      <c r="M467" s="377"/>
      <c r="N467" s="377"/>
      <c r="O467" s="377"/>
      <c r="P467" s="377"/>
      <c r="Q467" s="377"/>
      <c r="R467" s="377"/>
      <c r="S467" s="377"/>
    </row>
    <row r="468" spans="1:19" x14ac:dyDescent="0.2">
      <c r="A468" s="377"/>
      <c r="B468" s="377"/>
      <c r="C468" s="377"/>
      <c r="D468" s="377"/>
      <c r="E468" s="377"/>
      <c r="F468" s="377"/>
      <c r="G468" s="377"/>
      <c r="H468" s="377"/>
      <c r="I468" s="377"/>
      <c r="J468" s="377"/>
      <c r="K468" s="377"/>
      <c r="L468" s="377"/>
      <c r="M468" s="377"/>
      <c r="N468" s="377"/>
      <c r="O468" s="377"/>
      <c r="P468" s="377"/>
      <c r="Q468" s="377"/>
      <c r="R468" s="377"/>
      <c r="S468" s="377"/>
    </row>
    <row r="469" spans="1:19" x14ac:dyDescent="0.2">
      <c r="A469" s="377"/>
      <c r="B469" s="377"/>
      <c r="C469" s="377"/>
      <c r="D469" s="377"/>
      <c r="E469" s="377"/>
      <c r="F469" s="377"/>
      <c r="G469" s="377"/>
      <c r="H469" s="377"/>
      <c r="I469" s="377"/>
      <c r="J469" s="377"/>
      <c r="K469" s="377"/>
      <c r="L469" s="377"/>
      <c r="M469" s="377"/>
      <c r="N469" s="377"/>
      <c r="O469" s="377"/>
      <c r="P469" s="377"/>
      <c r="Q469" s="377"/>
      <c r="R469" s="377"/>
      <c r="S469" s="377"/>
    </row>
    <row r="470" spans="1:19" x14ac:dyDescent="0.2">
      <c r="A470" s="377"/>
      <c r="B470" s="377"/>
      <c r="C470" s="377"/>
      <c r="D470" s="377"/>
      <c r="E470" s="377"/>
      <c r="F470" s="377"/>
      <c r="G470" s="377"/>
      <c r="H470" s="377"/>
      <c r="I470" s="377"/>
      <c r="J470" s="377"/>
      <c r="K470" s="377"/>
      <c r="L470" s="377"/>
      <c r="M470" s="377"/>
      <c r="N470" s="377"/>
      <c r="O470" s="377"/>
      <c r="P470" s="377"/>
      <c r="Q470" s="377"/>
      <c r="R470" s="377"/>
      <c r="S470" s="377"/>
    </row>
    <row r="471" spans="1:19" x14ac:dyDescent="0.2">
      <c r="A471" s="377"/>
      <c r="B471" s="377"/>
      <c r="C471" s="377"/>
      <c r="D471" s="377"/>
      <c r="E471" s="377"/>
      <c r="F471" s="377"/>
      <c r="G471" s="377"/>
      <c r="H471" s="377"/>
      <c r="I471" s="377"/>
      <c r="J471" s="377"/>
      <c r="K471" s="377"/>
      <c r="L471" s="377"/>
      <c r="M471" s="377"/>
      <c r="N471" s="377"/>
      <c r="O471" s="377"/>
      <c r="P471" s="377"/>
      <c r="Q471" s="377"/>
      <c r="R471" s="377"/>
      <c r="S471" s="377"/>
    </row>
    <row r="472" spans="1:19" x14ac:dyDescent="0.2">
      <c r="A472" s="377"/>
      <c r="B472" s="377"/>
      <c r="C472" s="377"/>
      <c r="D472" s="377"/>
      <c r="E472" s="377"/>
      <c r="F472" s="377"/>
      <c r="G472" s="377"/>
      <c r="H472" s="377"/>
      <c r="I472" s="377"/>
      <c r="J472" s="377"/>
      <c r="K472" s="377"/>
      <c r="L472" s="377"/>
      <c r="M472" s="377"/>
      <c r="N472" s="377"/>
      <c r="O472" s="377"/>
      <c r="P472" s="377"/>
      <c r="Q472" s="377"/>
      <c r="R472" s="377"/>
      <c r="S472" s="377"/>
    </row>
    <row r="473" spans="1:19" x14ac:dyDescent="0.2">
      <c r="A473" s="377"/>
      <c r="B473" s="377"/>
      <c r="C473" s="377"/>
      <c r="D473" s="377"/>
      <c r="E473" s="377"/>
      <c r="F473" s="377"/>
      <c r="G473" s="377"/>
      <c r="H473" s="377"/>
      <c r="I473" s="377"/>
      <c r="J473" s="377"/>
      <c r="K473" s="377"/>
      <c r="L473" s="377"/>
      <c r="M473" s="377"/>
      <c r="N473" s="377"/>
      <c r="O473" s="377"/>
      <c r="P473" s="377"/>
      <c r="Q473" s="377"/>
      <c r="R473" s="377"/>
      <c r="S473" s="377"/>
    </row>
    <row r="474" spans="1:19" x14ac:dyDescent="0.2">
      <c r="A474" s="377"/>
      <c r="B474" s="377"/>
      <c r="C474" s="377"/>
      <c r="D474" s="377"/>
      <c r="E474" s="377"/>
      <c r="F474" s="377"/>
      <c r="G474" s="377"/>
      <c r="H474" s="377"/>
      <c r="I474" s="377"/>
      <c r="J474" s="377"/>
      <c r="K474" s="377"/>
      <c r="L474" s="377"/>
      <c r="M474" s="377"/>
      <c r="N474" s="377"/>
      <c r="O474" s="377"/>
      <c r="P474" s="377"/>
      <c r="Q474" s="377"/>
      <c r="R474" s="377"/>
      <c r="S474" s="377"/>
    </row>
    <row r="475" spans="1:19" x14ac:dyDescent="0.2">
      <c r="A475" s="377"/>
      <c r="B475" s="377"/>
      <c r="C475" s="377"/>
      <c r="D475" s="377"/>
      <c r="E475" s="377"/>
      <c r="F475" s="377"/>
      <c r="G475" s="377"/>
      <c r="H475" s="377"/>
      <c r="I475" s="377"/>
      <c r="J475" s="377"/>
      <c r="K475" s="377"/>
      <c r="L475" s="377"/>
      <c r="M475" s="377"/>
      <c r="N475" s="377"/>
      <c r="O475" s="377"/>
      <c r="P475" s="377"/>
      <c r="Q475" s="377"/>
      <c r="R475" s="377"/>
      <c r="S475" s="377"/>
    </row>
    <row r="476" spans="1:19" x14ac:dyDescent="0.2">
      <c r="A476" s="377"/>
      <c r="B476" s="377"/>
      <c r="C476" s="377"/>
      <c r="D476" s="377"/>
      <c r="E476" s="377"/>
      <c r="F476" s="377"/>
      <c r="G476" s="377"/>
      <c r="H476" s="377"/>
      <c r="I476" s="377"/>
      <c r="J476" s="377"/>
      <c r="K476" s="377"/>
      <c r="L476" s="377"/>
      <c r="M476" s="377"/>
      <c r="N476" s="377"/>
      <c r="O476" s="377"/>
      <c r="P476" s="377"/>
      <c r="Q476" s="377"/>
      <c r="R476" s="377"/>
      <c r="S476" s="377"/>
    </row>
    <row r="477" spans="1:19" x14ac:dyDescent="0.2">
      <c r="A477" s="377"/>
      <c r="B477" s="377"/>
      <c r="C477" s="377"/>
      <c r="D477" s="377"/>
      <c r="E477" s="377"/>
      <c r="F477" s="377"/>
      <c r="G477" s="377"/>
      <c r="H477" s="377"/>
      <c r="I477" s="377"/>
      <c r="J477" s="377"/>
      <c r="K477" s="377"/>
      <c r="L477" s="377"/>
      <c r="M477" s="377"/>
      <c r="N477" s="377"/>
      <c r="O477" s="377"/>
      <c r="P477" s="377"/>
      <c r="Q477" s="377"/>
      <c r="R477" s="377"/>
      <c r="S477" s="377"/>
    </row>
    <row r="478" spans="1:19" x14ac:dyDescent="0.2">
      <c r="A478" s="377"/>
      <c r="B478" s="377"/>
      <c r="C478" s="377"/>
      <c r="D478" s="377"/>
      <c r="E478" s="377"/>
      <c r="F478" s="377"/>
      <c r="G478" s="377"/>
      <c r="H478" s="377"/>
      <c r="I478" s="377"/>
      <c r="J478" s="377"/>
      <c r="K478" s="377"/>
      <c r="L478" s="377"/>
      <c r="M478" s="377"/>
      <c r="N478" s="377"/>
      <c r="O478" s="377"/>
      <c r="P478" s="377"/>
      <c r="Q478" s="377"/>
      <c r="R478" s="377"/>
      <c r="S478" s="377"/>
    </row>
    <row r="479" spans="1:19" x14ac:dyDescent="0.2">
      <c r="A479" s="377"/>
      <c r="B479" s="377"/>
      <c r="C479" s="377"/>
      <c r="D479" s="377"/>
      <c r="E479" s="377"/>
      <c r="F479" s="377"/>
      <c r="G479" s="377"/>
      <c r="H479" s="377"/>
      <c r="I479" s="377"/>
      <c r="J479" s="377"/>
      <c r="K479" s="377"/>
      <c r="L479" s="377"/>
      <c r="M479" s="377"/>
      <c r="N479" s="377"/>
      <c r="O479" s="377"/>
      <c r="P479" s="377"/>
      <c r="Q479" s="377"/>
      <c r="R479" s="377"/>
      <c r="S479" s="377"/>
    </row>
    <row r="480" spans="1:19" x14ac:dyDescent="0.2">
      <c r="A480" s="377"/>
      <c r="B480" s="377"/>
      <c r="C480" s="377"/>
      <c r="D480" s="377"/>
      <c r="E480" s="377"/>
      <c r="F480" s="377"/>
      <c r="G480" s="377"/>
      <c r="H480" s="377"/>
      <c r="I480" s="377"/>
      <c r="J480" s="377"/>
      <c r="K480" s="377"/>
      <c r="L480" s="377"/>
      <c r="M480" s="377"/>
      <c r="N480" s="377"/>
      <c r="O480" s="377"/>
      <c r="P480" s="377"/>
      <c r="Q480" s="377"/>
      <c r="R480" s="377"/>
      <c r="S480" s="377"/>
    </row>
    <row r="481" spans="1:19" x14ac:dyDescent="0.2">
      <c r="A481" s="377"/>
      <c r="B481" s="377"/>
      <c r="C481" s="377"/>
      <c r="D481" s="377"/>
      <c r="E481" s="377"/>
      <c r="F481" s="377"/>
      <c r="G481" s="377"/>
      <c r="H481" s="377"/>
      <c r="I481" s="377"/>
      <c r="J481" s="377"/>
      <c r="K481" s="377"/>
      <c r="L481" s="377"/>
      <c r="M481" s="377"/>
      <c r="N481" s="377"/>
      <c r="O481" s="377"/>
      <c r="P481" s="377"/>
      <c r="Q481" s="377"/>
      <c r="R481" s="377"/>
      <c r="S481" s="377"/>
    </row>
    <row r="482" spans="1:19" x14ac:dyDescent="0.2">
      <c r="A482" s="377"/>
      <c r="B482" s="377"/>
      <c r="C482" s="377"/>
      <c r="D482" s="377"/>
      <c r="E482" s="377"/>
      <c r="F482" s="377"/>
      <c r="G482" s="377"/>
      <c r="H482" s="377"/>
      <c r="I482" s="377"/>
      <c r="J482" s="377"/>
      <c r="K482" s="377"/>
      <c r="L482" s="377"/>
      <c r="M482" s="377"/>
      <c r="N482" s="377"/>
      <c r="O482" s="377"/>
      <c r="P482" s="377"/>
      <c r="Q482" s="377"/>
      <c r="R482" s="377"/>
      <c r="S482" s="377"/>
    </row>
    <row r="483" spans="1:19" x14ac:dyDescent="0.2">
      <c r="A483" s="377"/>
      <c r="B483" s="377"/>
      <c r="C483" s="377"/>
      <c r="D483" s="377"/>
      <c r="E483" s="377"/>
      <c r="F483" s="377"/>
      <c r="G483" s="377"/>
      <c r="H483" s="377"/>
      <c r="I483" s="377"/>
      <c r="J483" s="377"/>
      <c r="K483" s="377"/>
      <c r="L483" s="377"/>
      <c r="M483" s="377"/>
      <c r="N483" s="377"/>
      <c r="O483" s="377"/>
      <c r="P483" s="377"/>
      <c r="Q483" s="377"/>
      <c r="R483" s="377"/>
      <c r="S483" s="377"/>
    </row>
    <row r="484" spans="1:19" x14ac:dyDescent="0.2">
      <c r="A484" s="377"/>
      <c r="B484" s="377"/>
      <c r="C484" s="377"/>
      <c r="D484" s="377"/>
      <c r="E484" s="377"/>
      <c r="F484" s="377"/>
      <c r="G484" s="377"/>
      <c r="H484" s="377"/>
      <c r="I484" s="377"/>
      <c r="J484" s="377"/>
      <c r="K484" s="377"/>
      <c r="L484" s="377"/>
      <c r="M484" s="377"/>
      <c r="N484" s="377"/>
      <c r="O484" s="377"/>
      <c r="P484" s="377"/>
      <c r="Q484" s="377"/>
      <c r="R484" s="377"/>
      <c r="S484" s="377"/>
    </row>
    <row r="485" spans="1:19" x14ac:dyDescent="0.2">
      <c r="A485" s="377"/>
      <c r="B485" s="377"/>
      <c r="C485" s="377"/>
      <c r="D485" s="377"/>
      <c r="E485" s="377"/>
      <c r="F485" s="377"/>
      <c r="G485" s="377"/>
      <c r="H485" s="377"/>
      <c r="I485" s="377"/>
      <c r="J485" s="377"/>
      <c r="K485" s="377"/>
      <c r="L485" s="377"/>
      <c r="M485" s="377"/>
      <c r="N485" s="377"/>
      <c r="O485" s="377"/>
      <c r="P485" s="377"/>
      <c r="Q485" s="377"/>
      <c r="R485" s="377"/>
      <c r="S485" s="377"/>
    </row>
    <row r="486" spans="1:19" x14ac:dyDescent="0.2">
      <c r="A486" s="377"/>
      <c r="B486" s="377"/>
      <c r="C486" s="377"/>
      <c r="D486" s="377"/>
      <c r="E486" s="377"/>
      <c r="F486" s="377"/>
      <c r="G486" s="377"/>
      <c r="H486" s="377"/>
      <c r="I486" s="377"/>
      <c r="J486" s="377"/>
      <c r="K486" s="377"/>
      <c r="L486" s="377"/>
      <c r="M486" s="377"/>
      <c r="N486" s="377"/>
      <c r="O486" s="377"/>
      <c r="P486" s="377"/>
      <c r="Q486" s="377"/>
      <c r="R486" s="377"/>
      <c r="S486" s="377"/>
    </row>
    <row r="487" spans="1:19" x14ac:dyDescent="0.2">
      <c r="A487" s="377"/>
      <c r="B487" s="377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  <c r="P487" s="377"/>
      <c r="Q487" s="377"/>
      <c r="R487" s="377"/>
      <c r="S487" s="377"/>
    </row>
    <row r="488" spans="1:19" x14ac:dyDescent="0.2">
      <c r="A488" s="377"/>
      <c r="B488" s="377"/>
      <c r="C488" s="377"/>
      <c r="D488" s="377"/>
      <c r="E488" s="377"/>
      <c r="F488" s="377"/>
      <c r="G488" s="377"/>
      <c r="H488" s="377"/>
      <c r="I488" s="377"/>
      <c r="J488" s="377"/>
      <c r="K488" s="377"/>
      <c r="L488" s="377"/>
      <c r="M488" s="377"/>
      <c r="N488" s="377"/>
      <c r="O488" s="377"/>
      <c r="P488" s="377"/>
      <c r="Q488" s="377"/>
      <c r="R488" s="377"/>
      <c r="S488" s="377"/>
    </row>
    <row r="489" spans="1:19" x14ac:dyDescent="0.2">
      <c r="A489" s="377"/>
      <c r="B489" s="377"/>
      <c r="C489" s="377"/>
      <c r="D489" s="377"/>
      <c r="E489" s="377"/>
      <c r="F489" s="377"/>
      <c r="G489" s="377"/>
      <c r="H489" s="377"/>
      <c r="I489" s="377"/>
      <c r="J489" s="377"/>
      <c r="K489" s="377"/>
      <c r="L489" s="377"/>
      <c r="M489" s="377"/>
      <c r="N489" s="377"/>
      <c r="O489" s="377"/>
      <c r="P489" s="377"/>
      <c r="Q489" s="377"/>
      <c r="R489" s="377"/>
      <c r="S489" s="377"/>
    </row>
    <row r="490" spans="1:19" x14ac:dyDescent="0.2">
      <c r="A490" s="377"/>
      <c r="B490" s="377"/>
      <c r="C490" s="377"/>
      <c r="D490" s="377"/>
      <c r="E490" s="377"/>
      <c r="F490" s="377"/>
      <c r="G490" s="377"/>
      <c r="H490" s="377"/>
      <c r="I490" s="377"/>
      <c r="J490" s="377"/>
      <c r="K490" s="377"/>
      <c r="L490" s="377"/>
      <c r="M490" s="377"/>
      <c r="N490" s="377"/>
      <c r="O490" s="377"/>
      <c r="P490" s="377"/>
      <c r="Q490" s="377"/>
      <c r="R490" s="377"/>
      <c r="S490" s="377"/>
    </row>
    <row r="491" spans="1:19" x14ac:dyDescent="0.2">
      <c r="A491" s="377"/>
      <c r="B491" s="377"/>
      <c r="C491" s="377"/>
      <c r="D491" s="377"/>
      <c r="E491" s="377"/>
      <c r="F491" s="377"/>
      <c r="G491" s="377"/>
      <c r="H491" s="377"/>
      <c r="I491" s="377"/>
      <c r="J491" s="377"/>
      <c r="K491" s="377"/>
      <c r="L491" s="377"/>
      <c r="M491" s="377"/>
      <c r="N491" s="377"/>
      <c r="O491" s="377"/>
      <c r="P491" s="377"/>
      <c r="Q491" s="377"/>
      <c r="R491" s="377"/>
      <c r="S491" s="377"/>
    </row>
    <row r="492" spans="1:19" x14ac:dyDescent="0.2">
      <c r="A492" s="377"/>
      <c r="B492" s="377"/>
      <c r="C492" s="377"/>
      <c r="D492" s="377"/>
      <c r="E492" s="377"/>
      <c r="F492" s="377"/>
      <c r="G492" s="377"/>
      <c r="H492" s="377"/>
      <c r="I492" s="377"/>
      <c r="J492" s="377"/>
      <c r="K492" s="377"/>
      <c r="L492" s="377"/>
      <c r="M492" s="377"/>
      <c r="N492" s="377"/>
      <c r="O492" s="377"/>
      <c r="P492" s="377"/>
      <c r="Q492" s="377"/>
      <c r="R492" s="377"/>
      <c r="S492" s="377"/>
    </row>
    <row r="493" spans="1:19" x14ac:dyDescent="0.2">
      <c r="A493" s="377"/>
      <c r="B493" s="377"/>
      <c r="C493" s="377"/>
      <c r="D493" s="377"/>
      <c r="E493" s="377"/>
      <c r="F493" s="377"/>
      <c r="G493" s="377"/>
      <c r="H493" s="377"/>
      <c r="I493" s="377"/>
      <c r="J493" s="377"/>
      <c r="K493" s="377"/>
      <c r="L493" s="377"/>
      <c r="M493" s="377"/>
      <c r="N493" s="377"/>
      <c r="O493" s="377"/>
      <c r="P493" s="377"/>
      <c r="Q493" s="377"/>
      <c r="R493" s="377"/>
      <c r="S493" s="377"/>
    </row>
    <row r="494" spans="1:19" x14ac:dyDescent="0.2">
      <c r="A494" s="377"/>
      <c r="B494" s="377"/>
      <c r="C494" s="377"/>
      <c r="D494" s="377"/>
      <c r="E494" s="377"/>
      <c r="F494" s="377"/>
      <c r="G494" s="377"/>
      <c r="H494" s="377"/>
      <c r="I494" s="377"/>
      <c r="J494" s="377"/>
      <c r="K494" s="377"/>
      <c r="L494" s="377"/>
      <c r="M494" s="377"/>
      <c r="N494" s="377"/>
      <c r="O494" s="377"/>
      <c r="P494" s="377"/>
      <c r="Q494" s="377"/>
      <c r="R494" s="377"/>
      <c r="S494" s="377"/>
    </row>
    <row r="495" spans="1:19" x14ac:dyDescent="0.2">
      <c r="A495" s="377"/>
      <c r="B495" s="377"/>
      <c r="C495" s="377"/>
      <c r="D495" s="377"/>
      <c r="E495" s="377"/>
      <c r="F495" s="377"/>
      <c r="G495" s="377"/>
      <c r="H495" s="377"/>
      <c r="I495" s="377"/>
      <c r="J495" s="377"/>
      <c r="K495" s="377"/>
      <c r="L495" s="377"/>
      <c r="M495" s="377"/>
      <c r="N495" s="377"/>
      <c r="O495" s="377"/>
      <c r="P495" s="377"/>
      <c r="Q495" s="377"/>
      <c r="R495" s="377"/>
      <c r="S495" s="377"/>
    </row>
    <row r="496" spans="1:19" x14ac:dyDescent="0.2">
      <c r="A496" s="377"/>
      <c r="B496" s="377"/>
      <c r="C496" s="377"/>
      <c r="D496" s="377"/>
      <c r="E496" s="377"/>
      <c r="F496" s="377"/>
      <c r="G496" s="377"/>
      <c r="H496" s="377"/>
      <c r="I496" s="377"/>
      <c r="J496" s="377"/>
      <c r="K496" s="377"/>
      <c r="L496" s="377"/>
      <c r="M496" s="377"/>
      <c r="N496" s="377"/>
      <c r="O496" s="377"/>
      <c r="P496" s="377"/>
      <c r="Q496" s="377"/>
      <c r="R496" s="377"/>
      <c r="S496" s="377"/>
    </row>
    <row r="497" spans="1:19" x14ac:dyDescent="0.2">
      <c r="A497" s="377"/>
      <c r="B497" s="377"/>
      <c r="C497" s="377"/>
      <c r="D497" s="377"/>
      <c r="E497" s="377"/>
      <c r="F497" s="377"/>
      <c r="G497" s="377"/>
      <c r="H497" s="377"/>
      <c r="I497" s="377"/>
      <c r="J497" s="377"/>
      <c r="K497" s="377"/>
      <c r="L497" s="377"/>
      <c r="M497" s="377"/>
      <c r="N497" s="377"/>
      <c r="O497" s="377"/>
      <c r="P497" s="377"/>
      <c r="Q497" s="377"/>
      <c r="R497" s="377"/>
      <c r="S497" s="377"/>
    </row>
    <row r="498" spans="1:19" x14ac:dyDescent="0.2">
      <c r="A498" s="377"/>
      <c r="B498" s="377"/>
      <c r="C498" s="377"/>
      <c r="D498" s="377"/>
      <c r="E498" s="377"/>
      <c r="F498" s="377"/>
      <c r="G498" s="377"/>
      <c r="H498" s="377"/>
      <c r="I498" s="377"/>
      <c r="J498" s="377"/>
      <c r="K498" s="377"/>
      <c r="L498" s="377"/>
      <c r="M498" s="377"/>
      <c r="N498" s="377"/>
      <c r="O498" s="377"/>
      <c r="P498" s="377"/>
      <c r="Q498" s="377"/>
      <c r="R498" s="377"/>
      <c r="S498" s="377"/>
    </row>
    <row r="499" spans="1:19" x14ac:dyDescent="0.2">
      <c r="A499" s="377"/>
      <c r="B499" s="377"/>
      <c r="C499" s="377"/>
      <c r="D499" s="377"/>
      <c r="E499" s="377"/>
      <c r="F499" s="377"/>
      <c r="G499" s="377"/>
      <c r="H499" s="377"/>
      <c r="I499" s="377"/>
      <c r="J499" s="377"/>
      <c r="K499" s="377"/>
      <c r="L499" s="377"/>
      <c r="M499" s="377"/>
      <c r="N499" s="377"/>
      <c r="O499" s="377"/>
      <c r="P499" s="377"/>
      <c r="Q499" s="377"/>
      <c r="R499" s="377"/>
      <c r="S499" s="377"/>
    </row>
    <row r="500" spans="1:19" x14ac:dyDescent="0.2">
      <c r="A500" s="377"/>
      <c r="B500" s="377"/>
      <c r="C500" s="377"/>
      <c r="D500" s="377"/>
      <c r="E500" s="377"/>
      <c r="F500" s="377"/>
      <c r="G500" s="377"/>
      <c r="H500" s="377"/>
      <c r="I500" s="377"/>
      <c r="J500" s="377"/>
      <c r="K500" s="377"/>
      <c r="L500" s="377"/>
      <c r="M500" s="377"/>
      <c r="N500" s="377"/>
      <c r="O500" s="377"/>
      <c r="P500" s="377"/>
      <c r="Q500" s="377"/>
      <c r="R500" s="377"/>
      <c r="S500" s="377"/>
    </row>
    <row r="501" spans="1:19" x14ac:dyDescent="0.2">
      <c r="A501" s="377"/>
      <c r="B501" s="377"/>
      <c r="C501" s="377"/>
      <c r="D501" s="377"/>
      <c r="E501" s="377"/>
      <c r="F501" s="377"/>
      <c r="G501" s="377"/>
      <c r="H501" s="377"/>
      <c r="I501" s="377"/>
      <c r="J501" s="377"/>
      <c r="K501" s="377"/>
      <c r="L501" s="377"/>
      <c r="M501" s="377"/>
      <c r="N501" s="377"/>
      <c r="O501" s="377"/>
      <c r="P501" s="377"/>
      <c r="Q501" s="377"/>
      <c r="R501" s="377"/>
      <c r="S501" s="377"/>
    </row>
    <row r="502" spans="1:19" x14ac:dyDescent="0.2">
      <c r="A502" s="377"/>
      <c r="B502" s="377"/>
      <c r="C502" s="377"/>
      <c r="D502" s="377"/>
      <c r="E502" s="377"/>
      <c r="F502" s="377"/>
      <c r="G502" s="377"/>
      <c r="H502" s="377"/>
      <c r="I502" s="377"/>
      <c r="J502" s="377"/>
      <c r="K502" s="377"/>
      <c r="L502" s="377"/>
      <c r="M502" s="377"/>
      <c r="N502" s="377"/>
      <c r="O502" s="377"/>
      <c r="P502" s="377"/>
      <c r="Q502" s="377"/>
      <c r="R502" s="377"/>
      <c r="S502" s="377"/>
    </row>
    <row r="503" spans="1:19" x14ac:dyDescent="0.2">
      <c r="A503" s="377"/>
      <c r="B503" s="377"/>
      <c r="C503" s="377"/>
      <c r="D503" s="377"/>
      <c r="E503" s="377"/>
      <c r="F503" s="377"/>
      <c r="G503" s="377"/>
      <c r="H503" s="377"/>
      <c r="I503" s="377"/>
      <c r="J503" s="377"/>
      <c r="K503" s="377"/>
      <c r="L503" s="377"/>
      <c r="M503" s="377"/>
      <c r="N503" s="377"/>
      <c r="O503" s="377"/>
      <c r="P503" s="377"/>
      <c r="Q503" s="377"/>
      <c r="R503" s="377"/>
      <c r="S503" s="377"/>
    </row>
    <row r="504" spans="1:19" x14ac:dyDescent="0.2">
      <c r="A504" s="377"/>
      <c r="B504" s="377"/>
      <c r="C504" s="377"/>
      <c r="D504" s="377"/>
      <c r="E504" s="377"/>
      <c r="F504" s="377"/>
      <c r="G504" s="377"/>
      <c r="H504" s="377"/>
      <c r="I504" s="377"/>
      <c r="J504" s="377"/>
      <c r="K504" s="377"/>
      <c r="L504" s="377"/>
      <c r="M504" s="377"/>
      <c r="N504" s="377"/>
      <c r="O504" s="377"/>
      <c r="P504" s="377"/>
      <c r="Q504" s="377"/>
      <c r="R504" s="377"/>
      <c r="S504" s="377"/>
    </row>
    <row r="505" spans="1:19" x14ac:dyDescent="0.2">
      <c r="A505" s="377"/>
      <c r="B505" s="377"/>
      <c r="C505" s="377"/>
      <c r="D505" s="377"/>
      <c r="E505" s="377"/>
      <c r="F505" s="377"/>
      <c r="G505" s="377"/>
      <c r="H505" s="377"/>
      <c r="I505" s="377"/>
      <c r="J505" s="377"/>
      <c r="K505" s="377"/>
      <c r="L505" s="377"/>
      <c r="M505" s="377"/>
      <c r="N505" s="377"/>
      <c r="O505" s="377"/>
      <c r="P505" s="377"/>
      <c r="Q505" s="377"/>
      <c r="R505" s="377"/>
      <c r="S505" s="377"/>
    </row>
    <row r="506" spans="1:19" x14ac:dyDescent="0.2">
      <c r="A506" s="377"/>
      <c r="B506" s="377"/>
      <c r="C506" s="377"/>
      <c r="D506" s="377"/>
      <c r="E506" s="377"/>
      <c r="F506" s="377"/>
      <c r="G506" s="377"/>
      <c r="H506" s="377"/>
      <c r="I506" s="377"/>
      <c r="J506" s="377"/>
      <c r="K506" s="377"/>
      <c r="L506" s="377"/>
      <c r="M506" s="377"/>
      <c r="N506" s="377"/>
      <c r="O506" s="377"/>
      <c r="P506" s="377"/>
      <c r="Q506" s="377"/>
      <c r="R506" s="377"/>
      <c r="S506" s="377"/>
    </row>
    <row r="507" spans="1:19" x14ac:dyDescent="0.2">
      <c r="A507" s="377"/>
      <c r="B507" s="377"/>
      <c r="C507" s="377"/>
      <c r="D507" s="377"/>
      <c r="E507" s="377"/>
      <c r="F507" s="377"/>
      <c r="G507" s="377"/>
      <c r="H507" s="377"/>
      <c r="I507" s="377"/>
      <c r="J507" s="377"/>
      <c r="K507" s="377"/>
      <c r="L507" s="377"/>
      <c r="M507" s="377"/>
      <c r="N507" s="377"/>
      <c r="O507" s="377"/>
      <c r="P507" s="377"/>
      <c r="Q507" s="377"/>
      <c r="R507" s="377"/>
      <c r="S507" s="377"/>
    </row>
    <row r="508" spans="1:19" x14ac:dyDescent="0.2">
      <c r="A508" s="377"/>
      <c r="B508" s="377"/>
      <c r="C508" s="377"/>
      <c r="D508" s="377"/>
      <c r="E508" s="377"/>
      <c r="F508" s="377"/>
      <c r="G508" s="377"/>
      <c r="H508" s="377"/>
      <c r="I508" s="377"/>
      <c r="J508" s="377"/>
      <c r="K508" s="377"/>
      <c r="L508" s="377"/>
      <c r="M508" s="377"/>
      <c r="N508" s="377"/>
      <c r="O508" s="377"/>
      <c r="P508" s="377"/>
      <c r="Q508" s="377"/>
      <c r="R508" s="377"/>
      <c r="S508" s="377"/>
    </row>
    <row r="509" spans="1:19" x14ac:dyDescent="0.2">
      <c r="A509" s="377"/>
      <c r="B509" s="377"/>
      <c r="C509" s="377"/>
      <c r="D509" s="377"/>
      <c r="E509" s="377"/>
      <c r="F509" s="377"/>
      <c r="G509" s="377"/>
      <c r="H509" s="377"/>
      <c r="I509" s="377"/>
      <c r="J509" s="377"/>
      <c r="K509" s="377"/>
      <c r="L509" s="377"/>
      <c r="M509" s="377"/>
      <c r="N509" s="377"/>
      <c r="O509" s="377"/>
      <c r="P509" s="377"/>
      <c r="Q509" s="377"/>
      <c r="R509" s="377"/>
      <c r="S509" s="377"/>
    </row>
    <row r="510" spans="1:19" x14ac:dyDescent="0.2">
      <c r="A510" s="377"/>
      <c r="B510" s="377"/>
      <c r="C510" s="377"/>
      <c r="D510" s="377"/>
      <c r="E510" s="377"/>
      <c r="F510" s="377"/>
      <c r="G510" s="377"/>
      <c r="H510" s="377"/>
      <c r="I510" s="377"/>
      <c r="J510" s="377"/>
      <c r="K510" s="377"/>
      <c r="L510" s="377"/>
      <c r="M510" s="377"/>
      <c r="N510" s="377"/>
      <c r="O510" s="377"/>
      <c r="P510" s="377"/>
      <c r="Q510" s="377"/>
      <c r="R510" s="377"/>
      <c r="S510" s="377"/>
    </row>
    <row r="511" spans="1:19" x14ac:dyDescent="0.2">
      <c r="A511" s="377"/>
      <c r="B511" s="377"/>
      <c r="C511" s="377"/>
      <c r="D511" s="377"/>
      <c r="E511" s="377"/>
      <c r="F511" s="377"/>
      <c r="G511" s="377"/>
      <c r="H511" s="377"/>
      <c r="I511" s="377"/>
      <c r="J511" s="377"/>
      <c r="K511" s="377"/>
      <c r="L511" s="377"/>
      <c r="M511" s="377"/>
      <c r="N511" s="377"/>
      <c r="O511" s="377"/>
      <c r="P511" s="377"/>
      <c r="Q511" s="377"/>
      <c r="R511" s="377"/>
      <c r="S511" s="377"/>
    </row>
    <row r="512" spans="1:19" x14ac:dyDescent="0.2">
      <c r="A512" s="377"/>
      <c r="B512" s="377"/>
      <c r="C512" s="377"/>
      <c r="D512" s="377"/>
      <c r="E512" s="377"/>
      <c r="F512" s="377"/>
      <c r="G512" s="377"/>
      <c r="H512" s="377"/>
      <c r="I512" s="377"/>
      <c r="J512" s="377"/>
      <c r="K512" s="377"/>
      <c r="L512" s="377"/>
      <c r="M512" s="377"/>
      <c r="N512" s="377"/>
      <c r="O512" s="377"/>
      <c r="P512" s="377"/>
      <c r="Q512" s="377"/>
      <c r="R512" s="377"/>
      <c r="S512" s="377"/>
    </row>
    <row r="513" spans="1:19" x14ac:dyDescent="0.2">
      <c r="A513" s="377"/>
      <c r="B513" s="377"/>
      <c r="C513" s="377"/>
      <c r="D513" s="377"/>
      <c r="E513" s="377"/>
      <c r="F513" s="377"/>
      <c r="G513" s="377"/>
      <c r="H513" s="377"/>
      <c r="I513" s="377"/>
      <c r="J513" s="377"/>
      <c r="K513" s="377"/>
      <c r="L513" s="377"/>
      <c r="M513" s="377"/>
      <c r="N513" s="377"/>
      <c r="O513" s="377"/>
      <c r="P513" s="377"/>
      <c r="Q513" s="377"/>
      <c r="R513" s="377"/>
      <c r="S513" s="377"/>
    </row>
    <row r="514" spans="1:19" x14ac:dyDescent="0.2">
      <c r="A514" s="377"/>
      <c r="B514" s="377"/>
      <c r="C514" s="377"/>
      <c r="D514" s="377"/>
      <c r="E514" s="377"/>
      <c r="F514" s="377"/>
      <c r="G514" s="377"/>
      <c r="H514" s="377"/>
      <c r="I514" s="377"/>
      <c r="J514" s="377"/>
      <c r="K514" s="377"/>
      <c r="L514" s="377"/>
      <c r="M514" s="377"/>
      <c r="N514" s="377"/>
      <c r="O514" s="377"/>
      <c r="P514" s="377"/>
      <c r="Q514" s="377"/>
      <c r="R514" s="377"/>
      <c r="S514" s="377"/>
    </row>
    <row r="515" spans="1:19" x14ac:dyDescent="0.2">
      <c r="A515" s="377"/>
      <c r="B515" s="377"/>
      <c r="C515" s="377"/>
      <c r="D515" s="377"/>
      <c r="E515" s="377"/>
      <c r="F515" s="377"/>
      <c r="G515" s="377"/>
      <c r="H515" s="377"/>
      <c r="I515" s="377"/>
      <c r="J515" s="377"/>
      <c r="K515" s="377"/>
      <c r="L515" s="377"/>
      <c r="M515" s="377"/>
      <c r="N515" s="377"/>
      <c r="O515" s="377"/>
      <c r="P515" s="377"/>
      <c r="Q515" s="377"/>
      <c r="R515" s="377"/>
      <c r="S515" s="377"/>
    </row>
    <row r="516" spans="1:19" x14ac:dyDescent="0.2">
      <c r="A516" s="377"/>
      <c r="B516" s="377"/>
      <c r="C516" s="377"/>
      <c r="D516" s="377"/>
      <c r="E516" s="377"/>
      <c r="F516" s="377"/>
      <c r="G516" s="377"/>
      <c r="H516" s="377"/>
      <c r="I516" s="377"/>
      <c r="J516" s="377"/>
      <c r="K516" s="377"/>
      <c r="L516" s="377"/>
      <c r="M516" s="377"/>
      <c r="N516" s="377"/>
      <c r="O516" s="377"/>
      <c r="P516" s="377"/>
      <c r="Q516" s="377"/>
      <c r="R516" s="377"/>
      <c r="S516" s="377"/>
    </row>
    <row r="517" spans="1:19" x14ac:dyDescent="0.2">
      <c r="A517" s="377"/>
      <c r="B517" s="377"/>
      <c r="C517" s="377"/>
      <c r="D517" s="377"/>
      <c r="E517" s="377"/>
      <c r="F517" s="377"/>
      <c r="G517" s="377"/>
      <c r="H517" s="377"/>
      <c r="I517" s="377"/>
      <c r="J517" s="377"/>
      <c r="K517" s="377"/>
      <c r="L517" s="377"/>
      <c r="M517" s="377"/>
      <c r="N517" s="377"/>
      <c r="O517" s="377"/>
      <c r="P517" s="377"/>
      <c r="Q517" s="377"/>
      <c r="R517" s="377"/>
      <c r="S517" s="377"/>
    </row>
    <row r="518" spans="1:19" x14ac:dyDescent="0.2">
      <c r="A518" s="377"/>
      <c r="B518" s="377"/>
      <c r="C518" s="377"/>
      <c r="D518" s="377"/>
      <c r="E518" s="377"/>
      <c r="F518" s="377"/>
      <c r="G518" s="377"/>
      <c r="H518" s="377"/>
      <c r="I518" s="377"/>
      <c r="J518" s="377"/>
      <c r="K518" s="377"/>
      <c r="L518" s="377"/>
      <c r="M518" s="377"/>
      <c r="N518" s="377"/>
      <c r="O518" s="377"/>
      <c r="P518" s="377"/>
      <c r="Q518" s="377"/>
      <c r="R518" s="377"/>
      <c r="S518" s="377"/>
    </row>
    <row r="519" spans="1:19" x14ac:dyDescent="0.2">
      <c r="A519" s="377"/>
      <c r="B519" s="377"/>
      <c r="C519" s="377"/>
      <c r="D519" s="377"/>
      <c r="E519" s="377"/>
      <c r="F519" s="377"/>
      <c r="G519" s="377"/>
      <c r="H519" s="377"/>
      <c r="I519" s="377"/>
      <c r="J519" s="377"/>
      <c r="K519" s="377"/>
      <c r="L519" s="377"/>
      <c r="M519" s="377"/>
      <c r="N519" s="377"/>
      <c r="O519" s="377"/>
      <c r="P519" s="377"/>
      <c r="Q519" s="377"/>
      <c r="R519" s="377"/>
      <c r="S519" s="377"/>
    </row>
    <row r="520" spans="1:19" x14ac:dyDescent="0.2">
      <c r="A520" s="377"/>
      <c r="B520" s="377"/>
      <c r="C520" s="377"/>
      <c r="D520" s="377"/>
      <c r="E520" s="377"/>
      <c r="F520" s="377"/>
      <c r="G520" s="377"/>
      <c r="H520" s="377"/>
      <c r="I520" s="377"/>
      <c r="J520" s="377"/>
      <c r="K520" s="377"/>
      <c r="L520" s="377"/>
      <c r="M520" s="377"/>
      <c r="N520" s="377"/>
      <c r="O520" s="377"/>
      <c r="P520" s="377"/>
      <c r="Q520" s="377"/>
      <c r="R520" s="377"/>
      <c r="S520" s="377"/>
    </row>
    <row r="521" spans="1:19" x14ac:dyDescent="0.2">
      <c r="A521" s="377"/>
      <c r="B521" s="377"/>
      <c r="C521" s="377"/>
      <c r="D521" s="377"/>
      <c r="E521" s="377"/>
      <c r="F521" s="377"/>
      <c r="G521" s="377"/>
      <c r="H521" s="377"/>
      <c r="I521" s="377"/>
      <c r="J521" s="377"/>
      <c r="K521" s="377"/>
      <c r="L521" s="377"/>
      <c r="M521" s="377"/>
      <c r="N521" s="377"/>
      <c r="O521" s="377"/>
      <c r="P521" s="377"/>
      <c r="Q521" s="377"/>
      <c r="R521" s="377"/>
      <c r="S521" s="377"/>
    </row>
    <row r="522" spans="1:19" x14ac:dyDescent="0.2">
      <c r="A522" s="377"/>
      <c r="B522" s="377"/>
      <c r="C522" s="377"/>
      <c r="D522" s="377"/>
      <c r="E522" s="377"/>
      <c r="F522" s="377"/>
      <c r="G522" s="377"/>
      <c r="H522" s="377"/>
      <c r="I522" s="377"/>
      <c r="J522" s="377"/>
      <c r="K522" s="377"/>
      <c r="L522" s="377"/>
      <c r="M522" s="377"/>
      <c r="N522" s="377"/>
      <c r="O522" s="377"/>
      <c r="P522" s="377"/>
      <c r="Q522" s="377"/>
      <c r="R522" s="377"/>
      <c r="S522" s="377"/>
    </row>
    <row r="523" spans="1:19" x14ac:dyDescent="0.2">
      <c r="A523" s="377"/>
      <c r="B523" s="377"/>
      <c r="C523" s="377"/>
      <c r="D523" s="377"/>
      <c r="E523" s="377"/>
      <c r="F523" s="377"/>
      <c r="G523" s="377"/>
      <c r="H523" s="377"/>
      <c r="I523" s="377"/>
      <c r="J523" s="377"/>
      <c r="K523" s="377"/>
      <c r="L523" s="377"/>
      <c r="M523" s="377"/>
      <c r="N523" s="377"/>
      <c r="O523" s="377"/>
      <c r="P523" s="377"/>
      <c r="Q523" s="377"/>
      <c r="R523" s="377"/>
      <c r="S523" s="377"/>
    </row>
    <row r="524" spans="1:19" x14ac:dyDescent="0.2">
      <c r="A524" s="377"/>
      <c r="B524" s="377"/>
      <c r="C524" s="377"/>
      <c r="D524" s="377"/>
      <c r="E524" s="377"/>
      <c r="F524" s="377"/>
      <c r="G524" s="377"/>
      <c r="H524" s="377"/>
      <c r="I524" s="377"/>
      <c r="J524" s="377"/>
      <c r="K524" s="377"/>
      <c r="L524" s="377"/>
      <c r="M524" s="377"/>
      <c r="N524" s="377"/>
      <c r="O524" s="377"/>
      <c r="P524" s="377"/>
      <c r="Q524" s="377"/>
      <c r="R524" s="377"/>
      <c r="S524" s="377"/>
    </row>
    <row r="525" spans="1:19" x14ac:dyDescent="0.2">
      <c r="A525" s="377"/>
      <c r="B525" s="377"/>
      <c r="C525" s="377"/>
      <c r="D525" s="377"/>
      <c r="E525" s="377"/>
      <c r="F525" s="377"/>
      <c r="G525" s="377"/>
      <c r="H525" s="377"/>
      <c r="I525" s="377"/>
      <c r="J525" s="377"/>
      <c r="K525" s="377"/>
      <c r="L525" s="377"/>
      <c r="M525" s="377"/>
      <c r="N525" s="377"/>
      <c r="O525" s="377"/>
      <c r="P525" s="377"/>
      <c r="Q525" s="377"/>
      <c r="R525" s="377"/>
      <c r="S525" s="377"/>
    </row>
    <row r="526" spans="1:19" x14ac:dyDescent="0.2">
      <c r="A526" s="377"/>
      <c r="B526" s="377"/>
      <c r="C526" s="377"/>
      <c r="D526" s="377"/>
      <c r="E526" s="377"/>
      <c r="F526" s="377"/>
      <c r="G526" s="377"/>
      <c r="H526" s="377"/>
      <c r="I526" s="377"/>
      <c r="J526" s="377"/>
      <c r="K526" s="377"/>
      <c r="L526" s="377"/>
      <c r="M526" s="377"/>
      <c r="N526" s="377"/>
      <c r="O526" s="377"/>
      <c r="P526" s="377"/>
      <c r="Q526" s="377"/>
      <c r="R526" s="377"/>
      <c r="S526" s="377"/>
    </row>
    <row r="527" spans="1:19" x14ac:dyDescent="0.2">
      <c r="A527" s="377"/>
      <c r="B527" s="377"/>
      <c r="C527" s="377"/>
      <c r="D527" s="377"/>
      <c r="E527" s="377"/>
      <c r="F527" s="377"/>
      <c r="G527" s="377"/>
      <c r="H527" s="377"/>
      <c r="I527" s="377"/>
      <c r="J527" s="377"/>
      <c r="K527" s="377"/>
      <c r="L527" s="377"/>
      <c r="M527" s="377"/>
      <c r="N527" s="377"/>
      <c r="O527" s="377"/>
      <c r="P527" s="377"/>
      <c r="Q527" s="377"/>
      <c r="R527" s="377"/>
      <c r="S527" s="377"/>
    </row>
    <row r="528" spans="1:19" x14ac:dyDescent="0.2">
      <c r="A528" s="377"/>
      <c r="B528" s="377"/>
      <c r="C528" s="377"/>
      <c r="D528" s="377"/>
      <c r="E528" s="377"/>
      <c r="F528" s="377"/>
      <c r="G528" s="377"/>
      <c r="H528" s="377"/>
      <c r="I528" s="377"/>
      <c r="J528" s="377"/>
      <c r="K528" s="377"/>
      <c r="L528" s="377"/>
      <c r="M528" s="377"/>
      <c r="N528" s="377"/>
      <c r="O528" s="377"/>
      <c r="P528" s="377"/>
      <c r="Q528" s="377"/>
      <c r="R528" s="377"/>
      <c r="S528" s="377"/>
    </row>
    <row r="529" spans="1:19" x14ac:dyDescent="0.2">
      <c r="A529" s="377"/>
      <c r="B529" s="377"/>
      <c r="C529" s="377"/>
      <c r="D529" s="377"/>
      <c r="E529" s="377"/>
      <c r="F529" s="377"/>
      <c r="G529" s="377"/>
      <c r="H529" s="377"/>
      <c r="I529" s="377"/>
      <c r="J529" s="377"/>
      <c r="K529" s="377"/>
      <c r="L529" s="377"/>
      <c r="M529" s="377"/>
      <c r="N529" s="377"/>
      <c r="O529" s="377"/>
      <c r="P529" s="377"/>
      <c r="Q529" s="377"/>
      <c r="R529" s="377"/>
      <c r="S529" s="377"/>
    </row>
    <row r="530" spans="1:19" x14ac:dyDescent="0.2">
      <c r="A530" s="377"/>
      <c r="B530" s="377"/>
      <c r="C530" s="377"/>
      <c r="D530" s="377"/>
      <c r="E530" s="377"/>
      <c r="F530" s="377"/>
      <c r="G530" s="377"/>
      <c r="H530" s="377"/>
      <c r="I530" s="377"/>
      <c r="J530" s="377"/>
      <c r="K530" s="377"/>
      <c r="L530" s="377"/>
      <c r="M530" s="377"/>
      <c r="N530" s="377"/>
      <c r="O530" s="377"/>
      <c r="P530" s="377"/>
      <c r="Q530" s="377"/>
      <c r="R530" s="377"/>
      <c r="S530" s="377"/>
    </row>
    <row r="531" spans="1:19" x14ac:dyDescent="0.2">
      <c r="A531" s="377"/>
      <c r="B531" s="377"/>
      <c r="C531" s="377"/>
      <c r="D531" s="377"/>
      <c r="E531" s="377"/>
      <c r="F531" s="377"/>
      <c r="G531" s="377"/>
      <c r="H531" s="377"/>
      <c r="I531" s="377"/>
      <c r="J531" s="377"/>
      <c r="K531" s="377"/>
      <c r="L531" s="377"/>
      <c r="M531" s="377"/>
      <c r="N531" s="377"/>
      <c r="O531" s="377"/>
      <c r="P531" s="377"/>
      <c r="Q531" s="377"/>
      <c r="R531" s="377"/>
      <c r="S531" s="377"/>
    </row>
    <row r="532" spans="1:19" x14ac:dyDescent="0.2">
      <c r="A532" s="377"/>
      <c r="B532" s="377"/>
      <c r="C532" s="377"/>
      <c r="D532" s="377"/>
      <c r="E532" s="377"/>
      <c r="F532" s="377"/>
      <c r="G532" s="377"/>
      <c r="H532" s="377"/>
      <c r="I532" s="377"/>
      <c r="J532" s="377"/>
      <c r="K532" s="377"/>
      <c r="L532" s="377"/>
      <c r="M532" s="377"/>
      <c r="N532" s="377"/>
      <c r="O532" s="377"/>
      <c r="P532" s="377"/>
      <c r="Q532" s="377"/>
      <c r="R532" s="377"/>
      <c r="S532" s="377"/>
    </row>
    <row r="533" spans="1:19" x14ac:dyDescent="0.2">
      <c r="A533" s="377"/>
      <c r="B533" s="377"/>
      <c r="C533" s="377"/>
      <c r="D533" s="377"/>
      <c r="E533" s="377"/>
      <c r="F533" s="377"/>
      <c r="G533" s="377"/>
      <c r="H533" s="377"/>
      <c r="I533" s="377"/>
      <c r="J533" s="377"/>
      <c r="K533" s="377"/>
      <c r="L533" s="377"/>
      <c r="M533" s="377"/>
      <c r="N533" s="377"/>
      <c r="O533" s="377"/>
      <c r="P533" s="377"/>
      <c r="Q533" s="377"/>
      <c r="R533" s="377"/>
      <c r="S533" s="377"/>
    </row>
    <row r="534" spans="1:19" x14ac:dyDescent="0.2">
      <c r="A534" s="377"/>
      <c r="B534" s="377"/>
      <c r="C534" s="377"/>
      <c r="D534" s="377"/>
      <c r="E534" s="377"/>
      <c r="F534" s="377"/>
      <c r="G534" s="377"/>
      <c r="H534" s="377"/>
      <c r="I534" s="377"/>
      <c r="J534" s="377"/>
      <c r="K534" s="377"/>
      <c r="L534" s="377"/>
      <c r="M534" s="377"/>
      <c r="N534" s="377"/>
      <c r="O534" s="377"/>
      <c r="P534" s="377"/>
      <c r="Q534" s="377"/>
      <c r="R534" s="377"/>
      <c r="S534" s="377"/>
    </row>
    <row r="535" spans="1:19" x14ac:dyDescent="0.2">
      <c r="A535" s="377"/>
      <c r="B535" s="377"/>
      <c r="C535" s="377"/>
      <c r="D535" s="377"/>
      <c r="E535" s="377"/>
      <c r="F535" s="377"/>
      <c r="G535" s="377"/>
      <c r="H535" s="377"/>
      <c r="I535" s="377"/>
      <c r="J535" s="377"/>
      <c r="K535" s="377"/>
      <c r="L535" s="377"/>
      <c r="M535" s="377"/>
      <c r="N535" s="377"/>
      <c r="O535" s="377"/>
      <c r="P535" s="377"/>
      <c r="Q535" s="377"/>
      <c r="R535" s="377"/>
      <c r="S535" s="377"/>
    </row>
    <row r="536" spans="1:19" x14ac:dyDescent="0.2">
      <c r="A536" s="377"/>
      <c r="B536" s="377"/>
      <c r="C536" s="377"/>
      <c r="D536" s="377"/>
      <c r="E536" s="377"/>
      <c r="F536" s="377"/>
      <c r="G536" s="377"/>
      <c r="H536" s="377"/>
      <c r="I536" s="377"/>
      <c r="J536" s="377"/>
      <c r="K536" s="377"/>
      <c r="L536" s="377"/>
      <c r="M536" s="377"/>
      <c r="N536" s="377"/>
      <c r="O536" s="377"/>
      <c r="P536" s="377"/>
      <c r="Q536" s="377"/>
      <c r="R536" s="377"/>
      <c r="S536" s="377"/>
    </row>
    <row r="537" spans="1:19" x14ac:dyDescent="0.2">
      <c r="A537" s="377"/>
      <c r="B537" s="377"/>
      <c r="C537" s="377"/>
      <c r="D537" s="377"/>
      <c r="E537" s="377"/>
      <c r="F537" s="377"/>
      <c r="G537" s="377"/>
      <c r="H537" s="377"/>
      <c r="I537" s="377"/>
      <c r="J537" s="377"/>
      <c r="K537" s="377"/>
      <c r="L537" s="377"/>
      <c r="M537" s="377"/>
      <c r="N537" s="377"/>
      <c r="O537" s="377"/>
      <c r="P537" s="377"/>
      <c r="Q537" s="377"/>
      <c r="R537" s="377"/>
      <c r="S537" s="377"/>
    </row>
    <row r="538" spans="1:19" x14ac:dyDescent="0.2">
      <c r="A538" s="377"/>
      <c r="B538" s="377"/>
      <c r="C538" s="377"/>
      <c r="D538" s="377"/>
      <c r="E538" s="377"/>
      <c r="F538" s="377"/>
      <c r="G538" s="377"/>
      <c r="H538" s="377"/>
      <c r="I538" s="377"/>
      <c r="J538" s="377"/>
      <c r="K538" s="377"/>
      <c r="L538" s="377"/>
      <c r="M538" s="377"/>
      <c r="N538" s="377"/>
      <c r="O538" s="377"/>
      <c r="P538" s="377"/>
      <c r="Q538" s="377"/>
      <c r="R538" s="377"/>
      <c r="S538" s="377"/>
    </row>
    <row r="539" spans="1:19" x14ac:dyDescent="0.2">
      <c r="A539" s="377"/>
      <c r="B539" s="377"/>
      <c r="C539" s="377"/>
      <c r="D539" s="377"/>
      <c r="E539" s="377"/>
      <c r="F539" s="377"/>
      <c r="G539" s="377"/>
      <c r="H539" s="377"/>
      <c r="I539" s="377"/>
      <c r="J539" s="377"/>
      <c r="K539" s="377"/>
      <c r="L539" s="377"/>
      <c r="M539" s="377"/>
      <c r="N539" s="377"/>
      <c r="O539" s="377"/>
      <c r="P539" s="377"/>
      <c r="Q539" s="377"/>
      <c r="R539" s="377"/>
      <c r="S539" s="377"/>
    </row>
    <row r="540" spans="1:19" x14ac:dyDescent="0.2">
      <c r="A540" s="377"/>
      <c r="B540" s="377"/>
      <c r="C540" s="377"/>
      <c r="D540" s="377"/>
      <c r="E540" s="377"/>
      <c r="F540" s="377"/>
      <c r="G540" s="377"/>
      <c r="H540" s="377"/>
      <c r="I540" s="377"/>
      <c r="J540" s="377"/>
      <c r="K540" s="377"/>
      <c r="L540" s="377"/>
      <c r="M540" s="377"/>
      <c r="N540" s="377"/>
      <c r="O540" s="377"/>
      <c r="P540" s="377"/>
      <c r="Q540" s="377"/>
      <c r="R540" s="377"/>
      <c r="S540" s="377"/>
    </row>
    <row r="541" spans="1:19" x14ac:dyDescent="0.2">
      <c r="A541" s="377"/>
      <c r="B541" s="377"/>
      <c r="C541" s="377"/>
      <c r="D541" s="377"/>
      <c r="E541" s="377"/>
      <c r="F541" s="377"/>
      <c r="G541" s="377"/>
      <c r="H541" s="377"/>
      <c r="I541" s="377"/>
      <c r="J541" s="377"/>
      <c r="K541" s="377"/>
      <c r="L541" s="377"/>
      <c r="M541" s="377"/>
      <c r="N541" s="377"/>
      <c r="O541" s="377"/>
      <c r="P541" s="377"/>
      <c r="Q541" s="377"/>
      <c r="R541" s="377"/>
      <c r="S541" s="377"/>
    </row>
    <row r="542" spans="1:19" x14ac:dyDescent="0.2">
      <c r="A542" s="377"/>
      <c r="B542" s="377"/>
      <c r="C542" s="377"/>
      <c r="D542" s="377"/>
      <c r="E542" s="377"/>
      <c r="F542" s="377"/>
      <c r="G542" s="377"/>
      <c r="H542" s="377"/>
      <c r="I542" s="377"/>
      <c r="J542" s="377"/>
      <c r="K542" s="377"/>
      <c r="L542" s="377"/>
      <c r="M542" s="377"/>
      <c r="N542" s="377"/>
      <c r="O542" s="377"/>
      <c r="P542" s="377"/>
      <c r="Q542" s="377"/>
      <c r="R542" s="377"/>
      <c r="S542" s="377"/>
    </row>
    <row r="543" spans="1:19" x14ac:dyDescent="0.2">
      <c r="A543" s="377"/>
      <c r="B543" s="377"/>
      <c r="C543" s="377"/>
      <c r="D543" s="377"/>
      <c r="E543" s="377"/>
      <c r="F543" s="377"/>
      <c r="G543" s="377"/>
      <c r="H543" s="377"/>
      <c r="I543" s="377"/>
      <c r="J543" s="377"/>
      <c r="K543" s="377"/>
      <c r="L543" s="377"/>
      <c r="M543" s="377"/>
      <c r="N543" s="377"/>
      <c r="O543" s="377"/>
      <c r="P543" s="377"/>
      <c r="Q543" s="377"/>
      <c r="R543" s="377"/>
      <c r="S543" s="377"/>
    </row>
    <row r="544" spans="1:19" x14ac:dyDescent="0.2">
      <c r="A544" s="377"/>
      <c r="B544" s="377"/>
      <c r="C544" s="377"/>
      <c r="D544" s="377"/>
      <c r="E544" s="377"/>
      <c r="F544" s="377"/>
      <c r="G544" s="377"/>
      <c r="H544" s="377"/>
      <c r="I544" s="377"/>
      <c r="J544" s="377"/>
      <c r="K544" s="377"/>
      <c r="L544" s="377"/>
      <c r="M544" s="377"/>
      <c r="N544" s="377"/>
      <c r="O544" s="377"/>
      <c r="P544" s="377"/>
      <c r="Q544" s="377"/>
      <c r="R544" s="377"/>
      <c r="S544" s="377"/>
    </row>
    <row r="545" spans="1:19" x14ac:dyDescent="0.2">
      <c r="A545" s="377"/>
      <c r="B545" s="377"/>
      <c r="C545" s="377"/>
      <c r="D545" s="377"/>
      <c r="E545" s="377"/>
      <c r="F545" s="377"/>
      <c r="G545" s="377"/>
      <c r="H545" s="377"/>
      <c r="I545" s="377"/>
      <c r="J545" s="377"/>
      <c r="K545" s="377"/>
      <c r="L545" s="377"/>
      <c r="M545" s="377"/>
      <c r="N545" s="377"/>
      <c r="O545" s="377"/>
      <c r="P545" s="377"/>
      <c r="Q545" s="377"/>
      <c r="R545" s="377"/>
      <c r="S545" s="377"/>
    </row>
    <row r="546" spans="1:19" x14ac:dyDescent="0.2">
      <c r="A546" s="377"/>
      <c r="B546" s="377"/>
      <c r="C546" s="377"/>
      <c r="D546" s="377"/>
      <c r="E546" s="377"/>
      <c r="F546" s="377"/>
      <c r="G546" s="377"/>
      <c r="H546" s="377"/>
      <c r="I546" s="377"/>
      <c r="J546" s="377"/>
      <c r="K546" s="377"/>
      <c r="L546" s="377"/>
      <c r="M546" s="377"/>
      <c r="N546" s="377"/>
      <c r="O546" s="377"/>
      <c r="P546" s="377"/>
      <c r="Q546" s="377"/>
      <c r="R546" s="377"/>
      <c r="S546" s="377"/>
    </row>
    <row r="547" spans="1:19" x14ac:dyDescent="0.2">
      <c r="A547" s="377"/>
      <c r="B547" s="377"/>
      <c r="C547" s="377"/>
      <c r="D547" s="377"/>
      <c r="E547" s="377"/>
      <c r="F547" s="377"/>
      <c r="G547" s="377"/>
      <c r="H547" s="377"/>
      <c r="I547" s="377"/>
      <c r="J547" s="377"/>
      <c r="K547" s="377"/>
      <c r="L547" s="377"/>
      <c r="M547" s="377"/>
      <c r="N547" s="377"/>
      <c r="O547" s="377"/>
      <c r="P547" s="377"/>
      <c r="Q547" s="377"/>
      <c r="R547" s="377"/>
      <c r="S547" s="377"/>
    </row>
    <row r="548" spans="1:19" x14ac:dyDescent="0.2">
      <c r="A548" s="377"/>
      <c r="B548" s="377"/>
      <c r="C548" s="377"/>
      <c r="D548" s="377"/>
      <c r="E548" s="377"/>
      <c r="F548" s="377"/>
      <c r="G548" s="377"/>
      <c r="H548" s="377"/>
      <c r="I548" s="377"/>
      <c r="J548" s="377"/>
      <c r="K548" s="377"/>
      <c r="L548" s="377"/>
      <c r="M548" s="377"/>
      <c r="N548" s="377"/>
      <c r="O548" s="377"/>
      <c r="P548" s="377"/>
      <c r="Q548" s="377"/>
      <c r="R548" s="377"/>
      <c r="S548" s="377"/>
    </row>
    <row r="549" spans="1:19" x14ac:dyDescent="0.2">
      <c r="A549" s="377"/>
      <c r="B549" s="377"/>
      <c r="C549" s="377"/>
      <c r="D549" s="377"/>
      <c r="E549" s="377"/>
      <c r="F549" s="377"/>
      <c r="G549" s="377"/>
      <c r="H549" s="377"/>
      <c r="I549" s="377"/>
      <c r="J549" s="377"/>
      <c r="K549" s="377"/>
      <c r="L549" s="377"/>
      <c r="M549" s="377"/>
      <c r="N549" s="377"/>
      <c r="O549" s="377"/>
      <c r="P549" s="377"/>
      <c r="Q549" s="377"/>
      <c r="R549" s="377"/>
      <c r="S549" s="377"/>
    </row>
    <row r="550" spans="1:19" x14ac:dyDescent="0.2">
      <c r="A550" s="377"/>
      <c r="B550" s="377"/>
      <c r="C550" s="377"/>
      <c r="D550" s="377"/>
      <c r="E550" s="377"/>
      <c r="F550" s="377"/>
      <c r="G550" s="377"/>
      <c r="H550" s="377"/>
      <c r="I550" s="377"/>
      <c r="J550" s="377"/>
      <c r="K550" s="377"/>
      <c r="L550" s="377"/>
      <c r="M550" s="377"/>
      <c r="N550" s="377"/>
      <c r="O550" s="377"/>
      <c r="P550" s="377"/>
      <c r="Q550" s="377"/>
      <c r="R550" s="377"/>
      <c r="S550" s="377"/>
    </row>
    <row r="551" spans="1:19" x14ac:dyDescent="0.2">
      <c r="A551" s="377"/>
      <c r="B551" s="377"/>
      <c r="C551" s="377"/>
      <c r="D551" s="377"/>
      <c r="E551" s="377"/>
      <c r="F551" s="377"/>
      <c r="G551" s="377"/>
      <c r="H551" s="377"/>
      <c r="I551" s="377"/>
      <c r="J551" s="377"/>
      <c r="K551" s="377"/>
      <c r="L551" s="377"/>
      <c r="M551" s="377"/>
      <c r="N551" s="377"/>
      <c r="O551" s="377"/>
      <c r="P551" s="377"/>
      <c r="Q551" s="377"/>
      <c r="R551" s="377"/>
      <c r="S551" s="377"/>
    </row>
    <row r="552" spans="1:19" x14ac:dyDescent="0.2">
      <c r="A552" s="377"/>
      <c r="B552" s="377"/>
      <c r="C552" s="377"/>
      <c r="D552" s="377"/>
      <c r="E552" s="377"/>
      <c r="F552" s="377"/>
      <c r="G552" s="377"/>
      <c r="H552" s="377"/>
      <c r="I552" s="377"/>
      <c r="J552" s="377"/>
      <c r="K552" s="377"/>
      <c r="L552" s="377"/>
      <c r="M552" s="377"/>
      <c r="N552" s="377"/>
      <c r="O552" s="377"/>
      <c r="P552" s="377"/>
      <c r="Q552" s="377"/>
      <c r="R552" s="377"/>
      <c r="S552" s="377"/>
    </row>
    <row r="553" spans="1:19" x14ac:dyDescent="0.2">
      <c r="A553" s="377"/>
      <c r="B553" s="377"/>
      <c r="C553" s="377"/>
      <c r="D553" s="377"/>
      <c r="E553" s="377"/>
      <c r="F553" s="377"/>
      <c r="G553" s="377"/>
      <c r="H553" s="377"/>
      <c r="I553" s="377"/>
      <c r="J553" s="377"/>
      <c r="K553" s="377"/>
      <c r="L553" s="377"/>
      <c r="M553" s="377"/>
      <c r="N553" s="377"/>
      <c r="O553" s="377"/>
      <c r="P553" s="377"/>
      <c r="Q553" s="377"/>
      <c r="R553" s="377"/>
      <c r="S553" s="377"/>
    </row>
    <row r="554" spans="1:19" x14ac:dyDescent="0.2">
      <c r="A554" s="377"/>
      <c r="B554" s="377"/>
      <c r="C554" s="377"/>
      <c r="D554" s="377"/>
      <c r="E554" s="377"/>
      <c r="F554" s="377"/>
      <c r="G554" s="377"/>
      <c r="H554" s="377"/>
      <c r="I554" s="377"/>
      <c r="J554" s="377"/>
      <c r="K554" s="377"/>
      <c r="L554" s="377"/>
      <c r="M554" s="377"/>
      <c r="N554" s="377"/>
      <c r="O554" s="377"/>
      <c r="P554" s="377"/>
      <c r="Q554" s="377"/>
      <c r="R554" s="377"/>
      <c r="S554" s="377"/>
    </row>
    <row r="555" spans="1:19" x14ac:dyDescent="0.2">
      <c r="A555" s="377"/>
      <c r="B555" s="377"/>
      <c r="C555" s="377"/>
      <c r="D555" s="377"/>
      <c r="E555" s="377"/>
      <c r="F555" s="377"/>
      <c r="G555" s="377"/>
      <c r="H555" s="377"/>
      <c r="I555" s="377"/>
      <c r="J555" s="377"/>
      <c r="K555" s="377"/>
      <c r="L555" s="377"/>
      <c r="M555" s="377"/>
      <c r="N555" s="377"/>
      <c r="O555" s="377"/>
      <c r="P555" s="377"/>
      <c r="Q555" s="377"/>
      <c r="R555" s="377"/>
      <c r="S555" s="377"/>
    </row>
    <row r="556" spans="1:19" x14ac:dyDescent="0.2">
      <c r="A556" s="377"/>
      <c r="B556" s="377"/>
      <c r="C556" s="377"/>
      <c r="D556" s="377"/>
      <c r="E556" s="377"/>
      <c r="F556" s="377"/>
      <c r="G556" s="377"/>
      <c r="H556" s="377"/>
      <c r="I556" s="377"/>
      <c r="J556" s="377"/>
      <c r="K556" s="377"/>
      <c r="L556" s="377"/>
      <c r="M556" s="377"/>
      <c r="N556" s="377"/>
      <c r="O556" s="377"/>
      <c r="P556" s="377"/>
      <c r="Q556" s="377"/>
      <c r="R556" s="377"/>
      <c r="S556" s="377"/>
    </row>
    <row r="557" spans="1:19" x14ac:dyDescent="0.2">
      <c r="A557" s="377"/>
      <c r="B557" s="377"/>
      <c r="C557" s="377"/>
      <c r="D557" s="377"/>
      <c r="E557" s="377"/>
      <c r="F557" s="377"/>
      <c r="G557" s="377"/>
      <c r="H557" s="377"/>
      <c r="I557" s="377"/>
      <c r="J557" s="377"/>
      <c r="K557" s="377"/>
      <c r="L557" s="377"/>
      <c r="M557" s="377"/>
      <c r="N557" s="377"/>
      <c r="O557" s="377"/>
      <c r="P557" s="377"/>
      <c r="Q557" s="377"/>
      <c r="R557" s="377"/>
      <c r="S557" s="377"/>
    </row>
    <row r="558" spans="1:19" x14ac:dyDescent="0.2">
      <c r="A558" s="377"/>
      <c r="B558" s="377"/>
      <c r="C558" s="377"/>
      <c r="D558" s="377"/>
      <c r="E558" s="377"/>
      <c r="F558" s="377"/>
      <c r="G558" s="377"/>
      <c r="H558" s="377"/>
      <c r="I558" s="377"/>
      <c r="J558" s="377"/>
      <c r="K558" s="377"/>
      <c r="L558" s="377"/>
      <c r="M558" s="377"/>
      <c r="N558" s="377"/>
      <c r="O558" s="377"/>
      <c r="P558" s="377"/>
      <c r="Q558" s="377"/>
      <c r="R558" s="377"/>
      <c r="S558" s="377"/>
    </row>
    <row r="559" spans="1:19" x14ac:dyDescent="0.2">
      <c r="A559" s="377"/>
      <c r="B559" s="377"/>
      <c r="C559" s="377"/>
      <c r="D559" s="377"/>
      <c r="E559" s="377"/>
      <c r="F559" s="377"/>
      <c r="G559" s="377"/>
      <c r="H559" s="377"/>
      <c r="I559" s="377"/>
      <c r="J559" s="377"/>
      <c r="K559" s="377"/>
      <c r="L559" s="377"/>
      <c r="M559" s="377"/>
      <c r="N559" s="377"/>
      <c r="O559" s="377"/>
      <c r="P559" s="377"/>
      <c r="Q559" s="377"/>
      <c r="R559" s="377"/>
      <c r="S559" s="377"/>
    </row>
    <row r="560" spans="1:19" x14ac:dyDescent="0.2">
      <c r="A560" s="377"/>
      <c r="B560" s="377"/>
      <c r="C560" s="377"/>
      <c r="D560" s="377"/>
      <c r="E560" s="377"/>
      <c r="F560" s="377"/>
      <c r="G560" s="377"/>
      <c r="H560" s="377"/>
      <c r="I560" s="377"/>
      <c r="J560" s="377"/>
      <c r="K560" s="377"/>
      <c r="L560" s="377"/>
      <c r="M560" s="377"/>
      <c r="N560" s="377"/>
      <c r="O560" s="377"/>
      <c r="P560" s="377"/>
      <c r="Q560" s="377"/>
      <c r="R560" s="377"/>
      <c r="S560" s="377"/>
    </row>
    <row r="561" spans="1:19" x14ac:dyDescent="0.2">
      <c r="A561" s="377"/>
      <c r="B561" s="377"/>
      <c r="C561" s="377"/>
      <c r="D561" s="377"/>
      <c r="E561" s="377"/>
      <c r="F561" s="377"/>
      <c r="G561" s="377"/>
      <c r="H561" s="377"/>
      <c r="I561" s="377"/>
      <c r="J561" s="377"/>
      <c r="K561" s="377"/>
      <c r="L561" s="377"/>
      <c r="M561" s="377"/>
      <c r="N561" s="377"/>
      <c r="O561" s="377"/>
      <c r="P561" s="377"/>
      <c r="Q561" s="377"/>
      <c r="R561" s="377"/>
      <c r="S561" s="377"/>
    </row>
    <row r="562" spans="1:19" x14ac:dyDescent="0.2">
      <c r="A562" s="377"/>
      <c r="B562" s="377"/>
      <c r="C562" s="377"/>
      <c r="D562" s="377"/>
      <c r="E562" s="377"/>
      <c r="F562" s="377"/>
      <c r="G562" s="377"/>
      <c r="H562" s="377"/>
      <c r="I562" s="377"/>
      <c r="J562" s="377"/>
      <c r="K562" s="377"/>
      <c r="L562" s="377"/>
      <c r="M562" s="377"/>
      <c r="N562" s="377"/>
      <c r="O562" s="377"/>
      <c r="P562" s="377"/>
      <c r="Q562" s="377"/>
      <c r="R562" s="377"/>
      <c r="S562" s="377"/>
    </row>
    <row r="563" spans="1:19" x14ac:dyDescent="0.2">
      <c r="A563" s="377"/>
      <c r="B563" s="377"/>
      <c r="C563" s="377"/>
      <c r="D563" s="377"/>
      <c r="E563" s="377"/>
      <c r="F563" s="377"/>
      <c r="G563" s="377"/>
      <c r="H563" s="377"/>
      <c r="I563" s="377"/>
      <c r="J563" s="377"/>
      <c r="K563" s="377"/>
      <c r="L563" s="377"/>
      <c r="M563" s="377"/>
      <c r="N563" s="377"/>
      <c r="O563" s="377"/>
      <c r="P563" s="377"/>
      <c r="Q563" s="377"/>
      <c r="R563" s="377"/>
      <c r="S563" s="377"/>
    </row>
    <row r="564" spans="1:19" x14ac:dyDescent="0.2">
      <c r="A564" s="377"/>
      <c r="B564" s="377"/>
      <c r="C564" s="377"/>
      <c r="D564" s="377"/>
      <c r="E564" s="377"/>
      <c r="F564" s="377"/>
      <c r="G564" s="377"/>
      <c r="H564" s="377"/>
      <c r="I564" s="377"/>
      <c r="J564" s="377"/>
      <c r="K564" s="377"/>
      <c r="L564" s="377"/>
      <c r="M564" s="377"/>
      <c r="N564" s="377"/>
      <c r="O564" s="377"/>
      <c r="P564" s="377"/>
      <c r="Q564" s="377"/>
      <c r="R564" s="377"/>
      <c r="S564" s="377"/>
    </row>
    <row r="565" spans="1:19" x14ac:dyDescent="0.2">
      <c r="A565" s="377"/>
      <c r="B565" s="377"/>
      <c r="C565" s="377"/>
      <c r="D565" s="377"/>
      <c r="E565" s="377"/>
      <c r="F565" s="377"/>
      <c r="G565" s="377"/>
      <c r="H565" s="377"/>
      <c r="I565" s="377"/>
      <c r="J565" s="377"/>
      <c r="K565" s="377"/>
      <c r="L565" s="377"/>
      <c r="M565" s="377"/>
      <c r="N565" s="377"/>
      <c r="O565" s="377"/>
      <c r="P565" s="377"/>
      <c r="Q565" s="377"/>
      <c r="R565" s="377"/>
      <c r="S565" s="377"/>
    </row>
    <row r="566" spans="1:19" x14ac:dyDescent="0.2">
      <c r="A566" s="377"/>
      <c r="B566" s="377"/>
      <c r="C566" s="377"/>
      <c r="D566" s="377"/>
      <c r="E566" s="377"/>
      <c r="F566" s="377"/>
      <c r="G566" s="377"/>
      <c r="H566" s="377"/>
      <c r="I566" s="377"/>
      <c r="J566" s="377"/>
      <c r="K566" s="377"/>
      <c r="L566" s="377"/>
      <c r="M566" s="377"/>
      <c r="N566" s="377"/>
      <c r="O566" s="377"/>
      <c r="P566" s="377"/>
      <c r="Q566" s="377"/>
      <c r="R566" s="377"/>
      <c r="S566" s="377"/>
    </row>
    <row r="567" spans="1:19" x14ac:dyDescent="0.2">
      <c r="A567" s="377"/>
      <c r="B567" s="377"/>
      <c r="C567" s="377"/>
      <c r="D567" s="377"/>
      <c r="E567" s="377"/>
      <c r="F567" s="377"/>
      <c r="G567" s="377"/>
      <c r="H567" s="377"/>
      <c r="I567" s="377"/>
      <c r="J567" s="377"/>
      <c r="K567" s="377"/>
      <c r="L567" s="377"/>
      <c r="M567" s="377"/>
      <c r="N567" s="377"/>
      <c r="O567" s="377"/>
      <c r="P567" s="377"/>
      <c r="Q567" s="377"/>
      <c r="R567" s="377"/>
      <c r="S567" s="377"/>
    </row>
    <row r="568" spans="1:19" x14ac:dyDescent="0.2">
      <c r="A568" s="377"/>
      <c r="B568" s="377"/>
      <c r="C568" s="377"/>
      <c r="D568" s="377"/>
      <c r="E568" s="377"/>
      <c r="F568" s="377"/>
      <c r="G568" s="377"/>
      <c r="H568" s="377"/>
      <c r="I568" s="377"/>
      <c r="J568" s="377"/>
      <c r="K568" s="377"/>
      <c r="L568" s="377"/>
      <c r="M568" s="377"/>
      <c r="N568" s="377"/>
      <c r="O568" s="377"/>
      <c r="P568" s="377"/>
      <c r="Q568" s="377"/>
      <c r="R568" s="377"/>
      <c r="S568" s="377"/>
    </row>
    <row r="569" spans="1:19" x14ac:dyDescent="0.2">
      <c r="A569" s="377"/>
      <c r="B569" s="377"/>
      <c r="C569" s="377"/>
      <c r="D569" s="377"/>
      <c r="E569" s="377"/>
      <c r="F569" s="377"/>
      <c r="G569" s="377"/>
      <c r="H569" s="377"/>
      <c r="I569" s="377"/>
      <c r="J569" s="377"/>
      <c r="K569" s="377"/>
      <c r="L569" s="377"/>
      <c r="M569" s="377"/>
      <c r="N569" s="377"/>
      <c r="O569" s="377"/>
      <c r="P569" s="377"/>
      <c r="Q569" s="377"/>
      <c r="R569" s="377"/>
      <c r="S569" s="377"/>
    </row>
    <row r="570" spans="1:19" x14ac:dyDescent="0.2">
      <c r="A570" s="377"/>
      <c r="B570" s="377"/>
      <c r="C570" s="377"/>
      <c r="D570" s="377"/>
      <c r="E570" s="377"/>
      <c r="F570" s="377"/>
      <c r="G570" s="377"/>
      <c r="H570" s="377"/>
      <c r="I570" s="377"/>
      <c r="J570" s="377"/>
      <c r="K570" s="377"/>
      <c r="L570" s="377"/>
      <c r="M570" s="377"/>
      <c r="N570" s="377"/>
      <c r="O570" s="377"/>
      <c r="P570" s="377"/>
      <c r="Q570" s="377"/>
      <c r="R570" s="377"/>
      <c r="S570" s="377"/>
    </row>
    <row r="571" spans="1:19" x14ac:dyDescent="0.2">
      <c r="A571" s="377"/>
      <c r="B571" s="377"/>
      <c r="C571" s="377"/>
      <c r="D571" s="377"/>
      <c r="E571" s="377"/>
      <c r="F571" s="377"/>
      <c r="G571" s="377"/>
      <c r="H571" s="377"/>
      <c r="I571" s="377"/>
      <c r="J571" s="377"/>
      <c r="K571" s="377"/>
      <c r="L571" s="377"/>
      <c r="M571" s="377"/>
      <c r="N571" s="377"/>
      <c r="O571" s="377"/>
      <c r="P571" s="377"/>
      <c r="Q571" s="377"/>
      <c r="R571" s="377"/>
      <c r="S571" s="377"/>
    </row>
    <row r="572" spans="1:19" x14ac:dyDescent="0.2">
      <c r="A572" s="377"/>
      <c r="B572" s="377"/>
      <c r="C572" s="377"/>
      <c r="D572" s="377"/>
      <c r="E572" s="377"/>
      <c r="F572" s="377"/>
      <c r="G572" s="377"/>
      <c r="H572" s="377"/>
      <c r="I572" s="377"/>
      <c r="J572" s="377"/>
      <c r="K572" s="377"/>
      <c r="L572" s="377"/>
      <c r="M572" s="377"/>
      <c r="N572" s="377"/>
      <c r="O572" s="377"/>
      <c r="P572" s="377"/>
      <c r="Q572" s="377"/>
      <c r="R572" s="377"/>
      <c r="S572" s="377"/>
    </row>
    <row r="573" spans="1:19" x14ac:dyDescent="0.2">
      <c r="A573" s="377"/>
      <c r="B573" s="377"/>
      <c r="C573" s="377"/>
      <c r="D573" s="377"/>
      <c r="E573" s="377"/>
      <c r="F573" s="377"/>
      <c r="G573" s="377"/>
      <c r="H573" s="377"/>
      <c r="I573" s="377"/>
      <c r="J573" s="377"/>
      <c r="K573" s="377"/>
      <c r="L573" s="377"/>
      <c r="M573" s="377"/>
      <c r="N573" s="377"/>
      <c r="O573" s="377"/>
      <c r="P573" s="377"/>
      <c r="Q573" s="377"/>
      <c r="R573" s="377"/>
      <c r="S573" s="377"/>
    </row>
    <row r="574" spans="1:19" x14ac:dyDescent="0.2">
      <c r="A574" s="377"/>
      <c r="B574" s="377"/>
      <c r="C574" s="377"/>
      <c r="D574" s="377"/>
      <c r="E574" s="377"/>
      <c r="F574" s="377"/>
      <c r="G574" s="377"/>
      <c r="H574" s="377"/>
      <c r="I574" s="377"/>
      <c r="J574" s="377"/>
      <c r="K574" s="377"/>
      <c r="L574" s="377"/>
      <c r="M574" s="377"/>
      <c r="N574" s="377"/>
      <c r="O574" s="377"/>
      <c r="P574" s="377"/>
      <c r="Q574" s="377"/>
      <c r="R574" s="377"/>
      <c r="S574" s="377"/>
    </row>
    <row r="575" spans="1:19" x14ac:dyDescent="0.2">
      <c r="A575" s="377"/>
      <c r="B575" s="377"/>
      <c r="C575" s="377"/>
      <c r="D575" s="377"/>
      <c r="E575" s="377"/>
      <c r="F575" s="377"/>
      <c r="G575" s="377"/>
      <c r="H575" s="377"/>
      <c r="I575" s="377"/>
      <c r="J575" s="377"/>
      <c r="K575" s="377"/>
      <c r="L575" s="377"/>
      <c r="M575" s="377"/>
      <c r="N575" s="377"/>
      <c r="O575" s="377"/>
      <c r="P575" s="377"/>
      <c r="Q575" s="377"/>
      <c r="R575" s="377"/>
      <c r="S575" s="377"/>
    </row>
    <row r="576" spans="1:19" x14ac:dyDescent="0.2">
      <c r="A576" s="377"/>
      <c r="B576" s="377"/>
      <c r="C576" s="377"/>
      <c r="D576" s="377"/>
      <c r="E576" s="377"/>
      <c r="F576" s="377"/>
      <c r="G576" s="377"/>
      <c r="H576" s="377"/>
      <c r="I576" s="377"/>
      <c r="J576" s="377"/>
      <c r="K576" s="377"/>
      <c r="L576" s="377"/>
      <c r="M576" s="377"/>
      <c r="N576" s="377"/>
      <c r="O576" s="377"/>
      <c r="P576" s="377"/>
      <c r="Q576" s="377"/>
      <c r="R576" s="377"/>
      <c r="S576" s="377"/>
    </row>
    <row r="577" spans="1:19" x14ac:dyDescent="0.2">
      <c r="A577" s="377"/>
      <c r="B577" s="377"/>
      <c r="C577" s="377"/>
      <c r="D577" s="377"/>
      <c r="E577" s="377"/>
      <c r="F577" s="377"/>
      <c r="G577" s="377"/>
      <c r="H577" s="377"/>
      <c r="I577" s="377"/>
      <c r="J577" s="377"/>
      <c r="K577" s="377"/>
      <c r="L577" s="377"/>
      <c r="M577" s="377"/>
      <c r="N577" s="377"/>
      <c r="O577" s="377"/>
      <c r="P577" s="377"/>
      <c r="Q577" s="377"/>
      <c r="R577" s="377"/>
      <c r="S577" s="377"/>
    </row>
    <row r="578" spans="1:19" x14ac:dyDescent="0.2">
      <c r="A578" s="377"/>
      <c r="B578" s="377"/>
      <c r="C578" s="377"/>
      <c r="D578" s="377"/>
      <c r="E578" s="377"/>
      <c r="F578" s="377"/>
      <c r="G578" s="377"/>
      <c r="H578" s="377"/>
      <c r="I578" s="377"/>
      <c r="J578" s="377"/>
      <c r="K578" s="377"/>
      <c r="L578" s="377"/>
      <c r="M578" s="377"/>
      <c r="N578" s="377"/>
      <c r="O578" s="377"/>
      <c r="P578" s="377"/>
      <c r="Q578" s="377"/>
      <c r="R578" s="377"/>
      <c r="S578" s="377"/>
    </row>
    <row r="579" spans="1:19" x14ac:dyDescent="0.2">
      <c r="A579" s="377"/>
      <c r="B579" s="377"/>
      <c r="C579" s="377"/>
      <c r="D579" s="377"/>
      <c r="E579" s="377"/>
      <c r="F579" s="377"/>
      <c r="G579" s="377"/>
      <c r="H579" s="377"/>
      <c r="I579" s="377"/>
      <c r="J579" s="377"/>
      <c r="K579" s="377"/>
      <c r="L579" s="377"/>
      <c r="M579" s="377"/>
      <c r="N579" s="377"/>
      <c r="O579" s="377"/>
      <c r="P579" s="377"/>
      <c r="Q579" s="377"/>
      <c r="R579" s="377"/>
      <c r="S579" s="377"/>
    </row>
    <row r="580" spans="1:19" x14ac:dyDescent="0.2">
      <c r="A580" s="377"/>
      <c r="B580" s="377"/>
      <c r="C580" s="377"/>
      <c r="D580" s="377"/>
      <c r="E580" s="377"/>
      <c r="F580" s="377"/>
      <c r="G580" s="377"/>
      <c r="H580" s="377"/>
      <c r="I580" s="377"/>
      <c r="J580" s="377"/>
      <c r="K580" s="377"/>
      <c r="L580" s="377"/>
      <c r="M580" s="377"/>
      <c r="N580" s="377"/>
      <c r="O580" s="377"/>
      <c r="P580" s="377"/>
      <c r="Q580" s="377"/>
      <c r="R580" s="377"/>
      <c r="S580" s="377"/>
    </row>
    <row r="581" spans="1:19" x14ac:dyDescent="0.2">
      <c r="A581" s="377"/>
      <c r="B581" s="377"/>
      <c r="C581" s="377"/>
      <c r="D581" s="377"/>
      <c r="E581" s="377"/>
      <c r="F581" s="377"/>
      <c r="G581" s="377"/>
      <c r="H581" s="377"/>
      <c r="I581" s="377"/>
      <c r="J581" s="377"/>
      <c r="K581" s="377"/>
      <c r="L581" s="377"/>
      <c r="M581" s="377"/>
      <c r="N581" s="377"/>
      <c r="O581" s="377"/>
      <c r="P581" s="377"/>
      <c r="Q581" s="377"/>
      <c r="R581" s="377"/>
      <c r="S581" s="377"/>
    </row>
    <row r="582" spans="1:19" x14ac:dyDescent="0.2">
      <c r="A582" s="377"/>
      <c r="B582" s="377"/>
      <c r="C582" s="377"/>
      <c r="D582" s="377"/>
      <c r="E582" s="377"/>
      <c r="F582" s="377"/>
      <c r="G582" s="377"/>
      <c r="H582" s="377"/>
      <c r="I582" s="377"/>
      <c r="J582" s="377"/>
      <c r="K582" s="377"/>
      <c r="L582" s="377"/>
      <c r="M582" s="377"/>
      <c r="N582" s="377"/>
      <c r="O582" s="377"/>
      <c r="P582" s="377"/>
      <c r="Q582" s="377"/>
      <c r="R582" s="377"/>
      <c r="S582" s="377"/>
    </row>
    <row r="583" spans="1:19" x14ac:dyDescent="0.2">
      <c r="A583" s="377"/>
      <c r="B583" s="377"/>
      <c r="C583" s="377"/>
      <c r="D583" s="377"/>
      <c r="E583" s="377"/>
      <c r="F583" s="377"/>
      <c r="G583" s="377"/>
      <c r="H583" s="377"/>
      <c r="I583" s="377"/>
      <c r="J583" s="377"/>
      <c r="K583" s="377"/>
      <c r="L583" s="377"/>
      <c r="M583" s="377"/>
      <c r="N583" s="377"/>
      <c r="O583" s="377"/>
      <c r="P583" s="377"/>
      <c r="Q583" s="377"/>
      <c r="R583" s="377"/>
      <c r="S583" s="377"/>
    </row>
    <row r="584" spans="1:19" x14ac:dyDescent="0.2">
      <c r="A584" s="377"/>
      <c r="B584" s="377"/>
      <c r="C584" s="377"/>
      <c r="D584" s="377"/>
      <c r="E584" s="377"/>
      <c r="F584" s="377"/>
      <c r="G584" s="377"/>
      <c r="H584" s="377"/>
      <c r="I584" s="377"/>
      <c r="J584" s="377"/>
      <c r="K584" s="377"/>
      <c r="L584" s="377"/>
      <c r="M584" s="377"/>
      <c r="N584" s="377"/>
      <c r="O584" s="377"/>
      <c r="P584" s="377"/>
      <c r="Q584" s="377"/>
      <c r="R584" s="377"/>
      <c r="S584" s="377"/>
    </row>
    <row r="585" spans="1:19" x14ac:dyDescent="0.2">
      <c r="A585" s="377"/>
      <c r="B585" s="377"/>
      <c r="C585" s="377"/>
      <c r="D585" s="377"/>
      <c r="E585" s="377"/>
      <c r="F585" s="377"/>
      <c r="G585" s="377"/>
      <c r="H585" s="377"/>
      <c r="I585" s="377"/>
      <c r="J585" s="377"/>
      <c r="K585" s="377"/>
      <c r="L585" s="377"/>
      <c r="M585" s="377"/>
      <c r="N585" s="377"/>
      <c r="O585" s="377"/>
      <c r="P585" s="377"/>
      <c r="Q585" s="377"/>
      <c r="R585" s="377"/>
      <c r="S585" s="377"/>
    </row>
    <row r="586" spans="1:19" x14ac:dyDescent="0.2">
      <c r="A586" s="377"/>
      <c r="B586" s="377"/>
      <c r="C586" s="377"/>
      <c r="D586" s="377"/>
      <c r="E586" s="377"/>
      <c r="F586" s="377"/>
      <c r="G586" s="377"/>
      <c r="H586" s="377"/>
      <c r="I586" s="377"/>
      <c r="J586" s="377"/>
      <c r="K586" s="377"/>
      <c r="L586" s="377"/>
      <c r="M586" s="377"/>
      <c r="N586" s="377"/>
      <c r="O586" s="377"/>
      <c r="P586" s="377"/>
      <c r="Q586" s="377"/>
      <c r="R586" s="377"/>
      <c r="S586" s="377"/>
    </row>
    <row r="587" spans="1:19" x14ac:dyDescent="0.2">
      <c r="A587" s="377"/>
      <c r="B587" s="377"/>
      <c r="C587" s="377"/>
      <c r="D587" s="377"/>
      <c r="E587" s="377"/>
      <c r="F587" s="377"/>
      <c r="G587" s="377"/>
      <c r="H587" s="377"/>
      <c r="I587" s="377"/>
      <c r="J587" s="377"/>
      <c r="K587" s="377"/>
      <c r="L587" s="377"/>
      <c r="M587" s="377"/>
      <c r="N587" s="377"/>
      <c r="O587" s="377"/>
      <c r="P587" s="377"/>
      <c r="Q587" s="377"/>
      <c r="R587" s="377"/>
      <c r="S587" s="377"/>
    </row>
    <row r="588" spans="1:19" x14ac:dyDescent="0.2">
      <c r="A588" s="377"/>
      <c r="B588" s="377"/>
      <c r="C588" s="377"/>
      <c r="D588" s="377"/>
      <c r="E588" s="377"/>
      <c r="F588" s="377"/>
      <c r="G588" s="377"/>
      <c r="H588" s="377"/>
      <c r="I588" s="377"/>
      <c r="J588" s="377"/>
      <c r="K588" s="377"/>
      <c r="L588" s="377"/>
      <c r="M588" s="377"/>
      <c r="N588" s="377"/>
      <c r="O588" s="377"/>
      <c r="P588" s="377"/>
      <c r="Q588" s="377"/>
      <c r="R588" s="377"/>
      <c r="S588" s="377"/>
    </row>
    <row r="589" spans="1:19" x14ac:dyDescent="0.2">
      <c r="A589" s="377"/>
      <c r="B589" s="377"/>
      <c r="C589" s="377"/>
      <c r="D589" s="377"/>
      <c r="E589" s="377"/>
      <c r="F589" s="377"/>
      <c r="G589" s="377"/>
      <c r="H589" s="377"/>
      <c r="I589" s="377"/>
      <c r="J589" s="377"/>
      <c r="K589" s="377"/>
      <c r="L589" s="377"/>
      <c r="M589" s="377"/>
      <c r="N589" s="377"/>
      <c r="O589" s="377"/>
      <c r="P589" s="377"/>
      <c r="Q589" s="377"/>
      <c r="R589" s="377"/>
      <c r="S589" s="377"/>
    </row>
    <row r="590" spans="1:19" x14ac:dyDescent="0.2">
      <c r="A590" s="377"/>
      <c r="B590" s="377"/>
      <c r="C590" s="377"/>
      <c r="D590" s="377"/>
      <c r="E590" s="377"/>
      <c r="F590" s="377"/>
      <c r="G590" s="377"/>
      <c r="H590" s="377"/>
      <c r="I590" s="377"/>
      <c r="J590" s="377"/>
      <c r="K590" s="377"/>
      <c r="L590" s="377"/>
      <c r="M590" s="377"/>
      <c r="N590" s="377"/>
      <c r="O590" s="377"/>
      <c r="P590" s="377"/>
      <c r="Q590" s="377"/>
      <c r="R590" s="377"/>
      <c r="S590" s="377"/>
    </row>
    <row r="591" spans="1:19" x14ac:dyDescent="0.2">
      <c r="A591" s="377"/>
      <c r="B591" s="377"/>
      <c r="C591" s="377"/>
      <c r="D591" s="377"/>
      <c r="E591" s="377"/>
      <c r="F591" s="377"/>
      <c r="G591" s="377"/>
      <c r="H591" s="377"/>
      <c r="I591" s="377"/>
      <c r="J591" s="377"/>
      <c r="K591" s="377"/>
      <c r="L591" s="377"/>
      <c r="M591" s="377"/>
      <c r="N591" s="377"/>
      <c r="O591" s="377"/>
      <c r="P591" s="377"/>
      <c r="Q591" s="377"/>
      <c r="R591" s="377"/>
      <c r="S591" s="377"/>
    </row>
    <row r="592" spans="1:19" x14ac:dyDescent="0.2">
      <c r="A592" s="377"/>
      <c r="B592" s="377"/>
      <c r="C592" s="377"/>
      <c r="D592" s="377"/>
      <c r="E592" s="377"/>
      <c r="F592" s="377"/>
      <c r="G592" s="377"/>
      <c r="H592" s="377"/>
      <c r="I592" s="377"/>
      <c r="J592" s="377"/>
      <c r="K592" s="377"/>
      <c r="L592" s="377"/>
      <c r="M592" s="377"/>
      <c r="N592" s="377"/>
      <c r="O592" s="377"/>
      <c r="P592" s="377"/>
      <c r="Q592" s="377"/>
      <c r="R592" s="377"/>
      <c r="S592" s="377"/>
    </row>
    <row r="593" spans="1:19" x14ac:dyDescent="0.2">
      <c r="A593" s="377"/>
      <c r="B593" s="377"/>
      <c r="C593" s="377"/>
      <c r="D593" s="377"/>
      <c r="E593" s="377"/>
      <c r="F593" s="377"/>
      <c r="G593" s="377"/>
      <c r="H593" s="377"/>
      <c r="I593" s="377"/>
      <c r="J593" s="377"/>
      <c r="K593" s="377"/>
      <c r="L593" s="377"/>
      <c r="M593" s="377"/>
      <c r="N593" s="377"/>
      <c r="O593" s="377"/>
      <c r="P593" s="377"/>
      <c r="Q593" s="377"/>
      <c r="R593" s="377"/>
      <c r="S593" s="377"/>
    </row>
    <row r="594" spans="1:19" x14ac:dyDescent="0.2">
      <c r="A594" s="377"/>
      <c r="B594" s="377"/>
      <c r="C594" s="377"/>
      <c r="D594" s="377"/>
      <c r="E594" s="377"/>
      <c r="F594" s="377"/>
      <c r="G594" s="377"/>
      <c r="H594" s="377"/>
      <c r="I594" s="377"/>
      <c r="J594" s="377"/>
      <c r="K594" s="377"/>
      <c r="L594" s="377"/>
      <c r="M594" s="377"/>
      <c r="N594" s="377"/>
      <c r="O594" s="377"/>
      <c r="P594" s="377"/>
      <c r="Q594" s="377"/>
      <c r="R594" s="377"/>
      <c r="S594" s="377"/>
    </row>
    <row r="595" spans="1:19" x14ac:dyDescent="0.2">
      <c r="A595" s="377"/>
      <c r="B595" s="377"/>
      <c r="C595" s="377"/>
      <c r="D595" s="377"/>
      <c r="E595" s="377"/>
      <c r="F595" s="377"/>
      <c r="G595" s="377"/>
      <c r="H595" s="377"/>
      <c r="I595" s="377"/>
      <c r="J595" s="377"/>
      <c r="K595" s="377"/>
      <c r="L595" s="377"/>
      <c r="M595" s="377"/>
      <c r="N595" s="377"/>
      <c r="O595" s="377"/>
      <c r="P595" s="377"/>
      <c r="Q595" s="377"/>
      <c r="R595" s="377"/>
      <c r="S595" s="377"/>
    </row>
    <row r="596" spans="1:19" x14ac:dyDescent="0.2">
      <c r="A596" s="377"/>
      <c r="B596" s="377"/>
      <c r="C596" s="377"/>
      <c r="D596" s="377"/>
      <c r="E596" s="377"/>
      <c r="F596" s="377"/>
      <c r="G596" s="377"/>
      <c r="H596" s="377"/>
      <c r="I596" s="377"/>
      <c r="J596" s="377"/>
      <c r="K596" s="377"/>
      <c r="L596" s="377"/>
      <c r="M596" s="377"/>
      <c r="N596" s="377"/>
      <c r="O596" s="377"/>
      <c r="P596" s="377"/>
      <c r="Q596" s="377"/>
      <c r="R596" s="377"/>
      <c r="S596" s="377"/>
    </row>
    <row r="597" spans="1:19" x14ac:dyDescent="0.2">
      <c r="A597" s="377"/>
      <c r="B597" s="377"/>
      <c r="C597" s="377"/>
      <c r="D597" s="377"/>
      <c r="E597" s="377"/>
      <c r="F597" s="377"/>
      <c r="G597" s="377"/>
      <c r="H597" s="377"/>
      <c r="I597" s="377"/>
      <c r="J597" s="377"/>
      <c r="K597" s="377"/>
      <c r="L597" s="377"/>
      <c r="M597" s="377"/>
      <c r="N597" s="377"/>
      <c r="O597" s="377"/>
      <c r="P597" s="377"/>
      <c r="Q597" s="377"/>
      <c r="R597" s="377"/>
      <c r="S597" s="377"/>
    </row>
    <row r="598" spans="1:19" x14ac:dyDescent="0.2">
      <c r="A598" s="377"/>
      <c r="B598" s="377"/>
      <c r="C598" s="377"/>
      <c r="D598" s="377"/>
      <c r="E598" s="377"/>
      <c r="F598" s="377"/>
      <c r="G598" s="377"/>
      <c r="H598" s="377"/>
      <c r="I598" s="377"/>
      <c r="J598" s="377"/>
      <c r="K598" s="377"/>
      <c r="L598" s="377"/>
      <c r="M598" s="377"/>
      <c r="N598" s="377"/>
      <c r="O598" s="377"/>
      <c r="P598" s="377"/>
      <c r="Q598" s="377"/>
      <c r="R598" s="377"/>
      <c r="S598" s="377"/>
    </row>
    <row r="599" spans="1:19" x14ac:dyDescent="0.2">
      <c r="A599" s="377"/>
      <c r="B599" s="377"/>
      <c r="C599" s="377"/>
      <c r="D599" s="377"/>
      <c r="E599" s="377"/>
      <c r="F599" s="377"/>
      <c r="G599" s="377"/>
      <c r="H599" s="377"/>
      <c r="I599" s="377"/>
      <c r="J599" s="377"/>
      <c r="K599" s="377"/>
      <c r="L599" s="377"/>
      <c r="M599" s="377"/>
      <c r="N599" s="377"/>
      <c r="O599" s="377"/>
      <c r="P599" s="377"/>
      <c r="Q599" s="377"/>
      <c r="R599" s="377"/>
      <c r="S599" s="377"/>
    </row>
    <row r="600" spans="1:19" x14ac:dyDescent="0.2">
      <c r="A600" s="377"/>
      <c r="B600" s="377"/>
      <c r="C600" s="377"/>
      <c r="D600" s="377"/>
      <c r="E600" s="377"/>
      <c r="F600" s="377"/>
      <c r="G600" s="377"/>
      <c r="H600" s="377"/>
      <c r="I600" s="377"/>
      <c r="J600" s="377"/>
      <c r="K600" s="377"/>
      <c r="L600" s="377"/>
      <c r="M600" s="377"/>
      <c r="N600" s="377"/>
      <c r="O600" s="377"/>
      <c r="P600" s="377"/>
      <c r="Q600" s="377"/>
      <c r="R600" s="377"/>
      <c r="S600" s="377"/>
    </row>
    <row r="601" spans="1:19" x14ac:dyDescent="0.2">
      <c r="A601" s="377"/>
      <c r="B601" s="377"/>
      <c r="C601" s="377"/>
      <c r="D601" s="377"/>
      <c r="E601" s="377"/>
      <c r="F601" s="377"/>
      <c r="G601" s="377"/>
      <c r="H601" s="377"/>
      <c r="I601" s="377"/>
      <c r="J601" s="377"/>
      <c r="K601" s="377"/>
      <c r="L601" s="377"/>
      <c r="M601" s="377"/>
      <c r="N601" s="377"/>
      <c r="O601" s="377"/>
      <c r="P601" s="377"/>
      <c r="Q601" s="377"/>
      <c r="R601" s="377"/>
      <c r="S601" s="377"/>
    </row>
    <row r="602" spans="1:19" x14ac:dyDescent="0.2">
      <c r="A602" s="377"/>
      <c r="B602" s="377"/>
      <c r="C602" s="377"/>
      <c r="D602" s="377"/>
      <c r="E602" s="377"/>
      <c r="F602" s="377"/>
      <c r="G602" s="377"/>
      <c r="H602" s="377"/>
      <c r="I602" s="377"/>
      <c r="J602" s="377"/>
      <c r="K602" s="377"/>
      <c r="L602" s="377"/>
      <c r="M602" s="377"/>
      <c r="N602" s="377"/>
      <c r="O602" s="377"/>
      <c r="P602" s="377"/>
      <c r="Q602" s="377"/>
      <c r="R602" s="377"/>
      <c r="S602" s="377"/>
    </row>
    <row r="603" spans="1:19" x14ac:dyDescent="0.2">
      <c r="A603" s="377"/>
      <c r="B603" s="377"/>
      <c r="C603" s="377"/>
      <c r="D603" s="377"/>
      <c r="E603" s="377"/>
      <c r="F603" s="377"/>
      <c r="G603" s="377"/>
      <c r="H603" s="377"/>
      <c r="I603" s="377"/>
      <c r="J603" s="377"/>
      <c r="K603" s="377"/>
      <c r="L603" s="377"/>
      <c r="M603" s="377"/>
      <c r="N603" s="377"/>
      <c r="O603" s="377"/>
      <c r="P603" s="377"/>
      <c r="Q603" s="377"/>
      <c r="R603" s="377"/>
      <c r="S603" s="377"/>
    </row>
    <row r="604" spans="1:19" x14ac:dyDescent="0.2">
      <c r="A604" s="377"/>
      <c r="B604" s="377"/>
      <c r="C604" s="377"/>
      <c r="D604" s="377"/>
      <c r="E604" s="377"/>
      <c r="F604" s="377"/>
      <c r="G604" s="377"/>
      <c r="H604" s="377"/>
      <c r="I604" s="377"/>
      <c r="J604" s="377"/>
      <c r="K604" s="377"/>
      <c r="L604" s="377"/>
      <c r="M604" s="377"/>
      <c r="N604" s="377"/>
      <c r="O604" s="377"/>
      <c r="P604" s="377"/>
      <c r="Q604" s="377"/>
      <c r="R604" s="377"/>
      <c r="S604" s="377"/>
    </row>
    <row r="605" spans="1:19" x14ac:dyDescent="0.2">
      <c r="A605" s="377"/>
      <c r="B605" s="377"/>
      <c r="C605" s="377"/>
      <c r="D605" s="377"/>
      <c r="E605" s="377"/>
      <c r="F605" s="377"/>
      <c r="G605" s="377"/>
      <c r="H605" s="377"/>
      <c r="I605" s="377"/>
      <c r="J605" s="377"/>
      <c r="K605" s="377"/>
      <c r="L605" s="377"/>
      <c r="M605" s="377"/>
      <c r="N605" s="377"/>
      <c r="O605" s="377"/>
      <c r="P605" s="377"/>
      <c r="Q605" s="377"/>
      <c r="R605" s="377"/>
      <c r="S605" s="377"/>
    </row>
    <row r="606" spans="1:19" x14ac:dyDescent="0.2">
      <c r="A606" s="377"/>
      <c r="B606" s="377"/>
      <c r="C606" s="377"/>
      <c r="D606" s="377"/>
      <c r="E606" s="377"/>
      <c r="F606" s="377"/>
      <c r="G606" s="377"/>
      <c r="H606" s="377"/>
      <c r="I606" s="377"/>
      <c r="J606" s="377"/>
      <c r="K606" s="377"/>
      <c r="L606" s="377"/>
      <c r="M606" s="377"/>
      <c r="N606" s="377"/>
      <c r="O606" s="377"/>
      <c r="P606" s="377"/>
      <c r="Q606" s="377"/>
      <c r="R606" s="377"/>
      <c r="S606" s="377"/>
    </row>
    <row r="607" spans="1:19" x14ac:dyDescent="0.2">
      <c r="A607" s="377"/>
      <c r="B607" s="377"/>
      <c r="C607" s="377"/>
      <c r="D607" s="377"/>
      <c r="E607" s="377"/>
      <c r="F607" s="377"/>
      <c r="G607" s="377"/>
      <c r="H607" s="377"/>
      <c r="I607" s="377"/>
      <c r="J607" s="377"/>
      <c r="K607" s="377"/>
      <c r="L607" s="377"/>
      <c r="M607" s="377"/>
      <c r="N607" s="377"/>
      <c r="O607" s="377"/>
      <c r="P607" s="377"/>
      <c r="Q607" s="377"/>
      <c r="R607" s="377"/>
      <c r="S607" s="377"/>
    </row>
    <row r="608" spans="1:19" x14ac:dyDescent="0.2">
      <c r="A608" s="377"/>
      <c r="B608" s="377"/>
      <c r="C608" s="377"/>
      <c r="D608" s="377"/>
      <c r="E608" s="377"/>
      <c r="F608" s="377"/>
      <c r="G608" s="377"/>
      <c r="H608" s="377"/>
      <c r="I608" s="377"/>
      <c r="J608" s="377"/>
      <c r="K608" s="377"/>
      <c r="L608" s="377"/>
      <c r="M608" s="377"/>
      <c r="N608" s="377"/>
      <c r="O608" s="377"/>
      <c r="P608" s="377"/>
      <c r="Q608" s="377"/>
      <c r="R608" s="377"/>
      <c r="S608" s="377"/>
    </row>
    <row r="609" spans="1:19" x14ac:dyDescent="0.2">
      <c r="A609" s="377"/>
      <c r="B609" s="377"/>
      <c r="C609" s="377"/>
      <c r="D609" s="377"/>
      <c r="E609" s="377"/>
      <c r="F609" s="377"/>
      <c r="G609" s="377"/>
      <c r="H609" s="377"/>
      <c r="I609" s="377"/>
      <c r="J609" s="377"/>
      <c r="K609" s="377"/>
      <c r="L609" s="377"/>
      <c r="M609" s="377"/>
      <c r="N609" s="377"/>
      <c r="O609" s="377"/>
      <c r="P609" s="377"/>
      <c r="Q609" s="377"/>
      <c r="R609" s="377"/>
      <c r="S609" s="377"/>
    </row>
    <row r="610" spans="1:19" x14ac:dyDescent="0.2">
      <c r="A610" s="377"/>
      <c r="B610" s="377"/>
      <c r="C610" s="377"/>
      <c r="D610" s="377"/>
      <c r="E610" s="377"/>
      <c r="F610" s="377"/>
      <c r="G610" s="377"/>
      <c r="H610" s="377"/>
      <c r="I610" s="377"/>
      <c r="J610" s="377"/>
      <c r="K610" s="377"/>
      <c r="L610" s="377"/>
      <c r="M610" s="377"/>
      <c r="N610" s="377"/>
      <c r="O610" s="377"/>
      <c r="P610" s="377"/>
      <c r="Q610" s="377"/>
      <c r="R610" s="377"/>
      <c r="S610" s="377"/>
    </row>
    <row r="611" spans="1:19" x14ac:dyDescent="0.2">
      <c r="A611" s="377"/>
      <c r="B611" s="377"/>
      <c r="C611" s="377"/>
      <c r="D611" s="377"/>
      <c r="E611" s="377"/>
      <c r="F611" s="377"/>
      <c r="G611" s="377"/>
      <c r="H611" s="377"/>
      <c r="I611" s="377"/>
      <c r="J611" s="377"/>
      <c r="K611" s="377"/>
      <c r="L611" s="377"/>
      <c r="M611" s="377"/>
      <c r="N611" s="377"/>
      <c r="O611" s="377"/>
      <c r="P611" s="377"/>
      <c r="Q611" s="377"/>
      <c r="R611" s="377"/>
      <c r="S611" s="377"/>
    </row>
    <row r="612" spans="1:19" x14ac:dyDescent="0.2">
      <c r="A612" s="377"/>
      <c r="B612" s="377"/>
      <c r="C612" s="377"/>
      <c r="D612" s="377"/>
      <c r="E612" s="377"/>
      <c r="F612" s="377"/>
      <c r="G612" s="377"/>
      <c r="H612" s="377"/>
      <c r="I612" s="377"/>
      <c r="J612" s="377"/>
      <c r="K612" s="377"/>
      <c r="L612" s="377"/>
      <c r="M612" s="377"/>
      <c r="N612" s="377"/>
      <c r="O612" s="377"/>
      <c r="P612" s="377"/>
      <c r="Q612" s="377"/>
      <c r="R612" s="377"/>
      <c r="S612" s="377"/>
    </row>
    <row r="613" spans="1:19" x14ac:dyDescent="0.2">
      <c r="A613" s="377"/>
      <c r="B613" s="377"/>
      <c r="C613" s="377"/>
      <c r="D613" s="377"/>
      <c r="E613" s="377"/>
      <c r="F613" s="377"/>
      <c r="G613" s="377"/>
      <c r="H613" s="377"/>
      <c r="I613" s="377"/>
      <c r="J613" s="377"/>
      <c r="K613" s="377"/>
      <c r="L613" s="377"/>
      <c r="M613" s="377"/>
      <c r="N613" s="377"/>
      <c r="O613" s="377"/>
      <c r="P613" s="377"/>
      <c r="Q613" s="377"/>
      <c r="R613" s="377"/>
      <c r="S613" s="377"/>
    </row>
    <row r="614" spans="1:19" x14ac:dyDescent="0.2">
      <c r="A614" s="377"/>
      <c r="B614" s="377"/>
      <c r="C614" s="377"/>
      <c r="D614" s="377"/>
      <c r="E614" s="377"/>
      <c r="F614" s="377"/>
      <c r="G614" s="377"/>
      <c r="H614" s="377"/>
      <c r="I614" s="377"/>
      <c r="J614" s="377"/>
      <c r="K614" s="377"/>
      <c r="L614" s="377"/>
      <c r="M614" s="377"/>
      <c r="N614" s="377"/>
      <c r="O614" s="377"/>
      <c r="P614" s="377"/>
      <c r="Q614" s="377"/>
      <c r="R614" s="377"/>
      <c r="S614" s="377"/>
    </row>
    <row r="615" spans="1:19" x14ac:dyDescent="0.2">
      <c r="A615" s="377"/>
      <c r="B615" s="377"/>
      <c r="C615" s="377"/>
      <c r="D615" s="377"/>
      <c r="E615" s="377"/>
      <c r="F615" s="377"/>
      <c r="G615" s="377"/>
      <c r="H615" s="377"/>
      <c r="I615" s="377"/>
      <c r="J615" s="377"/>
      <c r="K615" s="377"/>
      <c r="L615" s="377"/>
      <c r="M615" s="377"/>
      <c r="N615" s="377"/>
      <c r="O615" s="377"/>
      <c r="P615" s="377"/>
      <c r="Q615" s="377"/>
      <c r="R615" s="377"/>
      <c r="S615" s="377"/>
    </row>
    <row r="616" spans="1:19" x14ac:dyDescent="0.2">
      <c r="A616" s="377"/>
      <c r="B616" s="377"/>
      <c r="C616" s="377"/>
      <c r="D616" s="377"/>
      <c r="E616" s="377"/>
      <c r="F616" s="377"/>
      <c r="G616" s="377"/>
      <c r="H616" s="377"/>
      <c r="I616" s="377"/>
      <c r="J616" s="377"/>
      <c r="K616" s="377"/>
      <c r="L616" s="377"/>
      <c r="M616" s="377"/>
      <c r="N616" s="377"/>
      <c r="O616" s="377"/>
      <c r="P616" s="377"/>
      <c r="Q616" s="377"/>
      <c r="R616" s="377"/>
      <c r="S616" s="377"/>
    </row>
    <row r="617" spans="1:19" x14ac:dyDescent="0.2">
      <c r="A617" s="377"/>
      <c r="B617" s="377"/>
      <c r="C617" s="377"/>
      <c r="D617" s="377"/>
      <c r="E617" s="377"/>
      <c r="F617" s="377"/>
      <c r="G617" s="377"/>
      <c r="H617" s="377"/>
      <c r="I617" s="377"/>
      <c r="J617" s="377"/>
      <c r="K617" s="377"/>
      <c r="L617" s="377"/>
      <c r="M617" s="377"/>
      <c r="N617" s="377"/>
      <c r="O617" s="377"/>
      <c r="P617" s="377"/>
      <c r="Q617" s="377"/>
      <c r="R617" s="377"/>
      <c r="S617" s="377"/>
    </row>
    <row r="618" spans="1:19" x14ac:dyDescent="0.2">
      <c r="A618" s="377"/>
      <c r="B618" s="377"/>
      <c r="C618" s="377"/>
      <c r="D618" s="377"/>
      <c r="E618" s="377"/>
      <c r="F618" s="377"/>
      <c r="G618" s="377"/>
      <c r="H618" s="377"/>
      <c r="I618" s="377"/>
      <c r="J618" s="377"/>
      <c r="K618" s="377"/>
      <c r="L618" s="377"/>
      <c r="M618" s="377"/>
      <c r="N618" s="377"/>
      <c r="O618" s="377"/>
      <c r="P618" s="377"/>
      <c r="Q618" s="377"/>
      <c r="R618" s="377"/>
      <c r="S618" s="377"/>
    </row>
    <row r="619" spans="1:19" x14ac:dyDescent="0.2">
      <c r="A619" s="377"/>
      <c r="B619" s="377"/>
      <c r="C619" s="377"/>
      <c r="D619" s="377"/>
      <c r="E619" s="377"/>
      <c r="F619" s="377"/>
      <c r="G619" s="377"/>
      <c r="H619" s="377"/>
      <c r="I619" s="377"/>
      <c r="J619" s="377"/>
      <c r="K619" s="377"/>
      <c r="L619" s="377"/>
      <c r="M619" s="377"/>
      <c r="N619" s="377"/>
      <c r="O619" s="377"/>
      <c r="P619" s="377"/>
      <c r="Q619" s="377"/>
      <c r="R619" s="377"/>
      <c r="S619" s="377"/>
    </row>
    <row r="620" spans="1:19" x14ac:dyDescent="0.2">
      <c r="A620" s="377"/>
      <c r="B620" s="377"/>
      <c r="C620" s="377"/>
      <c r="D620" s="377"/>
      <c r="E620" s="377"/>
      <c r="F620" s="377"/>
      <c r="G620" s="377"/>
      <c r="H620" s="377"/>
      <c r="I620" s="377"/>
      <c r="J620" s="377"/>
      <c r="K620" s="377"/>
      <c r="L620" s="377"/>
      <c r="M620" s="377"/>
      <c r="N620" s="377"/>
      <c r="O620" s="377"/>
      <c r="P620" s="377"/>
      <c r="Q620" s="377"/>
      <c r="R620" s="377"/>
      <c r="S620" s="377"/>
    </row>
    <row r="621" spans="1:19" x14ac:dyDescent="0.2">
      <c r="A621" s="377"/>
      <c r="B621" s="377"/>
      <c r="C621" s="377"/>
      <c r="D621" s="377"/>
      <c r="E621" s="377"/>
      <c r="F621" s="377"/>
      <c r="G621" s="377"/>
      <c r="H621" s="377"/>
      <c r="I621" s="377"/>
      <c r="J621" s="377"/>
      <c r="K621" s="377"/>
      <c r="L621" s="377"/>
      <c r="M621" s="377"/>
      <c r="N621" s="377"/>
      <c r="O621" s="377"/>
      <c r="P621" s="377"/>
      <c r="Q621" s="377"/>
      <c r="R621" s="377"/>
      <c r="S621" s="377"/>
    </row>
    <row r="622" spans="1:19" x14ac:dyDescent="0.2">
      <c r="A622" s="377"/>
      <c r="B622" s="377"/>
      <c r="C622" s="377"/>
      <c r="D622" s="377"/>
      <c r="E622" s="377"/>
      <c r="F622" s="377"/>
      <c r="G622" s="377"/>
      <c r="H622" s="377"/>
      <c r="I622" s="377"/>
      <c r="J622" s="377"/>
      <c r="K622" s="377"/>
      <c r="L622" s="377"/>
      <c r="M622" s="377"/>
      <c r="N622" s="377"/>
      <c r="O622" s="377"/>
      <c r="P622" s="377"/>
      <c r="Q622" s="377"/>
      <c r="R622" s="377"/>
      <c r="S622" s="377"/>
    </row>
    <row r="623" spans="1:19" x14ac:dyDescent="0.2">
      <c r="A623" s="377"/>
      <c r="B623" s="377"/>
      <c r="C623" s="377"/>
      <c r="D623" s="377"/>
      <c r="E623" s="377"/>
      <c r="F623" s="377"/>
      <c r="G623" s="377"/>
      <c r="H623" s="377"/>
      <c r="I623" s="377"/>
      <c r="J623" s="377"/>
      <c r="K623" s="377"/>
      <c r="L623" s="377"/>
      <c r="M623" s="377"/>
      <c r="N623" s="377"/>
      <c r="O623" s="377"/>
      <c r="P623" s="377"/>
      <c r="Q623" s="377"/>
      <c r="R623" s="377"/>
      <c r="S623" s="377"/>
    </row>
  </sheetData>
  <autoFilter ref="A3:AG13"/>
  <mergeCells count="3">
    <mergeCell ref="K1:L1"/>
    <mergeCell ref="J2:N2"/>
    <mergeCell ref="A1:A2"/>
  </mergeCells>
  <pageMargins left="0.75" right="0.75" top="1" bottom="1" header="0.5" footer="0.5"/>
  <pageSetup paperSize="3" scale="48" orientation="landscape" r:id="rId1"/>
  <headerFooter alignWithMargins="0">
    <oddHeader>&amp;C&amp;A</oddHeader>
    <oddFooter>&amp;L&amp;BDunn Hiebert &amp;&amp; Associates Confidential&amp;B&amp;C&amp;D&amp;RPage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/>
  </sheetPr>
  <dimension ref="A1:AH798"/>
  <sheetViews>
    <sheetView showWhiteSpace="0" zoomScale="85" zoomScaleNormal="85" zoomScalePageLayoutView="71" workbookViewId="0">
      <pane ySplit="3" topLeftCell="A4" activePane="bottomLeft" state="frozen"/>
      <selection pane="bottomLeft" activeCell="J197" sqref="J197"/>
    </sheetView>
  </sheetViews>
  <sheetFormatPr defaultColWidth="8.85546875" defaultRowHeight="12.75" x14ac:dyDescent="0.2"/>
  <cols>
    <col min="1" max="1" width="10" style="417" customWidth="1"/>
    <col min="2" max="2" width="75.5703125" style="313" customWidth="1"/>
    <col min="3" max="3" width="16.28515625" style="313" bestFit="1" customWidth="1"/>
    <col min="4" max="4" width="13.140625" style="313" customWidth="1"/>
    <col min="5" max="5" width="13" style="313" customWidth="1"/>
    <col min="6" max="6" width="15.140625" style="313" customWidth="1"/>
    <col min="7" max="7" width="15.140625" style="914" customWidth="1"/>
    <col min="8" max="8" width="14.140625" style="409" customWidth="1"/>
    <col min="9" max="9" width="15.5703125" style="409" customWidth="1"/>
    <col min="10" max="10" width="16.28515625" style="313" customWidth="1"/>
    <col min="11" max="11" width="13.7109375" style="313" bestFit="1" customWidth="1"/>
    <col min="12" max="12" width="13.7109375" style="313" customWidth="1"/>
    <col min="13" max="13" width="13.5703125" style="313" customWidth="1"/>
    <col min="14" max="14" width="19.28515625" style="313" bestFit="1" customWidth="1"/>
    <col min="15" max="15" width="16.42578125" style="313" customWidth="1"/>
    <col min="16" max="16" width="13.5703125" style="313" bestFit="1" customWidth="1"/>
    <col min="17" max="20" width="7.85546875" style="313" customWidth="1"/>
    <col min="21" max="16384" width="8.85546875" style="313"/>
  </cols>
  <sheetData>
    <row r="1" spans="1:34" ht="16.5" thickBot="1" x14ac:dyDescent="0.3">
      <c r="A1" s="1156"/>
      <c r="B1" s="890"/>
      <c r="C1" s="305" t="s">
        <v>132</v>
      </c>
      <c r="D1" s="305" t="s">
        <v>133</v>
      </c>
      <c r="E1" s="306" t="s">
        <v>134</v>
      </c>
      <c r="F1" s="307" t="s">
        <v>135</v>
      </c>
      <c r="G1" s="915" t="s">
        <v>375</v>
      </c>
      <c r="H1" s="308" t="s">
        <v>136</v>
      </c>
      <c r="I1" s="309">
        <f>I196</f>
        <v>9824037</v>
      </c>
      <c r="J1" s="310">
        <f>O196</f>
        <v>9816245</v>
      </c>
      <c r="K1" s="1150" t="s">
        <v>137</v>
      </c>
      <c r="L1" s="1155"/>
      <c r="M1" s="1151"/>
      <c r="N1" s="312">
        <f>N196</f>
        <v>9816245</v>
      </c>
      <c r="O1" s="304"/>
      <c r="P1" s="304"/>
    </row>
    <row r="2" spans="1:34" ht="15.75" customHeight="1" x14ac:dyDescent="0.25">
      <c r="A2" s="1157"/>
      <c r="B2" s="891" t="s">
        <v>329</v>
      </c>
      <c r="C2" s="315"/>
      <c r="D2" s="315"/>
      <c r="E2" s="316"/>
      <c r="F2" s="316"/>
      <c r="G2" s="900"/>
      <c r="H2" s="317"/>
      <c r="I2" s="317"/>
      <c r="J2" s="314" t="s">
        <v>22</v>
      </c>
      <c r="K2" s="1152"/>
      <c r="L2" s="1152"/>
      <c r="M2" s="1152"/>
      <c r="N2" s="1152"/>
      <c r="O2" s="1152"/>
      <c r="P2" s="318" t="s">
        <v>139</v>
      </c>
      <c r="Q2" s="319"/>
      <c r="R2" s="319"/>
      <c r="S2" s="319"/>
      <c r="T2" s="319"/>
      <c r="U2" s="320"/>
      <c r="V2" s="320"/>
      <c r="W2" s="320"/>
      <c r="X2" s="320"/>
      <c r="Y2" s="321"/>
      <c r="Z2" s="321"/>
      <c r="AA2" s="321"/>
      <c r="AB2" s="321"/>
      <c r="AC2" s="321"/>
      <c r="AD2" s="321"/>
      <c r="AE2" s="321"/>
      <c r="AF2" s="321"/>
      <c r="AG2" s="321"/>
      <c r="AH2" s="321"/>
    </row>
    <row r="3" spans="1:34" ht="35.25" customHeight="1" x14ac:dyDescent="0.2">
      <c r="A3" s="322" t="s">
        <v>140</v>
      </c>
      <c r="B3" s="322" t="s">
        <v>141</v>
      </c>
      <c r="C3" s="322"/>
      <c r="D3" s="322"/>
      <c r="E3" s="323"/>
      <c r="F3" s="323"/>
      <c r="G3" s="901"/>
      <c r="H3" s="324" t="s">
        <v>142</v>
      </c>
      <c r="I3" s="324" t="s">
        <v>143</v>
      </c>
      <c r="J3" s="322" t="s">
        <v>372</v>
      </c>
      <c r="K3" s="322" t="s">
        <v>371</v>
      </c>
      <c r="L3" s="322" t="s">
        <v>373</v>
      </c>
      <c r="M3" s="322" t="s">
        <v>147</v>
      </c>
      <c r="N3" s="322" t="s">
        <v>148</v>
      </c>
      <c r="O3" s="322" t="s">
        <v>149</v>
      </c>
      <c r="P3" s="325" t="s">
        <v>150</v>
      </c>
      <c r="Q3" s="326"/>
      <c r="R3" s="326"/>
      <c r="S3" s="326"/>
      <c r="T3" s="326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  <c r="AG3" s="321"/>
      <c r="AH3" s="321"/>
    </row>
    <row r="4" spans="1:34" s="343" customFormat="1" ht="18.75" x14ac:dyDescent="0.4">
      <c r="A4" s="886">
        <v>3</v>
      </c>
      <c r="B4" s="380"/>
      <c r="C4" s="331"/>
      <c r="D4" s="332"/>
      <c r="E4" s="333"/>
      <c r="F4" s="334"/>
      <c r="G4" s="902"/>
      <c r="H4" s="344"/>
      <c r="I4" s="381"/>
      <c r="J4" s="336"/>
      <c r="K4" s="338"/>
      <c r="L4" s="338"/>
      <c r="M4" s="339"/>
      <c r="N4" s="340"/>
      <c r="O4" s="341"/>
      <c r="P4" s="342"/>
      <c r="Q4" s="326"/>
      <c r="R4" s="326"/>
      <c r="S4" s="326"/>
      <c r="T4" s="326"/>
      <c r="U4" s="321"/>
      <c r="V4" s="321"/>
      <c r="W4" s="321"/>
      <c r="X4" s="321"/>
      <c r="Y4" s="321"/>
      <c r="Z4" s="321"/>
      <c r="AA4" s="321"/>
      <c r="AB4" s="321"/>
      <c r="AC4" s="321"/>
      <c r="AD4" s="321"/>
      <c r="AE4" s="321"/>
      <c r="AF4" s="321"/>
      <c r="AG4" s="321"/>
      <c r="AH4" s="321"/>
    </row>
    <row r="5" spans="1:34" s="343" customFormat="1" x14ac:dyDescent="0.2">
      <c r="A5" s="887">
        <v>3.1</v>
      </c>
      <c r="B5" s="305" t="s">
        <v>322</v>
      </c>
      <c r="C5" s="331" t="s">
        <v>218</v>
      </c>
      <c r="D5" s="332">
        <v>55.9</v>
      </c>
      <c r="E5" s="333"/>
      <c r="F5" s="334">
        <f>E5*D5</f>
        <v>0</v>
      </c>
      <c r="G5" s="902">
        <v>0</v>
      </c>
      <c r="H5" s="344">
        <f t="shared" ref="H5:I7" si="0">E5</f>
        <v>0</v>
      </c>
      <c r="I5" s="335">
        <f t="shared" si="0"/>
        <v>0</v>
      </c>
      <c r="J5" s="336">
        <f>(G5*D5)</f>
        <v>0</v>
      </c>
      <c r="K5" s="338"/>
      <c r="L5" s="338"/>
      <c r="M5" s="339"/>
      <c r="N5" s="340">
        <f>F5</f>
        <v>0</v>
      </c>
      <c r="O5" s="346">
        <f>N5</f>
        <v>0</v>
      </c>
      <c r="P5" s="342">
        <f>O5*10%</f>
        <v>0</v>
      </c>
      <c r="Q5" s="326"/>
      <c r="R5" s="326"/>
      <c r="S5" s="326"/>
      <c r="T5" s="326"/>
      <c r="U5" s="321"/>
      <c r="V5" s="321"/>
      <c r="W5" s="321"/>
      <c r="X5" s="321"/>
      <c r="Y5" s="321"/>
      <c r="Z5" s="321"/>
      <c r="AA5" s="321"/>
      <c r="AB5" s="321"/>
      <c r="AC5" s="321"/>
      <c r="AD5" s="321"/>
      <c r="AE5" s="321"/>
      <c r="AF5" s="321"/>
      <c r="AG5" s="321"/>
      <c r="AH5" s="321"/>
    </row>
    <row r="6" spans="1:34" s="343" customFormat="1" x14ac:dyDescent="0.2">
      <c r="A6" s="887">
        <v>3.2</v>
      </c>
      <c r="B6" s="305" t="s">
        <v>324</v>
      </c>
      <c r="C6" s="331" t="s">
        <v>218</v>
      </c>
      <c r="D6" s="332">
        <v>60</v>
      </c>
      <c r="E6" s="333">
        <v>450</v>
      </c>
      <c r="F6" s="334">
        <f>E6*D6</f>
        <v>27000</v>
      </c>
      <c r="G6" s="902"/>
      <c r="H6" s="344">
        <f t="shared" si="0"/>
        <v>450</v>
      </c>
      <c r="I6" s="335">
        <f t="shared" si="0"/>
        <v>27000</v>
      </c>
      <c r="J6" s="336">
        <f t="shared" ref="J6:J69" si="1">(G6*D6)</f>
        <v>0</v>
      </c>
      <c r="K6" s="338"/>
      <c r="L6" s="338"/>
      <c r="M6" s="339"/>
      <c r="N6" s="340">
        <f>F6</f>
        <v>27000</v>
      </c>
      <c r="O6" s="346">
        <f t="shared" ref="O6:O15" si="2">N6</f>
        <v>27000</v>
      </c>
      <c r="P6" s="342">
        <f t="shared" ref="P6:P15" si="3">O6*10%</f>
        <v>2700</v>
      </c>
      <c r="Q6" s="326"/>
      <c r="R6" s="326"/>
      <c r="S6" s="326"/>
      <c r="T6" s="326"/>
      <c r="U6" s="321"/>
      <c r="V6" s="321"/>
      <c r="W6" s="321"/>
      <c r="X6" s="321"/>
      <c r="Y6" s="321"/>
      <c r="Z6" s="321"/>
      <c r="AA6" s="321"/>
      <c r="AB6" s="321"/>
      <c r="AC6" s="321"/>
      <c r="AD6" s="321"/>
      <c r="AE6" s="321"/>
      <c r="AF6" s="321"/>
      <c r="AG6" s="321"/>
      <c r="AH6" s="321"/>
    </row>
    <row r="7" spans="1:34" s="343" customFormat="1" x14ac:dyDescent="0.2">
      <c r="A7" s="887">
        <v>3.3</v>
      </c>
      <c r="B7" s="305" t="s">
        <v>374</v>
      </c>
      <c r="C7" s="331" t="s">
        <v>218</v>
      </c>
      <c r="D7" s="332">
        <v>62.5</v>
      </c>
      <c r="E7" s="333"/>
      <c r="F7" s="334">
        <f>E7*D7</f>
        <v>0</v>
      </c>
      <c r="G7" s="902"/>
      <c r="H7" s="344">
        <f t="shared" si="0"/>
        <v>0</v>
      </c>
      <c r="I7" s="335">
        <f t="shared" si="0"/>
        <v>0</v>
      </c>
      <c r="J7" s="336">
        <f t="shared" si="1"/>
        <v>0</v>
      </c>
      <c r="K7" s="338"/>
      <c r="L7" s="338"/>
      <c r="M7" s="339"/>
      <c r="N7" s="340">
        <f>F7</f>
        <v>0</v>
      </c>
      <c r="O7" s="346">
        <f t="shared" si="2"/>
        <v>0</v>
      </c>
      <c r="P7" s="342">
        <f t="shared" si="3"/>
        <v>0</v>
      </c>
      <c r="Q7" s="326"/>
      <c r="R7" s="326"/>
      <c r="S7" s="326"/>
      <c r="T7" s="326"/>
      <c r="U7" s="321"/>
      <c r="V7" s="321"/>
      <c r="W7" s="321"/>
      <c r="X7" s="321"/>
      <c r="Y7" s="321"/>
      <c r="Z7" s="321"/>
      <c r="AA7" s="321"/>
      <c r="AB7" s="321"/>
      <c r="AC7" s="321"/>
      <c r="AD7" s="321"/>
      <c r="AE7" s="321"/>
      <c r="AF7" s="321"/>
      <c r="AG7" s="321"/>
      <c r="AH7" s="321"/>
    </row>
    <row r="8" spans="1:34" s="343" customFormat="1" x14ac:dyDescent="0.2">
      <c r="A8" s="887">
        <v>3.4</v>
      </c>
      <c r="B8" s="305" t="s">
        <v>325</v>
      </c>
      <c r="C8" s="331" t="s">
        <v>218</v>
      </c>
      <c r="D8" s="332">
        <v>13.5</v>
      </c>
      <c r="E8" s="333"/>
      <c r="F8" s="334"/>
      <c r="G8" s="902"/>
      <c r="H8" s="344"/>
      <c r="I8" s="381"/>
      <c r="J8" s="336">
        <f t="shared" si="1"/>
        <v>0</v>
      </c>
      <c r="K8" s="338"/>
      <c r="L8" s="338"/>
      <c r="M8" s="339"/>
      <c r="N8" s="340"/>
      <c r="O8" s="346"/>
      <c r="P8" s="342"/>
      <c r="Q8" s="326"/>
      <c r="R8" s="326"/>
      <c r="S8" s="326"/>
      <c r="T8" s="326"/>
      <c r="U8" s="321"/>
      <c r="V8" s="321"/>
      <c r="W8" s="321"/>
      <c r="X8" s="321"/>
      <c r="Y8" s="321"/>
      <c r="Z8" s="321"/>
      <c r="AA8" s="321"/>
      <c r="AB8" s="321"/>
      <c r="AC8" s="321"/>
      <c r="AD8" s="321"/>
      <c r="AE8" s="321"/>
      <c r="AF8" s="321"/>
      <c r="AG8" s="321"/>
      <c r="AH8" s="321"/>
    </row>
    <row r="9" spans="1:34" s="343" customFormat="1" x14ac:dyDescent="0.2">
      <c r="A9" s="887">
        <v>3.5</v>
      </c>
      <c r="B9" s="305" t="s">
        <v>326</v>
      </c>
      <c r="C9" s="331" t="s">
        <v>218</v>
      </c>
      <c r="D9" s="332">
        <v>495</v>
      </c>
      <c r="E9" s="333">
        <v>953</v>
      </c>
      <c r="F9" s="334">
        <f>E9*D9</f>
        <v>471735</v>
      </c>
      <c r="G9" s="902"/>
      <c r="H9" s="344">
        <f>E9</f>
        <v>953</v>
      </c>
      <c r="I9" s="335">
        <f>F9</f>
        <v>471735</v>
      </c>
      <c r="J9" s="336">
        <f t="shared" si="1"/>
        <v>0</v>
      </c>
      <c r="K9" s="338"/>
      <c r="L9" s="338"/>
      <c r="M9" s="339"/>
      <c r="N9" s="340">
        <f>F9</f>
        <v>471735</v>
      </c>
      <c r="O9" s="346">
        <f t="shared" si="2"/>
        <v>471735</v>
      </c>
      <c r="P9" s="342">
        <f t="shared" si="3"/>
        <v>47173.5</v>
      </c>
      <c r="Q9" s="326"/>
      <c r="R9" s="326"/>
      <c r="S9" s="326"/>
      <c r="T9" s="326"/>
      <c r="U9" s="321"/>
      <c r="V9" s="321"/>
      <c r="W9" s="321"/>
      <c r="X9" s="321"/>
      <c r="Y9" s="321"/>
      <c r="Z9" s="321"/>
      <c r="AA9" s="321"/>
      <c r="AB9" s="321"/>
      <c r="AC9" s="321"/>
      <c r="AD9" s="321"/>
      <c r="AE9" s="321"/>
      <c r="AF9" s="321"/>
      <c r="AG9" s="321"/>
      <c r="AH9" s="321"/>
    </row>
    <row r="10" spans="1:34" s="343" customFormat="1" x14ac:dyDescent="0.2">
      <c r="A10" s="887">
        <v>3.6</v>
      </c>
      <c r="B10" s="382" t="s">
        <v>327</v>
      </c>
      <c r="C10" s="345" t="s">
        <v>328</v>
      </c>
      <c r="D10" s="332">
        <v>30.75</v>
      </c>
      <c r="E10" s="333">
        <v>1000</v>
      </c>
      <c r="F10" s="334">
        <f>E10*D10</f>
        <v>30750</v>
      </c>
      <c r="G10" s="902"/>
      <c r="H10" s="344">
        <f>E10</f>
        <v>1000</v>
      </c>
      <c r="I10" s="335">
        <f>F10</f>
        <v>30750</v>
      </c>
      <c r="J10" s="336">
        <f t="shared" si="1"/>
        <v>0</v>
      </c>
      <c r="K10" s="338"/>
      <c r="L10" s="338"/>
      <c r="M10" s="339"/>
      <c r="N10" s="340">
        <f>F10</f>
        <v>30750</v>
      </c>
      <c r="O10" s="346">
        <f t="shared" si="2"/>
        <v>30750</v>
      </c>
      <c r="P10" s="342">
        <f t="shared" si="3"/>
        <v>3075</v>
      </c>
      <c r="Q10" s="326"/>
      <c r="R10" s="326"/>
      <c r="S10" s="326"/>
      <c r="T10" s="326"/>
      <c r="U10" s="321"/>
      <c r="V10" s="321"/>
      <c r="W10" s="321"/>
      <c r="X10" s="321"/>
      <c r="Y10" s="321"/>
      <c r="Z10" s="321"/>
      <c r="AA10" s="321"/>
      <c r="AB10" s="321"/>
      <c r="AC10" s="321"/>
      <c r="AD10" s="321"/>
      <c r="AE10" s="321"/>
      <c r="AF10" s="321"/>
      <c r="AG10" s="321"/>
      <c r="AH10" s="321"/>
    </row>
    <row r="11" spans="1:34" s="343" customFormat="1" x14ac:dyDescent="0.2">
      <c r="A11" s="887">
        <v>3.7</v>
      </c>
      <c r="B11" s="382" t="s">
        <v>330</v>
      </c>
      <c r="C11" s="345" t="s">
        <v>328</v>
      </c>
      <c r="D11" s="332"/>
      <c r="E11" s="333"/>
      <c r="F11" s="334"/>
      <c r="G11" s="902"/>
      <c r="H11" s="344"/>
      <c r="I11" s="381"/>
      <c r="J11" s="336">
        <f t="shared" si="1"/>
        <v>0</v>
      </c>
      <c r="K11" s="338"/>
      <c r="L11" s="338"/>
      <c r="M11" s="339"/>
      <c r="N11" s="340"/>
      <c r="O11" s="346"/>
      <c r="P11" s="342"/>
      <c r="Q11" s="326"/>
      <c r="R11" s="326"/>
      <c r="S11" s="326"/>
      <c r="T11" s="326"/>
      <c r="U11" s="321"/>
      <c r="V11" s="321"/>
      <c r="W11" s="321"/>
      <c r="X11" s="321"/>
      <c r="Y11" s="321"/>
      <c r="Z11" s="321"/>
      <c r="AA11" s="321"/>
      <c r="AB11" s="321"/>
      <c r="AC11" s="321"/>
      <c r="AD11" s="321"/>
      <c r="AE11" s="321"/>
      <c r="AF11" s="321"/>
      <c r="AG11" s="321"/>
      <c r="AH11" s="321"/>
    </row>
    <row r="12" spans="1:34" s="343" customFormat="1" x14ac:dyDescent="0.2">
      <c r="A12" s="887">
        <v>3.8</v>
      </c>
      <c r="B12" s="330" t="s">
        <v>331</v>
      </c>
      <c r="C12" s="345" t="s">
        <v>332</v>
      </c>
      <c r="D12" s="332">
        <v>1500</v>
      </c>
      <c r="E12" s="333"/>
      <c r="F12" s="334">
        <f>E12*D12</f>
        <v>0</v>
      </c>
      <c r="G12" s="902"/>
      <c r="H12" s="344">
        <f t="shared" ref="H12:I15" si="4">E12</f>
        <v>0</v>
      </c>
      <c r="I12" s="335">
        <f t="shared" si="4"/>
        <v>0</v>
      </c>
      <c r="J12" s="336">
        <f t="shared" si="1"/>
        <v>0</v>
      </c>
      <c r="K12" s="338"/>
      <c r="L12" s="338"/>
      <c r="M12" s="339"/>
      <c r="N12" s="340">
        <f>F12</f>
        <v>0</v>
      </c>
      <c r="O12" s="346">
        <f t="shared" si="2"/>
        <v>0</v>
      </c>
      <c r="P12" s="342">
        <f t="shared" si="3"/>
        <v>0</v>
      </c>
      <c r="Q12" s="326"/>
      <c r="R12" s="326"/>
      <c r="S12" s="326"/>
      <c r="T12" s="326"/>
      <c r="U12" s="321"/>
      <c r="V12" s="321"/>
      <c r="W12" s="321"/>
      <c r="X12" s="321"/>
      <c r="Y12" s="321"/>
      <c r="Z12" s="321"/>
      <c r="AA12" s="321"/>
      <c r="AB12" s="321"/>
      <c r="AC12" s="321"/>
      <c r="AD12" s="321"/>
      <c r="AE12" s="321"/>
      <c r="AF12" s="321"/>
      <c r="AG12" s="321"/>
      <c r="AH12" s="321"/>
    </row>
    <row r="13" spans="1:34" s="343" customFormat="1" x14ac:dyDescent="0.2">
      <c r="A13" s="887">
        <v>3.9</v>
      </c>
      <c r="B13" s="305" t="s">
        <v>333</v>
      </c>
      <c r="C13" s="345" t="s">
        <v>332</v>
      </c>
      <c r="D13" s="332">
        <v>2700</v>
      </c>
      <c r="E13" s="333"/>
      <c r="F13" s="334">
        <f>E13*D13</f>
        <v>0</v>
      </c>
      <c r="G13" s="902"/>
      <c r="H13" s="344">
        <f t="shared" si="4"/>
        <v>0</v>
      </c>
      <c r="I13" s="335">
        <f t="shared" si="4"/>
        <v>0</v>
      </c>
      <c r="J13" s="336">
        <f t="shared" si="1"/>
        <v>0</v>
      </c>
      <c r="K13" s="338"/>
      <c r="L13" s="338"/>
      <c r="M13" s="339"/>
      <c r="N13" s="340">
        <f>F13</f>
        <v>0</v>
      </c>
      <c r="O13" s="346">
        <f t="shared" si="2"/>
        <v>0</v>
      </c>
      <c r="P13" s="342">
        <f t="shared" si="3"/>
        <v>0</v>
      </c>
      <c r="Q13" s="326"/>
      <c r="R13" s="326"/>
      <c r="S13" s="326"/>
      <c r="T13" s="326"/>
      <c r="U13" s="321"/>
      <c r="V13" s="321"/>
      <c r="W13" s="321"/>
      <c r="X13" s="321"/>
      <c r="Y13" s="321"/>
      <c r="Z13" s="321"/>
      <c r="AA13" s="321"/>
      <c r="AB13" s="321"/>
      <c r="AC13" s="321"/>
      <c r="AD13" s="321"/>
      <c r="AE13" s="321"/>
      <c r="AF13" s="321"/>
      <c r="AG13" s="321"/>
      <c r="AH13" s="321"/>
    </row>
    <row r="14" spans="1:34" s="343" customFormat="1" x14ac:dyDescent="0.2">
      <c r="A14" s="894">
        <v>3.1</v>
      </c>
      <c r="B14" s="305" t="s">
        <v>334</v>
      </c>
      <c r="C14" s="345" t="s">
        <v>328</v>
      </c>
      <c r="D14" s="332">
        <v>14.5</v>
      </c>
      <c r="E14" s="333">
        <v>5000</v>
      </c>
      <c r="F14" s="334">
        <f>E14*D14</f>
        <v>72500</v>
      </c>
      <c r="G14" s="902"/>
      <c r="H14" s="344">
        <f t="shared" si="4"/>
        <v>5000</v>
      </c>
      <c r="I14" s="335">
        <f t="shared" si="4"/>
        <v>72500</v>
      </c>
      <c r="J14" s="336">
        <f t="shared" si="1"/>
        <v>0</v>
      </c>
      <c r="K14" s="338"/>
      <c r="L14" s="338"/>
      <c r="M14" s="339"/>
      <c r="N14" s="340">
        <f>F14</f>
        <v>72500</v>
      </c>
      <c r="O14" s="346">
        <f t="shared" si="2"/>
        <v>72500</v>
      </c>
      <c r="P14" s="342">
        <f t="shared" si="3"/>
        <v>7250</v>
      </c>
      <c r="Q14" s="326"/>
      <c r="R14" s="326"/>
      <c r="S14" s="326"/>
      <c r="T14" s="326"/>
      <c r="U14" s="321"/>
      <c r="V14" s="321"/>
      <c r="W14" s="321"/>
      <c r="X14" s="321"/>
      <c r="Y14" s="321"/>
      <c r="Z14" s="321"/>
      <c r="AA14" s="321"/>
      <c r="AB14" s="321"/>
      <c r="AC14" s="321"/>
      <c r="AD14" s="321"/>
      <c r="AE14" s="321"/>
      <c r="AF14" s="321"/>
      <c r="AG14" s="321"/>
      <c r="AH14" s="321"/>
    </row>
    <row r="15" spans="1:34" s="343" customFormat="1" x14ac:dyDescent="0.2">
      <c r="A15" s="894">
        <v>3.11</v>
      </c>
      <c r="B15" s="382" t="s">
        <v>335</v>
      </c>
      <c r="C15" s="345" t="s">
        <v>328</v>
      </c>
      <c r="D15" s="332">
        <v>9</v>
      </c>
      <c r="E15" s="333">
        <v>1000</v>
      </c>
      <c r="F15" s="334">
        <f>E15*D15</f>
        <v>9000</v>
      </c>
      <c r="G15" s="902"/>
      <c r="H15" s="344">
        <f t="shared" si="4"/>
        <v>1000</v>
      </c>
      <c r="I15" s="335">
        <f t="shared" si="4"/>
        <v>9000</v>
      </c>
      <c r="J15" s="336">
        <f t="shared" si="1"/>
        <v>0</v>
      </c>
      <c r="K15" s="338"/>
      <c r="L15" s="338"/>
      <c r="M15" s="339"/>
      <c r="N15" s="340">
        <f>F15</f>
        <v>9000</v>
      </c>
      <c r="O15" s="346">
        <f t="shared" si="2"/>
        <v>9000</v>
      </c>
      <c r="P15" s="342">
        <f t="shared" si="3"/>
        <v>900</v>
      </c>
      <c r="Q15" s="326"/>
      <c r="R15" s="326"/>
      <c r="S15" s="326"/>
      <c r="T15" s="326"/>
      <c r="U15" s="321"/>
      <c r="V15" s="321"/>
      <c r="W15" s="321"/>
      <c r="X15" s="321"/>
      <c r="Y15" s="321"/>
      <c r="Z15" s="321"/>
      <c r="AA15" s="321"/>
      <c r="AB15" s="321"/>
      <c r="AC15" s="321"/>
      <c r="AD15" s="321"/>
      <c r="AE15" s="321"/>
      <c r="AF15" s="321"/>
      <c r="AG15" s="321"/>
      <c r="AH15" s="321"/>
    </row>
    <row r="16" spans="1:34" s="343" customFormat="1" x14ac:dyDescent="0.2">
      <c r="A16" s="894">
        <v>3.12</v>
      </c>
      <c r="B16" s="305" t="s">
        <v>336</v>
      </c>
      <c r="C16" s="345" t="s">
        <v>328</v>
      </c>
      <c r="D16" s="332">
        <v>16</v>
      </c>
      <c r="E16" s="333">
        <v>500</v>
      </c>
      <c r="F16" s="334">
        <f t="shared" ref="F16:F18" si="5">E16*D16</f>
        <v>8000</v>
      </c>
      <c r="G16" s="902"/>
      <c r="H16" s="344">
        <f t="shared" ref="H16:H17" si="6">E16</f>
        <v>500</v>
      </c>
      <c r="I16" s="335">
        <f t="shared" ref="I16:I17" si="7">F16</f>
        <v>8000</v>
      </c>
      <c r="J16" s="336">
        <f t="shared" si="1"/>
        <v>0</v>
      </c>
      <c r="K16" s="338"/>
      <c r="L16" s="338"/>
      <c r="M16" s="339"/>
      <c r="N16" s="340">
        <f t="shared" ref="N16:N17" si="8">F16</f>
        <v>8000</v>
      </c>
      <c r="O16" s="346">
        <f t="shared" ref="O16:O17" si="9">N16</f>
        <v>8000</v>
      </c>
      <c r="P16" s="342">
        <f t="shared" ref="P16:P17" si="10">O16*10%</f>
        <v>800</v>
      </c>
      <c r="Q16" s="326"/>
      <c r="R16" s="326"/>
      <c r="S16" s="326"/>
      <c r="T16" s="326"/>
      <c r="U16" s="321"/>
      <c r="V16" s="321"/>
      <c r="W16" s="321"/>
      <c r="X16" s="321"/>
      <c r="Y16" s="321"/>
      <c r="Z16" s="321"/>
      <c r="AA16" s="321"/>
      <c r="AB16" s="321"/>
      <c r="AC16" s="321"/>
      <c r="AD16" s="321"/>
      <c r="AE16" s="321"/>
      <c r="AF16" s="321"/>
      <c r="AG16" s="321"/>
      <c r="AH16" s="321"/>
    </row>
    <row r="17" spans="1:34" s="343" customFormat="1" x14ac:dyDescent="0.2">
      <c r="A17" s="894">
        <v>3.13</v>
      </c>
      <c r="B17" s="305" t="s">
        <v>337</v>
      </c>
      <c r="C17" s="345" t="s">
        <v>328</v>
      </c>
      <c r="D17" s="332">
        <v>21.5</v>
      </c>
      <c r="E17" s="333">
        <v>800</v>
      </c>
      <c r="F17" s="334">
        <f t="shared" si="5"/>
        <v>17200</v>
      </c>
      <c r="G17" s="902"/>
      <c r="H17" s="344">
        <f t="shared" si="6"/>
        <v>800</v>
      </c>
      <c r="I17" s="335">
        <f t="shared" si="7"/>
        <v>17200</v>
      </c>
      <c r="J17" s="336">
        <f t="shared" si="1"/>
        <v>0</v>
      </c>
      <c r="K17" s="338"/>
      <c r="L17" s="338"/>
      <c r="M17" s="339"/>
      <c r="N17" s="340">
        <f t="shared" si="8"/>
        <v>17200</v>
      </c>
      <c r="O17" s="346">
        <f t="shared" si="9"/>
        <v>17200</v>
      </c>
      <c r="P17" s="342">
        <f t="shared" si="10"/>
        <v>1720</v>
      </c>
      <c r="Q17" s="326"/>
      <c r="R17" s="326"/>
      <c r="S17" s="326"/>
      <c r="T17" s="326"/>
      <c r="U17" s="321"/>
      <c r="V17" s="321"/>
      <c r="W17" s="321"/>
      <c r="X17" s="321"/>
      <c r="Y17" s="321"/>
      <c r="Z17" s="321"/>
      <c r="AA17" s="321"/>
      <c r="AB17" s="321"/>
      <c r="AC17" s="321"/>
      <c r="AD17" s="321"/>
      <c r="AE17" s="321"/>
      <c r="AF17" s="321"/>
      <c r="AG17" s="321"/>
      <c r="AH17" s="321"/>
    </row>
    <row r="18" spans="1:34" s="343" customFormat="1" x14ac:dyDescent="0.2">
      <c r="A18" s="894">
        <v>3.14</v>
      </c>
      <c r="B18" s="305" t="s">
        <v>338</v>
      </c>
      <c r="C18" s="345" t="s">
        <v>218</v>
      </c>
      <c r="D18" s="332">
        <v>16.5</v>
      </c>
      <c r="E18" s="333">
        <v>9750</v>
      </c>
      <c r="F18" s="334">
        <f t="shared" si="5"/>
        <v>160875</v>
      </c>
      <c r="G18" s="902"/>
      <c r="H18" s="344">
        <f t="shared" ref="H18:I22" si="11">E18</f>
        <v>9750</v>
      </c>
      <c r="I18" s="335">
        <f t="shared" si="11"/>
        <v>160875</v>
      </c>
      <c r="J18" s="336">
        <f t="shared" si="1"/>
        <v>0</v>
      </c>
      <c r="K18" s="338"/>
      <c r="L18" s="338"/>
      <c r="M18" s="339"/>
      <c r="N18" s="340">
        <f>F18</f>
        <v>160875</v>
      </c>
      <c r="O18" s="346">
        <f>N18</f>
        <v>160875</v>
      </c>
      <c r="P18" s="342">
        <f>O18*10%</f>
        <v>16087.5</v>
      </c>
      <c r="Q18" s="326"/>
      <c r="R18" s="326"/>
      <c r="S18" s="326"/>
      <c r="T18" s="326"/>
      <c r="U18" s="321"/>
      <c r="V18" s="321"/>
      <c r="W18" s="321"/>
      <c r="X18" s="321"/>
      <c r="Y18" s="321"/>
      <c r="Z18" s="321"/>
      <c r="AA18" s="321"/>
      <c r="AB18" s="321"/>
      <c r="AC18" s="321"/>
      <c r="AD18" s="321"/>
      <c r="AE18" s="321"/>
      <c r="AF18" s="321"/>
      <c r="AG18" s="321"/>
      <c r="AH18" s="321"/>
    </row>
    <row r="19" spans="1:34" s="343" customFormat="1" x14ac:dyDescent="0.2">
      <c r="A19" s="894">
        <v>3.15</v>
      </c>
      <c r="B19" s="305" t="s">
        <v>339</v>
      </c>
      <c r="C19" s="345" t="s">
        <v>328</v>
      </c>
      <c r="D19" s="332">
        <v>195</v>
      </c>
      <c r="E19" s="333">
        <v>100</v>
      </c>
      <c r="F19" s="334">
        <f>E19*D19</f>
        <v>19500</v>
      </c>
      <c r="G19" s="902"/>
      <c r="H19" s="344">
        <f t="shared" si="11"/>
        <v>100</v>
      </c>
      <c r="I19" s="335">
        <f t="shared" si="11"/>
        <v>19500</v>
      </c>
      <c r="J19" s="336">
        <f t="shared" si="1"/>
        <v>0</v>
      </c>
      <c r="K19" s="338"/>
      <c r="L19" s="338"/>
      <c r="M19" s="339"/>
      <c r="N19" s="340">
        <f>F19</f>
        <v>19500</v>
      </c>
      <c r="O19" s="346">
        <f>N19</f>
        <v>19500</v>
      </c>
      <c r="P19" s="342">
        <f>O19*10%</f>
        <v>1950</v>
      </c>
      <c r="Q19" s="326"/>
      <c r="R19" s="326"/>
      <c r="S19" s="326"/>
      <c r="T19" s="326"/>
      <c r="U19" s="321"/>
      <c r="V19" s="321"/>
      <c r="W19" s="321"/>
      <c r="X19" s="321"/>
      <c r="Y19" s="321"/>
      <c r="Z19" s="321"/>
      <c r="AA19" s="321"/>
      <c r="AB19" s="321"/>
      <c r="AC19" s="321"/>
      <c r="AD19" s="321"/>
      <c r="AE19" s="321"/>
      <c r="AF19" s="321"/>
      <c r="AG19" s="321"/>
      <c r="AH19" s="321"/>
    </row>
    <row r="20" spans="1:34" s="343" customFormat="1" x14ac:dyDescent="0.2">
      <c r="A20" s="894">
        <v>3.16</v>
      </c>
      <c r="B20" s="305" t="s">
        <v>340</v>
      </c>
      <c r="C20" s="345" t="s">
        <v>328</v>
      </c>
      <c r="D20" s="332">
        <v>585</v>
      </c>
      <c r="E20" s="333">
        <v>48</v>
      </c>
      <c r="F20" s="334">
        <f>E20*D20</f>
        <v>28080</v>
      </c>
      <c r="G20" s="902"/>
      <c r="H20" s="344">
        <f t="shared" si="11"/>
        <v>48</v>
      </c>
      <c r="I20" s="335">
        <f t="shared" si="11"/>
        <v>28080</v>
      </c>
      <c r="J20" s="336">
        <f t="shared" si="1"/>
        <v>0</v>
      </c>
      <c r="K20" s="338"/>
      <c r="L20" s="338"/>
      <c r="M20" s="339"/>
      <c r="N20" s="340">
        <f>F20</f>
        <v>28080</v>
      </c>
      <c r="O20" s="346">
        <f>N20</f>
        <v>28080</v>
      </c>
      <c r="P20" s="342">
        <f>O20*10%</f>
        <v>2808</v>
      </c>
      <c r="Q20" s="326"/>
      <c r="R20" s="326"/>
      <c r="S20" s="326"/>
      <c r="T20" s="326"/>
      <c r="U20" s="321"/>
      <c r="V20" s="321"/>
      <c r="W20" s="321"/>
      <c r="X20" s="321"/>
      <c r="Y20" s="321"/>
      <c r="Z20" s="321"/>
      <c r="AA20" s="321"/>
      <c r="AB20" s="321"/>
      <c r="AC20" s="321"/>
      <c r="AD20" s="321"/>
      <c r="AE20" s="321"/>
      <c r="AF20" s="321"/>
      <c r="AG20" s="321"/>
      <c r="AH20" s="321"/>
    </row>
    <row r="21" spans="1:34" s="387" customFormat="1" x14ac:dyDescent="0.2">
      <c r="A21" s="895">
        <v>3.17</v>
      </c>
      <c r="B21" s="383" t="s">
        <v>341</v>
      </c>
      <c r="C21" s="384" t="s">
        <v>328</v>
      </c>
      <c r="D21" s="332">
        <v>1075</v>
      </c>
      <c r="E21" s="333">
        <v>48</v>
      </c>
      <c r="F21" s="334">
        <f>E21*D21</f>
        <v>51600</v>
      </c>
      <c r="G21" s="902"/>
      <c r="H21" s="344">
        <f t="shared" si="11"/>
        <v>48</v>
      </c>
      <c r="I21" s="335">
        <f t="shared" si="11"/>
        <v>51600</v>
      </c>
      <c r="J21" s="336">
        <f t="shared" si="1"/>
        <v>0</v>
      </c>
      <c r="K21" s="338"/>
      <c r="L21" s="338"/>
      <c r="M21" s="339"/>
      <c r="N21" s="340">
        <f>F21</f>
        <v>51600</v>
      </c>
      <c r="O21" s="346">
        <f>N21</f>
        <v>51600</v>
      </c>
      <c r="P21" s="342">
        <f>O21*10%</f>
        <v>5160</v>
      </c>
      <c r="Q21" s="385"/>
      <c r="R21" s="385"/>
      <c r="S21" s="385"/>
      <c r="T21" s="385"/>
      <c r="U21" s="386"/>
      <c r="V21" s="386"/>
      <c r="W21" s="386"/>
      <c r="X21" s="386"/>
      <c r="Y21" s="386"/>
      <c r="Z21" s="386"/>
      <c r="AA21" s="386"/>
      <c r="AB21" s="386"/>
      <c r="AC21" s="386"/>
      <c r="AD21" s="386"/>
      <c r="AE21" s="386"/>
      <c r="AF21" s="386"/>
      <c r="AG21" s="386"/>
      <c r="AH21" s="386"/>
    </row>
    <row r="22" spans="1:34" s="387" customFormat="1" x14ac:dyDescent="0.2">
      <c r="A22" s="895">
        <v>3.18</v>
      </c>
      <c r="B22" s="383" t="s">
        <v>342</v>
      </c>
      <c r="C22" s="384" t="s">
        <v>332</v>
      </c>
      <c r="D22" s="332">
        <v>860</v>
      </c>
      <c r="E22" s="333"/>
      <c r="F22" s="334">
        <f>E22*D22</f>
        <v>0</v>
      </c>
      <c r="G22" s="902"/>
      <c r="H22" s="344">
        <f t="shared" si="11"/>
        <v>0</v>
      </c>
      <c r="I22" s="335">
        <f t="shared" si="11"/>
        <v>0</v>
      </c>
      <c r="J22" s="336">
        <f t="shared" si="1"/>
        <v>0</v>
      </c>
      <c r="K22" s="338"/>
      <c r="L22" s="338"/>
      <c r="M22" s="339"/>
      <c r="N22" s="340">
        <f>F22</f>
        <v>0</v>
      </c>
      <c r="O22" s="346">
        <f>N22</f>
        <v>0</v>
      </c>
      <c r="P22" s="342">
        <f>O22*10%</f>
        <v>0</v>
      </c>
      <c r="Q22" s="385"/>
      <c r="R22" s="385"/>
      <c r="S22" s="385"/>
      <c r="T22" s="385"/>
      <c r="U22" s="386"/>
      <c r="V22" s="386"/>
      <c r="W22" s="386"/>
      <c r="X22" s="386"/>
      <c r="Y22" s="386"/>
      <c r="Z22" s="386"/>
      <c r="AA22" s="386"/>
      <c r="AB22" s="386"/>
      <c r="AC22" s="386"/>
      <c r="AD22" s="386"/>
      <c r="AE22" s="386"/>
      <c r="AF22" s="386"/>
      <c r="AG22" s="386"/>
      <c r="AH22" s="386"/>
    </row>
    <row r="23" spans="1:34" s="387" customFormat="1" x14ac:dyDescent="0.2">
      <c r="A23" s="895">
        <v>3.19</v>
      </c>
      <c r="B23" s="896" t="s">
        <v>343</v>
      </c>
      <c r="C23" s="384"/>
      <c r="D23" s="332"/>
      <c r="E23" s="388"/>
      <c r="F23" s="388"/>
      <c r="G23" s="903"/>
      <c r="H23" s="389"/>
      <c r="I23" s="381"/>
      <c r="J23" s="336">
        <f t="shared" si="1"/>
        <v>0</v>
      </c>
      <c r="K23" s="390"/>
      <c r="L23" s="390"/>
      <c r="M23" s="391"/>
      <c r="N23" s="392"/>
      <c r="O23" s="393"/>
      <c r="P23" s="394"/>
      <c r="Q23" s="385"/>
      <c r="R23" s="385"/>
      <c r="S23" s="385"/>
      <c r="T23" s="385"/>
      <c r="U23" s="386"/>
      <c r="V23" s="386"/>
      <c r="W23" s="386"/>
      <c r="X23" s="386"/>
      <c r="Y23" s="386"/>
      <c r="Z23" s="386"/>
      <c r="AA23" s="386"/>
      <c r="AB23" s="386"/>
      <c r="AC23" s="386"/>
      <c r="AD23" s="386"/>
      <c r="AE23" s="386"/>
      <c r="AF23" s="386"/>
      <c r="AG23" s="386"/>
      <c r="AH23" s="386"/>
    </row>
    <row r="24" spans="1:34" x14ac:dyDescent="0.2">
      <c r="A24" s="894">
        <v>3.2</v>
      </c>
      <c r="B24" s="305" t="s">
        <v>344</v>
      </c>
      <c r="C24" s="345" t="s">
        <v>218</v>
      </c>
      <c r="D24" s="395">
        <v>814</v>
      </c>
      <c r="E24" s="396"/>
      <c r="F24" s="348"/>
      <c r="G24" s="904"/>
      <c r="H24" s="349"/>
      <c r="I24" s="381"/>
      <c r="J24" s="336">
        <f t="shared" si="1"/>
        <v>0</v>
      </c>
      <c r="K24" s="397"/>
      <c r="L24" s="397"/>
      <c r="M24" s="352"/>
      <c r="N24" s="340"/>
      <c r="O24" s="353"/>
      <c r="P24" s="398"/>
      <c r="Q24" s="326"/>
      <c r="R24" s="326"/>
      <c r="S24" s="326"/>
      <c r="T24" s="326"/>
      <c r="U24" s="321"/>
      <c r="V24" s="321"/>
      <c r="W24" s="321"/>
      <c r="X24" s="321"/>
      <c r="Y24" s="321"/>
      <c r="Z24" s="321"/>
      <c r="AA24" s="321"/>
      <c r="AB24" s="321"/>
      <c r="AC24" s="321"/>
      <c r="AD24" s="321"/>
      <c r="AE24" s="321"/>
      <c r="AF24" s="321"/>
      <c r="AG24" s="321"/>
      <c r="AH24" s="321"/>
    </row>
    <row r="25" spans="1:34" x14ac:dyDescent="0.2">
      <c r="A25" s="895">
        <v>3.21</v>
      </c>
      <c r="B25" s="383" t="s">
        <v>345</v>
      </c>
      <c r="C25" s="331" t="s">
        <v>218</v>
      </c>
      <c r="D25" s="332">
        <v>915</v>
      </c>
      <c r="E25" s="333">
        <v>12</v>
      </c>
      <c r="F25" s="334">
        <f>E25*D25</f>
        <v>10980</v>
      </c>
      <c r="G25" s="902"/>
      <c r="H25" s="344">
        <f t="shared" ref="H25:I27" si="12">E25</f>
        <v>12</v>
      </c>
      <c r="I25" s="335">
        <f t="shared" si="12"/>
        <v>10980</v>
      </c>
      <c r="J25" s="336">
        <f t="shared" si="1"/>
        <v>0</v>
      </c>
      <c r="K25" s="338"/>
      <c r="L25" s="338"/>
      <c r="M25" s="339"/>
      <c r="N25" s="340">
        <f>F25</f>
        <v>10980</v>
      </c>
      <c r="O25" s="346">
        <f>N25</f>
        <v>10980</v>
      </c>
      <c r="P25" s="342">
        <f>O25*10%</f>
        <v>1098</v>
      </c>
      <c r="Q25" s="326"/>
      <c r="R25" s="326"/>
      <c r="S25" s="326"/>
      <c r="T25" s="326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1"/>
    </row>
    <row r="26" spans="1:34" x14ac:dyDescent="0.2">
      <c r="A26" s="895">
        <v>3.22</v>
      </c>
      <c r="B26" s="383" t="s">
        <v>346</v>
      </c>
      <c r="C26" s="345" t="s">
        <v>328</v>
      </c>
      <c r="D26" s="332">
        <v>190</v>
      </c>
      <c r="E26" s="333">
        <v>350</v>
      </c>
      <c r="F26" s="334">
        <f>E26*D26</f>
        <v>66500</v>
      </c>
      <c r="G26" s="902"/>
      <c r="H26" s="344">
        <f t="shared" si="12"/>
        <v>350</v>
      </c>
      <c r="I26" s="335">
        <f t="shared" si="12"/>
        <v>66500</v>
      </c>
      <c r="J26" s="336">
        <f t="shared" si="1"/>
        <v>0</v>
      </c>
      <c r="K26" s="338"/>
      <c r="L26" s="338"/>
      <c r="M26" s="339"/>
      <c r="N26" s="340">
        <f>F26</f>
        <v>66500</v>
      </c>
      <c r="O26" s="346">
        <f>N26</f>
        <v>66500</v>
      </c>
      <c r="P26" s="342">
        <f>O26*10%</f>
        <v>6650</v>
      </c>
      <c r="Q26" s="326"/>
      <c r="R26" s="326"/>
      <c r="S26" s="326"/>
      <c r="T26" s="326"/>
      <c r="U26" s="321"/>
      <c r="V26" s="321"/>
      <c r="W26" s="321"/>
      <c r="X26" s="321"/>
      <c r="Y26" s="321"/>
      <c r="Z26" s="321"/>
      <c r="AA26" s="321"/>
      <c r="AB26" s="321"/>
      <c r="AC26" s="321"/>
      <c r="AD26" s="321"/>
      <c r="AE26" s="321"/>
      <c r="AF26" s="321"/>
      <c r="AG26" s="321"/>
      <c r="AH26" s="321"/>
    </row>
    <row r="27" spans="1:34" x14ac:dyDescent="0.2">
      <c r="A27" s="895">
        <v>3.23</v>
      </c>
      <c r="B27" s="383" t="s">
        <v>347</v>
      </c>
      <c r="C27" s="345" t="s">
        <v>332</v>
      </c>
      <c r="D27" s="332"/>
      <c r="E27" s="333">
        <v>4</v>
      </c>
      <c r="F27" s="334">
        <f>E27*D27</f>
        <v>0</v>
      </c>
      <c r="G27" s="902"/>
      <c r="H27" s="344">
        <f t="shared" si="12"/>
        <v>4</v>
      </c>
      <c r="I27" s="335">
        <f t="shared" si="12"/>
        <v>0</v>
      </c>
      <c r="J27" s="336">
        <f t="shared" si="1"/>
        <v>0</v>
      </c>
      <c r="K27" s="338"/>
      <c r="L27" s="338"/>
      <c r="M27" s="339"/>
      <c r="N27" s="340">
        <f>F27</f>
        <v>0</v>
      </c>
      <c r="O27" s="346">
        <f>N27</f>
        <v>0</v>
      </c>
      <c r="P27" s="342">
        <f>O27*10%</f>
        <v>0</v>
      </c>
      <c r="Q27" s="326"/>
      <c r="R27" s="326"/>
      <c r="S27" s="326"/>
      <c r="T27" s="326"/>
      <c r="U27" s="321"/>
      <c r="V27" s="321"/>
      <c r="W27" s="321"/>
      <c r="X27" s="321"/>
      <c r="Y27" s="321"/>
      <c r="Z27" s="321"/>
      <c r="AA27" s="321"/>
      <c r="AB27" s="321"/>
      <c r="AC27" s="321"/>
      <c r="AD27" s="321"/>
      <c r="AE27" s="321"/>
      <c r="AF27" s="321"/>
      <c r="AG27" s="321"/>
      <c r="AH27" s="321"/>
    </row>
    <row r="28" spans="1:34" x14ac:dyDescent="0.2">
      <c r="A28" s="895">
        <v>3.24</v>
      </c>
      <c r="B28" s="383" t="s">
        <v>349</v>
      </c>
      <c r="C28" s="384" t="s">
        <v>332</v>
      </c>
      <c r="D28" s="332">
        <v>677</v>
      </c>
      <c r="E28" s="388"/>
      <c r="F28" s="388"/>
      <c r="G28" s="903"/>
      <c r="H28" s="389"/>
      <c r="I28" s="381"/>
      <c r="J28" s="336">
        <f t="shared" si="1"/>
        <v>0</v>
      </c>
      <c r="K28" s="390"/>
      <c r="L28" s="390"/>
      <c r="M28" s="391"/>
      <c r="N28" s="392"/>
      <c r="O28" s="393"/>
      <c r="P28" s="394"/>
      <c r="Q28" s="326"/>
      <c r="R28" s="326"/>
      <c r="S28" s="326"/>
      <c r="T28" s="326"/>
      <c r="U28" s="321"/>
      <c r="V28" s="321"/>
      <c r="W28" s="321"/>
      <c r="X28" s="321"/>
      <c r="Y28" s="321"/>
      <c r="Z28" s="321"/>
      <c r="AA28" s="321"/>
      <c r="AB28" s="321"/>
      <c r="AC28" s="321"/>
      <c r="AD28" s="321"/>
      <c r="AE28" s="321"/>
      <c r="AF28" s="321"/>
      <c r="AG28" s="321"/>
      <c r="AH28" s="321"/>
    </row>
    <row r="29" spans="1:34" x14ac:dyDescent="0.2">
      <c r="A29" s="894">
        <v>3.25</v>
      </c>
      <c r="B29" s="305" t="s">
        <v>348</v>
      </c>
      <c r="C29" s="384" t="s">
        <v>332</v>
      </c>
      <c r="D29" s="332">
        <v>2200</v>
      </c>
      <c r="E29" s="388"/>
      <c r="F29" s="388"/>
      <c r="G29" s="903"/>
      <c r="H29" s="389"/>
      <c r="I29" s="381"/>
      <c r="J29" s="336">
        <f t="shared" si="1"/>
        <v>0</v>
      </c>
      <c r="K29" s="390"/>
      <c r="L29" s="390"/>
      <c r="M29" s="391"/>
      <c r="N29" s="392"/>
      <c r="O29" s="393"/>
      <c r="P29" s="394"/>
      <c r="Q29" s="326"/>
      <c r="R29" s="326"/>
      <c r="S29" s="326"/>
      <c r="T29" s="326"/>
      <c r="U29" s="321"/>
      <c r="V29" s="321"/>
      <c r="W29" s="321"/>
      <c r="X29" s="321"/>
      <c r="Y29" s="321"/>
      <c r="Z29" s="321"/>
      <c r="AA29" s="321"/>
      <c r="AB29" s="321"/>
      <c r="AC29" s="321"/>
      <c r="AD29" s="321"/>
      <c r="AE29" s="321"/>
      <c r="AF29" s="321"/>
      <c r="AG29" s="321"/>
      <c r="AH29" s="321"/>
    </row>
    <row r="30" spans="1:34" x14ac:dyDescent="0.2">
      <c r="A30" s="895">
        <v>3.26</v>
      </c>
      <c r="B30" s="383" t="s">
        <v>350</v>
      </c>
      <c r="C30" s="384" t="s">
        <v>332</v>
      </c>
      <c r="D30" s="332">
        <v>419</v>
      </c>
      <c r="E30" s="333"/>
      <c r="F30" s="334">
        <f>E30*D30</f>
        <v>0</v>
      </c>
      <c r="G30" s="902"/>
      <c r="H30" s="344">
        <f t="shared" ref="H30:I32" si="13">E30</f>
        <v>0</v>
      </c>
      <c r="I30" s="335">
        <f t="shared" si="13"/>
        <v>0</v>
      </c>
      <c r="J30" s="336">
        <f t="shared" si="1"/>
        <v>0</v>
      </c>
      <c r="K30" s="338"/>
      <c r="L30" s="338"/>
      <c r="M30" s="339"/>
      <c r="N30" s="340">
        <f>F30</f>
        <v>0</v>
      </c>
      <c r="O30" s="346">
        <f>N30</f>
        <v>0</v>
      </c>
      <c r="P30" s="342">
        <f>O30*10%</f>
        <v>0</v>
      </c>
      <c r="Q30" s="326"/>
      <c r="R30" s="326"/>
      <c r="S30" s="326"/>
      <c r="T30" s="326"/>
      <c r="U30" s="321"/>
      <c r="V30" s="321"/>
      <c r="W30" s="321"/>
      <c r="X30" s="321"/>
      <c r="Y30" s="321"/>
      <c r="Z30" s="321"/>
      <c r="AA30" s="321"/>
      <c r="AB30" s="321"/>
      <c r="AC30" s="321"/>
      <c r="AD30" s="321"/>
      <c r="AE30" s="321"/>
      <c r="AF30" s="321"/>
      <c r="AG30" s="321"/>
      <c r="AH30" s="321"/>
    </row>
    <row r="31" spans="1:34" x14ac:dyDescent="0.2">
      <c r="A31" s="895">
        <v>3.27</v>
      </c>
      <c r="B31" s="383" t="s">
        <v>351</v>
      </c>
      <c r="C31" s="384" t="s">
        <v>332</v>
      </c>
      <c r="D31" s="332">
        <v>748</v>
      </c>
      <c r="E31" s="333"/>
      <c r="F31" s="334">
        <f>E31*D31</f>
        <v>0</v>
      </c>
      <c r="G31" s="902"/>
      <c r="H31" s="344">
        <f t="shared" si="13"/>
        <v>0</v>
      </c>
      <c r="I31" s="335">
        <f t="shared" si="13"/>
        <v>0</v>
      </c>
      <c r="J31" s="336">
        <f t="shared" si="1"/>
        <v>0</v>
      </c>
      <c r="K31" s="338"/>
      <c r="L31" s="338"/>
      <c r="M31" s="339"/>
      <c r="N31" s="340">
        <f>F31+J32</f>
        <v>0</v>
      </c>
      <c r="O31" s="346">
        <f>N31</f>
        <v>0</v>
      </c>
      <c r="P31" s="342">
        <f>O31*10%</f>
        <v>0</v>
      </c>
      <c r="Q31" s="326"/>
      <c r="R31" s="326"/>
      <c r="S31" s="326"/>
      <c r="T31" s="326"/>
      <c r="U31" s="321"/>
      <c r="V31" s="321"/>
      <c r="W31" s="321"/>
      <c r="X31" s="321"/>
      <c r="Y31" s="321"/>
      <c r="Z31" s="321"/>
      <c r="AA31" s="321"/>
      <c r="AB31" s="321"/>
      <c r="AC31" s="321"/>
      <c r="AD31" s="321"/>
      <c r="AE31" s="321"/>
      <c r="AF31" s="321"/>
      <c r="AG31" s="321"/>
      <c r="AH31" s="321"/>
    </row>
    <row r="32" spans="1:34" x14ac:dyDescent="0.2">
      <c r="A32" s="895">
        <v>3.28</v>
      </c>
      <c r="B32" s="383" t="s">
        <v>352</v>
      </c>
      <c r="C32" s="384" t="s">
        <v>332</v>
      </c>
      <c r="D32" s="332">
        <v>1200</v>
      </c>
      <c r="E32" s="333">
        <v>4</v>
      </c>
      <c r="F32" s="334">
        <f>E32*D31</f>
        <v>2992</v>
      </c>
      <c r="G32" s="902"/>
      <c r="H32" s="344">
        <f t="shared" si="13"/>
        <v>4</v>
      </c>
      <c r="I32" s="335">
        <f t="shared" si="13"/>
        <v>2992</v>
      </c>
      <c r="J32" s="336">
        <f t="shared" si="1"/>
        <v>0</v>
      </c>
      <c r="K32" s="338"/>
      <c r="L32" s="338"/>
      <c r="M32" s="339"/>
      <c r="N32" s="392"/>
      <c r="O32" s="393"/>
      <c r="P32" s="394"/>
      <c r="Q32" s="326"/>
      <c r="R32" s="326"/>
      <c r="S32" s="326"/>
      <c r="T32" s="326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21"/>
      <c r="AH32" s="321"/>
    </row>
    <row r="33" spans="1:34" x14ac:dyDescent="0.2">
      <c r="A33" s="894">
        <v>3.29</v>
      </c>
      <c r="B33" s="305" t="s">
        <v>353</v>
      </c>
      <c r="C33" s="384" t="s">
        <v>332</v>
      </c>
      <c r="D33" s="332">
        <v>1500</v>
      </c>
      <c r="E33" s="333">
        <v>4</v>
      </c>
      <c r="F33" s="334">
        <f>E33*D32</f>
        <v>4800</v>
      </c>
      <c r="G33" s="902"/>
      <c r="H33" s="344">
        <f t="shared" ref="H33" si="14">E33</f>
        <v>4</v>
      </c>
      <c r="I33" s="335">
        <f t="shared" ref="I33" si="15">F33</f>
        <v>4800</v>
      </c>
      <c r="J33" s="336">
        <f t="shared" si="1"/>
        <v>0</v>
      </c>
      <c r="K33" s="338"/>
      <c r="L33" s="338"/>
      <c r="M33" s="339"/>
      <c r="N33" s="392"/>
      <c r="O33" s="393"/>
      <c r="P33" s="394"/>
      <c r="Q33" s="326"/>
      <c r="R33" s="326"/>
      <c r="S33" s="326"/>
      <c r="T33" s="326"/>
      <c r="U33" s="321"/>
      <c r="V33" s="321"/>
      <c r="W33" s="321"/>
      <c r="X33" s="321"/>
      <c r="Y33" s="321"/>
      <c r="Z33" s="321"/>
      <c r="AA33" s="321"/>
      <c r="AB33" s="321"/>
      <c r="AC33" s="321"/>
      <c r="AD33" s="321"/>
      <c r="AE33" s="321"/>
      <c r="AF33" s="321"/>
      <c r="AG33" s="321"/>
      <c r="AH33" s="321"/>
    </row>
    <row r="34" spans="1:34" x14ac:dyDescent="0.2">
      <c r="A34" s="895">
        <v>3.3</v>
      </c>
      <c r="B34" s="383" t="s">
        <v>354</v>
      </c>
      <c r="C34" s="384" t="s">
        <v>332</v>
      </c>
      <c r="D34" s="332">
        <v>6000</v>
      </c>
      <c r="E34" s="333">
        <v>8</v>
      </c>
      <c r="F34" s="334">
        <f t="shared" ref="F34:F39" si="16">E34*D34</f>
        <v>48000</v>
      </c>
      <c r="G34" s="902"/>
      <c r="H34" s="344">
        <f t="shared" ref="H34:I39" si="17">E34</f>
        <v>8</v>
      </c>
      <c r="I34" s="335">
        <f t="shared" si="17"/>
        <v>48000</v>
      </c>
      <c r="J34" s="336">
        <f t="shared" si="1"/>
        <v>0</v>
      </c>
      <c r="K34" s="338"/>
      <c r="L34" s="338"/>
      <c r="M34" s="339"/>
      <c r="N34" s="340">
        <f t="shared" ref="N34:N39" si="18">F34</f>
        <v>48000</v>
      </c>
      <c r="O34" s="346">
        <f t="shared" ref="O34:O39" si="19">N34</f>
        <v>48000</v>
      </c>
      <c r="P34" s="342">
        <f t="shared" ref="P34:P39" si="20">O34*10%</f>
        <v>4800</v>
      </c>
      <c r="Q34" s="326"/>
      <c r="R34" s="326"/>
      <c r="S34" s="326"/>
      <c r="T34" s="326"/>
      <c r="U34" s="321"/>
      <c r="V34" s="321"/>
      <c r="W34" s="321"/>
      <c r="X34" s="321"/>
      <c r="Y34" s="321"/>
      <c r="Z34" s="321"/>
      <c r="AA34" s="321"/>
      <c r="AB34" s="321"/>
      <c r="AC34" s="321"/>
      <c r="AD34" s="321"/>
      <c r="AE34" s="321"/>
      <c r="AF34" s="321"/>
      <c r="AG34" s="321"/>
      <c r="AH34" s="321"/>
    </row>
    <row r="35" spans="1:34" x14ac:dyDescent="0.2">
      <c r="A35" s="895">
        <v>3.31</v>
      </c>
      <c r="B35" s="383" t="s">
        <v>355</v>
      </c>
      <c r="C35" s="384" t="s">
        <v>332</v>
      </c>
      <c r="D35" s="332">
        <v>8700</v>
      </c>
      <c r="E35" s="333">
        <v>8</v>
      </c>
      <c r="F35" s="334">
        <f t="shared" si="16"/>
        <v>69600</v>
      </c>
      <c r="G35" s="902"/>
      <c r="H35" s="344">
        <f t="shared" si="17"/>
        <v>8</v>
      </c>
      <c r="I35" s="335">
        <f t="shared" si="17"/>
        <v>69600</v>
      </c>
      <c r="J35" s="336">
        <f t="shared" si="1"/>
        <v>0</v>
      </c>
      <c r="K35" s="338"/>
      <c r="L35" s="338"/>
      <c r="M35" s="339"/>
      <c r="N35" s="340">
        <f t="shared" si="18"/>
        <v>69600</v>
      </c>
      <c r="O35" s="346">
        <f t="shared" si="19"/>
        <v>69600</v>
      </c>
      <c r="P35" s="342">
        <f t="shared" si="20"/>
        <v>6960</v>
      </c>
      <c r="Q35" s="326"/>
      <c r="R35" s="326"/>
      <c r="S35" s="326"/>
      <c r="T35" s="326"/>
      <c r="U35" s="321"/>
      <c r="V35" s="321"/>
      <c r="W35" s="321"/>
      <c r="X35" s="321"/>
      <c r="Y35" s="321"/>
      <c r="Z35" s="321"/>
      <c r="AA35" s="321"/>
      <c r="AB35" s="321"/>
      <c r="AC35" s="321"/>
      <c r="AD35" s="321"/>
      <c r="AE35" s="321"/>
      <c r="AF35" s="321"/>
      <c r="AG35" s="321"/>
      <c r="AH35" s="321"/>
    </row>
    <row r="36" spans="1:34" x14ac:dyDescent="0.2">
      <c r="A36" s="895">
        <v>3.32</v>
      </c>
      <c r="B36" s="383" t="s">
        <v>356</v>
      </c>
      <c r="C36" s="384" t="s">
        <v>332</v>
      </c>
      <c r="D36" s="332">
        <v>2300</v>
      </c>
      <c r="E36" s="333">
        <v>8</v>
      </c>
      <c r="F36" s="334">
        <f t="shared" si="16"/>
        <v>18400</v>
      </c>
      <c r="G36" s="902"/>
      <c r="H36" s="344">
        <f t="shared" si="17"/>
        <v>8</v>
      </c>
      <c r="I36" s="335">
        <f t="shared" si="17"/>
        <v>18400</v>
      </c>
      <c r="J36" s="336">
        <f t="shared" si="1"/>
        <v>0</v>
      </c>
      <c r="K36" s="338"/>
      <c r="L36" s="338"/>
      <c r="M36" s="339"/>
      <c r="N36" s="340">
        <f t="shared" si="18"/>
        <v>18400</v>
      </c>
      <c r="O36" s="346">
        <f t="shared" si="19"/>
        <v>18400</v>
      </c>
      <c r="P36" s="342">
        <f t="shared" si="20"/>
        <v>1840</v>
      </c>
      <c r="Q36" s="326"/>
      <c r="R36" s="326"/>
      <c r="S36" s="326"/>
      <c r="T36" s="326"/>
      <c r="U36" s="321"/>
      <c r="V36" s="321"/>
      <c r="W36" s="321"/>
      <c r="X36" s="321"/>
      <c r="Y36" s="321"/>
      <c r="Z36" s="321"/>
      <c r="AA36" s="321"/>
      <c r="AB36" s="321"/>
      <c r="AC36" s="321"/>
      <c r="AD36" s="321"/>
      <c r="AE36" s="321"/>
      <c r="AF36" s="321"/>
      <c r="AG36" s="321"/>
      <c r="AH36" s="321"/>
    </row>
    <row r="37" spans="1:34" x14ac:dyDescent="0.2">
      <c r="A37" s="895">
        <v>3.33</v>
      </c>
      <c r="B37" s="383" t="s">
        <v>357</v>
      </c>
      <c r="C37" s="384" t="s">
        <v>332</v>
      </c>
      <c r="D37" s="332">
        <v>3000</v>
      </c>
      <c r="E37" s="333">
        <v>8</v>
      </c>
      <c r="F37" s="334">
        <f t="shared" si="16"/>
        <v>24000</v>
      </c>
      <c r="G37" s="902"/>
      <c r="H37" s="344">
        <f t="shared" si="17"/>
        <v>8</v>
      </c>
      <c r="I37" s="335">
        <f t="shared" si="17"/>
        <v>24000</v>
      </c>
      <c r="J37" s="336">
        <f t="shared" si="1"/>
        <v>0</v>
      </c>
      <c r="K37" s="338"/>
      <c r="L37" s="338"/>
      <c r="M37" s="339"/>
      <c r="N37" s="340">
        <f t="shared" si="18"/>
        <v>24000</v>
      </c>
      <c r="O37" s="346">
        <f t="shared" si="19"/>
        <v>24000</v>
      </c>
      <c r="P37" s="342">
        <f t="shared" si="20"/>
        <v>2400</v>
      </c>
      <c r="Q37" s="326"/>
      <c r="R37" s="326"/>
      <c r="S37" s="326"/>
      <c r="T37" s="326"/>
      <c r="U37" s="321"/>
      <c r="V37" s="321"/>
      <c r="W37" s="321"/>
      <c r="X37" s="321"/>
      <c r="Y37" s="321"/>
      <c r="Z37" s="321"/>
      <c r="AA37" s="321"/>
      <c r="AB37" s="321"/>
      <c r="AC37" s="321"/>
      <c r="AD37" s="321"/>
      <c r="AE37" s="321"/>
      <c r="AF37" s="321"/>
      <c r="AG37" s="321"/>
      <c r="AH37" s="321"/>
    </row>
    <row r="38" spans="1:34" x14ac:dyDescent="0.2">
      <c r="A38" s="895">
        <v>3.34</v>
      </c>
      <c r="B38" s="383" t="s">
        <v>358</v>
      </c>
      <c r="C38" s="384" t="s">
        <v>218</v>
      </c>
      <c r="D38" s="332">
        <v>145</v>
      </c>
      <c r="E38" s="333">
        <v>1750</v>
      </c>
      <c r="F38" s="334">
        <f t="shared" si="16"/>
        <v>253750</v>
      </c>
      <c r="G38" s="902"/>
      <c r="H38" s="344">
        <f t="shared" si="17"/>
        <v>1750</v>
      </c>
      <c r="I38" s="335">
        <f t="shared" si="17"/>
        <v>253750</v>
      </c>
      <c r="J38" s="336">
        <f t="shared" si="1"/>
        <v>0</v>
      </c>
      <c r="K38" s="338"/>
      <c r="L38" s="338"/>
      <c r="M38" s="339"/>
      <c r="N38" s="340">
        <f t="shared" si="18"/>
        <v>253750</v>
      </c>
      <c r="O38" s="346">
        <f t="shared" si="19"/>
        <v>253750</v>
      </c>
      <c r="P38" s="342">
        <f t="shared" si="20"/>
        <v>25375</v>
      </c>
      <c r="Q38" s="326"/>
      <c r="R38" s="326"/>
      <c r="S38" s="326"/>
      <c r="T38" s="326"/>
      <c r="U38" s="321"/>
      <c r="V38" s="321"/>
      <c r="W38" s="321"/>
      <c r="X38" s="321"/>
      <c r="Y38" s="321"/>
      <c r="Z38" s="321"/>
      <c r="AA38" s="321"/>
      <c r="AB38" s="321"/>
      <c r="AC38" s="321"/>
      <c r="AD38" s="321"/>
      <c r="AE38" s="321"/>
      <c r="AF38" s="321"/>
      <c r="AG38" s="321"/>
      <c r="AH38" s="321"/>
    </row>
    <row r="39" spans="1:34" x14ac:dyDescent="0.2">
      <c r="A39" s="895">
        <v>3.35</v>
      </c>
      <c r="B39" s="383" t="s">
        <v>359</v>
      </c>
      <c r="C39" s="384" t="s">
        <v>218</v>
      </c>
      <c r="D39" s="332">
        <v>185</v>
      </c>
      <c r="E39" s="333">
        <v>875</v>
      </c>
      <c r="F39" s="334">
        <f t="shared" si="16"/>
        <v>161875</v>
      </c>
      <c r="G39" s="902"/>
      <c r="H39" s="344">
        <f t="shared" si="17"/>
        <v>875</v>
      </c>
      <c r="I39" s="335">
        <f t="shared" si="17"/>
        <v>161875</v>
      </c>
      <c r="J39" s="336">
        <f t="shared" si="1"/>
        <v>0</v>
      </c>
      <c r="K39" s="338"/>
      <c r="L39" s="338"/>
      <c r="M39" s="339"/>
      <c r="N39" s="340">
        <f t="shared" si="18"/>
        <v>161875</v>
      </c>
      <c r="O39" s="346">
        <f t="shared" si="19"/>
        <v>161875</v>
      </c>
      <c r="P39" s="342">
        <f t="shared" si="20"/>
        <v>16187.5</v>
      </c>
      <c r="Q39" s="326"/>
      <c r="R39" s="326"/>
      <c r="S39" s="326"/>
      <c r="T39" s="326"/>
      <c r="U39" s="321"/>
      <c r="V39" s="321"/>
      <c r="W39" s="321"/>
      <c r="X39" s="321"/>
      <c r="Y39" s="321"/>
      <c r="Z39" s="321"/>
      <c r="AA39" s="321"/>
      <c r="AB39" s="321"/>
      <c r="AC39" s="321"/>
      <c r="AD39" s="321"/>
      <c r="AE39" s="321"/>
      <c r="AF39" s="321"/>
      <c r="AG39" s="321"/>
      <c r="AH39" s="321"/>
    </row>
    <row r="40" spans="1:34" x14ac:dyDescent="0.2">
      <c r="A40" s="895">
        <v>3.36</v>
      </c>
      <c r="B40" s="383" t="s">
        <v>360</v>
      </c>
      <c r="C40" s="384" t="s">
        <v>332</v>
      </c>
      <c r="D40" s="332">
        <v>3840</v>
      </c>
      <c r="E40" s="333">
        <v>875</v>
      </c>
      <c r="F40" s="334">
        <f t="shared" ref="F40" si="21">E40*D40</f>
        <v>3360000</v>
      </c>
      <c r="G40" s="902"/>
      <c r="H40" s="344">
        <f>E40</f>
        <v>875</v>
      </c>
      <c r="I40" s="335">
        <f>F40</f>
        <v>3360000</v>
      </c>
      <c r="J40" s="336">
        <f t="shared" si="1"/>
        <v>0</v>
      </c>
      <c r="K40" s="338"/>
      <c r="L40" s="338"/>
      <c r="M40" s="339"/>
      <c r="N40" s="340">
        <f>F40</f>
        <v>3360000</v>
      </c>
      <c r="O40" s="346">
        <f t="shared" ref="O40" si="22">N40</f>
        <v>3360000</v>
      </c>
      <c r="P40" s="342">
        <f t="shared" ref="P40" si="23">O40*10%</f>
        <v>336000</v>
      </c>
      <c r="Q40" s="326"/>
      <c r="R40" s="326"/>
      <c r="S40" s="326"/>
      <c r="T40" s="326"/>
      <c r="U40" s="321"/>
      <c r="V40" s="321"/>
      <c r="W40" s="321"/>
      <c r="X40" s="321"/>
      <c r="Y40" s="321"/>
      <c r="Z40" s="321"/>
      <c r="AA40" s="321"/>
      <c r="AB40" s="321"/>
      <c r="AC40" s="321"/>
      <c r="AD40" s="321"/>
      <c r="AE40" s="321"/>
      <c r="AF40" s="321"/>
      <c r="AG40" s="321"/>
      <c r="AH40" s="321"/>
    </row>
    <row r="41" spans="1:34" x14ac:dyDescent="0.2">
      <c r="A41" s="894">
        <v>3.37</v>
      </c>
      <c r="B41" s="305" t="s">
        <v>361</v>
      </c>
      <c r="C41" s="384" t="s">
        <v>332</v>
      </c>
      <c r="D41" s="332">
        <v>4200</v>
      </c>
      <c r="E41" s="333">
        <v>875</v>
      </c>
      <c r="F41" s="334">
        <f t="shared" ref="F41" si="24">E41*D41</f>
        <v>3675000</v>
      </c>
      <c r="G41" s="902"/>
      <c r="H41" s="344">
        <f t="shared" ref="H41" si="25">E41</f>
        <v>875</v>
      </c>
      <c r="I41" s="335">
        <f t="shared" ref="I41" si="26">F41</f>
        <v>3675000</v>
      </c>
      <c r="J41" s="336">
        <f t="shared" si="1"/>
        <v>0</v>
      </c>
      <c r="K41" s="338"/>
      <c r="L41" s="338"/>
      <c r="M41" s="339"/>
      <c r="N41" s="340">
        <f t="shared" ref="N41" si="27">F41</f>
        <v>3675000</v>
      </c>
      <c r="O41" s="346">
        <f t="shared" ref="O41" si="28">N41</f>
        <v>3675000</v>
      </c>
      <c r="P41" s="342">
        <f t="shared" ref="P41" si="29">O41*10%</f>
        <v>367500</v>
      </c>
      <c r="Q41" s="326"/>
      <c r="R41" s="326"/>
      <c r="S41" s="326"/>
      <c r="T41" s="326"/>
      <c r="U41" s="321"/>
      <c r="V41" s="321"/>
      <c r="W41" s="321"/>
      <c r="X41" s="321"/>
      <c r="Y41" s="321"/>
      <c r="Z41" s="321"/>
      <c r="AA41" s="321"/>
      <c r="AB41" s="321"/>
      <c r="AC41" s="321"/>
      <c r="AD41" s="321"/>
      <c r="AE41" s="321"/>
      <c r="AF41" s="321"/>
      <c r="AG41" s="321"/>
      <c r="AH41" s="321"/>
    </row>
    <row r="42" spans="1:34" x14ac:dyDescent="0.2">
      <c r="A42" s="895">
        <v>3.38</v>
      </c>
      <c r="B42" s="383" t="s">
        <v>362</v>
      </c>
      <c r="C42" s="384" t="s">
        <v>218</v>
      </c>
      <c r="D42" s="332">
        <v>524</v>
      </c>
      <c r="E42" s="333">
        <v>0</v>
      </c>
      <c r="F42" s="334">
        <f t="shared" ref="F42" si="30">E42*D42</f>
        <v>0</v>
      </c>
      <c r="G42" s="902"/>
      <c r="H42" s="344">
        <f t="shared" ref="H42" si="31">E42</f>
        <v>0</v>
      </c>
      <c r="I42" s="335">
        <f t="shared" ref="I42" si="32">F42</f>
        <v>0</v>
      </c>
      <c r="J42" s="336">
        <f t="shared" si="1"/>
        <v>0</v>
      </c>
      <c r="K42" s="338"/>
      <c r="L42" s="338"/>
      <c r="M42" s="339"/>
      <c r="N42" s="340">
        <f t="shared" ref="N42" si="33">F42</f>
        <v>0</v>
      </c>
      <c r="O42" s="346">
        <f t="shared" ref="O42" si="34">N42</f>
        <v>0</v>
      </c>
      <c r="P42" s="342">
        <f t="shared" ref="P42" si="35">O42*10%</f>
        <v>0</v>
      </c>
      <c r="Q42" s="326"/>
      <c r="R42" s="326"/>
      <c r="S42" s="326"/>
      <c r="T42" s="326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</row>
    <row r="43" spans="1:34" x14ac:dyDescent="0.2">
      <c r="A43" s="895">
        <v>3.39</v>
      </c>
      <c r="B43" s="383" t="s">
        <v>363</v>
      </c>
      <c r="C43" s="384" t="s">
        <v>332</v>
      </c>
      <c r="D43" s="332">
        <v>370</v>
      </c>
      <c r="E43" s="333">
        <v>10</v>
      </c>
      <c r="F43" s="334">
        <f t="shared" ref="F43:F50" si="36">E43*D43</f>
        <v>3700</v>
      </c>
      <c r="G43" s="902"/>
      <c r="H43" s="344">
        <f t="shared" ref="H43:I50" si="37">E43</f>
        <v>10</v>
      </c>
      <c r="I43" s="335">
        <f t="shared" si="37"/>
        <v>3700</v>
      </c>
      <c r="J43" s="336">
        <f t="shared" si="1"/>
        <v>0</v>
      </c>
      <c r="K43" s="338"/>
      <c r="L43" s="338"/>
      <c r="M43" s="339"/>
      <c r="N43" s="340">
        <f t="shared" ref="N43:N50" si="38">F43</f>
        <v>3700</v>
      </c>
      <c r="O43" s="346">
        <f t="shared" ref="O43:O50" si="39">N43</f>
        <v>3700</v>
      </c>
      <c r="P43" s="342">
        <f t="shared" ref="P43:P50" si="40">O43*10%</f>
        <v>370</v>
      </c>
      <c r="Q43" s="326"/>
      <c r="R43" s="326"/>
      <c r="S43" s="326"/>
      <c r="T43" s="326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</row>
    <row r="44" spans="1:34" x14ac:dyDescent="0.2">
      <c r="A44" s="895">
        <v>3.4</v>
      </c>
      <c r="B44" s="383" t="s">
        <v>364</v>
      </c>
      <c r="C44" s="384" t="s">
        <v>332</v>
      </c>
      <c r="D44" s="332">
        <v>3600</v>
      </c>
      <c r="E44" s="333">
        <v>135</v>
      </c>
      <c r="F44" s="334">
        <f t="shared" si="36"/>
        <v>486000</v>
      </c>
      <c r="G44" s="902"/>
      <c r="H44" s="344">
        <f t="shared" si="37"/>
        <v>135</v>
      </c>
      <c r="I44" s="335">
        <f t="shared" si="37"/>
        <v>486000</v>
      </c>
      <c r="J44" s="336">
        <f t="shared" si="1"/>
        <v>0</v>
      </c>
      <c r="K44" s="338"/>
      <c r="L44" s="338"/>
      <c r="M44" s="339"/>
      <c r="N44" s="340">
        <f t="shared" si="38"/>
        <v>486000</v>
      </c>
      <c r="O44" s="346">
        <f t="shared" si="39"/>
        <v>486000</v>
      </c>
      <c r="P44" s="342">
        <f t="shared" si="40"/>
        <v>48600</v>
      </c>
      <c r="Q44" s="326"/>
      <c r="R44" s="326"/>
      <c r="S44" s="326"/>
      <c r="T44" s="326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</row>
    <row r="45" spans="1:34" x14ac:dyDescent="0.2">
      <c r="A45" s="895">
        <v>3.41</v>
      </c>
      <c r="B45" s="383" t="s">
        <v>365</v>
      </c>
      <c r="C45" s="384" t="s">
        <v>332</v>
      </c>
      <c r="D45" s="332">
        <v>810</v>
      </c>
      <c r="E45" s="333">
        <v>20</v>
      </c>
      <c r="F45" s="334">
        <f t="shared" si="36"/>
        <v>16200</v>
      </c>
      <c r="G45" s="902"/>
      <c r="H45" s="344">
        <f t="shared" si="37"/>
        <v>20</v>
      </c>
      <c r="I45" s="335">
        <f t="shared" si="37"/>
        <v>16200</v>
      </c>
      <c r="J45" s="336">
        <f t="shared" si="1"/>
        <v>0</v>
      </c>
      <c r="K45" s="338"/>
      <c r="L45" s="338"/>
      <c r="M45" s="339"/>
      <c r="N45" s="340">
        <f t="shared" si="38"/>
        <v>16200</v>
      </c>
      <c r="O45" s="346">
        <f t="shared" si="39"/>
        <v>16200</v>
      </c>
      <c r="P45" s="342">
        <f t="shared" si="40"/>
        <v>1620</v>
      </c>
      <c r="Q45" s="326"/>
      <c r="R45" s="326"/>
      <c r="S45" s="326"/>
      <c r="T45" s="326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</row>
    <row r="46" spans="1:34" x14ac:dyDescent="0.2">
      <c r="A46" s="895">
        <v>3.42</v>
      </c>
      <c r="B46" s="383" t="s">
        <v>366</v>
      </c>
      <c r="C46" s="384" t="s">
        <v>328</v>
      </c>
      <c r="D46" s="332">
        <v>6.5</v>
      </c>
      <c r="E46" s="333"/>
      <c r="F46" s="334">
        <f t="shared" si="36"/>
        <v>0</v>
      </c>
      <c r="G46" s="902"/>
      <c r="H46" s="344">
        <f t="shared" si="37"/>
        <v>0</v>
      </c>
      <c r="I46" s="335">
        <f t="shared" si="37"/>
        <v>0</v>
      </c>
      <c r="J46" s="336">
        <f t="shared" si="1"/>
        <v>0</v>
      </c>
      <c r="K46" s="338"/>
      <c r="L46" s="338"/>
      <c r="M46" s="339"/>
      <c r="N46" s="340">
        <f t="shared" si="38"/>
        <v>0</v>
      </c>
      <c r="O46" s="346">
        <f t="shared" si="39"/>
        <v>0</v>
      </c>
      <c r="P46" s="342">
        <f t="shared" si="40"/>
        <v>0</v>
      </c>
      <c r="Q46" s="326"/>
      <c r="R46" s="326"/>
      <c r="S46" s="326"/>
      <c r="T46" s="326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</row>
    <row r="47" spans="1:34" x14ac:dyDescent="0.2">
      <c r="A47" s="895">
        <v>3.43</v>
      </c>
      <c r="B47" s="383" t="s">
        <v>367</v>
      </c>
      <c r="C47" s="384" t="s">
        <v>332</v>
      </c>
      <c r="D47" s="332">
        <v>314000</v>
      </c>
      <c r="E47" s="333">
        <v>2</v>
      </c>
      <c r="F47" s="334">
        <f t="shared" si="36"/>
        <v>628000</v>
      </c>
      <c r="G47" s="902"/>
      <c r="H47" s="344">
        <f t="shared" si="37"/>
        <v>2</v>
      </c>
      <c r="I47" s="335">
        <f t="shared" si="37"/>
        <v>628000</v>
      </c>
      <c r="J47" s="336">
        <f t="shared" si="1"/>
        <v>0</v>
      </c>
      <c r="K47" s="338"/>
      <c r="L47" s="338"/>
      <c r="M47" s="339"/>
      <c r="N47" s="340">
        <f t="shared" si="38"/>
        <v>628000</v>
      </c>
      <c r="O47" s="346">
        <f t="shared" si="39"/>
        <v>628000</v>
      </c>
      <c r="P47" s="342">
        <f t="shared" si="40"/>
        <v>62800</v>
      </c>
      <c r="Q47" s="326"/>
      <c r="R47" s="326"/>
      <c r="S47" s="326"/>
      <c r="T47" s="326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</row>
    <row r="48" spans="1:34" x14ac:dyDescent="0.2">
      <c r="A48" s="895">
        <v>3.44</v>
      </c>
      <c r="B48" s="383" t="s">
        <v>368</v>
      </c>
      <c r="C48" s="384" t="s">
        <v>332</v>
      </c>
      <c r="D48" s="332">
        <v>18000</v>
      </c>
      <c r="E48" s="333">
        <v>5</v>
      </c>
      <c r="F48" s="334">
        <f t="shared" si="36"/>
        <v>90000</v>
      </c>
      <c r="G48" s="902"/>
      <c r="H48" s="344">
        <f t="shared" si="37"/>
        <v>5</v>
      </c>
      <c r="I48" s="335">
        <f t="shared" si="37"/>
        <v>90000</v>
      </c>
      <c r="J48" s="336">
        <f t="shared" si="1"/>
        <v>0</v>
      </c>
      <c r="K48" s="338"/>
      <c r="L48" s="338"/>
      <c r="M48" s="339"/>
      <c r="N48" s="340">
        <f t="shared" si="38"/>
        <v>90000</v>
      </c>
      <c r="O48" s="346">
        <f t="shared" si="39"/>
        <v>90000</v>
      </c>
      <c r="P48" s="342">
        <f t="shared" si="40"/>
        <v>9000</v>
      </c>
      <c r="Q48" s="326"/>
      <c r="R48" s="326"/>
      <c r="S48" s="326"/>
      <c r="T48" s="326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</row>
    <row r="49" spans="1:34" x14ac:dyDescent="0.2">
      <c r="A49" s="895">
        <v>3.45</v>
      </c>
      <c r="B49" s="383" t="s">
        <v>369</v>
      </c>
      <c r="C49" s="384" t="s">
        <v>332</v>
      </c>
      <c r="D49" s="332">
        <v>800</v>
      </c>
      <c r="E49" s="333">
        <v>10</v>
      </c>
      <c r="F49" s="334">
        <f t="shared" si="36"/>
        <v>8000</v>
      </c>
      <c r="G49" s="902"/>
      <c r="H49" s="344">
        <f t="shared" si="37"/>
        <v>10</v>
      </c>
      <c r="I49" s="335">
        <f t="shared" si="37"/>
        <v>8000</v>
      </c>
      <c r="J49" s="336">
        <f t="shared" si="1"/>
        <v>0</v>
      </c>
      <c r="K49" s="338"/>
      <c r="L49" s="338"/>
      <c r="M49" s="339"/>
      <c r="N49" s="340">
        <f t="shared" si="38"/>
        <v>8000</v>
      </c>
      <c r="O49" s="346">
        <f t="shared" si="39"/>
        <v>8000</v>
      </c>
      <c r="P49" s="342">
        <f t="shared" si="40"/>
        <v>800</v>
      </c>
      <c r="Q49" s="326"/>
      <c r="R49" s="326"/>
      <c r="S49" s="326"/>
      <c r="T49" s="326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</row>
    <row r="50" spans="1:34" x14ac:dyDescent="0.2">
      <c r="A50" s="895"/>
      <c r="B50" s="383"/>
      <c r="C50" s="384"/>
      <c r="D50" s="332"/>
      <c r="E50" s="333"/>
      <c r="F50" s="334">
        <f t="shared" si="36"/>
        <v>0</v>
      </c>
      <c r="G50" s="902"/>
      <c r="H50" s="344">
        <f t="shared" si="37"/>
        <v>0</v>
      </c>
      <c r="I50" s="335">
        <f t="shared" si="37"/>
        <v>0</v>
      </c>
      <c r="J50" s="336">
        <f t="shared" si="1"/>
        <v>0</v>
      </c>
      <c r="K50" s="338"/>
      <c r="L50" s="338"/>
      <c r="M50" s="339"/>
      <c r="N50" s="340">
        <f t="shared" si="38"/>
        <v>0</v>
      </c>
      <c r="O50" s="346">
        <f t="shared" si="39"/>
        <v>0</v>
      </c>
      <c r="P50" s="342">
        <f t="shared" si="40"/>
        <v>0</v>
      </c>
      <c r="Q50" s="326"/>
      <c r="R50" s="326"/>
      <c r="S50" s="326"/>
      <c r="T50" s="326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</row>
    <row r="51" spans="1:34" x14ac:dyDescent="0.2">
      <c r="A51" s="895"/>
      <c r="B51" s="383"/>
      <c r="C51" s="384"/>
      <c r="D51" s="332"/>
      <c r="E51" s="388"/>
      <c r="F51" s="388"/>
      <c r="G51" s="903"/>
      <c r="H51" s="389"/>
      <c r="I51" s="381"/>
      <c r="J51" s="336">
        <f t="shared" si="1"/>
        <v>0</v>
      </c>
      <c r="K51" s="390"/>
      <c r="L51" s="390"/>
      <c r="M51" s="391"/>
      <c r="N51" s="392"/>
      <c r="O51" s="393"/>
      <c r="P51" s="394"/>
      <c r="Q51" s="326"/>
      <c r="R51" s="326"/>
      <c r="S51" s="326"/>
      <c r="T51" s="326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</row>
    <row r="52" spans="1:34" ht="14.25" x14ac:dyDescent="0.2">
      <c r="A52" s="897"/>
      <c r="B52" s="898"/>
      <c r="C52" s="384"/>
      <c r="D52" s="332"/>
      <c r="E52" s="388"/>
      <c r="F52" s="388"/>
      <c r="G52" s="903"/>
      <c r="H52" s="389"/>
      <c r="I52" s="381"/>
      <c r="J52" s="336">
        <f t="shared" si="1"/>
        <v>0</v>
      </c>
      <c r="K52" s="390"/>
      <c r="L52" s="390"/>
      <c r="M52" s="391"/>
      <c r="N52" s="392"/>
      <c r="O52" s="393"/>
      <c r="P52" s="394"/>
      <c r="Q52" s="326"/>
      <c r="R52" s="326"/>
      <c r="S52" s="326"/>
      <c r="T52" s="326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</row>
    <row r="53" spans="1:34" x14ac:dyDescent="0.2">
      <c r="A53" s="895"/>
      <c r="B53" s="383"/>
      <c r="C53" s="384"/>
      <c r="D53" s="332"/>
      <c r="E53" s="333"/>
      <c r="F53" s="334">
        <f>E53*D53</f>
        <v>0</v>
      </c>
      <c r="G53" s="902"/>
      <c r="H53" s="344">
        <f>E53</f>
        <v>0</v>
      </c>
      <c r="I53" s="335">
        <f>F53</f>
        <v>0</v>
      </c>
      <c r="J53" s="336">
        <f t="shared" si="1"/>
        <v>0</v>
      </c>
      <c r="K53" s="338"/>
      <c r="L53" s="338"/>
      <c r="M53" s="339"/>
      <c r="N53" s="340">
        <f>F53</f>
        <v>0</v>
      </c>
      <c r="O53" s="346">
        <f>N53</f>
        <v>0</v>
      </c>
      <c r="P53" s="342">
        <f>O53*10%</f>
        <v>0</v>
      </c>
      <c r="Q53" s="326"/>
      <c r="R53" s="326"/>
      <c r="S53" s="326"/>
      <c r="T53" s="326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</row>
    <row r="54" spans="1:34" x14ac:dyDescent="0.2">
      <c r="A54" s="895"/>
      <c r="B54" s="383"/>
      <c r="C54" s="384"/>
      <c r="D54" s="332"/>
      <c r="E54" s="333"/>
      <c r="F54" s="334">
        <f>E54*D54</f>
        <v>0</v>
      </c>
      <c r="G54" s="902"/>
      <c r="H54" s="344">
        <f>E54</f>
        <v>0</v>
      </c>
      <c r="I54" s="335">
        <f>F54</f>
        <v>0</v>
      </c>
      <c r="J54" s="336">
        <f t="shared" si="1"/>
        <v>0</v>
      </c>
      <c r="K54" s="338"/>
      <c r="L54" s="338"/>
      <c r="M54" s="339"/>
      <c r="N54" s="340">
        <f>F54</f>
        <v>0</v>
      </c>
      <c r="O54" s="346">
        <f>N54</f>
        <v>0</v>
      </c>
      <c r="P54" s="342">
        <f>O54*10%</f>
        <v>0</v>
      </c>
      <c r="Q54" s="326"/>
      <c r="R54" s="326"/>
      <c r="S54" s="326"/>
      <c r="T54" s="326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</row>
    <row r="55" spans="1:34" x14ac:dyDescent="0.2">
      <c r="A55" s="895"/>
      <c r="B55" s="383"/>
      <c r="C55" s="384"/>
      <c r="D55" s="332"/>
      <c r="E55" s="388"/>
      <c r="F55" s="388"/>
      <c r="G55" s="903"/>
      <c r="H55" s="389"/>
      <c r="I55" s="381"/>
      <c r="J55" s="336">
        <f t="shared" si="1"/>
        <v>0</v>
      </c>
      <c r="K55" s="390"/>
      <c r="L55" s="390"/>
      <c r="M55" s="391"/>
      <c r="N55" s="392"/>
      <c r="O55" s="393"/>
      <c r="P55" s="394"/>
      <c r="Q55" s="326"/>
      <c r="R55" s="326"/>
      <c r="S55" s="326"/>
      <c r="T55" s="326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</row>
    <row r="56" spans="1:34" ht="14.25" x14ac:dyDescent="0.2">
      <c r="A56" s="897"/>
      <c r="B56" s="898"/>
      <c r="C56" s="384"/>
      <c r="D56" s="332"/>
      <c r="E56" s="388"/>
      <c r="F56" s="388"/>
      <c r="G56" s="903"/>
      <c r="H56" s="389"/>
      <c r="I56" s="381"/>
      <c r="J56" s="336">
        <f t="shared" si="1"/>
        <v>0</v>
      </c>
      <c r="K56" s="390"/>
      <c r="L56" s="390"/>
      <c r="M56" s="391"/>
      <c r="N56" s="392"/>
      <c r="O56" s="393"/>
      <c r="P56" s="394"/>
      <c r="Q56" s="326"/>
      <c r="R56" s="326"/>
      <c r="S56" s="326"/>
      <c r="T56" s="326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</row>
    <row r="57" spans="1:34" x14ac:dyDescent="0.2">
      <c r="A57" s="895"/>
      <c r="B57" s="383"/>
      <c r="C57" s="384"/>
      <c r="D57" s="332"/>
      <c r="E57" s="333"/>
      <c r="F57" s="334">
        <f>E57*D57</f>
        <v>0</v>
      </c>
      <c r="G57" s="902"/>
      <c r="H57" s="344">
        <f>E57</f>
        <v>0</v>
      </c>
      <c r="I57" s="335">
        <f>F57</f>
        <v>0</v>
      </c>
      <c r="J57" s="336">
        <f t="shared" si="1"/>
        <v>0</v>
      </c>
      <c r="K57" s="338"/>
      <c r="L57" s="338"/>
      <c r="M57" s="339"/>
      <c r="N57" s="340">
        <f>F57</f>
        <v>0</v>
      </c>
      <c r="O57" s="346">
        <f>N57</f>
        <v>0</v>
      </c>
      <c r="P57" s="342">
        <f>O57*10%</f>
        <v>0</v>
      </c>
      <c r="Q57" s="326"/>
      <c r="R57" s="326"/>
      <c r="S57" s="326"/>
      <c r="T57" s="326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</row>
    <row r="58" spans="1:34" x14ac:dyDescent="0.2">
      <c r="A58" s="895"/>
      <c r="B58" s="383"/>
      <c r="C58" s="384"/>
      <c r="D58" s="332"/>
      <c r="E58" s="333"/>
      <c r="F58" s="334">
        <f>E58*D58</f>
        <v>0</v>
      </c>
      <c r="G58" s="902"/>
      <c r="H58" s="344">
        <f>E58</f>
        <v>0</v>
      </c>
      <c r="I58" s="335">
        <f>F58</f>
        <v>0</v>
      </c>
      <c r="J58" s="336">
        <f t="shared" si="1"/>
        <v>0</v>
      </c>
      <c r="K58" s="338"/>
      <c r="L58" s="338"/>
      <c r="M58" s="339"/>
      <c r="N58" s="340">
        <f>F58</f>
        <v>0</v>
      </c>
      <c r="O58" s="346">
        <f>N58</f>
        <v>0</v>
      </c>
      <c r="P58" s="342">
        <f>O58*10%</f>
        <v>0</v>
      </c>
      <c r="Q58" s="326"/>
      <c r="R58" s="326"/>
      <c r="S58" s="326"/>
      <c r="T58" s="326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</row>
    <row r="59" spans="1:34" x14ac:dyDescent="0.2">
      <c r="A59" s="895"/>
      <c r="B59" s="383"/>
      <c r="C59" s="384"/>
      <c r="D59" s="332"/>
      <c r="E59" s="388"/>
      <c r="F59" s="388"/>
      <c r="G59" s="903"/>
      <c r="H59" s="389"/>
      <c r="I59" s="381"/>
      <c r="J59" s="336">
        <f t="shared" si="1"/>
        <v>0</v>
      </c>
      <c r="K59" s="390"/>
      <c r="L59" s="390"/>
      <c r="M59" s="391"/>
      <c r="N59" s="392"/>
      <c r="O59" s="393"/>
      <c r="P59" s="394"/>
      <c r="Q59" s="326"/>
      <c r="R59" s="326"/>
      <c r="S59" s="326"/>
      <c r="T59" s="326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</row>
    <row r="60" spans="1:34" ht="14.25" x14ac:dyDescent="0.2">
      <c r="A60" s="897"/>
      <c r="B60" s="898"/>
      <c r="C60" s="384"/>
      <c r="D60" s="332"/>
      <c r="E60" s="333"/>
      <c r="F60" s="334">
        <f>E60*D60</f>
        <v>0</v>
      </c>
      <c r="G60" s="902"/>
      <c r="H60" s="344">
        <f>E60</f>
        <v>0</v>
      </c>
      <c r="I60" s="335">
        <f>F60</f>
        <v>0</v>
      </c>
      <c r="J60" s="336">
        <f t="shared" si="1"/>
        <v>0</v>
      </c>
      <c r="K60" s="338"/>
      <c r="L60" s="338"/>
      <c r="M60" s="339"/>
      <c r="N60" s="340">
        <f>F60</f>
        <v>0</v>
      </c>
      <c r="O60" s="346">
        <f>N60</f>
        <v>0</v>
      </c>
      <c r="P60" s="342">
        <f>O60*10%</f>
        <v>0</v>
      </c>
      <c r="Q60" s="326"/>
      <c r="R60" s="326"/>
      <c r="S60" s="326"/>
      <c r="T60" s="326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</row>
    <row r="61" spans="1:34" x14ac:dyDescent="0.2">
      <c r="A61" s="895"/>
      <c r="B61" s="383"/>
      <c r="C61" s="384"/>
      <c r="D61" s="332"/>
      <c r="E61" s="388"/>
      <c r="F61" s="388"/>
      <c r="G61" s="903"/>
      <c r="H61" s="389"/>
      <c r="I61" s="381"/>
      <c r="J61" s="336">
        <f t="shared" si="1"/>
        <v>0</v>
      </c>
      <c r="K61" s="390"/>
      <c r="L61" s="390"/>
      <c r="M61" s="391"/>
      <c r="N61" s="392"/>
      <c r="O61" s="393"/>
      <c r="P61" s="394"/>
      <c r="Q61" s="326"/>
      <c r="R61" s="326"/>
      <c r="S61" s="326"/>
      <c r="T61" s="326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</row>
    <row r="62" spans="1:34" ht="14.25" x14ac:dyDescent="0.2">
      <c r="A62" s="897"/>
      <c r="B62" s="898"/>
      <c r="C62" s="384"/>
      <c r="D62" s="332"/>
      <c r="E62" s="388"/>
      <c r="F62" s="388"/>
      <c r="G62" s="903"/>
      <c r="H62" s="389"/>
      <c r="I62" s="381"/>
      <c r="J62" s="336">
        <f t="shared" si="1"/>
        <v>0</v>
      </c>
      <c r="K62" s="390"/>
      <c r="L62" s="390"/>
      <c r="M62" s="391"/>
      <c r="N62" s="392"/>
      <c r="O62" s="393"/>
      <c r="P62" s="394"/>
      <c r="Q62" s="326"/>
      <c r="R62" s="326"/>
      <c r="S62" s="326"/>
      <c r="T62" s="326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</row>
    <row r="63" spans="1:34" x14ac:dyDescent="0.2">
      <c r="A63" s="895"/>
      <c r="B63" s="383"/>
      <c r="C63" s="384"/>
      <c r="D63" s="332"/>
      <c r="E63" s="333"/>
      <c r="F63" s="334">
        <f>E63*D63</f>
        <v>0</v>
      </c>
      <c r="G63" s="902"/>
      <c r="H63" s="344">
        <f t="shared" ref="H63:I66" si="41">E63</f>
        <v>0</v>
      </c>
      <c r="I63" s="335">
        <f t="shared" si="41"/>
        <v>0</v>
      </c>
      <c r="J63" s="336">
        <f t="shared" si="1"/>
        <v>0</v>
      </c>
      <c r="K63" s="338"/>
      <c r="L63" s="338"/>
      <c r="M63" s="339"/>
      <c r="N63" s="340">
        <f>F63</f>
        <v>0</v>
      </c>
      <c r="O63" s="346">
        <f>N63</f>
        <v>0</v>
      </c>
      <c r="P63" s="342">
        <f>O63*10%</f>
        <v>0</v>
      </c>
      <c r="Q63" s="326"/>
      <c r="R63" s="326"/>
      <c r="S63" s="326"/>
      <c r="T63" s="326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</row>
    <row r="64" spans="1:34" x14ac:dyDescent="0.2">
      <c r="A64" s="895"/>
      <c r="B64" s="383"/>
      <c r="C64" s="384"/>
      <c r="D64" s="332"/>
      <c r="E64" s="333"/>
      <c r="F64" s="334">
        <f>E64*D64</f>
        <v>0</v>
      </c>
      <c r="G64" s="902"/>
      <c r="H64" s="344">
        <f t="shared" si="41"/>
        <v>0</v>
      </c>
      <c r="I64" s="335">
        <f t="shared" si="41"/>
        <v>0</v>
      </c>
      <c r="J64" s="336">
        <f t="shared" si="1"/>
        <v>0</v>
      </c>
      <c r="K64" s="338"/>
      <c r="L64" s="338"/>
      <c r="M64" s="339"/>
      <c r="N64" s="340">
        <f>F64</f>
        <v>0</v>
      </c>
      <c r="O64" s="346">
        <f>N64</f>
        <v>0</v>
      </c>
      <c r="P64" s="342">
        <f>O64*10%</f>
        <v>0</v>
      </c>
      <c r="Q64" s="326"/>
      <c r="R64" s="326"/>
      <c r="S64" s="326"/>
      <c r="T64" s="326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</row>
    <row r="65" spans="1:34" x14ac:dyDescent="0.2">
      <c r="A65" s="895"/>
      <c r="B65" s="383"/>
      <c r="C65" s="384"/>
      <c r="D65" s="332"/>
      <c r="E65" s="333"/>
      <c r="F65" s="334">
        <f>E65*D65</f>
        <v>0</v>
      </c>
      <c r="G65" s="902"/>
      <c r="H65" s="344">
        <f t="shared" si="41"/>
        <v>0</v>
      </c>
      <c r="I65" s="335">
        <f t="shared" si="41"/>
        <v>0</v>
      </c>
      <c r="J65" s="336">
        <f t="shared" si="1"/>
        <v>0</v>
      </c>
      <c r="K65" s="338"/>
      <c r="L65" s="338"/>
      <c r="M65" s="339"/>
      <c r="N65" s="340">
        <f>F65</f>
        <v>0</v>
      </c>
      <c r="O65" s="346">
        <f>N65</f>
        <v>0</v>
      </c>
      <c r="P65" s="342">
        <f>O65*10%</f>
        <v>0</v>
      </c>
      <c r="Q65" s="326"/>
      <c r="R65" s="326"/>
      <c r="S65" s="326"/>
      <c r="T65" s="326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</row>
    <row r="66" spans="1:34" x14ac:dyDescent="0.2">
      <c r="A66" s="895"/>
      <c r="B66" s="383"/>
      <c r="C66" s="384"/>
      <c r="D66" s="332"/>
      <c r="E66" s="333"/>
      <c r="F66" s="334">
        <f>E66*D66</f>
        <v>0</v>
      </c>
      <c r="G66" s="902"/>
      <c r="H66" s="344">
        <f t="shared" si="41"/>
        <v>0</v>
      </c>
      <c r="I66" s="335">
        <f t="shared" si="41"/>
        <v>0</v>
      </c>
      <c r="J66" s="336">
        <f t="shared" si="1"/>
        <v>0</v>
      </c>
      <c r="K66" s="338"/>
      <c r="L66" s="338"/>
      <c r="M66" s="339"/>
      <c r="N66" s="340">
        <f>F66</f>
        <v>0</v>
      </c>
      <c r="O66" s="346">
        <f>N66</f>
        <v>0</v>
      </c>
      <c r="P66" s="342">
        <f>O66*10%</f>
        <v>0</v>
      </c>
      <c r="Q66" s="326"/>
      <c r="R66" s="326"/>
      <c r="S66" s="326"/>
      <c r="T66" s="326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</row>
    <row r="67" spans="1:34" x14ac:dyDescent="0.2">
      <c r="A67" s="895"/>
      <c r="B67" s="383"/>
      <c r="C67" s="384"/>
      <c r="D67" s="332"/>
      <c r="E67" s="388"/>
      <c r="F67" s="388"/>
      <c r="G67" s="903"/>
      <c r="H67" s="389"/>
      <c r="I67" s="381"/>
      <c r="J67" s="336">
        <f t="shared" si="1"/>
        <v>0</v>
      </c>
      <c r="K67" s="390"/>
      <c r="L67" s="390"/>
      <c r="M67" s="391"/>
      <c r="N67" s="392"/>
      <c r="O67" s="393"/>
      <c r="P67" s="394"/>
      <c r="Q67" s="326"/>
      <c r="R67" s="326"/>
      <c r="S67" s="326"/>
      <c r="T67" s="326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</row>
    <row r="68" spans="1:34" ht="14.25" x14ac:dyDescent="0.2">
      <c r="A68" s="897"/>
      <c r="B68" s="898"/>
      <c r="C68" s="384"/>
      <c r="D68" s="332"/>
      <c r="E68" s="388"/>
      <c r="F68" s="388"/>
      <c r="G68" s="903"/>
      <c r="H68" s="389"/>
      <c r="I68" s="381"/>
      <c r="J68" s="336">
        <f t="shared" si="1"/>
        <v>0</v>
      </c>
      <c r="K68" s="390"/>
      <c r="L68" s="390"/>
      <c r="M68" s="391"/>
      <c r="N68" s="392"/>
      <c r="O68" s="393"/>
      <c r="P68" s="394"/>
      <c r="Q68" s="326"/>
      <c r="R68" s="326"/>
      <c r="S68" s="326"/>
      <c r="T68" s="326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</row>
    <row r="69" spans="1:34" x14ac:dyDescent="0.2">
      <c r="A69" s="895"/>
      <c r="B69" s="383"/>
      <c r="C69" s="384"/>
      <c r="D69" s="332"/>
      <c r="E69" s="333"/>
      <c r="F69" s="334">
        <f t="shared" ref="F69:F75" si="42">E69*D69</f>
        <v>0</v>
      </c>
      <c r="G69" s="902"/>
      <c r="H69" s="344">
        <f t="shared" ref="H69:I75" si="43">E69</f>
        <v>0</v>
      </c>
      <c r="I69" s="335">
        <f t="shared" si="43"/>
        <v>0</v>
      </c>
      <c r="J69" s="336">
        <f t="shared" si="1"/>
        <v>0</v>
      </c>
      <c r="K69" s="338"/>
      <c r="L69" s="338"/>
      <c r="M69" s="339"/>
      <c r="N69" s="340">
        <f t="shared" ref="N69:N75" si="44">F69</f>
        <v>0</v>
      </c>
      <c r="O69" s="346">
        <f t="shared" ref="O69:O75" si="45">N69</f>
        <v>0</v>
      </c>
      <c r="P69" s="342">
        <f t="shared" ref="P69:P75" si="46">O69*10%</f>
        <v>0</v>
      </c>
      <c r="Q69" s="326"/>
      <c r="R69" s="326"/>
      <c r="S69" s="326"/>
      <c r="T69" s="326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</row>
    <row r="70" spans="1:34" x14ac:dyDescent="0.2">
      <c r="A70" s="895"/>
      <c r="B70" s="383"/>
      <c r="C70" s="384"/>
      <c r="D70" s="332"/>
      <c r="E70" s="333"/>
      <c r="F70" s="334">
        <f t="shared" si="42"/>
        <v>0</v>
      </c>
      <c r="G70" s="902"/>
      <c r="H70" s="344">
        <f t="shared" si="43"/>
        <v>0</v>
      </c>
      <c r="I70" s="335">
        <f t="shared" si="43"/>
        <v>0</v>
      </c>
      <c r="J70" s="336">
        <f t="shared" ref="J70:J133" si="47">(G70*D70)</f>
        <v>0</v>
      </c>
      <c r="K70" s="338"/>
      <c r="L70" s="338"/>
      <c r="M70" s="339"/>
      <c r="N70" s="340">
        <f t="shared" si="44"/>
        <v>0</v>
      </c>
      <c r="O70" s="346">
        <f t="shared" si="45"/>
        <v>0</v>
      </c>
      <c r="P70" s="342">
        <f t="shared" si="46"/>
        <v>0</v>
      </c>
      <c r="Q70" s="326"/>
      <c r="R70" s="326"/>
      <c r="S70" s="326"/>
      <c r="T70" s="326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</row>
    <row r="71" spans="1:34" x14ac:dyDescent="0.2">
      <c r="A71" s="895"/>
      <c r="B71" s="383"/>
      <c r="C71" s="384"/>
      <c r="D71" s="332"/>
      <c r="E71" s="333"/>
      <c r="F71" s="334">
        <f t="shared" si="42"/>
        <v>0</v>
      </c>
      <c r="G71" s="902"/>
      <c r="H71" s="344">
        <f t="shared" si="43"/>
        <v>0</v>
      </c>
      <c r="I71" s="335">
        <f t="shared" si="43"/>
        <v>0</v>
      </c>
      <c r="J71" s="336">
        <f t="shared" si="47"/>
        <v>0</v>
      </c>
      <c r="K71" s="338"/>
      <c r="L71" s="338"/>
      <c r="M71" s="339"/>
      <c r="N71" s="340">
        <f t="shared" si="44"/>
        <v>0</v>
      </c>
      <c r="O71" s="346">
        <f t="shared" si="45"/>
        <v>0</v>
      </c>
      <c r="P71" s="342">
        <f t="shared" si="46"/>
        <v>0</v>
      </c>
      <c r="Q71" s="326"/>
      <c r="R71" s="326"/>
      <c r="S71" s="326"/>
      <c r="T71" s="326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</row>
    <row r="72" spans="1:34" x14ac:dyDescent="0.2">
      <c r="A72" s="895"/>
      <c r="B72" s="383"/>
      <c r="C72" s="384"/>
      <c r="D72" s="332"/>
      <c r="E72" s="333"/>
      <c r="F72" s="334">
        <f t="shared" si="42"/>
        <v>0</v>
      </c>
      <c r="G72" s="902"/>
      <c r="H72" s="344">
        <f t="shared" si="43"/>
        <v>0</v>
      </c>
      <c r="I72" s="335">
        <f t="shared" si="43"/>
        <v>0</v>
      </c>
      <c r="J72" s="336">
        <f t="shared" si="47"/>
        <v>0</v>
      </c>
      <c r="K72" s="338"/>
      <c r="L72" s="338"/>
      <c r="M72" s="339"/>
      <c r="N72" s="340">
        <f t="shared" si="44"/>
        <v>0</v>
      </c>
      <c r="O72" s="346">
        <f t="shared" si="45"/>
        <v>0</v>
      </c>
      <c r="P72" s="342">
        <f t="shared" si="46"/>
        <v>0</v>
      </c>
      <c r="Q72" s="326"/>
      <c r="R72" s="326"/>
      <c r="S72" s="326"/>
      <c r="T72" s="326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</row>
    <row r="73" spans="1:34" x14ac:dyDescent="0.2">
      <c r="A73" s="895"/>
      <c r="B73" s="383"/>
      <c r="C73" s="384"/>
      <c r="D73" s="332"/>
      <c r="E73" s="333"/>
      <c r="F73" s="334">
        <f t="shared" si="42"/>
        <v>0</v>
      </c>
      <c r="G73" s="902"/>
      <c r="H73" s="344">
        <f t="shared" si="43"/>
        <v>0</v>
      </c>
      <c r="I73" s="335">
        <f t="shared" si="43"/>
        <v>0</v>
      </c>
      <c r="J73" s="336">
        <f t="shared" si="47"/>
        <v>0</v>
      </c>
      <c r="K73" s="338"/>
      <c r="L73" s="338"/>
      <c r="M73" s="339"/>
      <c r="N73" s="340">
        <f t="shared" si="44"/>
        <v>0</v>
      </c>
      <c r="O73" s="346">
        <f t="shared" si="45"/>
        <v>0</v>
      </c>
      <c r="P73" s="342">
        <f t="shared" si="46"/>
        <v>0</v>
      </c>
      <c r="Q73" s="326"/>
      <c r="R73" s="326"/>
      <c r="S73" s="326"/>
      <c r="T73" s="326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</row>
    <row r="74" spans="1:34" x14ac:dyDescent="0.2">
      <c r="A74" s="895"/>
      <c r="B74" s="383"/>
      <c r="C74" s="384"/>
      <c r="D74" s="332"/>
      <c r="E74" s="333"/>
      <c r="F74" s="334">
        <f t="shared" si="42"/>
        <v>0</v>
      </c>
      <c r="G74" s="902"/>
      <c r="H74" s="344">
        <f t="shared" si="43"/>
        <v>0</v>
      </c>
      <c r="I74" s="335">
        <f t="shared" si="43"/>
        <v>0</v>
      </c>
      <c r="J74" s="336">
        <f t="shared" si="47"/>
        <v>0</v>
      </c>
      <c r="K74" s="338"/>
      <c r="L74" s="338"/>
      <c r="M74" s="339"/>
      <c r="N74" s="340">
        <f t="shared" si="44"/>
        <v>0</v>
      </c>
      <c r="O74" s="346">
        <f t="shared" si="45"/>
        <v>0</v>
      </c>
      <c r="P74" s="342">
        <f t="shared" si="46"/>
        <v>0</v>
      </c>
      <c r="Q74" s="326"/>
      <c r="R74" s="326"/>
      <c r="S74" s="326"/>
      <c r="T74" s="326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</row>
    <row r="75" spans="1:34" x14ac:dyDescent="0.2">
      <c r="A75" s="895"/>
      <c r="B75" s="383"/>
      <c r="C75" s="384"/>
      <c r="D75" s="332"/>
      <c r="E75" s="333"/>
      <c r="F75" s="334">
        <f t="shared" si="42"/>
        <v>0</v>
      </c>
      <c r="G75" s="902"/>
      <c r="H75" s="344">
        <f t="shared" si="43"/>
        <v>0</v>
      </c>
      <c r="I75" s="335">
        <f t="shared" si="43"/>
        <v>0</v>
      </c>
      <c r="J75" s="336">
        <f t="shared" si="47"/>
        <v>0</v>
      </c>
      <c r="K75" s="338"/>
      <c r="L75" s="338"/>
      <c r="M75" s="339"/>
      <c r="N75" s="340">
        <f t="shared" si="44"/>
        <v>0</v>
      </c>
      <c r="O75" s="346">
        <f t="shared" si="45"/>
        <v>0</v>
      </c>
      <c r="P75" s="342">
        <f t="shared" si="46"/>
        <v>0</v>
      </c>
      <c r="Q75" s="326"/>
      <c r="R75" s="326"/>
      <c r="S75" s="326"/>
      <c r="T75" s="326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</row>
    <row r="76" spans="1:34" x14ac:dyDescent="0.2">
      <c r="A76" s="895"/>
      <c r="B76" s="383"/>
      <c r="C76" s="384"/>
      <c r="D76" s="332"/>
      <c r="E76" s="388"/>
      <c r="F76" s="388"/>
      <c r="G76" s="903"/>
      <c r="H76" s="389"/>
      <c r="I76" s="381"/>
      <c r="J76" s="336">
        <f t="shared" si="47"/>
        <v>0</v>
      </c>
      <c r="K76" s="390"/>
      <c r="L76" s="390"/>
      <c r="M76" s="391"/>
      <c r="N76" s="392"/>
      <c r="O76" s="393"/>
      <c r="P76" s="394"/>
      <c r="Q76" s="326"/>
      <c r="R76" s="326"/>
      <c r="S76" s="326"/>
      <c r="T76" s="326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</row>
    <row r="77" spans="1:34" ht="14.25" x14ac:dyDescent="0.2">
      <c r="A77" s="897"/>
      <c r="B77" s="898"/>
      <c r="C77" s="384"/>
      <c r="D77" s="332"/>
      <c r="E77" s="388"/>
      <c r="F77" s="388"/>
      <c r="G77" s="903"/>
      <c r="H77" s="389"/>
      <c r="I77" s="381"/>
      <c r="J77" s="336">
        <f t="shared" si="47"/>
        <v>0</v>
      </c>
      <c r="K77" s="390"/>
      <c r="L77" s="390"/>
      <c r="M77" s="391"/>
      <c r="N77" s="392"/>
      <c r="O77" s="393"/>
      <c r="P77" s="394"/>
      <c r="Q77" s="326"/>
      <c r="R77" s="326"/>
      <c r="S77" s="326"/>
      <c r="T77" s="326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</row>
    <row r="78" spans="1:34" x14ac:dyDescent="0.2">
      <c r="A78" s="895"/>
      <c r="B78" s="383"/>
      <c r="C78" s="384"/>
      <c r="D78" s="332"/>
      <c r="E78" s="333"/>
      <c r="F78" s="334">
        <f>E78*D78</f>
        <v>0</v>
      </c>
      <c r="G78" s="902"/>
      <c r="H78" s="344"/>
      <c r="I78" s="335"/>
      <c r="J78" s="336">
        <f t="shared" si="47"/>
        <v>0</v>
      </c>
      <c r="K78" s="338"/>
      <c r="L78" s="338"/>
      <c r="M78" s="339"/>
      <c r="N78" s="340">
        <f>F78+J79</f>
        <v>0</v>
      </c>
      <c r="O78" s="346">
        <f>N78</f>
        <v>0</v>
      </c>
      <c r="P78" s="342">
        <f>O78*10%</f>
        <v>0</v>
      </c>
      <c r="Q78" s="326"/>
      <c r="R78" s="326"/>
      <c r="S78" s="326"/>
      <c r="T78" s="326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</row>
    <row r="79" spans="1:34" x14ac:dyDescent="0.2">
      <c r="A79" s="895"/>
      <c r="B79" s="383"/>
      <c r="C79" s="384"/>
      <c r="D79" s="332"/>
      <c r="E79" s="333"/>
      <c r="F79" s="334">
        <f>E79*D78</f>
        <v>0</v>
      </c>
      <c r="G79" s="902"/>
      <c r="H79" s="344"/>
      <c r="I79" s="335"/>
      <c r="J79" s="336">
        <f t="shared" si="47"/>
        <v>0</v>
      </c>
      <c r="K79" s="338"/>
      <c r="L79" s="338"/>
      <c r="M79" s="339"/>
      <c r="N79" s="340"/>
      <c r="O79" s="346"/>
      <c r="P79" s="342"/>
      <c r="Q79" s="326"/>
      <c r="R79" s="326"/>
      <c r="S79" s="326"/>
      <c r="T79" s="326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</row>
    <row r="80" spans="1:34" x14ac:dyDescent="0.2">
      <c r="A80" s="895"/>
      <c r="B80" s="383"/>
      <c r="C80" s="384"/>
      <c r="D80" s="332"/>
      <c r="E80" s="333"/>
      <c r="F80" s="334">
        <f>E80*D80</f>
        <v>0</v>
      </c>
      <c r="G80" s="902"/>
      <c r="H80" s="344"/>
      <c r="I80" s="335"/>
      <c r="J80" s="336">
        <f t="shared" si="47"/>
        <v>0</v>
      </c>
      <c r="K80" s="338"/>
      <c r="L80" s="338"/>
      <c r="M80" s="339"/>
      <c r="N80" s="340">
        <f>F80</f>
        <v>0</v>
      </c>
      <c r="O80" s="346">
        <f>N80</f>
        <v>0</v>
      </c>
      <c r="P80" s="342">
        <f>O80*10%</f>
        <v>0</v>
      </c>
      <c r="Q80" s="326"/>
      <c r="R80" s="326"/>
      <c r="S80" s="326"/>
      <c r="T80" s="326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</row>
    <row r="81" spans="1:34" x14ac:dyDescent="0.2">
      <c r="A81" s="895"/>
      <c r="B81" s="383"/>
      <c r="C81" s="384"/>
      <c r="D81" s="332"/>
      <c r="E81" s="333"/>
      <c r="F81" s="334">
        <f>E81*D81</f>
        <v>0</v>
      </c>
      <c r="G81" s="902"/>
      <c r="H81" s="344"/>
      <c r="I81" s="335"/>
      <c r="J81" s="336">
        <f t="shared" si="47"/>
        <v>0</v>
      </c>
      <c r="K81" s="338"/>
      <c r="L81" s="338"/>
      <c r="M81" s="339"/>
      <c r="N81" s="340">
        <f>F81</f>
        <v>0</v>
      </c>
      <c r="O81" s="346">
        <f>N81</f>
        <v>0</v>
      </c>
      <c r="P81" s="342">
        <f>O81*10%</f>
        <v>0</v>
      </c>
      <c r="Q81" s="326"/>
      <c r="R81" s="326"/>
      <c r="S81" s="326"/>
      <c r="T81" s="326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</row>
    <row r="82" spans="1:34" x14ac:dyDescent="0.2">
      <c r="A82" s="895"/>
      <c r="B82" s="383"/>
      <c r="C82" s="384"/>
      <c r="D82" s="332"/>
      <c r="E82" s="333"/>
      <c r="F82" s="334">
        <f>E82*D82</f>
        <v>0</v>
      </c>
      <c r="G82" s="902"/>
      <c r="H82" s="344"/>
      <c r="I82" s="335"/>
      <c r="J82" s="336">
        <f t="shared" si="47"/>
        <v>0</v>
      </c>
      <c r="K82" s="338"/>
      <c r="L82" s="338"/>
      <c r="M82" s="339"/>
      <c r="N82" s="340">
        <f>F82</f>
        <v>0</v>
      </c>
      <c r="O82" s="346">
        <f>N82</f>
        <v>0</v>
      </c>
      <c r="P82" s="342">
        <f>O82*10%</f>
        <v>0</v>
      </c>
      <c r="Q82" s="326"/>
      <c r="R82" s="326"/>
      <c r="S82" s="326"/>
      <c r="T82" s="326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</row>
    <row r="83" spans="1:34" x14ac:dyDescent="0.2">
      <c r="A83" s="895"/>
      <c r="B83" s="383"/>
      <c r="C83" s="384"/>
      <c r="D83" s="332"/>
      <c r="E83" s="388"/>
      <c r="F83" s="388"/>
      <c r="G83" s="903"/>
      <c r="H83" s="389"/>
      <c r="I83" s="381"/>
      <c r="J83" s="336">
        <f t="shared" si="47"/>
        <v>0</v>
      </c>
      <c r="K83" s="390"/>
      <c r="L83" s="390"/>
      <c r="M83" s="391"/>
      <c r="N83" s="392"/>
      <c r="O83" s="393"/>
      <c r="P83" s="394"/>
      <c r="Q83" s="326"/>
      <c r="R83" s="326"/>
      <c r="S83" s="326"/>
      <c r="T83" s="326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</row>
    <row r="84" spans="1:34" ht="14.25" x14ac:dyDescent="0.2">
      <c r="A84" s="897"/>
      <c r="B84" s="898"/>
      <c r="C84" s="384"/>
      <c r="D84" s="332"/>
      <c r="E84" s="388"/>
      <c r="F84" s="388"/>
      <c r="G84" s="903"/>
      <c r="H84" s="389"/>
      <c r="I84" s="381"/>
      <c r="J84" s="336">
        <f t="shared" si="47"/>
        <v>0</v>
      </c>
      <c r="K84" s="390"/>
      <c r="L84" s="390"/>
      <c r="M84" s="391"/>
      <c r="N84" s="392"/>
      <c r="O84" s="393"/>
      <c r="P84" s="394"/>
      <c r="Q84" s="326"/>
      <c r="R84" s="326"/>
      <c r="S84" s="326"/>
      <c r="T84" s="326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</row>
    <row r="85" spans="1:34" x14ac:dyDescent="0.2">
      <c r="A85" s="895"/>
      <c r="B85" s="383"/>
      <c r="C85" s="384"/>
      <c r="D85" s="332"/>
      <c r="E85" s="333"/>
      <c r="F85" s="334">
        <f>E85*D85</f>
        <v>0</v>
      </c>
      <c r="G85" s="902"/>
      <c r="H85" s="344">
        <f t="shared" ref="H85:I87" si="48">E85</f>
        <v>0</v>
      </c>
      <c r="I85" s="335">
        <f t="shared" si="48"/>
        <v>0</v>
      </c>
      <c r="J85" s="336">
        <f t="shared" si="47"/>
        <v>0</v>
      </c>
      <c r="K85" s="338"/>
      <c r="L85" s="338"/>
      <c r="M85" s="339"/>
      <c r="N85" s="340">
        <f>F85</f>
        <v>0</v>
      </c>
      <c r="O85" s="346">
        <f>N85</f>
        <v>0</v>
      </c>
      <c r="P85" s="342">
        <f>O85*10%</f>
        <v>0</v>
      </c>
      <c r="Q85" s="326"/>
      <c r="R85" s="326"/>
      <c r="S85" s="326"/>
      <c r="T85" s="326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</row>
    <row r="86" spans="1:34" x14ac:dyDescent="0.2">
      <c r="A86" s="895"/>
      <c r="B86" s="383"/>
      <c r="C86" s="384"/>
      <c r="D86" s="332"/>
      <c r="E86" s="333"/>
      <c r="F86" s="334">
        <f>E86*D86</f>
        <v>0</v>
      </c>
      <c r="G86" s="902"/>
      <c r="H86" s="344">
        <f t="shared" si="48"/>
        <v>0</v>
      </c>
      <c r="I86" s="335">
        <f t="shared" si="48"/>
        <v>0</v>
      </c>
      <c r="J86" s="336">
        <f t="shared" si="47"/>
        <v>0</v>
      </c>
      <c r="K86" s="338"/>
      <c r="L86" s="338"/>
      <c r="M86" s="339"/>
      <c r="N86" s="340">
        <f>F86</f>
        <v>0</v>
      </c>
      <c r="O86" s="346">
        <f>N86</f>
        <v>0</v>
      </c>
      <c r="P86" s="342">
        <f>O86*10%</f>
        <v>0</v>
      </c>
      <c r="Q86" s="326"/>
      <c r="R86" s="326"/>
      <c r="S86" s="326"/>
      <c r="T86" s="326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</row>
    <row r="87" spans="1:34" x14ac:dyDescent="0.2">
      <c r="A87" s="895"/>
      <c r="B87" s="383"/>
      <c r="C87" s="384"/>
      <c r="D87" s="332"/>
      <c r="E87" s="333"/>
      <c r="F87" s="334">
        <f>E87*D87</f>
        <v>0</v>
      </c>
      <c r="G87" s="902"/>
      <c r="H87" s="344">
        <f t="shared" si="48"/>
        <v>0</v>
      </c>
      <c r="I87" s="335">
        <f t="shared" si="48"/>
        <v>0</v>
      </c>
      <c r="J87" s="336">
        <f t="shared" si="47"/>
        <v>0</v>
      </c>
      <c r="K87" s="338"/>
      <c r="L87" s="338"/>
      <c r="M87" s="339"/>
      <c r="N87" s="340">
        <f>F87</f>
        <v>0</v>
      </c>
      <c r="O87" s="346">
        <f>N87</f>
        <v>0</v>
      </c>
      <c r="P87" s="342">
        <f>O87*10%</f>
        <v>0</v>
      </c>
      <c r="Q87" s="326"/>
      <c r="R87" s="326"/>
      <c r="S87" s="326"/>
      <c r="T87" s="326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</row>
    <row r="88" spans="1:34" x14ac:dyDescent="0.2">
      <c r="A88" s="895"/>
      <c r="B88" s="383"/>
      <c r="C88" s="384"/>
      <c r="D88" s="332"/>
      <c r="E88" s="388"/>
      <c r="F88" s="388"/>
      <c r="G88" s="903"/>
      <c r="H88" s="389"/>
      <c r="I88" s="381"/>
      <c r="J88" s="336">
        <f t="shared" si="47"/>
        <v>0</v>
      </c>
      <c r="K88" s="390"/>
      <c r="L88" s="390"/>
      <c r="M88" s="391"/>
      <c r="N88" s="392"/>
      <c r="O88" s="393"/>
      <c r="P88" s="394"/>
      <c r="Q88" s="326"/>
      <c r="R88" s="326"/>
      <c r="S88" s="326"/>
      <c r="T88" s="326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</row>
    <row r="89" spans="1:34" ht="14.25" x14ac:dyDescent="0.2">
      <c r="A89" s="897"/>
      <c r="B89" s="898"/>
      <c r="C89" s="384"/>
      <c r="D89" s="332"/>
      <c r="E89" s="388"/>
      <c r="F89" s="388"/>
      <c r="G89" s="903"/>
      <c r="H89" s="389"/>
      <c r="I89" s="381"/>
      <c r="J89" s="336">
        <f t="shared" si="47"/>
        <v>0</v>
      </c>
      <c r="K89" s="390"/>
      <c r="L89" s="390"/>
      <c r="M89" s="391"/>
      <c r="N89" s="392"/>
      <c r="O89" s="393"/>
      <c r="P89" s="394"/>
      <c r="Q89" s="326"/>
      <c r="R89" s="326"/>
      <c r="S89" s="326"/>
      <c r="T89" s="326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</row>
    <row r="90" spans="1:34" x14ac:dyDescent="0.2">
      <c r="A90" s="895"/>
      <c r="B90" s="383"/>
      <c r="C90" s="384"/>
      <c r="D90" s="332"/>
      <c r="E90" s="333"/>
      <c r="F90" s="334">
        <f>E90*D90</f>
        <v>0</v>
      </c>
      <c r="G90" s="902"/>
      <c r="H90" s="344">
        <f>E90</f>
        <v>0</v>
      </c>
      <c r="I90" s="335">
        <f>F90</f>
        <v>0</v>
      </c>
      <c r="J90" s="336">
        <f t="shared" si="47"/>
        <v>0</v>
      </c>
      <c r="K90" s="338"/>
      <c r="L90" s="338"/>
      <c r="M90" s="339"/>
      <c r="N90" s="340">
        <f>F90</f>
        <v>0</v>
      </c>
      <c r="O90" s="346">
        <f>N90</f>
        <v>0</v>
      </c>
      <c r="P90" s="342">
        <f>O90*10%</f>
        <v>0</v>
      </c>
      <c r="Q90" s="326"/>
      <c r="R90" s="326"/>
      <c r="S90" s="326"/>
      <c r="T90" s="326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</row>
    <row r="91" spans="1:34" x14ac:dyDescent="0.2">
      <c r="A91" s="895"/>
      <c r="B91" s="383"/>
      <c r="C91" s="384"/>
      <c r="D91" s="332"/>
      <c r="E91" s="333"/>
      <c r="F91" s="334">
        <f>E91*D91</f>
        <v>0</v>
      </c>
      <c r="G91" s="902"/>
      <c r="H91" s="344">
        <f>E91</f>
        <v>0</v>
      </c>
      <c r="I91" s="335">
        <f>F91</f>
        <v>0</v>
      </c>
      <c r="J91" s="336">
        <f t="shared" si="47"/>
        <v>0</v>
      </c>
      <c r="K91" s="338"/>
      <c r="L91" s="338"/>
      <c r="M91" s="339"/>
      <c r="N91" s="340">
        <f>F91</f>
        <v>0</v>
      </c>
      <c r="O91" s="346">
        <f>N91</f>
        <v>0</v>
      </c>
      <c r="P91" s="342">
        <f>O91*10%</f>
        <v>0</v>
      </c>
      <c r="Q91" s="326"/>
      <c r="R91" s="326"/>
      <c r="S91" s="326"/>
      <c r="T91" s="326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</row>
    <row r="92" spans="1:34" x14ac:dyDescent="0.2">
      <c r="A92" s="895"/>
      <c r="B92" s="383"/>
      <c r="C92" s="384"/>
      <c r="D92" s="332"/>
      <c r="E92" s="388"/>
      <c r="F92" s="388"/>
      <c r="G92" s="903"/>
      <c r="H92" s="389"/>
      <c r="I92" s="381"/>
      <c r="J92" s="336">
        <f t="shared" si="47"/>
        <v>0</v>
      </c>
      <c r="K92" s="390"/>
      <c r="L92" s="390"/>
      <c r="M92" s="391"/>
      <c r="N92" s="392"/>
      <c r="O92" s="393"/>
      <c r="P92" s="394"/>
      <c r="Q92" s="326"/>
      <c r="R92" s="326"/>
      <c r="S92" s="326"/>
      <c r="T92" s="326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</row>
    <row r="93" spans="1:34" x14ac:dyDescent="0.2">
      <c r="A93" s="895"/>
      <c r="B93" s="383"/>
      <c r="C93" s="384"/>
      <c r="D93" s="332"/>
      <c r="E93" s="388"/>
      <c r="F93" s="388"/>
      <c r="G93" s="903"/>
      <c r="H93" s="389"/>
      <c r="I93" s="381"/>
      <c r="J93" s="336">
        <f t="shared" si="47"/>
        <v>0</v>
      </c>
      <c r="K93" s="390"/>
      <c r="L93" s="390"/>
      <c r="M93" s="391"/>
      <c r="N93" s="392"/>
      <c r="O93" s="393"/>
      <c r="P93" s="394"/>
      <c r="Q93" s="326"/>
      <c r="R93" s="326"/>
      <c r="S93" s="326"/>
      <c r="T93" s="326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</row>
    <row r="94" spans="1:34" ht="14.25" x14ac:dyDescent="0.2">
      <c r="A94" s="897"/>
      <c r="B94" s="898"/>
      <c r="C94" s="384"/>
      <c r="D94" s="332"/>
      <c r="E94" s="388"/>
      <c r="F94" s="388"/>
      <c r="G94" s="903"/>
      <c r="H94" s="389"/>
      <c r="I94" s="381"/>
      <c r="J94" s="336">
        <f t="shared" si="47"/>
        <v>0</v>
      </c>
      <c r="K94" s="390"/>
      <c r="L94" s="390"/>
      <c r="M94" s="391"/>
      <c r="N94" s="392"/>
      <c r="O94" s="393"/>
      <c r="P94" s="394"/>
      <c r="Q94" s="326"/>
      <c r="R94" s="326"/>
      <c r="S94" s="326"/>
      <c r="T94" s="326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</row>
    <row r="95" spans="1:34" x14ac:dyDescent="0.2">
      <c r="A95" s="895"/>
      <c r="B95" s="383"/>
      <c r="C95" s="384"/>
      <c r="D95" s="332"/>
      <c r="E95" s="333"/>
      <c r="F95" s="334">
        <f>E95*D95</f>
        <v>0</v>
      </c>
      <c r="G95" s="902"/>
      <c r="H95" s="344">
        <f>E95</f>
        <v>0</v>
      </c>
      <c r="I95" s="335">
        <f>F95</f>
        <v>0</v>
      </c>
      <c r="J95" s="336">
        <f t="shared" si="47"/>
        <v>0</v>
      </c>
      <c r="K95" s="338"/>
      <c r="L95" s="338"/>
      <c r="M95" s="339"/>
      <c r="N95" s="340">
        <f>F95</f>
        <v>0</v>
      </c>
      <c r="O95" s="346">
        <f>N95</f>
        <v>0</v>
      </c>
      <c r="P95" s="342">
        <f>O95*10%</f>
        <v>0</v>
      </c>
      <c r="Q95" s="326"/>
      <c r="R95" s="326"/>
      <c r="S95" s="326"/>
      <c r="T95" s="326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</row>
    <row r="96" spans="1:34" x14ac:dyDescent="0.2">
      <c r="A96" s="895"/>
      <c r="B96" s="383"/>
      <c r="C96" s="384"/>
      <c r="D96" s="332"/>
      <c r="E96" s="333"/>
      <c r="F96" s="334">
        <f>E96*D96</f>
        <v>0</v>
      </c>
      <c r="G96" s="902"/>
      <c r="H96" s="344">
        <f>E96</f>
        <v>0</v>
      </c>
      <c r="I96" s="335">
        <f>F96</f>
        <v>0</v>
      </c>
      <c r="J96" s="336">
        <f t="shared" si="47"/>
        <v>0</v>
      </c>
      <c r="K96" s="338"/>
      <c r="L96" s="338"/>
      <c r="M96" s="339"/>
      <c r="N96" s="340">
        <f>F96</f>
        <v>0</v>
      </c>
      <c r="O96" s="346">
        <f>N96</f>
        <v>0</v>
      </c>
      <c r="P96" s="342">
        <f>O96*10%</f>
        <v>0</v>
      </c>
      <c r="Q96" s="326"/>
      <c r="R96" s="326"/>
      <c r="S96" s="326"/>
      <c r="T96" s="326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</row>
    <row r="97" spans="1:34" x14ac:dyDescent="0.2">
      <c r="A97" s="895"/>
      <c r="B97" s="383"/>
      <c r="C97" s="384"/>
      <c r="D97" s="332"/>
      <c r="E97" s="388"/>
      <c r="F97" s="388"/>
      <c r="G97" s="903"/>
      <c r="H97" s="389"/>
      <c r="I97" s="381"/>
      <c r="J97" s="336">
        <f t="shared" si="47"/>
        <v>0</v>
      </c>
      <c r="K97" s="390"/>
      <c r="L97" s="390"/>
      <c r="M97" s="391"/>
      <c r="N97" s="392"/>
      <c r="O97" s="393"/>
      <c r="P97" s="394"/>
      <c r="Q97" s="326"/>
      <c r="R97" s="326"/>
      <c r="S97" s="326"/>
      <c r="T97" s="326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</row>
    <row r="98" spans="1:34" ht="14.25" x14ac:dyDescent="0.2">
      <c r="A98" s="899"/>
      <c r="B98" s="898"/>
      <c r="C98" s="384"/>
      <c r="D98" s="332"/>
      <c r="E98" s="388"/>
      <c r="F98" s="388"/>
      <c r="G98" s="903"/>
      <c r="H98" s="389"/>
      <c r="I98" s="381"/>
      <c r="J98" s="336">
        <f t="shared" si="47"/>
        <v>0</v>
      </c>
      <c r="K98" s="390"/>
      <c r="L98" s="390"/>
      <c r="M98" s="391"/>
      <c r="N98" s="392"/>
      <c r="O98" s="393"/>
      <c r="P98" s="394"/>
      <c r="Q98" s="326"/>
      <c r="R98" s="326"/>
      <c r="S98" s="326"/>
      <c r="T98" s="326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</row>
    <row r="99" spans="1:34" x14ac:dyDescent="0.2">
      <c r="A99" s="888"/>
      <c r="B99" s="383"/>
      <c r="C99" s="384"/>
      <c r="D99" s="332"/>
      <c r="E99" s="333"/>
      <c r="F99" s="334"/>
      <c r="G99" s="902"/>
      <c r="H99" s="344">
        <f t="shared" ref="H99:I101" si="49">E99</f>
        <v>0</v>
      </c>
      <c r="I99" s="335">
        <f t="shared" si="49"/>
        <v>0</v>
      </c>
      <c r="J99" s="336">
        <f t="shared" si="47"/>
        <v>0</v>
      </c>
      <c r="K99" s="338"/>
      <c r="L99" s="338"/>
      <c r="M99" s="339"/>
      <c r="N99" s="340">
        <f>F99</f>
        <v>0</v>
      </c>
      <c r="O99" s="346">
        <f>N99</f>
        <v>0</v>
      </c>
      <c r="P99" s="342">
        <f>O99*10%</f>
        <v>0</v>
      </c>
      <c r="Q99" s="326"/>
      <c r="R99" s="326"/>
      <c r="S99" s="326"/>
      <c r="T99" s="326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</row>
    <row r="100" spans="1:34" x14ac:dyDescent="0.2">
      <c r="A100" s="888"/>
      <c r="B100" s="383"/>
      <c r="C100" s="384"/>
      <c r="D100" s="332"/>
      <c r="E100" s="673"/>
      <c r="F100" s="334"/>
      <c r="G100" s="902"/>
      <c r="H100" s="344"/>
      <c r="I100" s="335">
        <f t="shared" si="49"/>
        <v>0</v>
      </c>
      <c r="J100" s="336">
        <f t="shared" si="47"/>
        <v>0</v>
      </c>
      <c r="K100" s="338"/>
      <c r="L100" s="338"/>
      <c r="M100" s="339"/>
      <c r="N100" s="340"/>
      <c r="O100" s="346">
        <f>N100</f>
        <v>0</v>
      </c>
      <c r="P100" s="342">
        <f>O100*10%</f>
        <v>0</v>
      </c>
      <c r="Q100" s="326"/>
      <c r="R100" s="326"/>
      <c r="S100" s="326"/>
      <c r="T100" s="326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</row>
    <row r="101" spans="1:34" x14ac:dyDescent="0.2">
      <c r="A101" s="888"/>
      <c r="B101" s="383"/>
      <c r="C101" s="384"/>
      <c r="D101" s="332"/>
      <c r="E101" s="673"/>
      <c r="F101" s="790"/>
      <c r="G101" s="902"/>
      <c r="H101" s="344"/>
      <c r="I101" s="381">
        <f t="shared" si="49"/>
        <v>0</v>
      </c>
      <c r="J101" s="336">
        <f t="shared" si="47"/>
        <v>0</v>
      </c>
      <c r="K101" s="390"/>
      <c r="L101" s="338"/>
      <c r="M101" s="339"/>
      <c r="N101" s="392"/>
      <c r="O101" s="393"/>
      <c r="P101" s="394"/>
      <c r="Q101" s="326"/>
      <c r="R101" s="326"/>
      <c r="S101" s="326"/>
      <c r="T101" s="326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</row>
    <row r="102" spans="1:34" x14ac:dyDescent="0.2">
      <c r="A102" s="888"/>
      <c r="B102" s="383"/>
      <c r="C102" s="384"/>
      <c r="D102" s="332"/>
      <c r="E102" s="673"/>
      <c r="F102" s="790"/>
      <c r="G102" s="902"/>
      <c r="H102" s="344"/>
      <c r="I102" s="381">
        <f t="shared" ref="I102:I107" si="50">F102</f>
        <v>0</v>
      </c>
      <c r="J102" s="336">
        <f t="shared" si="47"/>
        <v>0</v>
      </c>
      <c r="K102" s="390"/>
      <c r="L102" s="338"/>
      <c r="M102" s="339"/>
      <c r="N102" s="392"/>
      <c r="O102" s="393"/>
      <c r="P102" s="394"/>
      <c r="Q102" s="326"/>
      <c r="R102" s="326"/>
      <c r="S102" s="326"/>
      <c r="T102" s="326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</row>
    <row r="103" spans="1:34" x14ac:dyDescent="0.2">
      <c r="A103" s="888"/>
      <c r="B103" s="383"/>
      <c r="C103" s="384"/>
      <c r="D103" s="332"/>
      <c r="E103" s="673"/>
      <c r="F103" s="790"/>
      <c r="G103" s="902"/>
      <c r="H103" s="344"/>
      <c r="I103" s="381">
        <f t="shared" si="50"/>
        <v>0</v>
      </c>
      <c r="J103" s="336">
        <f t="shared" si="47"/>
        <v>0</v>
      </c>
      <c r="K103" s="390"/>
      <c r="L103" s="338"/>
      <c r="M103" s="339"/>
      <c r="N103" s="392"/>
      <c r="O103" s="393"/>
      <c r="P103" s="394"/>
      <c r="Q103" s="326"/>
      <c r="R103" s="326"/>
      <c r="S103" s="326"/>
      <c r="T103" s="326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</row>
    <row r="104" spans="1:34" x14ac:dyDescent="0.2">
      <c r="A104" s="888"/>
      <c r="B104" s="383"/>
      <c r="C104" s="384"/>
      <c r="D104" s="332"/>
      <c r="E104" s="673"/>
      <c r="F104" s="790"/>
      <c r="G104" s="902"/>
      <c r="H104" s="344"/>
      <c r="I104" s="381">
        <f t="shared" si="50"/>
        <v>0</v>
      </c>
      <c r="J104" s="336">
        <f t="shared" si="47"/>
        <v>0</v>
      </c>
      <c r="K104" s="390"/>
      <c r="L104" s="338"/>
      <c r="M104" s="339"/>
      <c r="N104" s="392"/>
      <c r="O104" s="393"/>
      <c r="P104" s="394"/>
      <c r="Q104" s="326"/>
      <c r="R104" s="326"/>
      <c r="S104" s="326"/>
      <c r="T104" s="326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</row>
    <row r="105" spans="1:34" x14ac:dyDescent="0.2">
      <c r="A105" s="888"/>
      <c r="B105" s="383"/>
      <c r="C105" s="384"/>
      <c r="D105" s="332"/>
      <c r="E105" s="673"/>
      <c r="F105" s="790"/>
      <c r="G105" s="902"/>
      <c r="H105" s="344"/>
      <c r="I105" s="381">
        <f t="shared" si="50"/>
        <v>0</v>
      </c>
      <c r="J105" s="336">
        <f t="shared" si="47"/>
        <v>0</v>
      </c>
      <c r="K105" s="390"/>
      <c r="L105" s="338"/>
      <c r="M105" s="339"/>
      <c r="N105" s="392"/>
      <c r="O105" s="393"/>
      <c r="P105" s="394"/>
      <c r="Q105" s="326"/>
      <c r="R105" s="326"/>
      <c r="S105" s="326"/>
      <c r="T105" s="326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</row>
    <row r="106" spans="1:34" x14ac:dyDescent="0.2">
      <c r="A106" s="888"/>
      <c r="B106" s="383"/>
      <c r="C106" s="384"/>
      <c r="D106" s="332"/>
      <c r="E106" s="673"/>
      <c r="F106" s="790"/>
      <c r="G106" s="902"/>
      <c r="H106" s="344"/>
      <c r="I106" s="381">
        <f t="shared" si="50"/>
        <v>0</v>
      </c>
      <c r="J106" s="336">
        <f t="shared" si="47"/>
        <v>0</v>
      </c>
      <c r="K106" s="390"/>
      <c r="L106" s="338"/>
      <c r="M106" s="339"/>
      <c r="N106" s="392"/>
      <c r="O106" s="393"/>
      <c r="P106" s="394"/>
      <c r="Q106" s="326"/>
      <c r="R106" s="326"/>
      <c r="S106" s="326"/>
      <c r="T106" s="326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</row>
    <row r="107" spans="1:34" x14ac:dyDescent="0.2">
      <c r="A107" s="888"/>
      <c r="B107" s="383"/>
      <c r="C107" s="384"/>
      <c r="D107" s="332"/>
      <c r="E107" s="673"/>
      <c r="F107" s="790"/>
      <c r="G107" s="902"/>
      <c r="H107" s="344"/>
      <c r="I107" s="381">
        <f t="shared" si="50"/>
        <v>0</v>
      </c>
      <c r="J107" s="336">
        <f t="shared" si="47"/>
        <v>0</v>
      </c>
      <c r="K107" s="390"/>
      <c r="L107" s="338"/>
      <c r="M107" s="339"/>
      <c r="N107" s="392"/>
      <c r="O107" s="393"/>
      <c r="P107" s="394"/>
      <c r="Q107" s="326"/>
      <c r="R107" s="326"/>
      <c r="S107" s="326"/>
      <c r="T107" s="326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</row>
    <row r="108" spans="1:34" ht="14.25" x14ac:dyDescent="0.2">
      <c r="A108" s="899"/>
      <c r="B108" s="898"/>
      <c r="C108" s="384"/>
      <c r="D108" s="332"/>
      <c r="E108" s="388"/>
      <c r="F108" s="388"/>
      <c r="G108" s="903"/>
      <c r="H108" s="389"/>
      <c r="I108" s="381"/>
      <c r="J108" s="336">
        <f t="shared" si="47"/>
        <v>0</v>
      </c>
      <c r="K108" s="390"/>
      <c r="L108" s="390"/>
      <c r="M108" s="391"/>
      <c r="N108" s="392"/>
      <c r="O108" s="393"/>
      <c r="P108" s="394"/>
      <c r="Q108" s="326"/>
      <c r="R108" s="326"/>
      <c r="S108" s="326"/>
      <c r="T108" s="326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</row>
    <row r="109" spans="1:34" x14ac:dyDescent="0.2">
      <c r="A109" s="888"/>
      <c r="B109" s="383"/>
      <c r="C109" s="384"/>
      <c r="D109" s="332"/>
      <c r="E109" s="333"/>
      <c r="F109" s="334">
        <f>E109*D109</f>
        <v>0</v>
      </c>
      <c r="G109" s="902"/>
      <c r="H109" s="344">
        <f t="shared" ref="H109:I111" si="51">E109</f>
        <v>0</v>
      </c>
      <c r="I109" s="335">
        <f t="shared" si="51"/>
        <v>0</v>
      </c>
      <c r="J109" s="336">
        <f t="shared" si="47"/>
        <v>0</v>
      </c>
      <c r="K109" s="338"/>
      <c r="L109" s="338"/>
      <c r="M109" s="339"/>
      <c r="N109" s="340">
        <f>F109</f>
        <v>0</v>
      </c>
      <c r="O109" s="346">
        <f>N109</f>
        <v>0</v>
      </c>
      <c r="P109" s="342">
        <f>O109*10%</f>
        <v>0</v>
      </c>
      <c r="Q109" s="326"/>
      <c r="R109" s="326"/>
      <c r="S109" s="326"/>
      <c r="T109" s="326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</row>
    <row r="110" spans="1:34" x14ac:dyDescent="0.2">
      <c r="A110" s="888"/>
      <c r="B110" s="383"/>
      <c r="C110" s="384"/>
      <c r="D110" s="332"/>
      <c r="E110" s="333"/>
      <c r="F110" s="334">
        <f>E110*D110</f>
        <v>0</v>
      </c>
      <c r="G110" s="902"/>
      <c r="H110" s="344">
        <f t="shared" si="51"/>
        <v>0</v>
      </c>
      <c r="I110" s="335">
        <f t="shared" si="51"/>
        <v>0</v>
      </c>
      <c r="J110" s="336">
        <f t="shared" si="47"/>
        <v>0</v>
      </c>
      <c r="K110" s="338"/>
      <c r="L110" s="338"/>
      <c r="M110" s="339"/>
      <c r="N110" s="340">
        <f>F110</f>
        <v>0</v>
      </c>
      <c r="O110" s="346">
        <f>N110</f>
        <v>0</v>
      </c>
      <c r="P110" s="342">
        <f>O110*10%</f>
        <v>0</v>
      </c>
      <c r="Q110" s="326"/>
      <c r="R110" s="326"/>
      <c r="S110" s="326"/>
      <c r="T110" s="326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</row>
    <row r="111" spans="1:34" x14ac:dyDescent="0.2">
      <c r="A111" s="888"/>
      <c r="B111" s="383"/>
      <c r="C111" s="384"/>
      <c r="D111" s="332"/>
      <c r="E111" s="333"/>
      <c r="F111" s="334">
        <f>E111*D111</f>
        <v>0</v>
      </c>
      <c r="G111" s="902"/>
      <c r="H111" s="344">
        <f t="shared" si="51"/>
        <v>0</v>
      </c>
      <c r="I111" s="335">
        <f t="shared" si="51"/>
        <v>0</v>
      </c>
      <c r="J111" s="336">
        <f t="shared" si="47"/>
        <v>0</v>
      </c>
      <c r="K111" s="338"/>
      <c r="L111" s="338"/>
      <c r="M111" s="339"/>
      <c r="N111" s="340">
        <f>F111</f>
        <v>0</v>
      </c>
      <c r="O111" s="346">
        <f>N111</f>
        <v>0</v>
      </c>
      <c r="P111" s="342">
        <f>O111*10%</f>
        <v>0</v>
      </c>
      <c r="Q111" s="326"/>
      <c r="R111" s="326"/>
      <c r="S111" s="326"/>
      <c r="T111" s="326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</row>
    <row r="112" spans="1:34" x14ac:dyDescent="0.2">
      <c r="A112" s="888"/>
      <c r="B112" s="383"/>
      <c r="C112" s="384"/>
      <c r="D112" s="332"/>
      <c r="E112" s="388"/>
      <c r="F112" s="388"/>
      <c r="G112" s="903"/>
      <c r="H112" s="389"/>
      <c r="I112" s="381"/>
      <c r="J112" s="336">
        <f t="shared" si="47"/>
        <v>0</v>
      </c>
      <c r="K112" s="390"/>
      <c r="L112" s="390"/>
      <c r="M112" s="391"/>
      <c r="N112" s="392"/>
      <c r="O112" s="393"/>
      <c r="P112" s="394"/>
      <c r="Q112" s="326"/>
      <c r="R112" s="326"/>
      <c r="S112" s="326"/>
      <c r="T112" s="326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</row>
    <row r="113" spans="1:34" ht="14.25" x14ac:dyDescent="0.2">
      <c r="A113" s="899"/>
      <c r="B113" s="898"/>
      <c r="C113" s="384"/>
      <c r="D113" s="332"/>
      <c r="E113" s="388"/>
      <c r="F113" s="388"/>
      <c r="G113" s="903"/>
      <c r="H113" s="389"/>
      <c r="I113" s="381"/>
      <c r="J113" s="336">
        <f t="shared" si="47"/>
        <v>0</v>
      </c>
      <c r="K113" s="390"/>
      <c r="L113" s="390"/>
      <c r="M113" s="391"/>
      <c r="N113" s="392"/>
      <c r="O113" s="393"/>
      <c r="P113" s="394"/>
      <c r="Q113" s="326"/>
      <c r="R113" s="326"/>
      <c r="S113" s="326"/>
      <c r="T113" s="326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</row>
    <row r="114" spans="1:34" x14ac:dyDescent="0.2">
      <c r="A114" s="888"/>
      <c r="B114" s="383"/>
      <c r="C114" s="384"/>
      <c r="D114" s="332"/>
      <c r="E114" s="333"/>
      <c r="F114" s="334">
        <f>E114*D114</f>
        <v>0</v>
      </c>
      <c r="G114" s="902"/>
      <c r="H114" s="344">
        <f t="shared" ref="H114:I116" si="52">E114</f>
        <v>0</v>
      </c>
      <c r="I114" s="335">
        <f t="shared" si="52"/>
        <v>0</v>
      </c>
      <c r="J114" s="336">
        <f t="shared" si="47"/>
        <v>0</v>
      </c>
      <c r="K114" s="338"/>
      <c r="L114" s="338"/>
      <c r="M114" s="339"/>
      <c r="N114" s="340">
        <f>F114</f>
        <v>0</v>
      </c>
      <c r="O114" s="346">
        <f>N114</f>
        <v>0</v>
      </c>
      <c r="P114" s="342">
        <f>O114*10%</f>
        <v>0</v>
      </c>
      <c r="Q114" s="326"/>
      <c r="R114" s="326"/>
      <c r="S114" s="326"/>
      <c r="T114" s="326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</row>
    <row r="115" spans="1:34" x14ac:dyDescent="0.2">
      <c r="A115" s="888"/>
      <c r="B115" s="383"/>
      <c r="C115" s="384"/>
      <c r="D115" s="332"/>
      <c r="E115" s="333"/>
      <c r="F115" s="334">
        <f>E115*D115</f>
        <v>0</v>
      </c>
      <c r="G115" s="902"/>
      <c r="H115" s="344">
        <f t="shared" si="52"/>
        <v>0</v>
      </c>
      <c r="I115" s="335">
        <f t="shared" si="52"/>
        <v>0</v>
      </c>
      <c r="J115" s="336">
        <f t="shared" si="47"/>
        <v>0</v>
      </c>
      <c r="K115" s="338"/>
      <c r="L115" s="338"/>
      <c r="M115" s="339"/>
      <c r="N115" s="340">
        <f>F115</f>
        <v>0</v>
      </c>
      <c r="O115" s="346">
        <f>N115</f>
        <v>0</v>
      </c>
      <c r="P115" s="342">
        <f>O115*10%</f>
        <v>0</v>
      </c>
      <c r="Q115" s="326"/>
      <c r="R115" s="326"/>
      <c r="S115" s="326"/>
      <c r="T115" s="326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</row>
    <row r="116" spans="1:34" x14ac:dyDescent="0.2">
      <c r="A116" s="888"/>
      <c r="B116" s="383"/>
      <c r="C116" s="384"/>
      <c r="D116" s="332"/>
      <c r="E116" s="333"/>
      <c r="F116" s="334">
        <f>E116*D116</f>
        <v>0</v>
      </c>
      <c r="G116" s="902"/>
      <c r="H116" s="344">
        <f t="shared" si="52"/>
        <v>0</v>
      </c>
      <c r="I116" s="335">
        <f t="shared" si="52"/>
        <v>0</v>
      </c>
      <c r="J116" s="336">
        <f t="shared" si="47"/>
        <v>0</v>
      </c>
      <c r="K116" s="338"/>
      <c r="L116" s="338"/>
      <c r="M116" s="339"/>
      <c r="N116" s="340">
        <f>F116</f>
        <v>0</v>
      </c>
      <c r="O116" s="346">
        <f>N116</f>
        <v>0</v>
      </c>
      <c r="P116" s="342">
        <f>O116*10%</f>
        <v>0</v>
      </c>
      <c r="Q116" s="326"/>
      <c r="R116" s="326"/>
      <c r="S116" s="326"/>
      <c r="T116" s="326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</row>
    <row r="117" spans="1:34" x14ac:dyDescent="0.2">
      <c r="A117" s="888"/>
      <c r="B117" s="383"/>
      <c r="C117" s="384"/>
      <c r="D117" s="332"/>
      <c r="E117" s="388"/>
      <c r="F117" s="388"/>
      <c r="G117" s="903"/>
      <c r="H117" s="389"/>
      <c r="I117" s="381"/>
      <c r="J117" s="336">
        <f t="shared" si="47"/>
        <v>0</v>
      </c>
      <c r="K117" s="390"/>
      <c r="L117" s="390"/>
      <c r="M117" s="391"/>
      <c r="N117" s="392"/>
      <c r="O117" s="393"/>
      <c r="P117" s="394"/>
      <c r="Q117" s="326"/>
      <c r="R117" s="326"/>
      <c r="S117" s="326"/>
      <c r="T117" s="326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</row>
    <row r="118" spans="1:34" ht="14.25" x14ac:dyDescent="0.2">
      <c r="A118" s="899"/>
      <c r="B118" s="898"/>
      <c r="C118" s="384"/>
      <c r="D118" s="332"/>
      <c r="E118" s="388"/>
      <c r="F118" s="388"/>
      <c r="G118" s="903"/>
      <c r="H118" s="389"/>
      <c r="I118" s="381"/>
      <c r="J118" s="336">
        <f t="shared" si="47"/>
        <v>0</v>
      </c>
      <c r="K118" s="390"/>
      <c r="L118" s="390"/>
      <c r="M118" s="391"/>
      <c r="N118" s="392"/>
      <c r="O118" s="393"/>
      <c r="P118" s="394"/>
      <c r="Q118" s="326"/>
      <c r="R118" s="326"/>
      <c r="S118" s="326"/>
      <c r="T118" s="326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</row>
    <row r="119" spans="1:34" x14ac:dyDescent="0.2">
      <c r="A119" s="888"/>
      <c r="B119" s="383"/>
      <c r="C119" s="384"/>
      <c r="D119" s="332"/>
      <c r="E119" s="333"/>
      <c r="F119" s="334">
        <f>E119*D119</f>
        <v>0</v>
      </c>
      <c r="G119" s="902"/>
      <c r="H119" s="344">
        <f t="shared" ref="H119:I121" si="53">E119</f>
        <v>0</v>
      </c>
      <c r="I119" s="335">
        <f t="shared" si="53"/>
        <v>0</v>
      </c>
      <c r="J119" s="336">
        <f t="shared" si="47"/>
        <v>0</v>
      </c>
      <c r="K119" s="338"/>
      <c r="L119" s="338"/>
      <c r="M119" s="339"/>
      <c r="N119" s="340">
        <f>F119</f>
        <v>0</v>
      </c>
      <c r="O119" s="346">
        <f>N119</f>
        <v>0</v>
      </c>
      <c r="P119" s="342">
        <f>O119*10%</f>
        <v>0</v>
      </c>
      <c r="Q119" s="326"/>
      <c r="R119" s="326"/>
      <c r="S119" s="326"/>
      <c r="T119" s="326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</row>
    <row r="120" spans="1:34" x14ac:dyDescent="0.2">
      <c r="A120" s="888"/>
      <c r="B120" s="383"/>
      <c r="C120" s="384"/>
      <c r="D120" s="332"/>
      <c r="E120" s="333"/>
      <c r="F120" s="334">
        <f>E120*D120</f>
        <v>0</v>
      </c>
      <c r="G120" s="902"/>
      <c r="H120" s="344">
        <f t="shared" si="53"/>
        <v>0</v>
      </c>
      <c r="I120" s="335">
        <f t="shared" si="53"/>
        <v>0</v>
      </c>
      <c r="J120" s="336">
        <f t="shared" si="47"/>
        <v>0</v>
      </c>
      <c r="K120" s="338"/>
      <c r="L120" s="338"/>
      <c r="M120" s="339"/>
      <c r="N120" s="340">
        <f>F120</f>
        <v>0</v>
      </c>
      <c r="O120" s="346">
        <f>N120</f>
        <v>0</v>
      </c>
      <c r="P120" s="342">
        <f>O120*10%</f>
        <v>0</v>
      </c>
      <c r="Q120" s="326"/>
      <c r="R120" s="326"/>
      <c r="S120" s="326"/>
      <c r="T120" s="326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</row>
    <row r="121" spans="1:34" x14ac:dyDescent="0.2">
      <c r="A121" s="888"/>
      <c r="B121" s="383"/>
      <c r="C121" s="384"/>
      <c r="D121" s="332"/>
      <c r="E121" s="333"/>
      <c r="F121" s="334">
        <f>E121*D121</f>
        <v>0</v>
      </c>
      <c r="G121" s="902"/>
      <c r="H121" s="344">
        <f t="shared" si="53"/>
        <v>0</v>
      </c>
      <c r="I121" s="335">
        <f t="shared" si="53"/>
        <v>0</v>
      </c>
      <c r="J121" s="336">
        <f t="shared" si="47"/>
        <v>0</v>
      </c>
      <c r="K121" s="338"/>
      <c r="L121" s="338"/>
      <c r="M121" s="339"/>
      <c r="N121" s="340">
        <f>F121</f>
        <v>0</v>
      </c>
      <c r="O121" s="346">
        <f>N121</f>
        <v>0</v>
      </c>
      <c r="P121" s="342">
        <f>O121*10%</f>
        <v>0</v>
      </c>
      <c r="Q121" s="326"/>
      <c r="R121" s="326"/>
      <c r="S121" s="326"/>
      <c r="T121" s="326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</row>
    <row r="122" spans="1:34" x14ac:dyDescent="0.2">
      <c r="A122" s="888"/>
      <c r="B122" s="383"/>
      <c r="C122" s="384"/>
      <c r="D122" s="332"/>
      <c r="E122" s="388"/>
      <c r="F122" s="388"/>
      <c r="G122" s="903"/>
      <c r="H122" s="389"/>
      <c r="I122" s="381"/>
      <c r="J122" s="336">
        <f t="shared" si="47"/>
        <v>0</v>
      </c>
      <c r="K122" s="390"/>
      <c r="L122" s="390"/>
      <c r="M122" s="391"/>
      <c r="N122" s="392"/>
      <c r="O122" s="393"/>
      <c r="P122" s="394"/>
      <c r="Q122" s="326"/>
      <c r="R122" s="326"/>
      <c r="S122" s="326"/>
      <c r="T122" s="326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</row>
    <row r="123" spans="1:34" ht="14.25" x14ac:dyDescent="0.2">
      <c r="A123" s="899"/>
      <c r="B123" s="898"/>
      <c r="C123" s="384"/>
      <c r="D123" s="332"/>
      <c r="E123" s="388"/>
      <c r="F123" s="388"/>
      <c r="G123" s="903"/>
      <c r="H123" s="389"/>
      <c r="I123" s="381"/>
      <c r="J123" s="336">
        <f t="shared" si="47"/>
        <v>0</v>
      </c>
      <c r="K123" s="390"/>
      <c r="L123" s="390"/>
      <c r="M123" s="391"/>
      <c r="N123" s="392"/>
      <c r="O123" s="393"/>
      <c r="P123" s="394"/>
      <c r="Q123" s="326"/>
      <c r="R123" s="326"/>
      <c r="S123" s="326"/>
      <c r="T123" s="326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</row>
    <row r="124" spans="1:34" x14ac:dyDescent="0.2">
      <c r="A124" s="888"/>
      <c r="B124" s="383"/>
      <c r="C124" s="384"/>
      <c r="D124" s="332"/>
      <c r="E124" s="333"/>
      <c r="F124" s="334">
        <f>E124*D124</f>
        <v>0</v>
      </c>
      <c r="G124" s="902"/>
      <c r="H124" s="344">
        <f>E124</f>
        <v>0</v>
      </c>
      <c r="I124" s="335">
        <f>F124</f>
        <v>0</v>
      </c>
      <c r="J124" s="336">
        <f t="shared" si="47"/>
        <v>0</v>
      </c>
      <c r="K124" s="338"/>
      <c r="L124" s="338"/>
      <c r="M124" s="339"/>
      <c r="N124" s="340">
        <f>F124</f>
        <v>0</v>
      </c>
      <c r="O124" s="346">
        <f>N124</f>
        <v>0</v>
      </c>
      <c r="P124" s="342">
        <f>O124*10%</f>
        <v>0</v>
      </c>
      <c r="Q124" s="326"/>
      <c r="R124" s="326"/>
      <c r="S124" s="326"/>
      <c r="T124" s="326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</row>
    <row r="125" spans="1:34" x14ac:dyDescent="0.2">
      <c r="A125" s="888"/>
      <c r="B125" s="383"/>
      <c r="C125" s="384"/>
      <c r="D125" s="332"/>
      <c r="E125" s="333"/>
      <c r="F125" s="334">
        <f>E125*D125</f>
        <v>0</v>
      </c>
      <c r="G125" s="902"/>
      <c r="H125" s="344">
        <f>E125</f>
        <v>0</v>
      </c>
      <c r="I125" s="335">
        <f>F125</f>
        <v>0</v>
      </c>
      <c r="J125" s="336">
        <f t="shared" si="47"/>
        <v>0</v>
      </c>
      <c r="K125" s="338"/>
      <c r="L125" s="338"/>
      <c r="M125" s="339"/>
      <c r="N125" s="340">
        <f>F125</f>
        <v>0</v>
      </c>
      <c r="O125" s="346">
        <f>N125</f>
        <v>0</v>
      </c>
      <c r="P125" s="342">
        <f>O125*10%</f>
        <v>0</v>
      </c>
      <c r="Q125" s="326"/>
      <c r="R125" s="326"/>
      <c r="S125" s="326"/>
      <c r="T125" s="326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</row>
    <row r="126" spans="1:34" x14ac:dyDescent="0.2">
      <c r="A126" s="888"/>
      <c r="B126" s="383"/>
      <c r="C126" s="384"/>
      <c r="D126" s="332"/>
      <c r="E126" s="388"/>
      <c r="F126" s="388"/>
      <c r="G126" s="903"/>
      <c r="H126" s="389"/>
      <c r="I126" s="381"/>
      <c r="J126" s="336">
        <f t="shared" si="47"/>
        <v>0</v>
      </c>
      <c r="K126" s="390"/>
      <c r="L126" s="390"/>
      <c r="M126" s="391"/>
      <c r="N126" s="392"/>
      <c r="O126" s="393"/>
      <c r="P126" s="394"/>
      <c r="Q126" s="326"/>
      <c r="R126" s="326"/>
      <c r="S126" s="326"/>
      <c r="T126" s="326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</row>
    <row r="127" spans="1:34" x14ac:dyDescent="0.2">
      <c r="A127" s="888"/>
      <c r="B127" s="383"/>
      <c r="C127" s="384"/>
      <c r="D127" s="332"/>
      <c r="E127" s="333"/>
      <c r="F127" s="334">
        <f>E127*D127</f>
        <v>0</v>
      </c>
      <c r="G127" s="902"/>
      <c r="H127" s="344">
        <f>E127</f>
        <v>0</v>
      </c>
      <c r="I127" s="335">
        <f>F127</f>
        <v>0</v>
      </c>
      <c r="J127" s="336">
        <f t="shared" si="47"/>
        <v>0</v>
      </c>
      <c r="K127" s="338"/>
      <c r="L127" s="338"/>
      <c r="M127" s="339"/>
      <c r="N127" s="340">
        <f>F127</f>
        <v>0</v>
      </c>
      <c r="O127" s="346">
        <f>N127</f>
        <v>0</v>
      </c>
      <c r="P127" s="342">
        <f>O127*10%</f>
        <v>0</v>
      </c>
      <c r="Q127" s="326"/>
      <c r="R127" s="326"/>
      <c r="S127" s="326"/>
      <c r="T127" s="326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</row>
    <row r="128" spans="1:34" x14ac:dyDescent="0.2">
      <c r="A128" s="888"/>
      <c r="B128" s="383"/>
      <c r="C128" s="384"/>
      <c r="D128" s="332"/>
      <c r="E128" s="333"/>
      <c r="F128" s="334">
        <f>E128*D128</f>
        <v>0</v>
      </c>
      <c r="G128" s="902"/>
      <c r="H128" s="344">
        <f>E128</f>
        <v>0</v>
      </c>
      <c r="I128" s="335">
        <f>F128</f>
        <v>0</v>
      </c>
      <c r="J128" s="336">
        <f t="shared" si="47"/>
        <v>0</v>
      </c>
      <c r="K128" s="338"/>
      <c r="L128" s="338"/>
      <c r="M128" s="339"/>
      <c r="N128" s="340">
        <f>F128</f>
        <v>0</v>
      </c>
      <c r="O128" s="346">
        <f>N128</f>
        <v>0</v>
      </c>
      <c r="P128" s="342">
        <f>O128*10%</f>
        <v>0</v>
      </c>
      <c r="Q128" s="326"/>
      <c r="R128" s="326"/>
      <c r="S128" s="326"/>
      <c r="T128" s="326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</row>
    <row r="129" spans="1:34" x14ac:dyDescent="0.2">
      <c r="A129" s="888"/>
      <c r="B129" s="383"/>
      <c r="C129" s="384"/>
      <c r="D129" s="332"/>
      <c r="E129" s="388"/>
      <c r="F129" s="388"/>
      <c r="G129" s="903"/>
      <c r="H129" s="389"/>
      <c r="I129" s="381"/>
      <c r="J129" s="336">
        <f t="shared" si="47"/>
        <v>0</v>
      </c>
      <c r="K129" s="390"/>
      <c r="L129" s="390"/>
      <c r="M129" s="391"/>
      <c r="N129" s="392"/>
      <c r="O129" s="393"/>
      <c r="P129" s="394"/>
      <c r="Q129" s="326"/>
      <c r="R129" s="326"/>
      <c r="S129" s="326"/>
      <c r="T129" s="326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</row>
    <row r="130" spans="1:34" x14ac:dyDescent="0.2">
      <c r="A130" s="888"/>
      <c r="B130" s="383"/>
      <c r="C130" s="384"/>
      <c r="D130" s="332"/>
      <c r="E130" s="333"/>
      <c r="F130" s="334">
        <f>E130*D130</f>
        <v>0</v>
      </c>
      <c r="G130" s="902"/>
      <c r="H130" s="344">
        <f t="shared" ref="H130:I133" si="54">E130</f>
        <v>0</v>
      </c>
      <c r="I130" s="335">
        <f t="shared" si="54"/>
        <v>0</v>
      </c>
      <c r="J130" s="336">
        <f t="shared" si="47"/>
        <v>0</v>
      </c>
      <c r="K130" s="338"/>
      <c r="L130" s="338"/>
      <c r="M130" s="339"/>
      <c r="N130" s="340">
        <f>F130</f>
        <v>0</v>
      </c>
      <c r="O130" s="346">
        <f>N130</f>
        <v>0</v>
      </c>
      <c r="P130" s="342">
        <f>O130*10%</f>
        <v>0</v>
      </c>
      <c r="Q130" s="326"/>
      <c r="R130" s="326"/>
      <c r="S130" s="326"/>
      <c r="T130" s="326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</row>
    <row r="131" spans="1:34" x14ac:dyDescent="0.2">
      <c r="A131" s="888"/>
      <c r="B131" s="383"/>
      <c r="C131" s="384"/>
      <c r="D131" s="332"/>
      <c r="E131" s="333"/>
      <c r="F131" s="334">
        <f>E131*D131</f>
        <v>0</v>
      </c>
      <c r="G131" s="902"/>
      <c r="H131" s="344">
        <f t="shared" si="54"/>
        <v>0</v>
      </c>
      <c r="I131" s="335">
        <f t="shared" si="54"/>
        <v>0</v>
      </c>
      <c r="J131" s="336">
        <f t="shared" si="47"/>
        <v>0</v>
      </c>
      <c r="K131" s="338"/>
      <c r="L131" s="338"/>
      <c r="M131" s="339"/>
      <c r="N131" s="340">
        <f>F131</f>
        <v>0</v>
      </c>
      <c r="O131" s="346">
        <f>N131</f>
        <v>0</v>
      </c>
      <c r="P131" s="342">
        <f>O131*10%</f>
        <v>0</v>
      </c>
      <c r="Q131" s="326"/>
      <c r="R131" s="326"/>
      <c r="S131" s="326"/>
      <c r="T131" s="326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</row>
    <row r="132" spans="1:34" x14ac:dyDescent="0.2">
      <c r="A132" s="888"/>
      <c r="B132" s="383"/>
      <c r="C132" s="384"/>
      <c r="D132" s="332"/>
      <c r="E132" s="333"/>
      <c r="F132" s="334">
        <f>E132*D132</f>
        <v>0</v>
      </c>
      <c r="G132" s="902"/>
      <c r="H132" s="344">
        <f t="shared" si="54"/>
        <v>0</v>
      </c>
      <c r="I132" s="335">
        <f t="shared" si="54"/>
        <v>0</v>
      </c>
      <c r="J132" s="336">
        <f t="shared" si="47"/>
        <v>0</v>
      </c>
      <c r="K132" s="338"/>
      <c r="L132" s="338"/>
      <c r="M132" s="339"/>
      <c r="N132" s="340">
        <f>F132</f>
        <v>0</v>
      </c>
      <c r="O132" s="346">
        <f>N132</f>
        <v>0</v>
      </c>
      <c r="P132" s="342">
        <f>O132*10%</f>
        <v>0</v>
      </c>
      <c r="Q132" s="326"/>
      <c r="R132" s="326"/>
      <c r="S132" s="326"/>
      <c r="T132" s="326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</row>
    <row r="133" spans="1:34" x14ac:dyDescent="0.2">
      <c r="A133" s="888"/>
      <c r="B133" s="383"/>
      <c r="C133" s="384"/>
      <c r="D133" s="332"/>
      <c r="E133" s="333"/>
      <c r="F133" s="334">
        <f>E133*D133</f>
        <v>0</v>
      </c>
      <c r="G133" s="902"/>
      <c r="H133" s="344">
        <f t="shared" si="54"/>
        <v>0</v>
      </c>
      <c r="I133" s="335">
        <f t="shared" si="54"/>
        <v>0</v>
      </c>
      <c r="J133" s="336">
        <f t="shared" si="47"/>
        <v>0</v>
      </c>
      <c r="K133" s="338"/>
      <c r="L133" s="338"/>
      <c r="M133" s="339"/>
      <c r="N133" s="340">
        <f>F133</f>
        <v>0</v>
      </c>
      <c r="O133" s="346">
        <f>N133</f>
        <v>0</v>
      </c>
      <c r="P133" s="342">
        <f>O133*10%</f>
        <v>0</v>
      </c>
      <c r="Q133" s="326"/>
      <c r="R133" s="326"/>
      <c r="S133" s="326"/>
      <c r="T133" s="326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</row>
    <row r="134" spans="1:34" x14ac:dyDescent="0.2">
      <c r="A134" s="888"/>
      <c r="B134" s="383"/>
      <c r="C134" s="384"/>
      <c r="D134" s="332"/>
      <c r="E134" s="388"/>
      <c r="F134" s="388"/>
      <c r="G134" s="903"/>
      <c r="H134" s="389"/>
      <c r="I134" s="381"/>
      <c r="J134" s="336">
        <f t="shared" ref="J134:J194" si="55">(G134*D134)</f>
        <v>0</v>
      </c>
      <c r="K134" s="390"/>
      <c r="L134" s="390"/>
      <c r="M134" s="391"/>
      <c r="N134" s="392"/>
      <c r="O134" s="393"/>
      <c r="P134" s="394"/>
      <c r="Q134" s="326"/>
      <c r="R134" s="326"/>
      <c r="S134" s="326"/>
      <c r="T134" s="326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</row>
    <row r="135" spans="1:34" ht="14.25" x14ac:dyDescent="0.2">
      <c r="A135" s="899"/>
      <c r="B135" s="898"/>
      <c r="C135" s="384"/>
      <c r="D135" s="332"/>
      <c r="E135" s="388"/>
      <c r="F135" s="388"/>
      <c r="G135" s="903"/>
      <c r="H135" s="389"/>
      <c r="I135" s="381"/>
      <c r="J135" s="336">
        <f t="shared" si="55"/>
        <v>0</v>
      </c>
      <c r="K135" s="390"/>
      <c r="L135" s="390"/>
      <c r="M135" s="391"/>
      <c r="N135" s="392"/>
      <c r="O135" s="393"/>
      <c r="P135" s="394"/>
      <c r="Q135" s="326"/>
      <c r="R135" s="326"/>
      <c r="S135" s="326"/>
      <c r="T135" s="326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</row>
    <row r="136" spans="1:34" x14ac:dyDescent="0.2">
      <c r="A136" s="888"/>
      <c r="B136" s="383"/>
      <c r="C136" s="384"/>
      <c r="D136" s="332"/>
      <c r="E136" s="333"/>
      <c r="F136" s="334">
        <f>E136*D136</f>
        <v>0</v>
      </c>
      <c r="G136" s="902"/>
      <c r="H136" s="344">
        <f t="shared" ref="H136:I141" si="56">E136</f>
        <v>0</v>
      </c>
      <c r="I136" s="335">
        <f t="shared" si="56"/>
        <v>0</v>
      </c>
      <c r="J136" s="336">
        <f t="shared" si="55"/>
        <v>0</v>
      </c>
      <c r="K136" s="338"/>
      <c r="L136" s="338"/>
      <c r="M136" s="339"/>
      <c r="N136" s="340">
        <f>F136+J137+J138</f>
        <v>0</v>
      </c>
      <c r="O136" s="346">
        <f>N136</f>
        <v>0</v>
      </c>
      <c r="P136" s="342">
        <f>O136*10%</f>
        <v>0</v>
      </c>
      <c r="Q136" s="326"/>
      <c r="R136" s="326"/>
      <c r="S136" s="326"/>
      <c r="T136" s="326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</row>
    <row r="137" spans="1:34" x14ac:dyDescent="0.2">
      <c r="A137" s="888"/>
      <c r="B137" s="383"/>
      <c r="C137" s="384"/>
      <c r="D137" s="332"/>
      <c r="E137" s="333"/>
      <c r="F137" s="334">
        <f>E137*D136</f>
        <v>0</v>
      </c>
      <c r="G137" s="902"/>
      <c r="H137" s="344">
        <v>3928</v>
      </c>
      <c r="I137" s="335">
        <f>E137*D136</f>
        <v>0</v>
      </c>
      <c r="J137" s="336">
        <f t="shared" si="55"/>
        <v>0</v>
      </c>
      <c r="K137" s="338"/>
      <c r="L137" s="338"/>
      <c r="M137" s="339"/>
      <c r="N137" s="340"/>
      <c r="O137" s="346"/>
      <c r="P137" s="342"/>
      <c r="Q137" s="326"/>
      <c r="R137" s="326"/>
      <c r="S137" s="326"/>
      <c r="T137" s="326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</row>
    <row r="138" spans="1:34" x14ac:dyDescent="0.2">
      <c r="A138" s="888"/>
      <c r="B138" s="383"/>
      <c r="C138" s="384"/>
      <c r="D138" s="332"/>
      <c r="E138" s="333"/>
      <c r="F138" s="334">
        <f>E138*D136</f>
        <v>0</v>
      </c>
      <c r="G138" s="902"/>
      <c r="H138" s="344">
        <f>E138</f>
        <v>0</v>
      </c>
      <c r="I138" s="335">
        <f>F138</f>
        <v>0</v>
      </c>
      <c r="J138" s="336">
        <f t="shared" si="55"/>
        <v>0</v>
      </c>
      <c r="K138" s="338"/>
      <c r="L138" s="338"/>
      <c r="M138" s="339"/>
      <c r="N138" s="340"/>
      <c r="O138" s="346"/>
      <c r="P138" s="342"/>
      <c r="Q138" s="326"/>
      <c r="R138" s="326"/>
      <c r="S138" s="326"/>
      <c r="T138" s="326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</row>
    <row r="139" spans="1:34" x14ac:dyDescent="0.2">
      <c r="A139" s="888"/>
      <c r="B139" s="383"/>
      <c r="C139" s="384"/>
      <c r="D139" s="332"/>
      <c r="E139" s="333"/>
      <c r="F139" s="334">
        <f>E139*D139</f>
        <v>0</v>
      </c>
      <c r="G139" s="902"/>
      <c r="H139" s="344">
        <f t="shared" si="56"/>
        <v>0</v>
      </c>
      <c r="I139" s="335">
        <f t="shared" si="56"/>
        <v>0</v>
      </c>
      <c r="J139" s="336">
        <f t="shared" si="55"/>
        <v>0</v>
      </c>
      <c r="K139" s="338"/>
      <c r="L139" s="338"/>
      <c r="M139" s="339"/>
      <c r="N139" s="340">
        <f>F139</f>
        <v>0</v>
      </c>
      <c r="O139" s="346">
        <f>N139</f>
        <v>0</v>
      </c>
      <c r="P139" s="342">
        <f>O139*10%</f>
        <v>0</v>
      </c>
      <c r="Q139" s="326"/>
      <c r="R139" s="326"/>
      <c r="S139" s="326"/>
      <c r="T139" s="326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</row>
    <row r="140" spans="1:34" x14ac:dyDescent="0.2">
      <c r="A140" s="888"/>
      <c r="B140" s="383"/>
      <c r="C140" s="384"/>
      <c r="D140" s="332"/>
      <c r="E140" s="333"/>
      <c r="F140" s="334">
        <f>E140*D140</f>
        <v>0</v>
      </c>
      <c r="G140" s="902"/>
      <c r="H140" s="344">
        <f t="shared" si="56"/>
        <v>0</v>
      </c>
      <c r="I140" s="335">
        <f t="shared" si="56"/>
        <v>0</v>
      </c>
      <c r="J140" s="336">
        <f t="shared" si="55"/>
        <v>0</v>
      </c>
      <c r="K140" s="338"/>
      <c r="L140" s="338"/>
      <c r="M140" s="339"/>
      <c r="N140" s="340">
        <f>F140</f>
        <v>0</v>
      </c>
      <c r="O140" s="346">
        <f>N140</f>
        <v>0</v>
      </c>
      <c r="P140" s="342">
        <f>O140*10%</f>
        <v>0</v>
      </c>
      <c r="Q140" s="326"/>
      <c r="R140" s="326"/>
      <c r="S140" s="326"/>
      <c r="T140" s="326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</row>
    <row r="141" spans="1:34" x14ac:dyDescent="0.2">
      <c r="A141" s="888"/>
      <c r="B141" s="383"/>
      <c r="C141" s="384"/>
      <c r="D141" s="332"/>
      <c r="E141" s="333"/>
      <c r="F141" s="334">
        <f>E141*D141</f>
        <v>0</v>
      </c>
      <c r="G141" s="902"/>
      <c r="H141" s="344">
        <f t="shared" si="56"/>
        <v>0</v>
      </c>
      <c r="I141" s="335">
        <f t="shared" si="56"/>
        <v>0</v>
      </c>
      <c r="J141" s="336">
        <f t="shared" si="55"/>
        <v>0</v>
      </c>
      <c r="K141" s="338"/>
      <c r="L141" s="338"/>
      <c r="M141" s="339"/>
      <c r="N141" s="340">
        <f>F141</f>
        <v>0</v>
      </c>
      <c r="O141" s="346">
        <f>N141</f>
        <v>0</v>
      </c>
      <c r="P141" s="342">
        <f>O141*10%</f>
        <v>0</v>
      </c>
      <c r="Q141" s="326"/>
      <c r="R141" s="326"/>
      <c r="S141" s="326"/>
      <c r="T141" s="326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</row>
    <row r="142" spans="1:34" x14ac:dyDescent="0.2">
      <c r="A142" s="888"/>
      <c r="B142" s="383"/>
      <c r="C142" s="384"/>
      <c r="D142" s="332"/>
      <c r="E142" s="388"/>
      <c r="F142" s="388"/>
      <c r="G142" s="903"/>
      <c r="H142" s="389"/>
      <c r="I142" s="381"/>
      <c r="J142" s="336">
        <f t="shared" si="55"/>
        <v>0</v>
      </c>
      <c r="K142" s="390"/>
      <c r="L142" s="390"/>
      <c r="M142" s="391"/>
      <c r="N142" s="392"/>
      <c r="O142" s="393"/>
      <c r="P142" s="394"/>
      <c r="Q142" s="326"/>
      <c r="R142" s="326"/>
      <c r="S142" s="326"/>
      <c r="T142" s="326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</row>
    <row r="143" spans="1:34" ht="14.25" x14ac:dyDescent="0.2">
      <c r="A143" s="899"/>
      <c r="B143" s="898"/>
      <c r="C143" s="384"/>
      <c r="D143" s="332"/>
      <c r="E143" s="388"/>
      <c r="F143" s="388"/>
      <c r="G143" s="903"/>
      <c r="H143" s="389"/>
      <c r="I143" s="381"/>
      <c r="J143" s="336">
        <f t="shared" si="55"/>
        <v>0</v>
      </c>
      <c r="K143" s="390"/>
      <c r="L143" s="390"/>
      <c r="M143" s="391"/>
      <c r="N143" s="392"/>
      <c r="O143" s="393"/>
      <c r="P143" s="394"/>
      <c r="Q143" s="326"/>
      <c r="R143" s="326"/>
      <c r="S143" s="326"/>
      <c r="T143" s="326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</row>
    <row r="144" spans="1:34" x14ac:dyDescent="0.2">
      <c r="A144" s="888"/>
      <c r="B144" s="383"/>
      <c r="C144" s="384"/>
      <c r="D144" s="332"/>
      <c r="E144" s="333"/>
      <c r="F144" s="334">
        <f>E144*D144</f>
        <v>0</v>
      </c>
      <c r="G144" s="902"/>
      <c r="H144" s="344">
        <f t="shared" ref="H144:I146" si="57">E144</f>
        <v>0</v>
      </c>
      <c r="I144" s="335">
        <f t="shared" si="57"/>
        <v>0</v>
      </c>
      <c r="J144" s="336">
        <f t="shared" si="55"/>
        <v>0</v>
      </c>
      <c r="K144" s="338"/>
      <c r="L144" s="338"/>
      <c r="M144" s="339"/>
      <c r="N144" s="340">
        <f>F144</f>
        <v>0</v>
      </c>
      <c r="O144" s="346">
        <f>N144</f>
        <v>0</v>
      </c>
      <c r="P144" s="342">
        <f>O144*10%</f>
        <v>0</v>
      </c>
      <c r="Q144" s="326"/>
      <c r="R144" s="326"/>
      <c r="S144" s="326"/>
      <c r="T144" s="326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</row>
    <row r="145" spans="1:34" x14ac:dyDescent="0.2">
      <c r="A145" s="888"/>
      <c r="B145" s="399"/>
      <c r="C145" s="384"/>
      <c r="D145" s="332"/>
      <c r="E145" s="333"/>
      <c r="F145" s="334">
        <f>E145*D145</f>
        <v>0</v>
      </c>
      <c r="G145" s="902"/>
      <c r="H145" s="344">
        <f t="shared" si="57"/>
        <v>0</v>
      </c>
      <c r="I145" s="335">
        <f t="shared" si="57"/>
        <v>0</v>
      </c>
      <c r="J145" s="336">
        <f t="shared" si="55"/>
        <v>0</v>
      </c>
      <c r="K145" s="338"/>
      <c r="L145" s="338"/>
      <c r="M145" s="339"/>
      <c r="N145" s="340">
        <f>F145</f>
        <v>0</v>
      </c>
      <c r="O145" s="346">
        <f>N145</f>
        <v>0</v>
      </c>
      <c r="P145" s="342">
        <f>O145*10%</f>
        <v>0</v>
      </c>
      <c r="Q145" s="326"/>
      <c r="R145" s="326"/>
      <c r="S145" s="326"/>
      <c r="T145" s="326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</row>
    <row r="146" spans="1:34" x14ac:dyDescent="0.2">
      <c r="A146" s="888"/>
      <c r="B146" s="399"/>
      <c r="C146" s="384"/>
      <c r="D146" s="332"/>
      <c r="E146" s="333"/>
      <c r="F146" s="334">
        <f>E146*D146</f>
        <v>0</v>
      </c>
      <c r="G146" s="902"/>
      <c r="H146" s="344">
        <f t="shared" si="57"/>
        <v>0</v>
      </c>
      <c r="I146" s="335">
        <f t="shared" si="57"/>
        <v>0</v>
      </c>
      <c r="J146" s="336">
        <f t="shared" si="55"/>
        <v>0</v>
      </c>
      <c r="K146" s="338"/>
      <c r="L146" s="338"/>
      <c r="M146" s="339"/>
      <c r="N146" s="340">
        <f>F146</f>
        <v>0</v>
      </c>
      <c r="O146" s="346">
        <f>N146</f>
        <v>0</v>
      </c>
      <c r="P146" s="342">
        <f>O146*10%</f>
        <v>0</v>
      </c>
      <c r="Q146" s="326"/>
      <c r="R146" s="326"/>
      <c r="S146" s="326"/>
      <c r="T146" s="326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</row>
    <row r="147" spans="1:34" x14ac:dyDescent="0.2">
      <c r="A147" s="888"/>
      <c r="B147" s="399"/>
      <c r="C147" s="384"/>
      <c r="D147" s="332"/>
      <c r="E147" s="388"/>
      <c r="F147" s="388"/>
      <c r="G147" s="903"/>
      <c r="H147" s="389"/>
      <c r="I147" s="381"/>
      <c r="J147" s="336">
        <f t="shared" si="55"/>
        <v>0</v>
      </c>
      <c r="K147" s="390"/>
      <c r="L147" s="390"/>
      <c r="M147" s="391"/>
      <c r="N147" s="392"/>
      <c r="O147" s="393"/>
      <c r="P147" s="394"/>
      <c r="Q147" s="326"/>
      <c r="R147" s="326"/>
      <c r="S147" s="326"/>
      <c r="T147" s="326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</row>
    <row r="148" spans="1:34" ht="14.25" x14ac:dyDescent="0.2">
      <c r="A148" s="899"/>
      <c r="B148" s="898"/>
      <c r="C148" s="384"/>
      <c r="D148" s="332"/>
      <c r="E148" s="388"/>
      <c r="F148" s="388"/>
      <c r="G148" s="903"/>
      <c r="H148" s="389"/>
      <c r="I148" s="381"/>
      <c r="J148" s="336">
        <f t="shared" si="55"/>
        <v>0</v>
      </c>
      <c r="K148" s="390"/>
      <c r="L148" s="390"/>
      <c r="M148" s="391"/>
      <c r="N148" s="392"/>
      <c r="O148" s="393"/>
      <c r="P148" s="394"/>
      <c r="Q148" s="326"/>
      <c r="R148" s="326"/>
      <c r="S148" s="326"/>
      <c r="T148" s="326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</row>
    <row r="149" spans="1:34" x14ac:dyDescent="0.2">
      <c r="A149" s="888"/>
      <c r="B149" s="399"/>
      <c r="C149" s="384"/>
      <c r="D149" s="332"/>
      <c r="E149" s="333"/>
      <c r="F149" s="334">
        <f>E149*D149</f>
        <v>0</v>
      </c>
      <c r="G149" s="902"/>
      <c r="H149" s="344">
        <f>E149</f>
        <v>0</v>
      </c>
      <c r="I149" s="335">
        <f>F149</f>
        <v>0</v>
      </c>
      <c r="J149" s="336">
        <f t="shared" si="55"/>
        <v>0</v>
      </c>
      <c r="K149" s="338"/>
      <c r="L149" s="338"/>
      <c r="M149" s="339"/>
      <c r="N149" s="340">
        <f>F149</f>
        <v>0</v>
      </c>
      <c r="O149" s="346">
        <f>N149</f>
        <v>0</v>
      </c>
      <c r="P149" s="342">
        <f>O149*10%</f>
        <v>0</v>
      </c>
      <c r="Q149" s="326"/>
      <c r="R149" s="326"/>
      <c r="S149" s="326"/>
      <c r="T149" s="326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</row>
    <row r="150" spans="1:34" x14ac:dyDescent="0.2">
      <c r="A150" s="888"/>
      <c r="B150" s="399"/>
      <c r="C150" s="384"/>
      <c r="D150" s="332"/>
      <c r="E150" s="388"/>
      <c r="F150" s="388"/>
      <c r="G150" s="903"/>
      <c r="H150" s="389"/>
      <c r="I150" s="381"/>
      <c r="J150" s="336">
        <f t="shared" si="55"/>
        <v>0</v>
      </c>
      <c r="K150" s="390"/>
      <c r="L150" s="390"/>
      <c r="M150" s="391"/>
      <c r="N150" s="392"/>
      <c r="O150" s="393"/>
      <c r="P150" s="394"/>
      <c r="Q150" s="326"/>
      <c r="R150" s="326"/>
      <c r="S150" s="326"/>
      <c r="T150" s="326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</row>
    <row r="151" spans="1:34" ht="14.25" x14ac:dyDescent="0.2">
      <c r="A151" s="899"/>
      <c r="B151" s="898"/>
      <c r="C151" s="384"/>
      <c r="D151" s="332"/>
      <c r="E151" s="388"/>
      <c r="F151" s="388"/>
      <c r="G151" s="903"/>
      <c r="H151" s="389"/>
      <c r="I151" s="381"/>
      <c r="J151" s="336">
        <f t="shared" si="55"/>
        <v>0</v>
      </c>
      <c r="K151" s="390"/>
      <c r="L151" s="390"/>
      <c r="M151" s="391"/>
      <c r="N151" s="392"/>
      <c r="O151" s="393"/>
      <c r="P151" s="394"/>
      <c r="Q151" s="326"/>
      <c r="R151" s="326"/>
      <c r="S151" s="326"/>
      <c r="T151" s="326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</row>
    <row r="152" spans="1:34" x14ac:dyDescent="0.2">
      <c r="A152" s="888"/>
      <c r="B152" s="399"/>
      <c r="C152" s="384"/>
      <c r="D152" s="332"/>
      <c r="E152" s="333"/>
      <c r="F152" s="334">
        <f>E152*D152</f>
        <v>0</v>
      </c>
      <c r="G152" s="902"/>
      <c r="H152" s="344">
        <f t="shared" ref="H152:I154" si="58">E152</f>
        <v>0</v>
      </c>
      <c r="I152" s="335">
        <f t="shared" si="58"/>
        <v>0</v>
      </c>
      <c r="J152" s="336">
        <f t="shared" si="55"/>
        <v>0</v>
      </c>
      <c r="K152" s="338"/>
      <c r="L152" s="338"/>
      <c r="M152" s="339"/>
      <c r="N152" s="340">
        <f>F152</f>
        <v>0</v>
      </c>
      <c r="O152" s="346">
        <f>N152</f>
        <v>0</v>
      </c>
      <c r="P152" s="342">
        <f>O152*10%</f>
        <v>0</v>
      </c>
      <c r="Q152" s="326"/>
      <c r="R152" s="326"/>
      <c r="S152" s="326"/>
      <c r="T152" s="326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</row>
    <row r="153" spans="1:34" x14ac:dyDescent="0.2">
      <c r="A153" s="888"/>
      <c r="B153" s="399"/>
      <c r="C153" s="384"/>
      <c r="D153" s="332"/>
      <c r="E153" s="333"/>
      <c r="F153" s="334">
        <f>E153*D153</f>
        <v>0</v>
      </c>
      <c r="G153" s="902"/>
      <c r="H153" s="344">
        <f t="shared" si="58"/>
        <v>0</v>
      </c>
      <c r="I153" s="335">
        <f t="shared" si="58"/>
        <v>0</v>
      </c>
      <c r="J153" s="336">
        <f t="shared" si="55"/>
        <v>0</v>
      </c>
      <c r="K153" s="338"/>
      <c r="L153" s="338"/>
      <c r="M153" s="339"/>
      <c r="N153" s="340">
        <f>F153</f>
        <v>0</v>
      </c>
      <c r="O153" s="346">
        <f>N153</f>
        <v>0</v>
      </c>
      <c r="P153" s="342">
        <f>O153*10%</f>
        <v>0</v>
      </c>
      <c r="Q153" s="326"/>
      <c r="R153" s="326"/>
      <c r="S153" s="326"/>
      <c r="T153" s="326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</row>
    <row r="154" spans="1:34" x14ac:dyDescent="0.2">
      <c r="A154" s="888"/>
      <c r="B154" s="399"/>
      <c r="C154" s="384"/>
      <c r="D154" s="332"/>
      <c r="E154" s="333"/>
      <c r="F154" s="334">
        <f>E154*D154</f>
        <v>0</v>
      </c>
      <c r="G154" s="902"/>
      <c r="H154" s="344">
        <f t="shared" si="58"/>
        <v>0</v>
      </c>
      <c r="I154" s="335">
        <f t="shared" si="58"/>
        <v>0</v>
      </c>
      <c r="J154" s="336">
        <f t="shared" si="55"/>
        <v>0</v>
      </c>
      <c r="K154" s="338"/>
      <c r="L154" s="338"/>
      <c r="M154" s="339"/>
      <c r="N154" s="340">
        <f>F154</f>
        <v>0</v>
      </c>
      <c r="O154" s="346">
        <f>N154</f>
        <v>0</v>
      </c>
      <c r="P154" s="342">
        <f>O154*10%</f>
        <v>0</v>
      </c>
      <c r="Q154" s="326"/>
      <c r="R154" s="326"/>
      <c r="S154" s="326"/>
      <c r="T154" s="326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</row>
    <row r="155" spans="1:34" x14ac:dyDescent="0.2">
      <c r="A155" s="888"/>
      <c r="B155" s="399"/>
      <c r="C155" s="384"/>
      <c r="D155" s="332"/>
      <c r="E155" s="388"/>
      <c r="F155" s="388"/>
      <c r="G155" s="903"/>
      <c r="H155" s="389"/>
      <c r="I155" s="381"/>
      <c r="J155" s="336">
        <f t="shared" si="55"/>
        <v>0</v>
      </c>
      <c r="K155" s="390"/>
      <c r="L155" s="390"/>
      <c r="M155" s="391"/>
      <c r="N155" s="392"/>
      <c r="O155" s="393"/>
      <c r="P155" s="394"/>
      <c r="Q155" s="326"/>
      <c r="R155" s="326"/>
      <c r="S155" s="326"/>
      <c r="T155" s="326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</row>
    <row r="156" spans="1:34" ht="14.25" x14ac:dyDescent="0.2">
      <c r="A156" s="899"/>
      <c r="B156" s="898"/>
      <c r="C156" s="384"/>
      <c r="D156" s="332"/>
      <c r="E156" s="388"/>
      <c r="F156" s="388"/>
      <c r="G156" s="903"/>
      <c r="H156" s="389"/>
      <c r="I156" s="381"/>
      <c r="J156" s="336">
        <f t="shared" si="55"/>
        <v>0</v>
      </c>
      <c r="K156" s="390"/>
      <c r="L156" s="390"/>
      <c r="M156" s="391"/>
      <c r="N156" s="392"/>
      <c r="O156" s="393"/>
      <c r="P156" s="394"/>
      <c r="Q156" s="326"/>
      <c r="R156" s="326"/>
      <c r="S156" s="326"/>
      <c r="T156" s="326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</row>
    <row r="157" spans="1:34" x14ac:dyDescent="0.2">
      <c r="A157" s="888"/>
      <c r="B157" s="399"/>
      <c r="C157" s="384"/>
      <c r="D157" s="332"/>
      <c r="E157" s="333"/>
      <c r="F157" s="334">
        <f>E157*D157</f>
        <v>0</v>
      </c>
      <c r="G157" s="902"/>
      <c r="H157" s="344">
        <f>E157</f>
        <v>0</v>
      </c>
      <c r="I157" s="335">
        <f>F157</f>
        <v>0</v>
      </c>
      <c r="J157" s="336">
        <f t="shared" si="55"/>
        <v>0</v>
      </c>
      <c r="K157" s="338"/>
      <c r="L157" s="338"/>
      <c r="M157" s="339"/>
      <c r="N157" s="340">
        <f>F157</f>
        <v>0</v>
      </c>
      <c r="O157" s="346">
        <f>N157</f>
        <v>0</v>
      </c>
      <c r="P157" s="342">
        <f>O157*10%</f>
        <v>0</v>
      </c>
      <c r="Q157" s="326"/>
      <c r="R157" s="326"/>
      <c r="S157" s="326"/>
      <c r="T157" s="326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</row>
    <row r="158" spans="1:34" x14ac:dyDescent="0.2">
      <c r="A158" s="888"/>
      <c r="B158" s="399"/>
      <c r="C158" s="384"/>
      <c r="D158" s="332"/>
      <c r="E158" s="333"/>
      <c r="F158" s="334">
        <f>E158*D158</f>
        <v>0</v>
      </c>
      <c r="G158" s="902"/>
      <c r="H158" s="344">
        <f>E158</f>
        <v>0</v>
      </c>
      <c r="I158" s="335">
        <f>F158</f>
        <v>0</v>
      </c>
      <c r="J158" s="336">
        <f t="shared" si="55"/>
        <v>0</v>
      </c>
      <c r="K158" s="338"/>
      <c r="L158" s="338"/>
      <c r="M158" s="339"/>
      <c r="N158" s="340">
        <f>F158</f>
        <v>0</v>
      </c>
      <c r="O158" s="346">
        <f>N158</f>
        <v>0</v>
      </c>
      <c r="P158" s="342">
        <f>O158*10%</f>
        <v>0</v>
      </c>
      <c r="Q158" s="326"/>
      <c r="R158" s="326"/>
      <c r="S158" s="326"/>
      <c r="T158" s="326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</row>
    <row r="159" spans="1:34" x14ac:dyDescent="0.2">
      <c r="A159" s="888"/>
      <c r="B159" s="399"/>
      <c r="C159" s="384"/>
      <c r="D159" s="332"/>
      <c r="E159" s="388"/>
      <c r="F159" s="388"/>
      <c r="G159" s="903"/>
      <c r="H159" s="389"/>
      <c r="I159" s="381"/>
      <c r="J159" s="336">
        <f t="shared" si="55"/>
        <v>0</v>
      </c>
      <c r="K159" s="390"/>
      <c r="L159" s="390"/>
      <c r="M159" s="391"/>
      <c r="N159" s="392"/>
      <c r="O159" s="393"/>
      <c r="P159" s="394"/>
      <c r="Q159" s="326"/>
      <c r="R159" s="326"/>
      <c r="S159" s="326"/>
      <c r="T159" s="326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</row>
    <row r="160" spans="1:34" ht="14.25" x14ac:dyDescent="0.2">
      <c r="A160" s="899"/>
      <c r="B160" s="898"/>
      <c r="C160" s="384"/>
      <c r="D160" s="332"/>
      <c r="E160" s="388"/>
      <c r="F160" s="388"/>
      <c r="G160" s="903"/>
      <c r="H160" s="389"/>
      <c r="I160" s="381"/>
      <c r="J160" s="336">
        <f t="shared" si="55"/>
        <v>0</v>
      </c>
      <c r="K160" s="390"/>
      <c r="L160" s="390"/>
      <c r="M160" s="391"/>
      <c r="N160" s="392"/>
      <c r="O160" s="393"/>
      <c r="P160" s="394"/>
      <c r="Q160" s="326"/>
      <c r="R160" s="326"/>
      <c r="S160" s="326"/>
      <c r="T160" s="326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</row>
    <row r="161" spans="1:34" x14ac:dyDescent="0.2">
      <c r="A161" s="888"/>
      <c r="B161" s="399"/>
      <c r="C161" s="384"/>
      <c r="D161" s="332"/>
      <c r="E161" s="333"/>
      <c r="F161" s="334">
        <f>E161*D161</f>
        <v>0</v>
      </c>
      <c r="G161" s="902"/>
      <c r="H161" s="344">
        <f>E161</f>
        <v>0</v>
      </c>
      <c r="I161" s="335">
        <f>F161</f>
        <v>0</v>
      </c>
      <c r="J161" s="336">
        <f t="shared" si="55"/>
        <v>0</v>
      </c>
      <c r="K161" s="338"/>
      <c r="L161" s="338"/>
      <c r="M161" s="339"/>
      <c r="N161" s="340">
        <f>F161</f>
        <v>0</v>
      </c>
      <c r="O161" s="346">
        <f>N161</f>
        <v>0</v>
      </c>
      <c r="P161" s="342">
        <f>O161*10%</f>
        <v>0</v>
      </c>
      <c r="Q161" s="326"/>
      <c r="R161" s="326"/>
      <c r="S161" s="326"/>
      <c r="T161" s="326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</row>
    <row r="162" spans="1:34" x14ac:dyDescent="0.2">
      <c r="A162" s="888"/>
      <c r="B162" s="399"/>
      <c r="C162" s="384"/>
      <c r="D162" s="332"/>
      <c r="E162" s="388"/>
      <c r="F162" s="388"/>
      <c r="G162" s="903"/>
      <c r="H162" s="389"/>
      <c r="I162" s="381"/>
      <c r="J162" s="336">
        <f t="shared" si="55"/>
        <v>0</v>
      </c>
      <c r="K162" s="390"/>
      <c r="L162" s="390"/>
      <c r="M162" s="391"/>
      <c r="N162" s="392"/>
      <c r="O162" s="393"/>
      <c r="P162" s="394"/>
      <c r="Q162" s="326"/>
      <c r="R162" s="326"/>
      <c r="S162" s="326"/>
      <c r="T162" s="326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</row>
    <row r="163" spans="1:34" ht="14.25" x14ac:dyDescent="0.2">
      <c r="A163" s="899"/>
      <c r="B163" s="898"/>
      <c r="C163" s="384"/>
      <c r="D163" s="332"/>
      <c r="E163" s="388"/>
      <c r="F163" s="388"/>
      <c r="G163" s="903"/>
      <c r="H163" s="389"/>
      <c r="I163" s="381"/>
      <c r="J163" s="336">
        <f t="shared" si="55"/>
        <v>0</v>
      </c>
      <c r="K163" s="390"/>
      <c r="L163" s="390"/>
      <c r="M163" s="391"/>
      <c r="N163" s="392"/>
      <c r="O163" s="393"/>
      <c r="P163" s="394"/>
      <c r="Q163" s="326"/>
      <c r="R163" s="326"/>
      <c r="S163" s="326"/>
      <c r="T163" s="326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</row>
    <row r="164" spans="1:34" x14ac:dyDescent="0.2">
      <c r="A164" s="888"/>
      <c r="B164" s="399"/>
      <c r="C164" s="384"/>
      <c r="D164" s="332"/>
      <c r="E164" s="333"/>
      <c r="F164" s="334">
        <f>E164*D164</f>
        <v>0</v>
      </c>
      <c r="G164" s="902"/>
      <c r="H164" s="344">
        <f>E164</f>
        <v>0</v>
      </c>
      <c r="I164" s="335">
        <f>F164</f>
        <v>0</v>
      </c>
      <c r="J164" s="336">
        <f t="shared" si="55"/>
        <v>0</v>
      </c>
      <c r="K164" s="338"/>
      <c r="L164" s="338"/>
      <c r="M164" s="339"/>
      <c r="N164" s="340">
        <f>F164</f>
        <v>0</v>
      </c>
      <c r="O164" s="346">
        <f>N164</f>
        <v>0</v>
      </c>
      <c r="P164" s="342">
        <f>O164*10%</f>
        <v>0</v>
      </c>
      <c r="Q164" s="326"/>
      <c r="R164" s="326"/>
      <c r="S164" s="326"/>
      <c r="T164" s="326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</row>
    <row r="165" spans="1:34" x14ac:dyDescent="0.2">
      <c r="A165" s="888"/>
      <c r="B165" s="399"/>
      <c r="C165" s="384"/>
      <c r="D165" s="332"/>
      <c r="E165" s="388"/>
      <c r="F165" s="388"/>
      <c r="G165" s="903"/>
      <c r="H165" s="389"/>
      <c r="I165" s="381"/>
      <c r="J165" s="336">
        <f t="shared" si="55"/>
        <v>0</v>
      </c>
      <c r="K165" s="390"/>
      <c r="L165" s="390"/>
      <c r="M165" s="391"/>
      <c r="N165" s="392"/>
      <c r="O165" s="393"/>
      <c r="P165" s="394"/>
      <c r="Q165" s="326"/>
      <c r="R165" s="326"/>
      <c r="S165" s="326"/>
      <c r="T165" s="326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</row>
    <row r="166" spans="1:34" ht="14.25" x14ac:dyDescent="0.2">
      <c r="A166" s="899"/>
      <c r="B166" s="898"/>
      <c r="C166" s="384"/>
      <c r="D166" s="332"/>
      <c r="E166" s="388"/>
      <c r="F166" s="388"/>
      <c r="G166" s="903"/>
      <c r="H166" s="389"/>
      <c r="I166" s="381"/>
      <c r="J166" s="336">
        <f t="shared" si="55"/>
        <v>0</v>
      </c>
      <c r="K166" s="390"/>
      <c r="L166" s="390"/>
      <c r="M166" s="391"/>
      <c r="N166" s="392"/>
      <c r="O166" s="393"/>
      <c r="P166" s="394"/>
      <c r="Q166" s="326"/>
      <c r="R166" s="326"/>
      <c r="S166" s="326"/>
      <c r="T166" s="326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</row>
    <row r="167" spans="1:34" x14ac:dyDescent="0.2">
      <c r="A167" s="888"/>
      <c r="B167" s="399"/>
      <c r="C167" s="384"/>
      <c r="D167" s="332"/>
      <c r="E167" s="333"/>
      <c r="F167" s="334">
        <f>E167*D167</f>
        <v>0</v>
      </c>
      <c r="G167" s="902"/>
      <c r="H167" s="344">
        <f>E167</f>
        <v>0</v>
      </c>
      <c r="I167" s="335">
        <f>F167</f>
        <v>0</v>
      </c>
      <c r="J167" s="336">
        <f t="shared" si="55"/>
        <v>0</v>
      </c>
      <c r="K167" s="338"/>
      <c r="L167" s="338"/>
      <c r="M167" s="339"/>
      <c r="N167" s="340">
        <f>F167</f>
        <v>0</v>
      </c>
      <c r="O167" s="346">
        <f>N167</f>
        <v>0</v>
      </c>
      <c r="P167" s="342">
        <f>O167*10%</f>
        <v>0</v>
      </c>
      <c r="Q167" s="326"/>
      <c r="R167" s="326"/>
      <c r="S167" s="326"/>
      <c r="T167" s="326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</row>
    <row r="168" spans="1:34" x14ac:dyDescent="0.2">
      <c r="A168" s="888"/>
      <c r="B168" s="399"/>
      <c r="C168" s="384"/>
      <c r="D168" s="332"/>
      <c r="E168" s="333"/>
      <c r="F168" s="334">
        <f>E168*D168</f>
        <v>0</v>
      </c>
      <c r="G168" s="902"/>
      <c r="H168" s="344">
        <f>E168</f>
        <v>0</v>
      </c>
      <c r="I168" s="335">
        <f>F168</f>
        <v>0</v>
      </c>
      <c r="J168" s="336">
        <f t="shared" si="55"/>
        <v>0</v>
      </c>
      <c r="K168" s="338"/>
      <c r="L168" s="338"/>
      <c r="M168" s="339"/>
      <c r="N168" s="340">
        <f>F168</f>
        <v>0</v>
      </c>
      <c r="O168" s="346">
        <f>N168</f>
        <v>0</v>
      </c>
      <c r="P168" s="342">
        <f>O168*10%</f>
        <v>0</v>
      </c>
      <c r="Q168" s="326"/>
      <c r="R168" s="326"/>
      <c r="S168" s="326"/>
      <c r="T168" s="326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</row>
    <row r="169" spans="1:34" x14ac:dyDescent="0.2">
      <c r="A169" s="888"/>
      <c r="B169" s="399"/>
      <c r="C169" s="384"/>
      <c r="D169" s="332"/>
      <c r="E169" s="388"/>
      <c r="F169" s="388"/>
      <c r="G169" s="903"/>
      <c r="H169" s="389"/>
      <c r="I169" s="381"/>
      <c r="J169" s="336">
        <f t="shared" si="55"/>
        <v>0</v>
      </c>
      <c r="K169" s="390"/>
      <c r="L169" s="390"/>
      <c r="M169" s="391"/>
      <c r="N169" s="392"/>
      <c r="O169" s="393"/>
      <c r="P169" s="394"/>
      <c r="Q169" s="326"/>
      <c r="R169" s="326"/>
      <c r="S169" s="326"/>
      <c r="T169" s="326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</row>
    <row r="170" spans="1:34" ht="14.25" x14ac:dyDescent="0.2">
      <c r="A170" s="899"/>
      <c r="B170" s="898"/>
      <c r="C170" s="384"/>
      <c r="D170" s="332"/>
      <c r="E170" s="388"/>
      <c r="F170" s="388"/>
      <c r="G170" s="903"/>
      <c r="H170" s="389"/>
      <c r="I170" s="381"/>
      <c r="J170" s="336">
        <f t="shared" si="55"/>
        <v>0</v>
      </c>
      <c r="K170" s="390"/>
      <c r="L170" s="390"/>
      <c r="M170" s="391"/>
      <c r="N170" s="392"/>
      <c r="O170" s="393"/>
      <c r="P170" s="394"/>
      <c r="Q170" s="326"/>
      <c r="R170" s="326"/>
      <c r="S170" s="326"/>
      <c r="T170" s="326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</row>
    <row r="171" spans="1:34" x14ac:dyDescent="0.2">
      <c r="A171" s="888"/>
      <c r="B171" s="399"/>
      <c r="C171" s="384"/>
      <c r="D171" s="332"/>
      <c r="E171" s="333"/>
      <c r="F171" s="334">
        <f>E171*D171</f>
        <v>0</v>
      </c>
      <c r="G171" s="902"/>
      <c r="H171" s="344">
        <f>E171</f>
        <v>0</v>
      </c>
      <c r="I171" s="335">
        <f>F171</f>
        <v>0</v>
      </c>
      <c r="J171" s="336">
        <f t="shared" si="55"/>
        <v>0</v>
      </c>
      <c r="K171" s="338"/>
      <c r="L171" s="338"/>
      <c r="M171" s="339"/>
      <c r="N171" s="340">
        <f>F171</f>
        <v>0</v>
      </c>
      <c r="O171" s="346">
        <f>N171</f>
        <v>0</v>
      </c>
      <c r="P171" s="342">
        <f>O171*10%</f>
        <v>0</v>
      </c>
      <c r="Q171" s="326"/>
      <c r="R171" s="326"/>
      <c r="S171" s="326"/>
      <c r="T171" s="326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</row>
    <row r="172" spans="1:34" x14ac:dyDescent="0.2">
      <c r="A172" s="888"/>
      <c r="B172" s="399"/>
      <c r="C172" s="384"/>
      <c r="D172" s="332"/>
      <c r="E172" s="388"/>
      <c r="F172" s="388"/>
      <c r="G172" s="903"/>
      <c r="H172" s="389"/>
      <c r="I172" s="381"/>
      <c r="J172" s="336">
        <f t="shared" si="55"/>
        <v>0</v>
      </c>
      <c r="K172" s="390"/>
      <c r="L172" s="390"/>
      <c r="M172" s="391"/>
      <c r="N172" s="392"/>
      <c r="O172" s="393"/>
      <c r="P172" s="394"/>
      <c r="Q172" s="326"/>
      <c r="R172" s="326"/>
      <c r="S172" s="326"/>
      <c r="T172" s="326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</row>
    <row r="173" spans="1:34" ht="14.25" x14ac:dyDescent="0.2">
      <c r="A173" s="899"/>
      <c r="B173" s="898"/>
      <c r="C173" s="384"/>
      <c r="D173" s="332"/>
      <c r="E173" s="388"/>
      <c r="F173" s="388"/>
      <c r="G173" s="903"/>
      <c r="H173" s="389"/>
      <c r="I173" s="381"/>
      <c r="J173" s="336">
        <f t="shared" si="55"/>
        <v>0</v>
      </c>
      <c r="K173" s="390"/>
      <c r="L173" s="390"/>
      <c r="M173" s="391"/>
      <c r="N173" s="392"/>
      <c r="O173" s="393"/>
      <c r="P173" s="394"/>
      <c r="Q173" s="326"/>
      <c r="R173" s="326"/>
      <c r="S173" s="326"/>
      <c r="T173" s="326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</row>
    <row r="174" spans="1:34" x14ac:dyDescent="0.2">
      <c r="A174" s="888"/>
      <c r="B174" s="399"/>
      <c r="C174" s="384"/>
      <c r="D174" s="332"/>
      <c r="E174" s="333"/>
      <c r="F174" s="334">
        <f>E174*D174</f>
        <v>0</v>
      </c>
      <c r="G174" s="902"/>
      <c r="H174" s="344">
        <f>E174</f>
        <v>0</v>
      </c>
      <c r="I174" s="335">
        <f>F174</f>
        <v>0</v>
      </c>
      <c r="J174" s="336">
        <f t="shared" si="55"/>
        <v>0</v>
      </c>
      <c r="K174" s="338"/>
      <c r="L174" s="338"/>
      <c r="M174" s="339"/>
      <c r="N174" s="340">
        <f>F174</f>
        <v>0</v>
      </c>
      <c r="O174" s="346">
        <f>N174</f>
        <v>0</v>
      </c>
      <c r="P174" s="342">
        <f>O174*10%</f>
        <v>0</v>
      </c>
      <c r="Q174" s="326"/>
      <c r="R174" s="326"/>
      <c r="S174" s="326"/>
      <c r="T174" s="326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</row>
    <row r="175" spans="1:34" x14ac:dyDescent="0.2">
      <c r="A175" s="888"/>
      <c r="B175" s="399"/>
      <c r="C175" s="384"/>
      <c r="D175" s="332"/>
      <c r="E175" s="333"/>
      <c r="F175" s="334">
        <f>E175*D175</f>
        <v>0</v>
      </c>
      <c r="G175" s="902"/>
      <c r="H175" s="344">
        <f>E175</f>
        <v>0</v>
      </c>
      <c r="I175" s="335">
        <f>F175</f>
        <v>0</v>
      </c>
      <c r="J175" s="336">
        <f t="shared" si="55"/>
        <v>0</v>
      </c>
      <c r="K175" s="338"/>
      <c r="L175" s="338"/>
      <c r="M175" s="339"/>
      <c r="N175" s="340">
        <f>F175</f>
        <v>0</v>
      </c>
      <c r="O175" s="346">
        <f>N175</f>
        <v>0</v>
      </c>
      <c r="P175" s="342">
        <f>O175*10%</f>
        <v>0</v>
      </c>
      <c r="Q175" s="326"/>
      <c r="R175" s="326"/>
      <c r="S175" s="326"/>
      <c r="T175" s="326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</row>
    <row r="176" spans="1:34" x14ac:dyDescent="0.2">
      <c r="A176" s="888"/>
      <c r="B176" s="399"/>
      <c r="C176" s="384"/>
      <c r="D176" s="332"/>
      <c r="E176" s="388"/>
      <c r="F176" s="388"/>
      <c r="G176" s="903"/>
      <c r="H176" s="389"/>
      <c r="I176" s="381"/>
      <c r="J176" s="336">
        <f t="shared" si="55"/>
        <v>0</v>
      </c>
      <c r="K176" s="390"/>
      <c r="L176" s="390"/>
      <c r="M176" s="391"/>
      <c r="N176" s="392"/>
      <c r="O176" s="393"/>
      <c r="P176" s="394"/>
      <c r="Q176" s="326"/>
      <c r="R176" s="326"/>
      <c r="S176" s="326"/>
      <c r="T176" s="326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</row>
    <row r="177" spans="1:34" ht="14.25" x14ac:dyDescent="0.2">
      <c r="A177" s="899"/>
      <c r="B177" s="898"/>
      <c r="C177" s="384"/>
      <c r="D177" s="332"/>
      <c r="E177" s="333"/>
      <c r="F177" s="334">
        <f>E177*D177</f>
        <v>0</v>
      </c>
      <c r="G177" s="902"/>
      <c r="H177" s="344">
        <f>E177</f>
        <v>0</v>
      </c>
      <c r="I177" s="335">
        <f>F177</f>
        <v>0</v>
      </c>
      <c r="J177" s="336">
        <f t="shared" si="55"/>
        <v>0</v>
      </c>
      <c r="K177" s="338"/>
      <c r="L177" s="338"/>
      <c r="M177" s="339"/>
      <c r="N177" s="340">
        <f>F177</f>
        <v>0</v>
      </c>
      <c r="O177" s="346">
        <f>N177</f>
        <v>0</v>
      </c>
      <c r="P177" s="342">
        <f>O177*10%</f>
        <v>0</v>
      </c>
      <c r="Q177" s="326"/>
      <c r="R177" s="326"/>
      <c r="S177" s="326"/>
      <c r="T177" s="326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</row>
    <row r="178" spans="1:34" x14ac:dyDescent="0.2">
      <c r="A178" s="888"/>
      <c r="B178" s="399"/>
      <c r="C178" s="384"/>
      <c r="D178" s="332"/>
      <c r="E178" s="388"/>
      <c r="F178" s="388"/>
      <c r="G178" s="903"/>
      <c r="H178" s="389"/>
      <c r="I178" s="381"/>
      <c r="J178" s="336">
        <f t="shared" si="55"/>
        <v>0</v>
      </c>
      <c r="K178" s="390"/>
      <c r="L178" s="390"/>
      <c r="M178" s="391"/>
      <c r="N178" s="392"/>
      <c r="O178" s="393"/>
      <c r="P178" s="394"/>
      <c r="Q178" s="326"/>
      <c r="R178" s="326"/>
      <c r="S178" s="326"/>
      <c r="T178" s="326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</row>
    <row r="179" spans="1:34" ht="14.25" x14ac:dyDescent="0.2">
      <c r="A179" s="899"/>
      <c r="B179" s="898"/>
      <c r="C179" s="384"/>
      <c r="D179" s="332"/>
      <c r="E179" s="333"/>
      <c r="F179" s="334">
        <f>E179*D179</f>
        <v>0</v>
      </c>
      <c r="G179" s="902"/>
      <c r="H179" s="344">
        <f>E179</f>
        <v>0</v>
      </c>
      <c r="I179" s="335">
        <f>F179</f>
        <v>0</v>
      </c>
      <c r="J179" s="336">
        <f t="shared" si="55"/>
        <v>0</v>
      </c>
      <c r="K179" s="338"/>
      <c r="L179" s="338"/>
      <c r="M179" s="339"/>
      <c r="N179" s="340">
        <f>F179</f>
        <v>0</v>
      </c>
      <c r="O179" s="346">
        <f>N179</f>
        <v>0</v>
      </c>
      <c r="P179" s="342">
        <f>O179*10%</f>
        <v>0</v>
      </c>
      <c r="Q179" s="326"/>
      <c r="R179" s="326"/>
      <c r="S179" s="326"/>
      <c r="T179" s="326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</row>
    <row r="180" spans="1:34" x14ac:dyDescent="0.2">
      <c r="A180" s="888"/>
      <c r="B180" s="399"/>
      <c r="C180" s="384"/>
      <c r="D180" s="332"/>
      <c r="E180" s="388"/>
      <c r="F180" s="388"/>
      <c r="G180" s="903"/>
      <c r="H180" s="389"/>
      <c r="I180" s="381"/>
      <c r="J180" s="336">
        <f t="shared" si="55"/>
        <v>0</v>
      </c>
      <c r="K180" s="390"/>
      <c r="L180" s="390"/>
      <c r="M180" s="391"/>
      <c r="N180" s="392"/>
      <c r="O180" s="393"/>
      <c r="P180" s="394"/>
      <c r="Q180" s="326"/>
      <c r="R180" s="326"/>
      <c r="S180" s="326"/>
      <c r="T180" s="326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</row>
    <row r="181" spans="1:34" ht="14.25" x14ac:dyDescent="0.2">
      <c r="A181" s="899"/>
      <c r="B181" s="898"/>
      <c r="C181" s="384"/>
      <c r="D181" s="332"/>
      <c r="E181" s="388"/>
      <c r="F181" s="388"/>
      <c r="G181" s="903"/>
      <c r="H181" s="389"/>
      <c r="I181" s="381"/>
      <c r="J181" s="336">
        <f t="shared" si="55"/>
        <v>0</v>
      </c>
      <c r="K181" s="390"/>
      <c r="L181" s="390"/>
      <c r="M181" s="391"/>
      <c r="N181" s="392"/>
      <c r="O181" s="393"/>
      <c r="P181" s="394"/>
      <c r="Q181" s="326"/>
      <c r="R181" s="326"/>
      <c r="S181" s="326"/>
      <c r="T181" s="326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</row>
    <row r="182" spans="1:34" x14ac:dyDescent="0.2">
      <c r="A182" s="888"/>
      <c r="B182" s="399"/>
      <c r="C182" s="384"/>
      <c r="D182" s="332"/>
      <c r="E182" s="388"/>
      <c r="F182" s="388"/>
      <c r="G182" s="903"/>
      <c r="H182" s="389"/>
      <c r="I182" s="381"/>
      <c r="J182" s="336">
        <f t="shared" si="55"/>
        <v>0</v>
      </c>
      <c r="K182" s="390"/>
      <c r="L182" s="390"/>
      <c r="M182" s="391"/>
      <c r="N182" s="392"/>
      <c r="O182" s="393"/>
      <c r="P182" s="394"/>
      <c r="Q182" s="326"/>
      <c r="R182" s="326"/>
      <c r="S182" s="326"/>
      <c r="T182" s="326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</row>
    <row r="183" spans="1:34" x14ac:dyDescent="0.2">
      <c r="A183" s="888"/>
      <c r="B183" s="399"/>
      <c r="C183" s="384"/>
      <c r="D183" s="332"/>
      <c r="E183" s="333"/>
      <c r="F183" s="334">
        <f>E183*D183</f>
        <v>0</v>
      </c>
      <c r="G183" s="902"/>
      <c r="H183" s="344">
        <f t="shared" ref="H183:I185" si="59">E183</f>
        <v>0</v>
      </c>
      <c r="I183" s="335">
        <f t="shared" si="59"/>
        <v>0</v>
      </c>
      <c r="J183" s="336">
        <f t="shared" si="55"/>
        <v>0</v>
      </c>
      <c r="K183" s="338"/>
      <c r="L183" s="338"/>
      <c r="M183" s="339"/>
      <c r="N183" s="340">
        <f>F183</f>
        <v>0</v>
      </c>
      <c r="O183" s="346">
        <f>N183</f>
        <v>0</v>
      </c>
      <c r="P183" s="342">
        <f>O183*10%</f>
        <v>0</v>
      </c>
      <c r="Q183" s="326"/>
      <c r="R183" s="326"/>
      <c r="S183" s="326"/>
      <c r="T183" s="326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</row>
    <row r="184" spans="1:34" x14ac:dyDescent="0.2">
      <c r="A184" s="888"/>
      <c r="B184" s="399"/>
      <c r="C184" s="384"/>
      <c r="D184" s="332"/>
      <c r="E184" s="333"/>
      <c r="F184" s="334">
        <f>E184*D184</f>
        <v>0</v>
      </c>
      <c r="G184" s="902"/>
      <c r="H184" s="344">
        <f t="shared" si="59"/>
        <v>0</v>
      </c>
      <c r="I184" s="335">
        <f t="shared" si="59"/>
        <v>0</v>
      </c>
      <c r="J184" s="336">
        <f t="shared" si="55"/>
        <v>0</v>
      </c>
      <c r="K184" s="338"/>
      <c r="L184" s="338"/>
      <c r="M184" s="339"/>
      <c r="N184" s="340">
        <f>F184</f>
        <v>0</v>
      </c>
      <c r="O184" s="346">
        <f>N184</f>
        <v>0</v>
      </c>
      <c r="P184" s="342">
        <f>O184*10%</f>
        <v>0</v>
      </c>
      <c r="Q184" s="326"/>
      <c r="R184" s="326"/>
      <c r="S184" s="326"/>
      <c r="T184" s="326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</row>
    <row r="185" spans="1:34" x14ac:dyDescent="0.2">
      <c r="A185" s="888"/>
      <c r="B185" s="399"/>
      <c r="C185" s="384"/>
      <c r="D185" s="332"/>
      <c r="E185" s="333"/>
      <c r="F185" s="334">
        <f>E185*D185</f>
        <v>0</v>
      </c>
      <c r="G185" s="902"/>
      <c r="H185" s="344">
        <f t="shared" si="59"/>
        <v>0</v>
      </c>
      <c r="I185" s="335">
        <f t="shared" si="59"/>
        <v>0</v>
      </c>
      <c r="J185" s="336">
        <f t="shared" si="55"/>
        <v>0</v>
      </c>
      <c r="K185" s="338"/>
      <c r="L185" s="338"/>
      <c r="M185" s="339"/>
      <c r="N185" s="340">
        <f>F185</f>
        <v>0</v>
      </c>
      <c r="O185" s="346">
        <f>N185</f>
        <v>0</v>
      </c>
      <c r="P185" s="342">
        <f>O185*10%</f>
        <v>0</v>
      </c>
      <c r="Q185" s="326"/>
      <c r="R185" s="326"/>
      <c r="S185" s="326"/>
      <c r="T185" s="326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</row>
    <row r="186" spans="1:34" x14ac:dyDescent="0.2">
      <c r="A186" s="888"/>
      <c r="B186" s="399"/>
      <c r="C186" s="384"/>
      <c r="D186" s="332"/>
      <c r="E186" s="388"/>
      <c r="F186" s="388"/>
      <c r="G186" s="903"/>
      <c r="H186" s="389"/>
      <c r="I186" s="381"/>
      <c r="J186" s="336">
        <f t="shared" si="55"/>
        <v>0</v>
      </c>
      <c r="K186" s="390"/>
      <c r="L186" s="390"/>
      <c r="M186" s="391"/>
      <c r="N186" s="392"/>
      <c r="O186" s="393"/>
      <c r="P186" s="394"/>
      <c r="Q186" s="326"/>
      <c r="R186" s="326"/>
      <c r="S186" s="326"/>
      <c r="T186" s="326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</row>
    <row r="187" spans="1:34" ht="14.25" x14ac:dyDescent="0.2">
      <c r="A187" s="899"/>
      <c r="B187" s="898"/>
      <c r="C187" s="384"/>
      <c r="D187" s="332"/>
      <c r="E187" s="388"/>
      <c r="F187" s="388"/>
      <c r="G187" s="903"/>
      <c r="H187" s="389"/>
      <c r="I187" s="381"/>
      <c r="J187" s="336">
        <f t="shared" si="55"/>
        <v>0</v>
      </c>
      <c r="K187" s="390"/>
      <c r="L187" s="390"/>
      <c r="M187" s="391"/>
      <c r="N187" s="392"/>
      <c r="O187" s="393"/>
      <c r="P187" s="394"/>
      <c r="Q187" s="326"/>
      <c r="R187" s="326"/>
      <c r="S187" s="326"/>
      <c r="T187" s="326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</row>
    <row r="188" spans="1:34" x14ac:dyDescent="0.2">
      <c r="A188" s="888"/>
      <c r="B188" s="399"/>
      <c r="C188" s="384"/>
      <c r="D188" s="332"/>
      <c r="E188" s="388"/>
      <c r="F188" s="388"/>
      <c r="G188" s="903"/>
      <c r="H188" s="389"/>
      <c r="I188" s="381"/>
      <c r="J188" s="336">
        <f t="shared" si="55"/>
        <v>0</v>
      </c>
      <c r="K188" s="390"/>
      <c r="L188" s="390"/>
      <c r="M188" s="391"/>
      <c r="N188" s="392"/>
      <c r="O188" s="393"/>
      <c r="P188" s="394"/>
      <c r="Q188" s="326"/>
      <c r="R188" s="326"/>
      <c r="S188" s="326"/>
      <c r="T188" s="326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</row>
    <row r="189" spans="1:34" x14ac:dyDescent="0.2">
      <c r="A189" s="888"/>
      <c r="B189" s="399"/>
      <c r="C189" s="384"/>
      <c r="D189" s="332"/>
      <c r="E189" s="333"/>
      <c r="F189" s="334">
        <f>E189*D189</f>
        <v>0</v>
      </c>
      <c r="G189" s="902"/>
      <c r="H189" s="344">
        <f>E189</f>
        <v>0</v>
      </c>
      <c r="I189" s="335">
        <f>F189</f>
        <v>0</v>
      </c>
      <c r="J189" s="336">
        <f t="shared" si="55"/>
        <v>0</v>
      </c>
      <c r="K189" s="338"/>
      <c r="L189" s="338"/>
      <c r="M189" s="339"/>
      <c r="N189" s="340"/>
      <c r="O189" s="346">
        <f>N189</f>
        <v>0</v>
      </c>
      <c r="P189" s="342">
        <f>O189*10%</f>
        <v>0</v>
      </c>
      <c r="Q189" s="326"/>
      <c r="R189" s="326"/>
      <c r="S189" s="326"/>
      <c r="T189" s="326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</row>
    <row r="190" spans="1:34" x14ac:dyDescent="0.2">
      <c r="A190" s="888"/>
      <c r="B190" s="399"/>
      <c r="C190" s="384"/>
      <c r="D190" s="332"/>
      <c r="E190" s="333"/>
      <c r="F190" s="334">
        <f>E190*D190</f>
        <v>0</v>
      </c>
      <c r="G190" s="902"/>
      <c r="H190" s="344">
        <f>E190</f>
        <v>0</v>
      </c>
      <c r="I190" s="335">
        <f>H190*D190</f>
        <v>0</v>
      </c>
      <c r="J190" s="336">
        <f t="shared" si="55"/>
        <v>0</v>
      </c>
      <c r="K190" s="338"/>
      <c r="L190" s="338"/>
      <c r="M190" s="339"/>
      <c r="N190" s="340">
        <f>SUM(J190:J190)</f>
        <v>0</v>
      </c>
      <c r="O190" s="346">
        <f>N190</f>
        <v>0</v>
      </c>
      <c r="P190" s="342">
        <f>O190*10%</f>
        <v>0</v>
      </c>
      <c r="Q190" s="326"/>
      <c r="R190" s="326"/>
      <c r="S190" s="326"/>
      <c r="T190" s="326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</row>
    <row r="191" spans="1:34" ht="14.25" x14ac:dyDescent="0.2">
      <c r="A191" s="899"/>
      <c r="B191" s="898"/>
      <c r="C191" s="384"/>
      <c r="D191" s="332"/>
      <c r="E191" s="388"/>
      <c r="F191" s="388"/>
      <c r="G191" s="903"/>
      <c r="H191" s="344"/>
      <c r="I191" s="335"/>
      <c r="J191" s="336">
        <f t="shared" si="55"/>
        <v>0</v>
      </c>
      <c r="K191" s="338"/>
      <c r="L191" s="338"/>
      <c r="M191" s="339"/>
      <c r="N191" s="392"/>
      <c r="O191" s="393"/>
      <c r="P191" s="394"/>
      <c r="Q191" s="326"/>
      <c r="R191" s="326"/>
      <c r="S191" s="326"/>
      <c r="T191" s="326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</row>
    <row r="192" spans="1:34" x14ac:dyDescent="0.2">
      <c r="A192" s="888"/>
      <c r="B192" s="399"/>
      <c r="C192" s="384"/>
      <c r="D192" s="332"/>
      <c r="E192" s="388"/>
      <c r="F192" s="388"/>
      <c r="G192" s="903"/>
      <c r="H192" s="389"/>
      <c r="I192" s="381"/>
      <c r="J192" s="336">
        <f t="shared" si="55"/>
        <v>0</v>
      </c>
      <c r="K192" s="390"/>
      <c r="L192" s="390"/>
      <c r="M192" s="391"/>
      <c r="N192" s="392"/>
      <c r="O192" s="393"/>
      <c r="P192" s="394"/>
      <c r="Q192" s="326"/>
      <c r="R192" s="326"/>
      <c r="S192" s="326"/>
      <c r="T192" s="326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</row>
    <row r="193" spans="1:34" x14ac:dyDescent="0.2">
      <c r="A193" s="888"/>
      <c r="B193" s="399"/>
      <c r="C193" s="384"/>
      <c r="D193" s="332"/>
      <c r="E193" s="333"/>
      <c r="F193" s="334">
        <f>E193*D193</f>
        <v>0</v>
      </c>
      <c r="G193" s="902"/>
      <c r="H193" s="344">
        <f>E193</f>
        <v>0</v>
      </c>
      <c r="I193" s="335">
        <f>F193</f>
        <v>0</v>
      </c>
      <c r="J193" s="336">
        <f t="shared" si="55"/>
        <v>0</v>
      </c>
      <c r="K193" s="338"/>
      <c r="L193" s="338"/>
      <c r="M193" s="339"/>
      <c r="N193" s="340">
        <f>F193</f>
        <v>0</v>
      </c>
      <c r="O193" s="346">
        <f>N193</f>
        <v>0</v>
      </c>
      <c r="P193" s="342">
        <f>O193*10%</f>
        <v>0</v>
      </c>
      <c r="Q193" s="326"/>
      <c r="R193" s="326"/>
      <c r="S193" s="326"/>
      <c r="T193" s="326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</row>
    <row r="194" spans="1:34" x14ac:dyDescent="0.2">
      <c r="A194" s="888"/>
      <c r="B194" s="383"/>
      <c r="C194" s="384"/>
      <c r="D194" s="332"/>
      <c r="E194" s="388"/>
      <c r="F194" s="388"/>
      <c r="G194" s="903"/>
      <c r="H194" s="389"/>
      <c r="I194" s="381"/>
      <c r="J194" s="336">
        <f t="shared" si="55"/>
        <v>0</v>
      </c>
      <c r="K194" s="390"/>
      <c r="L194" s="390"/>
      <c r="M194" s="391"/>
      <c r="N194" s="392"/>
      <c r="O194" s="393"/>
      <c r="P194" s="394"/>
      <c r="Q194" s="326"/>
      <c r="R194" s="326"/>
      <c r="S194" s="326"/>
      <c r="T194" s="326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</row>
    <row r="195" spans="1:34" x14ac:dyDescent="0.2">
      <c r="A195" s="362"/>
      <c r="B195" s="362"/>
      <c r="C195" s="362"/>
      <c r="D195" s="362"/>
      <c r="E195" s="362"/>
      <c r="F195" s="363"/>
      <c r="G195" s="905"/>
      <c r="H195" s="362"/>
      <c r="I195" s="362"/>
      <c r="J195" s="364"/>
      <c r="K195" s="362"/>
      <c r="L195" s="362"/>
      <c r="M195" s="362"/>
      <c r="N195" s="364"/>
      <c r="O195" s="365"/>
      <c r="P195" s="366"/>
      <c r="Q195" s="355"/>
      <c r="R195" s="355"/>
      <c r="S195" s="355"/>
      <c r="T195" s="355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</row>
    <row r="196" spans="1:34" x14ac:dyDescent="0.2">
      <c r="A196" s="367"/>
      <c r="B196" s="367"/>
      <c r="C196" s="338" t="s">
        <v>164</v>
      </c>
      <c r="D196" s="400"/>
      <c r="E196" s="400"/>
      <c r="F196" s="400"/>
      <c r="G196" s="906"/>
      <c r="H196" s="400"/>
      <c r="I196" s="400">
        <f>SUM(I4:I194)</f>
        <v>9824037</v>
      </c>
      <c r="J196" s="400">
        <f>SUM(J5:J195)</f>
        <v>0</v>
      </c>
      <c r="K196" s="400"/>
      <c r="L196" s="400"/>
      <c r="M196" s="339"/>
      <c r="N196" s="400">
        <f>SUM(N4:N194)</f>
        <v>9816245</v>
      </c>
      <c r="O196" s="400">
        <f>SUM(O4:O194)</f>
        <v>9816245</v>
      </c>
      <c r="P196" s="401">
        <f>SUM(P4:P194)</f>
        <v>981624.5</v>
      </c>
      <c r="Q196" s="372"/>
      <c r="R196" s="372"/>
      <c r="S196" s="372"/>
      <c r="T196" s="372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</row>
    <row r="197" spans="1:34" x14ac:dyDescent="0.2">
      <c r="A197" s="373"/>
      <c r="B197" s="367"/>
      <c r="C197" s="367"/>
      <c r="D197" s="367"/>
      <c r="E197" s="367"/>
      <c r="F197" s="367"/>
      <c r="G197" s="907"/>
      <c r="H197" s="402"/>
      <c r="I197" s="402"/>
      <c r="J197" s="374"/>
      <c r="K197" s="367"/>
      <c r="L197" s="367"/>
      <c r="M197" s="367"/>
      <c r="N197" s="374"/>
      <c r="O197" s="326"/>
      <c r="P197" s="326"/>
      <c r="Q197" s="326"/>
      <c r="R197" s="326"/>
      <c r="S197" s="326"/>
      <c r="T197" s="326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</row>
    <row r="198" spans="1:34" x14ac:dyDescent="0.2">
      <c r="A198" s="373"/>
      <c r="B198" s="367"/>
      <c r="C198" s="367"/>
      <c r="D198" s="367"/>
      <c r="E198" s="367"/>
      <c r="F198" s="367"/>
      <c r="G198" s="907"/>
      <c r="H198" s="402"/>
      <c r="I198" s="402"/>
      <c r="J198" s="374"/>
      <c r="K198" s="367"/>
      <c r="L198" s="367"/>
      <c r="M198" s="367"/>
      <c r="N198" s="374"/>
      <c r="O198" s="326"/>
      <c r="P198" s="326"/>
      <c r="Q198" s="326"/>
      <c r="R198" s="326"/>
      <c r="S198" s="326"/>
      <c r="T198" s="326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</row>
    <row r="199" spans="1:34" x14ac:dyDescent="0.2">
      <c r="A199" s="367"/>
      <c r="B199" s="367"/>
      <c r="C199" s="367"/>
      <c r="D199" s="367"/>
      <c r="E199" s="367"/>
      <c r="F199" s="367"/>
      <c r="G199" s="907"/>
      <c r="H199" s="402"/>
      <c r="I199" s="402"/>
      <c r="J199" s="374"/>
      <c r="K199" s="367"/>
      <c r="L199" s="367"/>
      <c r="M199" s="367"/>
      <c r="N199" s="374"/>
      <c r="O199" s="355"/>
      <c r="P199" s="355"/>
      <c r="Q199" s="355"/>
      <c r="R199" s="355"/>
      <c r="S199" s="355"/>
      <c r="T199" s="355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</row>
    <row r="200" spans="1:34" x14ac:dyDescent="0.2">
      <c r="A200" s="367"/>
      <c r="B200" s="367"/>
      <c r="C200" s="367"/>
      <c r="D200" s="367"/>
      <c r="E200" s="367"/>
      <c r="F200" s="367"/>
      <c r="G200" s="907"/>
      <c r="H200" s="402"/>
      <c r="I200" s="402"/>
      <c r="J200" s="374"/>
      <c r="K200" s="367"/>
      <c r="L200" s="367"/>
      <c r="M200" s="367"/>
      <c r="N200" s="374"/>
      <c r="O200" s="355"/>
      <c r="P200" s="355"/>
      <c r="Q200" s="355"/>
      <c r="R200" s="355"/>
      <c r="S200" s="355"/>
      <c r="T200" s="355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</row>
    <row r="201" spans="1:34" x14ac:dyDescent="0.2">
      <c r="A201" s="367"/>
      <c r="B201" s="367"/>
      <c r="C201" s="367"/>
      <c r="D201" s="367"/>
      <c r="E201" s="367"/>
      <c r="F201" s="367"/>
      <c r="G201" s="907"/>
      <c r="H201" s="402"/>
      <c r="I201" s="402"/>
      <c r="J201" s="374"/>
      <c r="K201" s="367"/>
      <c r="L201" s="367"/>
      <c r="M201" s="367"/>
      <c r="N201" s="374"/>
      <c r="O201" s="372"/>
      <c r="P201" s="372"/>
      <c r="Q201" s="372"/>
      <c r="R201" s="372"/>
      <c r="S201" s="372"/>
      <c r="T201" s="372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</row>
    <row r="202" spans="1:34" x14ac:dyDescent="0.2">
      <c r="A202" s="373"/>
      <c r="B202" s="367"/>
      <c r="C202" s="367"/>
      <c r="D202" s="367"/>
      <c r="E202" s="367"/>
      <c r="F202" s="367"/>
      <c r="G202" s="907"/>
      <c r="H202" s="402"/>
      <c r="I202" s="402"/>
      <c r="J202" s="374"/>
      <c r="K202" s="367"/>
      <c r="L202" s="367"/>
      <c r="M202" s="367"/>
      <c r="N202" s="374"/>
      <c r="O202" s="326"/>
      <c r="P202" s="326"/>
      <c r="Q202" s="326"/>
      <c r="R202" s="326"/>
      <c r="S202" s="326"/>
      <c r="T202" s="326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</row>
    <row r="203" spans="1:34" x14ac:dyDescent="0.2">
      <c r="A203" s="373"/>
      <c r="B203" s="367"/>
      <c r="C203" s="367"/>
      <c r="D203" s="367"/>
      <c r="E203" s="367"/>
      <c r="F203" s="367"/>
      <c r="G203" s="907"/>
      <c r="H203" s="402"/>
      <c r="I203" s="402"/>
      <c r="J203" s="374"/>
      <c r="K203" s="367"/>
      <c r="L203" s="367"/>
      <c r="M203" s="367"/>
      <c r="N203" s="374"/>
      <c r="O203" s="326"/>
      <c r="P203" s="326"/>
      <c r="Q203" s="326"/>
      <c r="R203" s="326"/>
      <c r="S203" s="326"/>
      <c r="T203" s="326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</row>
    <row r="204" spans="1:34" x14ac:dyDescent="0.2">
      <c r="A204" s="367"/>
      <c r="B204" s="367"/>
      <c r="C204" s="367"/>
      <c r="D204" s="367"/>
      <c r="E204" s="367"/>
      <c r="F204" s="367"/>
      <c r="G204" s="907"/>
      <c r="H204" s="402"/>
      <c r="I204" s="402"/>
      <c r="J204" s="374"/>
      <c r="K204" s="367"/>
      <c r="L204" s="367"/>
      <c r="M204" s="367"/>
      <c r="N204" s="374"/>
      <c r="O204" s="355"/>
      <c r="P204" s="355"/>
      <c r="Q204" s="355"/>
      <c r="R204" s="355"/>
      <c r="S204" s="355"/>
      <c r="T204" s="355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</row>
    <row r="205" spans="1:34" x14ac:dyDescent="0.2">
      <c r="A205" s="367"/>
      <c r="B205" s="367"/>
      <c r="C205" s="367"/>
      <c r="D205" s="367"/>
      <c r="E205" s="367"/>
      <c r="F205" s="367"/>
      <c r="G205" s="907"/>
      <c r="H205" s="402"/>
      <c r="I205" s="402"/>
      <c r="J205" s="374"/>
      <c r="K205" s="367"/>
      <c r="L205" s="367"/>
      <c r="M205" s="367"/>
      <c r="N205" s="374"/>
      <c r="O205" s="355"/>
      <c r="P205" s="355"/>
      <c r="Q205" s="355"/>
      <c r="R205" s="355"/>
      <c r="S205" s="355"/>
      <c r="T205" s="355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</row>
    <row r="206" spans="1:34" x14ac:dyDescent="0.2">
      <c r="A206" s="367"/>
      <c r="B206" s="367"/>
      <c r="C206" s="367"/>
      <c r="D206" s="367"/>
      <c r="E206" s="367"/>
      <c r="F206" s="367"/>
      <c r="G206" s="907"/>
      <c r="H206" s="402"/>
      <c r="I206" s="402"/>
      <c r="J206" s="374"/>
      <c r="K206" s="367"/>
      <c r="L206" s="367"/>
      <c r="M206" s="367"/>
      <c r="N206" s="374"/>
      <c r="O206" s="372"/>
      <c r="P206" s="372"/>
      <c r="Q206" s="372"/>
      <c r="R206" s="372"/>
      <c r="S206" s="372"/>
      <c r="T206" s="372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</row>
    <row r="207" spans="1:34" x14ac:dyDescent="0.2">
      <c r="A207" s="373"/>
      <c r="B207" s="367"/>
      <c r="C207" s="367"/>
      <c r="D207" s="367"/>
      <c r="E207" s="367"/>
      <c r="F207" s="367"/>
      <c r="G207" s="907"/>
      <c r="H207" s="402"/>
      <c r="I207" s="402"/>
      <c r="J207" s="374"/>
      <c r="K207" s="367"/>
      <c r="L207" s="367"/>
      <c r="M207" s="367"/>
      <c r="N207" s="374"/>
      <c r="O207" s="326"/>
      <c r="P207" s="326"/>
      <c r="Q207" s="326"/>
      <c r="R207" s="326"/>
      <c r="S207" s="326"/>
      <c r="T207" s="326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</row>
    <row r="208" spans="1:34" x14ac:dyDescent="0.2">
      <c r="A208" s="376"/>
      <c r="B208" s="375"/>
      <c r="C208" s="375"/>
      <c r="D208" s="375"/>
      <c r="E208" s="375"/>
      <c r="F208" s="375"/>
      <c r="G208" s="908"/>
      <c r="H208" s="403"/>
      <c r="I208" s="403"/>
      <c r="J208" s="375"/>
      <c r="K208" s="375"/>
      <c r="L208" s="375"/>
      <c r="M208" s="375"/>
      <c r="N208" s="375"/>
      <c r="O208" s="326"/>
      <c r="P208" s="326"/>
      <c r="Q208" s="326"/>
      <c r="R208" s="326"/>
      <c r="S208" s="326"/>
      <c r="T208" s="326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</row>
    <row r="209" spans="1:34" x14ac:dyDescent="0.2">
      <c r="A209" s="372"/>
      <c r="B209" s="355"/>
      <c r="C209" s="355"/>
      <c r="D209" s="355"/>
      <c r="E209" s="355"/>
      <c r="F209" s="355"/>
      <c r="G209" s="909"/>
      <c r="H209" s="404"/>
      <c r="I209" s="404"/>
      <c r="J209" s="355"/>
      <c r="K209" s="355"/>
      <c r="L209" s="355"/>
      <c r="M209" s="355"/>
      <c r="N209" s="355"/>
      <c r="O209" s="355"/>
      <c r="P209" s="355"/>
      <c r="Q209" s="355"/>
      <c r="R209" s="355"/>
      <c r="S209" s="355"/>
      <c r="T209" s="355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</row>
    <row r="210" spans="1:34" x14ac:dyDescent="0.2">
      <c r="A210" s="372"/>
      <c r="B210" s="355"/>
      <c r="C210" s="355"/>
      <c r="D210" s="355"/>
      <c r="E210" s="355"/>
      <c r="F210" s="355"/>
      <c r="G210" s="909"/>
      <c r="H210" s="404"/>
      <c r="I210" s="404"/>
      <c r="J210" s="355"/>
      <c r="K210" s="355"/>
      <c r="L210" s="355"/>
      <c r="M210" s="355"/>
      <c r="N210" s="355"/>
      <c r="O210" s="355"/>
      <c r="P210" s="355"/>
      <c r="Q210" s="355"/>
      <c r="R210" s="355"/>
      <c r="S210" s="355"/>
      <c r="T210" s="355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</row>
    <row r="211" spans="1:34" x14ac:dyDescent="0.2">
      <c r="A211" s="372"/>
      <c r="B211" s="372"/>
      <c r="C211" s="372"/>
      <c r="D211" s="372"/>
      <c r="E211" s="372"/>
      <c r="F211" s="372"/>
      <c r="G211" s="910"/>
      <c r="H211" s="405"/>
      <c r="I211" s="405"/>
      <c r="J211" s="372"/>
      <c r="K211" s="372"/>
      <c r="L211" s="372"/>
      <c r="M211" s="372"/>
      <c r="N211" s="372"/>
      <c r="O211" s="372"/>
      <c r="P211" s="372"/>
      <c r="Q211" s="372"/>
      <c r="R211" s="372"/>
      <c r="S211" s="372"/>
      <c r="T211" s="372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</row>
    <row r="212" spans="1:34" x14ac:dyDescent="0.2">
      <c r="A212" s="376"/>
      <c r="B212" s="375"/>
      <c r="C212" s="375"/>
      <c r="D212" s="375"/>
      <c r="E212" s="375"/>
      <c r="F212" s="375"/>
      <c r="G212" s="908"/>
      <c r="H212" s="403"/>
      <c r="I212" s="403"/>
      <c r="J212" s="375"/>
      <c r="K212" s="375"/>
      <c r="L212" s="375"/>
      <c r="M212" s="375"/>
      <c r="N212" s="375"/>
      <c r="O212" s="326"/>
      <c r="P212" s="326"/>
      <c r="Q212" s="326"/>
      <c r="R212" s="326"/>
      <c r="S212" s="326"/>
      <c r="T212" s="326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</row>
    <row r="213" spans="1:34" x14ac:dyDescent="0.2">
      <c r="A213" s="376"/>
      <c r="B213" s="375"/>
      <c r="C213" s="375"/>
      <c r="D213" s="375"/>
      <c r="E213" s="375"/>
      <c r="F213" s="375"/>
      <c r="G213" s="908"/>
      <c r="H213" s="403"/>
      <c r="I213" s="403"/>
      <c r="J213" s="375"/>
      <c r="K213" s="375"/>
      <c r="L213" s="375"/>
      <c r="M213" s="375"/>
      <c r="N213" s="375"/>
      <c r="O213" s="326"/>
      <c r="P213" s="326"/>
      <c r="Q213" s="326"/>
      <c r="R213" s="326"/>
      <c r="S213" s="326"/>
      <c r="T213" s="326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</row>
    <row r="214" spans="1:34" x14ac:dyDescent="0.2">
      <c r="A214" s="372"/>
      <c r="B214" s="355"/>
      <c r="C214" s="355"/>
      <c r="D214" s="355"/>
      <c r="E214" s="355"/>
      <c r="F214" s="355"/>
      <c r="G214" s="909"/>
      <c r="H214" s="404"/>
      <c r="I214" s="404"/>
      <c r="J214" s="355"/>
      <c r="K214" s="355"/>
      <c r="L214" s="355"/>
      <c r="M214" s="355"/>
      <c r="N214" s="355"/>
      <c r="O214" s="355"/>
      <c r="P214" s="355"/>
      <c r="Q214" s="355"/>
      <c r="R214" s="355"/>
      <c r="S214" s="355"/>
      <c r="T214" s="355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</row>
    <row r="215" spans="1:34" x14ac:dyDescent="0.2">
      <c r="A215" s="372"/>
      <c r="B215" s="355"/>
      <c r="C215" s="355"/>
      <c r="D215" s="355"/>
      <c r="E215" s="355"/>
      <c r="F215" s="355"/>
      <c r="G215" s="909"/>
      <c r="H215" s="404"/>
      <c r="I215" s="404"/>
      <c r="J215" s="355"/>
      <c r="K215" s="355"/>
      <c r="L215" s="355"/>
      <c r="M215" s="355"/>
      <c r="N215" s="355"/>
      <c r="O215" s="355"/>
      <c r="P215" s="355"/>
      <c r="Q215" s="355"/>
      <c r="R215" s="355"/>
      <c r="S215" s="355"/>
      <c r="T215" s="355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</row>
    <row r="216" spans="1:34" x14ac:dyDescent="0.2">
      <c r="A216" s="372"/>
      <c r="B216" s="355"/>
      <c r="C216" s="355"/>
      <c r="D216" s="355"/>
      <c r="E216" s="355"/>
      <c r="F216" s="355"/>
      <c r="G216" s="909"/>
      <c r="H216" s="404"/>
      <c r="I216" s="404"/>
      <c r="J216" s="355"/>
      <c r="K216" s="355"/>
      <c r="L216" s="355"/>
      <c r="M216" s="355"/>
      <c r="N216" s="355"/>
      <c r="O216" s="355"/>
      <c r="P216" s="355"/>
      <c r="Q216" s="355"/>
      <c r="R216" s="355"/>
      <c r="S216" s="355"/>
      <c r="T216" s="355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</row>
    <row r="217" spans="1:34" x14ac:dyDescent="0.2">
      <c r="A217" s="372"/>
      <c r="B217" s="355"/>
      <c r="C217" s="355"/>
      <c r="D217" s="355"/>
      <c r="E217" s="355"/>
      <c r="F217" s="355"/>
      <c r="G217" s="909"/>
      <c r="H217" s="404"/>
      <c r="I217" s="404"/>
      <c r="J217" s="355"/>
      <c r="K217" s="355"/>
      <c r="L217" s="355"/>
      <c r="M217" s="355"/>
      <c r="N217" s="355"/>
      <c r="O217" s="355"/>
      <c r="P217" s="355"/>
      <c r="Q217" s="355"/>
      <c r="R217" s="355"/>
      <c r="S217" s="355"/>
      <c r="T217" s="355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</row>
    <row r="218" spans="1:34" x14ac:dyDescent="0.2">
      <c r="A218" s="372"/>
      <c r="B218" s="372"/>
      <c r="C218" s="372"/>
      <c r="D218" s="372"/>
      <c r="E218" s="372"/>
      <c r="F218" s="372"/>
      <c r="G218" s="910"/>
      <c r="H218" s="405"/>
      <c r="I218" s="405"/>
      <c r="J218" s="372"/>
      <c r="K218" s="372"/>
      <c r="L218" s="372"/>
      <c r="M218" s="372"/>
      <c r="N218" s="372"/>
      <c r="O218" s="372"/>
      <c r="P218" s="372"/>
      <c r="Q218" s="372"/>
      <c r="R218" s="372"/>
      <c r="S218" s="372"/>
      <c r="T218" s="372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</row>
    <row r="219" spans="1:34" x14ac:dyDescent="0.2">
      <c r="A219" s="376"/>
      <c r="B219" s="375"/>
      <c r="C219" s="375"/>
      <c r="D219" s="375"/>
      <c r="E219" s="375"/>
      <c r="F219" s="375"/>
      <c r="G219" s="908"/>
      <c r="H219" s="403"/>
      <c r="I219" s="403"/>
      <c r="J219" s="375"/>
      <c r="K219" s="375"/>
      <c r="L219" s="375"/>
      <c r="M219" s="375"/>
      <c r="N219" s="375"/>
      <c r="O219" s="326"/>
      <c r="P219" s="326"/>
      <c r="Q219" s="326"/>
      <c r="R219" s="326"/>
      <c r="S219" s="326"/>
      <c r="T219" s="326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</row>
    <row r="220" spans="1:34" x14ac:dyDescent="0.2">
      <c r="A220" s="376"/>
      <c r="B220" s="375"/>
      <c r="C220" s="375"/>
      <c r="D220" s="375"/>
      <c r="E220" s="375"/>
      <c r="F220" s="375"/>
      <c r="G220" s="908"/>
      <c r="H220" s="403"/>
      <c r="I220" s="403"/>
      <c r="J220" s="375"/>
      <c r="K220" s="375"/>
      <c r="L220" s="375"/>
      <c r="M220" s="375"/>
      <c r="N220" s="375"/>
      <c r="O220" s="326"/>
      <c r="P220" s="326"/>
      <c r="Q220" s="326"/>
      <c r="R220" s="326"/>
      <c r="S220" s="326"/>
      <c r="T220" s="326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</row>
    <row r="221" spans="1:34" x14ac:dyDescent="0.2">
      <c r="A221" s="372"/>
      <c r="B221" s="355"/>
      <c r="C221" s="355"/>
      <c r="D221" s="355"/>
      <c r="E221" s="355"/>
      <c r="F221" s="355"/>
      <c r="G221" s="909"/>
      <c r="H221" s="404"/>
      <c r="I221" s="404"/>
      <c r="J221" s="355"/>
      <c r="K221" s="355"/>
      <c r="L221" s="355"/>
      <c r="M221" s="355"/>
      <c r="N221" s="355"/>
      <c r="O221" s="355"/>
      <c r="P221" s="355"/>
      <c r="Q221" s="355"/>
      <c r="R221" s="355"/>
      <c r="S221" s="355"/>
      <c r="T221" s="355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</row>
    <row r="222" spans="1:34" x14ac:dyDescent="0.2">
      <c r="A222" s="372"/>
      <c r="B222" s="355"/>
      <c r="C222" s="355"/>
      <c r="D222" s="355"/>
      <c r="E222" s="355"/>
      <c r="F222" s="355"/>
      <c r="G222" s="909"/>
      <c r="H222" s="404"/>
      <c r="I222" s="404"/>
      <c r="J222" s="355"/>
      <c r="K222" s="355"/>
      <c r="L222" s="355"/>
      <c r="M222" s="355"/>
      <c r="N222" s="355"/>
      <c r="O222" s="355"/>
      <c r="P222" s="355"/>
      <c r="Q222" s="355"/>
      <c r="R222" s="355"/>
      <c r="S222" s="355"/>
      <c r="T222" s="355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</row>
    <row r="223" spans="1:34" x14ac:dyDescent="0.2">
      <c r="A223" s="372"/>
      <c r="B223" s="372"/>
      <c r="C223" s="372"/>
      <c r="D223" s="372"/>
      <c r="E223" s="372"/>
      <c r="F223" s="372"/>
      <c r="G223" s="910"/>
      <c r="H223" s="405"/>
      <c r="I223" s="405"/>
      <c r="J223" s="372"/>
      <c r="K223" s="372"/>
      <c r="L223" s="372"/>
      <c r="M223" s="372"/>
      <c r="N223" s="372"/>
      <c r="O223" s="372"/>
      <c r="P223" s="372"/>
      <c r="Q223" s="372"/>
      <c r="R223" s="372"/>
      <c r="S223" s="372"/>
      <c r="T223" s="372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</row>
    <row r="224" spans="1:34" x14ac:dyDescent="0.2">
      <c r="A224" s="376"/>
      <c r="B224" s="375"/>
      <c r="C224" s="375"/>
      <c r="D224" s="375"/>
      <c r="E224" s="375"/>
      <c r="F224" s="375"/>
      <c r="G224" s="908"/>
      <c r="H224" s="403"/>
      <c r="I224" s="403"/>
      <c r="J224" s="375"/>
      <c r="K224" s="375"/>
      <c r="L224" s="375"/>
      <c r="M224" s="375"/>
      <c r="N224" s="375"/>
      <c r="O224" s="326"/>
      <c r="P224" s="326"/>
      <c r="Q224" s="326"/>
      <c r="R224" s="326"/>
      <c r="S224" s="326"/>
      <c r="T224" s="326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</row>
    <row r="225" spans="1:34" x14ac:dyDescent="0.2">
      <c r="A225" s="376"/>
      <c r="B225" s="375"/>
      <c r="C225" s="375"/>
      <c r="D225" s="375"/>
      <c r="E225" s="375"/>
      <c r="F225" s="375"/>
      <c r="G225" s="908"/>
      <c r="H225" s="403"/>
      <c r="I225" s="403"/>
      <c r="J225" s="375"/>
      <c r="K225" s="375"/>
      <c r="L225" s="375"/>
      <c r="M225" s="375"/>
      <c r="N225" s="375"/>
      <c r="O225" s="326"/>
      <c r="P225" s="326"/>
      <c r="Q225" s="326"/>
      <c r="R225" s="326"/>
      <c r="S225" s="326"/>
      <c r="T225" s="326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</row>
    <row r="226" spans="1:34" x14ac:dyDescent="0.2">
      <c r="A226" s="372"/>
      <c r="B226" s="355"/>
      <c r="C226" s="355"/>
      <c r="D226" s="355"/>
      <c r="E226" s="355"/>
      <c r="F226" s="355"/>
      <c r="G226" s="909"/>
      <c r="H226" s="404"/>
      <c r="I226" s="404"/>
      <c r="J226" s="355"/>
      <c r="K226" s="355"/>
      <c r="L226" s="355"/>
      <c r="M226" s="355"/>
      <c r="N226" s="355"/>
      <c r="O226" s="355"/>
      <c r="P226" s="355"/>
      <c r="Q226" s="355"/>
      <c r="R226" s="355"/>
      <c r="S226" s="355"/>
      <c r="T226" s="355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</row>
    <row r="227" spans="1:34" x14ac:dyDescent="0.2">
      <c r="A227" s="372"/>
      <c r="B227" s="355"/>
      <c r="C227" s="355"/>
      <c r="D227" s="355"/>
      <c r="E227" s="355"/>
      <c r="F227" s="355"/>
      <c r="G227" s="909"/>
      <c r="H227" s="404"/>
      <c r="I227" s="404"/>
      <c r="J227" s="355"/>
      <c r="K227" s="355"/>
      <c r="L227" s="355"/>
      <c r="M227" s="355"/>
      <c r="N227" s="355"/>
      <c r="O227" s="355"/>
      <c r="P227" s="355"/>
      <c r="Q227" s="355"/>
      <c r="R227" s="355"/>
      <c r="S227" s="355"/>
      <c r="T227" s="355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</row>
    <row r="228" spans="1:34" x14ac:dyDescent="0.2">
      <c r="A228" s="372"/>
      <c r="B228" s="355"/>
      <c r="C228" s="355"/>
      <c r="D228" s="355"/>
      <c r="E228" s="355"/>
      <c r="F228" s="355"/>
      <c r="G228" s="909"/>
      <c r="H228" s="404"/>
      <c r="I228" s="404"/>
      <c r="J228" s="355"/>
      <c r="K228" s="355"/>
      <c r="L228" s="355"/>
      <c r="M228" s="355"/>
      <c r="N228" s="355"/>
      <c r="O228" s="355"/>
      <c r="P228" s="355"/>
      <c r="Q228" s="355"/>
      <c r="R228" s="355"/>
      <c r="S228" s="355"/>
      <c r="T228" s="355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</row>
    <row r="229" spans="1:34" x14ac:dyDescent="0.2">
      <c r="A229" s="372"/>
      <c r="B229" s="372"/>
      <c r="C229" s="372"/>
      <c r="D229" s="372"/>
      <c r="E229" s="372"/>
      <c r="F229" s="372"/>
      <c r="G229" s="910"/>
      <c r="H229" s="405"/>
      <c r="I229" s="405"/>
      <c r="J229" s="372"/>
      <c r="K229" s="372"/>
      <c r="L229" s="372"/>
      <c r="M229" s="372"/>
      <c r="N229" s="372"/>
      <c r="O229" s="372"/>
      <c r="P229" s="372"/>
      <c r="Q229" s="372"/>
      <c r="R229" s="372"/>
      <c r="S229" s="372"/>
      <c r="T229" s="372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</row>
    <row r="230" spans="1:34" x14ac:dyDescent="0.2">
      <c r="A230" s="376"/>
      <c r="B230" s="375"/>
      <c r="C230" s="375"/>
      <c r="D230" s="375"/>
      <c r="E230" s="375"/>
      <c r="F230" s="375"/>
      <c r="G230" s="908"/>
      <c r="H230" s="403"/>
      <c r="I230" s="403"/>
      <c r="J230" s="375"/>
      <c r="K230" s="375"/>
      <c r="L230" s="375"/>
      <c r="M230" s="375"/>
      <c r="N230" s="375"/>
      <c r="O230" s="326"/>
      <c r="P230" s="326"/>
      <c r="Q230" s="326"/>
      <c r="R230" s="326"/>
      <c r="S230" s="326"/>
      <c r="T230" s="326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</row>
    <row r="231" spans="1:34" x14ac:dyDescent="0.2">
      <c r="A231" s="376"/>
      <c r="B231" s="375"/>
      <c r="C231" s="375"/>
      <c r="D231" s="375"/>
      <c r="E231" s="375"/>
      <c r="F231" s="375"/>
      <c r="G231" s="908"/>
      <c r="H231" s="403"/>
      <c r="I231" s="403"/>
      <c r="J231" s="375"/>
      <c r="K231" s="375"/>
      <c r="L231" s="375"/>
      <c r="M231" s="375"/>
      <c r="N231" s="375"/>
      <c r="O231" s="326"/>
      <c r="P231" s="326"/>
      <c r="Q231" s="326"/>
      <c r="R231" s="326"/>
      <c r="S231" s="326"/>
      <c r="T231" s="326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</row>
    <row r="232" spans="1:34" x14ac:dyDescent="0.2">
      <c r="A232" s="372"/>
      <c r="B232" s="355"/>
      <c r="C232" s="355"/>
      <c r="D232" s="355"/>
      <c r="E232" s="355"/>
      <c r="F232" s="355"/>
      <c r="G232" s="909"/>
      <c r="H232" s="404"/>
      <c r="I232" s="404"/>
      <c r="J232" s="355"/>
      <c r="K232" s="355"/>
      <c r="L232" s="355"/>
      <c r="M232" s="355"/>
      <c r="N232" s="355"/>
      <c r="O232" s="355"/>
      <c r="P232" s="355"/>
      <c r="Q232" s="355"/>
      <c r="R232" s="355"/>
      <c r="S232" s="355"/>
      <c r="T232" s="355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</row>
    <row r="233" spans="1:34" x14ac:dyDescent="0.2">
      <c r="A233" s="372"/>
      <c r="B233" s="355"/>
      <c r="C233" s="355"/>
      <c r="D233" s="355"/>
      <c r="E233" s="355"/>
      <c r="F233" s="355"/>
      <c r="G233" s="909"/>
      <c r="H233" s="404"/>
      <c r="I233" s="404"/>
      <c r="J233" s="355"/>
      <c r="K233" s="355"/>
      <c r="L233" s="355"/>
      <c r="M233" s="355"/>
      <c r="N233" s="355"/>
      <c r="O233" s="355"/>
      <c r="P233" s="355"/>
      <c r="Q233" s="355"/>
      <c r="R233" s="355"/>
      <c r="S233" s="355"/>
      <c r="T233" s="355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</row>
    <row r="234" spans="1:34" x14ac:dyDescent="0.2">
      <c r="A234" s="372"/>
      <c r="B234" s="355"/>
      <c r="C234" s="355"/>
      <c r="D234" s="355"/>
      <c r="E234" s="355"/>
      <c r="F234" s="355"/>
      <c r="G234" s="909"/>
      <c r="H234" s="404"/>
      <c r="I234" s="404"/>
      <c r="J234" s="355"/>
      <c r="K234" s="355"/>
      <c r="L234" s="355"/>
      <c r="M234" s="355"/>
      <c r="N234" s="355"/>
      <c r="O234" s="355"/>
      <c r="P234" s="355"/>
      <c r="Q234" s="355"/>
      <c r="R234" s="355"/>
      <c r="S234" s="355"/>
      <c r="T234" s="355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</row>
    <row r="235" spans="1:34" x14ac:dyDescent="0.2">
      <c r="A235" s="372"/>
      <c r="B235" s="372"/>
      <c r="C235" s="372"/>
      <c r="D235" s="372"/>
      <c r="E235" s="372"/>
      <c r="F235" s="372"/>
      <c r="G235" s="910"/>
      <c r="H235" s="405"/>
      <c r="I235" s="405"/>
      <c r="J235" s="372"/>
      <c r="K235" s="372"/>
      <c r="L235" s="372"/>
      <c r="M235" s="372"/>
      <c r="N235" s="372"/>
      <c r="O235" s="372"/>
      <c r="P235" s="372"/>
      <c r="Q235" s="372"/>
      <c r="R235" s="372"/>
      <c r="S235" s="372"/>
      <c r="T235" s="372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</row>
    <row r="236" spans="1:34" x14ac:dyDescent="0.2">
      <c r="A236" s="376"/>
      <c r="B236" s="375"/>
      <c r="C236" s="375"/>
      <c r="D236" s="375"/>
      <c r="E236" s="375"/>
      <c r="F236" s="375"/>
      <c r="G236" s="908"/>
      <c r="H236" s="403"/>
      <c r="I236" s="403"/>
      <c r="J236" s="375"/>
      <c r="K236" s="375"/>
      <c r="L236" s="375"/>
      <c r="M236" s="375"/>
      <c r="N236" s="375"/>
      <c r="O236" s="326"/>
      <c r="P236" s="326"/>
      <c r="Q236" s="326"/>
      <c r="R236" s="326"/>
      <c r="S236" s="326"/>
      <c r="T236" s="326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</row>
    <row r="237" spans="1:34" x14ac:dyDescent="0.2">
      <c r="A237" s="376"/>
      <c r="B237" s="375"/>
      <c r="C237" s="375"/>
      <c r="D237" s="375"/>
      <c r="E237" s="375"/>
      <c r="F237" s="375"/>
      <c r="G237" s="908"/>
      <c r="H237" s="403"/>
      <c r="I237" s="403"/>
      <c r="J237" s="375"/>
      <c r="K237" s="375"/>
      <c r="L237" s="375"/>
      <c r="M237" s="375"/>
      <c r="N237" s="375"/>
      <c r="O237" s="326"/>
      <c r="P237" s="326"/>
      <c r="Q237" s="326"/>
      <c r="R237" s="326"/>
      <c r="S237" s="326"/>
      <c r="T237" s="326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</row>
    <row r="238" spans="1:34" x14ac:dyDescent="0.2">
      <c r="A238" s="372"/>
      <c r="B238" s="355"/>
      <c r="C238" s="355"/>
      <c r="D238" s="355"/>
      <c r="E238" s="355"/>
      <c r="F238" s="355"/>
      <c r="G238" s="909"/>
      <c r="H238" s="404"/>
      <c r="I238" s="404"/>
      <c r="J238" s="355"/>
      <c r="K238" s="355"/>
      <c r="L238" s="355"/>
      <c r="M238" s="355"/>
      <c r="N238" s="355"/>
      <c r="O238" s="355"/>
      <c r="P238" s="355"/>
      <c r="Q238" s="355"/>
      <c r="R238" s="355"/>
      <c r="S238" s="355"/>
      <c r="T238" s="355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</row>
    <row r="239" spans="1:34" x14ac:dyDescent="0.2">
      <c r="A239" s="372"/>
      <c r="B239" s="355"/>
      <c r="C239" s="355"/>
      <c r="D239" s="355"/>
      <c r="E239" s="355"/>
      <c r="F239" s="355"/>
      <c r="G239" s="909"/>
      <c r="H239" s="404"/>
      <c r="I239" s="404"/>
      <c r="J239" s="355"/>
      <c r="K239" s="355"/>
      <c r="L239" s="355"/>
      <c r="M239" s="355"/>
      <c r="N239" s="355"/>
      <c r="O239" s="355"/>
      <c r="P239" s="355"/>
      <c r="Q239" s="355"/>
      <c r="R239" s="355"/>
      <c r="S239" s="355"/>
      <c r="T239" s="355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</row>
    <row r="240" spans="1:34" x14ac:dyDescent="0.2">
      <c r="A240" s="372"/>
      <c r="B240" s="355"/>
      <c r="C240" s="355"/>
      <c r="D240" s="355"/>
      <c r="E240" s="355"/>
      <c r="F240" s="355"/>
      <c r="G240" s="909"/>
      <c r="H240" s="404"/>
      <c r="I240" s="404"/>
      <c r="J240" s="355"/>
      <c r="K240" s="355"/>
      <c r="L240" s="355"/>
      <c r="M240" s="355"/>
      <c r="N240" s="355"/>
      <c r="O240" s="355"/>
      <c r="P240" s="355"/>
      <c r="Q240" s="355"/>
      <c r="R240" s="355"/>
      <c r="S240" s="355"/>
      <c r="T240" s="355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</row>
    <row r="241" spans="1:34" x14ac:dyDescent="0.2">
      <c r="A241" s="372"/>
      <c r="B241" s="372"/>
      <c r="C241" s="372"/>
      <c r="D241" s="372"/>
      <c r="E241" s="372"/>
      <c r="F241" s="372"/>
      <c r="G241" s="910"/>
      <c r="H241" s="405"/>
      <c r="I241" s="405"/>
      <c r="J241" s="372"/>
      <c r="K241" s="372"/>
      <c r="L241" s="372"/>
      <c r="M241" s="372"/>
      <c r="N241" s="372"/>
      <c r="O241" s="372"/>
      <c r="P241" s="372"/>
      <c r="Q241" s="372"/>
      <c r="R241" s="372"/>
      <c r="S241" s="372"/>
      <c r="T241" s="372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</row>
    <row r="242" spans="1:34" x14ac:dyDescent="0.2">
      <c r="A242" s="376"/>
      <c r="B242" s="375"/>
      <c r="C242" s="375"/>
      <c r="D242" s="375"/>
      <c r="E242" s="375"/>
      <c r="F242" s="375"/>
      <c r="G242" s="908"/>
      <c r="H242" s="403"/>
      <c r="I242" s="403"/>
      <c r="J242" s="375"/>
      <c r="K242" s="375"/>
      <c r="L242" s="375"/>
      <c r="M242" s="375"/>
      <c r="N242" s="375"/>
      <c r="O242" s="326"/>
      <c r="P242" s="326"/>
      <c r="Q242" s="326"/>
      <c r="R242" s="326"/>
      <c r="S242" s="326"/>
      <c r="T242" s="326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</row>
    <row r="243" spans="1:34" x14ac:dyDescent="0.2">
      <c r="A243" s="376"/>
      <c r="B243" s="375"/>
      <c r="C243" s="375"/>
      <c r="D243" s="375"/>
      <c r="E243" s="375"/>
      <c r="F243" s="375"/>
      <c r="G243" s="908"/>
      <c r="H243" s="403"/>
      <c r="I243" s="403"/>
      <c r="J243" s="375"/>
      <c r="K243" s="375"/>
      <c r="L243" s="375"/>
      <c r="M243" s="375"/>
      <c r="N243" s="375"/>
      <c r="O243" s="326"/>
      <c r="P243" s="326"/>
      <c r="Q243" s="326"/>
      <c r="R243" s="326"/>
      <c r="S243" s="326"/>
      <c r="T243" s="326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</row>
    <row r="244" spans="1:34" x14ac:dyDescent="0.2">
      <c r="A244" s="372"/>
      <c r="B244" s="355"/>
      <c r="C244" s="355"/>
      <c r="D244" s="355"/>
      <c r="E244" s="355"/>
      <c r="F244" s="355"/>
      <c r="G244" s="909"/>
      <c r="H244" s="404"/>
      <c r="I244" s="404"/>
      <c r="J244" s="355"/>
      <c r="K244" s="355"/>
      <c r="L244" s="355"/>
      <c r="M244" s="355"/>
      <c r="N244" s="355"/>
      <c r="O244" s="355"/>
      <c r="P244" s="355"/>
      <c r="Q244" s="355"/>
      <c r="R244" s="355"/>
      <c r="S244" s="355"/>
      <c r="T244" s="355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</row>
    <row r="245" spans="1:34" x14ac:dyDescent="0.2">
      <c r="A245" s="372"/>
      <c r="B245" s="355"/>
      <c r="C245" s="355"/>
      <c r="D245" s="355"/>
      <c r="E245" s="355"/>
      <c r="F245" s="355"/>
      <c r="G245" s="909"/>
      <c r="H245" s="404"/>
      <c r="I245" s="404"/>
      <c r="J245" s="355"/>
      <c r="K245" s="355"/>
      <c r="L245" s="355"/>
      <c r="M245" s="355"/>
      <c r="N245" s="355"/>
      <c r="O245" s="355"/>
      <c r="P245" s="355"/>
      <c r="Q245" s="355"/>
      <c r="R245" s="355"/>
      <c r="S245" s="355"/>
      <c r="T245" s="355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</row>
    <row r="246" spans="1:34" x14ac:dyDescent="0.2">
      <c r="A246" s="372"/>
      <c r="B246" s="355"/>
      <c r="C246" s="355"/>
      <c r="D246" s="355"/>
      <c r="E246" s="355"/>
      <c r="F246" s="355"/>
      <c r="G246" s="909"/>
      <c r="H246" s="404"/>
      <c r="I246" s="404"/>
      <c r="J246" s="355"/>
      <c r="K246" s="355"/>
      <c r="L246" s="355"/>
      <c r="M246" s="355"/>
      <c r="N246" s="355"/>
      <c r="O246" s="355"/>
      <c r="P246" s="355"/>
      <c r="Q246" s="355"/>
      <c r="R246" s="355"/>
      <c r="S246" s="355"/>
      <c r="T246" s="355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</row>
    <row r="247" spans="1:34" x14ac:dyDescent="0.2">
      <c r="A247" s="372"/>
      <c r="B247" s="355"/>
      <c r="C247" s="355"/>
      <c r="D247" s="355"/>
      <c r="E247" s="355"/>
      <c r="F247" s="355"/>
      <c r="G247" s="909"/>
      <c r="H247" s="404"/>
      <c r="I247" s="404"/>
      <c r="J247" s="355"/>
      <c r="K247" s="355"/>
      <c r="L247" s="355"/>
      <c r="M247" s="355"/>
      <c r="N247" s="355"/>
      <c r="O247" s="355"/>
      <c r="P247" s="355"/>
      <c r="Q247" s="355"/>
      <c r="R247" s="355"/>
      <c r="S247" s="355"/>
      <c r="T247" s="355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</row>
    <row r="248" spans="1:34" x14ac:dyDescent="0.2">
      <c r="A248" s="372"/>
      <c r="B248" s="355"/>
      <c r="C248" s="355"/>
      <c r="D248" s="355"/>
      <c r="E248" s="355"/>
      <c r="F248" s="355"/>
      <c r="G248" s="909"/>
      <c r="H248" s="404"/>
      <c r="I248" s="404"/>
      <c r="J248" s="355"/>
      <c r="K248" s="355"/>
      <c r="L248" s="355"/>
      <c r="M248" s="355"/>
      <c r="N248" s="355"/>
      <c r="O248" s="355"/>
      <c r="P248" s="355"/>
      <c r="Q248" s="355"/>
      <c r="R248" s="355"/>
      <c r="S248" s="355"/>
      <c r="T248" s="355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</row>
    <row r="249" spans="1:34" x14ac:dyDescent="0.2">
      <c r="A249" s="372"/>
      <c r="B249" s="355"/>
      <c r="C249" s="355"/>
      <c r="D249" s="355"/>
      <c r="E249" s="355"/>
      <c r="F249" s="355"/>
      <c r="G249" s="909"/>
      <c r="H249" s="404"/>
      <c r="I249" s="404"/>
      <c r="J249" s="355"/>
      <c r="K249" s="355"/>
      <c r="L249" s="355"/>
      <c r="M249" s="355"/>
      <c r="N249" s="355"/>
      <c r="O249" s="355"/>
      <c r="P249" s="355"/>
      <c r="Q249" s="355"/>
      <c r="R249" s="355"/>
      <c r="S249" s="355"/>
      <c r="T249" s="355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</row>
    <row r="250" spans="1:34" x14ac:dyDescent="0.2">
      <c r="A250" s="372"/>
      <c r="B250" s="355"/>
      <c r="C250" s="355"/>
      <c r="D250" s="355"/>
      <c r="E250" s="355"/>
      <c r="F250" s="355"/>
      <c r="G250" s="909"/>
      <c r="H250" s="404"/>
      <c r="I250" s="404"/>
      <c r="J250" s="355"/>
      <c r="K250" s="355"/>
      <c r="L250" s="355"/>
      <c r="M250" s="355"/>
      <c r="N250" s="355"/>
      <c r="O250" s="355"/>
      <c r="P250" s="355"/>
      <c r="Q250" s="355"/>
      <c r="R250" s="355"/>
      <c r="S250" s="355"/>
      <c r="T250" s="355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</row>
    <row r="251" spans="1:34" x14ac:dyDescent="0.2">
      <c r="A251" s="372"/>
      <c r="B251" s="355"/>
      <c r="C251" s="355"/>
      <c r="D251" s="355"/>
      <c r="E251" s="355"/>
      <c r="F251" s="355"/>
      <c r="G251" s="909"/>
      <c r="H251" s="404"/>
      <c r="I251" s="404"/>
      <c r="J251" s="355"/>
      <c r="K251" s="355"/>
      <c r="L251" s="355"/>
      <c r="M251" s="355"/>
      <c r="N251" s="355"/>
      <c r="O251" s="355"/>
      <c r="P251" s="355"/>
      <c r="Q251" s="355"/>
      <c r="R251" s="355"/>
      <c r="S251" s="355"/>
      <c r="T251" s="355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</row>
    <row r="252" spans="1:34" x14ac:dyDescent="0.2">
      <c r="A252" s="372"/>
      <c r="B252" s="355"/>
      <c r="C252" s="355"/>
      <c r="D252" s="355"/>
      <c r="E252" s="355"/>
      <c r="F252" s="355"/>
      <c r="G252" s="909"/>
      <c r="H252" s="404"/>
      <c r="I252" s="404"/>
      <c r="J252" s="355"/>
      <c r="K252" s="355"/>
      <c r="L252" s="355"/>
      <c r="M252" s="355"/>
      <c r="N252" s="355"/>
      <c r="O252" s="355"/>
      <c r="P252" s="355"/>
      <c r="Q252" s="355"/>
      <c r="R252" s="355"/>
      <c r="S252" s="355"/>
      <c r="T252" s="355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</row>
    <row r="253" spans="1:34" x14ac:dyDescent="0.2">
      <c r="A253" s="372"/>
      <c r="B253" s="372"/>
      <c r="C253" s="372"/>
      <c r="D253" s="372"/>
      <c r="E253" s="372"/>
      <c r="F253" s="372"/>
      <c r="G253" s="910"/>
      <c r="H253" s="405"/>
      <c r="I253" s="405"/>
      <c r="J253" s="372"/>
      <c r="K253" s="372"/>
      <c r="L253" s="372"/>
      <c r="M253" s="372"/>
      <c r="N253" s="372"/>
      <c r="O253" s="372"/>
      <c r="P253" s="372"/>
      <c r="Q253" s="372"/>
      <c r="R253" s="372"/>
      <c r="S253" s="372"/>
      <c r="T253" s="372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</row>
    <row r="254" spans="1:34" x14ac:dyDescent="0.2">
      <c r="A254" s="376"/>
      <c r="B254" s="326"/>
      <c r="C254" s="326"/>
      <c r="D254" s="326"/>
      <c r="E254" s="326"/>
      <c r="F254" s="326"/>
      <c r="G254" s="911"/>
      <c r="H254" s="406"/>
      <c r="I254" s="406"/>
      <c r="J254" s="326"/>
      <c r="K254" s="326"/>
      <c r="L254" s="326"/>
      <c r="M254" s="326"/>
      <c r="N254" s="326"/>
      <c r="O254" s="326"/>
      <c r="P254" s="326"/>
      <c r="Q254" s="326"/>
      <c r="R254" s="326"/>
      <c r="S254" s="326"/>
      <c r="T254" s="326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</row>
    <row r="255" spans="1:34" x14ac:dyDescent="0.2">
      <c r="A255" s="376"/>
      <c r="B255" s="326"/>
      <c r="C255" s="326"/>
      <c r="D255" s="326"/>
      <c r="E255" s="326"/>
      <c r="F255" s="326"/>
      <c r="G255" s="911"/>
      <c r="H255" s="406"/>
      <c r="I255" s="406"/>
      <c r="J255" s="326"/>
      <c r="K255" s="326"/>
      <c r="L255" s="326"/>
      <c r="M255" s="326"/>
      <c r="N255" s="326"/>
      <c r="O255" s="326"/>
      <c r="P255" s="326"/>
      <c r="Q255" s="326"/>
      <c r="R255" s="326"/>
      <c r="S255" s="326"/>
      <c r="T255" s="326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</row>
    <row r="256" spans="1:34" x14ac:dyDescent="0.2">
      <c r="A256" s="372"/>
      <c r="B256" s="355"/>
      <c r="C256" s="355"/>
      <c r="D256" s="355"/>
      <c r="E256" s="355"/>
      <c r="F256" s="355"/>
      <c r="G256" s="909"/>
      <c r="H256" s="404"/>
      <c r="I256" s="404"/>
      <c r="J256" s="355"/>
      <c r="K256" s="355"/>
      <c r="L256" s="355"/>
      <c r="M256" s="355"/>
      <c r="N256" s="355"/>
      <c r="O256" s="355"/>
      <c r="P256" s="355"/>
      <c r="Q256" s="355"/>
      <c r="R256" s="355"/>
      <c r="S256" s="355"/>
      <c r="T256" s="355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</row>
    <row r="257" spans="1:34" x14ac:dyDescent="0.2">
      <c r="A257" s="372"/>
      <c r="B257" s="355"/>
      <c r="C257" s="355"/>
      <c r="D257" s="355"/>
      <c r="E257" s="355"/>
      <c r="F257" s="355"/>
      <c r="G257" s="909"/>
      <c r="H257" s="404"/>
      <c r="I257" s="404"/>
      <c r="J257" s="355"/>
      <c r="K257" s="355"/>
      <c r="L257" s="355"/>
      <c r="M257" s="355"/>
      <c r="N257" s="355"/>
      <c r="O257" s="355"/>
      <c r="P257" s="355"/>
      <c r="Q257" s="355"/>
      <c r="R257" s="355"/>
      <c r="S257" s="355"/>
      <c r="T257" s="355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</row>
    <row r="258" spans="1:34" x14ac:dyDescent="0.2">
      <c r="A258" s="372"/>
      <c r="B258" s="355"/>
      <c r="C258" s="355"/>
      <c r="D258" s="355"/>
      <c r="E258" s="355"/>
      <c r="F258" s="355"/>
      <c r="G258" s="909"/>
      <c r="H258" s="404"/>
      <c r="I258" s="404"/>
      <c r="J258" s="355"/>
      <c r="K258" s="355"/>
      <c r="L258" s="355"/>
      <c r="M258" s="355"/>
      <c r="N258" s="355"/>
      <c r="O258" s="355"/>
      <c r="P258" s="355"/>
      <c r="Q258" s="355"/>
      <c r="R258" s="355"/>
      <c r="S258" s="355"/>
      <c r="T258" s="355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</row>
    <row r="259" spans="1:34" x14ac:dyDescent="0.2">
      <c r="A259" s="372"/>
      <c r="B259" s="372"/>
      <c r="C259" s="372"/>
      <c r="D259" s="372"/>
      <c r="E259" s="372"/>
      <c r="F259" s="372"/>
      <c r="G259" s="910"/>
      <c r="H259" s="405"/>
      <c r="I259" s="405"/>
      <c r="J259" s="372"/>
      <c r="K259" s="372"/>
      <c r="L259" s="372"/>
      <c r="M259" s="372"/>
      <c r="N259" s="372"/>
      <c r="O259" s="372"/>
      <c r="P259" s="372"/>
      <c r="Q259" s="372"/>
      <c r="R259" s="372"/>
      <c r="S259" s="372"/>
      <c r="T259" s="372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</row>
    <row r="260" spans="1:34" x14ac:dyDescent="0.2">
      <c r="A260" s="376"/>
      <c r="B260" s="326"/>
      <c r="C260" s="326"/>
      <c r="D260" s="326"/>
      <c r="E260" s="326"/>
      <c r="F260" s="326"/>
      <c r="G260" s="911"/>
      <c r="H260" s="406"/>
      <c r="I260" s="406"/>
      <c r="J260" s="326"/>
      <c r="K260" s="326"/>
      <c r="L260" s="326"/>
      <c r="M260" s="326"/>
      <c r="N260" s="326"/>
      <c r="O260" s="326"/>
      <c r="P260" s="326"/>
      <c r="Q260" s="326"/>
      <c r="R260" s="326"/>
      <c r="S260" s="326"/>
      <c r="T260" s="326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</row>
    <row r="261" spans="1:34" x14ac:dyDescent="0.2">
      <c r="A261" s="376"/>
      <c r="B261" s="326"/>
      <c r="C261" s="326"/>
      <c r="D261" s="326"/>
      <c r="E261" s="326"/>
      <c r="F261" s="326"/>
      <c r="G261" s="911"/>
      <c r="H261" s="406"/>
      <c r="I261" s="406"/>
      <c r="J261" s="326"/>
      <c r="K261" s="326"/>
      <c r="L261" s="326"/>
      <c r="M261" s="326"/>
      <c r="N261" s="326"/>
      <c r="O261" s="326"/>
      <c r="P261" s="326"/>
      <c r="Q261" s="326"/>
      <c r="R261" s="326"/>
      <c r="S261" s="326"/>
      <c r="T261" s="326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</row>
    <row r="262" spans="1:34" x14ac:dyDescent="0.2">
      <c r="A262" s="372"/>
      <c r="B262" s="355"/>
      <c r="C262" s="355"/>
      <c r="D262" s="355"/>
      <c r="E262" s="355"/>
      <c r="F262" s="355"/>
      <c r="G262" s="909"/>
      <c r="H262" s="404"/>
      <c r="I262" s="404"/>
      <c r="J262" s="355"/>
      <c r="K262" s="355"/>
      <c r="L262" s="355"/>
      <c r="M262" s="355"/>
      <c r="N262" s="355"/>
      <c r="O262" s="355"/>
      <c r="P262" s="355"/>
      <c r="Q262" s="355"/>
      <c r="R262" s="355"/>
      <c r="S262" s="355"/>
      <c r="T262" s="355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</row>
    <row r="263" spans="1:34" x14ac:dyDescent="0.2">
      <c r="A263" s="372"/>
      <c r="B263" s="355"/>
      <c r="C263" s="355"/>
      <c r="D263" s="355"/>
      <c r="E263" s="355"/>
      <c r="F263" s="355"/>
      <c r="G263" s="909"/>
      <c r="H263" s="404"/>
      <c r="I263" s="404"/>
      <c r="J263" s="355"/>
      <c r="K263" s="355"/>
      <c r="L263" s="355"/>
      <c r="M263" s="355"/>
      <c r="N263" s="355"/>
      <c r="O263" s="355"/>
      <c r="P263" s="355"/>
      <c r="Q263" s="355"/>
      <c r="R263" s="355"/>
      <c r="S263" s="355"/>
      <c r="T263" s="355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</row>
    <row r="264" spans="1:34" x14ac:dyDescent="0.2">
      <c r="A264" s="372"/>
      <c r="B264" s="355"/>
      <c r="C264" s="355"/>
      <c r="D264" s="355"/>
      <c r="E264" s="355"/>
      <c r="F264" s="355"/>
      <c r="G264" s="909"/>
      <c r="H264" s="404"/>
      <c r="I264" s="404"/>
      <c r="J264" s="355"/>
      <c r="K264" s="355"/>
      <c r="L264" s="355"/>
      <c r="M264" s="355"/>
      <c r="N264" s="355"/>
      <c r="O264" s="355"/>
      <c r="P264" s="355"/>
      <c r="Q264" s="355"/>
      <c r="R264" s="355"/>
      <c r="S264" s="355"/>
      <c r="T264" s="355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</row>
    <row r="265" spans="1:34" x14ac:dyDescent="0.2">
      <c r="A265" s="372"/>
      <c r="B265" s="372"/>
      <c r="C265" s="372"/>
      <c r="D265" s="372"/>
      <c r="E265" s="372"/>
      <c r="F265" s="372"/>
      <c r="G265" s="910"/>
      <c r="H265" s="405"/>
      <c r="I265" s="405"/>
      <c r="J265" s="372"/>
      <c r="K265" s="372"/>
      <c r="L265" s="372"/>
      <c r="M265" s="372"/>
      <c r="N265" s="372"/>
      <c r="O265" s="372"/>
      <c r="P265" s="372"/>
      <c r="Q265" s="372"/>
      <c r="R265" s="372"/>
      <c r="S265" s="372"/>
      <c r="T265" s="372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</row>
    <row r="266" spans="1:34" x14ac:dyDescent="0.2">
      <c r="A266" s="376"/>
      <c r="B266" s="326"/>
      <c r="C266" s="326"/>
      <c r="D266" s="326"/>
      <c r="E266" s="326"/>
      <c r="F266" s="326"/>
      <c r="G266" s="911"/>
      <c r="H266" s="406"/>
      <c r="I266" s="406"/>
      <c r="J266" s="326"/>
      <c r="K266" s="326"/>
      <c r="L266" s="326"/>
      <c r="M266" s="326"/>
      <c r="N266" s="326"/>
      <c r="O266" s="326"/>
      <c r="P266" s="326"/>
      <c r="Q266" s="326"/>
      <c r="R266" s="326"/>
      <c r="S266" s="326"/>
      <c r="T266" s="326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</row>
    <row r="267" spans="1:34" x14ac:dyDescent="0.2">
      <c r="A267" s="376"/>
      <c r="B267" s="326"/>
      <c r="C267" s="326"/>
      <c r="D267" s="326"/>
      <c r="E267" s="326"/>
      <c r="F267" s="326"/>
      <c r="G267" s="911"/>
      <c r="H267" s="406"/>
      <c r="I267" s="406"/>
      <c r="J267" s="326"/>
      <c r="K267" s="326"/>
      <c r="L267" s="326"/>
      <c r="M267" s="326"/>
      <c r="N267" s="326"/>
      <c r="O267" s="326"/>
      <c r="P267" s="326"/>
      <c r="Q267" s="326"/>
      <c r="R267" s="326"/>
      <c r="S267" s="326"/>
      <c r="T267" s="326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</row>
    <row r="268" spans="1:34" x14ac:dyDescent="0.2">
      <c r="A268" s="372"/>
      <c r="B268" s="355"/>
      <c r="C268" s="355"/>
      <c r="D268" s="355"/>
      <c r="E268" s="355"/>
      <c r="F268" s="355"/>
      <c r="G268" s="909"/>
      <c r="H268" s="404"/>
      <c r="I268" s="404"/>
      <c r="J268" s="355"/>
      <c r="K268" s="355"/>
      <c r="L268" s="355"/>
      <c r="M268" s="355"/>
      <c r="N268" s="355"/>
      <c r="O268" s="355"/>
      <c r="P268" s="355"/>
      <c r="Q268" s="355"/>
      <c r="R268" s="355"/>
      <c r="S268" s="355"/>
      <c r="T268" s="355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</row>
    <row r="269" spans="1:34" x14ac:dyDescent="0.2">
      <c r="A269" s="372"/>
      <c r="B269" s="355"/>
      <c r="C269" s="355"/>
      <c r="D269" s="355"/>
      <c r="E269" s="355"/>
      <c r="F269" s="355"/>
      <c r="G269" s="909"/>
      <c r="H269" s="404"/>
      <c r="I269" s="404"/>
      <c r="J269" s="355"/>
      <c r="K269" s="355"/>
      <c r="L269" s="355"/>
      <c r="M269" s="355"/>
      <c r="N269" s="355"/>
      <c r="O269" s="355"/>
      <c r="P269" s="355"/>
      <c r="Q269" s="355"/>
      <c r="R269" s="355"/>
      <c r="S269" s="355"/>
      <c r="T269" s="355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</row>
    <row r="270" spans="1:34" x14ac:dyDescent="0.2">
      <c r="A270" s="372"/>
      <c r="B270" s="355"/>
      <c r="C270" s="355"/>
      <c r="D270" s="355"/>
      <c r="E270" s="355"/>
      <c r="F270" s="355"/>
      <c r="G270" s="909"/>
      <c r="H270" s="404"/>
      <c r="I270" s="404"/>
      <c r="J270" s="355"/>
      <c r="K270" s="355"/>
      <c r="L270" s="355"/>
      <c r="M270" s="355"/>
      <c r="N270" s="355"/>
      <c r="O270" s="355"/>
      <c r="P270" s="355"/>
      <c r="Q270" s="355"/>
      <c r="R270" s="355"/>
      <c r="S270" s="355"/>
      <c r="T270" s="355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</row>
    <row r="271" spans="1:34" x14ac:dyDescent="0.2">
      <c r="A271" s="372"/>
      <c r="B271" s="372"/>
      <c r="C271" s="372"/>
      <c r="D271" s="372"/>
      <c r="E271" s="372"/>
      <c r="F271" s="372"/>
      <c r="G271" s="910"/>
      <c r="H271" s="405"/>
      <c r="I271" s="405"/>
      <c r="J271" s="372"/>
      <c r="K271" s="372"/>
      <c r="L271" s="372"/>
      <c r="M271" s="372"/>
      <c r="N271" s="372"/>
      <c r="O271" s="372"/>
      <c r="P271" s="372"/>
      <c r="Q271" s="372"/>
      <c r="R271" s="372"/>
      <c r="S271" s="372"/>
      <c r="T271" s="372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</row>
    <row r="272" spans="1:34" x14ac:dyDescent="0.2">
      <c r="A272" s="376"/>
      <c r="B272" s="326"/>
      <c r="C272" s="326"/>
      <c r="D272" s="326"/>
      <c r="E272" s="326"/>
      <c r="F272" s="326"/>
      <c r="G272" s="911"/>
      <c r="H272" s="406"/>
      <c r="I272" s="406"/>
      <c r="J272" s="326"/>
      <c r="K272" s="326"/>
      <c r="L272" s="326"/>
      <c r="M272" s="326"/>
      <c r="N272" s="326"/>
      <c r="O272" s="326"/>
      <c r="P272" s="326"/>
      <c r="Q272" s="326"/>
      <c r="R272" s="326"/>
      <c r="S272" s="326"/>
      <c r="T272" s="326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</row>
    <row r="273" spans="1:34" x14ac:dyDescent="0.2">
      <c r="A273" s="376"/>
      <c r="B273" s="326"/>
      <c r="C273" s="326"/>
      <c r="D273" s="326"/>
      <c r="E273" s="326"/>
      <c r="F273" s="326"/>
      <c r="G273" s="911"/>
      <c r="H273" s="406"/>
      <c r="I273" s="406"/>
      <c r="J273" s="326"/>
      <c r="K273" s="326"/>
      <c r="L273" s="326"/>
      <c r="M273" s="326"/>
      <c r="N273" s="326"/>
      <c r="O273" s="326"/>
      <c r="P273" s="326"/>
      <c r="Q273" s="326"/>
      <c r="R273" s="326"/>
      <c r="S273" s="326"/>
      <c r="T273" s="326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</row>
    <row r="274" spans="1:34" x14ac:dyDescent="0.2">
      <c r="A274" s="372"/>
      <c r="B274" s="355"/>
      <c r="C274" s="355"/>
      <c r="D274" s="355"/>
      <c r="E274" s="355"/>
      <c r="F274" s="355"/>
      <c r="G274" s="909"/>
      <c r="H274" s="404"/>
      <c r="I274" s="404"/>
      <c r="J274" s="355"/>
      <c r="K274" s="355"/>
      <c r="L274" s="355"/>
      <c r="M274" s="355"/>
      <c r="N274" s="355"/>
      <c r="O274" s="355"/>
      <c r="P274" s="355"/>
      <c r="Q274" s="355"/>
      <c r="R274" s="355"/>
      <c r="S274" s="355"/>
      <c r="T274" s="355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</row>
    <row r="275" spans="1:34" x14ac:dyDescent="0.2">
      <c r="A275" s="372"/>
      <c r="B275" s="355"/>
      <c r="C275" s="355"/>
      <c r="D275" s="355"/>
      <c r="E275" s="355"/>
      <c r="F275" s="355"/>
      <c r="G275" s="909"/>
      <c r="H275" s="404"/>
      <c r="I275" s="404"/>
      <c r="J275" s="355"/>
      <c r="K275" s="355"/>
      <c r="L275" s="355"/>
      <c r="M275" s="355"/>
      <c r="N275" s="355"/>
      <c r="O275" s="355"/>
      <c r="P275" s="355"/>
      <c r="Q275" s="355"/>
      <c r="R275" s="355"/>
      <c r="S275" s="355"/>
      <c r="T275" s="355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</row>
    <row r="276" spans="1:34" x14ac:dyDescent="0.2">
      <c r="A276" s="372"/>
      <c r="B276" s="355"/>
      <c r="C276" s="355"/>
      <c r="D276" s="355"/>
      <c r="E276" s="355"/>
      <c r="F276" s="355"/>
      <c r="G276" s="909"/>
      <c r="H276" s="404"/>
      <c r="I276" s="404"/>
      <c r="J276" s="355"/>
      <c r="K276" s="355"/>
      <c r="L276" s="355"/>
      <c r="M276" s="355"/>
      <c r="N276" s="355"/>
      <c r="O276" s="355"/>
      <c r="P276" s="355"/>
      <c r="Q276" s="355"/>
      <c r="R276" s="355"/>
      <c r="S276" s="355"/>
      <c r="T276" s="355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</row>
    <row r="277" spans="1:34" x14ac:dyDescent="0.2">
      <c r="A277" s="372"/>
      <c r="B277" s="372"/>
      <c r="C277" s="372"/>
      <c r="D277" s="372"/>
      <c r="E277" s="372"/>
      <c r="F277" s="372"/>
      <c r="G277" s="910"/>
      <c r="H277" s="405"/>
      <c r="I277" s="405"/>
      <c r="J277" s="372"/>
      <c r="K277" s="372"/>
      <c r="L277" s="372"/>
      <c r="M277" s="372"/>
      <c r="N277" s="372"/>
      <c r="O277" s="372"/>
      <c r="P277" s="372"/>
      <c r="Q277" s="372"/>
      <c r="R277" s="372"/>
      <c r="S277" s="372"/>
      <c r="T277" s="372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</row>
    <row r="278" spans="1:34" x14ac:dyDescent="0.2">
      <c r="A278" s="376"/>
      <c r="B278" s="326"/>
      <c r="C278" s="326"/>
      <c r="D278" s="326"/>
      <c r="E278" s="326"/>
      <c r="F278" s="326"/>
      <c r="G278" s="911"/>
      <c r="H278" s="406"/>
      <c r="I278" s="406"/>
      <c r="J278" s="326"/>
      <c r="K278" s="326"/>
      <c r="L278" s="326"/>
      <c r="M278" s="326"/>
      <c r="N278" s="326"/>
      <c r="O278" s="326"/>
      <c r="P278" s="326"/>
      <c r="Q278" s="326"/>
      <c r="R278" s="326"/>
      <c r="S278" s="326"/>
      <c r="T278" s="326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</row>
    <row r="279" spans="1:34" x14ac:dyDescent="0.2">
      <c r="A279" s="376"/>
      <c r="B279" s="376"/>
      <c r="C279" s="376"/>
      <c r="D279" s="376"/>
      <c r="E279" s="376"/>
      <c r="F279" s="376"/>
      <c r="G279" s="912"/>
      <c r="H279" s="407"/>
      <c r="I279" s="407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</row>
    <row r="280" spans="1:34" x14ac:dyDescent="0.2">
      <c r="A280" s="372"/>
      <c r="B280" s="355"/>
      <c r="C280" s="355"/>
      <c r="D280" s="355"/>
      <c r="E280" s="355"/>
      <c r="F280" s="355"/>
      <c r="G280" s="909"/>
      <c r="H280" s="404"/>
      <c r="I280" s="404"/>
      <c r="J280" s="355"/>
      <c r="K280" s="355"/>
      <c r="L280" s="355"/>
      <c r="M280" s="355"/>
      <c r="N280" s="355"/>
      <c r="O280" s="355"/>
      <c r="P280" s="355"/>
      <c r="Q280" s="355"/>
      <c r="R280" s="355"/>
      <c r="S280" s="355"/>
      <c r="T280" s="355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</row>
    <row r="281" spans="1:34" x14ac:dyDescent="0.2">
      <c r="A281" s="372"/>
      <c r="B281" s="355"/>
      <c r="C281" s="355"/>
      <c r="D281" s="355"/>
      <c r="E281" s="355"/>
      <c r="F281" s="355"/>
      <c r="G281" s="909"/>
      <c r="H281" s="404"/>
      <c r="I281" s="404"/>
      <c r="J281" s="355"/>
      <c r="K281" s="355"/>
      <c r="L281" s="355"/>
      <c r="M281" s="355"/>
      <c r="N281" s="355"/>
      <c r="O281" s="355"/>
      <c r="P281" s="355"/>
      <c r="Q281" s="355"/>
      <c r="R281" s="355"/>
      <c r="S281" s="355"/>
      <c r="T281" s="355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</row>
    <row r="282" spans="1:34" x14ac:dyDescent="0.2">
      <c r="A282" s="372"/>
      <c r="B282" s="355"/>
      <c r="C282" s="355"/>
      <c r="D282" s="355"/>
      <c r="E282" s="355"/>
      <c r="F282" s="355"/>
      <c r="G282" s="909"/>
      <c r="H282" s="404"/>
      <c r="I282" s="404"/>
      <c r="J282" s="355"/>
      <c r="K282" s="355"/>
      <c r="L282" s="355"/>
      <c r="M282" s="355"/>
      <c r="N282" s="355"/>
      <c r="O282" s="355"/>
      <c r="P282" s="355"/>
      <c r="Q282" s="355"/>
      <c r="R282" s="355"/>
      <c r="S282" s="355"/>
      <c r="T282" s="355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</row>
    <row r="283" spans="1:34" x14ac:dyDescent="0.2">
      <c r="A283" s="372"/>
      <c r="B283" s="372"/>
      <c r="C283" s="372"/>
      <c r="D283" s="372"/>
      <c r="E283" s="372"/>
      <c r="F283" s="372"/>
      <c r="G283" s="910"/>
      <c r="H283" s="405"/>
      <c r="I283" s="405"/>
      <c r="J283" s="372"/>
      <c r="K283" s="372"/>
      <c r="L283" s="372"/>
      <c r="M283" s="372"/>
      <c r="N283" s="372"/>
      <c r="O283" s="372"/>
      <c r="P283" s="372"/>
      <c r="Q283" s="372"/>
      <c r="R283" s="372"/>
      <c r="S283" s="372"/>
      <c r="T283" s="372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</row>
    <row r="284" spans="1:34" x14ac:dyDescent="0.2">
      <c r="A284" s="376"/>
      <c r="B284" s="326"/>
      <c r="C284" s="326"/>
      <c r="D284" s="326"/>
      <c r="E284" s="326"/>
      <c r="F284" s="326"/>
      <c r="G284" s="911"/>
      <c r="H284" s="406"/>
      <c r="I284" s="406"/>
      <c r="J284" s="326"/>
      <c r="K284" s="326"/>
      <c r="L284" s="326"/>
      <c r="M284" s="326"/>
      <c r="N284" s="326"/>
      <c r="O284" s="326"/>
      <c r="P284" s="326"/>
      <c r="Q284" s="326"/>
      <c r="R284" s="326"/>
      <c r="S284" s="326"/>
      <c r="T284" s="326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</row>
    <row r="285" spans="1:34" x14ac:dyDescent="0.2">
      <c r="A285" s="376"/>
      <c r="B285" s="326"/>
      <c r="C285" s="326"/>
      <c r="D285" s="326"/>
      <c r="E285" s="326"/>
      <c r="F285" s="326"/>
      <c r="G285" s="911"/>
      <c r="H285" s="406"/>
      <c r="I285" s="406"/>
      <c r="J285" s="326"/>
      <c r="K285" s="326"/>
      <c r="L285" s="326"/>
      <c r="M285" s="326"/>
      <c r="N285" s="326"/>
      <c r="O285" s="326"/>
      <c r="P285" s="326"/>
      <c r="Q285" s="326"/>
      <c r="R285" s="326"/>
      <c r="S285" s="326"/>
      <c r="T285" s="326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</row>
    <row r="286" spans="1:34" x14ac:dyDescent="0.2">
      <c r="A286" s="372"/>
      <c r="B286" s="355"/>
      <c r="C286" s="355"/>
      <c r="D286" s="355"/>
      <c r="E286" s="355"/>
      <c r="F286" s="355"/>
      <c r="G286" s="909"/>
      <c r="H286" s="404"/>
      <c r="I286" s="404"/>
      <c r="J286" s="355"/>
      <c r="K286" s="355"/>
      <c r="L286" s="355"/>
      <c r="M286" s="355"/>
      <c r="N286" s="355"/>
      <c r="O286" s="355"/>
      <c r="P286" s="355"/>
      <c r="Q286" s="355"/>
      <c r="R286" s="355"/>
      <c r="S286" s="355"/>
      <c r="T286" s="355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</row>
    <row r="287" spans="1:34" x14ac:dyDescent="0.2">
      <c r="A287" s="372"/>
      <c r="B287" s="355"/>
      <c r="C287" s="355"/>
      <c r="D287" s="355"/>
      <c r="E287" s="355"/>
      <c r="F287" s="355"/>
      <c r="G287" s="909"/>
      <c r="H287" s="404"/>
      <c r="I287" s="404"/>
      <c r="J287" s="355"/>
      <c r="K287" s="355"/>
      <c r="L287" s="355"/>
      <c r="M287" s="355"/>
      <c r="N287" s="355"/>
      <c r="O287" s="355"/>
      <c r="P287" s="355"/>
      <c r="Q287" s="355"/>
      <c r="R287" s="355"/>
      <c r="S287" s="355"/>
      <c r="T287" s="355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</row>
    <row r="288" spans="1:34" x14ac:dyDescent="0.2">
      <c r="A288" s="372"/>
      <c r="B288" s="355"/>
      <c r="C288" s="355"/>
      <c r="D288" s="355"/>
      <c r="E288" s="355"/>
      <c r="F288" s="355"/>
      <c r="G288" s="909"/>
      <c r="H288" s="404"/>
      <c r="I288" s="404"/>
      <c r="J288" s="355"/>
      <c r="K288" s="355"/>
      <c r="L288" s="355"/>
      <c r="M288" s="355"/>
      <c r="N288" s="355"/>
      <c r="O288" s="355"/>
      <c r="P288" s="355"/>
      <c r="Q288" s="355"/>
      <c r="R288" s="355"/>
      <c r="S288" s="355"/>
      <c r="T288" s="355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</row>
    <row r="289" spans="1:34" x14ac:dyDescent="0.2">
      <c r="A289" s="372"/>
      <c r="B289" s="355"/>
      <c r="C289" s="355"/>
      <c r="D289" s="355"/>
      <c r="E289" s="355"/>
      <c r="F289" s="355"/>
      <c r="G289" s="909"/>
      <c r="H289" s="404"/>
      <c r="I289" s="404"/>
      <c r="J289" s="355"/>
      <c r="K289" s="355"/>
      <c r="L289" s="355"/>
      <c r="M289" s="355"/>
      <c r="N289" s="355"/>
      <c r="O289" s="355"/>
      <c r="P289" s="355"/>
      <c r="Q289" s="355"/>
      <c r="R289" s="355"/>
      <c r="S289" s="355"/>
      <c r="T289" s="355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</row>
    <row r="290" spans="1:34" x14ac:dyDescent="0.2">
      <c r="A290" s="372"/>
      <c r="B290" s="355"/>
      <c r="C290" s="355"/>
      <c r="D290" s="355"/>
      <c r="E290" s="355"/>
      <c r="F290" s="355"/>
      <c r="G290" s="909"/>
      <c r="H290" s="404"/>
      <c r="I290" s="404"/>
      <c r="J290" s="355"/>
      <c r="K290" s="355"/>
      <c r="L290" s="355"/>
      <c r="M290" s="355"/>
      <c r="N290" s="355"/>
      <c r="O290" s="355"/>
      <c r="P290" s="355"/>
      <c r="Q290" s="355"/>
      <c r="R290" s="355"/>
      <c r="S290" s="355"/>
      <c r="T290" s="355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</row>
    <row r="291" spans="1:34" x14ac:dyDescent="0.2">
      <c r="A291" s="372"/>
      <c r="B291" s="355"/>
      <c r="C291" s="355"/>
      <c r="D291" s="355"/>
      <c r="E291" s="355"/>
      <c r="F291" s="355"/>
      <c r="G291" s="909"/>
      <c r="H291" s="404"/>
      <c r="I291" s="404"/>
      <c r="J291" s="355"/>
      <c r="K291" s="355"/>
      <c r="L291" s="355"/>
      <c r="M291" s="355"/>
      <c r="N291" s="355"/>
      <c r="O291" s="355"/>
      <c r="P291" s="355"/>
      <c r="Q291" s="355"/>
      <c r="R291" s="355"/>
      <c r="S291" s="355"/>
      <c r="T291" s="355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</row>
    <row r="292" spans="1:34" x14ac:dyDescent="0.2">
      <c r="A292" s="372"/>
      <c r="B292" s="355"/>
      <c r="C292" s="355"/>
      <c r="D292" s="355"/>
      <c r="E292" s="355"/>
      <c r="F292" s="355"/>
      <c r="G292" s="909"/>
      <c r="H292" s="404"/>
      <c r="I292" s="404"/>
      <c r="J292" s="355"/>
      <c r="K292" s="355"/>
      <c r="L292" s="355"/>
      <c r="M292" s="355"/>
      <c r="N292" s="355"/>
      <c r="O292" s="355"/>
      <c r="P292" s="355"/>
      <c r="Q292" s="355"/>
      <c r="R292" s="355"/>
      <c r="S292" s="355"/>
      <c r="T292" s="355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</row>
    <row r="293" spans="1:34" x14ac:dyDescent="0.2">
      <c r="A293" s="372"/>
      <c r="B293" s="355"/>
      <c r="C293" s="355"/>
      <c r="D293" s="355"/>
      <c r="E293" s="355"/>
      <c r="F293" s="355"/>
      <c r="G293" s="909"/>
      <c r="H293" s="404"/>
      <c r="I293" s="404"/>
      <c r="J293" s="355"/>
      <c r="K293" s="355"/>
      <c r="L293" s="355"/>
      <c r="M293" s="355"/>
      <c r="N293" s="355"/>
      <c r="O293" s="355"/>
      <c r="P293" s="355"/>
      <c r="Q293" s="355"/>
      <c r="R293" s="355"/>
      <c r="S293" s="355"/>
      <c r="T293" s="355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</row>
    <row r="294" spans="1:34" x14ac:dyDescent="0.2">
      <c r="A294" s="372"/>
      <c r="B294" s="355"/>
      <c r="C294" s="355"/>
      <c r="D294" s="355"/>
      <c r="E294" s="355"/>
      <c r="F294" s="355"/>
      <c r="G294" s="909"/>
      <c r="H294" s="404"/>
      <c r="I294" s="404"/>
      <c r="J294" s="355"/>
      <c r="K294" s="355"/>
      <c r="L294" s="355"/>
      <c r="M294" s="355"/>
      <c r="N294" s="355"/>
      <c r="O294" s="355"/>
      <c r="P294" s="355"/>
      <c r="Q294" s="355"/>
      <c r="R294" s="355"/>
      <c r="S294" s="355"/>
      <c r="T294" s="355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</row>
    <row r="295" spans="1:34" x14ac:dyDescent="0.2">
      <c r="A295" s="372"/>
      <c r="B295" s="355"/>
      <c r="C295" s="355"/>
      <c r="D295" s="355"/>
      <c r="E295" s="355"/>
      <c r="F295" s="355"/>
      <c r="G295" s="909"/>
      <c r="H295" s="404"/>
      <c r="I295" s="404"/>
      <c r="J295" s="355"/>
      <c r="K295" s="355"/>
      <c r="L295" s="355"/>
      <c r="M295" s="355"/>
      <c r="N295" s="355"/>
      <c r="O295" s="355"/>
      <c r="P295" s="355"/>
      <c r="Q295" s="355"/>
      <c r="R295" s="355"/>
      <c r="S295" s="355"/>
      <c r="T295" s="355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</row>
    <row r="296" spans="1:34" x14ac:dyDescent="0.2">
      <c r="A296" s="372"/>
      <c r="B296" s="355"/>
      <c r="C296" s="355"/>
      <c r="D296" s="355"/>
      <c r="E296" s="355"/>
      <c r="F296" s="355"/>
      <c r="G296" s="909"/>
      <c r="H296" s="404"/>
      <c r="I296" s="404"/>
      <c r="J296" s="355"/>
      <c r="K296" s="355"/>
      <c r="L296" s="355"/>
      <c r="M296" s="355"/>
      <c r="N296" s="355"/>
      <c r="O296" s="355"/>
      <c r="P296" s="355"/>
      <c r="Q296" s="355"/>
      <c r="R296" s="355"/>
      <c r="S296" s="355"/>
      <c r="T296" s="355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</row>
    <row r="297" spans="1:34" x14ac:dyDescent="0.2">
      <c r="A297" s="372"/>
      <c r="B297" s="355"/>
      <c r="C297" s="355"/>
      <c r="D297" s="355"/>
      <c r="E297" s="355"/>
      <c r="F297" s="355"/>
      <c r="G297" s="909"/>
      <c r="H297" s="404"/>
      <c r="I297" s="404"/>
      <c r="J297" s="355"/>
      <c r="K297" s="355"/>
      <c r="L297" s="355"/>
      <c r="M297" s="355"/>
      <c r="N297" s="355"/>
      <c r="O297" s="355"/>
      <c r="P297" s="355"/>
      <c r="Q297" s="355"/>
      <c r="R297" s="355"/>
      <c r="S297" s="355"/>
      <c r="T297" s="355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</row>
    <row r="298" spans="1:34" x14ac:dyDescent="0.2">
      <c r="A298" s="372"/>
      <c r="B298" s="355"/>
      <c r="C298" s="355"/>
      <c r="D298" s="355"/>
      <c r="E298" s="355"/>
      <c r="F298" s="355"/>
      <c r="G298" s="909"/>
      <c r="H298" s="404"/>
      <c r="I298" s="404"/>
      <c r="J298" s="355"/>
      <c r="K298" s="355"/>
      <c r="L298" s="355"/>
      <c r="M298" s="355"/>
      <c r="N298" s="355"/>
      <c r="O298" s="355"/>
      <c r="P298" s="355"/>
      <c r="Q298" s="355"/>
      <c r="R298" s="355"/>
      <c r="S298" s="355"/>
      <c r="T298" s="355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</row>
    <row r="299" spans="1:34" x14ac:dyDescent="0.2">
      <c r="A299" s="372"/>
      <c r="B299" s="355"/>
      <c r="C299" s="355"/>
      <c r="D299" s="355"/>
      <c r="E299" s="355"/>
      <c r="F299" s="355"/>
      <c r="G299" s="909"/>
      <c r="H299" s="404"/>
      <c r="I299" s="404"/>
      <c r="J299" s="355"/>
      <c r="K299" s="355"/>
      <c r="L299" s="355"/>
      <c r="M299" s="355"/>
      <c r="N299" s="355"/>
      <c r="O299" s="355"/>
      <c r="P299" s="355"/>
      <c r="Q299" s="355"/>
      <c r="R299" s="355"/>
      <c r="S299" s="355"/>
      <c r="T299" s="355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</row>
    <row r="300" spans="1:34" x14ac:dyDescent="0.2">
      <c r="A300" s="372"/>
      <c r="B300" s="355"/>
      <c r="C300" s="355"/>
      <c r="D300" s="355"/>
      <c r="E300" s="355"/>
      <c r="F300" s="355"/>
      <c r="G300" s="909"/>
      <c r="H300" s="404"/>
      <c r="I300" s="404"/>
      <c r="J300" s="355"/>
      <c r="K300" s="355"/>
      <c r="L300" s="355"/>
      <c r="M300" s="355"/>
      <c r="N300" s="355"/>
      <c r="O300" s="355"/>
      <c r="P300" s="355"/>
      <c r="Q300" s="355"/>
      <c r="R300" s="355"/>
      <c r="S300" s="355"/>
      <c r="T300" s="355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</row>
    <row r="301" spans="1:34" x14ac:dyDescent="0.2">
      <c r="A301" s="372"/>
      <c r="B301" s="355"/>
      <c r="C301" s="355"/>
      <c r="D301" s="355"/>
      <c r="E301" s="355"/>
      <c r="F301" s="355"/>
      <c r="G301" s="909"/>
      <c r="H301" s="404"/>
      <c r="I301" s="404"/>
      <c r="J301" s="355"/>
      <c r="K301" s="355"/>
      <c r="L301" s="355"/>
      <c r="M301" s="355"/>
      <c r="N301" s="355"/>
      <c r="O301" s="355"/>
      <c r="P301" s="355"/>
      <c r="Q301" s="355"/>
      <c r="R301" s="355"/>
      <c r="S301" s="355"/>
      <c r="T301" s="355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</row>
    <row r="302" spans="1:34" x14ac:dyDescent="0.2">
      <c r="A302" s="372"/>
      <c r="B302" s="355"/>
      <c r="C302" s="355"/>
      <c r="D302" s="355"/>
      <c r="E302" s="355"/>
      <c r="F302" s="355"/>
      <c r="G302" s="909"/>
      <c r="H302" s="404"/>
      <c r="I302" s="404"/>
      <c r="J302" s="355"/>
      <c r="K302" s="355"/>
      <c r="L302" s="355"/>
      <c r="M302" s="355"/>
      <c r="N302" s="355"/>
      <c r="O302" s="355"/>
      <c r="P302" s="355"/>
      <c r="Q302" s="355"/>
      <c r="R302" s="355"/>
      <c r="S302" s="355"/>
      <c r="T302" s="355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</row>
    <row r="303" spans="1:34" x14ac:dyDescent="0.2">
      <c r="A303" s="372"/>
      <c r="B303" s="355"/>
      <c r="C303" s="355"/>
      <c r="D303" s="355"/>
      <c r="E303" s="355"/>
      <c r="F303" s="355"/>
      <c r="G303" s="909"/>
      <c r="H303" s="404"/>
      <c r="I303" s="404"/>
      <c r="J303" s="355"/>
      <c r="K303" s="355"/>
      <c r="L303" s="355"/>
      <c r="M303" s="355"/>
      <c r="N303" s="355"/>
      <c r="O303" s="355"/>
      <c r="P303" s="355"/>
      <c r="Q303" s="355"/>
      <c r="R303" s="355"/>
      <c r="S303" s="355"/>
      <c r="T303" s="355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</row>
    <row r="304" spans="1:34" x14ac:dyDescent="0.2">
      <c r="A304" s="372"/>
      <c r="B304" s="355"/>
      <c r="C304" s="355"/>
      <c r="D304" s="355"/>
      <c r="E304" s="355"/>
      <c r="F304" s="355"/>
      <c r="G304" s="909"/>
      <c r="H304" s="404"/>
      <c r="I304" s="404"/>
      <c r="J304" s="355"/>
      <c r="K304" s="355"/>
      <c r="L304" s="355"/>
      <c r="M304" s="355"/>
      <c r="N304" s="355"/>
      <c r="O304" s="355"/>
      <c r="P304" s="355"/>
      <c r="Q304" s="355"/>
      <c r="R304" s="355"/>
      <c r="S304" s="355"/>
      <c r="T304" s="355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</row>
    <row r="305" spans="1:34" x14ac:dyDescent="0.2">
      <c r="A305" s="372"/>
      <c r="B305" s="355"/>
      <c r="C305" s="355"/>
      <c r="D305" s="355"/>
      <c r="E305" s="355"/>
      <c r="F305" s="355"/>
      <c r="G305" s="909"/>
      <c r="H305" s="404"/>
      <c r="I305" s="404"/>
      <c r="J305" s="355"/>
      <c r="K305" s="355"/>
      <c r="L305" s="355"/>
      <c r="M305" s="355"/>
      <c r="N305" s="355"/>
      <c r="O305" s="355"/>
      <c r="P305" s="355"/>
      <c r="Q305" s="355"/>
      <c r="R305" s="355"/>
      <c r="S305" s="355"/>
      <c r="T305" s="355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</row>
    <row r="306" spans="1:34" x14ac:dyDescent="0.2">
      <c r="A306" s="372"/>
      <c r="B306" s="355"/>
      <c r="C306" s="355"/>
      <c r="D306" s="355"/>
      <c r="E306" s="355"/>
      <c r="F306" s="355"/>
      <c r="G306" s="909"/>
      <c r="H306" s="404"/>
      <c r="I306" s="404"/>
      <c r="J306" s="355"/>
      <c r="K306" s="355"/>
      <c r="L306" s="355"/>
      <c r="M306" s="355"/>
      <c r="N306" s="355"/>
      <c r="O306" s="355"/>
      <c r="P306" s="355"/>
      <c r="Q306" s="355"/>
      <c r="R306" s="355"/>
      <c r="S306" s="355"/>
      <c r="T306" s="355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</row>
    <row r="307" spans="1:34" x14ac:dyDescent="0.2">
      <c r="A307" s="372"/>
      <c r="B307" s="355"/>
      <c r="C307" s="355"/>
      <c r="D307" s="355"/>
      <c r="E307" s="355"/>
      <c r="F307" s="355"/>
      <c r="G307" s="909"/>
      <c r="H307" s="404"/>
      <c r="I307" s="404"/>
      <c r="J307" s="355"/>
      <c r="K307" s="355"/>
      <c r="L307" s="355"/>
      <c r="M307" s="355"/>
      <c r="N307" s="355"/>
      <c r="O307" s="355"/>
      <c r="P307" s="355"/>
      <c r="Q307" s="355"/>
      <c r="R307" s="355"/>
      <c r="S307" s="355"/>
      <c r="T307" s="355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</row>
    <row r="308" spans="1:34" x14ac:dyDescent="0.2">
      <c r="A308" s="372"/>
      <c r="B308" s="355"/>
      <c r="C308" s="355"/>
      <c r="D308" s="355"/>
      <c r="E308" s="355"/>
      <c r="F308" s="355"/>
      <c r="G308" s="909"/>
      <c r="H308" s="404"/>
      <c r="I308" s="404"/>
      <c r="J308" s="355"/>
      <c r="K308" s="355"/>
      <c r="L308" s="355"/>
      <c r="M308" s="355"/>
      <c r="N308" s="355"/>
      <c r="O308" s="355"/>
      <c r="P308" s="355"/>
      <c r="Q308" s="355"/>
      <c r="R308" s="355"/>
      <c r="S308" s="355"/>
      <c r="T308" s="355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</row>
    <row r="309" spans="1:34" x14ac:dyDescent="0.2">
      <c r="A309" s="372"/>
      <c r="B309" s="355"/>
      <c r="C309" s="355"/>
      <c r="D309" s="355"/>
      <c r="E309" s="355"/>
      <c r="F309" s="355"/>
      <c r="G309" s="909"/>
      <c r="H309" s="404"/>
      <c r="I309" s="404"/>
      <c r="J309" s="355"/>
      <c r="K309" s="355"/>
      <c r="L309" s="355"/>
      <c r="M309" s="355"/>
      <c r="N309" s="355"/>
      <c r="O309" s="355"/>
      <c r="P309" s="355"/>
      <c r="Q309" s="355"/>
      <c r="R309" s="355"/>
      <c r="S309" s="355"/>
      <c r="T309" s="355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</row>
    <row r="310" spans="1:34" x14ac:dyDescent="0.2">
      <c r="A310" s="372"/>
      <c r="B310" s="355"/>
      <c r="C310" s="355"/>
      <c r="D310" s="355"/>
      <c r="E310" s="355"/>
      <c r="F310" s="355"/>
      <c r="G310" s="909"/>
      <c r="H310" s="404"/>
      <c r="I310" s="404"/>
      <c r="J310" s="355"/>
      <c r="K310" s="355"/>
      <c r="L310" s="355"/>
      <c r="M310" s="355"/>
      <c r="N310" s="355"/>
      <c r="O310" s="355"/>
      <c r="P310" s="355"/>
      <c r="Q310" s="355"/>
      <c r="R310" s="355"/>
      <c r="S310" s="355"/>
      <c r="T310" s="355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</row>
    <row r="311" spans="1:34" x14ac:dyDescent="0.2">
      <c r="A311" s="372"/>
      <c r="B311" s="355"/>
      <c r="C311" s="355"/>
      <c r="D311" s="355"/>
      <c r="E311" s="355"/>
      <c r="F311" s="355"/>
      <c r="G311" s="909"/>
      <c r="H311" s="404"/>
      <c r="I311" s="404"/>
      <c r="J311" s="355"/>
      <c r="K311" s="355"/>
      <c r="L311" s="355"/>
      <c r="M311" s="355"/>
      <c r="N311" s="355"/>
      <c r="O311" s="355"/>
      <c r="P311" s="355"/>
      <c r="Q311" s="355"/>
      <c r="R311" s="355"/>
      <c r="S311" s="355"/>
      <c r="T311" s="355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</row>
    <row r="312" spans="1:34" x14ac:dyDescent="0.2">
      <c r="A312" s="372"/>
      <c r="B312" s="355"/>
      <c r="C312" s="355"/>
      <c r="D312" s="355"/>
      <c r="E312" s="355"/>
      <c r="F312" s="355"/>
      <c r="G312" s="909"/>
      <c r="H312" s="404"/>
      <c r="I312" s="404"/>
      <c r="J312" s="355"/>
      <c r="K312" s="355"/>
      <c r="L312" s="355"/>
      <c r="M312" s="355"/>
      <c r="N312" s="355"/>
      <c r="O312" s="355"/>
      <c r="P312" s="355"/>
      <c r="Q312" s="355"/>
      <c r="R312" s="355"/>
      <c r="S312" s="355"/>
      <c r="T312" s="355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</row>
    <row r="313" spans="1:34" x14ac:dyDescent="0.2">
      <c r="A313" s="372"/>
      <c r="B313" s="355"/>
      <c r="C313" s="355"/>
      <c r="D313" s="355"/>
      <c r="E313" s="355"/>
      <c r="F313" s="355"/>
      <c r="G313" s="909"/>
      <c r="H313" s="404"/>
      <c r="I313" s="404"/>
      <c r="J313" s="355"/>
      <c r="K313" s="355"/>
      <c r="L313" s="355"/>
      <c r="M313" s="355"/>
      <c r="N313" s="355"/>
      <c r="O313" s="355"/>
      <c r="P313" s="355"/>
      <c r="Q313" s="355"/>
      <c r="R313" s="355"/>
      <c r="S313" s="355"/>
      <c r="T313" s="355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</row>
    <row r="314" spans="1:34" x14ac:dyDescent="0.2">
      <c r="A314" s="372"/>
      <c r="B314" s="355"/>
      <c r="C314" s="355"/>
      <c r="D314" s="355"/>
      <c r="E314" s="355"/>
      <c r="F314" s="355"/>
      <c r="G314" s="909"/>
      <c r="H314" s="404"/>
      <c r="I314" s="404"/>
      <c r="J314" s="355"/>
      <c r="K314" s="355"/>
      <c r="L314" s="355"/>
      <c r="M314" s="355"/>
      <c r="N314" s="355"/>
      <c r="O314" s="355"/>
      <c r="P314" s="355"/>
      <c r="Q314" s="355"/>
      <c r="R314" s="355"/>
      <c r="S314" s="355"/>
      <c r="T314" s="355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</row>
    <row r="315" spans="1:34" x14ac:dyDescent="0.2">
      <c r="A315" s="372"/>
      <c r="B315" s="355"/>
      <c r="C315" s="355"/>
      <c r="D315" s="355"/>
      <c r="E315" s="355"/>
      <c r="F315" s="355"/>
      <c r="G315" s="909"/>
      <c r="H315" s="404"/>
      <c r="I315" s="404"/>
      <c r="J315" s="355"/>
      <c r="K315" s="355"/>
      <c r="L315" s="355"/>
      <c r="M315" s="355"/>
      <c r="N315" s="355"/>
      <c r="O315" s="355"/>
      <c r="P315" s="355"/>
      <c r="Q315" s="355"/>
      <c r="R315" s="355"/>
      <c r="S315" s="355"/>
      <c r="T315" s="355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</row>
    <row r="316" spans="1:34" x14ac:dyDescent="0.2">
      <c r="A316" s="372"/>
      <c r="B316" s="355"/>
      <c r="C316" s="355"/>
      <c r="D316" s="355"/>
      <c r="E316" s="355"/>
      <c r="F316" s="355"/>
      <c r="G316" s="909"/>
      <c r="H316" s="404"/>
      <c r="I316" s="404"/>
      <c r="J316" s="355"/>
      <c r="K316" s="355"/>
      <c r="L316" s="355"/>
      <c r="M316" s="355"/>
      <c r="N316" s="355"/>
      <c r="O316" s="355"/>
      <c r="P316" s="355"/>
      <c r="Q316" s="355"/>
      <c r="R316" s="355"/>
      <c r="S316" s="355"/>
      <c r="T316" s="355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</row>
    <row r="317" spans="1:34" x14ac:dyDescent="0.2">
      <c r="A317" s="372"/>
      <c r="B317" s="355"/>
      <c r="C317" s="355"/>
      <c r="D317" s="355"/>
      <c r="E317" s="355"/>
      <c r="F317" s="355"/>
      <c r="G317" s="909"/>
      <c r="H317" s="404"/>
      <c r="I317" s="404"/>
      <c r="J317" s="355"/>
      <c r="K317" s="355"/>
      <c r="L317" s="355"/>
      <c r="M317" s="355"/>
      <c r="N317" s="355"/>
      <c r="O317" s="355"/>
      <c r="P317" s="355"/>
      <c r="Q317" s="355"/>
      <c r="R317" s="355"/>
      <c r="S317" s="355"/>
      <c r="T317" s="355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</row>
    <row r="318" spans="1:34" x14ac:dyDescent="0.2">
      <c r="A318" s="372"/>
      <c r="B318" s="355"/>
      <c r="C318" s="355"/>
      <c r="D318" s="355"/>
      <c r="E318" s="355"/>
      <c r="F318" s="355"/>
      <c r="G318" s="909"/>
      <c r="H318" s="404"/>
      <c r="I318" s="404"/>
      <c r="J318" s="355"/>
      <c r="K318" s="355"/>
      <c r="L318" s="355"/>
      <c r="M318" s="355"/>
      <c r="N318" s="355"/>
      <c r="O318" s="355"/>
      <c r="P318" s="355"/>
      <c r="Q318" s="355"/>
      <c r="R318" s="355"/>
      <c r="S318" s="355"/>
      <c r="T318" s="355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</row>
    <row r="319" spans="1:34" x14ac:dyDescent="0.2">
      <c r="A319" s="372"/>
      <c r="B319" s="355"/>
      <c r="C319" s="355"/>
      <c r="D319" s="355"/>
      <c r="E319" s="355"/>
      <c r="F319" s="355"/>
      <c r="G319" s="909"/>
      <c r="H319" s="404"/>
      <c r="I319" s="404"/>
      <c r="J319" s="355"/>
      <c r="K319" s="355"/>
      <c r="L319" s="355"/>
      <c r="M319" s="355"/>
      <c r="N319" s="355"/>
      <c r="O319" s="355"/>
      <c r="P319" s="355"/>
      <c r="Q319" s="355"/>
      <c r="R319" s="355"/>
      <c r="S319" s="355"/>
      <c r="T319" s="355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</row>
    <row r="320" spans="1:34" x14ac:dyDescent="0.2">
      <c r="A320" s="372"/>
      <c r="B320" s="355"/>
      <c r="C320" s="355"/>
      <c r="D320" s="355"/>
      <c r="E320" s="355"/>
      <c r="F320" s="355"/>
      <c r="G320" s="909"/>
      <c r="H320" s="404"/>
      <c r="I320" s="404"/>
      <c r="J320" s="355"/>
      <c r="K320" s="355"/>
      <c r="L320" s="355"/>
      <c r="M320" s="355"/>
      <c r="N320" s="355"/>
      <c r="O320" s="355"/>
      <c r="P320" s="355"/>
      <c r="Q320" s="355"/>
      <c r="R320" s="355"/>
      <c r="S320" s="355"/>
      <c r="T320" s="355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</row>
    <row r="321" spans="1:34" x14ac:dyDescent="0.2">
      <c r="A321" s="372"/>
      <c r="B321" s="355"/>
      <c r="C321" s="355"/>
      <c r="D321" s="355"/>
      <c r="E321" s="355"/>
      <c r="F321" s="355"/>
      <c r="G321" s="909"/>
      <c r="H321" s="404"/>
      <c r="I321" s="404"/>
      <c r="J321" s="355"/>
      <c r="K321" s="355"/>
      <c r="L321" s="355"/>
      <c r="M321" s="355"/>
      <c r="N321" s="355"/>
      <c r="O321" s="355"/>
      <c r="P321" s="355"/>
      <c r="Q321" s="355"/>
      <c r="R321" s="355"/>
      <c r="S321" s="355"/>
      <c r="T321" s="355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</row>
    <row r="322" spans="1:34" x14ac:dyDescent="0.2">
      <c r="A322" s="372"/>
      <c r="B322" s="355"/>
      <c r="C322" s="355"/>
      <c r="D322" s="355"/>
      <c r="E322" s="355"/>
      <c r="F322" s="355"/>
      <c r="G322" s="909"/>
      <c r="H322" s="404"/>
      <c r="I322" s="404"/>
      <c r="J322" s="355"/>
      <c r="K322" s="355"/>
      <c r="L322" s="355"/>
      <c r="M322" s="355"/>
      <c r="N322" s="355"/>
      <c r="O322" s="355"/>
      <c r="P322" s="355"/>
      <c r="Q322" s="355"/>
      <c r="R322" s="355"/>
      <c r="S322" s="355"/>
      <c r="T322" s="355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</row>
    <row r="323" spans="1:34" x14ac:dyDescent="0.2">
      <c r="A323" s="372"/>
      <c r="B323" s="355"/>
      <c r="C323" s="355"/>
      <c r="D323" s="355"/>
      <c r="E323" s="355"/>
      <c r="F323" s="355"/>
      <c r="G323" s="909"/>
      <c r="H323" s="404"/>
      <c r="I323" s="404"/>
      <c r="J323" s="355"/>
      <c r="K323" s="355"/>
      <c r="L323" s="355"/>
      <c r="M323" s="355"/>
      <c r="N323" s="355"/>
      <c r="O323" s="355"/>
      <c r="P323" s="355"/>
      <c r="Q323" s="355"/>
      <c r="R323" s="355"/>
      <c r="S323" s="355"/>
      <c r="T323" s="355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</row>
    <row r="324" spans="1:34" x14ac:dyDescent="0.2">
      <c r="A324" s="372"/>
      <c r="B324" s="355"/>
      <c r="C324" s="355"/>
      <c r="D324" s="355"/>
      <c r="E324" s="355"/>
      <c r="F324" s="355"/>
      <c r="G324" s="909"/>
      <c r="H324" s="404"/>
      <c r="I324" s="404"/>
      <c r="J324" s="355"/>
      <c r="K324" s="355"/>
      <c r="L324" s="355"/>
      <c r="M324" s="355"/>
      <c r="N324" s="355"/>
      <c r="O324" s="355"/>
      <c r="P324" s="355"/>
      <c r="Q324" s="355"/>
      <c r="R324" s="355"/>
      <c r="S324" s="355"/>
      <c r="T324" s="355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</row>
    <row r="325" spans="1:34" x14ac:dyDescent="0.2">
      <c r="A325" s="372"/>
      <c r="B325" s="355"/>
      <c r="C325" s="355"/>
      <c r="D325" s="355"/>
      <c r="E325" s="355"/>
      <c r="F325" s="355"/>
      <c r="G325" s="909"/>
      <c r="H325" s="404"/>
      <c r="I325" s="404"/>
      <c r="J325" s="355"/>
      <c r="K325" s="355"/>
      <c r="L325" s="355"/>
      <c r="M325" s="355"/>
      <c r="N325" s="355"/>
      <c r="O325" s="355"/>
      <c r="P325" s="355"/>
      <c r="Q325" s="355"/>
      <c r="R325" s="355"/>
      <c r="S325" s="355"/>
      <c r="T325" s="355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</row>
    <row r="326" spans="1:34" x14ac:dyDescent="0.2">
      <c r="A326" s="372"/>
      <c r="B326" s="355"/>
      <c r="C326" s="355"/>
      <c r="D326" s="355"/>
      <c r="E326" s="355"/>
      <c r="F326" s="355"/>
      <c r="G326" s="909"/>
      <c r="H326" s="404"/>
      <c r="I326" s="404"/>
      <c r="J326" s="355"/>
      <c r="K326" s="355"/>
      <c r="L326" s="355"/>
      <c r="M326" s="355"/>
      <c r="N326" s="355"/>
      <c r="O326" s="355"/>
      <c r="P326" s="355"/>
      <c r="Q326" s="355"/>
      <c r="R326" s="355"/>
      <c r="S326" s="355"/>
      <c r="T326" s="355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</row>
    <row r="327" spans="1:34" x14ac:dyDescent="0.2">
      <c r="A327" s="372"/>
      <c r="B327" s="355"/>
      <c r="C327" s="355"/>
      <c r="D327" s="355"/>
      <c r="E327" s="355"/>
      <c r="F327" s="355"/>
      <c r="G327" s="909"/>
      <c r="H327" s="404"/>
      <c r="I327" s="404"/>
      <c r="J327" s="355"/>
      <c r="K327" s="355"/>
      <c r="L327" s="355"/>
      <c r="M327" s="355"/>
      <c r="N327" s="355"/>
      <c r="O327" s="355"/>
      <c r="P327" s="355"/>
      <c r="Q327" s="355"/>
      <c r="R327" s="355"/>
      <c r="S327" s="355"/>
      <c r="T327" s="355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</row>
    <row r="328" spans="1:34" x14ac:dyDescent="0.2">
      <c r="A328" s="372"/>
      <c r="B328" s="355"/>
      <c r="C328" s="355"/>
      <c r="D328" s="355"/>
      <c r="E328" s="355"/>
      <c r="F328" s="355"/>
      <c r="G328" s="909"/>
      <c r="H328" s="404"/>
      <c r="I328" s="404"/>
      <c r="J328" s="355"/>
      <c r="K328" s="355"/>
      <c r="L328" s="355"/>
      <c r="M328" s="355"/>
      <c r="N328" s="355"/>
      <c r="O328" s="355"/>
      <c r="P328" s="355"/>
      <c r="Q328" s="355"/>
      <c r="R328" s="355"/>
      <c r="S328" s="355"/>
      <c r="T328" s="355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</row>
    <row r="329" spans="1:34" x14ac:dyDescent="0.2">
      <c r="A329" s="372"/>
      <c r="B329" s="355"/>
      <c r="C329" s="355"/>
      <c r="D329" s="355"/>
      <c r="E329" s="355"/>
      <c r="F329" s="355"/>
      <c r="G329" s="909"/>
      <c r="H329" s="404"/>
      <c r="I329" s="404"/>
      <c r="J329" s="355"/>
      <c r="K329" s="355"/>
      <c r="L329" s="355"/>
      <c r="M329" s="355"/>
      <c r="N329" s="355"/>
      <c r="O329" s="355"/>
      <c r="P329" s="355"/>
      <c r="Q329" s="355"/>
      <c r="R329" s="355"/>
      <c r="S329" s="355"/>
      <c r="T329" s="355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</row>
    <row r="330" spans="1:34" x14ac:dyDescent="0.2">
      <c r="A330" s="372"/>
      <c r="B330" s="355"/>
      <c r="C330" s="355"/>
      <c r="D330" s="355"/>
      <c r="E330" s="355"/>
      <c r="F330" s="355"/>
      <c r="G330" s="909"/>
      <c r="H330" s="404"/>
      <c r="I330" s="404"/>
      <c r="J330" s="355"/>
      <c r="K330" s="355"/>
      <c r="L330" s="355"/>
      <c r="M330" s="355"/>
      <c r="N330" s="355"/>
      <c r="O330" s="355"/>
      <c r="P330" s="355"/>
      <c r="Q330" s="355"/>
      <c r="R330" s="355"/>
      <c r="S330" s="355"/>
      <c r="T330" s="355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</row>
    <row r="331" spans="1:34" x14ac:dyDescent="0.2">
      <c r="A331" s="372"/>
      <c r="B331" s="355"/>
      <c r="C331" s="355"/>
      <c r="D331" s="355"/>
      <c r="E331" s="355"/>
      <c r="F331" s="355"/>
      <c r="G331" s="909"/>
      <c r="H331" s="404"/>
      <c r="I331" s="404"/>
      <c r="J331" s="355"/>
      <c r="K331" s="355"/>
      <c r="L331" s="355"/>
      <c r="M331" s="355"/>
      <c r="N331" s="355"/>
      <c r="O331" s="355"/>
      <c r="P331" s="355"/>
      <c r="Q331" s="355"/>
      <c r="R331" s="355"/>
      <c r="S331" s="355"/>
      <c r="T331" s="355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</row>
    <row r="332" spans="1:34" x14ac:dyDescent="0.2">
      <c r="A332" s="372"/>
      <c r="B332" s="355"/>
      <c r="C332" s="355"/>
      <c r="D332" s="355"/>
      <c r="E332" s="355"/>
      <c r="F332" s="355"/>
      <c r="G332" s="909"/>
      <c r="H332" s="404"/>
      <c r="I332" s="404"/>
      <c r="J332" s="355"/>
      <c r="K332" s="355"/>
      <c r="L332" s="355"/>
      <c r="M332" s="355"/>
      <c r="N332" s="355"/>
      <c r="O332" s="355"/>
      <c r="P332" s="355"/>
      <c r="Q332" s="355"/>
      <c r="R332" s="355"/>
      <c r="S332" s="355"/>
      <c r="T332" s="355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</row>
    <row r="333" spans="1:34" x14ac:dyDescent="0.2">
      <c r="A333" s="372"/>
      <c r="B333" s="355"/>
      <c r="C333" s="355"/>
      <c r="D333" s="355"/>
      <c r="E333" s="355"/>
      <c r="F333" s="355"/>
      <c r="G333" s="909"/>
      <c r="H333" s="404"/>
      <c r="I333" s="404"/>
      <c r="J333" s="355"/>
      <c r="K333" s="355"/>
      <c r="L333" s="355"/>
      <c r="M333" s="355"/>
      <c r="N333" s="355"/>
      <c r="O333" s="355"/>
      <c r="P333" s="355"/>
      <c r="Q333" s="355"/>
      <c r="R333" s="355"/>
      <c r="S333" s="355"/>
      <c r="T333" s="355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</row>
    <row r="334" spans="1:34" x14ac:dyDescent="0.2">
      <c r="A334" s="372"/>
      <c r="B334" s="355"/>
      <c r="C334" s="355"/>
      <c r="D334" s="355"/>
      <c r="E334" s="355"/>
      <c r="F334" s="355"/>
      <c r="G334" s="909"/>
      <c r="H334" s="404"/>
      <c r="I334" s="404"/>
      <c r="J334" s="355"/>
      <c r="K334" s="355"/>
      <c r="L334" s="355"/>
      <c r="M334" s="355"/>
      <c r="N334" s="355"/>
      <c r="O334" s="355"/>
      <c r="P334" s="355"/>
      <c r="Q334" s="355"/>
      <c r="R334" s="355"/>
      <c r="S334" s="355"/>
      <c r="T334" s="355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</row>
    <row r="335" spans="1:34" x14ac:dyDescent="0.2">
      <c r="A335" s="372"/>
      <c r="B335" s="355"/>
      <c r="C335" s="355"/>
      <c r="D335" s="355"/>
      <c r="E335" s="355"/>
      <c r="F335" s="355"/>
      <c r="G335" s="909"/>
      <c r="H335" s="404"/>
      <c r="I335" s="404"/>
      <c r="J335" s="355"/>
      <c r="K335" s="355"/>
      <c r="L335" s="355"/>
      <c r="M335" s="355"/>
      <c r="N335" s="355"/>
      <c r="O335" s="355"/>
      <c r="P335" s="355"/>
      <c r="Q335" s="355"/>
      <c r="R335" s="355"/>
      <c r="S335" s="355"/>
      <c r="T335" s="355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</row>
    <row r="336" spans="1:34" x14ac:dyDescent="0.2">
      <c r="A336" s="372"/>
      <c r="B336" s="355"/>
      <c r="C336" s="355"/>
      <c r="D336" s="355"/>
      <c r="E336" s="355"/>
      <c r="F336" s="355"/>
      <c r="G336" s="909"/>
      <c r="H336" s="404"/>
      <c r="I336" s="404"/>
      <c r="J336" s="355"/>
      <c r="K336" s="355"/>
      <c r="L336" s="355"/>
      <c r="M336" s="355"/>
      <c r="N336" s="355"/>
      <c r="O336" s="355"/>
      <c r="P336" s="355"/>
      <c r="Q336" s="355"/>
      <c r="R336" s="355"/>
      <c r="S336" s="355"/>
      <c r="T336" s="355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</row>
    <row r="337" spans="1:34" x14ac:dyDescent="0.2">
      <c r="A337" s="372"/>
      <c r="B337" s="355"/>
      <c r="C337" s="355"/>
      <c r="D337" s="355"/>
      <c r="E337" s="355"/>
      <c r="F337" s="355"/>
      <c r="G337" s="909"/>
      <c r="H337" s="404"/>
      <c r="I337" s="404"/>
      <c r="J337" s="355"/>
      <c r="K337" s="355"/>
      <c r="L337" s="355"/>
      <c r="M337" s="355"/>
      <c r="N337" s="355"/>
      <c r="O337" s="355"/>
      <c r="P337" s="355"/>
      <c r="Q337" s="355"/>
      <c r="R337" s="355"/>
      <c r="S337" s="355"/>
      <c r="T337" s="355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</row>
    <row r="338" spans="1:34" x14ac:dyDescent="0.2">
      <c r="A338" s="372"/>
      <c r="B338" s="355"/>
      <c r="C338" s="355"/>
      <c r="D338" s="355"/>
      <c r="E338" s="355"/>
      <c r="F338" s="355"/>
      <c r="G338" s="909"/>
      <c r="H338" s="404"/>
      <c r="I338" s="404"/>
      <c r="J338" s="355"/>
      <c r="K338" s="355"/>
      <c r="L338" s="355"/>
      <c r="M338" s="355"/>
      <c r="N338" s="355"/>
      <c r="O338" s="355"/>
      <c r="P338" s="355"/>
      <c r="Q338" s="355"/>
      <c r="R338" s="355"/>
      <c r="S338" s="355"/>
      <c r="T338" s="355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</row>
    <row r="339" spans="1:34" x14ac:dyDescent="0.2">
      <c r="A339" s="372"/>
      <c r="B339" s="355"/>
      <c r="C339" s="355"/>
      <c r="D339" s="355"/>
      <c r="E339" s="355"/>
      <c r="F339" s="355"/>
      <c r="G339" s="909"/>
      <c r="H339" s="404"/>
      <c r="I339" s="404"/>
      <c r="J339" s="355"/>
      <c r="K339" s="355"/>
      <c r="L339" s="355"/>
      <c r="M339" s="355"/>
      <c r="N339" s="355"/>
      <c r="O339" s="355"/>
      <c r="P339" s="355"/>
      <c r="Q339" s="355"/>
      <c r="R339" s="355"/>
      <c r="S339" s="355"/>
      <c r="T339" s="355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</row>
    <row r="340" spans="1:34" x14ac:dyDescent="0.2">
      <c r="A340" s="372"/>
      <c r="B340" s="355"/>
      <c r="C340" s="355"/>
      <c r="D340" s="355"/>
      <c r="E340" s="355"/>
      <c r="F340" s="355"/>
      <c r="G340" s="909"/>
      <c r="H340" s="404"/>
      <c r="I340" s="404"/>
      <c r="J340" s="355"/>
      <c r="K340" s="355"/>
      <c r="L340" s="355"/>
      <c r="M340" s="355"/>
      <c r="N340" s="355"/>
      <c r="O340" s="355"/>
      <c r="P340" s="355"/>
      <c r="Q340" s="355"/>
      <c r="R340" s="355"/>
      <c r="S340" s="355"/>
      <c r="T340" s="355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</row>
    <row r="341" spans="1:34" x14ac:dyDescent="0.2">
      <c r="A341" s="372"/>
      <c r="B341" s="355"/>
      <c r="C341" s="355"/>
      <c r="D341" s="355"/>
      <c r="E341" s="355"/>
      <c r="F341" s="355"/>
      <c r="G341" s="909"/>
      <c r="H341" s="404"/>
      <c r="I341" s="404"/>
      <c r="J341" s="355"/>
      <c r="K341" s="355"/>
      <c r="L341" s="355"/>
      <c r="M341" s="355"/>
      <c r="N341" s="355"/>
      <c r="O341" s="355"/>
      <c r="P341" s="355"/>
      <c r="Q341" s="355"/>
      <c r="R341" s="355"/>
      <c r="S341" s="355"/>
      <c r="T341" s="355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</row>
    <row r="342" spans="1:34" x14ac:dyDescent="0.2">
      <c r="A342" s="372"/>
      <c r="B342" s="355"/>
      <c r="C342" s="355"/>
      <c r="D342" s="355"/>
      <c r="E342" s="355"/>
      <c r="F342" s="355"/>
      <c r="G342" s="909"/>
      <c r="H342" s="404"/>
      <c r="I342" s="404"/>
      <c r="J342" s="355"/>
      <c r="K342" s="355"/>
      <c r="L342" s="355"/>
      <c r="M342" s="355"/>
      <c r="N342" s="355"/>
      <c r="O342" s="355"/>
      <c r="P342" s="355"/>
      <c r="Q342" s="355"/>
      <c r="R342" s="355"/>
      <c r="S342" s="355"/>
      <c r="T342" s="355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</row>
    <row r="343" spans="1:34" x14ac:dyDescent="0.2">
      <c r="A343" s="372"/>
      <c r="B343" s="355"/>
      <c r="C343" s="355"/>
      <c r="D343" s="355"/>
      <c r="E343" s="355"/>
      <c r="F343" s="355"/>
      <c r="G343" s="909"/>
      <c r="H343" s="404"/>
      <c r="I343" s="404"/>
      <c r="J343" s="355"/>
      <c r="K343" s="355"/>
      <c r="L343" s="355"/>
      <c r="M343" s="355"/>
      <c r="N343" s="355"/>
      <c r="O343" s="355"/>
      <c r="P343" s="355"/>
      <c r="Q343" s="355"/>
      <c r="R343" s="355"/>
      <c r="S343" s="355"/>
      <c r="T343" s="355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</row>
    <row r="344" spans="1:34" x14ac:dyDescent="0.2">
      <c r="A344" s="372"/>
      <c r="B344" s="355"/>
      <c r="C344" s="355"/>
      <c r="D344" s="355"/>
      <c r="E344" s="355"/>
      <c r="F344" s="355"/>
      <c r="G344" s="909"/>
      <c r="H344" s="404"/>
      <c r="I344" s="404"/>
      <c r="J344" s="355"/>
      <c r="K344" s="355"/>
      <c r="L344" s="355"/>
      <c r="M344" s="355"/>
      <c r="N344" s="355"/>
      <c r="O344" s="355"/>
      <c r="P344" s="355"/>
      <c r="Q344" s="355"/>
      <c r="R344" s="355"/>
      <c r="S344" s="355"/>
      <c r="T344" s="355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</row>
    <row r="345" spans="1:34" x14ac:dyDescent="0.2">
      <c r="A345" s="372"/>
      <c r="B345" s="355"/>
      <c r="C345" s="355"/>
      <c r="D345" s="355"/>
      <c r="E345" s="355"/>
      <c r="F345" s="355"/>
      <c r="G345" s="909"/>
      <c r="H345" s="404"/>
      <c r="I345" s="404"/>
      <c r="J345" s="355"/>
      <c r="K345" s="355"/>
      <c r="L345" s="355"/>
      <c r="M345" s="355"/>
      <c r="N345" s="355"/>
      <c r="O345" s="355"/>
      <c r="P345" s="355"/>
      <c r="Q345" s="355"/>
      <c r="R345" s="355"/>
      <c r="S345" s="355"/>
      <c r="T345" s="355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</row>
    <row r="346" spans="1:34" x14ac:dyDescent="0.2">
      <c r="A346" s="372"/>
      <c r="B346" s="355"/>
      <c r="C346" s="355"/>
      <c r="D346" s="355"/>
      <c r="E346" s="355"/>
      <c r="F346" s="355"/>
      <c r="G346" s="909"/>
      <c r="H346" s="404"/>
      <c r="I346" s="404"/>
      <c r="J346" s="355"/>
      <c r="K346" s="355"/>
      <c r="L346" s="355"/>
      <c r="M346" s="355"/>
      <c r="N346" s="355"/>
      <c r="O346" s="355"/>
      <c r="P346" s="355"/>
      <c r="Q346" s="355"/>
      <c r="R346" s="355"/>
      <c r="S346" s="355"/>
      <c r="T346" s="355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</row>
    <row r="347" spans="1:34" x14ac:dyDescent="0.2">
      <c r="A347" s="372"/>
      <c r="B347" s="355"/>
      <c r="C347" s="355"/>
      <c r="D347" s="355"/>
      <c r="E347" s="355"/>
      <c r="F347" s="355"/>
      <c r="G347" s="909"/>
      <c r="H347" s="404"/>
      <c r="I347" s="404"/>
      <c r="J347" s="355"/>
      <c r="K347" s="355"/>
      <c r="L347" s="355"/>
      <c r="M347" s="355"/>
      <c r="N347" s="355"/>
      <c r="O347" s="355"/>
      <c r="P347" s="355"/>
      <c r="Q347" s="355"/>
      <c r="R347" s="355"/>
      <c r="S347" s="355"/>
      <c r="T347" s="355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</row>
    <row r="348" spans="1:34" x14ac:dyDescent="0.2">
      <c r="A348" s="372"/>
      <c r="B348" s="355"/>
      <c r="C348" s="355"/>
      <c r="D348" s="355"/>
      <c r="E348" s="355"/>
      <c r="F348" s="355"/>
      <c r="G348" s="909"/>
      <c r="H348" s="404"/>
      <c r="I348" s="404"/>
      <c r="J348" s="355"/>
      <c r="K348" s="355"/>
      <c r="L348" s="355"/>
      <c r="M348" s="355"/>
      <c r="N348" s="355"/>
      <c r="O348" s="355"/>
      <c r="P348" s="355"/>
      <c r="Q348" s="355"/>
      <c r="R348" s="355"/>
      <c r="S348" s="355"/>
      <c r="T348" s="355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</row>
    <row r="349" spans="1:34" x14ac:dyDescent="0.2">
      <c r="A349" s="372"/>
      <c r="B349" s="355"/>
      <c r="C349" s="355"/>
      <c r="D349" s="355"/>
      <c r="E349" s="355"/>
      <c r="F349" s="355"/>
      <c r="G349" s="909"/>
      <c r="H349" s="404"/>
      <c r="I349" s="404"/>
      <c r="J349" s="355"/>
      <c r="K349" s="355"/>
      <c r="L349" s="355"/>
      <c r="M349" s="355"/>
      <c r="N349" s="355"/>
      <c r="O349" s="355"/>
      <c r="P349" s="355"/>
      <c r="Q349" s="355"/>
      <c r="R349" s="355"/>
      <c r="S349" s="355"/>
      <c r="T349" s="355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</row>
    <row r="350" spans="1:34" x14ac:dyDescent="0.2">
      <c r="A350" s="372"/>
      <c r="B350" s="355"/>
      <c r="C350" s="355"/>
      <c r="D350" s="355"/>
      <c r="E350" s="355"/>
      <c r="F350" s="355"/>
      <c r="G350" s="909"/>
      <c r="H350" s="404"/>
      <c r="I350" s="404"/>
      <c r="J350" s="355"/>
      <c r="K350" s="355"/>
      <c r="L350" s="355"/>
      <c r="M350" s="355"/>
      <c r="N350" s="355"/>
      <c r="O350" s="355"/>
      <c r="P350" s="355"/>
      <c r="Q350" s="355"/>
      <c r="R350" s="355"/>
      <c r="S350" s="355"/>
      <c r="T350" s="355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</row>
    <row r="351" spans="1:34" x14ac:dyDescent="0.2">
      <c r="A351" s="372"/>
      <c r="B351" s="355"/>
      <c r="C351" s="355"/>
      <c r="D351" s="355"/>
      <c r="E351" s="355"/>
      <c r="F351" s="355"/>
      <c r="G351" s="909"/>
      <c r="H351" s="404"/>
      <c r="I351" s="404"/>
      <c r="J351" s="355"/>
      <c r="K351" s="355"/>
      <c r="L351" s="355"/>
      <c r="M351" s="355"/>
      <c r="N351" s="355"/>
      <c r="O351" s="355"/>
      <c r="P351" s="355"/>
      <c r="Q351" s="355"/>
      <c r="R351" s="355"/>
      <c r="S351" s="355"/>
      <c r="T351" s="355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</row>
    <row r="352" spans="1:34" x14ac:dyDescent="0.2">
      <c r="A352" s="372"/>
      <c r="B352" s="355"/>
      <c r="C352" s="355"/>
      <c r="D352" s="355"/>
      <c r="E352" s="355"/>
      <c r="F352" s="355"/>
      <c r="G352" s="909"/>
      <c r="H352" s="404"/>
      <c r="I352" s="404"/>
      <c r="J352" s="355"/>
      <c r="K352" s="355"/>
      <c r="L352" s="355"/>
      <c r="M352" s="355"/>
      <c r="N352" s="355"/>
      <c r="O352" s="355"/>
      <c r="P352" s="355"/>
      <c r="Q352" s="355"/>
      <c r="R352" s="355"/>
      <c r="S352" s="355"/>
      <c r="T352" s="355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</row>
    <row r="353" spans="1:34" x14ac:dyDescent="0.2">
      <c r="A353" s="372"/>
      <c r="B353" s="355"/>
      <c r="C353" s="355"/>
      <c r="D353" s="355"/>
      <c r="E353" s="355"/>
      <c r="F353" s="355"/>
      <c r="G353" s="909"/>
      <c r="H353" s="404"/>
      <c r="I353" s="404"/>
      <c r="J353" s="355"/>
      <c r="K353" s="355"/>
      <c r="L353" s="355"/>
      <c r="M353" s="355"/>
      <c r="N353" s="355"/>
      <c r="O353" s="355"/>
      <c r="P353" s="355"/>
      <c r="Q353" s="355"/>
      <c r="R353" s="355"/>
      <c r="S353" s="355"/>
      <c r="T353" s="355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</row>
    <row r="354" spans="1:34" x14ac:dyDescent="0.2">
      <c r="A354" s="372"/>
      <c r="B354" s="355"/>
      <c r="C354" s="355"/>
      <c r="D354" s="355"/>
      <c r="E354" s="355"/>
      <c r="F354" s="355"/>
      <c r="G354" s="909"/>
      <c r="H354" s="404"/>
      <c r="I354" s="404"/>
      <c r="J354" s="355"/>
      <c r="K354" s="355"/>
      <c r="L354" s="355"/>
      <c r="M354" s="355"/>
      <c r="N354" s="355"/>
      <c r="O354" s="355"/>
      <c r="P354" s="355"/>
      <c r="Q354" s="355"/>
      <c r="R354" s="355"/>
      <c r="S354" s="355"/>
      <c r="T354" s="355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</row>
    <row r="355" spans="1:34" x14ac:dyDescent="0.2">
      <c r="A355" s="372"/>
      <c r="B355" s="355"/>
      <c r="C355" s="355"/>
      <c r="D355" s="355"/>
      <c r="E355" s="355"/>
      <c r="F355" s="355"/>
      <c r="G355" s="909"/>
      <c r="H355" s="404"/>
      <c r="I355" s="404"/>
      <c r="J355" s="355"/>
      <c r="K355" s="355"/>
      <c r="L355" s="355"/>
      <c r="M355" s="355"/>
      <c r="N355" s="355"/>
      <c r="O355" s="355"/>
      <c r="P355" s="355"/>
      <c r="Q355" s="355"/>
      <c r="R355" s="355"/>
      <c r="S355" s="355"/>
      <c r="T355" s="355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</row>
    <row r="356" spans="1:34" x14ac:dyDescent="0.2">
      <c r="A356" s="372"/>
      <c r="B356" s="355"/>
      <c r="C356" s="355"/>
      <c r="D356" s="355"/>
      <c r="E356" s="355"/>
      <c r="F356" s="355"/>
      <c r="G356" s="909"/>
      <c r="H356" s="404"/>
      <c r="I356" s="404"/>
      <c r="J356" s="355"/>
      <c r="K356" s="355"/>
      <c r="L356" s="355"/>
      <c r="M356" s="355"/>
      <c r="N356" s="355"/>
      <c r="O356" s="355"/>
      <c r="P356" s="355"/>
      <c r="Q356" s="355"/>
      <c r="R356" s="355"/>
      <c r="S356" s="355"/>
      <c r="T356" s="355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</row>
    <row r="357" spans="1:34" x14ac:dyDescent="0.2">
      <c r="A357" s="372"/>
      <c r="B357" s="355"/>
      <c r="C357" s="355"/>
      <c r="D357" s="355"/>
      <c r="E357" s="355"/>
      <c r="F357" s="355"/>
      <c r="G357" s="909"/>
      <c r="H357" s="404"/>
      <c r="I357" s="404"/>
      <c r="J357" s="355"/>
      <c r="K357" s="355"/>
      <c r="L357" s="355"/>
      <c r="M357" s="355"/>
      <c r="N357" s="355"/>
      <c r="O357" s="355"/>
      <c r="P357" s="355"/>
      <c r="Q357" s="355"/>
      <c r="R357" s="355"/>
      <c r="S357" s="355"/>
      <c r="T357" s="355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</row>
    <row r="358" spans="1:34" x14ac:dyDescent="0.2">
      <c r="A358" s="372"/>
      <c r="B358" s="355"/>
      <c r="C358" s="355"/>
      <c r="D358" s="355"/>
      <c r="E358" s="355"/>
      <c r="F358" s="355"/>
      <c r="G358" s="909"/>
      <c r="H358" s="404"/>
      <c r="I358" s="404"/>
      <c r="J358" s="355"/>
      <c r="K358" s="355"/>
      <c r="L358" s="355"/>
      <c r="M358" s="355"/>
      <c r="N358" s="355"/>
      <c r="O358" s="355"/>
      <c r="P358" s="355"/>
      <c r="Q358" s="355"/>
      <c r="R358" s="355"/>
      <c r="S358" s="355"/>
      <c r="T358" s="355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</row>
    <row r="359" spans="1:34" x14ac:dyDescent="0.2">
      <c r="A359" s="372"/>
      <c r="B359" s="355"/>
      <c r="C359" s="355"/>
      <c r="D359" s="355"/>
      <c r="E359" s="355"/>
      <c r="F359" s="355"/>
      <c r="G359" s="909"/>
      <c r="H359" s="404"/>
      <c r="I359" s="404"/>
      <c r="J359" s="355"/>
      <c r="K359" s="355"/>
      <c r="L359" s="355"/>
      <c r="M359" s="355"/>
      <c r="N359" s="355"/>
      <c r="O359" s="355"/>
      <c r="P359" s="355"/>
      <c r="Q359" s="355"/>
      <c r="R359" s="355"/>
      <c r="S359" s="355"/>
      <c r="T359" s="355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</row>
    <row r="360" spans="1:34" x14ac:dyDescent="0.2">
      <c r="A360" s="372"/>
      <c r="B360" s="355"/>
      <c r="C360" s="355"/>
      <c r="D360" s="355"/>
      <c r="E360" s="355"/>
      <c r="F360" s="355"/>
      <c r="G360" s="909"/>
      <c r="H360" s="404"/>
      <c r="I360" s="404"/>
      <c r="J360" s="355"/>
      <c r="K360" s="355"/>
      <c r="L360" s="355"/>
      <c r="M360" s="355"/>
      <c r="N360" s="355"/>
      <c r="O360" s="355"/>
      <c r="P360" s="355"/>
      <c r="Q360" s="355"/>
      <c r="R360" s="355"/>
      <c r="S360" s="355"/>
      <c r="T360" s="355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</row>
    <row r="361" spans="1:34" x14ac:dyDescent="0.2">
      <c r="A361" s="372"/>
      <c r="B361" s="355"/>
      <c r="C361" s="355"/>
      <c r="D361" s="355"/>
      <c r="E361" s="355"/>
      <c r="F361" s="355"/>
      <c r="G361" s="909"/>
      <c r="H361" s="404"/>
      <c r="I361" s="404"/>
      <c r="J361" s="355"/>
      <c r="K361" s="355"/>
      <c r="L361" s="355"/>
      <c r="M361" s="355"/>
      <c r="N361" s="355"/>
      <c r="O361" s="355"/>
      <c r="P361" s="355"/>
      <c r="Q361" s="355"/>
      <c r="R361" s="355"/>
      <c r="S361" s="355"/>
      <c r="T361" s="355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</row>
    <row r="362" spans="1:34" x14ac:dyDescent="0.2">
      <c r="A362" s="372"/>
      <c r="B362" s="355"/>
      <c r="C362" s="355"/>
      <c r="D362" s="355"/>
      <c r="E362" s="355"/>
      <c r="F362" s="355"/>
      <c r="G362" s="909"/>
      <c r="H362" s="404"/>
      <c r="I362" s="404"/>
      <c r="J362" s="355"/>
      <c r="K362" s="355"/>
      <c r="L362" s="355"/>
      <c r="M362" s="355"/>
      <c r="N362" s="355"/>
      <c r="O362" s="355"/>
      <c r="P362" s="355"/>
      <c r="Q362" s="355"/>
      <c r="R362" s="355"/>
      <c r="S362" s="355"/>
      <c r="T362" s="355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</row>
    <row r="363" spans="1:34" x14ac:dyDescent="0.2">
      <c r="A363" s="372"/>
      <c r="B363" s="355"/>
      <c r="C363" s="355"/>
      <c r="D363" s="355"/>
      <c r="E363" s="355"/>
      <c r="F363" s="355"/>
      <c r="G363" s="909"/>
      <c r="H363" s="404"/>
      <c r="I363" s="404"/>
      <c r="J363" s="355"/>
      <c r="K363" s="355"/>
      <c r="L363" s="355"/>
      <c r="M363" s="355"/>
      <c r="N363" s="355"/>
      <c r="O363" s="355"/>
      <c r="P363" s="355"/>
      <c r="Q363" s="355"/>
      <c r="R363" s="355"/>
      <c r="S363" s="355"/>
      <c r="T363" s="355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</row>
    <row r="364" spans="1:34" x14ac:dyDescent="0.2">
      <c r="A364" s="372"/>
      <c r="B364" s="355"/>
      <c r="C364" s="355"/>
      <c r="D364" s="355"/>
      <c r="E364" s="355"/>
      <c r="F364" s="355"/>
      <c r="G364" s="909"/>
      <c r="H364" s="404"/>
      <c r="I364" s="404"/>
      <c r="J364" s="355"/>
      <c r="K364" s="355"/>
      <c r="L364" s="355"/>
      <c r="M364" s="355"/>
      <c r="N364" s="355"/>
      <c r="O364" s="355"/>
      <c r="P364" s="355"/>
      <c r="Q364" s="355"/>
      <c r="R364" s="355"/>
      <c r="S364" s="355"/>
      <c r="T364" s="355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</row>
    <row r="365" spans="1:34" x14ac:dyDescent="0.2">
      <c r="A365" s="372"/>
      <c r="B365" s="355"/>
      <c r="C365" s="355"/>
      <c r="D365" s="355"/>
      <c r="E365" s="355"/>
      <c r="F365" s="355"/>
      <c r="G365" s="909"/>
      <c r="H365" s="404"/>
      <c r="I365" s="404"/>
      <c r="J365" s="355"/>
      <c r="K365" s="355"/>
      <c r="L365" s="355"/>
      <c r="M365" s="355"/>
      <c r="N365" s="355"/>
      <c r="O365" s="355"/>
      <c r="P365" s="355"/>
      <c r="Q365" s="355"/>
      <c r="R365" s="355"/>
      <c r="S365" s="355"/>
      <c r="T365" s="355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</row>
    <row r="366" spans="1:34" x14ac:dyDescent="0.2">
      <c r="A366" s="372"/>
      <c r="B366" s="355"/>
      <c r="C366" s="355"/>
      <c r="D366" s="355"/>
      <c r="E366" s="355"/>
      <c r="F366" s="355"/>
      <c r="G366" s="909"/>
      <c r="H366" s="404"/>
      <c r="I366" s="404"/>
      <c r="J366" s="355"/>
      <c r="K366" s="355"/>
      <c r="L366" s="355"/>
      <c r="M366" s="355"/>
      <c r="N366" s="355"/>
      <c r="O366" s="355"/>
      <c r="P366" s="355"/>
      <c r="Q366" s="355"/>
      <c r="R366" s="355"/>
      <c r="S366" s="355"/>
      <c r="T366" s="355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</row>
    <row r="367" spans="1:34" x14ac:dyDescent="0.2">
      <c r="A367" s="372"/>
      <c r="B367" s="355"/>
      <c r="C367" s="355"/>
      <c r="D367" s="355"/>
      <c r="E367" s="355"/>
      <c r="F367" s="355"/>
      <c r="G367" s="909"/>
      <c r="H367" s="404"/>
      <c r="I367" s="404"/>
      <c r="J367" s="355"/>
      <c r="K367" s="355"/>
      <c r="L367" s="355"/>
      <c r="M367" s="355"/>
      <c r="N367" s="355"/>
      <c r="O367" s="355"/>
      <c r="P367" s="355"/>
      <c r="Q367" s="355"/>
      <c r="R367" s="355"/>
      <c r="S367" s="355"/>
      <c r="T367" s="355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</row>
    <row r="368" spans="1:34" x14ac:dyDescent="0.2">
      <c r="A368" s="372"/>
      <c r="B368" s="355"/>
      <c r="C368" s="355"/>
      <c r="D368" s="355"/>
      <c r="E368" s="355"/>
      <c r="F368" s="355"/>
      <c r="G368" s="909"/>
      <c r="H368" s="404"/>
      <c r="I368" s="404"/>
      <c r="J368" s="355"/>
      <c r="K368" s="355"/>
      <c r="L368" s="355"/>
      <c r="M368" s="355"/>
      <c r="N368" s="355"/>
      <c r="O368" s="355"/>
      <c r="P368" s="355"/>
      <c r="Q368" s="355"/>
      <c r="R368" s="355"/>
      <c r="S368" s="355"/>
      <c r="T368" s="355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</row>
    <row r="369" spans="1:34" x14ac:dyDescent="0.2">
      <c r="A369" s="372"/>
      <c r="B369" s="355"/>
      <c r="C369" s="355"/>
      <c r="D369" s="355"/>
      <c r="E369" s="355"/>
      <c r="F369" s="355"/>
      <c r="G369" s="909"/>
      <c r="H369" s="404"/>
      <c r="I369" s="404"/>
      <c r="J369" s="355"/>
      <c r="K369" s="355"/>
      <c r="L369" s="355"/>
      <c r="M369" s="355"/>
      <c r="N369" s="355"/>
      <c r="O369" s="355"/>
      <c r="P369" s="355"/>
      <c r="Q369" s="355"/>
      <c r="R369" s="355"/>
      <c r="S369" s="355"/>
      <c r="T369" s="355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</row>
    <row r="370" spans="1:34" x14ac:dyDescent="0.2">
      <c r="A370" s="372"/>
      <c r="B370" s="355"/>
      <c r="C370" s="355"/>
      <c r="D370" s="355"/>
      <c r="E370" s="355"/>
      <c r="F370" s="355"/>
      <c r="G370" s="909"/>
      <c r="H370" s="404"/>
      <c r="I370" s="404"/>
      <c r="J370" s="355"/>
      <c r="K370" s="355"/>
      <c r="L370" s="355"/>
      <c r="M370" s="355"/>
      <c r="N370" s="355"/>
      <c r="O370" s="355"/>
      <c r="P370" s="355"/>
      <c r="Q370" s="355"/>
      <c r="R370" s="355"/>
      <c r="S370" s="355"/>
      <c r="T370" s="355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</row>
    <row r="371" spans="1:34" x14ac:dyDescent="0.2">
      <c r="A371" s="372"/>
      <c r="B371" s="355"/>
      <c r="C371" s="355"/>
      <c r="D371" s="355"/>
      <c r="E371" s="355"/>
      <c r="F371" s="355"/>
      <c r="G371" s="909"/>
      <c r="H371" s="404"/>
      <c r="I371" s="404"/>
      <c r="J371" s="355"/>
      <c r="K371" s="355"/>
      <c r="L371" s="355"/>
      <c r="M371" s="355"/>
      <c r="N371" s="355"/>
      <c r="O371" s="355"/>
      <c r="P371" s="355"/>
      <c r="Q371" s="355"/>
      <c r="R371" s="355"/>
      <c r="S371" s="355"/>
      <c r="T371" s="355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</row>
    <row r="372" spans="1:34" x14ac:dyDescent="0.2">
      <c r="A372" s="372"/>
      <c r="B372" s="355"/>
      <c r="C372" s="355"/>
      <c r="D372" s="355"/>
      <c r="E372" s="355"/>
      <c r="F372" s="355"/>
      <c r="G372" s="909"/>
      <c r="H372" s="404"/>
      <c r="I372" s="404"/>
      <c r="J372" s="355"/>
      <c r="K372" s="355"/>
      <c r="L372" s="355"/>
      <c r="M372" s="355"/>
      <c r="N372" s="355"/>
      <c r="O372" s="355"/>
      <c r="P372" s="355"/>
      <c r="Q372" s="355"/>
      <c r="R372" s="355"/>
      <c r="S372" s="355"/>
      <c r="T372" s="355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</row>
    <row r="373" spans="1:34" x14ac:dyDescent="0.2">
      <c r="A373" s="372"/>
      <c r="B373" s="355"/>
      <c r="C373" s="355"/>
      <c r="D373" s="355"/>
      <c r="E373" s="355"/>
      <c r="F373" s="355"/>
      <c r="G373" s="909"/>
      <c r="H373" s="404"/>
      <c r="I373" s="404"/>
      <c r="J373" s="355"/>
      <c r="K373" s="355"/>
      <c r="L373" s="355"/>
      <c r="M373" s="355"/>
      <c r="N373" s="355"/>
      <c r="O373" s="355"/>
      <c r="P373" s="355"/>
      <c r="Q373" s="355"/>
      <c r="R373" s="355"/>
      <c r="S373" s="355"/>
      <c r="T373" s="355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</row>
    <row r="374" spans="1:34" x14ac:dyDescent="0.2">
      <c r="A374" s="372"/>
      <c r="B374" s="355"/>
      <c r="C374" s="355"/>
      <c r="D374" s="355"/>
      <c r="E374" s="355"/>
      <c r="F374" s="355"/>
      <c r="G374" s="909"/>
      <c r="H374" s="404"/>
      <c r="I374" s="404"/>
      <c r="J374" s="355"/>
      <c r="K374" s="355"/>
      <c r="L374" s="355"/>
      <c r="M374" s="355"/>
      <c r="N374" s="355"/>
      <c r="O374" s="355"/>
      <c r="P374" s="355"/>
      <c r="Q374" s="355"/>
      <c r="R374" s="355"/>
      <c r="S374" s="355"/>
      <c r="T374" s="355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</row>
    <row r="375" spans="1:34" x14ac:dyDescent="0.2">
      <c r="A375" s="372"/>
      <c r="B375" s="355"/>
      <c r="C375" s="355"/>
      <c r="D375" s="355"/>
      <c r="E375" s="355"/>
      <c r="F375" s="355"/>
      <c r="G375" s="909"/>
      <c r="H375" s="404"/>
      <c r="I375" s="404"/>
      <c r="J375" s="355"/>
      <c r="K375" s="355"/>
      <c r="L375" s="355"/>
      <c r="M375" s="355"/>
      <c r="N375" s="355"/>
      <c r="O375" s="355"/>
      <c r="P375" s="355"/>
      <c r="Q375" s="355"/>
      <c r="R375" s="355"/>
      <c r="S375" s="355"/>
      <c r="T375" s="355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</row>
    <row r="376" spans="1:34" x14ac:dyDescent="0.2">
      <c r="A376" s="372"/>
      <c r="B376" s="355"/>
      <c r="C376" s="355"/>
      <c r="D376" s="355"/>
      <c r="E376" s="355"/>
      <c r="F376" s="355"/>
      <c r="G376" s="909"/>
      <c r="H376" s="404"/>
      <c r="I376" s="404"/>
      <c r="J376" s="355"/>
      <c r="K376" s="355"/>
      <c r="L376" s="355"/>
      <c r="M376" s="355"/>
      <c r="N376" s="355"/>
      <c r="O376" s="355"/>
      <c r="P376" s="355"/>
      <c r="Q376" s="355"/>
      <c r="R376" s="355"/>
      <c r="S376" s="355"/>
      <c r="T376" s="355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</row>
    <row r="377" spans="1:34" x14ac:dyDescent="0.2">
      <c r="A377" s="372"/>
      <c r="B377" s="355"/>
      <c r="C377" s="355"/>
      <c r="D377" s="355"/>
      <c r="E377" s="355"/>
      <c r="F377" s="355"/>
      <c r="G377" s="909"/>
      <c r="H377" s="404"/>
      <c r="I377" s="404"/>
      <c r="J377" s="355"/>
      <c r="K377" s="355"/>
      <c r="L377" s="355"/>
      <c r="M377" s="355"/>
      <c r="N377" s="355"/>
      <c r="O377" s="355"/>
      <c r="P377" s="355"/>
      <c r="Q377" s="355"/>
      <c r="R377" s="355"/>
      <c r="S377" s="355"/>
      <c r="T377" s="355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</row>
    <row r="378" spans="1:34" x14ac:dyDescent="0.2">
      <c r="A378" s="372"/>
      <c r="B378" s="355"/>
      <c r="C378" s="355"/>
      <c r="D378" s="355"/>
      <c r="E378" s="355"/>
      <c r="F378" s="355"/>
      <c r="G378" s="909"/>
      <c r="H378" s="404"/>
      <c r="I378" s="404"/>
      <c r="J378" s="355"/>
      <c r="K378" s="355"/>
      <c r="L378" s="355"/>
      <c r="M378" s="355"/>
      <c r="N378" s="355"/>
      <c r="O378" s="355"/>
      <c r="P378" s="355"/>
      <c r="Q378" s="355"/>
      <c r="R378" s="355"/>
      <c r="S378" s="355"/>
      <c r="T378" s="355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</row>
    <row r="379" spans="1:34" x14ac:dyDescent="0.2">
      <c r="A379" s="372"/>
      <c r="B379" s="355"/>
      <c r="C379" s="355"/>
      <c r="D379" s="355"/>
      <c r="E379" s="355"/>
      <c r="F379" s="355"/>
      <c r="G379" s="909"/>
      <c r="H379" s="404"/>
      <c r="I379" s="404"/>
      <c r="J379" s="355"/>
      <c r="K379" s="355"/>
      <c r="L379" s="355"/>
      <c r="M379" s="355"/>
      <c r="N379" s="355"/>
      <c r="O379" s="355"/>
      <c r="P379" s="355"/>
      <c r="Q379" s="355"/>
      <c r="R379" s="355"/>
      <c r="S379" s="355"/>
      <c r="T379" s="355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</row>
    <row r="380" spans="1:34" x14ac:dyDescent="0.2">
      <c r="A380" s="372"/>
      <c r="B380" s="355"/>
      <c r="C380" s="355"/>
      <c r="D380" s="355"/>
      <c r="E380" s="355"/>
      <c r="F380" s="355"/>
      <c r="G380" s="909"/>
      <c r="H380" s="404"/>
      <c r="I380" s="404"/>
      <c r="J380" s="355"/>
      <c r="K380" s="355"/>
      <c r="L380" s="355"/>
      <c r="M380" s="355"/>
      <c r="N380" s="355"/>
      <c r="O380" s="355"/>
      <c r="P380" s="355"/>
      <c r="Q380" s="355"/>
      <c r="R380" s="355"/>
      <c r="S380" s="355"/>
      <c r="T380" s="355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</row>
    <row r="381" spans="1:34" x14ac:dyDescent="0.2">
      <c r="A381" s="372"/>
      <c r="B381" s="355"/>
      <c r="C381" s="355"/>
      <c r="D381" s="355"/>
      <c r="E381" s="355"/>
      <c r="F381" s="355"/>
      <c r="G381" s="909"/>
      <c r="H381" s="404"/>
      <c r="I381" s="404"/>
      <c r="J381" s="355"/>
      <c r="K381" s="355"/>
      <c r="L381" s="355"/>
      <c r="M381" s="355"/>
      <c r="N381" s="355"/>
      <c r="O381" s="355"/>
      <c r="P381" s="355"/>
      <c r="Q381" s="355"/>
      <c r="R381" s="355"/>
      <c r="S381" s="355"/>
      <c r="T381" s="355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</row>
    <row r="382" spans="1:34" x14ac:dyDescent="0.2">
      <c r="A382" s="372"/>
      <c r="B382" s="355"/>
      <c r="C382" s="355"/>
      <c r="D382" s="355"/>
      <c r="E382" s="355"/>
      <c r="F382" s="355"/>
      <c r="G382" s="909"/>
      <c r="H382" s="404"/>
      <c r="I382" s="404"/>
      <c r="J382" s="355"/>
      <c r="K382" s="355"/>
      <c r="L382" s="355"/>
      <c r="M382" s="355"/>
      <c r="N382" s="355"/>
      <c r="O382" s="355"/>
      <c r="P382" s="355"/>
      <c r="Q382" s="355"/>
      <c r="R382" s="355"/>
      <c r="S382" s="355"/>
      <c r="T382" s="355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</row>
    <row r="383" spans="1:34" x14ac:dyDescent="0.2">
      <c r="A383" s="372"/>
      <c r="B383" s="355"/>
      <c r="C383" s="355"/>
      <c r="D383" s="355"/>
      <c r="E383" s="355"/>
      <c r="F383" s="355"/>
      <c r="G383" s="909"/>
      <c r="H383" s="404"/>
      <c r="I383" s="404"/>
      <c r="J383" s="355"/>
      <c r="K383" s="355"/>
      <c r="L383" s="355"/>
      <c r="M383" s="355"/>
      <c r="N383" s="355"/>
      <c r="O383" s="355"/>
      <c r="P383" s="355"/>
      <c r="Q383" s="355"/>
      <c r="R383" s="355"/>
      <c r="S383" s="355"/>
      <c r="T383" s="355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</row>
    <row r="384" spans="1:34" x14ac:dyDescent="0.2">
      <c r="A384" s="372"/>
      <c r="B384" s="355"/>
      <c r="C384" s="355"/>
      <c r="D384" s="355"/>
      <c r="E384" s="355"/>
      <c r="F384" s="355"/>
      <c r="G384" s="909"/>
      <c r="H384" s="404"/>
      <c r="I384" s="404"/>
      <c r="J384" s="355"/>
      <c r="K384" s="355"/>
      <c r="L384" s="355"/>
      <c r="M384" s="355"/>
      <c r="N384" s="355"/>
      <c r="O384" s="355"/>
      <c r="P384" s="355"/>
      <c r="Q384" s="355"/>
      <c r="R384" s="355"/>
      <c r="S384" s="355"/>
      <c r="T384" s="355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</row>
    <row r="385" spans="1:34" x14ac:dyDescent="0.2">
      <c r="A385" s="372"/>
      <c r="B385" s="355"/>
      <c r="C385" s="355"/>
      <c r="D385" s="355"/>
      <c r="E385" s="355"/>
      <c r="F385" s="355"/>
      <c r="G385" s="909"/>
      <c r="H385" s="404"/>
      <c r="I385" s="404"/>
      <c r="J385" s="355"/>
      <c r="K385" s="355"/>
      <c r="L385" s="355"/>
      <c r="M385" s="355"/>
      <c r="N385" s="355"/>
      <c r="O385" s="355"/>
      <c r="P385" s="355"/>
      <c r="Q385" s="355"/>
      <c r="R385" s="355"/>
      <c r="S385" s="355"/>
      <c r="T385" s="355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</row>
    <row r="386" spans="1:34" x14ac:dyDescent="0.2">
      <c r="A386" s="372"/>
      <c r="B386" s="355"/>
      <c r="C386" s="355"/>
      <c r="D386" s="355"/>
      <c r="E386" s="355"/>
      <c r="F386" s="355"/>
      <c r="G386" s="909"/>
      <c r="H386" s="404"/>
      <c r="I386" s="404"/>
      <c r="J386" s="355"/>
      <c r="K386" s="355"/>
      <c r="L386" s="355"/>
      <c r="M386" s="355"/>
      <c r="N386" s="355"/>
      <c r="O386" s="355"/>
      <c r="P386" s="355"/>
      <c r="Q386" s="355"/>
      <c r="R386" s="355"/>
      <c r="S386" s="355"/>
      <c r="T386" s="355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</row>
    <row r="387" spans="1:34" x14ac:dyDescent="0.2">
      <c r="A387" s="372"/>
      <c r="B387" s="355"/>
      <c r="C387" s="355"/>
      <c r="D387" s="355"/>
      <c r="E387" s="355"/>
      <c r="F387" s="355"/>
      <c r="G387" s="909"/>
      <c r="H387" s="404"/>
      <c r="I387" s="404"/>
      <c r="J387" s="355"/>
      <c r="K387" s="355"/>
      <c r="L387" s="355"/>
      <c r="M387" s="355"/>
      <c r="N387" s="355"/>
      <c r="O387" s="355"/>
      <c r="P387" s="355"/>
      <c r="Q387" s="355"/>
      <c r="R387" s="355"/>
      <c r="S387" s="355"/>
      <c r="T387" s="355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</row>
    <row r="388" spans="1:34" x14ac:dyDescent="0.2">
      <c r="A388" s="372"/>
      <c r="B388" s="355"/>
      <c r="C388" s="355"/>
      <c r="D388" s="355"/>
      <c r="E388" s="355"/>
      <c r="F388" s="355"/>
      <c r="G388" s="909"/>
      <c r="H388" s="404"/>
      <c r="I388" s="404"/>
      <c r="J388" s="355"/>
      <c r="K388" s="355"/>
      <c r="L388" s="355"/>
      <c r="M388" s="355"/>
      <c r="N388" s="355"/>
      <c r="O388" s="355"/>
      <c r="P388" s="355"/>
      <c r="Q388" s="355"/>
      <c r="R388" s="355"/>
      <c r="S388" s="355"/>
      <c r="T388" s="355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</row>
    <row r="389" spans="1:34" x14ac:dyDescent="0.2">
      <c r="A389" s="372"/>
      <c r="B389" s="355"/>
      <c r="C389" s="355"/>
      <c r="D389" s="355"/>
      <c r="E389" s="355"/>
      <c r="F389" s="355"/>
      <c r="G389" s="909"/>
      <c r="H389" s="404"/>
      <c r="I389" s="404"/>
      <c r="J389" s="355"/>
      <c r="K389" s="355"/>
      <c r="L389" s="355"/>
      <c r="M389" s="355"/>
      <c r="N389" s="355"/>
      <c r="O389" s="355"/>
      <c r="P389" s="355"/>
      <c r="Q389" s="355"/>
      <c r="R389" s="355"/>
      <c r="S389" s="355"/>
      <c r="T389" s="355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</row>
    <row r="390" spans="1:34" x14ac:dyDescent="0.2">
      <c r="A390" s="372"/>
      <c r="B390" s="355"/>
      <c r="C390" s="355"/>
      <c r="D390" s="355"/>
      <c r="E390" s="355"/>
      <c r="F390" s="355"/>
      <c r="G390" s="909"/>
      <c r="H390" s="404"/>
      <c r="I390" s="404"/>
      <c r="J390" s="355"/>
      <c r="K390" s="355"/>
      <c r="L390" s="355"/>
      <c r="M390" s="355"/>
      <c r="N390" s="355"/>
      <c r="O390" s="355"/>
      <c r="P390" s="355"/>
      <c r="Q390" s="355"/>
      <c r="R390" s="355"/>
      <c r="S390" s="355"/>
      <c r="T390" s="355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</row>
    <row r="391" spans="1:34" x14ac:dyDescent="0.2">
      <c r="A391" s="372"/>
      <c r="B391" s="355"/>
      <c r="C391" s="355"/>
      <c r="D391" s="355"/>
      <c r="E391" s="355"/>
      <c r="F391" s="355"/>
      <c r="G391" s="909"/>
      <c r="H391" s="404"/>
      <c r="I391" s="404"/>
      <c r="J391" s="355"/>
      <c r="K391" s="355"/>
      <c r="L391" s="355"/>
      <c r="M391" s="355"/>
      <c r="N391" s="355"/>
      <c r="O391" s="355"/>
      <c r="P391" s="355"/>
      <c r="Q391" s="355"/>
      <c r="R391" s="355"/>
      <c r="S391" s="355"/>
      <c r="T391" s="355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</row>
    <row r="392" spans="1:34" x14ac:dyDescent="0.2">
      <c r="A392" s="372"/>
      <c r="B392" s="355"/>
      <c r="C392" s="355"/>
      <c r="D392" s="355"/>
      <c r="E392" s="355"/>
      <c r="F392" s="355"/>
      <c r="G392" s="909"/>
      <c r="H392" s="404"/>
      <c r="I392" s="404"/>
      <c r="J392" s="355"/>
      <c r="K392" s="355"/>
      <c r="L392" s="355"/>
      <c r="M392" s="355"/>
      <c r="N392" s="355"/>
      <c r="O392" s="355"/>
      <c r="P392" s="355"/>
      <c r="Q392" s="355"/>
      <c r="R392" s="355"/>
      <c r="S392" s="355"/>
      <c r="T392" s="355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</row>
    <row r="393" spans="1:34" x14ac:dyDescent="0.2">
      <c r="A393" s="372"/>
      <c r="B393" s="355"/>
      <c r="C393" s="355"/>
      <c r="D393" s="355"/>
      <c r="E393" s="355"/>
      <c r="F393" s="355"/>
      <c r="G393" s="909"/>
      <c r="H393" s="404"/>
      <c r="I393" s="404"/>
      <c r="J393" s="355"/>
      <c r="K393" s="355"/>
      <c r="L393" s="355"/>
      <c r="M393" s="355"/>
      <c r="N393" s="355"/>
      <c r="O393" s="355"/>
      <c r="P393" s="355"/>
      <c r="Q393" s="355"/>
      <c r="R393" s="355"/>
      <c r="S393" s="355"/>
      <c r="T393" s="355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</row>
    <row r="394" spans="1:34" x14ac:dyDescent="0.2">
      <c r="A394" s="372"/>
      <c r="B394" s="355"/>
      <c r="C394" s="355"/>
      <c r="D394" s="355"/>
      <c r="E394" s="355"/>
      <c r="F394" s="355"/>
      <c r="G394" s="909"/>
      <c r="H394" s="404"/>
      <c r="I394" s="404"/>
      <c r="J394" s="355"/>
      <c r="K394" s="355"/>
      <c r="L394" s="355"/>
      <c r="M394" s="355"/>
      <c r="N394" s="355"/>
      <c r="O394" s="355"/>
      <c r="P394" s="355"/>
      <c r="Q394" s="355"/>
      <c r="R394" s="355"/>
      <c r="S394" s="355"/>
      <c r="T394" s="355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</row>
    <row r="395" spans="1:34" x14ac:dyDescent="0.2">
      <c r="A395" s="372"/>
      <c r="B395" s="355"/>
      <c r="C395" s="355"/>
      <c r="D395" s="355"/>
      <c r="E395" s="355"/>
      <c r="F395" s="355"/>
      <c r="G395" s="909"/>
      <c r="H395" s="404"/>
      <c r="I395" s="404"/>
      <c r="J395" s="355"/>
      <c r="K395" s="355"/>
      <c r="L395" s="355"/>
      <c r="M395" s="355"/>
      <c r="N395" s="355"/>
      <c r="O395" s="355"/>
      <c r="P395" s="355"/>
      <c r="Q395" s="355"/>
      <c r="R395" s="355"/>
      <c r="S395" s="355"/>
      <c r="T395" s="355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</row>
    <row r="396" spans="1:34" x14ac:dyDescent="0.2">
      <c r="A396" s="372"/>
      <c r="B396" s="355"/>
      <c r="C396" s="355"/>
      <c r="D396" s="355"/>
      <c r="E396" s="355"/>
      <c r="F396" s="355"/>
      <c r="G396" s="909"/>
      <c r="H396" s="404"/>
      <c r="I396" s="404"/>
      <c r="J396" s="355"/>
      <c r="K396" s="355"/>
      <c r="L396" s="355"/>
      <c r="M396" s="355"/>
      <c r="N396" s="355"/>
      <c r="O396" s="355"/>
      <c r="P396" s="355"/>
      <c r="Q396" s="355"/>
      <c r="R396" s="355"/>
      <c r="S396" s="355"/>
      <c r="T396" s="355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</row>
    <row r="397" spans="1:34" x14ac:dyDescent="0.2">
      <c r="A397" s="372"/>
      <c r="B397" s="355"/>
      <c r="C397" s="355"/>
      <c r="D397" s="355"/>
      <c r="E397" s="355"/>
      <c r="F397" s="355"/>
      <c r="G397" s="909"/>
      <c r="H397" s="404"/>
      <c r="I397" s="404"/>
      <c r="J397" s="355"/>
      <c r="K397" s="355"/>
      <c r="L397" s="355"/>
      <c r="M397" s="355"/>
      <c r="N397" s="355"/>
      <c r="O397" s="355"/>
      <c r="P397" s="355"/>
      <c r="Q397" s="355"/>
      <c r="R397" s="355"/>
      <c r="S397" s="355"/>
      <c r="T397" s="355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</row>
    <row r="398" spans="1:34" x14ac:dyDescent="0.2">
      <c r="A398" s="372"/>
      <c r="B398" s="355"/>
      <c r="C398" s="355"/>
      <c r="D398" s="355"/>
      <c r="E398" s="355"/>
      <c r="F398" s="355"/>
      <c r="G398" s="909"/>
      <c r="H398" s="404"/>
      <c r="I398" s="404"/>
      <c r="J398" s="355"/>
      <c r="K398" s="355"/>
      <c r="L398" s="355"/>
      <c r="M398" s="355"/>
      <c r="N398" s="355"/>
      <c r="O398" s="355"/>
      <c r="P398" s="355"/>
      <c r="Q398" s="355"/>
      <c r="R398" s="355"/>
      <c r="S398" s="355"/>
      <c r="T398" s="355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</row>
    <row r="399" spans="1:34" x14ac:dyDescent="0.2">
      <c r="A399" s="372"/>
      <c r="B399" s="355"/>
      <c r="C399" s="355"/>
      <c r="D399" s="355"/>
      <c r="E399" s="355"/>
      <c r="F399" s="355"/>
      <c r="G399" s="909"/>
      <c r="H399" s="404"/>
      <c r="I399" s="404"/>
      <c r="J399" s="355"/>
      <c r="K399" s="355"/>
      <c r="L399" s="355"/>
      <c r="M399" s="355"/>
      <c r="N399" s="355"/>
      <c r="O399" s="355"/>
      <c r="P399" s="355"/>
      <c r="Q399" s="355"/>
      <c r="R399" s="355"/>
      <c r="S399" s="355"/>
      <c r="T399" s="355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</row>
    <row r="400" spans="1:34" x14ac:dyDescent="0.2">
      <c r="A400" s="372"/>
      <c r="B400" s="355"/>
      <c r="C400" s="355"/>
      <c r="D400" s="355"/>
      <c r="E400" s="355"/>
      <c r="F400" s="355"/>
      <c r="G400" s="909"/>
      <c r="H400" s="404"/>
      <c r="I400" s="404"/>
      <c r="J400" s="355"/>
      <c r="K400" s="355"/>
      <c r="L400" s="355"/>
      <c r="M400" s="355"/>
      <c r="N400" s="355"/>
      <c r="O400" s="355"/>
      <c r="P400" s="355"/>
      <c r="Q400" s="355"/>
      <c r="R400" s="355"/>
      <c r="S400" s="355"/>
      <c r="T400" s="355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</row>
    <row r="401" spans="1:34" x14ac:dyDescent="0.2">
      <c r="A401" s="372"/>
      <c r="B401" s="355"/>
      <c r="C401" s="355"/>
      <c r="D401" s="355"/>
      <c r="E401" s="355"/>
      <c r="F401" s="355"/>
      <c r="G401" s="909"/>
      <c r="H401" s="404"/>
      <c r="I401" s="404"/>
      <c r="J401" s="355"/>
      <c r="K401" s="355"/>
      <c r="L401" s="355"/>
      <c r="M401" s="355"/>
      <c r="N401" s="355"/>
      <c r="O401" s="355"/>
      <c r="P401" s="355"/>
      <c r="Q401" s="355"/>
      <c r="R401" s="355"/>
      <c r="S401" s="355"/>
      <c r="T401" s="355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</row>
    <row r="402" spans="1:34" x14ac:dyDescent="0.2">
      <c r="A402" s="372"/>
      <c r="B402" s="355"/>
      <c r="C402" s="355"/>
      <c r="D402" s="355"/>
      <c r="E402" s="355"/>
      <c r="F402" s="355"/>
      <c r="G402" s="909"/>
      <c r="H402" s="404"/>
      <c r="I402" s="404"/>
      <c r="J402" s="355"/>
      <c r="K402" s="355"/>
      <c r="L402" s="355"/>
      <c r="M402" s="355"/>
      <c r="N402" s="355"/>
      <c r="O402" s="355"/>
      <c r="P402" s="355"/>
      <c r="Q402" s="355"/>
      <c r="R402" s="355"/>
      <c r="S402" s="355"/>
      <c r="T402" s="355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</row>
    <row r="403" spans="1:34" x14ac:dyDescent="0.2">
      <c r="A403" s="372"/>
      <c r="B403" s="355"/>
      <c r="C403" s="355"/>
      <c r="D403" s="355"/>
      <c r="E403" s="355"/>
      <c r="F403" s="355"/>
      <c r="G403" s="909"/>
      <c r="H403" s="404"/>
      <c r="I403" s="404"/>
      <c r="J403" s="355"/>
      <c r="K403" s="355"/>
      <c r="L403" s="355"/>
      <c r="M403" s="355"/>
      <c r="N403" s="355"/>
      <c r="O403" s="355"/>
      <c r="P403" s="355"/>
      <c r="Q403" s="355"/>
      <c r="R403" s="355"/>
      <c r="S403" s="355"/>
      <c r="T403" s="355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</row>
    <row r="404" spans="1:34" x14ac:dyDescent="0.2">
      <c r="A404" s="372"/>
      <c r="B404" s="355"/>
      <c r="C404" s="355"/>
      <c r="D404" s="355"/>
      <c r="E404" s="355"/>
      <c r="F404" s="355"/>
      <c r="G404" s="909"/>
      <c r="H404" s="404"/>
      <c r="I404" s="404"/>
      <c r="J404" s="355"/>
      <c r="K404" s="355"/>
      <c r="L404" s="355"/>
      <c r="M404" s="355"/>
      <c r="N404" s="355"/>
      <c r="O404" s="355"/>
      <c r="P404" s="355"/>
      <c r="Q404" s="355"/>
      <c r="R404" s="355"/>
      <c r="S404" s="355"/>
      <c r="T404" s="355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</row>
    <row r="405" spans="1:34" x14ac:dyDescent="0.2">
      <c r="A405" s="372"/>
      <c r="B405" s="355"/>
      <c r="C405" s="355"/>
      <c r="D405" s="355"/>
      <c r="E405" s="355"/>
      <c r="F405" s="355"/>
      <c r="G405" s="909"/>
      <c r="H405" s="404"/>
      <c r="I405" s="404"/>
      <c r="J405" s="355"/>
      <c r="K405" s="355"/>
      <c r="L405" s="355"/>
      <c r="M405" s="355"/>
      <c r="N405" s="355"/>
      <c r="O405" s="355"/>
      <c r="P405" s="355"/>
      <c r="Q405" s="355"/>
      <c r="R405" s="355"/>
      <c r="S405" s="355"/>
      <c r="T405" s="355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</row>
    <row r="406" spans="1:34" x14ac:dyDescent="0.2">
      <c r="A406" s="372"/>
      <c r="B406" s="355"/>
      <c r="C406" s="355"/>
      <c r="D406" s="355"/>
      <c r="E406" s="355"/>
      <c r="F406" s="355"/>
      <c r="G406" s="909"/>
      <c r="H406" s="404"/>
      <c r="I406" s="404"/>
      <c r="J406" s="355"/>
      <c r="K406" s="355"/>
      <c r="L406" s="355"/>
      <c r="M406" s="355"/>
      <c r="N406" s="355"/>
      <c r="O406" s="355"/>
      <c r="P406" s="355"/>
      <c r="Q406" s="355"/>
      <c r="R406" s="355"/>
      <c r="S406" s="355"/>
      <c r="T406" s="355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</row>
    <row r="407" spans="1:34" x14ac:dyDescent="0.2">
      <c r="A407" s="372"/>
      <c r="B407" s="355"/>
      <c r="C407" s="355"/>
      <c r="D407" s="355"/>
      <c r="E407" s="355"/>
      <c r="F407" s="355"/>
      <c r="G407" s="909"/>
      <c r="H407" s="404"/>
      <c r="I407" s="404"/>
      <c r="J407" s="355"/>
      <c r="K407" s="355"/>
      <c r="L407" s="355"/>
      <c r="M407" s="355"/>
      <c r="N407" s="355"/>
      <c r="O407" s="355"/>
      <c r="P407" s="355"/>
      <c r="Q407" s="355"/>
      <c r="R407" s="355"/>
      <c r="S407" s="355"/>
      <c r="T407" s="355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</row>
    <row r="408" spans="1:34" x14ac:dyDescent="0.2">
      <c r="A408" s="372"/>
      <c r="B408" s="355"/>
      <c r="C408" s="355"/>
      <c r="D408" s="355"/>
      <c r="E408" s="355"/>
      <c r="F408" s="355"/>
      <c r="G408" s="909"/>
      <c r="H408" s="404"/>
      <c r="I408" s="404"/>
      <c r="J408" s="355"/>
      <c r="K408" s="355"/>
      <c r="L408" s="355"/>
      <c r="M408" s="355"/>
      <c r="N408" s="355"/>
      <c r="O408" s="355"/>
      <c r="P408" s="355"/>
      <c r="Q408" s="355"/>
      <c r="R408" s="355"/>
      <c r="S408" s="355"/>
      <c r="T408" s="355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</row>
    <row r="409" spans="1:34" x14ac:dyDescent="0.2">
      <c r="A409" s="372"/>
      <c r="B409" s="355"/>
      <c r="C409" s="355"/>
      <c r="D409" s="355"/>
      <c r="E409" s="355"/>
      <c r="F409" s="355"/>
      <c r="G409" s="909"/>
      <c r="H409" s="404"/>
      <c r="I409" s="404"/>
      <c r="J409" s="355"/>
      <c r="K409" s="355"/>
      <c r="L409" s="355"/>
      <c r="M409" s="355"/>
      <c r="N409" s="355"/>
      <c r="O409" s="355"/>
      <c r="P409" s="355"/>
      <c r="Q409" s="355"/>
      <c r="R409" s="355"/>
      <c r="S409" s="355"/>
      <c r="T409" s="355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</row>
    <row r="410" spans="1:34" x14ac:dyDescent="0.2">
      <c r="A410" s="372"/>
      <c r="B410" s="355"/>
      <c r="C410" s="355"/>
      <c r="D410" s="355"/>
      <c r="E410" s="355"/>
      <c r="F410" s="355"/>
      <c r="G410" s="909"/>
      <c r="H410" s="404"/>
      <c r="I410" s="404"/>
      <c r="J410" s="355"/>
      <c r="K410" s="355"/>
      <c r="L410" s="355"/>
      <c r="M410" s="355"/>
      <c r="N410" s="355"/>
      <c r="O410" s="355"/>
      <c r="P410" s="355"/>
      <c r="Q410" s="355"/>
      <c r="R410" s="355"/>
      <c r="S410" s="355"/>
      <c r="T410" s="355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</row>
    <row r="411" spans="1:34" x14ac:dyDescent="0.2">
      <c r="A411" s="372"/>
      <c r="B411" s="355"/>
      <c r="C411" s="355"/>
      <c r="D411" s="355"/>
      <c r="E411" s="355"/>
      <c r="F411" s="355"/>
      <c r="G411" s="909"/>
      <c r="H411" s="404"/>
      <c r="I411" s="404"/>
      <c r="J411" s="355"/>
      <c r="K411" s="355"/>
      <c r="L411" s="355"/>
      <c r="M411" s="355"/>
      <c r="N411" s="355"/>
      <c r="O411" s="355"/>
      <c r="P411" s="355"/>
      <c r="Q411" s="355"/>
      <c r="R411" s="355"/>
      <c r="S411" s="355"/>
      <c r="T411" s="355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</row>
    <row r="412" spans="1:34" x14ac:dyDescent="0.2">
      <c r="A412" s="372"/>
      <c r="B412" s="355"/>
      <c r="C412" s="355"/>
      <c r="D412" s="355"/>
      <c r="E412" s="355"/>
      <c r="F412" s="355"/>
      <c r="G412" s="909"/>
      <c r="H412" s="404"/>
      <c r="I412" s="404"/>
      <c r="J412" s="355"/>
      <c r="K412" s="355"/>
      <c r="L412" s="355"/>
      <c r="M412" s="355"/>
      <c r="N412" s="355"/>
      <c r="O412" s="355"/>
      <c r="P412" s="355"/>
      <c r="Q412" s="355"/>
      <c r="R412" s="355"/>
      <c r="S412" s="355"/>
      <c r="T412" s="355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</row>
    <row r="413" spans="1:34" x14ac:dyDescent="0.2">
      <c r="A413" s="372"/>
      <c r="B413" s="355"/>
      <c r="C413" s="355"/>
      <c r="D413" s="355"/>
      <c r="E413" s="355"/>
      <c r="F413" s="355"/>
      <c r="G413" s="909"/>
      <c r="H413" s="404"/>
      <c r="I413" s="404"/>
      <c r="J413" s="355"/>
      <c r="K413" s="355"/>
      <c r="L413" s="355"/>
      <c r="M413" s="355"/>
      <c r="N413" s="355"/>
      <c r="O413" s="355"/>
      <c r="P413" s="355"/>
      <c r="Q413" s="355"/>
      <c r="R413" s="355"/>
      <c r="S413" s="355"/>
      <c r="T413" s="355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</row>
    <row r="414" spans="1:34" x14ac:dyDescent="0.2">
      <c r="A414" s="372"/>
      <c r="B414" s="355"/>
      <c r="C414" s="355"/>
      <c r="D414" s="355"/>
      <c r="E414" s="355"/>
      <c r="F414" s="355"/>
      <c r="G414" s="909"/>
      <c r="H414" s="404"/>
      <c r="I414" s="404"/>
      <c r="J414" s="355"/>
      <c r="K414" s="355"/>
      <c r="L414" s="355"/>
      <c r="M414" s="355"/>
      <c r="N414" s="355"/>
      <c r="O414" s="355"/>
      <c r="P414" s="355"/>
      <c r="Q414" s="355"/>
      <c r="R414" s="355"/>
      <c r="S414" s="355"/>
      <c r="T414" s="355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</row>
    <row r="415" spans="1:34" x14ac:dyDescent="0.2">
      <c r="A415" s="372"/>
      <c r="B415" s="355"/>
      <c r="C415" s="355"/>
      <c r="D415" s="355"/>
      <c r="E415" s="355"/>
      <c r="F415" s="355"/>
      <c r="G415" s="909"/>
      <c r="H415" s="404"/>
      <c r="I415" s="404"/>
      <c r="J415" s="355"/>
      <c r="K415" s="355"/>
      <c r="L415" s="355"/>
      <c r="M415" s="355"/>
      <c r="N415" s="355"/>
      <c r="O415" s="355"/>
      <c r="P415" s="355"/>
      <c r="Q415" s="355"/>
      <c r="R415" s="355"/>
      <c r="S415" s="355"/>
      <c r="T415" s="355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</row>
    <row r="416" spans="1:34" x14ac:dyDescent="0.2">
      <c r="A416" s="372"/>
      <c r="B416" s="355"/>
      <c r="C416" s="355"/>
      <c r="D416" s="355"/>
      <c r="E416" s="355"/>
      <c r="F416" s="355"/>
      <c r="G416" s="909"/>
      <c r="H416" s="404"/>
      <c r="I416" s="404"/>
      <c r="J416" s="355"/>
      <c r="K416" s="355"/>
      <c r="L416" s="355"/>
      <c r="M416" s="355"/>
      <c r="N416" s="355"/>
      <c r="O416" s="355"/>
      <c r="P416" s="355"/>
      <c r="Q416" s="355"/>
      <c r="R416" s="355"/>
      <c r="S416" s="355"/>
      <c r="T416" s="355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</row>
    <row r="417" spans="1:34" x14ac:dyDescent="0.2">
      <c r="A417" s="372"/>
      <c r="B417" s="355"/>
      <c r="C417" s="355"/>
      <c r="D417" s="355"/>
      <c r="E417" s="355"/>
      <c r="F417" s="355"/>
      <c r="G417" s="909"/>
      <c r="H417" s="404"/>
      <c r="I417" s="404"/>
      <c r="J417" s="355"/>
      <c r="K417" s="355"/>
      <c r="L417" s="355"/>
      <c r="M417" s="355"/>
      <c r="N417" s="355"/>
      <c r="O417" s="355"/>
      <c r="P417" s="355"/>
      <c r="Q417" s="355"/>
      <c r="R417" s="355"/>
      <c r="S417" s="355"/>
      <c r="T417" s="355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</row>
    <row r="418" spans="1:34" x14ac:dyDescent="0.2">
      <c r="A418" s="372"/>
      <c r="B418" s="355"/>
      <c r="C418" s="355"/>
      <c r="D418" s="355"/>
      <c r="E418" s="355"/>
      <c r="F418" s="355"/>
      <c r="G418" s="909"/>
      <c r="H418" s="404"/>
      <c r="I418" s="404"/>
      <c r="J418" s="355"/>
      <c r="K418" s="355"/>
      <c r="L418" s="355"/>
      <c r="M418" s="355"/>
      <c r="N418" s="355"/>
      <c r="O418" s="355"/>
      <c r="P418" s="355"/>
      <c r="Q418" s="355"/>
      <c r="R418" s="355"/>
      <c r="S418" s="355"/>
      <c r="T418" s="355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</row>
    <row r="419" spans="1:34" x14ac:dyDescent="0.2">
      <c r="A419" s="372"/>
      <c r="B419" s="355"/>
      <c r="C419" s="355"/>
      <c r="D419" s="355"/>
      <c r="E419" s="355"/>
      <c r="F419" s="355"/>
      <c r="G419" s="909"/>
      <c r="H419" s="404"/>
      <c r="I419" s="404"/>
      <c r="J419" s="355"/>
      <c r="K419" s="355"/>
      <c r="L419" s="355"/>
      <c r="M419" s="355"/>
      <c r="N419" s="355"/>
      <c r="O419" s="355"/>
      <c r="P419" s="355"/>
      <c r="Q419" s="355"/>
      <c r="R419" s="355"/>
      <c r="S419" s="355"/>
      <c r="T419" s="355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</row>
    <row r="420" spans="1:34" x14ac:dyDescent="0.2">
      <c r="A420" s="372"/>
      <c r="B420" s="355"/>
      <c r="C420" s="355"/>
      <c r="D420" s="355"/>
      <c r="E420" s="355"/>
      <c r="F420" s="355"/>
      <c r="G420" s="909"/>
      <c r="H420" s="404"/>
      <c r="I420" s="404"/>
      <c r="J420" s="355"/>
      <c r="K420" s="355"/>
      <c r="L420" s="355"/>
      <c r="M420" s="355"/>
      <c r="N420" s="355"/>
      <c r="O420" s="355"/>
      <c r="P420" s="355"/>
      <c r="Q420" s="355"/>
      <c r="R420" s="355"/>
      <c r="S420" s="355"/>
      <c r="T420" s="355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</row>
    <row r="421" spans="1:34" x14ac:dyDescent="0.2">
      <c r="A421" s="372"/>
      <c r="B421" s="355"/>
      <c r="C421" s="355"/>
      <c r="D421" s="355"/>
      <c r="E421" s="355"/>
      <c r="F421" s="355"/>
      <c r="G421" s="909"/>
      <c r="H421" s="404"/>
      <c r="I421" s="404"/>
      <c r="J421" s="355"/>
      <c r="K421" s="355"/>
      <c r="L421" s="355"/>
      <c r="M421" s="355"/>
      <c r="N421" s="355"/>
      <c r="O421" s="355"/>
      <c r="P421" s="355"/>
      <c r="Q421" s="355"/>
      <c r="R421" s="355"/>
      <c r="S421" s="355"/>
      <c r="T421" s="355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</row>
    <row r="422" spans="1:34" x14ac:dyDescent="0.2">
      <c r="A422" s="372"/>
      <c r="B422" s="355"/>
      <c r="C422" s="355"/>
      <c r="D422" s="355"/>
      <c r="E422" s="355"/>
      <c r="F422" s="355"/>
      <c r="G422" s="909"/>
      <c r="H422" s="404"/>
      <c r="I422" s="404"/>
      <c r="J422" s="355"/>
      <c r="K422" s="355"/>
      <c r="L422" s="355"/>
      <c r="M422" s="355"/>
      <c r="N422" s="355"/>
      <c r="O422" s="355"/>
      <c r="P422" s="355"/>
      <c r="Q422" s="355"/>
      <c r="R422" s="355"/>
      <c r="S422" s="355"/>
      <c r="T422" s="355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</row>
    <row r="423" spans="1:34" x14ac:dyDescent="0.2">
      <c r="A423" s="372"/>
      <c r="B423" s="355"/>
      <c r="C423" s="355"/>
      <c r="D423" s="355"/>
      <c r="E423" s="355"/>
      <c r="F423" s="355"/>
      <c r="G423" s="909"/>
      <c r="H423" s="404"/>
      <c r="I423" s="404"/>
      <c r="J423" s="355"/>
      <c r="K423" s="355"/>
      <c r="L423" s="355"/>
      <c r="M423" s="355"/>
      <c r="N423" s="355"/>
      <c r="O423" s="355"/>
      <c r="P423" s="355"/>
      <c r="Q423" s="355"/>
      <c r="R423" s="355"/>
      <c r="S423" s="355"/>
      <c r="T423" s="355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</row>
    <row r="424" spans="1:34" x14ac:dyDescent="0.2">
      <c r="A424" s="372"/>
      <c r="B424" s="355"/>
      <c r="C424" s="355"/>
      <c r="D424" s="355"/>
      <c r="E424" s="355"/>
      <c r="F424" s="355"/>
      <c r="G424" s="909"/>
      <c r="H424" s="404"/>
      <c r="I424" s="404"/>
      <c r="J424" s="355"/>
      <c r="K424" s="355"/>
      <c r="L424" s="355"/>
      <c r="M424" s="355"/>
      <c r="N424" s="355"/>
      <c r="O424" s="355"/>
      <c r="P424" s="355"/>
      <c r="Q424" s="355"/>
      <c r="R424" s="355"/>
      <c r="S424" s="355"/>
      <c r="T424" s="355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</row>
    <row r="425" spans="1:34" x14ac:dyDescent="0.2">
      <c r="A425" s="372"/>
      <c r="B425" s="355"/>
      <c r="C425" s="355"/>
      <c r="D425" s="355"/>
      <c r="E425" s="355"/>
      <c r="F425" s="355"/>
      <c r="G425" s="909"/>
      <c r="H425" s="404"/>
      <c r="I425" s="404"/>
      <c r="J425" s="355"/>
      <c r="K425" s="355"/>
      <c r="L425" s="355"/>
      <c r="M425" s="355"/>
      <c r="N425" s="355"/>
      <c r="O425" s="355"/>
      <c r="P425" s="355"/>
      <c r="Q425" s="355"/>
      <c r="R425" s="355"/>
      <c r="S425" s="355"/>
      <c r="T425" s="355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</row>
    <row r="426" spans="1:34" x14ac:dyDescent="0.2">
      <c r="A426" s="372"/>
      <c r="B426" s="355"/>
      <c r="C426" s="355"/>
      <c r="D426" s="355"/>
      <c r="E426" s="355"/>
      <c r="F426" s="355"/>
      <c r="G426" s="909"/>
      <c r="H426" s="404"/>
      <c r="I426" s="404"/>
      <c r="J426" s="355"/>
      <c r="K426" s="355"/>
      <c r="L426" s="355"/>
      <c r="M426" s="355"/>
      <c r="N426" s="355"/>
      <c r="O426" s="355"/>
      <c r="P426" s="355"/>
      <c r="Q426" s="355"/>
      <c r="R426" s="355"/>
      <c r="S426" s="355"/>
      <c r="T426" s="355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</row>
    <row r="427" spans="1:34" x14ac:dyDescent="0.2">
      <c r="A427" s="372"/>
      <c r="B427" s="355"/>
      <c r="C427" s="355"/>
      <c r="D427" s="355"/>
      <c r="E427" s="355"/>
      <c r="F427" s="355"/>
      <c r="G427" s="909"/>
      <c r="H427" s="404"/>
      <c r="I427" s="404"/>
      <c r="J427" s="355"/>
      <c r="K427" s="355"/>
      <c r="L427" s="355"/>
      <c r="M427" s="355"/>
      <c r="N427" s="355"/>
      <c r="O427" s="355"/>
      <c r="P427" s="355"/>
      <c r="Q427" s="355"/>
      <c r="R427" s="355"/>
      <c r="S427" s="355"/>
      <c r="T427" s="355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</row>
    <row r="428" spans="1:34" x14ac:dyDescent="0.2">
      <c r="A428" s="372"/>
      <c r="B428" s="355"/>
      <c r="C428" s="355"/>
      <c r="D428" s="355"/>
      <c r="E428" s="355"/>
      <c r="F428" s="355"/>
      <c r="G428" s="909"/>
      <c r="H428" s="404"/>
      <c r="I428" s="404"/>
      <c r="J428" s="355"/>
      <c r="K428" s="355"/>
      <c r="L428" s="355"/>
      <c r="M428" s="355"/>
      <c r="N428" s="355"/>
      <c r="O428" s="355"/>
      <c r="P428" s="355"/>
      <c r="Q428" s="355"/>
      <c r="R428" s="355"/>
      <c r="S428" s="355"/>
      <c r="T428" s="355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</row>
    <row r="429" spans="1:34" x14ac:dyDescent="0.2">
      <c r="A429" s="372"/>
      <c r="B429" s="355"/>
      <c r="C429" s="355"/>
      <c r="D429" s="355"/>
      <c r="E429" s="355"/>
      <c r="F429" s="355"/>
      <c r="G429" s="909"/>
      <c r="H429" s="404"/>
      <c r="I429" s="404"/>
      <c r="J429" s="355"/>
      <c r="K429" s="355"/>
      <c r="L429" s="355"/>
      <c r="M429" s="355"/>
      <c r="N429" s="355"/>
      <c r="O429" s="355"/>
      <c r="P429" s="355"/>
      <c r="Q429" s="355"/>
      <c r="R429" s="355"/>
      <c r="S429" s="355"/>
      <c r="T429" s="355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</row>
    <row r="430" spans="1:34" x14ac:dyDescent="0.2">
      <c r="A430" s="372"/>
      <c r="B430" s="355"/>
      <c r="C430" s="355"/>
      <c r="D430" s="355"/>
      <c r="E430" s="355"/>
      <c r="F430" s="355"/>
      <c r="G430" s="909"/>
      <c r="H430" s="404"/>
      <c r="I430" s="404"/>
      <c r="J430" s="355"/>
      <c r="K430" s="355"/>
      <c r="L430" s="355"/>
      <c r="M430" s="355"/>
      <c r="N430" s="355"/>
      <c r="O430" s="355"/>
      <c r="P430" s="355"/>
      <c r="Q430" s="355"/>
      <c r="R430" s="355"/>
      <c r="S430" s="355"/>
      <c r="T430" s="355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</row>
    <row r="431" spans="1:34" x14ac:dyDescent="0.2">
      <c r="A431" s="372"/>
      <c r="B431" s="355"/>
      <c r="C431" s="355"/>
      <c r="D431" s="355"/>
      <c r="E431" s="355"/>
      <c r="F431" s="355"/>
      <c r="G431" s="909"/>
      <c r="H431" s="404"/>
      <c r="I431" s="404"/>
      <c r="J431" s="355"/>
      <c r="K431" s="355"/>
      <c r="L431" s="355"/>
      <c r="M431" s="355"/>
      <c r="N431" s="355"/>
      <c r="O431" s="355"/>
      <c r="P431" s="355"/>
      <c r="Q431" s="355"/>
      <c r="R431" s="355"/>
      <c r="S431" s="355"/>
      <c r="T431" s="355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</row>
    <row r="432" spans="1:34" x14ac:dyDescent="0.2">
      <c r="A432" s="372"/>
      <c r="B432" s="355"/>
      <c r="C432" s="355"/>
      <c r="D432" s="355"/>
      <c r="E432" s="355"/>
      <c r="F432" s="355"/>
      <c r="G432" s="909"/>
      <c r="H432" s="404"/>
      <c r="I432" s="404"/>
      <c r="J432" s="355"/>
      <c r="K432" s="355"/>
      <c r="L432" s="355"/>
      <c r="M432" s="355"/>
      <c r="N432" s="355"/>
      <c r="O432" s="355"/>
      <c r="P432" s="355"/>
      <c r="Q432" s="355"/>
      <c r="R432" s="355"/>
      <c r="S432" s="355"/>
      <c r="T432" s="355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</row>
    <row r="433" spans="1:34" x14ac:dyDescent="0.2">
      <c r="A433" s="372"/>
      <c r="B433" s="355"/>
      <c r="C433" s="355"/>
      <c r="D433" s="355"/>
      <c r="E433" s="355"/>
      <c r="F433" s="355"/>
      <c r="G433" s="909"/>
      <c r="H433" s="404"/>
      <c r="I433" s="404"/>
      <c r="J433" s="355"/>
      <c r="K433" s="355"/>
      <c r="L433" s="355"/>
      <c r="M433" s="355"/>
      <c r="N433" s="355"/>
      <c r="O433" s="355"/>
      <c r="P433" s="355"/>
      <c r="Q433" s="355"/>
      <c r="R433" s="355"/>
      <c r="S433" s="355"/>
      <c r="T433" s="355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</row>
    <row r="434" spans="1:34" x14ac:dyDescent="0.2">
      <c r="A434" s="372"/>
      <c r="B434" s="355"/>
      <c r="C434" s="355"/>
      <c r="D434" s="355"/>
      <c r="E434" s="355"/>
      <c r="F434" s="355"/>
      <c r="G434" s="909"/>
      <c r="H434" s="404"/>
      <c r="I434" s="404"/>
      <c r="J434" s="355"/>
      <c r="K434" s="355"/>
      <c r="L434" s="355"/>
      <c r="M434" s="355"/>
      <c r="N434" s="355"/>
      <c r="O434" s="355"/>
      <c r="P434" s="355"/>
      <c r="Q434" s="355"/>
      <c r="R434" s="355"/>
      <c r="S434" s="355"/>
      <c r="T434" s="355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</row>
    <row r="435" spans="1:34" x14ac:dyDescent="0.2">
      <c r="A435" s="372"/>
      <c r="B435" s="355"/>
      <c r="C435" s="355"/>
      <c r="D435" s="355"/>
      <c r="E435" s="355"/>
      <c r="F435" s="355"/>
      <c r="G435" s="909"/>
      <c r="H435" s="404"/>
      <c r="I435" s="404"/>
      <c r="J435" s="355"/>
      <c r="K435" s="355"/>
      <c r="L435" s="355"/>
      <c r="M435" s="355"/>
      <c r="N435" s="355"/>
      <c r="O435" s="355"/>
      <c r="P435" s="355"/>
      <c r="Q435" s="355"/>
      <c r="R435" s="355"/>
      <c r="S435" s="355"/>
      <c r="T435" s="355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</row>
    <row r="436" spans="1:34" x14ac:dyDescent="0.2">
      <c r="A436" s="372"/>
      <c r="B436" s="355"/>
      <c r="C436" s="355"/>
      <c r="D436" s="355"/>
      <c r="E436" s="355"/>
      <c r="F436" s="355"/>
      <c r="G436" s="909"/>
      <c r="H436" s="404"/>
      <c r="I436" s="404"/>
      <c r="J436" s="355"/>
      <c r="K436" s="355"/>
      <c r="L436" s="355"/>
      <c r="M436" s="355"/>
      <c r="N436" s="355"/>
      <c r="O436" s="355"/>
      <c r="P436" s="355"/>
      <c r="Q436" s="355"/>
      <c r="R436" s="355"/>
      <c r="S436" s="355"/>
      <c r="T436" s="355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</row>
    <row r="437" spans="1:34" x14ac:dyDescent="0.2">
      <c r="A437" s="372"/>
      <c r="B437" s="355"/>
      <c r="C437" s="355"/>
      <c r="D437" s="355"/>
      <c r="E437" s="355"/>
      <c r="F437" s="355"/>
      <c r="G437" s="909"/>
      <c r="H437" s="404"/>
      <c r="I437" s="404"/>
      <c r="J437" s="355"/>
      <c r="K437" s="355"/>
      <c r="L437" s="355"/>
      <c r="M437" s="355"/>
      <c r="N437" s="355"/>
      <c r="O437" s="355"/>
      <c r="P437" s="355"/>
      <c r="Q437" s="355"/>
      <c r="R437" s="355"/>
      <c r="S437" s="355"/>
      <c r="T437" s="355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</row>
    <row r="438" spans="1:34" x14ac:dyDescent="0.2">
      <c r="A438" s="372"/>
      <c r="B438" s="355"/>
      <c r="C438" s="355"/>
      <c r="D438" s="355"/>
      <c r="E438" s="355"/>
      <c r="F438" s="355"/>
      <c r="G438" s="909"/>
      <c r="H438" s="404"/>
      <c r="I438" s="404"/>
      <c r="J438" s="355"/>
      <c r="K438" s="355"/>
      <c r="L438" s="355"/>
      <c r="M438" s="355"/>
      <c r="N438" s="355"/>
      <c r="O438" s="355"/>
      <c r="P438" s="355"/>
      <c r="Q438" s="355"/>
      <c r="R438" s="355"/>
      <c r="S438" s="355"/>
      <c r="T438" s="355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</row>
    <row r="439" spans="1:34" x14ac:dyDescent="0.2">
      <c r="A439" s="372"/>
      <c r="B439" s="355"/>
      <c r="C439" s="355"/>
      <c r="D439" s="355"/>
      <c r="E439" s="355"/>
      <c r="F439" s="355"/>
      <c r="G439" s="909"/>
      <c r="H439" s="404"/>
      <c r="I439" s="404"/>
      <c r="J439" s="355"/>
      <c r="K439" s="355"/>
      <c r="L439" s="355"/>
      <c r="M439" s="355"/>
      <c r="N439" s="355"/>
      <c r="O439" s="355"/>
      <c r="P439" s="355"/>
      <c r="Q439" s="355"/>
      <c r="R439" s="355"/>
      <c r="S439" s="355"/>
      <c r="T439" s="355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</row>
    <row r="440" spans="1:34" x14ac:dyDescent="0.2">
      <c r="A440" s="372"/>
      <c r="B440" s="355"/>
      <c r="C440" s="355"/>
      <c r="D440" s="355"/>
      <c r="E440" s="355"/>
      <c r="F440" s="355"/>
      <c r="G440" s="909"/>
      <c r="H440" s="404"/>
      <c r="I440" s="404"/>
      <c r="J440" s="355"/>
      <c r="K440" s="355"/>
      <c r="L440" s="355"/>
      <c r="M440" s="355"/>
      <c r="N440" s="355"/>
      <c r="O440" s="355"/>
      <c r="P440" s="355"/>
      <c r="Q440" s="355"/>
      <c r="R440" s="355"/>
      <c r="S440" s="355"/>
      <c r="T440" s="355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</row>
    <row r="441" spans="1:34" x14ac:dyDescent="0.2">
      <c r="A441" s="372"/>
      <c r="B441" s="355"/>
      <c r="C441" s="355"/>
      <c r="D441" s="355"/>
      <c r="E441" s="355"/>
      <c r="F441" s="355"/>
      <c r="G441" s="909"/>
      <c r="H441" s="404"/>
      <c r="I441" s="404"/>
      <c r="J441" s="355"/>
      <c r="K441" s="355"/>
      <c r="L441" s="355"/>
      <c r="M441" s="355"/>
      <c r="N441" s="355"/>
      <c r="O441" s="355"/>
      <c r="P441" s="355"/>
      <c r="Q441" s="355"/>
      <c r="R441" s="355"/>
      <c r="S441" s="355"/>
      <c r="T441" s="355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</row>
    <row r="442" spans="1:34" x14ac:dyDescent="0.2">
      <c r="A442" s="372"/>
      <c r="B442" s="355"/>
      <c r="C442" s="355"/>
      <c r="D442" s="355"/>
      <c r="E442" s="355"/>
      <c r="F442" s="355"/>
      <c r="G442" s="909"/>
      <c r="H442" s="404"/>
      <c r="I442" s="404"/>
      <c r="J442" s="355"/>
      <c r="K442" s="355"/>
      <c r="L442" s="355"/>
      <c r="M442" s="355"/>
      <c r="N442" s="355"/>
      <c r="O442" s="355"/>
      <c r="P442" s="355"/>
      <c r="Q442" s="355"/>
      <c r="R442" s="355"/>
      <c r="S442" s="355"/>
      <c r="T442" s="355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</row>
    <row r="443" spans="1:34" x14ac:dyDescent="0.2">
      <c r="A443" s="372"/>
      <c r="B443" s="355"/>
      <c r="C443" s="355"/>
      <c r="D443" s="355"/>
      <c r="E443" s="355"/>
      <c r="F443" s="355"/>
      <c r="G443" s="909"/>
      <c r="H443" s="404"/>
      <c r="I443" s="404"/>
      <c r="J443" s="355"/>
      <c r="K443" s="355"/>
      <c r="L443" s="355"/>
      <c r="M443" s="355"/>
      <c r="N443" s="355"/>
      <c r="O443" s="355"/>
      <c r="P443" s="355"/>
      <c r="Q443" s="355"/>
      <c r="R443" s="355"/>
      <c r="S443" s="355"/>
      <c r="T443" s="355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</row>
    <row r="444" spans="1:34" x14ac:dyDescent="0.2">
      <c r="A444" s="372"/>
      <c r="B444" s="355"/>
      <c r="C444" s="355"/>
      <c r="D444" s="355"/>
      <c r="E444" s="355"/>
      <c r="F444" s="355"/>
      <c r="G444" s="909"/>
      <c r="H444" s="404"/>
      <c r="I444" s="404"/>
      <c r="J444" s="355"/>
      <c r="K444" s="355"/>
      <c r="L444" s="355"/>
      <c r="M444" s="355"/>
      <c r="N444" s="355"/>
      <c r="O444" s="355"/>
      <c r="P444" s="355"/>
      <c r="Q444" s="355"/>
      <c r="R444" s="355"/>
      <c r="S444" s="355"/>
      <c r="T444" s="355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</row>
    <row r="445" spans="1:34" x14ac:dyDescent="0.2">
      <c r="A445" s="372"/>
      <c r="B445" s="355"/>
      <c r="C445" s="355"/>
      <c r="D445" s="355"/>
      <c r="E445" s="355"/>
      <c r="F445" s="355"/>
      <c r="G445" s="909"/>
      <c r="H445" s="404"/>
      <c r="I445" s="404"/>
      <c r="J445" s="355"/>
      <c r="K445" s="355"/>
      <c r="L445" s="355"/>
      <c r="M445" s="355"/>
      <c r="N445" s="355"/>
      <c r="O445" s="355"/>
      <c r="P445" s="355"/>
      <c r="Q445" s="355"/>
      <c r="R445" s="355"/>
      <c r="S445" s="355"/>
      <c r="T445" s="355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</row>
    <row r="446" spans="1:34" x14ac:dyDescent="0.2">
      <c r="A446" s="372"/>
      <c r="B446" s="355"/>
      <c r="C446" s="355"/>
      <c r="D446" s="355"/>
      <c r="E446" s="355"/>
      <c r="F446" s="355"/>
      <c r="G446" s="909"/>
      <c r="H446" s="404"/>
      <c r="I446" s="404"/>
      <c r="J446" s="355"/>
      <c r="K446" s="355"/>
      <c r="L446" s="355"/>
      <c r="M446" s="355"/>
      <c r="N446" s="355"/>
      <c r="O446" s="355"/>
      <c r="P446" s="355"/>
      <c r="Q446" s="355"/>
      <c r="R446" s="355"/>
      <c r="S446" s="355"/>
      <c r="T446" s="355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</row>
    <row r="447" spans="1:34" x14ac:dyDescent="0.2">
      <c r="A447" s="372"/>
      <c r="B447" s="355"/>
      <c r="C447" s="355"/>
      <c r="D447" s="355"/>
      <c r="E447" s="355"/>
      <c r="F447" s="355"/>
      <c r="G447" s="909"/>
      <c r="H447" s="404"/>
      <c r="I447" s="404"/>
      <c r="J447" s="355"/>
      <c r="K447" s="355"/>
      <c r="L447" s="355"/>
      <c r="M447" s="355"/>
      <c r="N447" s="355"/>
      <c r="O447" s="355"/>
      <c r="P447" s="355"/>
      <c r="Q447" s="355"/>
      <c r="R447" s="355"/>
      <c r="S447" s="355"/>
      <c r="T447" s="355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</row>
    <row r="448" spans="1:34" x14ac:dyDescent="0.2">
      <c r="A448" s="372"/>
      <c r="B448" s="355"/>
      <c r="C448" s="355"/>
      <c r="D448" s="355"/>
      <c r="E448" s="355"/>
      <c r="F448" s="355"/>
      <c r="G448" s="909"/>
      <c r="H448" s="404"/>
      <c r="I448" s="404"/>
      <c r="J448" s="355"/>
      <c r="K448" s="355"/>
      <c r="L448" s="355"/>
      <c r="M448" s="355"/>
      <c r="N448" s="355"/>
      <c r="O448" s="355"/>
      <c r="P448" s="355"/>
      <c r="Q448" s="355"/>
      <c r="R448" s="355"/>
      <c r="S448" s="355"/>
      <c r="T448" s="355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</row>
    <row r="449" spans="1:34" x14ac:dyDescent="0.2">
      <c r="A449" s="372"/>
      <c r="B449" s="355"/>
      <c r="C449" s="355"/>
      <c r="D449" s="355"/>
      <c r="E449" s="355"/>
      <c r="F449" s="355"/>
      <c r="G449" s="909"/>
      <c r="H449" s="404"/>
      <c r="I449" s="404"/>
      <c r="J449" s="355"/>
      <c r="K449" s="355"/>
      <c r="L449" s="355"/>
      <c r="M449" s="355"/>
      <c r="N449" s="355"/>
      <c r="O449" s="355"/>
      <c r="P449" s="355"/>
      <c r="Q449" s="355"/>
      <c r="R449" s="355"/>
      <c r="S449" s="355"/>
      <c r="T449" s="355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</row>
    <row r="450" spans="1:34" x14ac:dyDescent="0.2">
      <c r="A450" s="372"/>
      <c r="B450" s="355"/>
      <c r="C450" s="355"/>
      <c r="D450" s="355"/>
      <c r="E450" s="355"/>
      <c r="F450" s="355"/>
      <c r="G450" s="909"/>
      <c r="H450" s="404"/>
      <c r="I450" s="404"/>
      <c r="J450" s="355"/>
      <c r="K450" s="355"/>
      <c r="L450" s="355"/>
      <c r="M450" s="355"/>
      <c r="N450" s="355"/>
      <c r="O450" s="355"/>
      <c r="P450" s="355"/>
      <c r="Q450" s="355"/>
      <c r="R450" s="355"/>
      <c r="S450" s="355"/>
      <c r="T450" s="355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</row>
    <row r="451" spans="1:34" x14ac:dyDescent="0.2">
      <c r="A451" s="372"/>
      <c r="B451" s="355"/>
      <c r="C451" s="355"/>
      <c r="D451" s="355"/>
      <c r="E451" s="355"/>
      <c r="F451" s="355"/>
      <c r="G451" s="909"/>
      <c r="H451" s="404"/>
      <c r="I451" s="404"/>
      <c r="J451" s="355"/>
      <c r="K451" s="355"/>
      <c r="L451" s="355"/>
      <c r="M451" s="355"/>
      <c r="N451" s="355"/>
      <c r="O451" s="355"/>
      <c r="P451" s="355"/>
      <c r="Q451" s="355"/>
      <c r="R451" s="355"/>
      <c r="S451" s="355"/>
      <c r="T451" s="355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</row>
    <row r="452" spans="1:34" x14ac:dyDescent="0.2">
      <c r="A452" s="372"/>
      <c r="B452" s="355"/>
      <c r="C452" s="355"/>
      <c r="D452" s="355"/>
      <c r="E452" s="355"/>
      <c r="F452" s="355"/>
      <c r="G452" s="909"/>
      <c r="H452" s="404"/>
      <c r="I452" s="404"/>
      <c r="J452" s="355"/>
      <c r="K452" s="355"/>
      <c r="L452" s="355"/>
      <c r="M452" s="355"/>
      <c r="N452" s="355"/>
      <c r="O452" s="355"/>
      <c r="P452" s="355"/>
      <c r="Q452" s="355"/>
      <c r="R452" s="355"/>
      <c r="S452" s="355"/>
      <c r="T452" s="355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</row>
    <row r="453" spans="1:34" x14ac:dyDescent="0.2">
      <c r="A453" s="372"/>
      <c r="B453" s="355"/>
      <c r="C453" s="355"/>
      <c r="D453" s="355"/>
      <c r="E453" s="355"/>
      <c r="F453" s="355"/>
      <c r="G453" s="909"/>
      <c r="H453" s="404"/>
      <c r="I453" s="404"/>
      <c r="J453" s="355"/>
      <c r="K453" s="355"/>
      <c r="L453" s="355"/>
      <c r="M453" s="355"/>
      <c r="N453" s="355"/>
      <c r="O453" s="355"/>
      <c r="P453" s="355"/>
      <c r="Q453" s="355"/>
      <c r="R453" s="355"/>
      <c r="S453" s="355"/>
      <c r="T453" s="355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</row>
    <row r="454" spans="1:34" x14ac:dyDescent="0.2">
      <c r="A454" s="372"/>
      <c r="B454" s="355"/>
      <c r="C454" s="355"/>
      <c r="D454" s="355"/>
      <c r="E454" s="355"/>
      <c r="F454" s="355"/>
      <c r="G454" s="909"/>
      <c r="H454" s="404"/>
      <c r="I454" s="404"/>
      <c r="J454" s="355"/>
      <c r="K454" s="355"/>
      <c r="L454" s="355"/>
      <c r="M454" s="355"/>
      <c r="N454" s="355"/>
      <c r="O454" s="355"/>
      <c r="P454" s="355"/>
      <c r="Q454" s="355"/>
      <c r="R454" s="355"/>
      <c r="S454" s="355"/>
      <c r="T454" s="355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</row>
    <row r="455" spans="1:34" x14ac:dyDescent="0.2">
      <c r="A455" s="372"/>
      <c r="B455" s="355"/>
      <c r="C455" s="355"/>
      <c r="D455" s="355"/>
      <c r="E455" s="355"/>
      <c r="F455" s="355"/>
      <c r="G455" s="909"/>
      <c r="H455" s="404"/>
      <c r="I455" s="404"/>
      <c r="J455" s="355"/>
      <c r="K455" s="355"/>
      <c r="L455" s="355"/>
      <c r="M455" s="355"/>
      <c r="N455" s="355"/>
      <c r="O455" s="355"/>
      <c r="P455" s="355"/>
      <c r="Q455" s="355"/>
      <c r="R455" s="355"/>
      <c r="S455" s="355"/>
      <c r="T455" s="355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</row>
    <row r="456" spans="1:34" x14ac:dyDescent="0.2">
      <c r="A456" s="372"/>
      <c r="B456" s="355"/>
      <c r="C456" s="355"/>
      <c r="D456" s="355"/>
      <c r="E456" s="355"/>
      <c r="F456" s="355"/>
      <c r="G456" s="909"/>
      <c r="H456" s="404"/>
      <c r="I456" s="404"/>
      <c r="J456" s="355"/>
      <c r="K456" s="355"/>
      <c r="L456" s="355"/>
      <c r="M456" s="355"/>
      <c r="N456" s="355"/>
      <c r="O456" s="355"/>
      <c r="P456" s="355"/>
      <c r="Q456" s="355"/>
      <c r="R456" s="355"/>
      <c r="S456" s="355"/>
      <c r="T456" s="355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</row>
    <row r="457" spans="1:34" x14ac:dyDescent="0.2">
      <c r="A457" s="372"/>
      <c r="B457" s="355"/>
      <c r="C457" s="355"/>
      <c r="D457" s="355"/>
      <c r="E457" s="355"/>
      <c r="F457" s="355"/>
      <c r="G457" s="909"/>
      <c r="H457" s="404"/>
      <c r="I457" s="404"/>
      <c r="J457" s="355"/>
      <c r="K457" s="355"/>
      <c r="L457" s="355"/>
      <c r="M457" s="355"/>
      <c r="N457" s="355"/>
      <c r="O457" s="355"/>
      <c r="P457" s="355"/>
      <c r="Q457" s="355"/>
      <c r="R457" s="355"/>
      <c r="S457" s="355"/>
      <c r="T457" s="355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</row>
    <row r="458" spans="1:34" x14ac:dyDescent="0.2">
      <c r="A458" s="372"/>
      <c r="B458" s="355"/>
      <c r="C458" s="355"/>
      <c r="D458" s="355"/>
      <c r="E458" s="355"/>
      <c r="F458" s="355"/>
      <c r="G458" s="909"/>
      <c r="H458" s="404"/>
      <c r="I458" s="404"/>
      <c r="J458" s="355"/>
      <c r="K458" s="355"/>
      <c r="L458" s="355"/>
      <c r="M458" s="355"/>
      <c r="N458" s="355"/>
      <c r="O458" s="355"/>
      <c r="P458" s="355"/>
      <c r="Q458" s="355"/>
      <c r="R458" s="355"/>
      <c r="S458" s="355"/>
      <c r="T458" s="355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</row>
    <row r="459" spans="1:34" x14ac:dyDescent="0.2">
      <c r="A459" s="372"/>
      <c r="B459" s="355"/>
      <c r="C459" s="355"/>
      <c r="D459" s="355"/>
      <c r="E459" s="355"/>
      <c r="F459" s="355"/>
      <c r="G459" s="909"/>
      <c r="H459" s="404"/>
      <c r="I459" s="404"/>
      <c r="J459" s="355"/>
      <c r="K459" s="355"/>
      <c r="L459" s="355"/>
      <c r="M459" s="355"/>
      <c r="N459" s="355"/>
      <c r="O459" s="355"/>
      <c r="P459" s="355"/>
      <c r="Q459" s="355"/>
      <c r="R459" s="355"/>
      <c r="S459" s="355"/>
      <c r="T459" s="355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</row>
    <row r="460" spans="1:34" x14ac:dyDescent="0.2">
      <c r="A460" s="372"/>
      <c r="B460" s="355"/>
      <c r="C460" s="355"/>
      <c r="D460" s="355"/>
      <c r="E460" s="355"/>
      <c r="F460" s="355"/>
      <c r="G460" s="909"/>
      <c r="H460" s="404"/>
      <c r="I460" s="404"/>
      <c r="J460" s="355"/>
      <c r="K460" s="355"/>
      <c r="L460" s="355"/>
      <c r="M460" s="355"/>
      <c r="N460" s="355"/>
      <c r="O460" s="355"/>
      <c r="P460" s="355"/>
      <c r="Q460" s="355"/>
      <c r="R460" s="355"/>
      <c r="S460" s="355"/>
      <c r="T460" s="355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</row>
    <row r="461" spans="1:34" x14ac:dyDescent="0.2">
      <c r="A461" s="372"/>
      <c r="B461" s="355"/>
      <c r="C461" s="355"/>
      <c r="D461" s="355"/>
      <c r="E461" s="355"/>
      <c r="F461" s="355"/>
      <c r="G461" s="909"/>
      <c r="H461" s="404"/>
      <c r="I461" s="404"/>
      <c r="J461" s="355"/>
      <c r="K461" s="355"/>
      <c r="L461" s="355"/>
      <c r="M461" s="355"/>
      <c r="N461" s="355"/>
      <c r="O461" s="355"/>
      <c r="P461" s="355"/>
      <c r="Q461" s="355"/>
      <c r="R461" s="355"/>
      <c r="S461" s="355"/>
      <c r="T461" s="355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</row>
    <row r="462" spans="1:34" x14ac:dyDescent="0.2">
      <c r="A462" s="372"/>
      <c r="B462" s="355"/>
      <c r="C462" s="355"/>
      <c r="D462" s="355"/>
      <c r="E462" s="355"/>
      <c r="F462" s="355"/>
      <c r="G462" s="909"/>
      <c r="H462" s="404"/>
      <c r="I462" s="404"/>
      <c r="J462" s="355"/>
      <c r="K462" s="355"/>
      <c r="L462" s="355"/>
      <c r="M462" s="355"/>
      <c r="N462" s="355"/>
      <c r="O462" s="355"/>
      <c r="P462" s="355"/>
      <c r="Q462" s="355"/>
      <c r="R462" s="355"/>
      <c r="S462" s="355"/>
      <c r="T462" s="355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</row>
    <row r="463" spans="1:34" x14ac:dyDescent="0.2">
      <c r="A463" s="372"/>
      <c r="B463" s="355"/>
      <c r="C463" s="355"/>
      <c r="D463" s="355"/>
      <c r="E463" s="355"/>
      <c r="F463" s="355"/>
      <c r="G463" s="909"/>
      <c r="H463" s="404"/>
      <c r="I463" s="404"/>
      <c r="J463" s="355"/>
      <c r="K463" s="355"/>
      <c r="L463" s="355"/>
      <c r="M463" s="355"/>
      <c r="N463" s="355"/>
      <c r="O463" s="355"/>
      <c r="P463" s="355"/>
      <c r="Q463" s="355"/>
      <c r="R463" s="355"/>
      <c r="S463" s="355"/>
      <c r="T463" s="355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</row>
    <row r="464" spans="1:34" x14ac:dyDescent="0.2">
      <c r="A464" s="372"/>
      <c r="B464" s="355"/>
      <c r="C464" s="355"/>
      <c r="D464" s="355"/>
      <c r="E464" s="355"/>
      <c r="F464" s="355"/>
      <c r="G464" s="909"/>
      <c r="H464" s="404"/>
      <c r="I464" s="404"/>
      <c r="J464" s="355"/>
      <c r="K464" s="355"/>
      <c r="L464" s="355"/>
      <c r="M464" s="355"/>
      <c r="N464" s="355"/>
      <c r="O464" s="355"/>
      <c r="P464" s="355"/>
      <c r="Q464" s="355"/>
      <c r="R464" s="355"/>
      <c r="S464" s="355"/>
      <c r="T464" s="355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</row>
    <row r="465" spans="1:34" x14ac:dyDescent="0.2">
      <c r="A465" s="372"/>
      <c r="B465" s="355"/>
      <c r="C465" s="355"/>
      <c r="D465" s="355"/>
      <c r="E465" s="355"/>
      <c r="F465" s="355"/>
      <c r="G465" s="909"/>
      <c r="H465" s="404"/>
      <c r="I465" s="404"/>
      <c r="J465" s="355"/>
      <c r="K465" s="355"/>
      <c r="L465" s="355"/>
      <c r="M465" s="355"/>
      <c r="N465" s="355"/>
      <c r="O465" s="355"/>
      <c r="P465" s="355"/>
      <c r="Q465" s="355"/>
      <c r="R465" s="355"/>
      <c r="S465" s="355"/>
      <c r="T465" s="355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</row>
    <row r="466" spans="1:34" x14ac:dyDescent="0.2">
      <c r="A466" s="372"/>
      <c r="B466" s="355"/>
      <c r="C466" s="355"/>
      <c r="D466" s="355"/>
      <c r="E466" s="355"/>
      <c r="F466" s="355"/>
      <c r="G466" s="909"/>
      <c r="H466" s="404"/>
      <c r="I466" s="404"/>
      <c r="J466" s="355"/>
      <c r="K466" s="355"/>
      <c r="L466" s="355"/>
      <c r="M466" s="355"/>
      <c r="N466" s="355"/>
      <c r="O466" s="355"/>
      <c r="P466" s="355"/>
      <c r="Q466" s="355"/>
      <c r="R466" s="355"/>
      <c r="S466" s="355"/>
      <c r="T466" s="355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</row>
    <row r="467" spans="1:34" x14ac:dyDescent="0.2">
      <c r="A467" s="372"/>
      <c r="B467" s="355"/>
      <c r="C467" s="355"/>
      <c r="D467" s="355"/>
      <c r="E467" s="355"/>
      <c r="F467" s="355"/>
      <c r="G467" s="909"/>
      <c r="H467" s="404"/>
      <c r="I467" s="404"/>
      <c r="J467" s="355"/>
      <c r="K467" s="355"/>
      <c r="L467" s="355"/>
      <c r="M467" s="355"/>
      <c r="N467" s="355"/>
      <c r="O467" s="355"/>
      <c r="P467" s="355"/>
      <c r="Q467" s="355"/>
      <c r="R467" s="355"/>
      <c r="S467" s="355"/>
      <c r="T467" s="355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</row>
    <row r="468" spans="1:34" x14ac:dyDescent="0.2">
      <c r="A468" s="372"/>
      <c r="B468" s="355"/>
      <c r="C468" s="355"/>
      <c r="D468" s="355"/>
      <c r="E468" s="355"/>
      <c r="F468" s="355"/>
      <c r="G468" s="909"/>
      <c r="H468" s="404"/>
      <c r="I468" s="404"/>
      <c r="J468" s="355"/>
      <c r="K468" s="355"/>
      <c r="L468" s="355"/>
      <c r="M468" s="355"/>
      <c r="N468" s="355"/>
      <c r="O468" s="355"/>
      <c r="P468" s="355"/>
      <c r="Q468" s="355"/>
      <c r="R468" s="355"/>
      <c r="S468" s="355"/>
      <c r="T468" s="355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</row>
    <row r="469" spans="1:34" x14ac:dyDescent="0.2">
      <c r="A469" s="372"/>
      <c r="B469" s="355"/>
      <c r="C469" s="355"/>
      <c r="D469" s="355"/>
      <c r="E469" s="355"/>
      <c r="F469" s="355"/>
      <c r="G469" s="909"/>
      <c r="H469" s="404"/>
      <c r="I469" s="404"/>
      <c r="J469" s="355"/>
      <c r="K469" s="355"/>
      <c r="L469" s="355"/>
      <c r="M469" s="355"/>
      <c r="N469" s="355"/>
      <c r="O469" s="355"/>
      <c r="P469" s="355"/>
      <c r="Q469" s="355"/>
      <c r="R469" s="355"/>
      <c r="S469" s="355"/>
      <c r="T469" s="355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</row>
    <row r="470" spans="1:34" x14ac:dyDescent="0.2">
      <c r="A470" s="372"/>
      <c r="B470" s="355"/>
      <c r="C470" s="355"/>
      <c r="D470" s="355"/>
      <c r="E470" s="355"/>
      <c r="F470" s="355"/>
      <c r="G470" s="909"/>
      <c r="H470" s="404"/>
      <c r="I470" s="404"/>
      <c r="J470" s="355"/>
      <c r="K470" s="355"/>
      <c r="L470" s="355"/>
      <c r="M470" s="355"/>
      <c r="N470" s="355"/>
      <c r="O470" s="355"/>
      <c r="P470" s="355"/>
      <c r="Q470" s="355"/>
      <c r="R470" s="355"/>
      <c r="S470" s="355"/>
      <c r="T470" s="355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</row>
    <row r="471" spans="1:34" x14ac:dyDescent="0.2">
      <c r="A471" s="372"/>
      <c r="B471" s="355"/>
      <c r="C471" s="355"/>
      <c r="D471" s="355"/>
      <c r="E471" s="355"/>
      <c r="F471" s="355"/>
      <c r="G471" s="909"/>
      <c r="H471" s="404"/>
      <c r="I471" s="404"/>
      <c r="J471" s="355"/>
      <c r="K471" s="355"/>
      <c r="L471" s="355"/>
      <c r="M471" s="355"/>
      <c r="N471" s="355"/>
      <c r="O471" s="355"/>
      <c r="P471" s="355"/>
      <c r="Q471" s="355"/>
      <c r="R471" s="355"/>
      <c r="S471" s="355"/>
      <c r="T471" s="355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</row>
    <row r="472" spans="1:34" x14ac:dyDescent="0.2">
      <c r="A472" s="372"/>
      <c r="B472" s="355"/>
      <c r="C472" s="355"/>
      <c r="D472" s="355"/>
      <c r="E472" s="355"/>
      <c r="F472" s="355"/>
      <c r="G472" s="909"/>
      <c r="H472" s="404"/>
      <c r="I472" s="404"/>
      <c r="J472" s="355"/>
      <c r="K472" s="355"/>
      <c r="L472" s="355"/>
      <c r="M472" s="355"/>
      <c r="N472" s="355"/>
      <c r="O472" s="355"/>
      <c r="P472" s="355"/>
      <c r="Q472" s="355"/>
      <c r="R472" s="355"/>
      <c r="S472" s="355"/>
      <c r="T472" s="355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</row>
    <row r="473" spans="1:34" x14ac:dyDescent="0.2">
      <c r="A473" s="372"/>
      <c r="B473" s="355"/>
      <c r="C473" s="355"/>
      <c r="D473" s="355"/>
      <c r="E473" s="355"/>
      <c r="F473" s="355"/>
      <c r="G473" s="909"/>
      <c r="H473" s="404"/>
      <c r="I473" s="404"/>
      <c r="J473" s="355"/>
      <c r="K473" s="355"/>
      <c r="L473" s="355"/>
      <c r="M473" s="355"/>
      <c r="N473" s="355"/>
      <c r="O473" s="355"/>
      <c r="P473" s="355"/>
      <c r="Q473" s="355"/>
      <c r="R473" s="355"/>
      <c r="S473" s="355"/>
      <c r="T473" s="355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</row>
    <row r="474" spans="1:34" x14ac:dyDescent="0.2">
      <c r="A474" s="372"/>
      <c r="B474" s="355"/>
      <c r="C474" s="355"/>
      <c r="D474" s="355"/>
      <c r="E474" s="355"/>
      <c r="F474" s="355"/>
      <c r="G474" s="909"/>
      <c r="H474" s="404"/>
      <c r="I474" s="404"/>
      <c r="J474" s="355"/>
      <c r="K474" s="355"/>
      <c r="L474" s="355"/>
      <c r="M474" s="355"/>
      <c r="N474" s="355"/>
      <c r="O474" s="355"/>
      <c r="P474" s="355"/>
      <c r="Q474" s="355"/>
      <c r="R474" s="355"/>
      <c r="S474" s="355"/>
      <c r="T474" s="355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</row>
    <row r="475" spans="1:34" x14ac:dyDescent="0.2">
      <c r="A475" s="372"/>
      <c r="B475" s="355"/>
      <c r="C475" s="355"/>
      <c r="D475" s="355"/>
      <c r="E475" s="355"/>
      <c r="F475" s="355"/>
      <c r="G475" s="909"/>
      <c r="H475" s="404"/>
      <c r="I475" s="404"/>
      <c r="J475" s="355"/>
      <c r="K475" s="355"/>
      <c r="L475" s="355"/>
      <c r="M475" s="355"/>
      <c r="N475" s="355"/>
      <c r="O475" s="355"/>
      <c r="P475" s="355"/>
      <c r="Q475" s="355"/>
      <c r="R475" s="355"/>
      <c r="S475" s="355"/>
      <c r="T475" s="355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</row>
    <row r="476" spans="1:34" x14ac:dyDescent="0.2">
      <c r="A476" s="372"/>
      <c r="B476" s="355"/>
      <c r="C476" s="355"/>
      <c r="D476" s="355"/>
      <c r="E476" s="355"/>
      <c r="F476" s="355"/>
      <c r="G476" s="909"/>
      <c r="H476" s="404"/>
      <c r="I476" s="404"/>
      <c r="J476" s="355"/>
      <c r="K476" s="355"/>
      <c r="L476" s="355"/>
      <c r="M476" s="355"/>
      <c r="N476" s="355"/>
      <c r="O476" s="355"/>
      <c r="P476" s="355"/>
      <c r="Q476" s="355"/>
      <c r="R476" s="355"/>
      <c r="S476" s="355"/>
      <c r="T476" s="355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</row>
    <row r="477" spans="1:34" x14ac:dyDescent="0.2">
      <c r="A477" s="372"/>
      <c r="B477" s="355"/>
      <c r="C477" s="355"/>
      <c r="D477" s="355"/>
      <c r="E477" s="355"/>
      <c r="F477" s="355"/>
      <c r="G477" s="909"/>
      <c r="H477" s="404"/>
      <c r="I477" s="404"/>
      <c r="J477" s="355"/>
      <c r="K477" s="355"/>
      <c r="L477" s="355"/>
      <c r="M477" s="355"/>
      <c r="N477" s="355"/>
      <c r="O477" s="355"/>
      <c r="P477" s="355"/>
      <c r="Q477" s="355"/>
      <c r="R477" s="355"/>
      <c r="S477" s="355"/>
      <c r="T477" s="355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</row>
    <row r="478" spans="1:34" x14ac:dyDescent="0.2">
      <c r="A478" s="372"/>
      <c r="B478" s="355"/>
      <c r="C478" s="355"/>
      <c r="D478" s="355"/>
      <c r="E478" s="355"/>
      <c r="F478" s="355"/>
      <c r="G478" s="909"/>
      <c r="H478" s="404"/>
      <c r="I478" s="404"/>
      <c r="J478" s="355"/>
      <c r="K478" s="355"/>
      <c r="L478" s="355"/>
      <c r="M478" s="355"/>
      <c r="N478" s="355"/>
      <c r="O478" s="355"/>
      <c r="P478" s="355"/>
      <c r="Q478" s="355"/>
      <c r="R478" s="355"/>
      <c r="S478" s="355"/>
      <c r="T478" s="355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</row>
    <row r="479" spans="1:34" x14ac:dyDescent="0.2">
      <c r="A479" s="372"/>
      <c r="B479" s="355"/>
      <c r="C479" s="355"/>
      <c r="D479" s="355"/>
      <c r="E479" s="355"/>
      <c r="F479" s="355"/>
      <c r="G479" s="909"/>
      <c r="H479" s="404"/>
      <c r="I479" s="404"/>
      <c r="J479" s="355"/>
      <c r="K479" s="355"/>
      <c r="L479" s="355"/>
      <c r="M479" s="355"/>
      <c r="N479" s="355"/>
      <c r="O479" s="355"/>
      <c r="P479" s="355"/>
      <c r="Q479" s="355"/>
      <c r="R479" s="355"/>
      <c r="S479" s="355"/>
      <c r="T479" s="355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</row>
    <row r="480" spans="1:34" x14ac:dyDescent="0.2">
      <c r="A480" s="372"/>
      <c r="B480" s="355"/>
      <c r="C480" s="355"/>
      <c r="D480" s="355"/>
      <c r="E480" s="355"/>
      <c r="F480" s="355"/>
      <c r="G480" s="909"/>
      <c r="H480" s="404"/>
      <c r="I480" s="404"/>
      <c r="J480" s="355"/>
      <c r="K480" s="355"/>
      <c r="L480" s="355"/>
      <c r="M480" s="355"/>
      <c r="N480" s="355"/>
      <c r="O480" s="355"/>
      <c r="P480" s="355"/>
      <c r="Q480" s="355"/>
      <c r="R480" s="355"/>
      <c r="S480" s="355"/>
      <c r="T480" s="355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</row>
    <row r="481" spans="1:34" x14ac:dyDescent="0.2">
      <c r="A481" s="372"/>
      <c r="B481" s="355"/>
      <c r="C481" s="355"/>
      <c r="D481" s="355"/>
      <c r="E481" s="355"/>
      <c r="F481" s="355"/>
      <c r="G481" s="909"/>
      <c r="H481" s="404"/>
      <c r="I481" s="404"/>
      <c r="J481" s="355"/>
      <c r="K481" s="355"/>
      <c r="L481" s="355"/>
      <c r="M481" s="355"/>
      <c r="N481" s="355"/>
      <c r="O481" s="355"/>
      <c r="P481" s="355"/>
      <c r="Q481" s="355"/>
      <c r="R481" s="355"/>
      <c r="S481" s="355"/>
      <c r="T481" s="355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</row>
    <row r="482" spans="1:34" x14ac:dyDescent="0.2">
      <c r="A482" s="372"/>
      <c r="B482" s="355"/>
      <c r="C482" s="355"/>
      <c r="D482" s="355"/>
      <c r="E482" s="355"/>
      <c r="F482" s="355"/>
      <c r="G482" s="909"/>
      <c r="H482" s="404"/>
      <c r="I482" s="404"/>
      <c r="J482" s="355"/>
      <c r="K482" s="355"/>
      <c r="L482" s="355"/>
      <c r="M482" s="355"/>
      <c r="N482" s="355"/>
      <c r="O482" s="355"/>
      <c r="P482" s="355"/>
      <c r="Q482" s="355"/>
      <c r="R482" s="355"/>
      <c r="S482" s="355"/>
      <c r="T482" s="355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</row>
    <row r="483" spans="1:34" x14ac:dyDescent="0.2">
      <c r="A483" s="372"/>
      <c r="B483" s="355"/>
      <c r="C483" s="355"/>
      <c r="D483" s="355"/>
      <c r="E483" s="355"/>
      <c r="F483" s="355"/>
      <c r="G483" s="909"/>
      <c r="H483" s="404"/>
      <c r="I483" s="404"/>
      <c r="J483" s="355"/>
      <c r="K483" s="355"/>
      <c r="L483" s="355"/>
      <c r="M483" s="355"/>
      <c r="N483" s="355"/>
      <c r="O483" s="355"/>
      <c r="P483" s="355"/>
      <c r="Q483" s="355"/>
      <c r="R483" s="355"/>
      <c r="S483" s="355"/>
      <c r="T483" s="355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</row>
    <row r="484" spans="1:34" x14ac:dyDescent="0.2">
      <c r="A484" s="372"/>
      <c r="B484" s="355"/>
      <c r="C484" s="355"/>
      <c r="D484" s="355"/>
      <c r="E484" s="355"/>
      <c r="F484" s="355"/>
      <c r="G484" s="909"/>
      <c r="H484" s="404"/>
      <c r="I484" s="404"/>
      <c r="J484" s="355"/>
      <c r="K484" s="355"/>
      <c r="L484" s="355"/>
      <c r="M484" s="355"/>
      <c r="N484" s="355"/>
      <c r="O484" s="355"/>
      <c r="P484" s="355"/>
      <c r="Q484" s="355"/>
      <c r="R484" s="355"/>
      <c r="S484" s="355"/>
      <c r="T484" s="355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</row>
    <row r="485" spans="1:34" x14ac:dyDescent="0.2">
      <c r="A485" s="372"/>
      <c r="B485" s="355"/>
      <c r="C485" s="355"/>
      <c r="D485" s="355"/>
      <c r="E485" s="355"/>
      <c r="F485" s="355"/>
      <c r="G485" s="909"/>
      <c r="H485" s="404"/>
      <c r="I485" s="404"/>
      <c r="J485" s="355"/>
      <c r="K485" s="355"/>
      <c r="L485" s="355"/>
      <c r="M485" s="355"/>
      <c r="N485" s="355"/>
      <c r="O485" s="355"/>
      <c r="P485" s="355"/>
      <c r="Q485" s="355"/>
      <c r="R485" s="355"/>
      <c r="S485" s="355"/>
      <c r="T485" s="355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</row>
    <row r="486" spans="1:34" x14ac:dyDescent="0.2">
      <c r="A486" s="372"/>
      <c r="B486" s="355"/>
      <c r="C486" s="355"/>
      <c r="D486" s="355"/>
      <c r="E486" s="355"/>
      <c r="F486" s="355"/>
      <c r="G486" s="909"/>
      <c r="H486" s="404"/>
      <c r="I486" s="404"/>
      <c r="J486" s="355"/>
      <c r="K486" s="355"/>
      <c r="L486" s="355"/>
      <c r="M486" s="355"/>
      <c r="N486" s="355"/>
      <c r="O486" s="355"/>
      <c r="P486" s="355"/>
      <c r="Q486" s="355"/>
      <c r="R486" s="355"/>
      <c r="S486" s="355"/>
      <c r="T486" s="355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</row>
    <row r="487" spans="1:34" x14ac:dyDescent="0.2">
      <c r="A487" s="372"/>
      <c r="B487" s="355"/>
      <c r="C487" s="355"/>
      <c r="D487" s="355"/>
      <c r="E487" s="355"/>
      <c r="F487" s="355"/>
      <c r="G487" s="909"/>
      <c r="H487" s="404"/>
      <c r="I487" s="404"/>
      <c r="J487" s="355"/>
      <c r="K487" s="355"/>
      <c r="L487" s="355"/>
      <c r="M487" s="355"/>
      <c r="N487" s="355"/>
      <c r="O487" s="355"/>
      <c r="P487" s="355"/>
      <c r="Q487" s="355"/>
      <c r="R487" s="355"/>
      <c r="S487" s="355"/>
      <c r="T487" s="355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</row>
    <row r="488" spans="1:34" x14ac:dyDescent="0.2">
      <c r="A488" s="372"/>
      <c r="B488" s="355"/>
      <c r="C488" s="355"/>
      <c r="D488" s="355"/>
      <c r="E488" s="355"/>
      <c r="F488" s="355"/>
      <c r="G488" s="909"/>
      <c r="H488" s="404"/>
      <c r="I488" s="404"/>
      <c r="J488" s="355"/>
      <c r="K488" s="355"/>
      <c r="L488" s="355"/>
      <c r="M488" s="355"/>
      <c r="N488" s="355"/>
      <c r="O488" s="355"/>
      <c r="P488" s="355"/>
      <c r="Q488" s="355"/>
      <c r="R488" s="355"/>
      <c r="S488" s="355"/>
      <c r="T488" s="355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</row>
    <row r="489" spans="1:34" x14ac:dyDescent="0.2">
      <c r="A489" s="372"/>
      <c r="B489" s="355"/>
      <c r="C489" s="355"/>
      <c r="D489" s="355"/>
      <c r="E489" s="355"/>
      <c r="F489" s="355"/>
      <c r="G489" s="909"/>
      <c r="H489" s="404"/>
      <c r="I489" s="404"/>
      <c r="J489" s="355"/>
      <c r="K489" s="355"/>
      <c r="L489" s="355"/>
      <c r="M489" s="355"/>
      <c r="N489" s="355"/>
      <c r="O489" s="355"/>
      <c r="P489" s="355"/>
      <c r="Q489" s="355"/>
      <c r="R489" s="355"/>
      <c r="S489" s="355"/>
      <c r="T489" s="355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</row>
    <row r="490" spans="1:34" x14ac:dyDescent="0.2">
      <c r="A490" s="372"/>
      <c r="B490" s="355"/>
      <c r="C490" s="355"/>
      <c r="D490" s="355"/>
      <c r="E490" s="355"/>
      <c r="F490" s="355"/>
      <c r="G490" s="909"/>
      <c r="H490" s="404"/>
      <c r="I490" s="404"/>
      <c r="J490" s="355"/>
      <c r="K490" s="355"/>
      <c r="L490" s="355"/>
      <c r="M490" s="355"/>
      <c r="N490" s="355"/>
      <c r="O490" s="355"/>
      <c r="P490" s="355"/>
      <c r="Q490" s="355"/>
      <c r="R490" s="355"/>
      <c r="S490" s="355"/>
      <c r="T490" s="355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</row>
    <row r="491" spans="1:34" x14ac:dyDescent="0.2">
      <c r="A491" s="372"/>
      <c r="B491" s="355"/>
      <c r="C491" s="355"/>
      <c r="D491" s="355"/>
      <c r="E491" s="355"/>
      <c r="F491" s="355"/>
      <c r="G491" s="909"/>
      <c r="H491" s="404"/>
      <c r="I491" s="404"/>
      <c r="J491" s="355"/>
      <c r="K491" s="355"/>
      <c r="L491" s="355"/>
      <c r="M491" s="355"/>
      <c r="N491" s="355"/>
      <c r="O491" s="355"/>
      <c r="P491" s="355"/>
      <c r="Q491" s="355"/>
      <c r="R491" s="355"/>
      <c r="S491" s="355"/>
      <c r="T491" s="355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</row>
    <row r="492" spans="1:34" x14ac:dyDescent="0.2">
      <c r="A492" s="372"/>
      <c r="B492" s="355"/>
      <c r="C492" s="355"/>
      <c r="D492" s="355"/>
      <c r="E492" s="355"/>
      <c r="F492" s="355"/>
      <c r="G492" s="909"/>
      <c r="H492" s="404"/>
      <c r="I492" s="404"/>
      <c r="J492" s="355"/>
      <c r="K492" s="355"/>
      <c r="L492" s="355"/>
      <c r="M492" s="355"/>
      <c r="N492" s="355"/>
      <c r="O492" s="355"/>
      <c r="P492" s="355"/>
      <c r="Q492" s="355"/>
      <c r="R492" s="355"/>
      <c r="S492" s="355"/>
      <c r="T492" s="355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</row>
    <row r="493" spans="1:34" x14ac:dyDescent="0.2">
      <c r="A493" s="372"/>
      <c r="B493" s="355"/>
      <c r="C493" s="355"/>
      <c r="D493" s="355"/>
      <c r="E493" s="355"/>
      <c r="F493" s="355"/>
      <c r="G493" s="909"/>
      <c r="H493" s="404"/>
      <c r="I493" s="404"/>
      <c r="J493" s="355"/>
      <c r="K493" s="355"/>
      <c r="L493" s="355"/>
      <c r="M493" s="355"/>
      <c r="N493" s="355"/>
      <c r="O493" s="355"/>
      <c r="P493" s="355"/>
      <c r="Q493" s="355"/>
      <c r="R493" s="355"/>
      <c r="S493" s="355"/>
      <c r="T493" s="355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</row>
    <row r="494" spans="1:34" x14ac:dyDescent="0.2">
      <c r="A494" s="372"/>
      <c r="B494" s="355"/>
      <c r="C494" s="355"/>
      <c r="D494" s="355"/>
      <c r="E494" s="355"/>
      <c r="F494" s="355"/>
      <c r="G494" s="909"/>
      <c r="H494" s="404"/>
      <c r="I494" s="404"/>
      <c r="J494" s="355"/>
      <c r="K494" s="355"/>
      <c r="L494" s="355"/>
      <c r="M494" s="355"/>
      <c r="N494" s="355"/>
      <c r="O494" s="355"/>
      <c r="P494" s="355"/>
      <c r="Q494" s="355"/>
      <c r="R494" s="355"/>
      <c r="S494" s="355"/>
      <c r="T494" s="355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</row>
    <row r="495" spans="1:34" x14ac:dyDescent="0.2">
      <c r="A495" s="372"/>
      <c r="B495" s="355"/>
      <c r="C495" s="355"/>
      <c r="D495" s="355"/>
      <c r="E495" s="355"/>
      <c r="F495" s="355"/>
      <c r="G495" s="909"/>
      <c r="H495" s="404"/>
      <c r="I495" s="404"/>
      <c r="J495" s="355"/>
      <c r="K495" s="355"/>
      <c r="L495" s="355"/>
      <c r="M495" s="355"/>
      <c r="N495" s="355"/>
      <c r="O495" s="355"/>
      <c r="P495" s="355"/>
      <c r="Q495" s="355"/>
      <c r="R495" s="355"/>
      <c r="S495" s="355"/>
      <c r="T495" s="355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</row>
    <row r="496" spans="1:34" x14ac:dyDescent="0.2">
      <c r="A496" s="372"/>
      <c r="B496" s="355"/>
      <c r="C496" s="355"/>
      <c r="D496" s="355"/>
      <c r="E496" s="355"/>
      <c r="F496" s="355"/>
      <c r="G496" s="909"/>
      <c r="H496" s="404"/>
      <c r="I496" s="404"/>
      <c r="J496" s="355"/>
      <c r="K496" s="355"/>
      <c r="L496" s="355"/>
      <c r="M496" s="355"/>
      <c r="N496" s="355"/>
      <c r="O496" s="355"/>
      <c r="P496" s="355"/>
      <c r="Q496" s="355"/>
      <c r="R496" s="355"/>
      <c r="S496" s="355"/>
      <c r="T496" s="355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</row>
    <row r="497" spans="1:34" x14ac:dyDescent="0.2">
      <c r="A497" s="372"/>
      <c r="B497" s="355"/>
      <c r="C497" s="355"/>
      <c r="D497" s="355"/>
      <c r="E497" s="355"/>
      <c r="F497" s="355"/>
      <c r="G497" s="909"/>
      <c r="H497" s="404"/>
      <c r="I497" s="404"/>
      <c r="J497" s="355"/>
      <c r="K497" s="355"/>
      <c r="L497" s="355"/>
      <c r="M497" s="355"/>
      <c r="N497" s="355"/>
      <c r="O497" s="355"/>
      <c r="P497" s="355"/>
      <c r="Q497" s="355"/>
      <c r="R497" s="355"/>
      <c r="S497" s="355"/>
      <c r="T497" s="355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</row>
    <row r="498" spans="1:34" x14ac:dyDescent="0.2">
      <c r="A498" s="372"/>
      <c r="B498" s="355"/>
      <c r="C498" s="355"/>
      <c r="D498" s="355"/>
      <c r="E498" s="355"/>
      <c r="F498" s="355"/>
      <c r="G498" s="909"/>
      <c r="H498" s="404"/>
      <c r="I498" s="404"/>
      <c r="J498" s="355"/>
      <c r="K498" s="355"/>
      <c r="L498" s="355"/>
      <c r="M498" s="355"/>
      <c r="N498" s="355"/>
      <c r="O498" s="355"/>
      <c r="P498" s="355"/>
      <c r="Q498" s="355"/>
      <c r="R498" s="355"/>
      <c r="S498" s="355"/>
      <c r="T498" s="355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</row>
    <row r="499" spans="1:34" x14ac:dyDescent="0.2">
      <c r="A499" s="372"/>
      <c r="B499" s="355"/>
      <c r="C499" s="355"/>
      <c r="D499" s="355"/>
      <c r="E499" s="355"/>
      <c r="F499" s="355"/>
      <c r="G499" s="909"/>
      <c r="H499" s="404"/>
      <c r="I499" s="404"/>
      <c r="J499" s="355"/>
      <c r="K499" s="355"/>
      <c r="L499" s="355"/>
      <c r="M499" s="355"/>
      <c r="N499" s="355"/>
      <c r="O499" s="355"/>
      <c r="P499" s="355"/>
      <c r="Q499" s="355"/>
      <c r="R499" s="355"/>
      <c r="S499" s="355"/>
      <c r="T499" s="355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</row>
    <row r="500" spans="1:34" x14ac:dyDescent="0.2">
      <c r="A500" s="372"/>
      <c r="B500" s="355"/>
      <c r="C500" s="355"/>
      <c r="D500" s="355"/>
      <c r="E500" s="355"/>
      <c r="F500" s="355"/>
      <c r="G500" s="909"/>
      <c r="H500" s="404"/>
      <c r="I500" s="404"/>
      <c r="J500" s="355"/>
      <c r="K500" s="355"/>
      <c r="L500" s="355"/>
      <c r="M500" s="355"/>
      <c r="N500" s="355"/>
      <c r="O500" s="355"/>
      <c r="P500" s="355"/>
      <c r="Q500" s="355"/>
      <c r="R500" s="355"/>
      <c r="S500" s="355"/>
      <c r="T500" s="355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</row>
    <row r="501" spans="1:34" x14ac:dyDescent="0.2">
      <c r="A501" s="372"/>
      <c r="B501" s="355"/>
      <c r="C501" s="355"/>
      <c r="D501" s="355"/>
      <c r="E501" s="355"/>
      <c r="F501" s="355"/>
      <c r="G501" s="909"/>
      <c r="H501" s="404"/>
      <c r="I501" s="404"/>
      <c r="J501" s="355"/>
      <c r="K501" s="355"/>
      <c r="L501" s="355"/>
      <c r="M501" s="355"/>
      <c r="N501" s="355"/>
      <c r="O501" s="355"/>
      <c r="P501" s="355"/>
      <c r="Q501" s="355"/>
      <c r="R501" s="355"/>
      <c r="S501" s="355"/>
      <c r="T501" s="355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</row>
    <row r="502" spans="1:34" x14ac:dyDescent="0.2">
      <c r="A502" s="372"/>
      <c r="B502" s="355"/>
      <c r="C502" s="355"/>
      <c r="D502" s="355"/>
      <c r="E502" s="355"/>
      <c r="F502" s="355"/>
      <c r="G502" s="909"/>
      <c r="H502" s="404"/>
      <c r="I502" s="404"/>
      <c r="J502" s="355"/>
      <c r="K502" s="355"/>
      <c r="L502" s="355"/>
      <c r="M502" s="355"/>
      <c r="N502" s="355"/>
      <c r="O502" s="355"/>
      <c r="P502" s="355"/>
      <c r="Q502" s="355"/>
      <c r="R502" s="355"/>
      <c r="S502" s="355"/>
      <c r="T502" s="355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</row>
    <row r="503" spans="1:34" x14ac:dyDescent="0.2">
      <c r="A503" s="372"/>
      <c r="B503" s="355"/>
      <c r="C503" s="355"/>
      <c r="D503" s="355"/>
      <c r="E503" s="355"/>
      <c r="F503" s="355"/>
      <c r="G503" s="909"/>
      <c r="H503" s="404"/>
      <c r="I503" s="404"/>
      <c r="J503" s="355"/>
      <c r="K503" s="355"/>
      <c r="L503" s="355"/>
      <c r="M503" s="355"/>
      <c r="N503" s="355"/>
      <c r="O503" s="355"/>
      <c r="P503" s="355"/>
      <c r="Q503" s="355"/>
      <c r="R503" s="355"/>
      <c r="S503" s="355"/>
      <c r="T503" s="355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</row>
    <row r="504" spans="1:34" x14ac:dyDescent="0.2">
      <c r="A504" s="372"/>
      <c r="B504" s="355"/>
      <c r="C504" s="355"/>
      <c r="D504" s="355"/>
      <c r="E504" s="355"/>
      <c r="F504" s="355"/>
      <c r="G504" s="909"/>
      <c r="H504" s="404"/>
      <c r="I504" s="404"/>
      <c r="J504" s="355"/>
      <c r="K504" s="355"/>
      <c r="L504" s="355"/>
      <c r="M504" s="355"/>
      <c r="N504" s="355"/>
      <c r="O504" s="355"/>
      <c r="P504" s="355"/>
      <c r="Q504" s="355"/>
      <c r="R504" s="355"/>
      <c r="S504" s="355"/>
      <c r="T504" s="355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</row>
    <row r="505" spans="1:34" x14ac:dyDescent="0.2">
      <c r="A505" s="372"/>
      <c r="B505" s="355"/>
      <c r="C505" s="355"/>
      <c r="D505" s="355"/>
      <c r="E505" s="355"/>
      <c r="F505" s="355"/>
      <c r="G505" s="909"/>
      <c r="H505" s="404"/>
      <c r="I505" s="404"/>
      <c r="J505" s="355"/>
      <c r="K505" s="355"/>
      <c r="L505" s="355"/>
      <c r="M505" s="355"/>
      <c r="N505" s="355"/>
      <c r="O505" s="355"/>
      <c r="P505" s="355"/>
      <c r="Q505" s="355"/>
      <c r="R505" s="355"/>
      <c r="S505" s="355"/>
      <c r="T505" s="355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</row>
    <row r="506" spans="1:34" x14ac:dyDescent="0.2">
      <c r="A506" s="372"/>
      <c r="B506" s="355"/>
      <c r="C506" s="355"/>
      <c r="D506" s="355"/>
      <c r="E506" s="355"/>
      <c r="F506" s="355"/>
      <c r="G506" s="909"/>
      <c r="H506" s="404"/>
      <c r="I506" s="404"/>
      <c r="J506" s="355"/>
      <c r="K506" s="355"/>
      <c r="L506" s="355"/>
      <c r="M506" s="355"/>
      <c r="N506" s="355"/>
      <c r="O506" s="355"/>
      <c r="P506" s="355"/>
      <c r="Q506" s="355"/>
      <c r="R506" s="355"/>
      <c r="S506" s="355"/>
      <c r="T506" s="355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</row>
    <row r="507" spans="1:34" x14ac:dyDescent="0.2">
      <c r="A507" s="372"/>
      <c r="B507" s="355"/>
      <c r="C507" s="355"/>
      <c r="D507" s="355"/>
      <c r="E507" s="355"/>
      <c r="F507" s="355"/>
      <c r="G507" s="909"/>
      <c r="H507" s="404"/>
      <c r="I507" s="404"/>
      <c r="J507" s="355"/>
      <c r="K507" s="355"/>
      <c r="L507" s="355"/>
      <c r="M507" s="355"/>
      <c r="N507" s="355"/>
      <c r="O507" s="355"/>
      <c r="P507" s="355"/>
      <c r="Q507" s="355"/>
      <c r="R507" s="355"/>
      <c r="S507" s="355"/>
      <c r="T507" s="355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</row>
    <row r="508" spans="1:34" x14ac:dyDescent="0.2">
      <c r="A508" s="372"/>
      <c r="B508" s="355"/>
      <c r="C508" s="355"/>
      <c r="D508" s="355"/>
      <c r="E508" s="355"/>
      <c r="F508" s="355"/>
      <c r="G508" s="909"/>
      <c r="H508" s="404"/>
      <c r="I508" s="404"/>
      <c r="J508" s="355"/>
      <c r="K508" s="355"/>
      <c r="L508" s="355"/>
      <c r="M508" s="355"/>
      <c r="N508" s="355"/>
      <c r="O508" s="355"/>
      <c r="P508" s="355"/>
      <c r="Q508" s="355"/>
      <c r="R508" s="355"/>
      <c r="S508" s="355"/>
      <c r="T508" s="355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</row>
    <row r="509" spans="1:34" x14ac:dyDescent="0.2">
      <c r="A509" s="372"/>
      <c r="B509" s="355"/>
      <c r="C509" s="355"/>
      <c r="D509" s="355"/>
      <c r="E509" s="355"/>
      <c r="F509" s="355"/>
      <c r="G509" s="909"/>
      <c r="H509" s="404"/>
      <c r="I509" s="404"/>
      <c r="J509" s="355"/>
      <c r="K509" s="355"/>
      <c r="L509" s="355"/>
      <c r="M509" s="355"/>
      <c r="N509" s="355"/>
      <c r="O509" s="355"/>
      <c r="P509" s="355"/>
      <c r="Q509" s="355"/>
      <c r="R509" s="355"/>
      <c r="S509" s="355"/>
      <c r="T509" s="355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</row>
    <row r="510" spans="1:34" x14ac:dyDescent="0.2">
      <c r="A510" s="372"/>
      <c r="B510" s="355"/>
      <c r="C510" s="355"/>
      <c r="D510" s="355"/>
      <c r="E510" s="355"/>
      <c r="F510" s="355"/>
      <c r="G510" s="909"/>
      <c r="H510" s="404"/>
      <c r="I510" s="404"/>
      <c r="J510" s="355"/>
      <c r="K510" s="355"/>
      <c r="L510" s="355"/>
      <c r="M510" s="355"/>
      <c r="N510" s="355"/>
      <c r="O510" s="355"/>
      <c r="P510" s="355"/>
      <c r="Q510" s="355"/>
      <c r="R510" s="355"/>
      <c r="S510" s="355"/>
      <c r="T510" s="355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</row>
    <row r="511" spans="1:34" x14ac:dyDescent="0.2">
      <c r="A511" s="372"/>
      <c r="B511" s="355"/>
      <c r="C511" s="355"/>
      <c r="D511" s="355"/>
      <c r="E511" s="355"/>
      <c r="F511" s="355"/>
      <c r="G511" s="909"/>
      <c r="H511" s="404"/>
      <c r="I511" s="404"/>
      <c r="J511" s="355"/>
      <c r="K511" s="355"/>
      <c r="L511" s="355"/>
      <c r="M511" s="355"/>
      <c r="N511" s="355"/>
      <c r="O511" s="355"/>
      <c r="P511" s="355"/>
      <c r="Q511" s="355"/>
      <c r="R511" s="355"/>
      <c r="S511" s="355"/>
      <c r="T511" s="355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</row>
    <row r="512" spans="1:34" x14ac:dyDescent="0.2">
      <c r="A512" s="372"/>
      <c r="B512" s="355"/>
      <c r="C512" s="355"/>
      <c r="D512" s="355"/>
      <c r="E512" s="355"/>
      <c r="F512" s="355"/>
      <c r="G512" s="909"/>
      <c r="H512" s="404"/>
      <c r="I512" s="404"/>
      <c r="J512" s="355"/>
      <c r="K512" s="355"/>
      <c r="L512" s="355"/>
      <c r="M512" s="355"/>
      <c r="N512" s="355"/>
      <c r="O512" s="355"/>
      <c r="P512" s="355"/>
      <c r="Q512" s="355"/>
      <c r="R512" s="355"/>
      <c r="S512" s="355"/>
      <c r="T512" s="355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</row>
    <row r="513" spans="1:34" x14ac:dyDescent="0.2">
      <c r="A513" s="372"/>
      <c r="B513" s="355"/>
      <c r="C513" s="355"/>
      <c r="D513" s="355"/>
      <c r="E513" s="355"/>
      <c r="F513" s="355"/>
      <c r="G513" s="909"/>
      <c r="H513" s="404"/>
      <c r="I513" s="404"/>
      <c r="J513" s="355"/>
      <c r="K513" s="355"/>
      <c r="L513" s="355"/>
      <c r="M513" s="355"/>
      <c r="N513" s="355"/>
      <c r="O513" s="355"/>
      <c r="P513" s="355"/>
      <c r="Q513" s="355"/>
      <c r="R513" s="355"/>
      <c r="S513" s="355"/>
      <c r="T513" s="355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</row>
    <row r="514" spans="1:34" x14ac:dyDescent="0.2">
      <c r="A514" s="372"/>
      <c r="B514" s="355"/>
      <c r="C514" s="355"/>
      <c r="D514" s="355"/>
      <c r="E514" s="355"/>
      <c r="F514" s="355"/>
      <c r="G514" s="909"/>
      <c r="H514" s="404"/>
      <c r="I514" s="404"/>
      <c r="J514" s="355"/>
      <c r="K514" s="355"/>
      <c r="L514" s="355"/>
      <c r="M514" s="355"/>
      <c r="N514" s="355"/>
      <c r="O514" s="355"/>
      <c r="P514" s="355"/>
      <c r="Q514" s="355"/>
      <c r="R514" s="355"/>
      <c r="S514" s="355"/>
      <c r="T514" s="355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</row>
    <row r="515" spans="1:34" x14ac:dyDescent="0.2">
      <c r="A515" s="372"/>
      <c r="B515" s="355"/>
      <c r="C515" s="355"/>
      <c r="D515" s="355"/>
      <c r="E515" s="355"/>
      <c r="F515" s="355"/>
      <c r="G515" s="909"/>
      <c r="H515" s="404"/>
      <c r="I515" s="404"/>
      <c r="J515" s="355"/>
      <c r="K515" s="355"/>
      <c r="L515" s="355"/>
      <c r="M515" s="355"/>
      <c r="N515" s="355"/>
      <c r="O515" s="355"/>
      <c r="P515" s="355"/>
      <c r="Q515" s="355"/>
      <c r="R515" s="355"/>
      <c r="S515" s="355"/>
      <c r="T515" s="355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</row>
    <row r="516" spans="1:34" x14ac:dyDescent="0.2">
      <c r="A516" s="372"/>
      <c r="B516" s="355"/>
      <c r="C516" s="355"/>
      <c r="D516" s="355"/>
      <c r="E516" s="355"/>
      <c r="F516" s="355"/>
      <c r="G516" s="909"/>
      <c r="H516" s="404"/>
      <c r="I516" s="404"/>
      <c r="J516" s="355"/>
      <c r="K516" s="355"/>
      <c r="L516" s="355"/>
      <c r="M516" s="355"/>
      <c r="N516" s="355"/>
      <c r="O516" s="355"/>
      <c r="P516" s="355"/>
      <c r="Q516" s="355"/>
      <c r="R516" s="355"/>
      <c r="S516" s="355"/>
      <c r="T516" s="355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</row>
    <row r="517" spans="1:34" x14ac:dyDescent="0.2">
      <c r="A517" s="372"/>
      <c r="B517" s="355"/>
      <c r="C517" s="355"/>
      <c r="D517" s="355"/>
      <c r="E517" s="355"/>
      <c r="F517" s="355"/>
      <c r="G517" s="909"/>
      <c r="H517" s="404"/>
      <c r="I517" s="404"/>
      <c r="J517" s="355"/>
      <c r="K517" s="355"/>
      <c r="L517" s="355"/>
      <c r="M517" s="355"/>
      <c r="N517" s="355"/>
      <c r="O517" s="355"/>
      <c r="P517" s="355"/>
      <c r="Q517" s="355"/>
      <c r="R517" s="355"/>
      <c r="S517" s="355"/>
      <c r="T517" s="355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</row>
    <row r="518" spans="1:34" x14ac:dyDescent="0.2">
      <c r="A518" s="372"/>
      <c r="B518" s="355"/>
      <c r="C518" s="355"/>
      <c r="D518" s="355"/>
      <c r="E518" s="355"/>
      <c r="F518" s="355"/>
      <c r="G518" s="909"/>
      <c r="H518" s="404"/>
      <c r="I518" s="404"/>
      <c r="J518" s="355"/>
      <c r="K518" s="355"/>
      <c r="L518" s="355"/>
      <c r="M518" s="355"/>
      <c r="N518" s="355"/>
      <c r="O518" s="355"/>
      <c r="P518" s="355"/>
      <c r="Q518" s="355"/>
      <c r="R518" s="355"/>
      <c r="S518" s="355"/>
      <c r="T518" s="355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</row>
    <row r="519" spans="1:34" x14ac:dyDescent="0.2">
      <c r="A519" s="372"/>
      <c r="B519" s="355"/>
      <c r="C519" s="355"/>
      <c r="D519" s="355"/>
      <c r="E519" s="355"/>
      <c r="F519" s="355"/>
      <c r="G519" s="909"/>
      <c r="H519" s="404"/>
      <c r="I519" s="404"/>
      <c r="J519" s="355"/>
      <c r="K519" s="355"/>
      <c r="L519" s="355"/>
      <c r="M519" s="355"/>
      <c r="N519" s="355"/>
      <c r="O519" s="355"/>
      <c r="P519" s="355"/>
      <c r="Q519" s="355"/>
      <c r="R519" s="355"/>
      <c r="S519" s="355"/>
      <c r="T519" s="355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</row>
    <row r="520" spans="1:34" x14ac:dyDescent="0.2">
      <c r="A520" s="372"/>
      <c r="B520" s="355"/>
      <c r="C520" s="355"/>
      <c r="D520" s="355"/>
      <c r="E520" s="355"/>
      <c r="F520" s="355"/>
      <c r="G520" s="909"/>
      <c r="H520" s="404"/>
      <c r="I520" s="404"/>
      <c r="J520" s="355"/>
      <c r="K520" s="355"/>
      <c r="L520" s="355"/>
      <c r="M520" s="355"/>
      <c r="N520" s="355"/>
      <c r="O520" s="355"/>
      <c r="P520" s="355"/>
      <c r="Q520" s="355"/>
      <c r="R520" s="355"/>
      <c r="S520" s="355"/>
      <c r="T520" s="355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</row>
    <row r="521" spans="1:34" x14ac:dyDescent="0.2">
      <c r="A521" s="372"/>
      <c r="B521" s="355"/>
      <c r="C521" s="355"/>
      <c r="D521" s="355"/>
      <c r="E521" s="355"/>
      <c r="F521" s="355"/>
      <c r="G521" s="909"/>
      <c r="H521" s="404"/>
      <c r="I521" s="404"/>
      <c r="J521" s="355"/>
      <c r="K521" s="355"/>
      <c r="L521" s="355"/>
      <c r="M521" s="355"/>
      <c r="N521" s="355"/>
      <c r="O521" s="355"/>
      <c r="P521" s="355"/>
      <c r="Q521" s="355"/>
      <c r="R521" s="355"/>
      <c r="S521" s="355"/>
      <c r="T521" s="355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</row>
    <row r="522" spans="1:34" x14ac:dyDescent="0.2">
      <c r="A522" s="372"/>
      <c r="B522" s="355"/>
      <c r="C522" s="355"/>
      <c r="D522" s="355"/>
      <c r="E522" s="355"/>
      <c r="F522" s="355"/>
      <c r="G522" s="909"/>
      <c r="H522" s="404"/>
      <c r="I522" s="404"/>
      <c r="J522" s="355"/>
      <c r="K522" s="355"/>
      <c r="L522" s="355"/>
      <c r="M522" s="355"/>
      <c r="N522" s="355"/>
      <c r="O522" s="355"/>
      <c r="P522" s="355"/>
      <c r="Q522" s="355"/>
      <c r="R522" s="355"/>
      <c r="S522" s="355"/>
      <c r="T522" s="355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</row>
    <row r="523" spans="1:34" x14ac:dyDescent="0.2">
      <c r="A523" s="372"/>
      <c r="B523" s="355"/>
      <c r="C523" s="355"/>
      <c r="D523" s="355"/>
      <c r="E523" s="355"/>
      <c r="F523" s="355"/>
      <c r="G523" s="909"/>
      <c r="H523" s="404"/>
      <c r="I523" s="404"/>
      <c r="J523" s="355"/>
      <c r="K523" s="355"/>
      <c r="L523" s="355"/>
      <c r="M523" s="355"/>
      <c r="N523" s="355"/>
      <c r="O523" s="355"/>
      <c r="P523" s="355"/>
      <c r="Q523" s="355"/>
      <c r="R523" s="355"/>
      <c r="S523" s="355"/>
      <c r="T523" s="355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</row>
    <row r="524" spans="1:34" x14ac:dyDescent="0.2">
      <c r="A524" s="889"/>
      <c r="B524" s="377"/>
      <c r="C524" s="377"/>
      <c r="D524" s="377"/>
      <c r="E524" s="377"/>
      <c r="F524" s="377"/>
      <c r="G524" s="913"/>
      <c r="H524" s="408"/>
      <c r="I524" s="408"/>
      <c r="J524" s="377"/>
      <c r="K524" s="377"/>
      <c r="L524" s="377"/>
      <c r="M524" s="377"/>
      <c r="N524" s="377"/>
      <c r="O524" s="377"/>
      <c r="P524" s="377"/>
      <c r="Q524" s="377"/>
      <c r="R524" s="377"/>
      <c r="S524" s="377"/>
      <c r="T524" s="377"/>
    </row>
    <row r="525" spans="1:34" x14ac:dyDescent="0.2">
      <c r="A525" s="889"/>
      <c r="B525" s="377"/>
      <c r="C525" s="377"/>
      <c r="D525" s="377"/>
      <c r="E525" s="377"/>
      <c r="F525" s="377"/>
      <c r="G525" s="913"/>
      <c r="H525" s="408"/>
      <c r="I525" s="408"/>
      <c r="J525" s="377"/>
      <c r="K525" s="377"/>
      <c r="L525" s="377"/>
      <c r="M525" s="377"/>
      <c r="N525" s="377"/>
      <c r="O525" s="377"/>
      <c r="P525" s="377"/>
      <c r="Q525" s="377"/>
      <c r="R525" s="377"/>
      <c r="S525" s="377"/>
      <c r="T525" s="377"/>
    </row>
    <row r="526" spans="1:34" x14ac:dyDescent="0.2">
      <c r="A526" s="889"/>
      <c r="B526" s="377"/>
      <c r="C526" s="377"/>
      <c r="D526" s="377"/>
      <c r="E526" s="377"/>
      <c r="F526" s="377"/>
      <c r="G526" s="913"/>
      <c r="H526" s="408"/>
      <c r="I526" s="408"/>
      <c r="J526" s="377"/>
      <c r="K526" s="377"/>
      <c r="L526" s="377"/>
      <c r="M526" s="377"/>
      <c r="N526" s="377"/>
      <c r="O526" s="377"/>
      <c r="P526" s="377"/>
      <c r="Q526" s="377"/>
      <c r="R526" s="377"/>
      <c r="S526" s="377"/>
      <c r="T526" s="377"/>
    </row>
    <row r="527" spans="1:34" x14ac:dyDescent="0.2">
      <c r="A527" s="889"/>
      <c r="B527" s="377"/>
      <c r="C527" s="377"/>
      <c r="D527" s="377"/>
      <c r="E527" s="377"/>
      <c r="F527" s="377"/>
      <c r="G527" s="913"/>
      <c r="H527" s="408"/>
      <c r="I527" s="408"/>
      <c r="J527" s="377"/>
      <c r="K527" s="377"/>
      <c r="L527" s="377"/>
      <c r="M527" s="377"/>
      <c r="N527" s="377"/>
      <c r="O527" s="377"/>
      <c r="P527" s="377"/>
      <c r="Q527" s="377"/>
      <c r="R527" s="377"/>
      <c r="S527" s="377"/>
      <c r="T527" s="377"/>
    </row>
    <row r="528" spans="1:34" x14ac:dyDescent="0.2">
      <c r="A528" s="889"/>
      <c r="B528" s="377"/>
      <c r="C528" s="377"/>
      <c r="D528" s="377"/>
      <c r="E528" s="377"/>
      <c r="F528" s="377"/>
      <c r="G528" s="913"/>
      <c r="H528" s="408"/>
      <c r="I528" s="408"/>
      <c r="J528" s="377"/>
      <c r="K528" s="377"/>
      <c r="L528" s="377"/>
      <c r="M528" s="377"/>
      <c r="N528" s="377"/>
      <c r="O528" s="377"/>
      <c r="P528" s="377"/>
      <c r="Q528" s="377"/>
      <c r="R528" s="377"/>
      <c r="S528" s="377"/>
      <c r="T528" s="377"/>
    </row>
    <row r="529" spans="1:20" x14ac:dyDescent="0.2">
      <c r="A529" s="889"/>
      <c r="B529" s="377"/>
      <c r="C529" s="377"/>
      <c r="D529" s="377"/>
      <c r="E529" s="377"/>
      <c r="F529" s="377"/>
      <c r="G529" s="913"/>
      <c r="H529" s="408"/>
      <c r="I529" s="408"/>
      <c r="J529" s="377"/>
      <c r="K529" s="377"/>
      <c r="L529" s="377"/>
      <c r="M529" s="377"/>
      <c r="N529" s="377"/>
      <c r="O529" s="377"/>
      <c r="P529" s="377"/>
      <c r="Q529" s="377"/>
      <c r="R529" s="377"/>
      <c r="S529" s="377"/>
      <c r="T529" s="377"/>
    </row>
    <row r="530" spans="1:20" x14ac:dyDescent="0.2">
      <c r="A530" s="889"/>
      <c r="B530" s="377"/>
      <c r="C530" s="377"/>
      <c r="D530" s="377"/>
      <c r="E530" s="377"/>
      <c r="F530" s="377"/>
      <c r="G530" s="913"/>
      <c r="H530" s="408"/>
      <c r="I530" s="408"/>
      <c r="J530" s="377"/>
      <c r="K530" s="377"/>
      <c r="L530" s="377"/>
      <c r="M530" s="377"/>
      <c r="N530" s="377"/>
      <c r="O530" s="377"/>
      <c r="P530" s="377"/>
      <c r="Q530" s="377"/>
      <c r="R530" s="377"/>
      <c r="S530" s="377"/>
      <c r="T530" s="377"/>
    </row>
    <row r="531" spans="1:20" x14ac:dyDescent="0.2">
      <c r="A531" s="889"/>
      <c r="B531" s="377"/>
      <c r="C531" s="377"/>
      <c r="D531" s="377"/>
      <c r="E531" s="377"/>
      <c r="F531" s="377"/>
      <c r="G531" s="913"/>
      <c r="H531" s="408"/>
      <c r="I531" s="408"/>
      <c r="J531" s="377"/>
      <c r="K531" s="377"/>
      <c r="L531" s="377"/>
      <c r="M531" s="377"/>
      <c r="N531" s="377"/>
      <c r="O531" s="377"/>
      <c r="P531" s="377"/>
      <c r="Q531" s="377"/>
      <c r="R531" s="377"/>
      <c r="S531" s="377"/>
      <c r="T531" s="377"/>
    </row>
    <row r="532" spans="1:20" x14ac:dyDescent="0.2">
      <c r="A532" s="889"/>
      <c r="B532" s="377"/>
      <c r="C532" s="377"/>
      <c r="D532" s="377"/>
      <c r="E532" s="377"/>
      <c r="F532" s="377"/>
      <c r="G532" s="913"/>
      <c r="H532" s="408"/>
      <c r="I532" s="408"/>
      <c r="J532" s="377"/>
      <c r="K532" s="377"/>
      <c r="L532" s="377"/>
      <c r="M532" s="377"/>
      <c r="N532" s="377"/>
      <c r="O532" s="377"/>
      <c r="P532" s="377"/>
      <c r="Q532" s="377"/>
      <c r="R532" s="377"/>
      <c r="S532" s="377"/>
      <c r="T532" s="377"/>
    </row>
    <row r="533" spans="1:20" x14ac:dyDescent="0.2">
      <c r="A533" s="889"/>
      <c r="B533" s="377"/>
      <c r="C533" s="377"/>
      <c r="D533" s="377"/>
      <c r="E533" s="377"/>
      <c r="F533" s="377"/>
      <c r="G533" s="913"/>
      <c r="H533" s="408"/>
      <c r="I533" s="408"/>
      <c r="J533" s="377"/>
      <c r="K533" s="377"/>
      <c r="L533" s="377"/>
      <c r="M533" s="377"/>
      <c r="N533" s="377"/>
      <c r="O533" s="377"/>
      <c r="P533" s="377"/>
      <c r="Q533" s="377"/>
      <c r="R533" s="377"/>
      <c r="S533" s="377"/>
      <c r="T533" s="377"/>
    </row>
    <row r="534" spans="1:20" x14ac:dyDescent="0.2">
      <c r="A534" s="889"/>
      <c r="B534" s="377"/>
      <c r="C534" s="377"/>
      <c r="D534" s="377"/>
      <c r="E534" s="377"/>
      <c r="F534" s="377"/>
      <c r="G534" s="913"/>
      <c r="H534" s="408"/>
      <c r="I534" s="408"/>
      <c r="J534" s="377"/>
      <c r="K534" s="377"/>
      <c r="L534" s="377"/>
      <c r="M534" s="377"/>
      <c r="N534" s="377"/>
      <c r="O534" s="377"/>
      <c r="P534" s="377"/>
      <c r="Q534" s="377"/>
      <c r="R534" s="377"/>
      <c r="S534" s="377"/>
      <c r="T534" s="377"/>
    </row>
    <row r="535" spans="1:20" x14ac:dyDescent="0.2">
      <c r="A535" s="889"/>
      <c r="B535" s="377"/>
      <c r="C535" s="377"/>
      <c r="D535" s="377"/>
      <c r="E535" s="377"/>
      <c r="F535" s="377"/>
      <c r="G535" s="913"/>
      <c r="H535" s="408"/>
      <c r="I535" s="408"/>
      <c r="J535" s="377"/>
      <c r="K535" s="377"/>
      <c r="L535" s="377"/>
      <c r="M535" s="377"/>
      <c r="N535" s="377"/>
      <c r="O535" s="377"/>
      <c r="P535" s="377"/>
      <c r="Q535" s="377"/>
      <c r="R535" s="377"/>
      <c r="S535" s="377"/>
      <c r="T535" s="377"/>
    </row>
    <row r="536" spans="1:20" x14ac:dyDescent="0.2">
      <c r="A536" s="889"/>
      <c r="B536" s="377"/>
      <c r="C536" s="377"/>
      <c r="D536" s="377"/>
      <c r="E536" s="377"/>
      <c r="F536" s="377"/>
      <c r="G536" s="913"/>
      <c r="H536" s="408"/>
      <c r="I536" s="408"/>
      <c r="J536" s="377"/>
      <c r="K536" s="377"/>
      <c r="L536" s="377"/>
      <c r="M536" s="377"/>
      <c r="N536" s="377"/>
      <c r="O536" s="377"/>
      <c r="P536" s="377"/>
      <c r="Q536" s="377"/>
      <c r="R536" s="377"/>
      <c r="S536" s="377"/>
      <c r="T536" s="377"/>
    </row>
    <row r="537" spans="1:20" x14ac:dyDescent="0.2">
      <c r="A537" s="889"/>
      <c r="B537" s="377"/>
      <c r="C537" s="377"/>
      <c r="D537" s="377"/>
      <c r="E537" s="377"/>
      <c r="F537" s="377"/>
      <c r="G537" s="913"/>
      <c r="H537" s="408"/>
      <c r="I537" s="408"/>
      <c r="J537" s="377"/>
      <c r="K537" s="377"/>
      <c r="L537" s="377"/>
      <c r="M537" s="377"/>
      <c r="N537" s="377"/>
      <c r="O537" s="377"/>
      <c r="P537" s="377"/>
      <c r="Q537" s="377"/>
      <c r="R537" s="377"/>
      <c r="S537" s="377"/>
      <c r="T537" s="377"/>
    </row>
    <row r="538" spans="1:20" x14ac:dyDescent="0.2">
      <c r="A538" s="889"/>
      <c r="B538" s="377"/>
      <c r="C538" s="377"/>
      <c r="D538" s="377"/>
      <c r="E538" s="377"/>
      <c r="F538" s="377"/>
      <c r="G538" s="913"/>
      <c r="H538" s="408"/>
      <c r="I538" s="408"/>
      <c r="J538" s="377"/>
      <c r="K538" s="377"/>
      <c r="L538" s="377"/>
      <c r="M538" s="377"/>
      <c r="N538" s="377"/>
      <c r="O538" s="377"/>
      <c r="P538" s="377"/>
      <c r="Q538" s="377"/>
      <c r="R538" s="377"/>
      <c r="S538" s="377"/>
      <c r="T538" s="377"/>
    </row>
    <row r="539" spans="1:20" x14ac:dyDescent="0.2">
      <c r="A539" s="889"/>
      <c r="B539" s="377"/>
      <c r="C539" s="377"/>
      <c r="D539" s="377"/>
      <c r="E539" s="377"/>
      <c r="F539" s="377"/>
      <c r="G539" s="913"/>
      <c r="H539" s="408"/>
      <c r="I539" s="408"/>
      <c r="J539" s="377"/>
      <c r="K539" s="377"/>
      <c r="L539" s="377"/>
      <c r="M539" s="377"/>
      <c r="N539" s="377"/>
      <c r="O539" s="377"/>
      <c r="P539" s="377"/>
      <c r="Q539" s="377"/>
      <c r="R539" s="377"/>
      <c r="S539" s="377"/>
      <c r="T539" s="377"/>
    </row>
    <row r="540" spans="1:20" x14ac:dyDescent="0.2">
      <c r="A540" s="889"/>
      <c r="B540" s="377"/>
      <c r="C540" s="377"/>
      <c r="D540" s="377"/>
      <c r="E540" s="377"/>
      <c r="F540" s="377"/>
      <c r="G540" s="913"/>
      <c r="H540" s="408"/>
      <c r="I540" s="408"/>
      <c r="J540" s="377"/>
      <c r="K540" s="377"/>
      <c r="L540" s="377"/>
      <c r="M540" s="377"/>
      <c r="N540" s="377"/>
      <c r="O540" s="377"/>
      <c r="P540" s="377"/>
      <c r="Q540" s="377"/>
      <c r="R540" s="377"/>
      <c r="S540" s="377"/>
      <c r="T540" s="377"/>
    </row>
    <row r="541" spans="1:20" x14ac:dyDescent="0.2">
      <c r="A541" s="889"/>
      <c r="B541" s="377"/>
      <c r="C541" s="377"/>
      <c r="D541" s="377"/>
      <c r="E541" s="377"/>
      <c r="F541" s="377"/>
      <c r="G541" s="913"/>
      <c r="H541" s="408"/>
      <c r="I541" s="408"/>
      <c r="J541" s="377"/>
      <c r="K541" s="377"/>
      <c r="L541" s="377"/>
      <c r="M541" s="377"/>
      <c r="N541" s="377"/>
      <c r="O541" s="377"/>
      <c r="P541" s="377"/>
      <c r="Q541" s="377"/>
      <c r="R541" s="377"/>
      <c r="S541" s="377"/>
      <c r="T541" s="377"/>
    </row>
    <row r="542" spans="1:20" x14ac:dyDescent="0.2">
      <c r="A542" s="889"/>
      <c r="B542" s="377"/>
      <c r="C542" s="377"/>
      <c r="D542" s="377"/>
      <c r="E542" s="377"/>
      <c r="F542" s="377"/>
      <c r="G542" s="913"/>
      <c r="H542" s="408"/>
      <c r="I542" s="408"/>
      <c r="J542" s="377"/>
      <c r="K542" s="377"/>
      <c r="L542" s="377"/>
      <c r="M542" s="377"/>
      <c r="N542" s="377"/>
      <c r="O542" s="377"/>
      <c r="P542" s="377"/>
      <c r="Q542" s="377"/>
      <c r="R542" s="377"/>
      <c r="S542" s="377"/>
      <c r="T542" s="377"/>
    </row>
    <row r="543" spans="1:20" x14ac:dyDescent="0.2">
      <c r="A543" s="889"/>
      <c r="B543" s="377"/>
      <c r="C543" s="377"/>
      <c r="D543" s="377"/>
      <c r="E543" s="377"/>
      <c r="F543" s="377"/>
      <c r="G543" s="913"/>
      <c r="H543" s="408"/>
      <c r="I543" s="408"/>
      <c r="J543" s="377"/>
      <c r="K543" s="377"/>
      <c r="L543" s="377"/>
      <c r="M543" s="377"/>
      <c r="N543" s="377"/>
      <c r="O543" s="377"/>
      <c r="P543" s="377"/>
      <c r="Q543" s="377"/>
      <c r="R543" s="377"/>
      <c r="S543" s="377"/>
      <c r="T543" s="377"/>
    </row>
    <row r="544" spans="1:20" x14ac:dyDescent="0.2">
      <c r="A544" s="889"/>
      <c r="B544" s="377"/>
      <c r="C544" s="377"/>
      <c r="D544" s="377"/>
      <c r="E544" s="377"/>
      <c r="F544" s="377"/>
      <c r="G544" s="913"/>
      <c r="H544" s="408"/>
      <c r="I544" s="408"/>
      <c r="J544" s="377"/>
      <c r="K544" s="377"/>
      <c r="L544" s="377"/>
      <c r="M544" s="377"/>
      <c r="N544" s="377"/>
      <c r="O544" s="377"/>
      <c r="P544" s="377"/>
      <c r="Q544" s="377"/>
      <c r="R544" s="377"/>
      <c r="S544" s="377"/>
      <c r="T544" s="377"/>
    </row>
    <row r="545" spans="1:20" x14ac:dyDescent="0.2">
      <c r="A545" s="889"/>
      <c r="B545" s="377"/>
      <c r="C545" s="377"/>
      <c r="D545" s="377"/>
      <c r="E545" s="377"/>
      <c r="F545" s="377"/>
      <c r="G545" s="913"/>
      <c r="H545" s="408"/>
      <c r="I545" s="408"/>
      <c r="J545" s="377"/>
      <c r="K545" s="377"/>
      <c r="L545" s="377"/>
      <c r="M545" s="377"/>
      <c r="N545" s="377"/>
      <c r="O545" s="377"/>
      <c r="P545" s="377"/>
      <c r="Q545" s="377"/>
      <c r="R545" s="377"/>
      <c r="S545" s="377"/>
      <c r="T545" s="377"/>
    </row>
    <row r="546" spans="1:20" x14ac:dyDescent="0.2">
      <c r="A546" s="889"/>
      <c r="B546" s="377"/>
      <c r="C546" s="377"/>
      <c r="D546" s="377"/>
      <c r="E546" s="377"/>
      <c r="F546" s="377"/>
      <c r="G546" s="913"/>
      <c r="H546" s="408"/>
      <c r="I546" s="408"/>
      <c r="J546" s="377"/>
      <c r="K546" s="377"/>
      <c r="L546" s="377"/>
      <c r="M546" s="377"/>
      <c r="N546" s="377"/>
      <c r="O546" s="377"/>
      <c r="P546" s="377"/>
      <c r="Q546" s="377"/>
      <c r="R546" s="377"/>
      <c r="S546" s="377"/>
      <c r="T546" s="377"/>
    </row>
    <row r="547" spans="1:20" x14ac:dyDescent="0.2">
      <c r="A547" s="889"/>
      <c r="B547" s="377"/>
      <c r="C547" s="377"/>
      <c r="D547" s="377"/>
      <c r="E547" s="377"/>
      <c r="F547" s="377"/>
      <c r="G547" s="913"/>
      <c r="H547" s="408"/>
      <c r="I547" s="408"/>
      <c r="J547" s="377"/>
      <c r="K547" s="377"/>
      <c r="L547" s="377"/>
      <c r="M547" s="377"/>
      <c r="N547" s="377"/>
      <c r="O547" s="377"/>
      <c r="P547" s="377"/>
      <c r="Q547" s="377"/>
      <c r="R547" s="377"/>
      <c r="S547" s="377"/>
      <c r="T547" s="377"/>
    </row>
    <row r="548" spans="1:20" x14ac:dyDescent="0.2">
      <c r="A548" s="889"/>
      <c r="B548" s="377"/>
      <c r="C548" s="377"/>
      <c r="D548" s="377"/>
      <c r="E548" s="377"/>
      <c r="F548" s="377"/>
      <c r="G548" s="913"/>
      <c r="H548" s="408"/>
      <c r="I548" s="408"/>
      <c r="J548" s="377"/>
      <c r="K548" s="377"/>
      <c r="L548" s="377"/>
      <c r="M548" s="377"/>
      <c r="N548" s="377"/>
      <c r="O548" s="377"/>
      <c r="P548" s="377"/>
      <c r="Q548" s="377"/>
      <c r="R548" s="377"/>
      <c r="S548" s="377"/>
      <c r="T548" s="377"/>
    </row>
    <row r="549" spans="1:20" x14ac:dyDescent="0.2">
      <c r="A549" s="889"/>
      <c r="B549" s="377"/>
      <c r="C549" s="377"/>
      <c r="D549" s="377"/>
      <c r="E549" s="377"/>
      <c r="F549" s="377"/>
      <c r="G549" s="913"/>
      <c r="H549" s="408"/>
      <c r="I549" s="408"/>
      <c r="J549" s="377"/>
      <c r="K549" s="377"/>
      <c r="L549" s="377"/>
      <c r="M549" s="377"/>
      <c r="N549" s="377"/>
      <c r="O549" s="377"/>
      <c r="P549" s="377"/>
      <c r="Q549" s="377"/>
      <c r="R549" s="377"/>
      <c r="S549" s="377"/>
      <c r="T549" s="377"/>
    </row>
    <row r="550" spans="1:20" x14ac:dyDescent="0.2">
      <c r="A550" s="889"/>
      <c r="B550" s="377"/>
      <c r="C550" s="377"/>
      <c r="D550" s="377"/>
      <c r="E550" s="377"/>
      <c r="F550" s="377"/>
      <c r="G550" s="913"/>
      <c r="H550" s="408"/>
      <c r="I550" s="408"/>
      <c r="J550" s="377"/>
      <c r="K550" s="377"/>
      <c r="L550" s="377"/>
      <c r="M550" s="377"/>
      <c r="N550" s="377"/>
      <c r="O550" s="377"/>
      <c r="P550" s="377"/>
      <c r="Q550" s="377"/>
      <c r="R550" s="377"/>
      <c r="S550" s="377"/>
      <c r="T550" s="377"/>
    </row>
    <row r="551" spans="1:20" x14ac:dyDescent="0.2">
      <c r="A551" s="889"/>
      <c r="B551" s="377"/>
      <c r="C551" s="377"/>
      <c r="D551" s="377"/>
      <c r="E551" s="377"/>
      <c r="F551" s="377"/>
      <c r="G551" s="913"/>
      <c r="H551" s="408"/>
      <c r="I551" s="408"/>
      <c r="J551" s="377"/>
      <c r="K551" s="377"/>
      <c r="L551" s="377"/>
      <c r="M551" s="377"/>
      <c r="N551" s="377"/>
      <c r="O551" s="377"/>
      <c r="P551" s="377"/>
      <c r="Q551" s="377"/>
      <c r="R551" s="377"/>
      <c r="S551" s="377"/>
      <c r="T551" s="377"/>
    </row>
    <row r="552" spans="1:20" x14ac:dyDescent="0.2">
      <c r="A552" s="889"/>
      <c r="B552" s="377"/>
      <c r="C552" s="377"/>
      <c r="D552" s="377"/>
      <c r="E552" s="377"/>
      <c r="F552" s="377"/>
      <c r="G552" s="913"/>
      <c r="H552" s="408"/>
      <c r="I552" s="408"/>
      <c r="J552" s="377"/>
      <c r="K552" s="377"/>
      <c r="L552" s="377"/>
      <c r="M552" s="377"/>
      <c r="N552" s="377"/>
      <c r="O552" s="377"/>
      <c r="P552" s="377"/>
      <c r="Q552" s="377"/>
      <c r="R552" s="377"/>
      <c r="S552" s="377"/>
      <c r="T552" s="377"/>
    </row>
    <row r="553" spans="1:20" x14ac:dyDescent="0.2">
      <c r="A553" s="889"/>
      <c r="B553" s="377"/>
      <c r="C553" s="377"/>
      <c r="D553" s="377"/>
      <c r="E553" s="377"/>
      <c r="F553" s="377"/>
      <c r="G553" s="913"/>
      <c r="H553" s="408"/>
      <c r="I553" s="408"/>
      <c r="J553" s="377"/>
      <c r="K553" s="377"/>
      <c r="L553" s="377"/>
      <c r="M553" s="377"/>
      <c r="N553" s="377"/>
      <c r="O553" s="377"/>
      <c r="P553" s="377"/>
      <c r="Q553" s="377"/>
      <c r="R553" s="377"/>
      <c r="S553" s="377"/>
      <c r="T553" s="377"/>
    </row>
    <row r="554" spans="1:20" x14ac:dyDescent="0.2">
      <c r="A554" s="889"/>
      <c r="B554" s="377"/>
      <c r="C554" s="377"/>
      <c r="D554" s="377"/>
      <c r="E554" s="377"/>
      <c r="F554" s="377"/>
      <c r="G554" s="913"/>
      <c r="H554" s="408"/>
      <c r="I554" s="408"/>
      <c r="J554" s="377"/>
      <c r="K554" s="377"/>
      <c r="L554" s="377"/>
      <c r="M554" s="377"/>
      <c r="N554" s="377"/>
      <c r="O554" s="377"/>
      <c r="P554" s="377"/>
      <c r="Q554" s="377"/>
      <c r="R554" s="377"/>
      <c r="S554" s="377"/>
      <c r="T554" s="377"/>
    </row>
    <row r="555" spans="1:20" x14ac:dyDescent="0.2">
      <c r="A555" s="889"/>
      <c r="B555" s="377"/>
      <c r="C555" s="377"/>
      <c r="D555" s="377"/>
      <c r="E555" s="377"/>
      <c r="F555" s="377"/>
      <c r="G555" s="913"/>
      <c r="H555" s="408"/>
      <c r="I555" s="408"/>
      <c r="J555" s="377"/>
      <c r="K555" s="377"/>
      <c r="L555" s="377"/>
      <c r="M555" s="377"/>
      <c r="N555" s="377"/>
      <c r="O555" s="377"/>
      <c r="P555" s="377"/>
      <c r="Q555" s="377"/>
      <c r="R555" s="377"/>
      <c r="S555" s="377"/>
      <c r="T555" s="377"/>
    </row>
    <row r="556" spans="1:20" x14ac:dyDescent="0.2">
      <c r="A556" s="889"/>
      <c r="B556" s="377"/>
      <c r="C556" s="377"/>
      <c r="D556" s="377"/>
      <c r="E556" s="377"/>
      <c r="F556" s="377"/>
      <c r="G556" s="913"/>
      <c r="H556" s="408"/>
      <c r="I556" s="408"/>
      <c r="J556" s="377"/>
      <c r="K556" s="377"/>
      <c r="L556" s="377"/>
      <c r="M556" s="377"/>
      <c r="N556" s="377"/>
      <c r="O556" s="377"/>
      <c r="P556" s="377"/>
      <c r="Q556" s="377"/>
      <c r="R556" s="377"/>
      <c r="S556" s="377"/>
      <c r="T556" s="377"/>
    </row>
    <row r="557" spans="1:20" x14ac:dyDescent="0.2">
      <c r="A557" s="889"/>
      <c r="B557" s="377"/>
      <c r="C557" s="377"/>
      <c r="D557" s="377"/>
      <c r="E557" s="377"/>
      <c r="F557" s="377"/>
      <c r="G557" s="913"/>
      <c r="H557" s="408"/>
      <c r="I557" s="408"/>
      <c r="J557" s="377"/>
      <c r="K557" s="377"/>
      <c r="L557" s="377"/>
      <c r="M557" s="377"/>
      <c r="N557" s="377"/>
      <c r="O557" s="377"/>
      <c r="P557" s="377"/>
      <c r="Q557" s="377"/>
      <c r="R557" s="377"/>
      <c r="S557" s="377"/>
      <c r="T557" s="377"/>
    </row>
    <row r="558" spans="1:20" x14ac:dyDescent="0.2">
      <c r="A558" s="889"/>
      <c r="B558" s="377"/>
      <c r="C558" s="377"/>
      <c r="D558" s="377"/>
      <c r="E558" s="377"/>
      <c r="F558" s="377"/>
      <c r="G558" s="913"/>
      <c r="H558" s="408"/>
      <c r="I558" s="408"/>
      <c r="J558" s="377"/>
      <c r="K558" s="377"/>
      <c r="L558" s="377"/>
      <c r="M558" s="377"/>
      <c r="N558" s="377"/>
      <c r="O558" s="377"/>
      <c r="P558" s="377"/>
      <c r="Q558" s="377"/>
      <c r="R558" s="377"/>
      <c r="S558" s="377"/>
      <c r="T558" s="377"/>
    </row>
    <row r="559" spans="1:20" x14ac:dyDescent="0.2">
      <c r="A559" s="889"/>
      <c r="B559" s="377"/>
      <c r="C559" s="377"/>
      <c r="D559" s="377"/>
      <c r="E559" s="377"/>
      <c r="F559" s="377"/>
      <c r="G559" s="913"/>
      <c r="H559" s="408"/>
      <c r="I559" s="408"/>
      <c r="J559" s="377"/>
      <c r="K559" s="377"/>
      <c r="L559" s="377"/>
      <c r="M559" s="377"/>
      <c r="N559" s="377"/>
      <c r="O559" s="377"/>
      <c r="P559" s="377"/>
      <c r="Q559" s="377"/>
      <c r="R559" s="377"/>
      <c r="S559" s="377"/>
      <c r="T559" s="377"/>
    </row>
    <row r="560" spans="1:20" x14ac:dyDescent="0.2">
      <c r="A560" s="889"/>
      <c r="B560" s="377"/>
      <c r="C560" s="377"/>
      <c r="D560" s="377"/>
      <c r="E560" s="377"/>
      <c r="F560" s="377"/>
      <c r="G560" s="913"/>
      <c r="H560" s="408"/>
      <c r="I560" s="408"/>
      <c r="J560" s="377"/>
      <c r="K560" s="377"/>
      <c r="L560" s="377"/>
      <c r="M560" s="377"/>
      <c r="N560" s="377"/>
      <c r="O560" s="377"/>
      <c r="P560" s="377"/>
      <c r="Q560" s="377"/>
      <c r="R560" s="377"/>
      <c r="S560" s="377"/>
      <c r="T560" s="377"/>
    </row>
    <row r="561" spans="1:20" x14ac:dyDescent="0.2">
      <c r="A561" s="889"/>
      <c r="B561" s="377"/>
      <c r="C561" s="377"/>
      <c r="D561" s="377"/>
      <c r="E561" s="377"/>
      <c r="F561" s="377"/>
      <c r="G561" s="913"/>
      <c r="H561" s="408"/>
      <c r="I561" s="408"/>
      <c r="J561" s="377"/>
      <c r="K561" s="377"/>
      <c r="L561" s="377"/>
      <c r="M561" s="377"/>
      <c r="N561" s="377"/>
      <c r="O561" s="377"/>
      <c r="P561" s="377"/>
      <c r="Q561" s="377"/>
      <c r="R561" s="377"/>
      <c r="S561" s="377"/>
      <c r="T561" s="377"/>
    </row>
    <row r="562" spans="1:20" x14ac:dyDescent="0.2">
      <c r="A562" s="889"/>
      <c r="B562" s="377"/>
      <c r="C562" s="377"/>
      <c r="D562" s="377"/>
      <c r="E562" s="377"/>
      <c r="F562" s="377"/>
      <c r="G562" s="913"/>
      <c r="H562" s="408"/>
      <c r="I562" s="408"/>
      <c r="J562" s="377"/>
      <c r="K562" s="377"/>
      <c r="L562" s="377"/>
      <c r="M562" s="377"/>
      <c r="N562" s="377"/>
      <c r="O562" s="377"/>
      <c r="P562" s="377"/>
      <c r="Q562" s="377"/>
      <c r="R562" s="377"/>
      <c r="S562" s="377"/>
      <c r="T562" s="377"/>
    </row>
    <row r="563" spans="1:20" x14ac:dyDescent="0.2">
      <c r="A563" s="889"/>
      <c r="B563" s="377"/>
      <c r="C563" s="377"/>
      <c r="D563" s="377"/>
      <c r="E563" s="377"/>
      <c r="F563" s="377"/>
      <c r="G563" s="913"/>
      <c r="H563" s="408"/>
      <c r="I563" s="408"/>
      <c r="J563" s="377"/>
      <c r="K563" s="377"/>
      <c r="L563" s="377"/>
      <c r="M563" s="377"/>
      <c r="N563" s="377"/>
      <c r="O563" s="377"/>
      <c r="P563" s="377"/>
      <c r="Q563" s="377"/>
      <c r="R563" s="377"/>
      <c r="S563" s="377"/>
      <c r="T563" s="377"/>
    </row>
    <row r="564" spans="1:20" x14ac:dyDescent="0.2">
      <c r="A564" s="889"/>
      <c r="B564" s="377"/>
      <c r="C564" s="377"/>
      <c r="D564" s="377"/>
      <c r="E564" s="377"/>
      <c r="F564" s="377"/>
      <c r="G564" s="913"/>
      <c r="H564" s="408"/>
      <c r="I564" s="408"/>
      <c r="J564" s="377"/>
      <c r="K564" s="377"/>
      <c r="L564" s="377"/>
      <c r="M564" s="377"/>
      <c r="N564" s="377"/>
      <c r="O564" s="377"/>
      <c r="P564" s="377"/>
      <c r="Q564" s="377"/>
      <c r="R564" s="377"/>
      <c r="S564" s="377"/>
      <c r="T564" s="377"/>
    </row>
    <row r="565" spans="1:20" x14ac:dyDescent="0.2">
      <c r="A565" s="889"/>
      <c r="B565" s="377"/>
      <c r="C565" s="377"/>
      <c r="D565" s="377"/>
      <c r="E565" s="377"/>
      <c r="F565" s="377"/>
      <c r="G565" s="913"/>
      <c r="H565" s="408"/>
      <c r="I565" s="408"/>
      <c r="J565" s="377"/>
      <c r="K565" s="377"/>
      <c r="L565" s="377"/>
      <c r="M565" s="377"/>
      <c r="N565" s="377"/>
      <c r="O565" s="377"/>
      <c r="P565" s="377"/>
      <c r="Q565" s="377"/>
      <c r="R565" s="377"/>
      <c r="S565" s="377"/>
      <c r="T565" s="377"/>
    </row>
    <row r="566" spans="1:20" x14ac:dyDescent="0.2">
      <c r="A566" s="889"/>
      <c r="B566" s="377"/>
      <c r="C566" s="377"/>
      <c r="D566" s="377"/>
      <c r="E566" s="377"/>
      <c r="F566" s="377"/>
      <c r="G566" s="913"/>
      <c r="H566" s="408"/>
      <c r="I566" s="408"/>
      <c r="J566" s="377"/>
      <c r="K566" s="377"/>
      <c r="L566" s="377"/>
      <c r="M566" s="377"/>
      <c r="N566" s="377"/>
      <c r="O566" s="377"/>
      <c r="P566" s="377"/>
      <c r="Q566" s="377"/>
      <c r="R566" s="377"/>
      <c r="S566" s="377"/>
      <c r="T566" s="377"/>
    </row>
    <row r="567" spans="1:20" x14ac:dyDescent="0.2">
      <c r="A567" s="889"/>
      <c r="B567" s="377"/>
      <c r="C567" s="377"/>
      <c r="D567" s="377"/>
      <c r="E567" s="377"/>
      <c r="F567" s="377"/>
      <c r="G567" s="913"/>
      <c r="H567" s="408"/>
      <c r="I567" s="408"/>
      <c r="J567" s="377"/>
      <c r="K567" s="377"/>
      <c r="L567" s="377"/>
      <c r="M567" s="377"/>
      <c r="N567" s="377"/>
      <c r="O567" s="377"/>
      <c r="P567" s="377"/>
      <c r="Q567" s="377"/>
      <c r="R567" s="377"/>
      <c r="S567" s="377"/>
      <c r="T567" s="377"/>
    </row>
    <row r="568" spans="1:20" x14ac:dyDescent="0.2">
      <c r="A568" s="889"/>
      <c r="B568" s="377"/>
      <c r="C568" s="377"/>
      <c r="D568" s="377"/>
      <c r="E568" s="377"/>
      <c r="F568" s="377"/>
      <c r="G568" s="913"/>
      <c r="H568" s="408"/>
      <c r="I568" s="408"/>
      <c r="J568" s="377"/>
      <c r="K568" s="377"/>
      <c r="L568" s="377"/>
      <c r="M568" s="377"/>
      <c r="N568" s="377"/>
      <c r="O568" s="377"/>
      <c r="P568" s="377"/>
      <c r="Q568" s="377"/>
      <c r="R568" s="377"/>
      <c r="S568" s="377"/>
      <c r="T568" s="377"/>
    </row>
    <row r="569" spans="1:20" x14ac:dyDescent="0.2">
      <c r="A569" s="889"/>
      <c r="B569" s="377"/>
      <c r="C569" s="377"/>
      <c r="D569" s="377"/>
      <c r="E569" s="377"/>
      <c r="F569" s="377"/>
      <c r="G569" s="913"/>
      <c r="H569" s="408"/>
      <c r="I569" s="408"/>
      <c r="J569" s="377"/>
      <c r="K569" s="377"/>
      <c r="L569" s="377"/>
      <c r="M569" s="377"/>
      <c r="N569" s="377"/>
      <c r="O569" s="377"/>
      <c r="P569" s="377"/>
      <c r="Q569" s="377"/>
      <c r="R569" s="377"/>
      <c r="S569" s="377"/>
      <c r="T569" s="377"/>
    </row>
    <row r="570" spans="1:20" x14ac:dyDescent="0.2">
      <c r="A570" s="889"/>
      <c r="B570" s="377"/>
      <c r="C570" s="377"/>
      <c r="D570" s="377"/>
      <c r="E570" s="377"/>
      <c r="F570" s="377"/>
      <c r="G570" s="913"/>
      <c r="H570" s="408"/>
      <c r="I570" s="408"/>
      <c r="J570" s="377"/>
      <c r="K570" s="377"/>
      <c r="L570" s="377"/>
      <c r="M570" s="377"/>
      <c r="N570" s="377"/>
      <c r="O570" s="377"/>
      <c r="P570" s="377"/>
      <c r="Q570" s="377"/>
      <c r="R570" s="377"/>
      <c r="S570" s="377"/>
      <c r="T570" s="377"/>
    </row>
    <row r="571" spans="1:20" x14ac:dyDescent="0.2">
      <c r="A571" s="889"/>
      <c r="B571" s="377"/>
      <c r="C571" s="377"/>
      <c r="D571" s="377"/>
      <c r="E571" s="377"/>
      <c r="F571" s="377"/>
      <c r="G571" s="913"/>
      <c r="H571" s="408"/>
      <c r="I571" s="408"/>
      <c r="J571" s="377"/>
      <c r="K571" s="377"/>
      <c r="L571" s="377"/>
      <c r="M571" s="377"/>
      <c r="N571" s="377"/>
      <c r="O571" s="377"/>
      <c r="P571" s="377"/>
      <c r="Q571" s="377"/>
      <c r="R571" s="377"/>
      <c r="S571" s="377"/>
      <c r="T571" s="377"/>
    </row>
    <row r="572" spans="1:20" x14ac:dyDescent="0.2">
      <c r="A572" s="889"/>
      <c r="B572" s="377"/>
      <c r="C572" s="377"/>
      <c r="D572" s="377"/>
      <c r="E572" s="377"/>
      <c r="F572" s="377"/>
      <c r="G572" s="913"/>
      <c r="H572" s="408"/>
      <c r="I572" s="408"/>
      <c r="J572" s="377"/>
      <c r="K572" s="377"/>
      <c r="L572" s="377"/>
      <c r="M572" s="377"/>
      <c r="N572" s="377"/>
      <c r="O572" s="377"/>
      <c r="P572" s="377"/>
      <c r="Q572" s="377"/>
      <c r="R572" s="377"/>
      <c r="S572" s="377"/>
      <c r="T572" s="377"/>
    </row>
    <row r="573" spans="1:20" x14ac:dyDescent="0.2">
      <c r="A573" s="889"/>
      <c r="B573" s="377"/>
      <c r="C573" s="377"/>
      <c r="D573" s="377"/>
      <c r="E573" s="377"/>
      <c r="F573" s="377"/>
      <c r="G573" s="913"/>
      <c r="H573" s="408"/>
      <c r="I573" s="408"/>
      <c r="J573" s="377"/>
      <c r="K573" s="377"/>
      <c r="L573" s="377"/>
      <c r="M573" s="377"/>
      <c r="N573" s="377"/>
      <c r="O573" s="377"/>
      <c r="P573" s="377"/>
      <c r="Q573" s="377"/>
      <c r="R573" s="377"/>
      <c r="S573" s="377"/>
      <c r="T573" s="377"/>
    </row>
    <row r="574" spans="1:20" x14ac:dyDescent="0.2">
      <c r="A574" s="889"/>
      <c r="B574" s="377"/>
      <c r="C574" s="377"/>
      <c r="D574" s="377"/>
      <c r="E574" s="377"/>
      <c r="F574" s="377"/>
      <c r="G574" s="913"/>
      <c r="H574" s="408"/>
      <c r="I574" s="408"/>
      <c r="J574" s="377"/>
      <c r="K574" s="377"/>
      <c r="L574" s="377"/>
      <c r="M574" s="377"/>
      <c r="N574" s="377"/>
      <c r="O574" s="377"/>
      <c r="P574" s="377"/>
      <c r="Q574" s="377"/>
      <c r="R574" s="377"/>
      <c r="S574" s="377"/>
      <c r="T574" s="377"/>
    </row>
    <row r="575" spans="1:20" x14ac:dyDescent="0.2">
      <c r="A575" s="889"/>
      <c r="B575" s="377"/>
      <c r="C575" s="377"/>
      <c r="D575" s="377"/>
      <c r="E575" s="377"/>
      <c r="F575" s="377"/>
      <c r="G575" s="913"/>
      <c r="H575" s="408"/>
      <c r="I575" s="408"/>
      <c r="J575" s="377"/>
      <c r="K575" s="377"/>
      <c r="L575" s="377"/>
      <c r="M575" s="377"/>
      <c r="N575" s="377"/>
      <c r="O575" s="377"/>
      <c r="P575" s="377"/>
      <c r="Q575" s="377"/>
      <c r="R575" s="377"/>
      <c r="S575" s="377"/>
      <c r="T575" s="377"/>
    </row>
    <row r="576" spans="1:20" x14ac:dyDescent="0.2">
      <c r="A576" s="889"/>
      <c r="B576" s="377"/>
      <c r="C576" s="377"/>
      <c r="D576" s="377"/>
      <c r="E576" s="377"/>
      <c r="F576" s="377"/>
      <c r="G576" s="913"/>
      <c r="H576" s="408"/>
      <c r="I576" s="408"/>
      <c r="J576" s="377"/>
      <c r="K576" s="377"/>
      <c r="L576" s="377"/>
      <c r="M576" s="377"/>
      <c r="N576" s="377"/>
      <c r="O576" s="377"/>
      <c r="P576" s="377"/>
      <c r="Q576" s="377"/>
      <c r="R576" s="377"/>
      <c r="S576" s="377"/>
      <c r="T576" s="377"/>
    </row>
    <row r="577" spans="1:20" x14ac:dyDescent="0.2">
      <c r="A577" s="889"/>
      <c r="B577" s="377"/>
      <c r="C577" s="377"/>
      <c r="D577" s="377"/>
      <c r="E577" s="377"/>
      <c r="F577" s="377"/>
      <c r="G577" s="913"/>
      <c r="H577" s="408"/>
      <c r="I577" s="408"/>
      <c r="J577" s="377"/>
      <c r="K577" s="377"/>
      <c r="L577" s="377"/>
      <c r="M577" s="377"/>
      <c r="N577" s="377"/>
      <c r="O577" s="377"/>
      <c r="P577" s="377"/>
      <c r="Q577" s="377"/>
      <c r="R577" s="377"/>
      <c r="S577" s="377"/>
      <c r="T577" s="377"/>
    </row>
    <row r="578" spans="1:20" x14ac:dyDescent="0.2">
      <c r="A578" s="889"/>
      <c r="B578" s="377"/>
      <c r="C578" s="377"/>
      <c r="D578" s="377"/>
      <c r="E578" s="377"/>
      <c r="F578" s="377"/>
      <c r="G578" s="913"/>
      <c r="H578" s="408"/>
      <c r="I578" s="408"/>
      <c r="J578" s="377"/>
      <c r="K578" s="377"/>
      <c r="L578" s="377"/>
      <c r="M578" s="377"/>
      <c r="N578" s="377"/>
      <c r="O578" s="377"/>
      <c r="P578" s="377"/>
      <c r="Q578" s="377"/>
      <c r="R578" s="377"/>
      <c r="S578" s="377"/>
      <c r="T578" s="377"/>
    </row>
    <row r="579" spans="1:20" x14ac:dyDescent="0.2">
      <c r="A579" s="889"/>
      <c r="B579" s="377"/>
      <c r="C579" s="377"/>
      <c r="D579" s="377"/>
      <c r="E579" s="377"/>
      <c r="F579" s="377"/>
      <c r="G579" s="913"/>
      <c r="H579" s="408"/>
      <c r="I579" s="408"/>
      <c r="J579" s="377"/>
      <c r="K579" s="377"/>
      <c r="L579" s="377"/>
      <c r="M579" s="377"/>
      <c r="N579" s="377"/>
      <c r="O579" s="377"/>
      <c r="P579" s="377"/>
      <c r="Q579" s="377"/>
      <c r="R579" s="377"/>
      <c r="S579" s="377"/>
      <c r="T579" s="377"/>
    </row>
    <row r="580" spans="1:20" x14ac:dyDescent="0.2">
      <c r="A580" s="889"/>
      <c r="B580" s="377"/>
      <c r="C580" s="377"/>
      <c r="D580" s="377"/>
      <c r="E580" s="377"/>
      <c r="F580" s="377"/>
      <c r="G580" s="913"/>
      <c r="H580" s="408"/>
      <c r="I580" s="408"/>
      <c r="J580" s="377"/>
      <c r="K580" s="377"/>
      <c r="L580" s="377"/>
      <c r="M580" s="377"/>
      <c r="N580" s="377"/>
      <c r="O580" s="377"/>
      <c r="P580" s="377"/>
      <c r="Q580" s="377"/>
      <c r="R580" s="377"/>
      <c r="S580" s="377"/>
      <c r="T580" s="377"/>
    </row>
    <row r="581" spans="1:20" x14ac:dyDescent="0.2">
      <c r="A581" s="889"/>
      <c r="B581" s="377"/>
      <c r="C581" s="377"/>
      <c r="D581" s="377"/>
      <c r="E581" s="377"/>
      <c r="F581" s="377"/>
      <c r="G581" s="913"/>
      <c r="H581" s="408"/>
      <c r="I581" s="408"/>
      <c r="J581" s="377"/>
      <c r="K581" s="377"/>
      <c r="L581" s="377"/>
      <c r="M581" s="377"/>
      <c r="N581" s="377"/>
      <c r="O581" s="377"/>
      <c r="P581" s="377"/>
      <c r="Q581" s="377"/>
      <c r="R581" s="377"/>
      <c r="S581" s="377"/>
      <c r="T581" s="377"/>
    </row>
    <row r="582" spans="1:20" x14ac:dyDescent="0.2">
      <c r="A582" s="889"/>
      <c r="B582" s="377"/>
      <c r="C582" s="377"/>
      <c r="D582" s="377"/>
      <c r="E582" s="377"/>
      <c r="F582" s="377"/>
      <c r="G582" s="913"/>
      <c r="H582" s="408"/>
      <c r="I582" s="408"/>
      <c r="J582" s="377"/>
      <c r="K582" s="377"/>
      <c r="L582" s="377"/>
      <c r="M582" s="377"/>
      <c r="N582" s="377"/>
      <c r="O582" s="377"/>
      <c r="P582" s="377"/>
      <c r="Q582" s="377"/>
      <c r="R582" s="377"/>
      <c r="S582" s="377"/>
      <c r="T582" s="377"/>
    </row>
    <row r="583" spans="1:20" x14ac:dyDescent="0.2">
      <c r="A583" s="889"/>
      <c r="B583" s="377"/>
      <c r="C583" s="377"/>
      <c r="D583" s="377"/>
      <c r="E583" s="377"/>
      <c r="F583" s="377"/>
      <c r="G583" s="913"/>
      <c r="H583" s="408"/>
      <c r="I583" s="408"/>
      <c r="J583" s="377"/>
      <c r="K583" s="377"/>
      <c r="L583" s="377"/>
      <c r="M583" s="377"/>
      <c r="N583" s="377"/>
      <c r="O583" s="377"/>
      <c r="P583" s="377"/>
      <c r="Q583" s="377"/>
      <c r="R583" s="377"/>
      <c r="S583" s="377"/>
      <c r="T583" s="377"/>
    </row>
    <row r="584" spans="1:20" x14ac:dyDescent="0.2">
      <c r="A584" s="889"/>
      <c r="B584" s="377"/>
      <c r="C584" s="377"/>
      <c r="D584" s="377"/>
      <c r="E584" s="377"/>
      <c r="F584" s="377"/>
      <c r="G584" s="913"/>
      <c r="H584" s="408"/>
      <c r="I584" s="408"/>
      <c r="J584" s="377"/>
      <c r="K584" s="377"/>
      <c r="L584" s="377"/>
      <c r="M584" s="377"/>
      <c r="N584" s="377"/>
      <c r="O584" s="377"/>
      <c r="P584" s="377"/>
      <c r="Q584" s="377"/>
      <c r="R584" s="377"/>
      <c r="S584" s="377"/>
      <c r="T584" s="377"/>
    </row>
    <row r="585" spans="1:20" x14ac:dyDescent="0.2">
      <c r="A585" s="889"/>
      <c r="B585" s="377"/>
      <c r="C585" s="377"/>
      <c r="D585" s="377"/>
      <c r="E585" s="377"/>
      <c r="F585" s="377"/>
      <c r="G585" s="913"/>
      <c r="H585" s="408"/>
      <c r="I585" s="408"/>
      <c r="J585" s="377"/>
      <c r="K585" s="377"/>
      <c r="L585" s="377"/>
      <c r="M585" s="377"/>
      <c r="N585" s="377"/>
      <c r="O585" s="377"/>
      <c r="P585" s="377"/>
      <c r="Q585" s="377"/>
      <c r="R585" s="377"/>
      <c r="S585" s="377"/>
      <c r="T585" s="377"/>
    </row>
    <row r="586" spans="1:20" x14ac:dyDescent="0.2">
      <c r="A586" s="889"/>
      <c r="B586" s="377"/>
      <c r="C586" s="377"/>
      <c r="D586" s="377"/>
      <c r="E586" s="377"/>
      <c r="F586" s="377"/>
      <c r="G586" s="913"/>
      <c r="H586" s="408"/>
      <c r="I586" s="408"/>
      <c r="J586" s="377"/>
      <c r="K586" s="377"/>
      <c r="L586" s="377"/>
      <c r="M586" s="377"/>
      <c r="N586" s="377"/>
      <c r="O586" s="377"/>
      <c r="P586" s="377"/>
      <c r="Q586" s="377"/>
      <c r="R586" s="377"/>
      <c r="S586" s="377"/>
      <c r="T586" s="377"/>
    </row>
    <row r="587" spans="1:20" x14ac:dyDescent="0.2">
      <c r="A587" s="889"/>
      <c r="B587" s="377"/>
      <c r="C587" s="377"/>
      <c r="D587" s="377"/>
      <c r="E587" s="377"/>
      <c r="F587" s="377"/>
      <c r="G587" s="913"/>
      <c r="H587" s="408"/>
      <c r="I587" s="408"/>
      <c r="J587" s="377"/>
      <c r="K587" s="377"/>
      <c r="L587" s="377"/>
      <c r="M587" s="377"/>
      <c r="N587" s="377"/>
      <c r="O587" s="377"/>
      <c r="P587" s="377"/>
      <c r="Q587" s="377"/>
      <c r="R587" s="377"/>
      <c r="S587" s="377"/>
      <c r="T587" s="377"/>
    </row>
    <row r="588" spans="1:20" x14ac:dyDescent="0.2">
      <c r="A588" s="889"/>
      <c r="B588" s="377"/>
      <c r="C588" s="377"/>
      <c r="D588" s="377"/>
      <c r="E588" s="377"/>
      <c r="F588" s="377"/>
      <c r="G588" s="913"/>
      <c r="H588" s="408"/>
      <c r="I588" s="408"/>
      <c r="J588" s="377"/>
      <c r="K588" s="377"/>
      <c r="L588" s="377"/>
      <c r="M588" s="377"/>
      <c r="N588" s="377"/>
      <c r="O588" s="377"/>
      <c r="P588" s="377"/>
      <c r="Q588" s="377"/>
      <c r="R588" s="377"/>
      <c r="S588" s="377"/>
      <c r="T588" s="377"/>
    </row>
    <row r="589" spans="1:20" x14ac:dyDescent="0.2">
      <c r="A589" s="889"/>
      <c r="B589" s="377"/>
      <c r="C589" s="377"/>
      <c r="D589" s="377"/>
      <c r="E589" s="377"/>
      <c r="F589" s="377"/>
      <c r="G589" s="913"/>
      <c r="H589" s="408"/>
      <c r="I589" s="408"/>
      <c r="J589" s="377"/>
      <c r="K589" s="377"/>
      <c r="L589" s="377"/>
      <c r="M589" s="377"/>
      <c r="N589" s="377"/>
      <c r="O589" s="377"/>
      <c r="P589" s="377"/>
      <c r="Q589" s="377"/>
      <c r="R589" s="377"/>
      <c r="S589" s="377"/>
      <c r="T589" s="377"/>
    </row>
    <row r="590" spans="1:20" x14ac:dyDescent="0.2">
      <c r="A590" s="889"/>
      <c r="B590" s="377"/>
      <c r="C590" s="377"/>
      <c r="D590" s="377"/>
      <c r="E590" s="377"/>
      <c r="F590" s="377"/>
      <c r="G590" s="913"/>
      <c r="H590" s="408"/>
      <c r="I590" s="408"/>
      <c r="J590" s="377"/>
      <c r="K590" s="377"/>
      <c r="L590" s="377"/>
      <c r="M590" s="377"/>
      <c r="N590" s="377"/>
      <c r="O590" s="377"/>
      <c r="P590" s="377"/>
      <c r="Q590" s="377"/>
      <c r="R590" s="377"/>
      <c r="S590" s="377"/>
      <c r="T590" s="377"/>
    </row>
    <row r="591" spans="1:20" x14ac:dyDescent="0.2">
      <c r="A591" s="889"/>
      <c r="B591" s="377"/>
      <c r="C591" s="377"/>
      <c r="D591" s="377"/>
      <c r="E591" s="377"/>
      <c r="F591" s="377"/>
      <c r="G591" s="913"/>
      <c r="H591" s="408"/>
      <c r="I591" s="408"/>
      <c r="J591" s="377"/>
      <c r="K591" s="377"/>
      <c r="L591" s="377"/>
      <c r="M591" s="377"/>
      <c r="N591" s="377"/>
      <c r="O591" s="377"/>
      <c r="P591" s="377"/>
      <c r="Q591" s="377"/>
      <c r="R591" s="377"/>
      <c r="S591" s="377"/>
      <c r="T591" s="377"/>
    </row>
    <row r="592" spans="1:20" x14ac:dyDescent="0.2">
      <c r="A592" s="889"/>
      <c r="B592" s="377"/>
      <c r="C592" s="377"/>
      <c r="D592" s="377"/>
      <c r="E592" s="377"/>
      <c r="F592" s="377"/>
      <c r="G592" s="913"/>
      <c r="H592" s="408"/>
      <c r="I592" s="408"/>
      <c r="J592" s="377"/>
      <c r="K592" s="377"/>
      <c r="L592" s="377"/>
      <c r="M592" s="377"/>
      <c r="N592" s="377"/>
      <c r="O592" s="377"/>
      <c r="P592" s="377"/>
      <c r="Q592" s="377"/>
      <c r="R592" s="377"/>
      <c r="S592" s="377"/>
      <c r="T592" s="377"/>
    </row>
    <row r="593" spans="1:20" x14ac:dyDescent="0.2">
      <c r="A593" s="889"/>
      <c r="B593" s="377"/>
      <c r="C593" s="377"/>
      <c r="D593" s="377"/>
      <c r="E593" s="377"/>
      <c r="F593" s="377"/>
      <c r="G593" s="913"/>
      <c r="H593" s="408"/>
      <c r="I593" s="408"/>
      <c r="J593" s="377"/>
      <c r="K593" s="377"/>
      <c r="L593" s="377"/>
      <c r="M593" s="377"/>
      <c r="N593" s="377"/>
      <c r="O593" s="377"/>
      <c r="P593" s="377"/>
      <c r="Q593" s="377"/>
      <c r="R593" s="377"/>
      <c r="S593" s="377"/>
      <c r="T593" s="377"/>
    </row>
    <row r="594" spans="1:20" x14ac:dyDescent="0.2">
      <c r="A594" s="889"/>
      <c r="B594" s="377"/>
      <c r="C594" s="377"/>
      <c r="D594" s="377"/>
      <c r="E594" s="377"/>
      <c r="F594" s="377"/>
      <c r="G594" s="913"/>
      <c r="H594" s="408"/>
      <c r="I594" s="408"/>
      <c r="J594" s="377"/>
      <c r="K594" s="377"/>
      <c r="L594" s="377"/>
      <c r="M594" s="377"/>
      <c r="N594" s="377"/>
      <c r="O594" s="377"/>
      <c r="P594" s="377"/>
      <c r="Q594" s="377"/>
      <c r="R594" s="377"/>
      <c r="S594" s="377"/>
      <c r="T594" s="377"/>
    </row>
    <row r="595" spans="1:20" x14ac:dyDescent="0.2">
      <c r="A595" s="889"/>
      <c r="B595" s="377"/>
      <c r="C595" s="377"/>
      <c r="D595" s="377"/>
      <c r="E595" s="377"/>
      <c r="F595" s="377"/>
      <c r="G595" s="913"/>
      <c r="H595" s="408"/>
      <c r="I595" s="408"/>
      <c r="J595" s="377"/>
      <c r="K595" s="377"/>
      <c r="L595" s="377"/>
      <c r="M595" s="377"/>
      <c r="N595" s="377"/>
      <c r="O595" s="377"/>
      <c r="P595" s="377"/>
      <c r="Q595" s="377"/>
      <c r="R595" s="377"/>
      <c r="S595" s="377"/>
      <c r="T595" s="377"/>
    </row>
    <row r="596" spans="1:20" x14ac:dyDescent="0.2">
      <c r="A596" s="889"/>
      <c r="B596" s="377"/>
      <c r="C596" s="377"/>
      <c r="D596" s="377"/>
      <c r="E596" s="377"/>
      <c r="F596" s="377"/>
      <c r="G596" s="913"/>
      <c r="H596" s="408"/>
      <c r="I596" s="408"/>
      <c r="J596" s="377"/>
      <c r="K596" s="377"/>
      <c r="L596" s="377"/>
      <c r="M596" s="377"/>
      <c r="N596" s="377"/>
      <c r="O596" s="377"/>
      <c r="P596" s="377"/>
      <c r="Q596" s="377"/>
      <c r="R596" s="377"/>
      <c r="S596" s="377"/>
      <c r="T596" s="377"/>
    </row>
    <row r="597" spans="1:20" x14ac:dyDescent="0.2">
      <c r="A597" s="889"/>
      <c r="B597" s="377"/>
      <c r="C597" s="377"/>
      <c r="D597" s="377"/>
      <c r="E597" s="377"/>
      <c r="F597" s="377"/>
      <c r="G597" s="913"/>
      <c r="H597" s="408"/>
      <c r="I597" s="408"/>
      <c r="J597" s="377"/>
      <c r="K597" s="377"/>
      <c r="L597" s="377"/>
      <c r="M597" s="377"/>
      <c r="N597" s="377"/>
      <c r="O597" s="377"/>
      <c r="P597" s="377"/>
      <c r="Q597" s="377"/>
      <c r="R597" s="377"/>
      <c r="S597" s="377"/>
      <c r="T597" s="377"/>
    </row>
    <row r="598" spans="1:20" x14ac:dyDescent="0.2">
      <c r="A598" s="889"/>
      <c r="B598" s="377"/>
      <c r="C598" s="377"/>
      <c r="D598" s="377"/>
      <c r="E598" s="377"/>
      <c r="F598" s="377"/>
      <c r="G598" s="913"/>
      <c r="H598" s="408"/>
      <c r="I598" s="408"/>
      <c r="J598" s="377"/>
      <c r="K598" s="377"/>
      <c r="L598" s="377"/>
      <c r="M598" s="377"/>
      <c r="N598" s="377"/>
      <c r="O598" s="377"/>
      <c r="P598" s="377"/>
      <c r="Q598" s="377"/>
      <c r="R598" s="377"/>
      <c r="S598" s="377"/>
      <c r="T598" s="377"/>
    </row>
    <row r="599" spans="1:20" x14ac:dyDescent="0.2">
      <c r="A599" s="889"/>
      <c r="B599" s="377"/>
      <c r="C599" s="377"/>
      <c r="D599" s="377"/>
      <c r="E599" s="377"/>
      <c r="F599" s="377"/>
      <c r="G599" s="913"/>
      <c r="H599" s="408"/>
      <c r="I599" s="408"/>
      <c r="J599" s="377"/>
      <c r="K599" s="377"/>
      <c r="L599" s="377"/>
      <c r="M599" s="377"/>
      <c r="N599" s="377"/>
      <c r="O599" s="377"/>
      <c r="P599" s="377"/>
      <c r="Q599" s="377"/>
      <c r="R599" s="377"/>
      <c r="S599" s="377"/>
      <c r="T599" s="377"/>
    </row>
    <row r="600" spans="1:20" x14ac:dyDescent="0.2">
      <c r="A600" s="889"/>
      <c r="B600" s="377"/>
      <c r="C600" s="377"/>
      <c r="D600" s="377"/>
      <c r="E600" s="377"/>
      <c r="F600" s="377"/>
      <c r="G600" s="913"/>
      <c r="H600" s="408"/>
      <c r="I600" s="408"/>
      <c r="J600" s="377"/>
      <c r="K600" s="377"/>
      <c r="L600" s="377"/>
      <c r="M600" s="377"/>
      <c r="N600" s="377"/>
      <c r="O600" s="377"/>
      <c r="P600" s="377"/>
      <c r="Q600" s="377"/>
      <c r="R600" s="377"/>
      <c r="S600" s="377"/>
      <c r="T600" s="377"/>
    </row>
    <row r="601" spans="1:20" x14ac:dyDescent="0.2">
      <c r="A601" s="889"/>
      <c r="B601" s="377"/>
      <c r="C601" s="377"/>
      <c r="D601" s="377"/>
      <c r="E601" s="377"/>
      <c r="F601" s="377"/>
      <c r="G601" s="913"/>
      <c r="H601" s="408"/>
      <c r="I601" s="408"/>
      <c r="J601" s="377"/>
      <c r="K601" s="377"/>
      <c r="L601" s="377"/>
      <c r="M601" s="377"/>
      <c r="N601" s="377"/>
      <c r="O601" s="377"/>
      <c r="P601" s="377"/>
      <c r="Q601" s="377"/>
      <c r="R601" s="377"/>
      <c r="S601" s="377"/>
      <c r="T601" s="377"/>
    </row>
    <row r="602" spans="1:20" x14ac:dyDescent="0.2">
      <c r="A602" s="889"/>
      <c r="B602" s="377"/>
      <c r="C602" s="377"/>
      <c r="D602" s="377"/>
      <c r="E602" s="377"/>
      <c r="F602" s="377"/>
      <c r="G602" s="913"/>
      <c r="H602" s="408"/>
      <c r="I602" s="408"/>
      <c r="J602" s="377"/>
      <c r="K602" s="377"/>
      <c r="L602" s="377"/>
      <c r="M602" s="377"/>
      <c r="N602" s="377"/>
      <c r="O602" s="377"/>
      <c r="P602" s="377"/>
      <c r="Q602" s="377"/>
      <c r="R602" s="377"/>
      <c r="S602" s="377"/>
      <c r="T602" s="377"/>
    </row>
    <row r="603" spans="1:20" x14ac:dyDescent="0.2">
      <c r="A603" s="889"/>
      <c r="B603" s="377"/>
      <c r="C603" s="377"/>
      <c r="D603" s="377"/>
      <c r="E603" s="377"/>
      <c r="F603" s="377"/>
      <c r="G603" s="913"/>
      <c r="H603" s="408"/>
      <c r="I603" s="408"/>
      <c r="J603" s="377"/>
      <c r="K603" s="377"/>
      <c r="L603" s="377"/>
      <c r="M603" s="377"/>
      <c r="N603" s="377"/>
      <c r="O603" s="377"/>
      <c r="P603" s="377"/>
      <c r="Q603" s="377"/>
      <c r="R603" s="377"/>
      <c r="S603" s="377"/>
      <c r="T603" s="377"/>
    </row>
    <row r="604" spans="1:20" x14ac:dyDescent="0.2">
      <c r="A604" s="889"/>
      <c r="B604" s="377"/>
      <c r="C604" s="377"/>
      <c r="D604" s="377"/>
      <c r="E604" s="377"/>
      <c r="F604" s="377"/>
      <c r="G604" s="913"/>
      <c r="H604" s="408"/>
      <c r="I604" s="408"/>
      <c r="J604" s="377"/>
      <c r="K604" s="377"/>
      <c r="L604" s="377"/>
      <c r="M604" s="377"/>
      <c r="N604" s="377"/>
      <c r="O604" s="377"/>
      <c r="P604" s="377"/>
      <c r="Q604" s="377"/>
      <c r="R604" s="377"/>
      <c r="S604" s="377"/>
      <c r="T604" s="377"/>
    </row>
    <row r="605" spans="1:20" x14ac:dyDescent="0.2">
      <c r="A605" s="889"/>
      <c r="B605" s="377"/>
      <c r="C605" s="377"/>
      <c r="D605" s="377"/>
      <c r="E605" s="377"/>
      <c r="F605" s="377"/>
      <c r="G605" s="913"/>
      <c r="H605" s="408"/>
      <c r="I605" s="408"/>
      <c r="J605" s="377"/>
      <c r="K605" s="377"/>
      <c r="L605" s="377"/>
      <c r="M605" s="377"/>
      <c r="N605" s="377"/>
      <c r="O605" s="377"/>
      <c r="P605" s="377"/>
      <c r="Q605" s="377"/>
      <c r="R605" s="377"/>
      <c r="S605" s="377"/>
      <c r="T605" s="377"/>
    </row>
    <row r="606" spans="1:20" x14ac:dyDescent="0.2">
      <c r="A606" s="889"/>
      <c r="B606" s="377"/>
      <c r="C606" s="377"/>
      <c r="D606" s="377"/>
      <c r="E606" s="377"/>
      <c r="F606" s="377"/>
      <c r="G606" s="913"/>
      <c r="H606" s="408"/>
      <c r="I606" s="408"/>
      <c r="J606" s="377"/>
      <c r="K606" s="377"/>
      <c r="L606" s="377"/>
      <c r="M606" s="377"/>
      <c r="N606" s="377"/>
      <c r="O606" s="377"/>
      <c r="P606" s="377"/>
      <c r="Q606" s="377"/>
      <c r="R606" s="377"/>
      <c r="S606" s="377"/>
      <c r="T606" s="377"/>
    </row>
    <row r="607" spans="1:20" x14ac:dyDescent="0.2">
      <c r="A607" s="889"/>
      <c r="B607" s="377"/>
      <c r="C607" s="377"/>
      <c r="D607" s="377"/>
      <c r="E607" s="377"/>
      <c r="F607" s="377"/>
      <c r="G607" s="913"/>
      <c r="H607" s="408"/>
      <c r="I607" s="408"/>
      <c r="J607" s="377"/>
      <c r="K607" s="377"/>
      <c r="L607" s="377"/>
      <c r="M607" s="377"/>
      <c r="N607" s="377"/>
      <c r="O607" s="377"/>
      <c r="P607" s="377"/>
      <c r="Q607" s="377"/>
      <c r="R607" s="377"/>
      <c r="S607" s="377"/>
      <c r="T607" s="377"/>
    </row>
    <row r="608" spans="1:20" x14ac:dyDescent="0.2">
      <c r="A608" s="889"/>
      <c r="B608" s="377"/>
      <c r="C608" s="377"/>
      <c r="D608" s="377"/>
      <c r="E608" s="377"/>
      <c r="F608" s="377"/>
      <c r="G608" s="913"/>
      <c r="H608" s="408"/>
      <c r="I608" s="408"/>
      <c r="J608" s="377"/>
      <c r="K608" s="377"/>
      <c r="L608" s="377"/>
      <c r="M608" s="377"/>
      <c r="N608" s="377"/>
      <c r="O608" s="377"/>
      <c r="P608" s="377"/>
      <c r="Q608" s="377"/>
      <c r="R608" s="377"/>
      <c r="S608" s="377"/>
      <c r="T608" s="377"/>
    </row>
    <row r="609" spans="1:20" x14ac:dyDescent="0.2">
      <c r="A609" s="889"/>
      <c r="B609" s="377"/>
      <c r="C609" s="377"/>
      <c r="D609" s="377"/>
      <c r="E609" s="377"/>
      <c r="F609" s="377"/>
      <c r="G609" s="913"/>
      <c r="H609" s="408"/>
      <c r="I609" s="408"/>
      <c r="J609" s="377"/>
      <c r="K609" s="377"/>
      <c r="L609" s="377"/>
      <c r="M609" s="377"/>
      <c r="N609" s="377"/>
      <c r="O609" s="377"/>
      <c r="P609" s="377"/>
      <c r="Q609" s="377"/>
      <c r="R609" s="377"/>
      <c r="S609" s="377"/>
      <c r="T609" s="377"/>
    </row>
    <row r="610" spans="1:20" x14ac:dyDescent="0.2">
      <c r="A610" s="889"/>
      <c r="B610" s="377"/>
      <c r="C610" s="377"/>
      <c r="D610" s="377"/>
      <c r="E610" s="377"/>
      <c r="F610" s="377"/>
      <c r="G610" s="913"/>
      <c r="H610" s="408"/>
      <c r="I610" s="408"/>
      <c r="J610" s="377"/>
      <c r="K610" s="377"/>
      <c r="L610" s="377"/>
      <c r="M610" s="377"/>
      <c r="N610" s="377"/>
      <c r="O610" s="377"/>
      <c r="P610" s="377"/>
      <c r="Q610" s="377"/>
      <c r="R610" s="377"/>
      <c r="S610" s="377"/>
      <c r="T610" s="377"/>
    </row>
    <row r="611" spans="1:20" x14ac:dyDescent="0.2">
      <c r="A611" s="889"/>
      <c r="B611" s="377"/>
      <c r="C611" s="377"/>
      <c r="D611" s="377"/>
      <c r="E611" s="377"/>
      <c r="F611" s="377"/>
      <c r="G611" s="913"/>
      <c r="H611" s="408"/>
      <c r="I611" s="408"/>
      <c r="J611" s="377"/>
      <c r="K611" s="377"/>
      <c r="L611" s="377"/>
      <c r="M611" s="377"/>
      <c r="N611" s="377"/>
      <c r="O611" s="377"/>
      <c r="P611" s="377"/>
      <c r="Q611" s="377"/>
      <c r="R611" s="377"/>
      <c r="S611" s="377"/>
      <c r="T611" s="377"/>
    </row>
    <row r="612" spans="1:20" x14ac:dyDescent="0.2">
      <c r="A612" s="889"/>
      <c r="B612" s="377"/>
      <c r="C612" s="377"/>
      <c r="D612" s="377"/>
      <c r="E612" s="377"/>
      <c r="F612" s="377"/>
      <c r="G612" s="913"/>
      <c r="H612" s="408"/>
      <c r="I612" s="408"/>
      <c r="J612" s="377"/>
      <c r="K612" s="377"/>
      <c r="L612" s="377"/>
      <c r="M612" s="377"/>
      <c r="N612" s="377"/>
      <c r="O612" s="377"/>
      <c r="P612" s="377"/>
      <c r="Q612" s="377"/>
      <c r="R612" s="377"/>
      <c r="S612" s="377"/>
      <c r="T612" s="377"/>
    </row>
    <row r="613" spans="1:20" x14ac:dyDescent="0.2">
      <c r="A613" s="889"/>
      <c r="B613" s="377"/>
      <c r="C613" s="377"/>
      <c r="D613" s="377"/>
      <c r="E613" s="377"/>
      <c r="F613" s="377"/>
      <c r="G613" s="913"/>
      <c r="H613" s="408"/>
      <c r="I613" s="408"/>
      <c r="J613" s="377"/>
      <c r="K613" s="377"/>
      <c r="L613" s="377"/>
      <c r="M613" s="377"/>
      <c r="N613" s="377"/>
      <c r="O613" s="377"/>
      <c r="P613" s="377"/>
      <c r="Q613" s="377"/>
      <c r="R613" s="377"/>
      <c r="S613" s="377"/>
      <c r="T613" s="377"/>
    </row>
    <row r="614" spans="1:20" x14ac:dyDescent="0.2">
      <c r="A614" s="889"/>
      <c r="B614" s="377"/>
      <c r="C614" s="377"/>
      <c r="D614" s="377"/>
      <c r="E614" s="377"/>
      <c r="F614" s="377"/>
      <c r="G614" s="913"/>
      <c r="H614" s="408"/>
      <c r="I614" s="408"/>
      <c r="J614" s="377"/>
      <c r="K614" s="377"/>
      <c r="L614" s="377"/>
      <c r="M614" s="377"/>
      <c r="N614" s="377"/>
      <c r="O614" s="377"/>
      <c r="P614" s="377"/>
      <c r="Q614" s="377"/>
      <c r="R614" s="377"/>
      <c r="S614" s="377"/>
      <c r="T614" s="377"/>
    </row>
    <row r="615" spans="1:20" x14ac:dyDescent="0.2">
      <c r="A615" s="889"/>
      <c r="B615" s="377"/>
      <c r="C615" s="377"/>
      <c r="D615" s="377"/>
      <c r="E615" s="377"/>
      <c r="F615" s="377"/>
      <c r="G615" s="913"/>
      <c r="H615" s="408"/>
      <c r="I615" s="408"/>
      <c r="J615" s="377"/>
      <c r="K615" s="377"/>
      <c r="L615" s="377"/>
      <c r="M615" s="377"/>
      <c r="N615" s="377"/>
      <c r="O615" s="377"/>
      <c r="P615" s="377"/>
      <c r="Q615" s="377"/>
      <c r="R615" s="377"/>
      <c r="S615" s="377"/>
      <c r="T615" s="377"/>
    </row>
    <row r="616" spans="1:20" x14ac:dyDescent="0.2">
      <c r="A616" s="889"/>
      <c r="B616" s="377"/>
      <c r="C616" s="377"/>
      <c r="D616" s="377"/>
      <c r="E616" s="377"/>
      <c r="F616" s="377"/>
      <c r="G616" s="913"/>
      <c r="H616" s="408"/>
      <c r="I616" s="408"/>
      <c r="J616" s="377"/>
      <c r="K616" s="377"/>
      <c r="L616" s="377"/>
      <c r="M616" s="377"/>
      <c r="N616" s="377"/>
      <c r="O616" s="377"/>
      <c r="P616" s="377"/>
      <c r="Q616" s="377"/>
      <c r="R616" s="377"/>
      <c r="S616" s="377"/>
      <c r="T616" s="377"/>
    </row>
    <row r="617" spans="1:20" x14ac:dyDescent="0.2">
      <c r="A617" s="889"/>
      <c r="B617" s="377"/>
      <c r="C617" s="377"/>
      <c r="D617" s="377"/>
      <c r="E617" s="377"/>
      <c r="F617" s="377"/>
      <c r="G617" s="913"/>
      <c r="H617" s="408"/>
      <c r="I617" s="408"/>
      <c r="J617" s="377"/>
      <c r="K617" s="377"/>
      <c r="L617" s="377"/>
      <c r="M617" s="377"/>
      <c r="N617" s="377"/>
      <c r="O617" s="377"/>
      <c r="P617" s="377"/>
      <c r="Q617" s="377"/>
      <c r="R617" s="377"/>
      <c r="S617" s="377"/>
      <c r="T617" s="377"/>
    </row>
    <row r="618" spans="1:20" x14ac:dyDescent="0.2">
      <c r="A618" s="889"/>
      <c r="B618" s="377"/>
      <c r="C618" s="377"/>
      <c r="D618" s="377"/>
      <c r="E618" s="377"/>
      <c r="F618" s="377"/>
      <c r="G618" s="913"/>
      <c r="H618" s="408"/>
      <c r="I618" s="408"/>
      <c r="J618" s="377"/>
      <c r="K618" s="377"/>
      <c r="L618" s="377"/>
      <c r="M618" s="377"/>
      <c r="N618" s="377"/>
      <c r="O618" s="377"/>
      <c r="P618" s="377"/>
      <c r="Q618" s="377"/>
      <c r="R618" s="377"/>
      <c r="S618" s="377"/>
      <c r="T618" s="377"/>
    </row>
    <row r="619" spans="1:20" x14ac:dyDescent="0.2">
      <c r="A619" s="889"/>
      <c r="B619" s="377"/>
      <c r="C619" s="377"/>
      <c r="D619" s="377"/>
      <c r="E619" s="377"/>
      <c r="F619" s="377"/>
      <c r="G619" s="913"/>
      <c r="H619" s="408"/>
      <c r="I619" s="408"/>
      <c r="J619" s="377"/>
      <c r="K619" s="377"/>
      <c r="L619" s="377"/>
      <c r="M619" s="377"/>
      <c r="N619" s="377"/>
      <c r="O619" s="377"/>
      <c r="P619" s="377"/>
      <c r="Q619" s="377"/>
      <c r="R619" s="377"/>
      <c r="S619" s="377"/>
      <c r="T619" s="377"/>
    </row>
    <row r="620" spans="1:20" x14ac:dyDescent="0.2">
      <c r="A620" s="889"/>
      <c r="B620" s="377"/>
      <c r="C620" s="377"/>
      <c r="D620" s="377"/>
      <c r="E620" s="377"/>
      <c r="F620" s="377"/>
      <c r="G620" s="913"/>
      <c r="H620" s="408"/>
      <c r="I620" s="408"/>
      <c r="J620" s="377"/>
      <c r="K620" s="377"/>
      <c r="L620" s="377"/>
      <c r="M620" s="377"/>
      <c r="N620" s="377"/>
      <c r="O620" s="377"/>
      <c r="P620" s="377"/>
      <c r="Q620" s="377"/>
      <c r="R620" s="377"/>
      <c r="S620" s="377"/>
      <c r="T620" s="377"/>
    </row>
    <row r="621" spans="1:20" x14ac:dyDescent="0.2">
      <c r="A621" s="889"/>
      <c r="B621" s="377"/>
      <c r="C621" s="377"/>
      <c r="D621" s="377"/>
      <c r="E621" s="377"/>
      <c r="F621" s="377"/>
      <c r="G621" s="913"/>
      <c r="H621" s="408"/>
      <c r="I621" s="408"/>
      <c r="J621" s="377"/>
      <c r="K621" s="377"/>
      <c r="L621" s="377"/>
      <c r="M621" s="377"/>
      <c r="N621" s="377"/>
      <c r="O621" s="377"/>
      <c r="P621" s="377"/>
      <c r="Q621" s="377"/>
      <c r="R621" s="377"/>
      <c r="S621" s="377"/>
      <c r="T621" s="377"/>
    </row>
    <row r="622" spans="1:20" x14ac:dyDescent="0.2">
      <c r="A622" s="889"/>
      <c r="B622" s="377"/>
      <c r="C622" s="377"/>
      <c r="D622" s="377"/>
      <c r="E622" s="377"/>
      <c r="F622" s="377"/>
      <c r="G622" s="913"/>
      <c r="H622" s="408"/>
      <c r="I622" s="408"/>
      <c r="J622" s="377"/>
      <c r="K622" s="377"/>
      <c r="L622" s="377"/>
      <c r="M622" s="377"/>
      <c r="N622" s="377"/>
      <c r="O622" s="377"/>
      <c r="P622" s="377"/>
      <c r="Q622" s="377"/>
      <c r="R622" s="377"/>
      <c r="S622" s="377"/>
      <c r="T622" s="377"/>
    </row>
    <row r="623" spans="1:20" x14ac:dyDescent="0.2">
      <c r="A623" s="889"/>
      <c r="B623" s="377"/>
      <c r="C623" s="377"/>
      <c r="D623" s="377"/>
      <c r="E623" s="377"/>
      <c r="F623" s="377"/>
      <c r="G623" s="913"/>
      <c r="H623" s="408"/>
      <c r="I623" s="408"/>
      <c r="J623" s="377"/>
      <c r="K623" s="377"/>
      <c r="L623" s="377"/>
      <c r="M623" s="377"/>
      <c r="N623" s="377"/>
      <c r="O623" s="377"/>
      <c r="P623" s="377"/>
      <c r="Q623" s="377"/>
      <c r="R623" s="377"/>
      <c r="S623" s="377"/>
      <c r="T623" s="377"/>
    </row>
    <row r="624" spans="1:20" x14ac:dyDescent="0.2">
      <c r="A624" s="889"/>
      <c r="B624" s="377"/>
      <c r="C624" s="377"/>
      <c r="D624" s="377"/>
      <c r="E624" s="377"/>
      <c r="F624" s="377"/>
      <c r="G624" s="913"/>
      <c r="H624" s="408"/>
      <c r="I624" s="408"/>
      <c r="J624" s="377"/>
      <c r="K624" s="377"/>
      <c r="L624" s="377"/>
      <c r="M624" s="377"/>
      <c r="N624" s="377"/>
      <c r="O624" s="377"/>
      <c r="P624" s="377"/>
      <c r="Q624" s="377"/>
      <c r="R624" s="377"/>
      <c r="S624" s="377"/>
      <c r="T624" s="377"/>
    </row>
    <row r="625" spans="1:20" x14ac:dyDescent="0.2">
      <c r="A625" s="889"/>
      <c r="B625" s="377"/>
      <c r="C625" s="377"/>
      <c r="D625" s="377"/>
      <c r="E625" s="377"/>
      <c r="F625" s="377"/>
      <c r="G625" s="913"/>
      <c r="H625" s="408"/>
      <c r="I625" s="408"/>
      <c r="J625" s="377"/>
      <c r="K625" s="377"/>
      <c r="L625" s="377"/>
      <c r="M625" s="377"/>
      <c r="N625" s="377"/>
      <c r="O625" s="377"/>
      <c r="P625" s="377"/>
      <c r="Q625" s="377"/>
      <c r="R625" s="377"/>
      <c r="S625" s="377"/>
      <c r="T625" s="377"/>
    </row>
    <row r="626" spans="1:20" x14ac:dyDescent="0.2">
      <c r="A626" s="889"/>
      <c r="B626" s="377"/>
      <c r="C626" s="377"/>
      <c r="D626" s="377"/>
      <c r="E626" s="377"/>
      <c r="F626" s="377"/>
      <c r="G626" s="913"/>
      <c r="H626" s="408"/>
      <c r="I626" s="408"/>
      <c r="J626" s="377"/>
      <c r="K626" s="377"/>
      <c r="L626" s="377"/>
      <c r="M626" s="377"/>
      <c r="N626" s="377"/>
      <c r="O626" s="377"/>
      <c r="P626" s="377"/>
      <c r="Q626" s="377"/>
      <c r="R626" s="377"/>
      <c r="S626" s="377"/>
      <c r="T626" s="377"/>
    </row>
    <row r="627" spans="1:20" x14ac:dyDescent="0.2">
      <c r="A627" s="889"/>
      <c r="B627" s="377"/>
      <c r="C627" s="377"/>
      <c r="D627" s="377"/>
      <c r="E627" s="377"/>
      <c r="F627" s="377"/>
      <c r="G627" s="913"/>
      <c r="H627" s="408"/>
      <c r="I627" s="408"/>
      <c r="J627" s="377"/>
      <c r="K627" s="377"/>
      <c r="L627" s="377"/>
      <c r="M627" s="377"/>
      <c r="N627" s="377"/>
      <c r="O627" s="377"/>
      <c r="P627" s="377"/>
      <c r="Q627" s="377"/>
      <c r="R627" s="377"/>
      <c r="S627" s="377"/>
      <c r="T627" s="377"/>
    </row>
    <row r="628" spans="1:20" x14ac:dyDescent="0.2">
      <c r="A628" s="889"/>
      <c r="B628" s="377"/>
      <c r="C628" s="377"/>
      <c r="D628" s="377"/>
      <c r="E628" s="377"/>
      <c r="F628" s="377"/>
      <c r="G628" s="913"/>
      <c r="H628" s="408"/>
      <c r="I628" s="408"/>
      <c r="J628" s="377"/>
      <c r="K628" s="377"/>
      <c r="L628" s="377"/>
      <c r="M628" s="377"/>
      <c r="N628" s="377"/>
      <c r="O628" s="377"/>
      <c r="P628" s="377"/>
      <c r="Q628" s="377"/>
      <c r="R628" s="377"/>
      <c r="S628" s="377"/>
      <c r="T628" s="377"/>
    </row>
    <row r="629" spans="1:20" x14ac:dyDescent="0.2">
      <c r="A629" s="889"/>
      <c r="B629" s="377"/>
      <c r="C629" s="377"/>
      <c r="D629" s="377"/>
      <c r="E629" s="377"/>
      <c r="F629" s="377"/>
      <c r="G629" s="913"/>
      <c r="H629" s="408"/>
      <c r="I629" s="408"/>
      <c r="J629" s="377"/>
      <c r="K629" s="377"/>
      <c r="L629" s="377"/>
      <c r="M629" s="377"/>
      <c r="N629" s="377"/>
      <c r="O629" s="377"/>
      <c r="P629" s="377"/>
      <c r="Q629" s="377"/>
      <c r="R629" s="377"/>
      <c r="S629" s="377"/>
      <c r="T629" s="377"/>
    </row>
    <row r="630" spans="1:20" x14ac:dyDescent="0.2">
      <c r="A630" s="889"/>
      <c r="B630" s="377"/>
      <c r="C630" s="377"/>
      <c r="D630" s="377"/>
      <c r="E630" s="377"/>
      <c r="F630" s="377"/>
      <c r="G630" s="913"/>
      <c r="H630" s="408"/>
      <c r="I630" s="408"/>
      <c r="J630" s="377"/>
      <c r="K630" s="377"/>
      <c r="L630" s="377"/>
      <c r="M630" s="377"/>
      <c r="N630" s="377"/>
      <c r="O630" s="377"/>
      <c r="P630" s="377"/>
      <c r="Q630" s="377"/>
      <c r="R630" s="377"/>
      <c r="S630" s="377"/>
      <c r="T630" s="377"/>
    </row>
    <row r="631" spans="1:20" x14ac:dyDescent="0.2">
      <c r="A631" s="889"/>
      <c r="B631" s="377"/>
      <c r="C631" s="377"/>
      <c r="D631" s="377"/>
      <c r="E631" s="377"/>
      <c r="F631" s="377"/>
      <c r="G631" s="913"/>
      <c r="H631" s="408"/>
      <c r="I631" s="408"/>
      <c r="J631" s="377"/>
      <c r="K631" s="377"/>
      <c r="L631" s="377"/>
      <c r="M631" s="377"/>
      <c r="N631" s="377"/>
      <c r="O631" s="377"/>
      <c r="P631" s="377"/>
      <c r="Q631" s="377"/>
      <c r="R631" s="377"/>
      <c r="S631" s="377"/>
      <c r="T631" s="377"/>
    </row>
    <row r="632" spans="1:20" x14ac:dyDescent="0.2">
      <c r="A632" s="889"/>
      <c r="B632" s="377"/>
      <c r="C632" s="377"/>
      <c r="D632" s="377"/>
      <c r="E632" s="377"/>
      <c r="F632" s="377"/>
      <c r="G632" s="913"/>
      <c r="H632" s="408"/>
      <c r="I632" s="408"/>
      <c r="J632" s="377"/>
      <c r="K632" s="377"/>
      <c r="L632" s="377"/>
      <c r="M632" s="377"/>
      <c r="N632" s="377"/>
      <c r="O632" s="377"/>
      <c r="P632" s="377"/>
      <c r="Q632" s="377"/>
      <c r="R632" s="377"/>
      <c r="S632" s="377"/>
      <c r="T632" s="377"/>
    </row>
    <row r="633" spans="1:20" x14ac:dyDescent="0.2">
      <c r="A633" s="889"/>
      <c r="B633" s="377"/>
      <c r="C633" s="377"/>
      <c r="D633" s="377"/>
      <c r="E633" s="377"/>
      <c r="F633" s="377"/>
      <c r="G633" s="913"/>
      <c r="H633" s="408"/>
      <c r="I633" s="408"/>
      <c r="J633" s="377"/>
      <c r="K633" s="377"/>
      <c r="L633" s="377"/>
      <c r="M633" s="377"/>
      <c r="N633" s="377"/>
      <c r="O633" s="377"/>
      <c r="P633" s="377"/>
      <c r="Q633" s="377"/>
      <c r="R633" s="377"/>
      <c r="S633" s="377"/>
      <c r="T633" s="377"/>
    </row>
    <row r="634" spans="1:20" x14ac:dyDescent="0.2">
      <c r="A634" s="889"/>
      <c r="B634" s="377"/>
      <c r="C634" s="377"/>
      <c r="D634" s="377"/>
      <c r="E634" s="377"/>
      <c r="F634" s="377"/>
      <c r="G634" s="913"/>
      <c r="H634" s="408"/>
      <c r="I634" s="408"/>
      <c r="J634" s="377"/>
      <c r="K634" s="377"/>
      <c r="L634" s="377"/>
      <c r="M634" s="377"/>
      <c r="N634" s="377"/>
      <c r="O634" s="377"/>
      <c r="P634" s="377"/>
      <c r="Q634" s="377"/>
      <c r="R634" s="377"/>
      <c r="S634" s="377"/>
      <c r="T634" s="377"/>
    </row>
    <row r="635" spans="1:20" x14ac:dyDescent="0.2">
      <c r="A635" s="889"/>
      <c r="B635" s="377"/>
      <c r="C635" s="377"/>
      <c r="D635" s="377"/>
      <c r="E635" s="377"/>
      <c r="F635" s="377"/>
      <c r="G635" s="913"/>
      <c r="H635" s="408"/>
      <c r="I635" s="408"/>
      <c r="J635" s="377"/>
      <c r="K635" s="377"/>
      <c r="L635" s="377"/>
      <c r="M635" s="377"/>
      <c r="N635" s="377"/>
      <c r="O635" s="377"/>
      <c r="P635" s="377"/>
      <c r="Q635" s="377"/>
      <c r="R635" s="377"/>
      <c r="S635" s="377"/>
      <c r="T635" s="377"/>
    </row>
    <row r="636" spans="1:20" x14ac:dyDescent="0.2">
      <c r="A636" s="889"/>
      <c r="B636" s="377"/>
      <c r="C636" s="377"/>
      <c r="D636" s="377"/>
      <c r="E636" s="377"/>
      <c r="F636" s="377"/>
      <c r="G636" s="913"/>
      <c r="H636" s="408"/>
      <c r="I636" s="408"/>
      <c r="J636" s="377"/>
      <c r="K636" s="377"/>
      <c r="L636" s="377"/>
      <c r="M636" s="377"/>
      <c r="N636" s="377"/>
      <c r="O636" s="377"/>
      <c r="P636" s="377"/>
      <c r="Q636" s="377"/>
      <c r="R636" s="377"/>
      <c r="S636" s="377"/>
      <c r="T636" s="377"/>
    </row>
    <row r="637" spans="1:20" x14ac:dyDescent="0.2">
      <c r="A637" s="889"/>
      <c r="B637" s="377"/>
      <c r="C637" s="377"/>
      <c r="D637" s="377"/>
      <c r="E637" s="377"/>
      <c r="F637" s="377"/>
      <c r="G637" s="913"/>
      <c r="H637" s="408"/>
      <c r="I637" s="408"/>
      <c r="J637" s="377"/>
      <c r="K637" s="377"/>
      <c r="L637" s="377"/>
      <c r="M637" s="377"/>
      <c r="N637" s="377"/>
      <c r="O637" s="377"/>
      <c r="P637" s="377"/>
      <c r="Q637" s="377"/>
      <c r="R637" s="377"/>
      <c r="S637" s="377"/>
      <c r="T637" s="377"/>
    </row>
    <row r="638" spans="1:20" x14ac:dyDescent="0.2">
      <c r="A638" s="889"/>
      <c r="B638" s="377"/>
      <c r="C638" s="377"/>
      <c r="D638" s="377"/>
      <c r="E638" s="377"/>
      <c r="F638" s="377"/>
      <c r="G638" s="913"/>
      <c r="H638" s="408"/>
      <c r="I638" s="408"/>
      <c r="J638" s="377"/>
      <c r="K638" s="377"/>
      <c r="L638" s="377"/>
      <c r="M638" s="377"/>
      <c r="N638" s="377"/>
      <c r="O638" s="377"/>
      <c r="P638" s="377"/>
      <c r="Q638" s="377"/>
      <c r="R638" s="377"/>
      <c r="S638" s="377"/>
      <c r="T638" s="377"/>
    </row>
    <row r="639" spans="1:20" x14ac:dyDescent="0.2">
      <c r="A639" s="889"/>
      <c r="B639" s="377"/>
      <c r="C639" s="377"/>
      <c r="D639" s="377"/>
      <c r="E639" s="377"/>
      <c r="F639" s="377"/>
      <c r="G639" s="913"/>
      <c r="H639" s="408"/>
      <c r="I639" s="408"/>
      <c r="J639" s="377"/>
      <c r="K639" s="377"/>
      <c r="L639" s="377"/>
      <c r="M639" s="377"/>
      <c r="N639" s="377"/>
      <c r="O639" s="377"/>
      <c r="P639" s="377"/>
      <c r="Q639" s="377"/>
      <c r="R639" s="377"/>
      <c r="S639" s="377"/>
      <c r="T639" s="377"/>
    </row>
    <row r="640" spans="1:20" x14ac:dyDescent="0.2">
      <c r="A640" s="889"/>
      <c r="B640" s="377"/>
      <c r="C640" s="377"/>
      <c r="D640" s="377"/>
      <c r="E640" s="377"/>
      <c r="F640" s="377"/>
      <c r="G640" s="913"/>
      <c r="H640" s="408"/>
      <c r="I640" s="408"/>
      <c r="J640" s="377"/>
      <c r="K640" s="377"/>
      <c r="L640" s="377"/>
      <c r="M640" s="377"/>
      <c r="N640" s="377"/>
      <c r="O640" s="377"/>
      <c r="P640" s="377"/>
      <c r="Q640" s="377"/>
      <c r="R640" s="377"/>
      <c r="S640" s="377"/>
      <c r="T640" s="377"/>
    </row>
    <row r="641" spans="1:20" x14ac:dyDescent="0.2">
      <c r="A641" s="889"/>
      <c r="B641" s="377"/>
      <c r="C641" s="377"/>
      <c r="D641" s="377"/>
      <c r="E641" s="377"/>
      <c r="F641" s="377"/>
      <c r="G641" s="913"/>
      <c r="H641" s="408"/>
      <c r="I641" s="408"/>
      <c r="J641" s="377"/>
      <c r="K641" s="377"/>
      <c r="L641" s="377"/>
      <c r="M641" s="377"/>
      <c r="N641" s="377"/>
      <c r="O641" s="377"/>
      <c r="P641" s="377"/>
      <c r="Q641" s="377"/>
      <c r="R641" s="377"/>
      <c r="S641" s="377"/>
      <c r="T641" s="377"/>
    </row>
    <row r="642" spans="1:20" x14ac:dyDescent="0.2">
      <c r="A642" s="889"/>
      <c r="B642" s="377"/>
      <c r="C642" s="377"/>
      <c r="D642" s="377"/>
      <c r="E642" s="377"/>
      <c r="F642" s="377"/>
      <c r="G642" s="913"/>
      <c r="H642" s="408"/>
      <c r="I642" s="408"/>
      <c r="J642" s="377"/>
      <c r="K642" s="377"/>
      <c r="L642" s="377"/>
      <c r="M642" s="377"/>
      <c r="N642" s="377"/>
      <c r="O642" s="377"/>
      <c r="P642" s="377"/>
      <c r="Q642" s="377"/>
      <c r="R642" s="377"/>
      <c r="S642" s="377"/>
      <c r="T642" s="377"/>
    </row>
    <row r="643" spans="1:20" x14ac:dyDescent="0.2">
      <c r="A643" s="889"/>
      <c r="B643" s="377"/>
      <c r="C643" s="377"/>
      <c r="D643" s="377"/>
      <c r="E643" s="377"/>
      <c r="F643" s="377"/>
      <c r="G643" s="913"/>
      <c r="H643" s="408"/>
      <c r="I643" s="408"/>
      <c r="J643" s="377"/>
      <c r="K643" s="377"/>
      <c r="L643" s="377"/>
      <c r="M643" s="377"/>
      <c r="N643" s="377"/>
      <c r="O643" s="377"/>
      <c r="P643" s="377"/>
      <c r="Q643" s="377"/>
      <c r="R643" s="377"/>
      <c r="S643" s="377"/>
      <c r="T643" s="377"/>
    </row>
    <row r="644" spans="1:20" x14ac:dyDescent="0.2">
      <c r="A644" s="889"/>
      <c r="B644" s="377"/>
      <c r="C644" s="377"/>
      <c r="D644" s="377"/>
      <c r="E644" s="377"/>
      <c r="F644" s="377"/>
      <c r="G644" s="913"/>
      <c r="H644" s="408"/>
      <c r="I644" s="408"/>
      <c r="J644" s="377"/>
      <c r="K644" s="377"/>
      <c r="L644" s="377"/>
      <c r="M644" s="377"/>
      <c r="N644" s="377"/>
      <c r="O644" s="377"/>
      <c r="P644" s="377"/>
      <c r="Q644" s="377"/>
      <c r="R644" s="377"/>
      <c r="S644" s="377"/>
      <c r="T644" s="377"/>
    </row>
    <row r="645" spans="1:20" x14ac:dyDescent="0.2">
      <c r="A645" s="889"/>
      <c r="B645" s="377"/>
      <c r="C645" s="377"/>
      <c r="D645" s="377"/>
      <c r="E645" s="377"/>
      <c r="F645" s="377"/>
      <c r="G645" s="913"/>
      <c r="H645" s="408"/>
      <c r="I645" s="408"/>
      <c r="J645" s="377"/>
      <c r="K645" s="377"/>
      <c r="L645" s="377"/>
      <c r="M645" s="377"/>
      <c r="N645" s="377"/>
      <c r="O645" s="377"/>
      <c r="P645" s="377"/>
      <c r="Q645" s="377"/>
      <c r="R645" s="377"/>
      <c r="S645" s="377"/>
      <c r="T645" s="377"/>
    </row>
    <row r="646" spans="1:20" x14ac:dyDescent="0.2">
      <c r="A646" s="889"/>
      <c r="B646" s="377"/>
      <c r="C646" s="377"/>
      <c r="D646" s="377"/>
      <c r="E646" s="377"/>
      <c r="F646" s="377"/>
      <c r="G646" s="913"/>
      <c r="H646" s="408"/>
      <c r="I646" s="408"/>
      <c r="J646" s="377"/>
      <c r="K646" s="377"/>
      <c r="L646" s="377"/>
      <c r="M646" s="377"/>
      <c r="N646" s="377"/>
      <c r="O646" s="377"/>
      <c r="P646" s="377"/>
      <c r="Q646" s="377"/>
      <c r="R646" s="377"/>
      <c r="S646" s="377"/>
      <c r="T646" s="377"/>
    </row>
    <row r="647" spans="1:20" x14ac:dyDescent="0.2">
      <c r="A647" s="889"/>
      <c r="B647" s="377"/>
      <c r="C647" s="377"/>
      <c r="D647" s="377"/>
      <c r="E647" s="377"/>
      <c r="F647" s="377"/>
      <c r="G647" s="913"/>
      <c r="H647" s="408"/>
      <c r="I647" s="408"/>
      <c r="J647" s="377"/>
      <c r="K647" s="377"/>
      <c r="L647" s="377"/>
      <c r="M647" s="377"/>
      <c r="N647" s="377"/>
      <c r="O647" s="377"/>
      <c r="P647" s="377"/>
      <c r="Q647" s="377"/>
      <c r="R647" s="377"/>
      <c r="S647" s="377"/>
      <c r="T647" s="377"/>
    </row>
    <row r="648" spans="1:20" x14ac:dyDescent="0.2">
      <c r="A648" s="889"/>
      <c r="B648" s="377"/>
      <c r="C648" s="377"/>
      <c r="D648" s="377"/>
      <c r="E648" s="377"/>
      <c r="F648" s="377"/>
      <c r="G648" s="913"/>
      <c r="H648" s="408"/>
      <c r="I648" s="408"/>
      <c r="J648" s="377"/>
      <c r="K648" s="377"/>
      <c r="L648" s="377"/>
      <c r="M648" s="377"/>
      <c r="N648" s="377"/>
      <c r="O648" s="377"/>
      <c r="P648" s="377"/>
      <c r="Q648" s="377"/>
      <c r="R648" s="377"/>
      <c r="S648" s="377"/>
      <c r="T648" s="377"/>
    </row>
    <row r="649" spans="1:20" x14ac:dyDescent="0.2">
      <c r="A649" s="889"/>
      <c r="B649" s="377"/>
      <c r="C649" s="377"/>
      <c r="D649" s="377"/>
      <c r="E649" s="377"/>
      <c r="F649" s="377"/>
      <c r="G649" s="913"/>
      <c r="H649" s="408"/>
      <c r="I649" s="408"/>
      <c r="J649" s="377"/>
      <c r="K649" s="377"/>
      <c r="L649" s="377"/>
      <c r="M649" s="377"/>
      <c r="N649" s="377"/>
      <c r="O649" s="377"/>
      <c r="P649" s="377"/>
      <c r="Q649" s="377"/>
      <c r="R649" s="377"/>
      <c r="S649" s="377"/>
      <c r="T649" s="377"/>
    </row>
    <row r="650" spans="1:20" x14ac:dyDescent="0.2">
      <c r="A650" s="889"/>
      <c r="B650" s="377"/>
      <c r="C650" s="377"/>
      <c r="D650" s="377"/>
      <c r="E650" s="377"/>
      <c r="F650" s="377"/>
      <c r="G650" s="913"/>
      <c r="H650" s="408"/>
      <c r="I650" s="408"/>
      <c r="J650" s="377"/>
      <c r="K650" s="377"/>
      <c r="L650" s="377"/>
      <c r="M650" s="377"/>
      <c r="N650" s="377"/>
      <c r="O650" s="377"/>
      <c r="P650" s="377"/>
      <c r="Q650" s="377"/>
      <c r="R650" s="377"/>
      <c r="S650" s="377"/>
      <c r="T650" s="377"/>
    </row>
    <row r="651" spans="1:20" x14ac:dyDescent="0.2">
      <c r="A651" s="889"/>
      <c r="B651" s="377"/>
      <c r="C651" s="377"/>
      <c r="D651" s="377"/>
      <c r="E651" s="377"/>
      <c r="F651" s="377"/>
      <c r="G651" s="913"/>
      <c r="H651" s="408"/>
      <c r="I651" s="408"/>
      <c r="J651" s="377"/>
      <c r="K651" s="377"/>
      <c r="L651" s="377"/>
      <c r="M651" s="377"/>
      <c r="N651" s="377"/>
      <c r="O651" s="377"/>
      <c r="P651" s="377"/>
      <c r="Q651" s="377"/>
      <c r="R651" s="377"/>
      <c r="S651" s="377"/>
      <c r="T651" s="377"/>
    </row>
    <row r="652" spans="1:20" x14ac:dyDescent="0.2">
      <c r="A652" s="889"/>
      <c r="B652" s="377"/>
      <c r="C652" s="377"/>
      <c r="D652" s="377"/>
      <c r="E652" s="377"/>
      <c r="F652" s="377"/>
      <c r="G652" s="913"/>
      <c r="H652" s="408"/>
      <c r="I652" s="408"/>
      <c r="J652" s="377"/>
      <c r="K652" s="377"/>
      <c r="L652" s="377"/>
      <c r="M652" s="377"/>
      <c r="N652" s="377"/>
      <c r="O652" s="377"/>
      <c r="P652" s="377"/>
      <c r="Q652" s="377"/>
      <c r="R652" s="377"/>
      <c r="S652" s="377"/>
      <c r="T652" s="377"/>
    </row>
    <row r="653" spans="1:20" x14ac:dyDescent="0.2">
      <c r="A653" s="889"/>
      <c r="B653" s="377"/>
      <c r="C653" s="377"/>
      <c r="D653" s="377"/>
      <c r="E653" s="377"/>
      <c r="F653" s="377"/>
      <c r="G653" s="913"/>
      <c r="H653" s="408"/>
      <c r="I653" s="408"/>
      <c r="J653" s="377"/>
      <c r="K653" s="377"/>
      <c r="L653" s="377"/>
      <c r="M653" s="377"/>
      <c r="N653" s="377"/>
      <c r="O653" s="377"/>
      <c r="P653" s="377"/>
      <c r="Q653" s="377"/>
      <c r="R653" s="377"/>
      <c r="S653" s="377"/>
      <c r="T653" s="377"/>
    </row>
    <row r="654" spans="1:20" x14ac:dyDescent="0.2">
      <c r="A654" s="889"/>
      <c r="B654" s="377"/>
      <c r="C654" s="377"/>
      <c r="D654" s="377"/>
      <c r="E654" s="377"/>
      <c r="F654" s="377"/>
      <c r="G654" s="913"/>
      <c r="H654" s="408"/>
      <c r="I654" s="408"/>
      <c r="J654" s="377"/>
      <c r="K654" s="377"/>
      <c r="L654" s="377"/>
      <c r="M654" s="377"/>
      <c r="N654" s="377"/>
      <c r="O654" s="377"/>
      <c r="P654" s="377"/>
      <c r="Q654" s="377"/>
      <c r="R654" s="377"/>
      <c r="S654" s="377"/>
      <c r="T654" s="377"/>
    </row>
    <row r="655" spans="1:20" x14ac:dyDescent="0.2">
      <c r="A655" s="889"/>
      <c r="B655" s="377"/>
      <c r="C655" s="377"/>
      <c r="D655" s="377"/>
      <c r="E655" s="377"/>
      <c r="F655" s="377"/>
      <c r="G655" s="913"/>
      <c r="H655" s="408"/>
      <c r="I655" s="408"/>
      <c r="J655" s="377"/>
      <c r="K655" s="377"/>
      <c r="L655" s="377"/>
      <c r="M655" s="377"/>
      <c r="N655" s="377"/>
      <c r="O655" s="377"/>
      <c r="P655" s="377"/>
      <c r="Q655" s="377"/>
      <c r="R655" s="377"/>
      <c r="S655" s="377"/>
      <c r="T655" s="377"/>
    </row>
    <row r="656" spans="1:20" x14ac:dyDescent="0.2">
      <c r="A656" s="889"/>
      <c r="B656" s="377"/>
      <c r="C656" s="377"/>
      <c r="D656" s="377"/>
      <c r="E656" s="377"/>
      <c r="F656" s="377"/>
      <c r="G656" s="913"/>
      <c r="H656" s="408"/>
      <c r="I656" s="408"/>
      <c r="J656" s="377"/>
      <c r="K656" s="377"/>
      <c r="L656" s="377"/>
      <c r="M656" s="377"/>
      <c r="N656" s="377"/>
      <c r="O656" s="377"/>
      <c r="P656" s="377"/>
      <c r="Q656" s="377"/>
      <c r="R656" s="377"/>
      <c r="S656" s="377"/>
      <c r="T656" s="377"/>
    </row>
    <row r="657" spans="1:20" x14ac:dyDescent="0.2">
      <c r="A657" s="889"/>
      <c r="B657" s="377"/>
      <c r="C657" s="377"/>
      <c r="D657" s="377"/>
      <c r="E657" s="377"/>
      <c r="F657" s="377"/>
      <c r="G657" s="913"/>
      <c r="H657" s="408"/>
      <c r="I657" s="408"/>
      <c r="J657" s="377"/>
      <c r="K657" s="377"/>
      <c r="L657" s="377"/>
      <c r="M657" s="377"/>
      <c r="N657" s="377"/>
      <c r="O657" s="377"/>
      <c r="P657" s="377"/>
      <c r="Q657" s="377"/>
      <c r="R657" s="377"/>
      <c r="S657" s="377"/>
      <c r="T657" s="377"/>
    </row>
    <row r="658" spans="1:20" x14ac:dyDescent="0.2">
      <c r="A658" s="889"/>
      <c r="B658" s="377"/>
      <c r="C658" s="377"/>
      <c r="D658" s="377"/>
      <c r="E658" s="377"/>
      <c r="F658" s="377"/>
      <c r="G658" s="913"/>
      <c r="H658" s="408"/>
      <c r="I658" s="408"/>
      <c r="J658" s="377"/>
      <c r="K658" s="377"/>
      <c r="L658" s="377"/>
      <c r="M658" s="377"/>
      <c r="N658" s="377"/>
      <c r="O658" s="377"/>
      <c r="P658" s="377"/>
      <c r="Q658" s="377"/>
      <c r="R658" s="377"/>
      <c r="S658" s="377"/>
      <c r="T658" s="377"/>
    </row>
    <row r="659" spans="1:20" x14ac:dyDescent="0.2">
      <c r="A659" s="889"/>
      <c r="B659" s="377"/>
      <c r="C659" s="377"/>
      <c r="D659" s="377"/>
      <c r="E659" s="377"/>
      <c r="F659" s="377"/>
      <c r="G659" s="913"/>
      <c r="H659" s="408"/>
      <c r="I659" s="408"/>
      <c r="J659" s="377"/>
      <c r="K659" s="377"/>
      <c r="L659" s="377"/>
      <c r="M659" s="377"/>
      <c r="N659" s="377"/>
      <c r="O659" s="377"/>
      <c r="P659" s="377"/>
      <c r="Q659" s="377"/>
      <c r="R659" s="377"/>
      <c r="S659" s="377"/>
      <c r="T659" s="377"/>
    </row>
    <row r="660" spans="1:20" x14ac:dyDescent="0.2">
      <c r="A660" s="889"/>
      <c r="B660" s="377"/>
      <c r="C660" s="377"/>
      <c r="D660" s="377"/>
      <c r="E660" s="377"/>
      <c r="F660" s="377"/>
      <c r="G660" s="913"/>
      <c r="H660" s="408"/>
      <c r="I660" s="408"/>
      <c r="J660" s="377"/>
      <c r="K660" s="377"/>
      <c r="L660" s="377"/>
      <c r="M660" s="377"/>
      <c r="N660" s="377"/>
      <c r="O660" s="377"/>
      <c r="P660" s="377"/>
      <c r="Q660" s="377"/>
      <c r="R660" s="377"/>
      <c r="S660" s="377"/>
      <c r="T660" s="377"/>
    </row>
    <row r="661" spans="1:20" x14ac:dyDescent="0.2">
      <c r="A661" s="889"/>
      <c r="B661" s="377"/>
      <c r="C661" s="377"/>
      <c r="D661" s="377"/>
      <c r="E661" s="377"/>
      <c r="F661" s="377"/>
      <c r="G661" s="913"/>
      <c r="H661" s="408"/>
      <c r="I661" s="408"/>
      <c r="J661" s="377"/>
      <c r="K661" s="377"/>
      <c r="L661" s="377"/>
      <c r="M661" s="377"/>
      <c r="N661" s="377"/>
      <c r="O661" s="377"/>
      <c r="P661" s="377"/>
      <c r="Q661" s="377"/>
      <c r="R661" s="377"/>
      <c r="S661" s="377"/>
      <c r="T661" s="377"/>
    </row>
    <row r="662" spans="1:20" x14ac:dyDescent="0.2">
      <c r="A662" s="889"/>
      <c r="B662" s="377"/>
      <c r="C662" s="377"/>
      <c r="D662" s="377"/>
      <c r="E662" s="377"/>
      <c r="F662" s="377"/>
      <c r="G662" s="913"/>
      <c r="H662" s="408"/>
      <c r="I662" s="408"/>
      <c r="J662" s="377"/>
      <c r="K662" s="377"/>
      <c r="L662" s="377"/>
      <c r="M662" s="377"/>
      <c r="N662" s="377"/>
      <c r="O662" s="377"/>
      <c r="P662" s="377"/>
      <c r="Q662" s="377"/>
      <c r="R662" s="377"/>
      <c r="S662" s="377"/>
      <c r="T662" s="377"/>
    </row>
    <row r="663" spans="1:20" x14ac:dyDescent="0.2">
      <c r="A663" s="889"/>
      <c r="B663" s="377"/>
      <c r="C663" s="377"/>
      <c r="D663" s="377"/>
      <c r="E663" s="377"/>
      <c r="F663" s="377"/>
      <c r="G663" s="913"/>
      <c r="H663" s="408"/>
      <c r="I663" s="408"/>
      <c r="J663" s="377"/>
      <c r="K663" s="377"/>
      <c r="L663" s="377"/>
      <c r="M663" s="377"/>
      <c r="N663" s="377"/>
      <c r="O663" s="377"/>
      <c r="P663" s="377"/>
      <c r="Q663" s="377"/>
      <c r="R663" s="377"/>
      <c r="S663" s="377"/>
      <c r="T663" s="377"/>
    </row>
    <row r="664" spans="1:20" x14ac:dyDescent="0.2">
      <c r="A664" s="889"/>
      <c r="B664" s="377"/>
      <c r="C664" s="377"/>
      <c r="D664" s="377"/>
      <c r="E664" s="377"/>
      <c r="F664" s="377"/>
      <c r="G664" s="913"/>
      <c r="H664" s="408"/>
      <c r="I664" s="408"/>
      <c r="J664" s="377"/>
      <c r="K664" s="377"/>
      <c r="L664" s="377"/>
      <c r="M664" s="377"/>
      <c r="N664" s="377"/>
      <c r="O664" s="377"/>
      <c r="P664" s="377"/>
      <c r="Q664" s="377"/>
      <c r="R664" s="377"/>
      <c r="S664" s="377"/>
      <c r="T664" s="377"/>
    </row>
    <row r="665" spans="1:20" x14ac:dyDescent="0.2">
      <c r="A665" s="889"/>
      <c r="B665" s="377"/>
      <c r="C665" s="377"/>
      <c r="D665" s="377"/>
      <c r="E665" s="377"/>
      <c r="F665" s="377"/>
      <c r="G665" s="913"/>
      <c r="H665" s="408"/>
      <c r="I665" s="408"/>
      <c r="J665" s="377"/>
      <c r="K665" s="377"/>
      <c r="L665" s="377"/>
      <c r="M665" s="377"/>
      <c r="N665" s="377"/>
      <c r="O665" s="377"/>
      <c r="P665" s="377"/>
      <c r="Q665" s="377"/>
      <c r="R665" s="377"/>
      <c r="S665" s="377"/>
      <c r="T665" s="377"/>
    </row>
    <row r="666" spans="1:20" x14ac:dyDescent="0.2">
      <c r="A666" s="889"/>
      <c r="B666" s="377"/>
      <c r="C666" s="377"/>
      <c r="D666" s="377"/>
      <c r="E666" s="377"/>
      <c r="F666" s="377"/>
      <c r="G666" s="913"/>
      <c r="H666" s="408"/>
      <c r="I666" s="408"/>
      <c r="J666" s="377"/>
      <c r="K666" s="377"/>
      <c r="L666" s="377"/>
      <c r="M666" s="377"/>
      <c r="N666" s="377"/>
      <c r="O666" s="377"/>
      <c r="P666" s="377"/>
      <c r="Q666" s="377"/>
      <c r="R666" s="377"/>
      <c r="S666" s="377"/>
      <c r="T666" s="377"/>
    </row>
    <row r="667" spans="1:20" x14ac:dyDescent="0.2">
      <c r="A667" s="889"/>
      <c r="B667" s="377"/>
      <c r="C667" s="377"/>
      <c r="D667" s="377"/>
      <c r="E667" s="377"/>
      <c r="F667" s="377"/>
      <c r="G667" s="913"/>
      <c r="H667" s="408"/>
      <c r="I667" s="408"/>
      <c r="J667" s="377"/>
      <c r="K667" s="377"/>
      <c r="L667" s="377"/>
      <c r="M667" s="377"/>
      <c r="N667" s="377"/>
      <c r="O667" s="377"/>
      <c r="P667" s="377"/>
      <c r="Q667" s="377"/>
      <c r="R667" s="377"/>
      <c r="S667" s="377"/>
      <c r="T667" s="377"/>
    </row>
    <row r="668" spans="1:20" x14ac:dyDescent="0.2">
      <c r="A668" s="889"/>
      <c r="B668" s="377"/>
      <c r="C668" s="377"/>
      <c r="D668" s="377"/>
      <c r="E668" s="377"/>
      <c r="F668" s="377"/>
      <c r="G668" s="913"/>
      <c r="H668" s="408"/>
      <c r="I668" s="408"/>
      <c r="J668" s="377"/>
      <c r="K668" s="377"/>
      <c r="L668" s="377"/>
      <c r="M668" s="377"/>
      <c r="N668" s="377"/>
      <c r="O668" s="377"/>
      <c r="P668" s="377"/>
      <c r="Q668" s="377"/>
      <c r="R668" s="377"/>
      <c r="S668" s="377"/>
      <c r="T668" s="377"/>
    </row>
    <row r="669" spans="1:20" x14ac:dyDescent="0.2">
      <c r="A669" s="889"/>
      <c r="B669" s="377"/>
      <c r="C669" s="377"/>
      <c r="D669" s="377"/>
      <c r="E669" s="377"/>
      <c r="F669" s="377"/>
      <c r="G669" s="913"/>
      <c r="H669" s="408"/>
      <c r="I669" s="408"/>
      <c r="J669" s="377"/>
      <c r="K669" s="377"/>
      <c r="L669" s="377"/>
      <c r="M669" s="377"/>
      <c r="N669" s="377"/>
      <c r="O669" s="377"/>
      <c r="P669" s="377"/>
      <c r="Q669" s="377"/>
      <c r="R669" s="377"/>
      <c r="S669" s="377"/>
      <c r="T669" s="377"/>
    </row>
    <row r="670" spans="1:20" x14ac:dyDescent="0.2">
      <c r="A670" s="889"/>
      <c r="B670" s="377"/>
      <c r="C670" s="377"/>
      <c r="D670" s="377"/>
      <c r="E670" s="377"/>
      <c r="F670" s="377"/>
      <c r="G670" s="913"/>
      <c r="H670" s="408"/>
      <c r="I670" s="408"/>
      <c r="J670" s="377"/>
      <c r="K670" s="377"/>
      <c r="L670" s="377"/>
      <c r="M670" s="377"/>
      <c r="N670" s="377"/>
      <c r="O670" s="377"/>
      <c r="P670" s="377"/>
      <c r="Q670" s="377"/>
      <c r="R670" s="377"/>
      <c r="S670" s="377"/>
      <c r="T670" s="377"/>
    </row>
    <row r="671" spans="1:20" x14ac:dyDescent="0.2">
      <c r="A671" s="889"/>
      <c r="B671" s="377"/>
      <c r="C671" s="377"/>
      <c r="D671" s="377"/>
      <c r="E671" s="377"/>
      <c r="F671" s="377"/>
      <c r="G671" s="913"/>
      <c r="H671" s="408"/>
      <c r="I671" s="408"/>
      <c r="J671" s="377"/>
      <c r="K671" s="377"/>
      <c r="L671" s="377"/>
      <c r="M671" s="377"/>
      <c r="N671" s="377"/>
      <c r="O671" s="377"/>
      <c r="P671" s="377"/>
      <c r="Q671" s="377"/>
      <c r="R671" s="377"/>
      <c r="S671" s="377"/>
      <c r="T671" s="377"/>
    </row>
    <row r="672" spans="1:20" x14ac:dyDescent="0.2">
      <c r="A672" s="889"/>
      <c r="B672" s="377"/>
      <c r="C672" s="377"/>
      <c r="D672" s="377"/>
      <c r="E672" s="377"/>
      <c r="F672" s="377"/>
      <c r="G672" s="913"/>
      <c r="H672" s="408"/>
      <c r="I672" s="408"/>
      <c r="J672" s="377"/>
      <c r="K672" s="377"/>
      <c r="L672" s="377"/>
      <c r="M672" s="377"/>
      <c r="N672" s="377"/>
      <c r="O672" s="377"/>
      <c r="P672" s="377"/>
      <c r="Q672" s="377"/>
      <c r="R672" s="377"/>
      <c r="S672" s="377"/>
      <c r="T672" s="377"/>
    </row>
    <row r="673" spans="1:20" x14ac:dyDescent="0.2">
      <c r="A673" s="889"/>
      <c r="B673" s="377"/>
      <c r="C673" s="377"/>
      <c r="D673" s="377"/>
      <c r="E673" s="377"/>
      <c r="F673" s="377"/>
      <c r="G673" s="913"/>
      <c r="H673" s="408"/>
      <c r="I673" s="408"/>
      <c r="J673" s="377"/>
      <c r="K673" s="377"/>
      <c r="L673" s="377"/>
      <c r="M673" s="377"/>
      <c r="N673" s="377"/>
      <c r="O673" s="377"/>
      <c r="P673" s="377"/>
      <c r="Q673" s="377"/>
      <c r="R673" s="377"/>
      <c r="S673" s="377"/>
      <c r="T673" s="377"/>
    </row>
    <row r="674" spans="1:20" x14ac:dyDescent="0.2">
      <c r="A674" s="889"/>
      <c r="B674" s="377"/>
      <c r="C674" s="377"/>
      <c r="D674" s="377"/>
      <c r="E674" s="377"/>
      <c r="F674" s="377"/>
      <c r="G674" s="913"/>
      <c r="H674" s="408"/>
      <c r="I674" s="408"/>
      <c r="J674" s="377"/>
      <c r="K674" s="377"/>
      <c r="L674" s="377"/>
      <c r="M674" s="377"/>
      <c r="N674" s="377"/>
      <c r="O674" s="377"/>
      <c r="P674" s="377"/>
      <c r="Q674" s="377"/>
      <c r="R674" s="377"/>
      <c r="S674" s="377"/>
      <c r="T674" s="377"/>
    </row>
    <row r="675" spans="1:20" x14ac:dyDescent="0.2">
      <c r="A675" s="889"/>
      <c r="B675" s="377"/>
      <c r="C675" s="377"/>
      <c r="D675" s="377"/>
      <c r="E675" s="377"/>
      <c r="F675" s="377"/>
      <c r="G675" s="913"/>
      <c r="H675" s="408"/>
      <c r="I675" s="408"/>
      <c r="J675" s="377"/>
      <c r="K675" s="377"/>
      <c r="L675" s="377"/>
      <c r="M675" s="377"/>
      <c r="N675" s="377"/>
      <c r="O675" s="377"/>
      <c r="P675" s="377"/>
      <c r="Q675" s="377"/>
      <c r="R675" s="377"/>
      <c r="S675" s="377"/>
      <c r="T675" s="377"/>
    </row>
    <row r="676" spans="1:20" x14ac:dyDescent="0.2">
      <c r="A676" s="889"/>
      <c r="B676" s="377"/>
      <c r="C676" s="377"/>
      <c r="D676" s="377"/>
      <c r="E676" s="377"/>
      <c r="F676" s="377"/>
      <c r="G676" s="913"/>
      <c r="H676" s="408"/>
      <c r="I676" s="408"/>
      <c r="J676" s="377"/>
      <c r="K676" s="377"/>
      <c r="L676" s="377"/>
      <c r="M676" s="377"/>
      <c r="N676" s="377"/>
      <c r="O676" s="377"/>
      <c r="P676" s="377"/>
      <c r="Q676" s="377"/>
      <c r="R676" s="377"/>
      <c r="S676" s="377"/>
      <c r="T676" s="377"/>
    </row>
    <row r="677" spans="1:20" x14ac:dyDescent="0.2">
      <c r="A677" s="889"/>
      <c r="B677" s="377"/>
      <c r="C677" s="377"/>
      <c r="D677" s="377"/>
      <c r="E677" s="377"/>
      <c r="F677" s="377"/>
      <c r="G677" s="913"/>
      <c r="H677" s="408"/>
      <c r="I677" s="408"/>
      <c r="J677" s="377"/>
      <c r="K677" s="377"/>
      <c r="L677" s="377"/>
      <c r="M677" s="377"/>
      <c r="N677" s="377"/>
      <c r="O677" s="377"/>
      <c r="P677" s="377"/>
      <c r="Q677" s="377"/>
      <c r="R677" s="377"/>
      <c r="S677" s="377"/>
      <c r="T677" s="377"/>
    </row>
    <row r="678" spans="1:20" x14ac:dyDescent="0.2">
      <c r="A678" s="889"/>
      <c r="B678" s="377"/>
      <c r="C678" s="377"/>
      <c r="D678" s="377"/>
      <c r="E678" s="377"/>
      <c r="F678" s="377"/>
      <c r="G678" s="913"/>
      <c r="H678" s="408"/>
      <c r="I678" s="408"/>
      <c r="J678" s="377"/>
      <c r="K678" s="377"/>
      <c r="L678" s="377"/>
      <c r="M678" s="377"/>
      <c r="N678" s="377"/>
      <c r="O678" s="377"/>
      <c r="P678" s="377"/>
      <c r="Q678" s="377"/>
      <c r="R678" s="377"/>
      <c r="S678" s="377"/>
      <c r="T678" s="377"/>
    </row>
    <row r="679" spans="1:20" x14ac:dyDescent="0.2">
      <c r="A679" s="889"/>
      <c r="B679" s="377"/>
      <c r="C679" s="377"/>
      <c r="D679" s="377"/>
      <c r="E679" s="377"/>
      <c r="F679" s="377"/>
      <c r="G679" s="913"/>
      <c r="H679" s="408"/>
      <c r="I679" s="408"/>
      <c r="J679" s="377"/>
      <c r="K679" s="377"/>
      <c r="L679" s="377"/>
      <c r="M679" s="377"/>
      <c r="N679" s="377"/>
      <c r="O679" s="377"/>
      <c r="P679" s="377"/>
      <c r="Q679" s="377"/>
      <c r="R679" s="377"/>
      <c r="S679" s="377"/>
      <c r="T679" s="377"/>
    </row>
    <row r="680" spans="1:20" x14ac:dyDescent="0.2">
      <c r="A680" s="889"/>
      <c r="B680" s="377"/>
      <c r="C680" s="377"/>
      <c r="D680" s="377"/>
      <c r="E680" s="377"/>
      <c r="F680" s="377"/>
      <c r="G680" s="913"/>
      <c r="H680" s="408"/>
      <c r="I680" s="408"/>
      <c r="J680" s="377"/>
      <c r="K680" s="377"/>
      <c r="L680" s="377"/>
      <c r="M680" s="377"/>
      <c r="N680" s="377"/>
      <c r="O680" s="377"/>
      <c r="P680" s="377"/>
      <c r="Q680" s="377"/>
      <c r="R680" s="377"/>
      <c r="S680" s="377"/>
      <c r="T680" s="377"/>
    </row>
    <row r="681" spans="1:20" x14ac:dyDescent="0.2">
      <c r="A681" s="889"/>
      <c r="B681" s="377"/>
      <c r="C681" s="377"/>
      <c r="D681" s="377"/>
      <c r="E681" s="377"/>
      <c r="F681" s="377"/>
      <c r="G681" s="913"/>
      <c r="H681" s="408"/>
      <c r="I681" s="408"/>
      <c r="J681" s="377"/>
      <c r="K681" s="377"/>
      <c r="L681" s="377"/>
      <c r="M681" s="377"/>
      <c r="N681" s="377"/>
      <c r="O681" s="377"/>
      <c r="P681" s="377"/>
      <c r="Q681" s="377"/>
      <c r="R681" s="377"/>
      <c r="S681" s="377"/>
      <c r="T681" s="377"/>
    </row>
    <row r="682" spans="1:20" x14ac:dyDescent="0.2">
      <c r="A682" s="889"/>
      <c r="B682" s="377"/>
      <c r="C682" s="377"/>
      <c r="D682" s="377"/>
      <c r="E682" s="377"/>
      <c r="F682" s="377"/>
      <c r="G682" s="913"/>
      <c r="H682" s="408"/>
      <c r="I682" s="408"/>
      <c r="J682" s="377"/>
      <c r="K682" s="377"/>
      <c r="L682" s="377"/>
      <c r="M682" s="377"/>
      <c r="N682" s="377"/>
      <c r="O682" s="377"/>
      <c r="P682" s="377"/>
      <c r="Q682" s="377"/>
      <c r="R682" s="377"/>
      <c r="S682" s="377"/>
      <c r="T682" s="377"/>
    </row>
    <row r="683" spans="1:20" x14ac:dyDescent="0.2">
      <c r="A683" s="889"/>
      <c r="B683" s="377"/>
      <c r="C683" s="377"/>
      <c r="D683" s="377"/>
      <c r="E683" s="377"/>
      <c r="F683" s="377"/>
      <c r="G683" s="913"/>
      <c r="H683" s="408"/>
      <c r="I683" s="408"/>
      <c r="J683" s="377"/>
      <c r="K683" s="377"/>
      <c r="L683" s="377"/>
      <c r="M683" s="377"/>
      <c r="N683" s="377"/>
      <c r="O683" s="377"/>
      <c r="P683" s="377"/>
      <c r="Q683" s="377"/>
      <c r="R683" s="377"/>
      <c r="S683" s="377"/>
      <c r="T683" s="377"/>
    </row>
    <row r="684" spans="1:20" x14ac:dyDescent="0.2">
      <c r="A684" s="889"/>
      <c r="B684" s="377"/>
      <c r="C684" s="377"/>
      <c r="D684" s="377"/>
      <c r="E684" s="377"/>
      <c r="F684" s="377"/>
      <c r="G684" s="913"/>
      <c r="H684" s="408"/>
      <c r="I684" s="408"/>
      <c r="J684" s="377"/>
      <c r="K684" s="377"/>
      <c r="L684" s="377"/>
      <c r="M684" s="377"/>
      <c r="N684" s="377"/>
      <c r="O684" s="377"/>
      <c r="P684" s="377"/>
      <c r="Q684" s="377"/>
      <c r="R684" s="377"/>
      <c r="S684" s="377"/>
      <c r="T684" s="377"/>
    </row>
    <row r="685" spans="1:20" x14ac:dyDescent="0.2">
      <c r="A685" s="889"/>
      <c r="B685" s="377"/>
      <c r="C685" s="377"/>
      <c r="D685" s="377"/>
      <c r="E685" s="377"/>
      <c r="F685" s="377"/>
      <c r="G685" s="913"/>
      <c r="H685" s="408"/>
      <c r="I685" s="408"/>
      <c r="J685" s="377"/>
      <c r="K685" s="377"/>
      <c r="L685" s="377"/>
      <c r="M685" s="377"/>
      <c r="N685" s="377"/>
      <c r="O685" s="377"/>
      <c r="P685" s="377"/>
      <c r="Q685" s="377"/>
      <c r="R685" s="377"/>
      <c r="S685" s="377"/>
      <c r="T685" s="377"/>
    </row>
    <row r="686" spans="1:20" x14ac:dyDescent="0.2">
      <c r="A686" s="889"/>
      <c r="B686" s="377"/>
      <c r="C686" s="377"/>
      <c r="D686" s="377"/>
      <c r="E686" s="377"/>
      <c r="F686" s="377"/>
      <c r="G686" s="913"/>
      <c r="H686" s="408"/>
      <c r="I686" s="408"/>
      <c r="J686" s="377"/>
      <c r="K686" s="377"/>
      <c r="L686" s="377"/>
      <c r="M686" s="377"/>
      <c r="N686" s="377"/>
      <c r="O686" s="377"/>
      <c r="P686" s="377"/>
      <c r="Q686" s="377"/>
      <c r="R686" s="377"/>
      <c r="S686" s="377"/>
      <c r="T686" s="377"/>
    </row>
    <row r="687" spans="1:20" x14ac:dyDescent="0.2">
      <c r="A687" s="889"/>
      <c r="B687" s="377"/>
      <c r="C687" s="377"/>
      <c r="D687" s="377"/>
      <c r="E687" s="377"/>
      <c r="F687" s="377"/>
      <c r="G687" s="913"/>
      <c r="H687" s="408"/>
      <c r="I687" s="408"/>
      <c r="J687" s="377"/>
      <c r="K687" s="377"/>
      <c r="L687" s="377"/>
      <c r="M687" s="377"/>
      <c r="N687" s="377"/>
      <c r="O687" s="377"/>
      <c r="P687" s="377"/>
      <c r="Q687" s="377"/>
      <c r="R687" s="377"/>
      <c r="S687" s="377"/>
      <c r="T687" s="377"/>
    </row>
    <row r="688" spans="1:20" x14ac:dyDescent="0.2">
      <c r="A688" s="889"/>
      <c r="B688" s="377"/>
      <c r="C688" s="377"/>
      <c r="D688" s="377"/>
      <c r="E688" s="377"/>
      <c r="F688" s="377"/>
      <c r="G688" s="913"/>
      <c r="H688" s="408"/>
      <c r="I688" s="408"/>
      <c r="J688" s="377"/>
      <c r="K688" s="377"/>
      <c r="L688" s="377"/>
      <c r="M688" s="377"/>
      <c r="N688" s="377"/>
      <c r="O688" s="377"/>
      <c r="P688" s="377"/>
      <c r="Q688" s="377"/>
      <c r="R688" s="377"/>
      <c r="S688" s="377"/>
      <c r="T688" s="377"/>
    </row>
    <row r="689" spans="1:20" x14ac:dyDescent="0.2">
      <c r="A689" s="889"/>
      <c r="B689" s="377"/>
      <c r="C689" s="377"/>
      <c r="D689" s="377"/>
      <c r="E689" s="377"/>
      <c r="F689" s="377"/>
      <c r="G689" s="913"/>
      <c r="H689" s="408"/>
      <c r="I689" s="408"/>
      <c r="J689" s="377"/>
      <c r="K689" s="377"/>
      <c r="L689" s="377"/>
      <c r="M689" s="377"/>
      <c r="N689" s="377"/>
      <c r="O689" s="377"/>
      <c r="P689" s="377"/>
      <c r="Q689" s="377"/>
      <c r="R689" s="377"/>
      <c r="S689" s="377"/>
      <c r="T689" s="377"/>
    </row>
    <row r="690" spans="1:20" x14ac:dyDescent="0.2">
      <c r="A690" s="889"/>
      <c r="B690" s="377"/>
      <c r="C690" s="377"/>
      <c r="D690" s="377"/>
      <c r="E690" s="377"/>
      <c r="F690" s="377"/>
      <c r="G690" s="913"/>
      <c r="H690" s="408"/>
      <c r="I690" s="408"/>
      <c r="J690" s="377"/>
      <c r="K690" s="377"/>
      <c r="L690" s="377"/>
      <c r="M690" s="377"/>
      <c r="N690" s="377"/>
      <c r="O690" s="377"/>
      <c r="P690" s="377"/>
      <c r="Q690" s="377"/>
      <c r="R690" s="377"/>
      <c r="S690" s="377"/>
      <c r="T690" s="377"/>
    </row>
    <row r="691" spans="1:20" x14ac:dyDescent="0.2">
      <c r="A691" s="889"/>
      <c r="B691" s="377"/>
      <c r="C691" s="377"/>
      <c r="D691" s="377"/>
      <c r="E691" s="377"/>
      <c r="F691" s="377"/>
      <c r="G691" s="913"/>
      <c r="H691" s="408"/>
      <c r="I691" s="408"/>
      <c r="J691" s="377"/>
      <c r="K691" s="377"/>
      <c r="L691" s="377"/>
      <c r="M691" s="377"/>
      <c r="N691" s="377"/>
      <c r="O691" s="377"/>
      <c r="P691" s="377"/>
      <c r="Q691" s="377"/>
      <c r="R691" s="377"/>
      <c r="S691" s="377"/>
      <c r="T691" s="377"/>
    </row>
    <row r="692" spans="1:20" x14ac:dyDescent="0.2">
      <c r="A692" s="889"/>
      <c r="B692" s="377"/>
      <c r="C692" s="377"/>
      <c r="D692" s="377"/>
      <c r="E692" s="377"/>
      <c r="F692" s="377"/>
      <c r="G692" s="913"/>
      <c r="H692" s="408"/>
      <c r="I692" s="408"/>
      <c r="J692" s="377"/>
      <c r="K692" s="377"/>
      <c r="L692" s="377"/>
      <c r="M692" s="377"/>
      <c r="N692" s="377"/>
      <c r="O692" s="377"/>
      <c r="P692" s="377"/>
      <c r="Q692" s="377"/>
      <c r="R692" s="377"/>
      <c r="S692" s="377"/>
      <c r="T692" s="377"/>
    </row>
    <row r="693" spans="1:20" x14ac:dyDescent="0.2">
      <c r="A693" s="889"/>
      <c r="B693" s="377"/>
      <c r="C693" s="377"/>
      <c r="D693" s="377"/>
      <c r="E693" s="377"/>
      <c r="F693" s="377"/>
      <c r="G693" s="913"/>
      <c r="H693" s="408"/>
      <c r="I693" s="408"/>
      <c r="J693" s="377"/>
      <c r="K693" s="377"/>
      <c r="L693" s="377"/>
      <c r="M693" s="377"/>
      <c r="N693" s="377"/>
      <c r="O693" s="377"/>
      <c r="P693" s="377"/>
      <c r="Q693" s="377"/>
      <c r="R693" s="377"/>
      <c r="S693" s="377"/>
      <c r="T693" s="377"/>
    </row>
    <row r="694" spans="1:20" x14ac:dyDescent="0.2">
      <c r="A694" s="889"/>
      <c r="B694" s="377"/>
      <c r="C694" s="377"/>
      <c r="D694" s="377"/>
      <c r="E694" s="377"/>
      <c r="F694" s="377"/>
      <c r="G694" s="913"/>
      <c r="H694" s="408"/>
      <c r="I694" s="408"/>
      <c r="J694" s="377"/>
      <c r="K694" s="377"/>
      <c r="L694" s="377"/>
      <c r="M694" s="377"/>
      <c r="N694" s="377"/>
      <c r="O694" s="377"/>
      <c r="P694" s="377"/>
      <c r="Q694" s="377"/>
      <c r="R694" s="377"/>
      <c r="S694" s="377"/>
      <c r="T694" s="377"/>
    </row>
    <row r="695" spans="1:20" x14ac:dyDescent="0.2">
      <c r="A695" s="889"/>
      <c r="B695" s="377"/>
      <c r="C695" s="377"/>
      <c r="D695" s="377"/>
      <c r="E695" s="377"/>
      <c r="F695" s="377"/>
      <c r="G695" s="913"/>
      <c r="H695" s="408"/>
      <c r="I695" s="408"/>
      <c r="J695" s="377"/>
      <c r="K695" s="377"/>
      <c r="L695" s="377"/>
      <c r="M695" s="377"/>
      <c r="N695" s="377"/>
      <c r="O695" s="377"/>
      <c r="P695" s="377"/>
      <c r="Q695" s="377"/>
      <c r="R695" s="377"/>
      <c r="S695" s="377"/>
      <c r="T695" s="377"/>
    </row>
    <row r="696" spans="1:20" x14ac:dyDescent="0.2">
      <c r="A696" s="889"/>
      <c r="B696" s="377"/>
      <c r="C696" s="377"/>
      <c r="D696" s="377"/>
      <c r="E696" s="377"/>
      <c r="F696" s="377"/>
      <c r="G696" s="913"/>
      <c r="H696" s="408"/>
      <c r="I696" s="408"/>
      <c r="J696" s="377"/>
      <c r="K696" s="377"/>
      <c r="L696" s="377"/>
      <c r="M696" s="377"/>
      <c r="N696" s="377"/>
      <c r="O696" s="377"/>
      <c r="P696" s="377"/>
      <c r="Q696" s="377"/>
      <c r="R696" s="377"/>
      <c r="S696" s="377"/>
      <c r="T696" s="377"/>
    </row>
    <row r="697" spans="1:20" x14ac:dyDescent="0.2">
      <c r="A697" s="889"/>
      <c r="B697" s="377"/>
      <c r="C697" s="377"/>
      <c r="D697" s="377"/>
      <c r="E697" s="377"/>
      <c r="F697" s="377"/>
      <c r="G697" s="913"/>
      <c r="H697" s="408"/>
      <c r="I697" s="408"/>
      <c r="J697" s="377"/>
      <c r="K697" s="377"/>
      <c r="L697" s="377"/>
      <c r="M697" s="377"/>
      <c r="N697" s="377"/>
      <c r="O697" s="377"/>
      <c r="P697" s="377"/>
      <c r="Q697" s="377"/>
      <c r="R697" s="377"/>
      <c r="S697" s="377"/>
      <c r="T697" s="377"/>
    </row>
    <row r="698" spans="1:20" x14ac:dyDescent="0.2">
      <c r="A698" s="889"/>
      <c r="B698" s="377"/>
      <c r="C698" s="377"/>
      <c r="D698" s="377"/>
      <c r="E698" s="377"/>
      <c r="F698" s="377"/>
      <c r="G698" s="913"/>
      <c r="H698" s="408"/>
      <c r="I698" s="408"/>
      <c r="J698" s="377"/>
      <c r="K698" s="377"/>
      <c r="L698" s="377"/>
      <c r="M698" s="377"/>
      <c r="N698" s="377"/>
      <c r="O698" s="377"/>
      <c r="P698" s="377"/>
      <c r="Q698" s="377"/>
      <c r="R698" s="377"/>
      <c r="S698" s="377"/>
      <c r="T698" s="377"/>
    </row>
    <row r="699" spans="1:20" x14ac:dyDescent="0.2">
      <c r="A699" s="889"/>
      <c r="B699" s="377"/>
      <c r="C699" s="377"/>
      <c r="D699" s="377"/>
      <c r="E699" s="377"/>
      <c r="F699" s="377"/>
      <c r="G699" s="913"/>
      <c r="H699" s="408"/>
      <c r="I699" s="408"/>
      <c r="J699" s="377"/>
      <c r="K699" s="377"/>
      <c r="L699" s="377"/>
      <c r="M699" s="377"/>
      <c r="N699" s="377"/>
      <c r="O699" s="377"/>
      <c r="P699" s="377"/>
      <c r="Q699" s="377"/>
      <c r="R699" s="377"/>
      <c r="S699" s="377"/>
      <c r="T699" s="377"/>
    </row>
    <row r="700" spans="1:20" x14ac:dyDescent="0.2">
      <c r="A700" s="889"/>
      <c r="B700" s="377"/>
      <c r="C700" s="377"/>
      <c r="D700" s="377"/>
      <c r="E700" s="377"/>
      <c r="F700" s="377"/>
      <c r="G700" s="913"/>
      <c r="H700" s="408"/>
      <c r="I700" s="408"/>
      <c r="J700" s="377"/>
      <c r="K700" s="377"/>
      <c r="L700" s="377"/>
      <c r="M700" s="377"/>
      <c r="N700" s="377"/>
      <c r="O700" s="377"/>
      <c r="P700" s="377"/>
      <c r="Q700" s="377"/>
      <c r="R700" s="377"/>
      <c r="S700" s="377"/>
      <c r="T700" s="377"/>
    </row>
    <row r="701" spans="1:20" x14ac:dyDescent="0.2">
      <c r="A701" s="889"/>
      <c r="B701" s="377"/>
      <c r="C701" s="377"/>
      <c r="D701" s="377"/>
      <c r="E701" s="377"/>
      <c r="F701" s="377"/>
      <c r="G701" s="913"/>
      <c r="H701" s="408"/>
      <c r="I701" s="408"/>
      <c r="J701" s="377"/>
      <c r="K701" s="377"/>
      <c r="L701" s="377"/>
      <c r="M701" s="377"/>
      <c r="N701" s="377"/>
      <c r="O701" s="377"/>
      <c r="P701" s="377"/>
      <c r="Q701" s="377"/>
      <c r="R701" s="377"/>
      <c r="S701" s="377"/>
      <c r="T701" s="377"/>
    </row>
    <row r="702" spans="1:20" x14ac:dyDescent="0.2">
      <c r="A702" s="889"/>
      <c r="B702" s="377"/>
      <c r="C702" s="377"/>
      <c r="D702" s="377"/>
      <c r="E702" s="377"/>
      <c r="F702" s="377"/>
      <c r="G702" s="913"/>
      <c r="H702" s="408"/>
      <c r="I702" s="408"/>
      <c r="J702" s="377"/>
      <c r="K702" s="377"/>
      <c r="L702" s="377"/>
      <c r="M702" s="377"/>
      <c r="N702" s="377"/>
      <c r="O702" s="377"/>
      <c r="P702" s="377"/>
      <c r="Q702" s="377"/>
      <c r="R702" s="377"/>
      <c r="S702" s="377"/>
      <c r="T702" s="377"/>
    </row>
    <row r="703" spans="1:20" x14ac:dyDescent="0.2">
      <c r="A703" s="889"/>
      <c r="B703" s="377"/>
      <c r="C703" s="377"/>
      <c r="D703" s="377"/>
      <c r="E703" s="377"/>
      <c r="F703" s="377"/>
      <c r="G703" s="913"/>
      <c r="H703" s="408"/>
      <c r="I703" s="408"/>
      <c r="J703" s="377"/>
      <c r="K703" s="377"/>
      <c r="L703" s="377"/>
      <c r="M703" s="377"/>
      <c r="N703" s="377"/>
      <c r="O703" s="377"/>
      <c r="P703" s="377"/>
      <c r="Q703" s="377"/>
      <c r="R703" s="377"/>
      <c r="S703" s="377"/>
      <c r="T703" s="377"/>
    </row>
    <row r="704" spans="1:20" x14ac:dyDescent="0.2">
      <c r="A704" s="889"/>
      <c r="B704" s="377"/>
      <c r="C704" s="377"/>
      <c r="D704" s="377"/>
      <c r="E704" s="377"/>
      <c r="F704" s="377"/>
      <c r="G704" s="913"/>
      <c r="H704" s="408"/>
      <c r="I704" s="408"/>
      <c r="J704" s="377"/>
      <c r="K704" s="377"/>
      <c r="L704" s="377"/>
      <c r="M704" s="377"/>
      <c r="N704" s="377"/>
      <c r="O704" s="377"/>
      <c r="P704" s="377"/>
      <c r="Q704" s="377"/>
      <c r="R704" s="377"/>
      <c r="S704" s="377"/>
      <c r="T704" s="377"/>
    </row>
    <row r="705" spans="1:20" x14ac:dyDescent="0.2">
      <c r="A705" s="889"/>
      <c r="B705" s="377"/>
      <c r="C705" s="377"/>
      <c r="D705" s="377"/>
      <c r="E705" s="377"/>
      <c r="F705" s="377"/>
      <c r="G705" s="913"/>
      <c r="H705" s="408"/>
      <c r="I705" s="408"/>
      <c r="J705" s="377"/>
      <c r="K705" s="377"/>
      <c r="L705" s="377"/>
      <c r="M705" s="377"/>
      <c r="N705" s="377"/>
      <c r="O705" s="377"/>
      <c r="P705" s="377"/>
      <c r="Q705" s="377"/>
      <c r="R705" s="377"/>
      <c r="S705" s="377"/>
      <c r="T705" s="377"/>
    </row>
    <row r="706" spans="1:20" x14ac:dyDescent="0.2">
      <c r="A706" s="889"/>
      <c r="B706" s="377"/>
      <c r="C706" s="377"/>
      <c r="D706" s="377"/>
      <c r="E706" s="377"/>
      <c r="F706" s="377"/>
      <c r="G706" s="913"/>
      <c r="H706" s="408"/>
      <c r="I706" s="408"/>
      <c r="J706" s="377"/>
      <c r="K706" s="377"/>
      <c r="L706" s="377"/>
      <c r="M706" s="377"/>
      <c r="N706" s="377"/>
      <c r="O706" s="377"/>
      <c r="P706" s="377"/>
      <c r="Q706" s="377"/>
      <c r="R706" s="377"/>
      <c r="S706" s="377"/>
      <c r="T706" s="377"/>
    </row>
    <row r="707" spans="1:20" x14ac:dyDescent="0.2">
      <c r="A707" s="889"/>
      <c r="B707" s="377"/>
      <c r="C707" s="377"/>
      <c r="D707" s="377"/>
      <c r="E707" s="377"/>
      <c r="F707" s="377"/>
      <c r="G707" s="913"/>
      <c r="H707" s="408"/>
      <c r="I707" s="408"/>
      <c r="J707" s="377"/>
      <c r="K707" s="377"/>
      <c r="L707" s="377"/>
      <c r="M707" s="377"/>
      <c r="N707" s="377"/>
      <c r="O707" s="377"/>
      <c r="P707" s="377"/>
      <c r="Q707" s="377"/>
      <c r="R707" s="377"/>
      <c r="S707" s="377"/>
      <c r="T707" s="377"/>
    </row>
    <row r="708" spans="1:20" x14ac:dyDescent="0.2">
      <c r="A708" s="889"/>
      <c r="B708" s="377"/>
      <c r="C708" s="377"/>
      <c r="D708" s="377"/>
      <c r="E708" s="377"/>
      <c r="F708" s="377"/>
      <c r="G708" s="913"/>
      <c r="H708" s="408"/>
      <c r="I708" s="408"/>
      <c r="J708" s="377"/>
      <c r="K708" s="377"/>
      <c r="L708" s="377"/>
      <c r="M708" s="377"/>
      <c r="N708" s="377"/>
      <c r="O708" s="377"/>
      <c r="P708" s="377"/>
      <c r="Q708" s="377"/>
      <c r="R708" s="377"/>
      <c r="S708" s="377"/>
      <c r="T708" s="377"/>
    </row>
    <row r="709" spans="1:20" x14ac:dyDescent="0.2">
      <c r="A709" s="889"/>
      <c r="B709" s="377"/>
      <c r="C709" s="377"/>
      <c r="D709" s="377"/>
      <c r="E709" s="377"/>
      <c r="F709" s="377"/>
      <c r="G709" s="913"/>
      <c r="H709" s="408"/>
      <c r="I709" s="408"/>
      <c r="J709" s="377"/>
      <c r="K709" s="377"/>
      <c r="L709" s="377"/>
      <c r="M709" s="377"/>
      <c r="N709" s="377"/>
      <c r="O709" s="377"/>
      <c r="P709" s="377"/>
      <c r="Q709" s="377"/>
      <c r="R709" s="377"/>
      <c r="S709" s="377"/>
      <c r="T709" s="377"/>
    </row>
    <row r="710" spans="1:20" x14ac:dyDescent="0.2">
      <c r="A710" s="889"/>
      <c r="B710" s="377"/>
      <c r="C710" s="377"/>
      <c r="D710" s="377"/>
      <c r="E710" s="377"/>
      <c r="F710" s="377"/>
      <c r="G710" s="913"/>
      <c r="H710" s="408"/>
      <c r="I710" s="408"/>
      <c r="J710" s="377"/>
      <c r="K710" s="377"/>
      <c r="L710" s="377"/>
      <c r="M710" s="377"/>
      <c r="N710" s="377"/>
      <c r="O710" s="377"/>
      <c r="P710" s="377"/>
      <c r="Q710" s="377"/>
      <c r="R710" s="377"/>
      <c r="S710" s="377"/>
      <c r="T710" s="377"/>
    </row>
    <row r="711" spans="1:20" x14ac:dyDescent="0.2">
      <c r="A711" s="889"/>
      <c r="B711" s="377"/>
      <c r="C711" s="377"/>
      <c r="D711" s="377"/>
      <c r="E711" s="377"/>
      <c r="F711" s="377"/>
      <c r="G711" s="913"/>
      <c r="H711" s="408"/>
      <c r="I711" s="408"/>
      <c r="J711" s="377"/>
      <c r="K711" s="377"/>
      <c r="L711" s="377"/>
      <c r="M711" s="377"/>
      <c r="N711" s="377"/>
      <c r="O711" s="377"/>
      <c r="P711" s="377"/>
      <c r="Q711" s="377"/>
      <c r="R711" s="377"/>
      <c r="S711" s="377"/>
      <c r="T711" s="377"/>
    </row>
    <row r="712" spans="1:20" x14ac:dyDescent="0.2">
      <c r="A712" s="889"/>
      <c r="B712" s="377"/>
      <c r="C712" s="377"/>
      <c r="D712" s="377"/>
      <c r="E712" s="377"/>
      <c r="F712" s="377"/>
      <c r="G712" s="913"/>
      <c r="H712" s="408"/>
      <c r="I712" s="408"/>
      <c r="J712" s="377"/>
      <c r="K712" s="377"/>
      <c r="L712" s="377"/>
      <c r="M712" s="377"/>
      <c r="N712" s="377"/>
      <c r="O712" s="377"/>
      <c r="P712" s="377"/>
      <c r="Q712" s="377"/>
      <c r="R712" s="377"/>
      <c r="S712" s="377"/>
      <c r="T712" s="377"/>
    </row>
    <row r="713" spans="1:20" x14ac:dyDescent="0.2">
      <c r="A713" s="889"/>
      <c r="B713" s="377"/>
      <c r="C713" s="377"/>
      <c r="D713" s="377"/>
      <c r="E713" s="377"/>
      <c r="F713" s="377"/>
      <c r="G713" s="913"/>
      <c r="H713" s="408"/>
      <c r="I713" s="408"/>
      <c r="J713" s="377"/>
      <c r="K713" s="377"/>
      <c r="L713" s="377"/>
      <c r="M713" s="377"/>
      <c r="N713" s="377"/>
      <c r="O713" s="377"/>
      <c r="P713" s="377"/>
      <c r="Q713" s="377"/>
      <c r="R713" s="377"/>
      <c r="S713" s="377"/>
      <c r="T713" s="377"/>
    </row>
    <row r="714" spans="1:20" x14ac:dyDescent="0.2">
      <c r="A714" s="889"/>
      <c r="B714" s="377"/>
      <c r="C714" s="377"/>
      <c r="D714" s="377"/>
      <c r="E714" s="377"/>
      <c r="F714" s="377"/>
      <c r="G714" s="913"/>
      <c r="H714" s="408"/>
      <c r="I714" s="408"/>
      <c r="J714" s="377"/>
      <c r="K714" s="377"/>
      <c r="L714" s="377"/>
      <c r="M714" s="377"/>
      <c r="N714" s="377"/>
      <c r="O714" s="377"/>
      <c r="P714" s="377"/>
      <c r="Q714" s="377"/>
      <c r="R714" s="377"/>
      <c r="S714" s="377"/>
      <c r="T714" s="377"/>
    </row>
    <row r="715" spans="1:20" x14ac:dyDescent="0.2">
      <c r="A715" s="889"/>
      <c r="B715" s="377"/>
      <c r="C715" s="377"/>
      <c r="D715" s="377"/>
      <c r="E715" s="377"/>
      <c r="F715" s="377"/>
      <c r="G715" s="913"/>
      <c r="H715" s="408"/>
      <c r="I715" s="408"/>
      <c r="J715" s="377"/>
      <c r="K715" s="377"/>
      <c r="L715" s="377"/>
      <c r="M715" s="377"/>
      <c r="N715" s="377"/>
      <c r="O715" s="377"/>
      <c r="P715" s="377"/>
      <c r="Q715" s="377"/>
      <c r="R715" s="377"/>
      <c r="S715" s="377"/>
      <c r="T715" s="377"/>
    </row>
    <row r="716" spans="1:20" x14ac:dyDescent="0.2">
      <c r="A716" s="889"/>
      <c r="B716" s="377"/>
      <c r="C716" s="377"/>
      <c r="D716" s="377"/>
      <c r="E716" s="377"/>
      <c r="F716" s="377"/>
      <c r="G716" s="913"/>
      <c r="H716" s="408"/>
      <c r="I716" s="408"/>
      <c r="J716" s="377"/>
      <c r="K716" s="377"/>
      <c r="L716" s="377"/>
      <c r="M716" s="377"/>
      <c r="N716" s="377"/>
      <c r="O716" s="377"/>
      <c r="P716" s="377"/>
      <c r="Q716" s="377"/>
      <c r="R716" s="377"/>
      <c r="S716" s="377"/>
      <c r="T716" s="377"/>
    </row>
    <row r="717" spans="1:20" x14ac:dyDescent="0.2">
      <c r="A717" s="889"/>
      <c r="B717" s="377"/>
      <c r="C717" s="377"/>
      <c r="D717" s="377"/>
      <c r="E717" s="377"/>
      <c r="F717" s="377"/>
      <c r="G717" s="913"/>
      <c r="H717" s="408"/>
      <c r="I717" s="408"/>
      <c r="J717" s="377"/>
      <c r="K717" s="377"/>
      <c r="L717" s="377"/>
      <c r="M717" s="377"/>
      <c r="N717" s="377"/>
      <c r="O717" s="377"/>
      <c r="P717" s="377"/>
      <c r="Q717" s="377"/>
      <c r="R717" s="377"/>
      <c r="S717" s="377"/>
      <c r="T717" s="377"/>
    </row>
    <row r="718" spans="1:20" x14ac:dyDescent="0.2">
      <c r="A718" s="889"/>
      <c r="B718" s="377"/>
      <c r="C718" s="377"/>
      <c r="D718" s="377"/>
      <c r="E718" s="377"/>
      <c r="F718" s="377"/>
      <c r="G718" s="913"/>
      <c r="H718" s="408"/>
      <c r="I718" s="408"/>
      <c r="J718" s="377"/>
      <c r="K718" s="377"/>
      <c r="L718" s="377"/>
      <c r="M718" s="377"/>
      <c r="N718" s="377"/>
      <c r="O718" s="377"/>
      <c r="P718" s="377"/>
      <c r="Q718" s="377"/>
      <c r="R718" s="377"/>
      <c r="S718" s="377"/>
      <c r="T718" s="377"/>
    </row>
    <row r="719" spans="1:20" x14ac:dyDescent="0.2">
      <c r="A719" s="889"/>
      <c r="B719" s="377"/>
      <c r="C719" s="377"/>
      <c r="D719" s="377"/>
      <c r="E719" s="377"/>
      <c r="F719" s="377"/>
      <c r="G719" s="913"/>
      <c r="H719" s="408"/>
      <c r="I719" s="408"/>
      <c r="J719" s="377"/>
      <c r="K719" s="377"/>
      <c r="L719" s="377"/>
      <c r="M719" s="377"/>
      <c r="N719" s="377"/>
      <c r="O719" s="377"/>
      <c r="P719" s="377"/>
      <c r="Q719" s="377"/>
      <c r="R719" s="377"/>
      <c r="S719" s="377"/>
      <c r="T719" s="377"/>
    </row>
    <row r="720" spans="1:20" x14ac:dyDescent="0.2">
      <c r="A720" s="889"/>
      <c r="B720" s="377"/>
      <c r="C720" s="377"/>
      <c r="D720" s="377"/>
      <c r="E720" s="377"/>
      <c r="F720" s="377"/>
      <c r="G720" s="913"/>
      <c r="H720" s="408"/>
      <c r="I720" s="408"/>
      <c r="J720" s="377"/>
      <c r="K720" s="377"/>
      <c r="L720" s="377"/>
      <c r="M720" s="377"/>
      <c r="N720" s="377"/>
      <c r="O720" s="377"/>
      <c r="P720" s="377"/>
      <c r="Q720" s="377"/>
      <c r="R720" s="377"/>
      <c r="S720" s="377"/>
      <c r="T720" s="377"/>
    </row>
    <row r="721" spans="1:20" x14ac:dyDescent="0.2">
      <c r="A721" s="889"/>
      <c r="B721" s="377"/>
      <c r="C721" s="377"/>
      <c r="D721" s="377"/>
      <c r="E721" s="377"/>
      <c r="F721" s="377"/>
      <c r="G721" s="913"/>
      <c r="H721" s="408"/>
      <c r="I721" s="408"/>
      <c r="J721" s="377"/>
      <c r="K721" s="377"/>
      <c r="L721" s="377"/>
      <c r="M721" s="377"/>
      <c r="N721" s="377"/>
      <c r="O721" s="377"/>
      <c r="P721" s="377"/>
      <c r="Q721" s="377"/>
      <c r="R721" s="377"/>
      <c r="S721" s="377"/>
      <c r="T721" s="377"/>
    </row>
    <row r="722" spans="1:20" x14ac:dyDescent="0.2">
      <c r="A722" s="889"/>
      <c r="B722" s="377"/>
      <c r="C722" s="377"/>
      <c r="D722" s="377"/>
      <c r="E722" s="377"/>
      <c r="F722" s="377"/>
      <c r="G722" s="913"/>
      <c r="H722" s="408"/>
      <c r="I722" s="408"/>
      <c r="J722" s="377"/>
      <c r="K722" s="377"/>
      <c r="L722" s="377"/>
      <c r="M722" s="377"/>
      <c r="N722" s="377"/>
      <c r="O722" s="377"/>
      <c r="P722" s="377"/>
      <c r="Q722" s="377"/>
      <c r="R722" s="377"/>
      <c r="S722" s="377"/>
      <c r="T722" s="377"/>
    </row>
    <row r="723" spans="1:20" x14ac:dyDescent="0.2">
      <c r="A723" s="889"/>
      <c r="B723" s="377"/>
      <c r="C723" s="377"/>
      <c r="D723" s="377"/>
      <c r="E723" s="377"/>
      <c r="F723" s="377"/>
      <c r="G723" s="913"/>
      <c r="H723" s="408"/>
      <c r="I723" s="408"/>
      <c r="J723" s="377"/>
      <c r="K723" s="377"/>
      <c r="L723" s="377"/>
      <c r="M723" s="377"/>
      <c r="N723" s="377"/>
      <c r="O723" s="377"/>
      <c r="P723" s="377"/>
      <c r="Q723" s="377"/>
      <c r="R723" s="377"/>
      <c r="S723" s="377"/>
      <c r="T723" s="377"/>
    </row>
    <row r="724" spans="1:20" x14ac:dyDescent="0.2">
      <c r="A724" s="889"/>
      <c r="B724" s="377"/>
      <c r="C724" s="377"/>
      <c r="D724" s="377"/>
      <c r="E724" s="377"/>
      <c r="F724" s="377"/>
      <c r="G724" s="913"/>
      <c r="H724" s="408"/>
      <c r="I724" s="408"/>
      <c r="J724" s="377"/>
      <c r="K724" s="377"/>
      <c r="L724" s="377"/>
      <c r="M724" s="377"/>
      <c r="N724" s="377"/>
      <c r="O724" s="377"/>
      <c r="P724" s="377"/>
      <c r="Q724" s="377"/>
      <c r="R724" s="377"/>
      <c r="S724" s="377"/>
      <c r="T724" s="377"/>
    </row>
    <row r="725" spans="1:20" x14ac:dyDescent="0.2">
      <c r="A725" s="889"/>
      <c r="B725" s="377"/>
      <c r="C725" s="377"/>
      <c r="D725" s="377"/>
      <c r="E725" s="377"/>
      <c r="F725" s="377"/>
      <c r="G725" s="913"/>
      <c r="H725" s="408"/>
      <c r="I725" s="408"/>
      <c r="J725" s="377"/>
      <c r="K725" s="377"/>
      <c r="L725" s="377"/>
      <c r="M725" s="377"/>
      <c r="N725" s="377"/>
      <c r="O725" s="377"/>
      <c r="P725" s="377"/>
      <c r="Q725" s="377"/>
      <c r="R725" s="377"/>
      <c r="S725" s="377"/>
      <c r="T725" s="377"/>
    </row>
    <row r="726" spans="1:20" x14ac:dyDescent="0.2">
      <c r="A726" s="889"/>
      <c r="B726" s="377"/>
      <c r="C726" s="377"/>
      <c r="D726" s="377"/>
      <c r="E726" s="377"/>
      <c r="F726" s="377"/>
      <c r="G726" s="913"/>
      <c r="H726" s="408"/>
      <c r="I726" s="408"/>
      <c r="J726" s="377"/>
      <c r="K726" s="377"/>
      <c r="L726" s="377"/>
      <c r="M726" s="377"/>
      <c r="N726" s="377"/>
      <c r="O726" s="377"/>
      <c r="P726" s="377"/>
      <c r="Q726" s="377"/>
      <c r="R726" s="377"/>
      <c r="S726" s="377"/>
      <c r="T726" s="377"/>
    </row>
    <row r="727" spans="1:20" x14ac:dyDescent="0.2">
      <c r="A727" s="889"/>
      <c r="B727" s="377"/>
      <c r="C727" s="377"/>
      <c r="D727" s="377"/>
      <c r="E727" s="377"/>
      <c r="F727" s="377"/>
      <c r="G727" s="913"/>
      <c r="H727" s="408"/>
      <c r="I727" s="408"/>
      <c r="J727" s="377"/>
      <c r="K727" s="377"/>
      <c r="L727" s="377"/>
      <c r="M727" s="377"/>
      <c r="N727" s="377"/>
      <c r="O727" s="377"/>
      <c r="P727" s="377"/>
      <c r="Q727" s="377"/>
      <c r="R727" s="377"/>
      <c r="S727" s="377"/>
      <c r="T727" s="377"/>
    </row>
    <row r="728" spans="1:20" x14ac:dyDescent="0.2">
      <c r="A728" s="889"/>
      <c r="B728" s="377"/>
      <c r="C728" s="377"/>
      <c r="D728" s="377"/>
      <c r="E728" s="377"/>
      <c r="F728" s="377"/>
      <c r="G728" s="913"/>
      <c r="H728" s="408"/>
      <c r="I728" s="408"/>
      <c r="J728" s="377"/>
      <c r="K728" s="377"/>
      <c r="L728" s="377"/>
      <c r="M728" s="377"/>
      <c r="N728" s="377"/>
      <c r="O728" s="377"/>
      <c r="P728" s="377"/>
      <c r="Q728" s="377"/>
      <c r="R728" s="377"/>
      <c r="S728" s="377"/>
      <c r="T728" s="377"/>
    </row>
    <row r="729" spans="1:20" x14ac:dyDescent="0.2">
      <c r="A729" s="889"/>
      <c r="B729" s="377"/>
      <c r="C729" s="377"/>
      <c r="D729" s="377"/>
      <c r="E729" s="377"/>
      <c r="F729" s="377"/>
      <c r="G729" s="913"/>
      <c r="H729" s="408"/>
      <c r="I729" s="408"/>
      <c r="J729" s="377"/>
      <c r="K729" s="377"/>
      <c r="L729" s="377"/>
      <c r="M729" s="377"/>
      <c r="N729" s="377"/>
      <c r="O729" s="377"/>
      <c r="P729" s="377"/>
      <c r="Q729" s="377"/>
      <c r="R729" s="377"/>
      <c r="S729" s="377"/>
      <c r="T729" s="377"/>
    </row>
    <row r="730" spans="1:20" x14ac:dyDescent="0.2">
      <c r="A730" s="889"/>
      <c r="B730" s="377"/>
      <c r="C730" s="377"/>
      <c r="D730" s="377"/>
      <c r="E730" s="377"/>
      <c r="F730" s="377"/>
      <c r="G730" s="913"/>
      <c r="H730" s="408"/>
      <c r="I730" s="408"/>
      <c r="J730" s="377"/>
      <c r="K730" s="377"/>
      <c r="L730" s="377"/>
      <c r="M730" s="377"/>
      <c r="N730" s="377"/>
      <c r="O730" s="377"/>
      <c r="P730" s="377"/>
      <c r="Q730" s="377"/>
      <c r="R730" s="377"/>
      <c r="S730" s="377"/>
      <c r="T730" s="377"/>
    </row>
    <row r="731" spans="1:20" x14ac:dyDescent="0.2">
      <c r="A731" s="889"/>
      <c r="B731" s="377"/>
      <c r="C731" s="377"/>
      <c r="D731" s="377"/>
      <c r="E731" s="377"/>
      <c r="F731" s="377"/>
      <c r="G731" s="913"/>
      <c r="H731" s="408"/>
      <c r="I731" s="408"/>
      <c r="J731" s="377"/>
      <c r="K731" s="377"/>
      <c r="L731" s="377"/>
      <c r="M731" s="377"/>
      <c r="N731" s="377"/>
      <c r="O731" s="377"/>
      <c r="P731" s="377"/>
      <c r="Q731" s="377"/>
      <c r="R731" s="377"/>
      <c r="S731" s="377"/>
      <c r="T731" s="377"/>
    </row>
    <row r="732" spans="1:20" x14ac:dyDescent="0.2">
      <c r="A732" s="889"/>
      <c r="B732" s="377"/>
      <c r="C732" s="377"/>
      <c r="D732" s="377"/>
      <c r="E732" s="377"/>
      <c r="F732" s="377"/>
      <c r="G732" s="913"/>
      <c r="H732" s="408"/>
      <c r="I732" s="408"/>
      <c r="J732" s="377"/>
      <c r="K732" s="377"/>
      <c r="L732" s="377"/>
      <c r="M732" s="377"/>
      <c r="N732" s="377"/>
      <c r="O732" s="377"/>
      <c r="P732" s="377"/>
      <c r="Q732" s="377"/>
      <c r="R732" s="377"/>
      <c r="S732" s="377"/>
      <c r="T732" s="377"/>
    </row>
    <row r="733" spans="1:20" x14ac:dyDescent="0.2">
      <c r="A733" s="889"/>
      <c r="B733" s="377"/>
      <c r="C733" s="377"/>
      <c r="D733" s="377"/>
      <c r="E733" s="377"/>
      <c r="F733" s="377"/>
      <c r="G733" s="913"/>
      <c r="H733" s="408"/>
      <c r="I733" s="408"/>
      <c r="J733" s="377"/>
      <c r="K733" s="377"/>
      <c r="L733" s="377"/>
      <c r="M733" s="377"/>
      <c r="N733" s="377"/>
      <c r="O733" s="377"/>
      <c r="P733" s="377"/>
      <c r="Q733" s="377"/>
      <c r="R733" s="377"/>
      <c r="S733" s="377"/>
      <c r="T733" s="377"/>
    </row>
    <row r="734" spans="1:20" x14ac:dyDescent="0.2">
      <c r="A734" s="889"/>
      <c r="B734" s="377"/>
      <c r="C734" s="377"/>
      <c r="D734" s="377"/>
      <c r="E734" s="377"/>
      <c r="F734" s="377"/>
      <c r="G734" s="913"/>
      <c r="H734" s="408"/>
      <c r="I734" s="408"/>
      <c r="J734" s="377"/>
      <c r="K734" s="377"/>
      <c r="L734" s="377"/>
      <c r="M734" s="377"/>
      <c r="N734" s="377"/>
      <c r="O734" s="377"/>
      <c r="P734" s="377"/>
      <c r="Q734" s="377"/>
      <c r="R734" s="377"/>
      <c r="S734" s="377"/>
      <c r="T734" s="377"/>
    </row>
    <row r="735" spans="1:20" x14ac:dyDescent="0.2">
      <c r="A735" s="889"/>
      <c r="B735" s="377"/>
      <c r="C735" s="377"/>
      <c r="D735" s="377"/>
      <c r="E735" s="377"/>
      <c r="F735" s="377"/>
      <c r="G735" s="913"/>
      <c r="H735" s="408"/>
      <c r="I735" s="408"/>
      <c r="J735" s="377"/>
      <c r="K735" s="377"/>
      <c r="L735" s="377"/>
      <c r="M735" s="377"/>
      <c r="N735" s="377"/>
      <c r="O735" s="377"/>
      <c r="P735" s="377"/>
      <c r="Q735" s="377"/>
      <c r="R735" s="377"/>
      <c r="S735" s="377"/>
      <c r="T735" s="377"/>
    </row>
    <row r="736" spans="1:20" x14ac:dyDescent="0.2">
      <c r="A736" s="889"/>
      <c r="B736" s="377"/>
      <c r="C736" s="377"/>
      <c r="D736" s="377"/>
      <c r="E736" s="377"/>
      <c r="F736" s="377"/>
      <c r="G736" s="913"/>
      <c r="H736" s="408"/>
      <c r="I736" s="408"/>
      <c r="J736" s="377"/>
      <c r="K736" s="377"/>
      <c r="L736" s="377"/>
      <c r="M736" s="377"/>
      <c r="N736" s="377"/>
      <c r="O736" s="377"/>
      <c r="P736" s="377"/>
      <c r="Q736" s="377"/>
      <c r="R736" s="377"/>
      <c r="S736" s="377"/>
      <c r="T736" s="377"/>
    </row>
    <row r="737" spans="1:20" x14ac:dyDescent="0.2">
      <c r="A737" s="889"/>
      <c r="B737" s="377"/>
      <c r="C737" s="377"/>
      <c r="D737" s="377"/>
      <c r="E737" s="377"/>
      <c r="F737" s="377"/>
      <c r="G737" s="913"/>
      <c r="H737" s="408"/>
      <c r="I737" s="408"/>
      <c r="J737" s="377"/>
      <c r="K737" s="377"/>
      <c r="L737" s="377"/>
      <c r="M737" s="377"/>
      <c r="N737" s="377"/>
      <c r="O737" s="377"/>
      <c r="P737" s="377"/>
      <c r="Q737" s="377"/>
      <c r="R737" s="377"/>
      <c r="S737" s="377"/>
      <c r="T737" s="377"/>
    </row>
    <row r="738" spans="1:20" x14ac:dyDescent="0.2">
      <c r="A738" s="889"/>
      <c r="B738" s="377"/>
      <c r="C738" s="377"/>
      <c r="D738" s="377"/>
      <c r="E738" s="377"/>
      <c r="F738" s="377"/>
      <c r="G738" s="913"/>
      <c r="H738" s="408"/>
      <c r="I738" s="408"/>
      <c r="J738" s="377"/>
      <c r="K738" s="377"/>
      <c r="L738" s="377"/>
      <c r="M738" s="377"/>
      <c r="N738" s="377"/>
      <c r="O738" s="377"/>
      <c r="P738" s="377"/>
      <c r="Q738" s="377"/>
      <c r="R738" s="377"/>
      <c r="S738" s="377"/>
      <c r="T738" s="377"/>
    </row>
    <row r="739" spans="1:20" x14ac:dyDescent="0.2">
      <c r="A739" s="889"/>
      <c r="B739" s="377"/>
      <c r="C739" s="377"/>
      <c r="D739" s="377"/>
      <c r="E739" s="377"/>
      <c r="F739" s="377"/>
      <c r="G739" s="913"/>
      <c r="H739" s="408"/>
      <c r="I739" s="408"/>
      <c r="J739" s="377"/>
      <c r="K739" s="377"/>
      <c r="L739" s="377"/>
      <c r="M739" s="377"/>
      <c r="N739" s="377"/>
      <c r="O739" s="377"/>
      <c r="P739" s="377"/>
      <c r="Q739" s="377"/>
      <c r="R739" s="377"/>
      <c r="S739" s="377"/>
      <c r="T739" s="377"/>
    </row>
    <row r="740" spans="1:20" x14ac:dyDescent="0.2">
      <c r="A740" s="889"/>
      <c r="B740" s="377"/>
      <c r="C740" s="377"/>
      <c r="D740" s="377"/>
      <c r="E740" s="377"/>
      <c r="F740" s="377"/>
      <c r="G740" s="913"/>
      <c r="H740" s="408"/>
      <c r="I740" s="408"/>
      <c r="J740" s="377"/>
      <c r="K740" s="377"/>
      <c r="L740" s="377"/>
      <c r="M740" s="377"/>
      <c r="N740" s="377"/>
      <c r="O740" s="377"/>
      <c r="P740" s="377"/>
      <c r="Q740" s="377"/>
      <c r="R740" s="377"/>
      <c r="S740" s="377"/>
      <c r="T740" s="377"/>
    </row>
    <row r="741" spans="1:20" x14ac:dyDescent="0.2">
      <c r="A741" s="889"/>
      <c r="B741" s="377"/>
      <c r="C741" s="377"/>
      <c r="D741" s="377"/>
      <c r="E741" s="377"/>
      <c r="F741" s="377"/>
      <c r="G741" s="913"/>
      <c r="H741" s="408"/>
      <c r="I741" s="408"/>
      <c r="J741" s="377"/>
      <c r="K741" s="377"/>
      <c r="L741" s="377"/>
      <c r="M741" s="377"/>
      <c r="N741" s="377"/>
      <c r="O741" s="377"/>
      <c r="P741" s="377"/>
      <c r="Q741" s="377"/>
      <c r="R741" s="377"/>
      <c r="S741" s="377"/>
      <c r="T741" s="377"/>
    </row>
    <row r="742" spans="1:20" x14ac:dyDescent="0.2">
      <c r="A742" s="889"/>
      <c r="B742" s="377"/>
      <c r="C742" s="377"/>
      <c r="D742" s="377"/>
      <c r="E742" s="377"/>
      <c r="F742" s="377"/>
      <c r="G742" s="913"/>
      <c r="H742" s="408"/>
      <c r="I742" s="408"/>
      <c r="J742" s="377"/>
      <c r="K742" s="377"/>
      <c r="L742" s="377"/>
      <c r="M742" s="377"/>
      <c r="N742" s="377"/>
      <c r="O742" s="377"/>
      <c r="P742" s="377"/>
      <c r="Q742" s="377"/>
      <c r="R742" s="377"/>
      <c r="S742" s="377"/>
      <c r="T742" s="377"/>
    </row>
    <row r="743" spans="1:20" x14ac:dyDescent="0.2">
      <c r="A743" s="889"/>
      <c r="B743" s="377"/>
      <c r="C743" s="377"/>
      <c r="D743" s="377"/>
      <c r="E743" s="377"/>
      <c r="F743" s="377"/>
      <c r="G743" s="913"/>
      <c r="H743" s="408"/>
      <c r="I743" s="408"/>
      <c r="J743" s="377"/>
      <c r="K743" s="377"/>
      <c r="L743" s="377"/>
      <c r="M743" s="377"/>
      <c r="N743" s="377"/>
      <c r="O743" s="377"/>
      <c r="P743" s="377"/>
      <c r="Q743" s="377"/>
      <c r="R743" s="377"/>
      <c r="S743" s="377"/>
      <c r="T743" s="377"/>
    </row>
    <row r="744" spans="1:20" x14ac:dyDescent="0.2">
      <c r="A744" s="889"/>
      <c r="B744" s="377"/>
      <c r="C744" s="377"/>
      <c r="D744" s="377"/>
      <c r="E744" s="377"/>
      <c r="F744" s="377"/>
      <c r="G744" s="913"/>
      <c r="H744" s="408"/>
      <c r="I744" s="408"/>
      <c r="J744" s="377"/>
      <c r="K744" s="377"/>
      <c r="L744" s="377"/>
      <c r="M744" s="377"/>
      <c r="N744" s="377"/>
      <c r="O744" s="377"/>
      <c r="P744" s="377"/>
      <c r="Q744" s="377"/>
      <c r="R744" s="377"/>
      <c r="S744" s="377"/>
      <c r="T744" s="377"/>
    </row>
    <row r="745" spans="1:20" x14ac:dyDescent="0.2">
      <c r="A745" s="889"/>
      <c r="B745" s="377"/>
      <c r="C745" s="377"/>
      <c r="D745" s="377"/>
      <c r="E745" s="377"/>
      <c r="F745" s="377"/>
      <c r="G745" s="913"/>
      <c r="H745" s="408"/>
      <c r="I745" s="408"/>
      <c r="J745" s="377"/>
      <c r="K745" s="377"/>
      <c r="L745" s="377"/>
      <c r="M745" s="377"/>
      <c r="N745" s="377"/>
      <c r="O745" s="377"/>
      <c r="P745" s="377"/>
      <c r="Q745" s="377"/>
      <c r="R745" s="377"/>
      <c r="S745" s="377"/>
      <c r="T745" s="377"/>
    </row>
    <row r="746" spans="1:20" x14ac:dyDescent="0.2">
      <c r="A746" s="889"/>
      <c r="B746" s="377"/>
      <c r="C746" s="377"/>
      <c r="D746" s="377"/>
      <c r="E746" s="377"/>
      <c r="F746" s="377"/>
      <c r="G746" s="913"/>
      <c r="H746" s="408"/>
      <c r="I746" s="408"/>
      <c r="J746" s="377"/>
      <c r="K746" s="377"/>
      <c r="L746" s="377"/>
      <c r="M746" s="377"/>
      <c r="N746" s="377"/>
      <c r="O746" s="377"/>
      <c r="P746" s="377"/>
      <c r="Q746" s="377"/>
      <c r="R746" s="377"/>
      <c r="S746" s="377"/>
      <c r="T746" s="377"/>
    </row>
    <row r="747" spans="1:20" x14ac:dyDescent="0.2">
      <c r="A747" s="889"/>
      <c r="B747" s="377"/>
      <c r="C747" s="377"/>
      <c r="D747" s="377"/>
      <c r="E747" s="377"/>
      <c r="F747" s="377"/>
      <c r="G747" s="913"/>
      <c r="H747" s="408"/>
      <c r="I747" s="408"/>
      <c r="J747" s="377"/>
      <c r="K747" s="377"/>
      <c r="L747" s="377"/>
      <c r="M747" s="377"/>
      <c r="N747" s="377"/>
      <c r="O747" s="377"/>
      <c r="P747" s="377"/>
      <c r="Q747" s="377"/>
      <c r="R747" s="377"/>
      <c r="S747" s="377"/>
      <c r="T747" s="377"/>
    </row>
    <row r="748" spans="1:20" x14ac:dyDescent="0.2">
      <c r="A748" s="889"/>
      <c r="B748" s="377"/>
      <c r="C748" s="377"/>
      <c r="D748" s="377"/>
      <c r="E748" s="377"/>
      <c r="F748" s="377"/>
      <c r="G748" s="913"/>
      <c r="H748" s="408"/>
      <c r="I748" s="408"/>
      <c r="J748" s="377"/>
      <c r="K748" s="377"/>
      <c r="L748" s="377"/>
      <c r="M748" s="377"/>
      <c r="N748" s="377"/>
      <c r="O748" s="377"/>
      <c r="P748" s="377"/>
      <c r="Q748" s="377"/>
      <c r="R748" s="377"/>
      <c r="S748" s="377"/>
      <c r="T748" s="377"/>
    </row>
    <row r="749" spans="1:20" x14ac:dyDescent="0.2">
      <c r="A749" s="889"/>
      <c r="B749" s="377"/>
      <c r="C749" s="377"/>
      <c r="D749" s="377"/>
      <c r="E749" s="377"/>
      <c r="F749" s="377"/>
      <c r="G749" s="913"/>
      <c r="H749" s="408"/>
      <c r="I749" s="408"/>
      <c r="J749" s="377"/>
      <c r="K749" s="377"/>
      <c r="L749" s="377"/>
      <c r="M749" s="377"/>
      <c r="N749" s="377"/>
      <c r="O749" s="377"/>
      <c r="P749" s="377"/>
      <c r="Q749" s="377"/>
      <c r="R749" s="377"/>
      <c r="S749" s="377"/>
      <c r="T749" s="377"/>
    </row>
    <row r="750" spans="1:20" x14ac:dyDescent="0.2">
      <c r="A750" s="889"/>
      <c r="B750" s="377"/>
      <c r="C750" s="377"/>
      <c r="D750" s="377"/>
      <c r="E750" s="377"/>
      <c r="F750" s="377"/>
      <c r="G750" s="913"/>
      <c r="H750" s="408"/>
      <c r="I750" s="408"/>
      <c r="J750" s="377"/>
      <c r="K750" s="377"/>
      <c r="L750" s="377"/>
      <c r="M750" s="377"/>
      <c r="N750" s="377"/>
      <c r="O750" s="377"/>
      <c r="P750" s="377"/>
      <c r="Q750" s="377"/>
      <c r="R750" s="377"/>
      <c r="S750" s="377"/>
      <c r="T750" s="377"/>
    </row>
    <row r="751" spans="1:20" x14ac:dyDescent="0.2">
      <c r="A751" s="889"/>
      <c r="B751" s="377"/>
      <c r="C751" s="377"/>
      <c r="D751" s="377"/>
      <c r="E751" s="377"/>
      <c r="F751" s="377"/>
      <c r="G751" s="913"/>
      <c r="H751" s="408"/>
      <c r="I751" s="408"/>
      <c r="J751" s="377"/>
      <c r="K751" s="377"/>
      <c r="L751" s="377"/>
      <c r="M751" s="377"/>
      <c r="N751" s="377"/>
      <c r="O751" s="377"/>
      <c r="P751" s="377"/>
      <c r="Q751" s="377"/>
      <c r="R751" s="377"/>
      <c r="S751" s="377"/>
      <c r="T751" s="377"/>
    </row>
    <row r="752" spans="1:20" x14ac:dyDescent="0.2">
      <c r="A752" s="889"/>
      <c r="B752" s="377"/>
      <c r="C752" s="377"/>
      <c r="D752" s="377"/>
      <c r="E752" s="377"/>
      <c r="F752" s="377"/>
      <c r="G752" s="913"/>
      <c r="H752" s="408"/>
      <c r="I752" s="408"/>
      <c r="J752" s="377"/>
      <c r="K752" s="377"/>
      <c r="L752" s="377"/>
      <c r="M752" s="377"/>
      <c r="N752" s="377"/>
      <c r="O752" s="377"/>
      <c r="P752" s="377"/>
      <c r="Q752" s="377"/>
      <c r="R752" s="377"/>
      <c r="S752" s="377"/>
      <c r="T752" s="377"/>
    </row>
    <row r="753" spans="1:20" x14ac:dyDescent="0.2">
      <c r="A753" s="889"/>
      <c r="B753" s="377"/>
      <c r="C753" s="377"/>
      <c r="D753" s="377"/>
      <c r="E753" s="377"/>
      <c r="F753" s="377"/>
      <c r="G753" s="913"/>
      <c r="H753" s="408"/>
      <c r="I753" s="408"/>
      <c r="J753" s="377"/>
      <c r="K753" s="377"/>
      <c r="L753" s="377"/>
      <c r="M753" s="377"/>
      <c r="N753" s="377"/>
      <c r="O753" s="377"/>
      <c r="P753" s="377"/>
      <c r="Q753" s="377"/>
      <c r="R753" s="377"/>
      <c r="S753" s="377"/>
      <c r="T753" s="377"/>
    </row>
    <row r="754" spans="1:20" x14ac:dyDescent="0.2">
      <c r="A754" s="889"/>
      <c r="B754" s="377"/>
      <c r="C754" s="377"/>
      <c r="D754" s="377"/>
      <c r="E754" s="377"/>
      <c r="F754" s="377"/>
      <c r="G754" s="913"/>
      <c r="H754" s="408"/>
      <c r="I754" s="408"/>
      <c r="J754" s="377"/>
      <c r="K754" s="377"/>
      <c r="L754" s="377"/>
      <c r="M754" s="377"/>
      <c r="N754" s="377"/>
      <c r="O754" s="377"/>
      <c r="P754" s="377"/>
      <c r="Q754" s="377"/>
      <c r="R754" s="377"/>
      <c r="S754" s="377"/>
      <c r="T754" s="377"/>
    </row>
    <row r="755" spans="1:20" x14ac:dyDescent="0.2">
      <c r="A755" s="889"/>
      <c r="B755" s="377"/>
      <c r="C755" s="377"/>
      <c r="D755" s="377"/>
      <c r="E755" s="377"/>
      <c r="F755" s="377"/>
      <c r="G755" s="913"/>
      <c r="H755" s="408"/>
      <c r="I755" s="408"/>
      <c r="J755" s="377"/>
      <c r="K755" s="377"/>
      <c r="L755" s="377"/>
      <c r="M755" s="377"/>
      <c r="N755" s="377"/>
      <c r="O755" s="377"/>
      <c r="P755" s="377"/>
      <c r="Q755" s="377"/>
      <c r="R755" s="377"/>
      <c r="S755" s="377"/>
      <c r="T755" s="377"/>
    </row>
    <row r="756" spans="1:20" x14ac:dyDescent="0.2">
      <c r="A756" s="889"/>
      <c r="B756" s="377"/>
      <c r="C756" s="377"/>
      <c r="D756" s="377"/>
      <c r="E756" s="377"/>
      <c r="F756" s="377"/>
      <c r="G756" s="913"/>
      <c r="H756" s="408"/>
      <c r="I756" s="408"/>
      <c r="J756" s="377"/>
      <c r="K756" s="377"/>
      <c r="L756" s="377"/>
      <c r="M756" s="377"/>
      <c r="N756" s="377"/>
      <c r="O756" s="377"/>
      <c r="P756" s="377"/>
      <c r="Q756" s="377"/>
      <c r="R756" s="377"/>
      <c r="S756" s="377"/>
      <c r="T756" s="377"/>
    </row>
    <row r="757" spans="1:20" x14ac:dyDescent="0.2">
      <c r="A757" s="889"/>
      <c r="B757" s="377"/>
      <c r="C757" s="377"/>
      <c r="D757" s="377"/>
      <c r="E757" s="377"/>
      <c r="F757" s="377"/>
      <c r="G757" s="913"/>
      <c r="H757" s="408"/>
      <c r="I757" s="408"/>
      <c r="J757" s="377"/>
      <c r="K757" s="377"/>
      <c r="L757" s="377"/>
      <c r="M757" s="377"/>
      <c r="N757" s="377"/>
      <c r="O757" s="377"/>
      <c r="P757" s="377"/>
      <c r="Q757" s="377"/>
      <c r="R757" s="377"/>
      <c r="S757" s="377"/>
      <c r="T757" s="377"/>
    </row>
    <row r="758" spans="1:20" x14ac:dyDescent="0.2">
      <c r="A758" s="889"/>
      <c r="B758" s="377"/>
      <c r="C758" s="377"/>
      <c r="D758" s="377"/>
      <c r="E758" s="377"/>
      <c r="F758" s="377"/>
      <c r="G758" s="913"/>
      <c r="H758" s="408"/>
      <c r="I758" s="408"/>
      <c r="J758" s="377"/>
      <c r="K758" s="377"/>
      <c r="L758" s="377"/>
      <c r="M758" s="377"/>
      <c r="N758" s="377"/>
      <c r="O758" s="377"/>
      <c r="P758" s="377"/>
      <c r="Q758" s="377"/>
      <c r="R758" s="377"/>
      <c r="S758" s="377"/>
      <c r="T758" s="377"/>
    </row>
    <row r="759" spans="1:20" x14ac:dyDescent="0.2">
      <c r="A759" s="889"/>
      <c r="B759" s="377"/>
      <c r="C759" s="377"/>
      <c r="D759" s="377"/>
      <c r="E759" s="377"/>
      <c r="F759" s="377"/>
      <c r="G759" s="913"/>
      <c r="H759" s="408"/>
      <c r="I759" s="408"/>
      <c r="J759" s="377"/>
      <c r="K759" s="377"/>
      <c r="L759" s="377"/>
      <c r="M759" s="377"/>
      <c r="N759" s="377"/>
      <c r="O759" s="377"/>
      <c r="P759" s="377"/>
      <c r="Q759" s="377"/>
      <c r="R759" s="377"/>
      <c r="S759" s="377"/>
      <c r="T759" s="377"/>
    </row>
    <row r="760" spans="1:20" x14ac:dyDescent="0.2">
      <c r="A760" s="889"/>
      <c r="B760" s="377"/>
      <c r="C760" s="377"/>
      <c r="D760" s="377"/>
      <c r="E760" s="377"/>
      <c r="F760" s="377"/>
      <c r="G760" s="913"/>
      <c r="H760" s="408"/>
      <c r="I760" s="408"/>
      <c r="J760" s="377"/>
      <c r="K760" s="377"/>
      <c r="L760" s="377"/>
      <c r="M760" s="377"/>
      <c r="N760" s="377"/>
      <c r="O760" s="377"/>
      <c r="P760" s="377"/>
      <c r="Q760" s="377"/>
      <c r="R760" s="377"/>
      <c r="S760" s="377"/>
      <c r="T760" s="377"/>
    </row>
    <row r="761" spans="1:20" x14ac:dyDescent="0.2">
      <c r="A761" s="889"/>
      <c r="B761" s="377"/>
      <c r="C761" s="377"/>
      <c r="D761" s="377"/>
      <c r="E761" s="377"/>
      <c r="F761" s="377"/>
      <c r="G761" s="913"/>
      <c r="H761" s="408"/>
      <c r="I761" s="408"/>
      <c r="J761" s="377"/>
      <c r="K761" s="377"/>
      <c r="L761" s="377"/>
      <c r="M761" s="377"/>
      <c r="N761" s="377"/>
      <c r="O761" s="377"/>
      <c r="P761" s="377"/>
      <c r="Q761" s="377"/>
      <c r="R761" s="377"/>
      <c r="S761" s="377"/>
      <c r="T761" s="377"/>
    </row>
    <row r="762" spans="1:20" x14ac:dyDescent="0.2">
      <c r="A762" s="889"/>
      <c r="B762" s="377"/>
      <c r="C762" s="377"/>
      <c r="D762" s="377"/>
      <c r="E762" s="377"/>
      <c r="F762" s="377"/>
      <c r="G762" s="913"/>
      <c r="H762" s="408"/>
      <c r="I762" s="408"/>
      <c r="J762" s="377"/>
      <c r="K762" s="377"/>
      <c r="L762" s="377"/>
      <c r="M762" s="377"/>
      <c r="N762" s="377"/>
      <c r="O762" s="377"/>
      <c r="P762" s="377"/>
      <c r="Q762" s="377"/>
      <c r="R762" s="377"/>
      <c r="S762" s="377"/>
      <c r="T762" s="377"/>
    </row>
    <row r="763" spans="1:20" x14ac:dyDescent="0.2">
      <c r="A763" s="889"/>
      <c r="B763" s="377"/>
      <c r="C763" s="377"/>
      <c r="D763" s="377"/>
      <c r="E763" s="377"/>
      <c r="F763" s="377"/>
      <c r="G763" s="913"/>
      <c r="H763" s="408"/>
      <c r="I763" s="408"/>
      <c r="J763" s="377"/>
      <c r="K763" s="377"/>
      <c r="L763" s="377"/>
      <c r="M763" s="377"/>
      <c r="N763" s="377"/>
      <c r="O763" s="377"/>
      <c r="P763" s="377"/>
      <c r="Q763" s="377"/>
      <c r="R763" s="377"/>
      <c r="S763" s="377"/>
      <c r="T763" s="377"/>
    </row>
    <row r="764" spans="1:20" x14ac:dyDescent="0.2">
      <c r="A764" s="889"/>
      <c r="B764" s="377"/>
      <c r="C764" s="377"/>
      <c r="D764" s="377"/>
      <c r="E764" s="377"/>
      <c r="F764" s="377"/>
      <c r="G764" s="913"/>
      <c r="H764" s="408"/>
      <c r="I764" s="408"/>
      <c r="J764" s="377"/>
      <c r="K764" s="377"/>
      <c r="L764" s="377"/>
      <c r="M764" s="377"/>
      <c r="N764" s="377"/>
      <c r="O764" s="377"/>
      <c r="P764" s="377"/>
      <c r="Q764" s="377"/>
      <c r="R764" s="377"/>
      <c r="S764" s="377"/>
      <c r="T764" s="377"/>
    </row>
    <row r="765" spans="1:20" x14ac:dyDescent="0.2">
      <c r="A765" s="889"/>
      <c r="B765" s="377"/>
      <c r="C765" s="377"/>
      <c r="D765" s="377"/>
      <c r="E765" s="377"/>
      <c r="F765" s="377"/>
      <c r="G765" s="913"/>
      <c r="H765" s="408"/>
      <c r="I765" s="408"/>
      <c r="J765" s="377"/>
      <c r="K765" s="377"/>
      <c r="L765" s="377"/>
      <c r="M765" s="377"/>
      <c r="N765" s="377"/>
      <c r="O765" s="377"/>
      <c r="P765" s="377"/>
      <c r="Q765" s="377"/>
      <c r="R765" s="377"/>
      <c r="S765" s="377"/>
      <c r="T765" s="377"/>
    </row>
    <row r="766" spans="1:20" x14ac:dyDescent="0.2">
      <c r="A766" s="889"/>
      <c r="B766" s="377"/>
      <c r="C766" s="377"/>
      <c r="D766" s="377"/>
      <c r="E766" s="377"/>
      <c r="F766" s="377"/>
      <c r="G766" s="913"/>
      <c r="H766" s="408"/>
      <c r="I766" s="408"/>
      <c r="J766" s="377"/>
      <c r="K766" s="377"/>
      <c r="L766" s="377"/>
      <c r="M766" s="377"/>
      <c r="N766" s="377"/>
      <c r="O766" s="377"/>
      <c r="P766" s="377"/>
      <c r="Q766" s="377"/>
      <c r="R766" s="377"/>
      <c r="S766" s="377"/>
      <c r="T766" s="377"/>
    </row>
    <row r="767" spans="1:20" x14ac:dyDescent="0.2">
      <c r="A767" s="889"/>
      <c r="B767" s="377"/>
      <c r="C767" s="377"/>
      <c r="D767" s="377"/>
      <c r="E767" s="377"/>
      <c r="F767" s="377"/>
      <c r="G767" s="913"/>
      <c r="H767" s="408"/>
      <c r="I767" s="408"/>
      <c r="J767" s="377"/>
      <c r="K767" s="377"/>
      <c r="L767" s="377"/>
      <c r="M767" s="377"/>
      <c r="N767" s="377"/>
      <c r="O767" s="377"/>
      <c r="P767" s="377"/>
      <c r="Q767" s="377"/>
      <c r="R767" s="377"/>
      <c r="S767" s="377"/>
      <c r="T767" s="377"/>
    </row>
    <row r="768" spans="1:20" x14ac:dyDescent="0.2">
      <c r="A768" s="889"/>
      <c r="B768" s="377"/>
      <c r="C768" s="377"/>
      <c r="D768" s="377"/>
      <c r="E768" s="377"/>
      <c r="F768" s="377"/>
      <c r="G768" s="913"/>
      <c r="H768" s="408"/>
      <c r="I768" s="408"/>
      <c r="J768" s="377"/>
      <c r="K768" s="377"/>
      <c r="L768" s="377"/>
      <c r="M768" s="377"/>
      <c r="N768" s="377"/>
      <c r="O768" s="377"/>
      <c r="P768" s="377"/>
      <c r="Q768" s="377"/>
      <c r="R768" s="377"/>
      <c r="S768" s="377"/>
      <c r="T768" s="377"/>
    </row>
    <row r="769" spans="1:20" x14ac:dyDescent="0.2">
      <c r="A769" s="889"/>
      <c r="B769" s="377"/>
      <c r="C769" s="377"/>
      <c r="D769" s="377"/>
      <c r="E769" s="377"/>
      <c r="F769" s="377"/>
      <c r="G769" s="913"/>
      <c r="H769" s="408"/>
      <c r="I769" s="408"/>
      <c r="J769" s="377"/>
      <c r="K769" s="377"/>
      <c r="L769" s="377"/>
      <c r="M769" s="377"/>
      <c r="N769" s="377"/>
      <c r="O769" s="377"/>
      <c r="P769" s="377"/>
      <c r="Q769" s="377"/>
      <c r="R769" s="377"/>
      <c r="S769" s="377"/>
      <c r="T769" s="377"/>
    </row>
    <row r="770" spans="1:20" x14ac:dyDescent="0.2">
      <c r="A770" s="889"/>
      <c r="B770" s="377"/>
      <c r="C770" s="377"/>
      <c r="D770" s="377"/>
      <c r="E770" s="377"/>
      <c r="F770" s="377"/>
      <c r="G770" s="913"/>
      <c r="H770" s="408"/>
      <c r="I770" s="408"/>
      <c r="J770" s="377"/>
      <c r="K770" s="377"/>
      <c r="L770" s="377"/>
      <c r="M770" s="377"/>
      <c r="N770" s="377"/>
      <c r="O770" s="377"/>
      <c r="P770" s="377"/>
      <c r="Q770" s="377"/>
      <c r="R770" s="377"/>
      <c r="S770" s="377"/>
      <c r="T770" s="377"/>
    </row>
    <row r="771" spans="1:20" x14ac:dyDescent="0.2">
      <c r="A771" s="889"/>
      <c r="B771" s="377"/>
      <c r="C771" s="377"/>
      <c r="D771" s="377"/>
      <c r="E771" s="377"/>
      <c r="F771" s="377"/>
      <c r="G771" s="913"/>
      <c r="H771" s="408"/>
      <c r="I771" s="408"/>
      <c r="J771" s="377"/>
      <c r="K771" s="377"/>
      <c r="L771" s="377"/>
      <c r="M771" s="377"/>
      <c r="N771" s="377"/>
      <c r="O771" s="377"/>
      <c r="P771" s="377"/>
      <c r="Q771" s="377"/>
      <c r="R771" s="377"/>
      <c r="S771" s="377"/>
      <c r="T771" s="377"/>
    </row>
    <row r="772" spans="1:20" x14ac:dyDescent="0.2">
      <c r="A772" s="889"/>
      <c r="B772" s="377"/>
      <c r="C772" s="377"/>
      <c r="D772" s="377"/>
      <c r="E772" s="377"/>
      <c r="F772" s="377"/>
      <c r="G772" s="913"/>
      <c r="H772" s="408"/>
      <c r="I772" s="408"/>
      <c r="J772" s="377"/>
      <c r="K772" s="377"/>
      <c r="L772" s="377"/>
      <c r="M772" s="377"/>
      <c r="N772" s="377"/>
      <c r="O772" s="377"/>
      <c r="P772" s="377"/>
      <c r="Q772" s="377"/>
      <c r="R772" s="377"/>
      <c r="S772" s="377"/>
      <c r="T772" s="377"/>
    </row>
    <row r="773" spans="1:20" x14ac:dyDescent="0.2">
      <c r="A773" s="889"/>
      <c r="B773" s="377"/>
      <c r="C773" s="377"/>
      <c r="D773" s="377"/>
      <c r="E773" s="377"/>
      <c r="F773" s="377"/>
      <c r="G773" s="913"/>
      <c r="H773" s="408"/>
      <c r="I773" s="408"/>
      <c r="J773" s="377"/>
      <c r="K773" s="377"/>
      <c r="L773" s="377"/>
      <c r="M773" s="377"/>
      <c r="N773" s="377"/>
      <c r="O773" s="377"/>
      <c r="P773" s="377"/>
      <c r="Q773" s="377"/>
      <c r="R773" s="377"/>
      <c r="S773" s="377"/>
      <c r="T773" s="377"/>
    </row>
    <row r="774" spans="1:20" x14ac:dyDescent="0.2">
      <c r="A774" s="889"/>
      <c r="B774" s="377"/>
      <c r="C774" s="377"/>
      <c r="D774" s="377"/>
      <c r="E774" s="377"/>
      <c r="F774" s="377"/>
      <c r="G774" s="913"/>
      <c r="H774" s="408"/>
      <c r="I774" s="408"/>
      <c r="J774" s="377"/>
      <c r="K774" s="377"/>
      <c r="L774" s="377"/>
      <c r="M774" s="377"/>
      <c r="N774" s="377"/>
      <c r="O774" s="377"/>
      <c r="P774" s="377"/>
      <c r="Q774" s="377"/>
      <c r="R774" s="377"/>
      <c r="S774" s="377"/>
      <c r="T774" s="377"/>
    </row>
    <row r="775" spans="1:20" x14ac:dyDescent="0.2">
      <c r="A775" s="889"/>
      <c r="B775" s="377"/>
      <c r="C775" s="377"/>
      <c r="D775" s="377"/>
      <c r="E775" s="377"/>
      <c r="F775" s="377"/>
      <c r="G775" s="913"/>
      <c r="H775" s="408"/>
      <c r="I775" s="408"/>
      <c r="J775" s="377"/>
      <c r="K775" s="377"/>
      <c r="L775" s="377"/>
      <c r="M775" s="377"/>
      <c r="N775" s="377"/>
      <c r="O775" s="377"/>
      <c r="P775" s="377"/>
      <c r="Q775" s="377"/>
      <c r="R775" s="377"/>
      <c r="S775" s="377"/>
      <c r="T775" s="377"/>
    </row>
    <row r="776" spans="1:20" x14ac:dyDescent="0.2">
      <c r="A776" s="889"/>
      <c r="B776" s="377"/>
      <c r="C776" s="377"/>
      <c r="D776" s="377"/>
      <c r="E776" s="377"/>
      <c r="F776" s="377"/>
      <c r="G776" s="913"/>
      <c r="H776" s="408"/>
      <c r="I776" s="408"/>
      <c r="J776" s="377"/>
      <c r="K776" s="377"/>
      <c r="L776" s="377"/>
      <c r="M776" s="377"/>
      <c r="N776" s="377"/>
      <c r="O776" s="377"/>
      <c r="P776" s="377"/>
      <c r="Q776" s="377"/>
      <c r="R776" s="377"/>
      <c r="S776" s="377"/>
      <c r="T776" s="377"/>
    </row>
    <row r="777" spans="1:20" x14ac:dyDescent="0.2">
      <c r="A777" s="889"/>
      <c r="B777" s="377"/>
      <c r="C777" s="377"/>
      <c r="D777" s="377"/>
      <c r="E777" s="377"/>
      <c r="F777" s="377"/>
      <c r="G777" s="913"/>
      <c r="H777" s="408"/>
      <c r="I777" s="408"/>
      <c r="J777" s="377"/>
      <c r="K777" s="377"/>
      <c r="L777" s="377"/>
      <c r="M777" s="377"/>
      <c r="N777" s="377"/>
      <c r="O777" s="377"/>
      <c r="P777" s="377"/>
      <c r="Q777" s="377"/>
      <c r="R777" s="377"/>
      <c r="S777" s="377"/>
      <c r="T777" s="377"/>
    </row>
    <row r="778" spans="1:20" x14ac:dyDescent="0.2">
      <c r="A778" s="889"/>
      <c r="B778" s="377"/>
      <c r="C778" s="377"/>
      <c r="D778" s="377"/>
      <c r="E778" s="377"/>
      <c r="F778" s="377"/>
      <c r="G778" s="913"/>
      <c r="H778" s="408"/>
      <c r="I778" s="408"/>
      <c r="J778" s="377"/>
      <c r="K778" s="377"/>
      <c r="L778" s="377"/>
      <c r="M778" s="377"/>
      <c r="N778" s="377"/>
      <c r="O778" s="377"/>
      <c r="P778" s="377"/>
      <c r="Q778" s="377"/>
      <c r="R778" s="377"/>
      <c r="S778" s="377"/>
      <c r="T778" s="377"/>
    </row>
    <row r="779" spans="1:20" x14ac:dyDescent="0.2">
      <c r="A779" s="889"/>
      <c r="B779" s="377"/>
      <c r="C779" s="377"/>
      <c r="D779" s="377"/>
      <c r="E779" s="377"/>
      <c r="F779" s="377"/>
      <c r="G779" s="913"/>
      <c r="H779" s="408"/>
      <c r="I779" s="408"/>
      <c r="J779" s="377"/>
      <c r="K779" s="377"/>
      <c r="L779" s="377"/>
      <c r="M779" s="377"/>
      <c r="N779" s="377"/>
      <c r="O779" s="377"/>
      <c r="P779" s="377"/>
      <c r="Q779" s="377"/>
      <c r="R779" s="377"/>
      <c r="S779" s="377"/>
      <c r="T779" s="377"/>
    </row>
    <row r="780" spans="1:20" x14ac:dyDescent="0.2">
      <c r="A780" s="889"/>
      <c r="B780" s="377"/>
      <c r="C780" s="377"/>
      <c r="D780" s="377"/>
      <c r="E780" s="377"/>
      <c r="F780" s="377"/>
      <c r="G780" s="913"/>
      <c r="H780" s="408"/>
      <c r="I780" s="408"/>
      <c r="J780" s="377"/>
      <c r="K780" s="377"/>
      <c r="L780" s="377"/>
      <c r="M780" s="377"/>
      <c r="N780" s="377"/>
      <c r="O780" s="377"/>
      <c r="P780" s="377"/>
      <c r="Q780" s="377"/>
      <c r="R780" s="377"/>
      <c r="S780" s="377"/>
      <c r="T780" s="377"/>
    </row>
    <row r="781" spans="1:20" x14ac:dyDescent="0.2">
      <c r="A781" s="889"/>
      <c r="B781" s="377"/>
      <c r="C781" s="377"/>
      <c r="D781" s="377"/>
      <c r="E781" s="377"/>
      <c r="F781" s="377"/>
      <c r="G781" s="913"/>
      <c r="H781" s="408"/>
      <c r="I781" s="408"/>
      <c r="J781" s="377"/>
      <c r="K781" s="377"/>
      <c r="L781" s="377"/>
      <c r="M781" s="377"/>
      <c r="N781" s="377"/>
      <c r="O781" s="377"/>
      <c r="P781" s="377"/>
      <c r="Q781" s="377"/>
      <c r="R781" s="377"/>
      <c r="S781" s="377"/>
      <c r="T781" s="377"/>
    </row>
    <row r="782" spans="1:20" x14ac:dyDescent="0.2">
      <c r="A782" s="889"/>
      <c r="B782" s="377"/>
      <c r="C782" s="377"/>
      <c r="D782" s="377"/>
      <c r="E782" s="377"/>
      <c r="F782" s="377"/>
      <c r="G782" s="913"/>
      <c r="H782" s="408"/>
      <c r="I782" s="408"/>
      <c r="J782" s="377"/>
      <c r="K782" s="377"/>
      <c r="L782" s="377"/>
      <c r="M782" s="377"/>
      <c r="N782" s="377"/>
      <c r="O782" s="377"/>
      <c r="P782" s="377"/>
      <c r="Q782" s="377"/>
      <c r="R782" s="377"/>
      <c r="S782" s="377"/>
      <c r="T782" s="377"/>
    </row>
    <row r="783" spans="1:20" x14ac:dyDescent="0.2">
      <c r="A783" s="889"/>
      <c r="B783" s="377"/>
      <c r="C783" s="377"/>
      <c r="D783" s="377"/>
      <c r="E783" s="377"/>
      <c r="F783" s="377"/>
      <c r="G783" s="913"/>
      <c r="H783" s="408"/>
      <c r="I783" s="408"/>
      <c r="J783" s="377"/>
      <c r="K783" s="377"/>
      <c r="L783" s="377"/>
      <c r="M783" s="377"/>
      <c r="N783" s="377"/>
      <c r="O783" s="377"/>
      <c r="P783" s="377"/>
      <c r="Q783" s="377"/>
      <c r="R783" s="377"/>
      <c r="S783" s="377"/>
      <c r="T783" s="377"/>
    </row>
    <row r="784" spans="1:20" x14ac:dyDescent="0.2">
      <c r="A784" s="889"/>
      <c r="B784" s="377"/>
      <c r="C784" s="377"/>
      <c r="D784" s="377"/>
      <c r="E784" s="377"/>
      <c r="F784" s="377"/>
      <c r="G784" s="913"/>
      <c r="H784" s="408"/>
      <c r="I784" s="408"/>
      <c r="J784" s="377"/>
      <c r="K784" s="377"/>
      <c r="L784" s="377"/>
      <c r="M784" s="377"/>
      <c r="N784" s="377"/>
      <c r="O784" s="377"/>
      <c r="P784" s="377"/>
      <c r="Q784" s="377"/>
      <c r="R784" s="377"/>
      <c r="S784" s="377"/>
      <c r="T784" s="377"/>
    </row>
    <row r="785" spans="1:20" x14ac:dyDescent="0.2">
      <c r="A785" s="889"/>
      <c r="B785" s="377"/>
      <c r="C785" s="377"/>
      <c r="D785" s="377"/>
      <c r="E785" s="377"/>
      <c r="F785" s="377"/>
      <c r="G785" s="913"/>
      <c r="H785" s="408"/>
      <c r="I785" s="408"/>
      <c r="J785" s="377"/>
      <c r="K785" s="377"/>
      <c r="L785" s="377"/>
      <c r="M785" s="377"/>
      <c r="N785" s="377"/>
      <c r="O785" s="377"/>
      <c r="P785" s="377"/>
      <c r="Q785" s="377"/>
      <c r="R785" s="377"/>
      <c r="S785" s="377"/>
      <c r="T785" s="377"/>
    </row>
    <row r="786" spans="1:20" x14ac:dyDescent="0.2">
      <c r="A786" s="889"/>
      <c r="B786" s="377"/>
      <c r="C786" s="377"/>
      <c r="D786" s="377"/>
      <c r="E786" s="377"/>
      <c r="F786" s="377"/>
      <c r="G786" s="913"/>
      <c r="H786" s="408"/>
      <c r="I786" s="408"/>
      <c r="J786" s="377"/>
      <c r="K786" s="377"/>
      <c r="L786" s="377"/>
      <c r="M786" s="377"/>
      <c r="N786" s="377"/>
      <c r="O786" s="377"/>
      <c r="P786" s="377"/>
      <c r="Q786" s="377"/>
      <c r="R786" s="377"/>
      <c r="S786" s="377"/>
      <c r="T786" s="377"/>
    </row>
    <row r="787" spans="1:20" x14ac:dyDescent="0.2">
      <c r="A787" s="889"/>
      <c r="B787" s="377"/>
      <c r="C787" s="377"/>
      <c r="D787" s="377"/>
      <c r="E787" s="377"/>
      <c r="F787" s="377"/>
      <c r="G787" s="913"/>
      <c r="H787" s="408"/>
      <c r="I787" s="408"/>
      <c r="J787" s="377"/>
      <c r="K787" s="377"/>
      <c r="L787" s="377"/>
      <c r="M787" s="377"/>
      <c r="N787" s="377"/>
      <c r="O787" s="377"/>
      <c r="P787" s="377"/>
      <c r="Q787" s="377"/>
      <c r="R787" s="377"/>
      <c r="S787" s="377"/>
      <c r="T787" s="377"/>
    </row>
    <row r="788" spans="1:20" x14ac:dyDescent="0.2">
      <c r="A788" s="889"/>
      <c r="B788" s="377"/>
      <c r="C788" s="377"/>
      <c r="D788" s="377"/>
      <c r="E788" s="377"/>
      <c r="F788" s="377"/>
      <c r="G788" s="913"/>
      <c r="H788" s="408"/>
      <c r="I788" s="408"/>
      <c r="J788" s="377"/>
      <c r="K788" s="377"/>
      <c r="L788" s="377"/>
      <c r="M788" s="377"/>
      <c r="N788" s="377"/>
      <c r="O788" s="377"/>
      <c r="P788" s="377"/>
      <c r="Q788" s="377"/>
      <c r="R788" s="377"/>
      <c r="S788" s="377"/>
      <c r="T788" s="377"/>
    </row>
    <row r="789" spans="1:20" x14ac:dyDescent="0.2">
      <c r="A789" s="889"/>
      <c r="B789" s="377"/>
      <c r="C789" s="377"/>
      <c r="D789" s="377"/>
      <c r="E789" s="377"/>
      <c r="F789" s="377"/>
      <c r="G789" s="913"/>
      <c r="H789" s="408"/>
      <c r="I789" s="408"/>
      <c r="J789" s="377"/>
      <c r="K789" s="377"/>
      <c r="L789" s="377"/>
      <c r="M789" s="377"/>
      <c r="N789" s="377"/>
      <c r="O789" s="377"/>
      <c r="P789" s="377"/>
      <c r="Q789" s="377"/>
      <c r="R789" s="377"/>
      <c r="S789" s="377"/>
      <c r="T789" s="377"/>
    </row>
    <row r="790" spans="1:20" x14ac:dyDescent="0.2">
      <c r="A790" s="889"/>
      <c r="B790" s="377"/>
      <c r="C790" s="377"/>
      <c r="D790" s="377"/>
      <c r="E790" s="377"/>
      <c r="F790" s="377"/>
      <c r="G790" s="913"/>
      <c r="H790" s="408"/>
      <c r="I790" s="408"/>
      <c r="J790" s="377"/>
      <c r="K790" s="377"/>
      <c r="L790" s="377"/>
      <c r="M790" s="377"/>
      <c r="N790" s="377"/>
      <c r="O790" s="377"/>
      <c r="P790" s="377"/>
      <c r="Q790" s="377"/>
      <c r="R790" s="377"/>
      <c r="S790" s="377"/>
      <c r="T790" s="377"/>
    </row>
    <row r="791" spans="1:20" x14ac:dyDescent="0.2">
      <c r="A791" s="889"/>
      <c r="B791" s="377"/>
      <c r="C791" s="377"/>
      <c r="D791" s="377"/>
      <c r="E791" s="377"/>
      <c r="F791" s="377"/>
      <c r="G791" s="913"/>
      <c r="H791" s="408"/>
      <c r="I791" s="408"/>
      <c r="J791" s="377"/>
      <c r="K791" s="377"/>
      <c r="L791" s="377"/>
      <c r="M791" s="377"/>
      <c r="N791" s="377"/>
      <c r="O791" s="377"/>
      <c r="P791" s="377"/>
      <c r="Q791" s="377"/>
      <c r="R791" s="377"/>
      <c r="S791" s="377"/>
      <c r="T791" s="377"/>
    </row>
    <row r="792" spans="1:20" x14ac:dyDescent="0.2">
      <c r="A792" s="889"/>
      <c r="B792" s="377"/>
      <c r="C792" s="377"/>
      <c r="D792" s="377"/>
      <c r="E792" s="377"/>
      <c r="F792" s="377"/>
      <c r="G792" s="913"/>
      <c r="H792" s="408"/>
      <c r="I792" s="408"/>
      <c r="J792" s="377"/>
      <c r="K792" s="377"/>
      <c r="L792" s="377"/>
      <c r="M792" s="377"/>
      <c r="N792" s="377"/>
      <c r="O792" s="377"/>
      <c r="P792" s="377"/>
      <c r="Q792" s="377"/>
      <c r="R792" s="377"/>
      <c r="S792" s="377"/>
      <c r="T792" s="377"/>
    </row>
    <row r="793" spans="1:20" x14ac:dyDescent="0.2">
      <c r="A793" s="889"/>
      <c r="B793" s="377"/>
      <c r="C793" s="377"/>
      <c r="D793" s="377"/>
      <c r="E793" s="377"/>
      <c r="F793" s="377"/>
      <c r="G793" s="913"/>
      <c r="H793" s="408"/>
      <c r="I793" s="408"/>
      <c r="J793" s="377"/>
      <c r="K793" s="377"/>
      <c r="L793" s="377"/>
      <c r="M793" s="377"/>
      <c r="N793" s="377"/>
      <c r="O793" s="377"/>
      <c r="P793" s="377"/>
      <c r="Q793" s="377"/>
      <c r="R793" s="377"/>
      <c r="S793" s="377"/>
      <c r="T793" s="377"/>
    </row>
    <row r="794" spans="1:20" x14ac:dyDescent="0.2">
      <c r="A794" s="889"/>
      <c r="B794" s="377"/>
      <c r="C794" s="377"/>
      <c r="D794" s="377"/>
      <c r="E794" s="377"/>
      <c r="F794" s="377"/>
      <c r="G794" s="913"/>
      <c r="H794" s="408"/>
      <c r="I794" s="408"/>
      <c r="J794" s="377"/>
      <c r="K794" s="377"/>
      <c r="L794" s="377"/>
      <c r="M794" s="377"/>
      <c r="N794" s="377"/>
      <c r="O794" s="377"/>
      <c r="P794" s="377"/>
      <c r="Q794" s="377"/>
      <c r="R794" s="377"/>
      <c r="S794" s="377"/>
      <c r="T794" s="377"/>
    </row>
    <row r="795" spans="1:20" x14ac:dyDescent="0.2">
      <c r="A795" s="889"/>
      <c r="B795" s="377"/>
      <c r="C795" s="377"/>
      <c r="D795" s="377"/>
      <c r="E795" s="377"/>
      <c r="F795" s="377"/>
      <c r="G795" s="913"/>
      <c r="H795" s="408"/>
      <c r="I795" s="408"/>
      <c r="J795" s="377"/>
      <c r="K795" s="377"/>
      <c r="L795" s="377"/>
      <c r="M795" s="377"/>
      <c r="N795" s="377"/>
      <c r="O795" s="377"/>
      <c r="P795" s="377"/>
      <c r="Q795" s="377"/>
      <c r="R795" s="377"/>
      <c r="S795" s="377"/>
      <c r="T795" s="377"/>
    </row>
    <row r="796" spans="1:20" x14ac:dyDescent="0.2">
      <c r="A796" s="889"/>
      <c r="B796" s="377"/>
      <c r="C796" s="377"/>
      <c r="D796" s="377"/>
      <c r="E796" s="377"/>
      <c r="F796" s="377"/>
      <c r="G796" s="913"/>
      <c r="H796" s="408"/>
      <c r="I796" s="408"/>
      <c r="J796" s="377"/>
      <c r="K796" s="377"/>
      <c r="L796" s="377"/>
      <c r="M796" s="377"/>
      <c r="N796" s="377"/>
      <c r="O796" s="377"/>
      <c r="P796" s="377"/>
      <c r="Q796" s="377"/>
      <c r="R796" s="377"/>
      <c r="S796" s="377"/>
      <c r="T796" s="377"/>
    </row>
    <row r="797" spans="1:20" x14ac:dyDescent="0.2">
      <c r="A797" s="889"/>
      <c r="B797" s="377"/>
      <c r="C797" s="377"/>
      <c r="D797" s="377"/>
      <c r="E797" s="377"/>
      <c r="F797" s="377"/>
      <c r="G797" s="913"/>
      <c r="H797" s="408"/>
      <c r="I797" s="408"/>
      <c r="J797" s="377"/>
      <c r="K797" s="377"/>
      <c r="L797" s="377"/>
      <c r="M797" s="377"/>
      <c r="N797" s="377"/>
      <c r="O797" s="377"/>
      <c r="P797" s="377"/>
      <c r="Q797" s="377"/>
      <c r="R797" s="377"/>
      <c r="S797" s="377"/>
      <c r="T797" s="377"/>
    </row>
    <row r="798" spans="1:20" x14ac:dyDescent="0.2">
      <c r="A798" s="889"/>
      <c r="B798" s="377"/>
      <c r="C798" s="377"/>
      <c r="D798" s="377"/>
      <c r="E798" s="377"/>
      <c r="F798" s="377"/>
      <c r="G798" s="913"/>
      <c r="H798" s="408"/>
      <c r="I798" s="408"/>
      <c r="J798" s="377"/>
      <c r="K798" s="377"/>
      <c r="L798" s="377"/>
      <c r="M798" s="377"/>
      <c r="N798" s="377"/>
      <c r="O798" s="377"/>
      <c r="P798" s="377"/>
      <c r="Q798" s="377"/>
      <c r="R798" s="377"/>
      <c r="S798" s="377"/>
      <c r="T798" s="377"/>
    </row>
  </sheetData>
  <autoFilter ref="L3:L196"/>
  <mergeCells count="3">
    <mergeCell ref="K1:M1"/>
    <mergeCell ref="K2:O2"/>
    <mergeCell ref="A1:A2"/>
  </mergeCells>
  <pageMargins left="0.75" right="0.75" top="1" bottom="1" header="0.5" footer="0.5"/>
  <pageSetup paperSize="3" scale="47" orientation="landscape" r:id="rId1"/>
  <headerFooter alignWithMargins="0">
    <oddHeader>&amp;C&amp;A&amp;R&amp;"Arial Black,Regular"&amp;9ACCESS PIPELINES NEX - CENTRAL SPREAD</oddHeader>
    <oddFooter>&amp;L&amp;BDunn Hiebert &amp;&amp; Associates Confidential&amp;B&amp;C&amp;D&amp;RPage &amp;P</oddFooter>
  </headerFooter>
  <rowBreaks count="2" manualBreakCount="2">
    <brk id="61" max="14" man="1"/>
    <brk id="142" max="14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zoomScale="90" zoomScaleNormal="90" workbookViewId="0">
      <selection activeCell="I24" sqref="I24"/>
    </sheetView>
  </sheetViews>
  <sheetFormatPr defaultColWidth="8.85546875" defaultRowHeight="12.75" x14ac:dyDescent="0.2"/>
  <cols>
    <col min="1" max="1" width="12.42578125" style="313" customWidth="1"/>
    <col min="2" max="2" width="14.7109375" style="441" customWidth="1"/>
    <col min="3" max="3" width="36.28515625" style="313" customWidth="1"/>
    <col min="4" max="4" width="13.42578125" style="313" customWidth="1"/>
    <col min="5" max="5" width="31.28515625" style="313" customWidth="1"/>
    <col min="6" max="6" width="16.7109375" style="313" bestFit="1" customWidth="1"/>
    <col min="7" max="7" width="12.28515625" style="417" customWidth="1"/>
    <col min="8" max="8" width="13.140625" style="313" customWidth="1"/>
    <col min="9" max="11" width="8.85546875" style="313"/>
    <col min="12" max="12" width="12.140625" style="313" bestFit="1" customWidth="1"/>
    <col min="13" max="16384" width="8.85546875" style="313"/>
  </cols>
  <sheetData>
    <row r="1" spans="1:8" ht="30.75" customHeight="1" thickBot="1" x14ac:dyDescent="0.4">
      <c r="A1" s="1158" t="s">
        <v>224</v>
      </c>
      <c r="B1" s="1158"/>
      <c r="C1" s="1158"/>
      <c r="D1" s="1159">
        <f>F23</f>
        <v>0</v>
      </c>
      <c r="E1" s="1159"/>
      <c r="F1" s="1159"/>
      <c r="G1" s="1159"/>
      <c r="H1" s="1159"/>
    </row>
    <row r="2" spans="1:8" ht="30.75" thickBot="1" x14ac:dyDescent="0.35">
      <c r="A2" s="419" t="s">
        <v>8</v>
      </c>
      <c r="B2" s="420" t="s">
        <v>167</v>
      </c>
      <c r="C2" s="419" t="s">
        <v>141</v>
      </c>
      <c r="D2" s="419" t="s">
        <v>168</v>
      </c>
      <c r="E2" s="421" t="s">
        <v>146</v>
      </c>
      <c r="F2" s="421" t="s">
        <v>166</v>
      </c>
      <c r="G2" s="422" t="s">
        <v>225</v>
      </c>
      <c r="H2" s="423" t="s">
        <v>170</v>
      </c>
    </row>
    <row r="3" spans="1:8" s="410" customFormat="1" ht="15.75" thickTop="1" x14ac:dyDescent="0.25">
      <c r="A3" s="424"/>
      <c r="B3" s="425"/>
      <c r="C3" s="426"/>
      <c r="D3" s="426"/>
      <c r="E3" s="427"/>
      <c r="F3" s="427"/>
      <c r="G3" s="428"/>
      <c r="H3" s="429"/>
    </row>
    <row r="4" spans="1:8" ht="15" x14ac:dyDescent="0.25">
      <c r="A4" s="424"/>
      <c r="B4" s="425"/>
      <c r="C4" s="426"/>
      <c r="D4" s="426"/>
      <c r="E4" s="427"/>
      <c r="F4" s="427"/>
      <c r="G4" s="428"/>
      <c r="H4" s="429"/>
    </row>
    <row r="5" spans="1:8" s="410" customFormat="1" ht="15" x14ac:dyDescent="0.25">
      <c r="A5" s="424"/>
      <c r="B5" s="425"/>
      <c r="C5" s="426"/>
      <c r="D5" s="426"/>
      <c r="E5" s="427"/>
      <c r="F5" s="427"/>
      <c r="G5" s="428"/>
      <c r="H5" s="429"/>
    </row>
    <row r="6" spans="1:8" s="411" customFormat="1" ht="15" x14ac:dyDescent="0.25">
      <c r="A6" s="424"/>
      <c r="B6" s="425"/>
      <c r="C6" s="426"/>
      <c r="D6" s="426"/>
      <c r="E6" s="427"/>
      <c r="F6" s="427"/>
      <c r="G6" s="428"/>
      <c r="H6" s="429"/>
    </row>
    <row r="7" spans="1:8" s="411" customFormat="1" ht="15" x14ac:dyDescent="0.25">
      <c r="A7" s="424"/>
      <c r="B7" s="425"/>
      <c r="C7" s="426"/>
      <c r="D7" s="426"/>
      <c r="E7" s="427"/>
      <c r="F7" s="427"/>
      <c r="G7" s="428"/>
      <c r="H7" s="429"/>
    </row>
    <row r="8" spans="1:8" s="415" customFormat="1" ht="15" x14ac:dyDescent="0.25">
      <c r="A8" s="424"/>
      <c r="B8" s="425"/>
      <c r="C8" s="426"/>
      <c r="D8" s="426"/>
      <c r="E8" s="427"/>
      <c r="F8" s="427"/>
      <c r="G8" s="428"/>
      <c r="H8" s="429"/>
    </row>
    <row r="9" spans="1:8" s="411" customFormat="1" ht="15" x14ac:dyDescent="0.25">
      <c r="A9" s="424"/>
      <c r="B9" s="425"/>
      <c r="C9" s="426"/>
      <c r="D9" s="426"/>
      <c r="E9" s="427"/>
      <c r="F9" s="427"/>
      <c r="G9" s="428"/>
      <c r="H9" s="429"/>
    </row>
    <row r="10" spans="1:8" s="411" customFormat="1" ht="15" x14ac:dyDescent="0.25">
      <c r="A10" s="424"/>
      <c r="B10" s="425"/>
      <c r="C10" s="426"/>
      <c r="D10" s="426"/>
      <c r="E10" s="427"/>
      <c r="F10" s="427"/>
      <c r="G10" s="428"/>
      <c r="H10" s="429"/>
    </row>
    <row r="11" spans="1:8" s="411" customFormat="1" ht="15" x14ac:dyDescent="0.25">
      <c r="A11" s="424"/>
      <c r="B11" s="425"/>
      <c r="C11" s="426"/>
      <c r="D11" s="426"/>
      <c r="E11" s="427"/>
      <c r="F11" s="427"/>
      <c r="G11" s="428"/>
      <c r="H11" s="429"/>
    </row>
    <row r="12" spans="1:8" s="410" customFormat="1" ht="15" x14ac:dyDescent="0.25">
      <c r="A12" s="424"/>
      <c r="B12" s="425"/>
      <c r="C12" s="426"/>
      <c r="D12" s="426"/>
      <c r="E12" s="427"/>
      <c r="F12" s="427"/>
      <c r="G12" s="428"/>
      <c r="H12" s="429"/>
    </row>
    <row r="13" spans="1:8" s="410" customFormat="1" ht="15" x14ac:dyDescent="0.25">
      <c r="A13" s="424"/>
      <c r="B13" s="425"/>
      <c r="C13" s="426"/>
      <c r="D13" s="426"/>
      <c r="E13" s="427"/>
      <c r="F13" s="427"/>
      <c r="G13" s="428"/>
      <c r="H13" s="429"/>
    </row>
    <row r="14" spans="1:8" s="410" customFormat="1" ht="15" x14ac:dyDescent="0.25">
      <c r="A14" s="424"/>
      <c r="B14" s="425"/>
      <c r="C14" s="426"/>
      <c r="D14" s="426"/>
      <c r="E14" s="427"/>
      <c r="F14" s="427"/>
      <c r="G14" s="428"/>
      <c r="H14" s="429"/>
    </row>
    <row r="15" spans="1:8" s="410" customFormat="1" ht="15" x14ac:dyDescent="0.25">
      <c r="A15" s="424"/>
      <c r="B15" s="425"/>
      <c r="C15" s="426"/>
      <c r="D15" s="426"/>
      <c r="E15" s="427"/>
      <c r="F15" s="427"/>
      <c r="G15" s="428"/>
      <c r="H15" s="429"/>
    </row>
    <row r="16" spans="1:8" s="410" customFormat="1" ht="15" x14ac:dyDescent="0.25">
      <c r="A16" s="424"/>
      <c r="B16" s="425"/>
      <c r="C16" s="426"/>
      <c r="D16" s="426"/>
      <c r="E16" s="427"/>
      <c r="F16" s="427"/>
      <c r="G16" s="428"/>
      <c r="H16" s="429"/>
    </row>
    <row r="17" spans="1:12" s="410" customFormat="1" ht="15" x14ac:dyDescent="0.25">
      <c r="A17" s="424"/>
      <c r="B17" s="425"/>
      <c r="C17" s="426"/>
      <c r="D17" s="426"/>
      <c r="E17" s="427"/>
      <c r="F17" s="427"/>
      <c r="G17" s="428"/>
      <c r="H17" s="429"/>
    </row>
    <row r="18" spans="1:12" s="410" customFormat="1" ht="15" x14ac:dyDescent="0.25">
      <c r="A18" s="424"/>
      <c r="B18" s="425"/>
      <c r="C18" s="426"/>
      <c r="D18" s="426"/>
      <c r="E18" s="427"/>
      <c r="F18" s="427"/>
      <c r="G18" s="428"/>
      <c r="H18" s="429"/>
    </row>
    <row r="19" spans="1:12" s="410" customFormat="1" ht="15" x14ac:dyDescent="0.25">
      <c r="A19" s="424"/>
      <c r="B19" s="425"/>
      <c r="C19" s="426"/>
      <c r="D19" s="426"/>
      <c r="E19" s="427"/>
      <c r="F19" s="427"/>
      <c r="G19" s="428"/>
      <c r="H19" s="429"/>
    </row>
    <row r="20" spans="1:12" s="410" customFormat="1" ht="15" x14ac:dyDescent="0.25">
      <c r="A20" s="424"/>
      <c r="B20" s="425"/>
      <c r="C20" s="426"/>
      <c r="D20" s="426"/>
      <c r="E20" s="427"/>
      <c r="F20" s="427"/>
      <c r="G20" s="428"/>
      <c r="H20" s="429"/>
    </row>
    <row r="21" spans="1:12" s="410" customFormat="1" ht="15" x14ac:dyDescent="0.25">
      <c r="A21" s="424"/>
      <c r="B21" s="425"/>
      <c r="C21" s="426"/>
      <c r="D21" s="426"/>
      <c r="E21" s="427"/>
      <c r="F21" s="427"/>
      <c r="G21" s="428"/>
      <c r="H21" s="429"/>
    </row>
    <row r="22" spans="1:12" s="410" customFormat="1" ht="15" x14ac:dyDescent="0.25">
      <c r="A22" s="424"/>
      <c r="B22" s="425"/>
      <c r="C22" s="426"/>
      <c r="D22" s="426"/>
      <c r="E22" s="427"/>
      <c r="F22" s="427"/>
      <c r="G22" s="428"/>
      <c r="H22" s="429"/>
    </row>
    <row r="23" spans="1:12" s="410" customFormat="1" ht="15" x14ac:dyDescent="0.25">
      <c r="A23" s="304"/>
      <c r="B23" s="438"/>
      <c r="C23" s="439" t="s">
        <v>164</v>
      </c>
      <c r="D23" s="439"/>
      <c r="E23" s="440"/>
      <c r="F23" s="440">
        <f>SUM(F3:F22)</f>
        <v>0</v>
      </c>
      <c r="G23" s="434"/>
      <c r="H23" s="304"/>
    </row>
    <row r="24" spans="1:12" s="411" customFormat="1" x14ac:dyDescent="0.2">
      <c r="A24" s="304"/>
      <c r="B24" s="438"/>
      <c r="C24" s="304"/>
      <c r="D24" s="304"/>
      <c r="E24" s="304"/>
      <c r="F24" s="304"/>
      <c r="G24" s="418"/>
      <c r="H24" s="304"/>
    </row>
    <row r="25" spans="1:12" s="411" customFormat="1" x14ac:dyDescent="0.2">
      <c r="A25" s="313"/>
      <c r="B25" s="441"/>
      <c r="C25" s="313"/>
      <c r="D25" s="313"/>
      <c r="E25" s="313"/>
      <c r="F25" s="313"/>
      <c r="G25" s="417"/>
      <c r="H25" s="313"/>
    </row>
    <row r="26" spans="1:12" s="411" customFormat="1" x14ac:dyDescent="0.2">
      <c r="A26" s="313"/>
      <c r="B26" s="441"/>
      <c r="C26" s="313"/>
      <c r="D26" s="313"/>
      <c r="E26" s="313"/>
      <c r="F26" s="313"/>
      <c r="G26" s="417"/>
      <c r="H26" s="313"/>
    </row>
    <row r="27" spans="1:12" s="411" customFormat="1" ht="26.25" thickBot="1" x14ac:dyDescent="0.4">
      <c r="A27" s="1158" t="s">
        <v>226</v>
      </c>
      <c r="B27" s="1158"/>
      <c r="C27" s="1158"/>
      <c r="D27" s="1159">
        <f>F49</f>
        <v>0</v>
      </c>
      <c r="E27" s="1159"/>
      <c r="F27" s="1159"/>
      <c r="G27" s="1159"/>
      <c r="H27" s="1159"/>
    </row>
    <row r="28" spans="1:12" s="411" customFormat="1" ht="30.75" thickBot="1" x14ac:dyDescent="0.35">
      <c r="A28" s="419" t="s">
        <v>8</v>
      </c>
      <c r="B28" s="420" t="s">
        <v>167</v>
      </c>
      <c r="C28" s="419" t="s">
        <v>141</v>
      </c>
      <c r="D28" s="419" t="s">
        <v>168</v>
      </c>
      <c r="E28" s="421" t="s">
        <v>146</v>
      </c>
      <c r="F28" s="421" t="s">
        <v>166</v>
      </c>
      <c r="G28" s="422" t="s">
        <v>225</v>
      </c>
      <c r="H28" s="423" t="s">
        <v>170</v>
      </c>
    </row>
    <row r="29" spans="1:12" s="411" customFormat="1" ht="15.75" thickTop="1" x14ac:dyDescent="0.25">
      <c r="A29" s="721"/>
      <c r="B29" s="722"/>
      <c r="C29" s="723"/>
      <c r="D29" s="723"/>
      <c r="E29" s="724"/>
      <c r="F29" s="724"/>
      <c r="G29" s="725"/>
      <c r="H29" s="726"/>
    </row>
    <row r="30" spans="1:12" s="411" customFormat="1" ht="15" x14ac:dyDescent="0.25">
      <c r="A30" s="721"/>
      <c r="B30" s="722"/>
      <c r="C30" s="723"/>
      <c r="D30" s="723"/>
      <c r="E30" s="724"/>
      <c r="F30" s="724"/>
      <c r="G30" s="725"/>
      <c r="H30" s="726"/>
    </row>
    <row r="31" spans="1:12" s="411" customFormat="1" ht="15" x14ac:dyDescent="0.25">
      <c r="A31" s="721"/>
      <c r="B31" s="722"/>
      <c r="C31" s="723"/>
      <c r="D31" s="723"/>
      <c r="E31" s="724"/>
      <c r="F31" s="724"/>
      <c r="G31" s="725"/>
      <c r="H31" s="726"/>
      <c r="L31" s="745"/>
    </row>
    <row r="32" spans="1:12" s="411" customFormat="1" ht="15" x14ac:dyDescent="0.25">
      <c r="A32" s="721"/>
      <c r="B32" s="722"/>
      <c r="C32" s="723"/>
      <c r="D32" s="723"/>
      <c r="E32" s="724"/>
      <c r="F32" s="724"/>
      <c r="G32" s="725"/>
      <c r="H32" s="726"/>
    </row>
    <row r="33" spans="1:12" ht="15" x14ac:dyDescent="0.25">
      <c r="A33" s="721"/>
      <c r="B33" s="722"/>
      <c r="C33" s="723"/>
      <c r="D33" s="723"/>
      <c r="E33" s="724"/>
      <c r="F33" s="724"/>
      <c r="G33" s="725"/>
      <c r="H33" s="726"/>
      <c r="L33" s="746"/>
    </row>
    <row r="34" spans="1:12" ht="15" x14ac:dyDescent="0.25">
      <c r="A34" s="721"/>
      <c r="B34" s="722"/>
      <c r="C34" s="723"/>
      <c r="D34" s="723"/>
      <c r="E34" s="724"/>
      <c r="F34" s="724"/>
      <c r="G34" s="725"/>
      <c r="H34" s="726"/>
    </row>
    <row r="35" spans="1:12" ht="15" x14ac:dyDescent="0.25">
      <c r="A35" s="721"/>
      <c r="B35" s="722"/>
      <c r="C35" s="723"/>
      <c r="D35" s="723"/>
      <c r="E35" s="724"/>
      <c r="F35" s="724"/>
      <c r="G35" s="725"/>
      <c r="H35" s="726"/>
    </row>
    <row r="36" spans="1:12" ht="15" x14ac:dyDescent="0.25">
      <c r="A36" s="721"/>
      <c r="B36" s="722"/>
      <c r="C36" s="723"/>
      <c r="D36" s="723"/>
      <c r="E36" s="724"/>
      <c r="F36" s="724"/>
      <c r="G36" s="725"/>
      <c r="H36" s="726"/>
    </row>
    <row r="37" spans="1:12" ht="15" x14ac:dyDescent="0.25">
      <c r="A37" s="721"/>
      <c r="B37" s="722"/>
      <c r="C37" s="723"/>
      <c r="D37" s="723"/>
      <c r="E37" s="724"/>
      <c r="F37" s="724"/>
      <c r="G37" s="725"/>
      <c r="H37" s="726"/>
    </row>
    <row r="38" spans="1:12" ht="15" x14ac:dyDescent="0.25">
      <c r="A38" s="721"/>
      <c r="B38" s="722"/>
      <c r="C38" s="723"/>
      <c r="D38" s="723"/>
      <c r="E38" s="724"/>
      <c r="F38" s="724"/>
      <c r="G38" s="725"/>
      <c r="H38" s="726"/>
    </row>
    <row r="39" spans="1:12" ht="15" x14ac:dyDescent="0.25">
      <c r="A39" s="721"/>
      <c r="B39" s="722"/>
      <c r="C39" s="723"/>
      <c r="D39" s="723"/>
      <c r="E39" s="724"/>
      <c r="F39" s="724"/>
      <c r="G39" s="725"/>
      <c r="H39" s="726"/>
    </row>
    <row r="40" spans="1:12" ht="15" x14ac:dyDescent="0.25">
      <c r="A40" s="721"/>
      <c r="B40" s="722"/>
      <c r="C40" s="723"/>
      <c r="D40" s="723"/>
      <c r="E40" s="724"/>
      <c r="F40" s="724"/>
      <c r="G40" s="725"/>
      <c r="H40" s="726"/>
    </row>
    <row r="41" spans="1:12" ht="15" x14ac:dyDescent="0.25">
      <c r="A41" s="721"/>
      <c r="B41" s="722"/>
      <c r="C41" s="723"/>
      <c r="D41" s="723"/>
      <c r="E41" s="724"/>
      <c r="F41" s="724"/>
      <c r="G41" s="725"/>
      <c r="H41" s="726"/>
    </row>
    <row r="42" spans="1:12" ht="15" x14ac:dyDescent="0.25">
      <c r="A42" s="721"/>
      <c r="B42" s="722"/>
      <c r="C42" s="723"/>
      <c r="D42" s="723"/>
      <c r="E42" s="724"/>
      <c r="F42" s="724"/>
      <c r="G42" s="725"/>
      <c r="H42" s="726"/>
    </row>
    <row r="43" spans="1:12" ht="15" x14ac:dyDescent="0.25">
      <c r="A43" s="721"/>
      <c r="B43" s="722"/>
      <c r="C43" s="723"/>
      <c r="D43" s="723"/>
      <c r="E43" s="724"/>
      <c r="F43" s="724"/>
      <c r="G43" s="725"/>
      <c r="H43" s="726"/>
    </row>
    <row r="44" spans="1:12" ht="15" x14ac:dyDescent="0.25">
      <c r="A44" s="721"/>
      <c r="B44" s="722"/>
      <c r="C44" s="723"/>
      <c r="D44" s="723"/>
      <c r="E44" s="724"/>
      <c r="F44" s="724"/>
      <c r="G44" s="725"/>
      <c r="H44" s="726"/>
    </row>
    <row r="45" spans="1:12" ht="15" x14ac:dyDescent="0.25">
      <c r="A45" s="721"/>
      <c r="B45" s="722"/>
      <c r="C45" s="723"/>
      <c r="D45" s="723"/>
      <c r="E45" s="724"/>
      <c r="F45" s="724"/>
      <c r="G45" s="725"/>
      <c r="H45" s="726"/>
    </row>
    <row r="46" spans="1:12" ht="15" x14ac:dyDescent="0.25">
      <c r="A46" s="721"/>
      <c r="B46" s="722"/>
      <c r="C46" s="723"/>
      <c r="D46" s="723"/>
      <c r="E46" s="724"/>
      <c r="F46" s="724"/>
      <c r="G46" s="725"/>
      <c r="H46" s="726"/>
    </row>
    <row r="47" spans="1:12" ht="15" x14ac:dyDescent="0.25">
      <c r="A47" s="721"/>
      <c r="B47" s="722"/>
      <c r="C47" s="723"/>
      <c r="D47" s="723"/>
      <c r="E47" s="724"/>
      <c r="F47" s="724"/>
      <c r="G47" s="725"/>
      <c r="H47" s="726"/>
    </row>
    <row r="48" spans="1:12" ht="15" x14ac:dyDescent="0.25">
      <c r="A48" s="721"/>
      <c r="B48" s="722"/>
      <c r="C48" s="723"/>
      <c r="D48" s="723"/>
      <c r="E48" s="724"/>
      <c r="F48" s="724"/>
      <c r="G48" s="725"/>
      <c r="H48" s="726"/>
    </row>
    <row r="49" spans="1:8" ht="15" x14ac:dyDescent="0.25">
      <c r="A49" s="304"/>
      <c r="B49" s="438"/>
      <c r="C49" s="727" t="s">
        <v>164</v>
      </c>
      <c r="D49" s="727"/>
      <c r="E49" s="728"/>
      <c r="F49" s="728">
        <f>SUM(F29:F48)</f>
        <v>0</v>
      </c>
      <c r="G49" s="434"/>
      <c r="H49" s="304"/>
    </row>
    <row r="50" spans="1:8" x14ac:dyDescent="0.2">
      <c r="A50" s="304"/>
      <c r="B50" s="438"/>
      <c r="C50" s="304"/>
      <c r="D50" s="304"/>
      <c r="E50" s="304"/>
      <c r="F50" s="304"/>
      <c r="G50" s="418"/>
      <c r="H50" s="304"/>
    </row>
    <row r="51" spans="1:8" ht="15" x14ac:dyDescent="0.25">
      <c r="A51" s="424"/>
      <c r="B51" s="425"/>
      <c r="C51" s="426"/>
      <c r="D51" s="426"/>
      <c r="E51" s="427"/>
      <c r="F51" s="427"/>
      <c r="G51" s="428"/>
      <c r="H51" s="429"/>
    </row>
    <row r="52" spans="1:8" ht="15" x14ac:dyDescent="0.25">
      <c r="A52" s="424"/>
      <c r="B52" s="425"/>
      <c r="C52" s="426"/>
      <c r="D52" s="426"/>
      <c r="E52" s="427"/>
      <c r="F52" s="427"/>
      <c r="G52" s="428"/>
      <c r="H52" s="429"/>
    </row>
    <row r="53" spans="1:8" ht="15" x14ac:dyDescent="0.25">
      <c r="A53" s="424"/>
      <c r="B53" s="425"/>
      <c r="C53" s="426"/>
      <c r="D53" s="426"/>
      <c r="E53" s="427"/>
      <c r="F53" s="427"/>
      <c r="G53" s="428"/>
      <c r="H53" s="429"/>
    </row>
    <row r="54" spans="1:8" ht="15" x14ac:dyDescent="0.25">
      <c r="A54" s="424"/>
      <c r="B54" s="425"/>
      <c r="C54" s="426"/>
      <c r="D54" s="426"/>
      <c r="E54" s="427"/>
      <c r="F54" s="427"/>
      <c r="G54" s="428"/>
      <c r="H54" s="429"/>
    </row>
    <row r="55" spans="1:8" ht="15" x14ac:dyDescent="0.25">
      <c r="A55" s="424"/>
      <c r="B55" s="425"/>
      <c r="C55" s="426"/>
      <c r="D55" s="426"/>
      <c r="E55" s="427"/>
      <c r="F55" s="427"/>
      <c r="G55" s="428"/>
      <c r="H55" s="430"/>
    </row>
    <row r="56" spans="1:8" ht="15" x14ac:dyDescent="0.25">
      <c r="A56" s="424"/>
      <c r="B56" s="425"/>
      <c r="C56" s="426"/>
      <c r="D56" s="426"/>
      <c r="E56" s="427"/>
      <c r="F56" s="427"/>
      <c r="G56" s="428"/>
      <c r="H56" s="430"/>
    </row>
    <row r="57" spans="1:8" ht="15" x14ac:dyDescent="0.25">
      <c r="A57" s="424"/>
      <c r="B57" s="425"/>
      <c r="C57" s="426"/>
      <c r="D57" s="426"/>
      <c r="E57" s="427"/>
      <c r="F57" s="427"/>
      <c r="G57" s="428"/>
      <c r="H57" s="430"/>
    </row>
    <row r="58" spans="1:8" x14ac:dyDescent="0.2">
      <c r="A58" s="431"/>
      <c r="B58" s="432"/>
      <c r="C58" s="433"/>
      <c r="D58" s="433"/>
      <c r="E58" s="433"/>
      <c r="F58" s="433"/>
      <c r="G58" s="434"/>
      <c r="H58" s="433"/>
    </row>
    <row r="59" spans="1:8" x14ac:dyDescent="0.2">
      <c r="A59" s="431"/>
      <c r="B59" s="432"/>
      <c r="C59" s="433"/>
      <c r="D59" s="433"/>
      <c r="E59" s="433"/>
      <c r="F59" s="433"/>
      <c r="G59" s="435"/>
      <c r="H59" s="433"/>
    </row>
    <row r="60" spans="1:8" x14ac:dyDescent="0.2">
      <c r="A60" s="436"/>
      <c r="B60" s="414"/>
      <c r="C60" s="412"/>
      <c r="D60" s="412"/>
      <c r="E60" s="412"/>
      <c r="F60" s="412"/>
      <c r="G60" s="437"/>
      <c r="H60" s="412"/>
    </row>
    <row r="61" spans="1:8" x14ac:dyDescent="0.2">
      <c r="A61" s="436"/>
      <c r="B61" s="414"/>
      <c r="C61" s="412"/>
      <c r="D61" s="412"/>
      <c r="E61" s="412"/>
      <c r="F61" s="412"/>
      <c r="G61" s="437"/>
      <c r="H61" s="412"/>
    </row>
    <row r="62" spans="1:8" x14ac:dyDescent="0.2">
      <c r="A62" s="436"/>
      <c r="B62" s="414"/>
      <c r="C62" s="412"/>
      <c r="D62" s="412"/>
      <c r="E62" s="412"/>
      <c r="F62" s="412"/>
      <c r="G62" s="437"/>
      <c r="H62" s="412"/>
    </row>
    <row r="63" spans="1:8" x14ac:dyDescent="0.2">
      <c r="A63" s="436"/>
      <c r="B63" s="414"/>
      <c r="C63" s="412"/>
      <c r="D63" s="412"/>
      <c r="E63" s="412"/>
      <c r="F63" s="412"/>
      <c r="G63" s="437"/>
      <c r="H63" s="412"/>
    </row>
    <row r="64" spans="1:8" x14ac:dyDescent="0.2">
      <c r="A64" s="436"/>
      <c r="B64" s="414"/>
      <c r="C64" s="412"/>
      <c r="D64" s="412"/>
      <c r="E64" s="412"/>
      <c r="F64" s="412"/>
      <c r="G64" s="437"/>
      <c r="H64" s="412"/>
    </row>
    <row r="65" spans="1:8" x14ac:dyDescent="0.2">
      <c r="A65" s="436"/>
      <c r="B65" s="414"/>
      <c r="C65" s="412"/>
      <c r="D65" s="412"/>
      <c r="E65" s="412"/>
      <c r="F65" s="412"/>
      <c r="G65" s="437"/>
      <c r="H65" s="412"/>
    </row>
    <row r="66" spans="1:8" x14ac:dyDescent="0.2">
      <c r="A66" s="436"/>
      <c r="B66" s="414"/>
      <c r="C66" s="412"/>
      <c r="D66" s="412"/>
      <c r="E66" s="412"/>
      <c r="F66" s="412"/>
      <c r="G66" s="437"/>
      <c r="H66" s="412"/>
    </row>
    <row r="67" spans="1:8" x14ac:dyDescent="0.2">
      <c r="A67" s="436"/>
      <c r="B67" s="414"/>
      <c r="C67" s="412"/>
      <c r="D67" s="412"/>
      <c r="E67" s="412"/>
      <c r="F67" s="412"/>
      <c r="G67" s="437"/>
      <c r="H67" s="412"/>
    </row>
    <row r="68" spans="1:8" x14ac:dyDescent="0.2">
      <c r="A68" s="436"/>
      <c r="B68" s="414"/>
      <c r="C68" s="412"/>
      <c r="D68" s="412"/>
      <c r="E68" s="412"/>
      <c r="F68" s="412"/>
      <c r="G68" s="437"/>
      <c r="H68" s="412"/>
    </row>
    <row r="69" spans="1:8" ht="15" x14ac:dyDescent="0.25">
      <c r="A69" s="304"/>
      <c r="B69" s="438"/>
      <c r="C69" s="439" t="s">
        <v>164</v>
      </c>
      <c r="D69" s="439"/>
      <c r="E69" s="440"/>
      <c r="F69" s="440">
        <f>SUM(F49:F67)</f>
        <v>0</v>
      </c>
      <c r="G69" s="434"/>
      <c r="H69" s="304"/>
    </row>
    <row r="70" spans="1:8" x14ac:dyDescent="0.2">
      <c r="A70" s="304"/>
      <c r="B70" s="438"/>
      <c r="C70" s="304"/>
      <c r="D70" s="304"/>
      <c r="E70" s="304"/>
      <c r="F70" s="304"/>
      <c r="G70" s="418"/>
      <c r="H70" s="304"/>
    </row>
  </sheetData>
  <mergeCells count="4">
    <mergeCell ref="A1:C1"/>
    <mergeCell ref="D1:H1"/>
    <mergeCell ref="A27:C27"/>
    <mergeCell ref="D27:H27"/>
  </mergeCells>
  <pageMargins left="0.7" right="0.7" top="0.75" bottom="0.75" header="0.3" footer="0.3"/>
  <pageSetup scale="9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53"/>
  <sheetViews>
    <sheetView zoomScale="90" zoomScaleNormal="90" workbookViewId="0">
      <pane ySplit="2" topLeftCell="A3" activePane="bottomLeft" state="frozen"/>
      <selection activeCell="C1" sqref="C1"/>
      <selection pane="bottomLeft" activeCell="K52" sqref="K52"/>
    </sheetView>
  </sheetViews>
  <sheetFormatPr defaultRowHeight="12.75" x14ac:dyDescent="0.2"/>
  <cols>
    <col min="1" max="1" width="15.42578125" style="36" bestFit="1" customWidth="1"/>
    <col min="2" max="2" width="12.42578125" style="36" customWidth="1"/>
    <col min="3" max="3" width="30.85546875" style="36" bestFit="1" customWidth="1"/>
    <col min="4" max="4" width="39.42578125" customWidth="1"/>
    <col min="5" max="5" width="13.42578125" style="36" customWidth="1"/>
    <col min="6" max="6" width="15" customWidth="1"/>
    <col min="7" max="7" width="16.28515625" customWidth="1"/>
    <col min="8" max="8" width="15.7109375" style="36" customWidth="1"/>
    <col min="9" max="9" width="22.5703125" style="36" bestFit="1" customWidth="1"/>
    <col min="10" max="10" width="12.28515625" style="36" customWidth="1"/>
    <col min="11" max="11" width="13.140625" customWidth="1"/>
    <col min="12" max="12" width="16.28515625" bestFit="1" customWidth="1"/>
  </cols>
  <sheetData>
    <row r="1" spans="1:12" ht="27.75" customHeight="1" thickBot="1" x14ac:dyDescent="0.25">
      <c r="B1" s="442" t="s">
        <v>171</v>
      </c>
      <c r="C1" s="878"/>
      <c r="D1" s="443" t="s">
        <v>172</v>
      </c>
      <c r="E1" s="444"/>
      <c r="F1" s="445"/>
      <c r="G1" s="446" t="s">
        <v>171</v>
      </c>
      <c r="H1" s="447">
        <f>G153</f>
        <v>147326</v>
      </c>
      <c r="I1" s="448" t="s">
        <v>173</v>
      </c>
      <c r="J1" s="449">
        <f>G153</f>
        <v>147326</v>
      </c>
    </row>
    <row r="2" spans="1:12" ht="30.75" thickBot="1" x14ac:dyDescent="0.35">
      <c r="A2" s="450" t="s">
        <v>174</v>
      </c>
      <c r="B2" s="450" t="s">
        <v>8</v>
      </c>
      <c r="C2" s="451" t="s">
        <v>186</v>
      </c>
      <c r="D2" s="452" t="s">
        <v>141</v>
      </c>
      <c r="E2" s="450" t="s">
        <v>175</v>
      </c>
      <c r="F2" s="453" t="s">
        <v>176</v>
      </c>
      <c r="G2" s="454" t="s">
        <v>177</v>
      </c>
      <c r="H2" s="451" t="s">
        <v>165</v>
      </c>
      <c r="I2" s="451" t="s">
        <v>146</v>
      </c>
      <c r="J2" s="451" t="s">
        <v>169</v>
      </c>
      <c r="K2" s="455" t="s">
        <v>170</v>
      </c>
      <c r="L2" s="456" t="s">
        <v>178</v>
      </c>
    </row>
    <row r="3" spans="1:12" s="465" customFormat="1" x14ac:dyDescent="0.2">
      <c r="A3" s="457">
        <v>15</v>
      </c>
      <c r="B3" s="458">
        <v>42107</v>
      </c>
      <c r="C3" s="459"/>
      <c r="D3" s="460" t="s">
        <v>318</v>
      </c>
      <c r="E3" s="457" t="s">
        <v>241</v>
      </c>
      <c r="F3" s="461"/>
      <c r="G3" s="675">
        <v>147326</v>
      </c>
      <c r="H3" s="457"/>
      <c r="I3" s="457"/>
      <c r="J3" s="458">
        <v>42107</v>
      </c>
      <c r="K3" s="762"/>
      <c r="L3" s="464">
        <v>0</v>
      </c>
    </row>
    <row r="4" spans="1:12" s="465" customFormat="1" x14ac:dyDescent="0.2">
      <c r="A4" s="459"/>
      <c r="B4" s="458"/>
      <c r="C4" s="459"/>
      <c r="D4" s="460"/>
      <c r="E4" s="457"/>
      <c r="F4" s="461"/>
      <c r="G4" s="675">
        <f t="shared" ref="G4:G22" si="0">F4</f>
        <v>0</v>
      </c>
      <c r="H4" s="457"/>
      <c r="I4" s="457"/>
      <c r="J4" s="458"/>
      <c r="K4" s="762"/>
      <c r="L4" s="879">
        <v>0</v>
      </c>
    </row>
    <row r="5" spans="1:12" s="465" customFormat="1" x14ac:dyDescent="0.2">
      <c r="A5" s="459"/>
      <c r="B5" s="458"/>
      <c r="C5" s="459"/>
      <c r="D5" s="460"/>
      <c r="E5" s="457"/>
      <c r="F5" s="461"/>
      <c r="G5" s="675">
        <f t="shared" si="0"/>
        <v>0</v>
      </c>
      <c r="H5" s="457"/>
      <c r="I5" s="457"/>
      <c r="J5" s="458"/>
      <c r="K5" s="762"/>
      <c r="L5" s="879">
        <v>0</v>
      </c>
    </row>
    <row r="6" spans="1:12" s="465" customFormat="1" x14ac:dyDescent="0.2">
      <c r="A6" s="459"/>
      <c r="B6" s="458"/>
      <c r="C6" s="459"/>
      <c r="D6" s="460"/>
      <c r="E6" s="457"/>
      <c r="F6" s="461"/>
      <c r="G6" s="675">
        <f t="shared" si="0"/>
        <v>0</v>
      </c>
      <c r="H6" s="457"/>
      <c r="I6" s="457"/>
      <c r="J6" s="458"/>
      <c r="K6" s="762"/>
      <c r="L6" s="879">
        <v>0</v>
      </c>
    </row>
    <row r="7" spans="1:12" s="465" customFormat="1" x14ac:dyDescent="0.2">
      <c r="A7" s="459"/>
      <c r="B7" s="458"/>
      <c r="C7" s="459"/>
      <c r="D7" s="460"/>
      <c r="E7" s="457"/>
      <c r="F7" s="461"/>
      <c r="G7" s="675">
        <f t="shared" si="0"/>
        <v>0</v>
      </c>
      <c r="H7" s="457"/>
      <c r="I7" s="457"/>
      <c r="J7" s="458"/>
      <c r="K7" s="762"/>
      <c r="L7" s="879">
        <v>0</v>
      </c>
    </row>
    <row r="8" spans="1:12" s="465" customFormat="1" x14ac:dyDescent="0.2">
      <c r="A8" s="459"/>
      <c r="B8" s="458"/>
      <c r="C8" s="459"/>
      <c r="D8" s="460"/>
      <c r="E8" s="457"/>
      <c r="F8" s="461"/>
      <c r="G8" s="675">
        <f t="shared" ref="G8" si="1">F8</f>
        <v>0</v>
      </c>
      <c r="H8" s="457"/>
      <c r="I8" s="457"/>
      <c r="J8" s="458"/>
      <c r="K8" s="762"/>
      <c r="L8" s="879">
        <v>0</v>
      </c>
    </row>
    <row r="9" spans="1:12" s="465" customFormat="1" x14ac:dyDescent="0.2">
      <c r="A9" s="459"/>
      <c r="B9" s="458"/>
      <c r="C9" s="459"/>
      <c r="D9" s="460"/>
      <c r="E9" s="457"/>
      <c r="F9" s="461"/>
      <c r="G9" s="675">
        <f t="shared" ref="G9" si="2">F9</f>
        <v>0</v>
      </c>
      <c r="H9" s="457"/>
      <c r="I9" s="457"/>
      <c r="J9" s="458"/>
      <c r="K9" s="762"/>
      <c r="L9" s="879">
        <v>0</v>
      </c>
    </row>
    <row r="10" spans="1:12" s="465" customFormat="1" x14ac:dyDescent="0.2">
      <c r="A10" s="459"/>
      <c r="B10" s="458"/>
      <c r="C10" s="459"/>
      <c r="D10" s="460"/>
      <c r="E10" s="457"/>
      <c r="F10" s="461"/>
      <c r="G10" s="675">
        <f t="shared" ref="G10" si="3">F10</f>
        <v>0</v>
      </c>
      <c r="H10" s="457"/>
      <c r="I10" s="457"/>
      <c r="J10" s="458"/>
      <c r="K10" s="762"/>
      <c r="L10" s="879">
        <v>0</v>
      </c>
    </row>
    <row r="11" spans="1:12" s="465" customFormat="1" x14ac:dyDescent="0.2">
      <c r="A11" s="459"/>
      <c r="B11" s="458"/>
      <c r="C11" s="459"/>
      <c r="D11" s="460"/>
      <c r="E11" s="457"/>
      <c r="F11" s="461"/>
      <c r="G11" s="675">
        <f t="shared" ref="G11" si="4">F11</f>
        <v>0</v>
      </c>
      <c r="H11" s="457"/>
      <c r="I11" s="457"/>
      <c r="J11" s="458"/>
      <c r="K11" s="762"/>
      <c r="L11" s="879">
        <v>0</v>
      </c>
    </row>
    <row r="12" spans="1:12" s="465" customFormat="1" x14ac:dyDescent="0.2">
      <c r="A12" s="457"/>
      <c r="B12" s="458"/>
      <c r="C12" s="459"/>
      <c r="D12" s="460"/>
      <c r="E12" s="457"/>
      <c r="F12" s="461"/>
      <c r="G12" s="675">
        <f t="shared" si="0"/>
        <v>0</v>
      </c>
      <c r="H12" s="457"/>
      <c r="I12" s="457"/>
      <c r="J12" s="458"/>
      <c r="K12" s="762"/>
      <c r="L12" s="879">
        <v>0</v>
      </c>
    </row>
    <row r="13" spans="1:12" s="465" customFormat="1" x14ac:dyDescent="0.2">
      <c r="A13" s="466"/>
      <c r="B13" s="458"/>
      <c r="C13" s="459"/>
      <c r="D13" s="460"/>
      <c r="E13" s="468"/>
      <c r="F13" s="461"/>
      <c r="G13" s="675">
        <f t="shared" si="0"/>
        <v>0</v>
      </c>
      <c r="H13" s="469"/>
      <c r="I13" s="457"/>
      <c r="J13" s="458"/>
      <c r="K13" s="762"/>
      <c r="L13" s="477">
        <v>0</v>
      </c>
    </row>
    <row r="14" spans="1:12" s="470" customFormat="1" ht="12.75" customHeight="1" x14ac:dyDescent="0.2">
      <c r="A14" s="466"/>
      <c r="B14" s="458"/>
      <c r="C14" s="459"/>
      <c r="D14" s="460"/>
      <c r="E14" s="468"/>
      <c r="F14" s="461"/>
      <c r="G14" s="675">
        <f t="shared" si="0"/>
        <v>0</v>
      </c>
      <c r="H14" s="469"/>
      <c r="I14" s="457"/>
      <c r="J14" s="458"/>
      <c r="K14" s="762"/>
      <c r="L14" s="880">
        <v>0</v>
      </c>
    </row>
    <row r="15" spans="1:12" s="470" customFormat="1" ht="12.75" customHeight="1" x14ac:dyDescent="0.2">
      <c r="A15" s="457"/>
      <c r="B15" s="458"/>
      <c r="C15" s="459"/>
      <c r="D15" s="460"/>
      <c r="E15" s="468"/>
      <c r="F15" s="461"/>
      <c r="G15" s="675">
        <f t="shared" si="0"/>
        <v>0</v>
      </c>
      <c r="H15" s="469"/>
      <c r="I15" s="457"/>
      <c r="J15" s="458"/>
      <c r="K15" s="762"/>
      <c r="L15" s="464">
        <v>0</v>
      </c>
    </row>
    <row r="16" spans="1:12" s="470" customFormat="1" ht="12.75" customHeight="1" x14ac:dyDescent="0.2">
      <c r="A16" s="457"/>
      <c r="B16" s="458"/>
      <c r="C16" s="459"/>
      <c r="D16" s="460"/>
      <c r="E16" s="468"/>
      <c r="F16" s="461"/>
      <c r="G16" s="675">
        <f t="shared" si="0"/>
        <v>0</v>
      </c>
      <c r="H16" s="469"/>
      <c r="I16" s="457"/>
      <c r="J16" s="458"/>
      <c r="K16" s="762"/>
      <c r="L16" s="464">
        <v>0</v>
      </c>
    </row>
    <row r="17" spans="1:12" s="470" customFormat="1" ht="12.75" customHeight="1" x14ac:dyDescent="0.2">
      <c r="A17" s="457"/>
      <c r="B17" s="458"/>
      <c r="C17" s="459"/>
      <c r="D17" s="460"/>
      <c r="E17" s="468"/>
      <c r="F17" s="461"/>
      <c r="G17" s="675">
        <f t="shared" ref="G17" si="5">F17</f>
        <v>0</v>
      </c>
      <c r="H17" s="469"/>
      <c r="I17" s="457"/>
      <c r="J17" s="458"/>
      <c r="K17" s="762"/>
      <c r="L17" s="464">
        <v>0</v>
      </c>
    </row>
    <row r="18" spans="1:12" s="470" customFormat="1" ht="12.75" customHeight="1" x14ac:dyDescent="0.2">
      <c r="A18" s="457"/>
      <c r="B18" s="458"/>
      <c r="C18" s="459"/>
      <c r="D18" s="460"/>
      <c r="E18" s="468"/>
      <c r="F18" s="461"/>
      <c r="G18" s="675">
        <f t="shared" ref="G18" si="6">F18</f>
        <v>0</v>
      </c>
      <c r="H18" s="469"/>
      <c r="I18" s="457"/>
      <c r="J18" s="458"/>
      <c r="K18" s="762"/>
      <c r="L18" s="464">
        <v>0</v>
      </c>
    </row>
    <row r="19" spans="1:12" s="470" customFormat="1" ht="12.75" customHeight="1" x14ac:dyDescent="0.2">
      <c r="A19" s="457"/>
      <c r="B19" s="458"/>
      <c r="C19" s="459"/>
      <c r="D19" s="460"/>
      <c r="E19" s="468"/>
      <c r="F19" s="461"/>
      <c r="G19" s="675">
        <f t="shared" ref="G19" si="7">F19</f>
        <v>0</v>
      </c>
      <c r="H19" s="469"/>
      <c r="I19" s="457"/>
      <c r="J19" s="458"/>
      <c r="K19" s="762"/>
      <c r="L19" s="464">
        <v>0</v>
      </c>
    </row>
    <row r="20" spans="1:12" s="470" customFormat="1" ht="12.75" customHeight="1" x14ac:dyDescent="0.2">
      <c r="A20" s="457"/>
      <c r="B20" s="458"/>
      <c r="C20" s="459"/>
      <c r="D20" s="460"/>
      <c r="E20" s="468"/>
      <c r="F20" s="461"/>
      <c r="G20" s="675">
        <f t="shared" ref="G20" si="8">F20</f>
        <v>0</v>
      </c>
      <c r="H20" s="469"/>
      <c r="I20" s="457"/>
      <c r="J20" s="458"/>
      <c r="K20" s="762"/>
      <c r="L20" s="464">
        <v>0</v>
      </c>
    </row>
    <row r="21" spans="1:12" s="470" customFormat="1" ht="12.75" customHeight="1" x14ac:dyDescent="0.2">
      <c r="A21" s="457"/>
      <c r="B21" s="458"/>
      <c r="C21" s="459"/>
      <c r="D21" s="460"/>
      <c r="E21" s="457"/>
      <c r="F21" s="461"/>
      <c r="G21" s="675">
        <f t="shared" si="0"/>
        <v>0</v>
      </c>
      <c r="H21" s="457"/>
      <c r="I21" s="457"/>
      <c r="J21" s="458"/>
      <c r="K21" s="762"/>
      <c r="L21" s="879">
        <v>0</v>
      </c>
    </row>
    <row r="22" spans="1:12" s="470" customFormat="1" x14ac:dyDescent="0.2">
      <c r="A22" s="457"/>
      <c r="B22" s="458"/>
      <c r="C22" s="459"/>
      <c r="D22" s="460"/>
      <c r="E22" s="457"/>
      <c r="F22" s="461"/>
      <c r="G22" s="675">
        <f t="shared" si="0"/>
        <v>0</v>
      </c>
      <c r="H22" s="457"/>
      <c r="I22" s="457"/>
      <c r="J22" s="458"/>
      <c r="K22" s="762"/>
      <c r="L22" s="879">
        <v>0</v>
      </c>
    </row>
    <row r="23" spans="1:12" s="470" customFormat="1" ht="12.75" customHeight="1" x14ac:dyDescent="0.2">
      <c r="A23" s="457"/>
      <c r="B23" s="458"/>
      <c r="C23" s="459"/>
      <c r="D23" s="460"/>
      <c r="E23" s="457"/>
      <c r="F23" s="461"/>
      <c r="G23" s="675">
        <f t="shared" ref="G23" si="9">F23</f>
        <v>0</v>
      </c>
      <c r="H23" s="457"/>
      <c r="I23" s="457"/>
      <c r="J23" s="458"/>
      <c r="K23" s="762"/>
      <c r="L23" s="879">
        <v>0</v>
      </c>
    </row>
    <row r="24" spans="1:12" s="470" customFormat="1" ht="12.75" customHeight="1" x14ac:dyDescent="0.2">
      <c r="A24" s="471"/>
      <c r="B24" s="458"/>
      <c r="C24" s="459"/>
      <c r="D24" s="460"/>
      <c r="E24" s="457"/>
      <c r="F24" s="461"/>
      <c r="G24" s="675">
        <f t="shared" ref="G24:G25" si="10">F24</f>
        <v>0</v>
      </c>
      <c r="H24" s="457"/>
      <c r="I24" s="457"/>
      <c r="J24" s="458"/>
      <c r="K24" s="762"/>
      <c r="L24" s="477">
        <v>0</v>
      </c>
    </row>
    <row r="25" spans="1:12" s="465" customFormat="1" ht="12.75" customHeight="1" x14ac:dyDescent="0.2">
      <c r="A25" s="457"/>
      <c r="B25" s="458"/>
      <c r="C25" s="459"/>
      <c r="D25" s="460"/>
      <c r="E25" s="457"/>
      <c r="F25" s="461"/>
      <c r="G25" s="675">
        <f t="shared" si="10"/>
        <v>0</v>
      </c>
      <c r="H25" s="457"/>
      <c r="I25" s="457"/>
      <c r="J25" s="458"/>
      <c r="K25" s="762"/>
      <c r="L25" s="879">
        <v>0</v>
      </c>
    </row>
    <row r="26" spans="1:12" s="48" customFormat="1" x14ac:dyDescent="0.2">
      <c r="A26" s="457"/>
      <c r="B26" s="458"/>
      <c r="C26" s="459"/>
      <c r="D26" s="460"/>
      <c r="E26" s="457"/>
      <c r="F26" s="461"/>
      <c r="G26" s="675">
        <f t="shared" ref="G26" si="11">F26</f>
        <v>0</v>
      </c>
      <c r="H26" s="457"/>
      <c r="I26" s="457"/>
      <c r="J26" s="458"/>
      <c r="K26" s="762"/>
      <c r="L26" s="879">
        <v>0</v>
      </c>
    </row>
    <row r="27" spans="1:12" s="465" customFormat="1" ht="12.75" customHeight="1" x14ac:dyDescent="0.2">
      <c r="A27" s="457"/>
      <c r="B27" s="458"/>
      <c r="C27" s="459"/>
      <c r="D27" s="460"/>
      <c r="E27" s="457"/>
      <c r="F27" s="461"/>
      <c r="G27" s="675">
        <f t="shared" ref="G27" si="12">F27</f>
        <v>0</v>
      </c>
      <c r="H27" s="457"/>
      <c r="I27" s="457"/>
      <c r="J27" s="458"/>
      <c r="K27" s="762"/>
      <c r="L27" s="879">
        <v>0</v>
      </c>
    </row>
    <row r="28" spans="1:12" s="48" customFormat="1" ht="12.75" customHeight="1" x14ac:dyDescent="0.2">
      <c r="A28" s="457"/>
      <c r="B28" s="458"/>
      <c r="C28" s="459"/>
      <c r="D28" s="460"/>
      <c r="E28" s="457"/>
      <c r="F28" s="461"/>
      <c r="G28" s="675">
        <f t="shared" ref="G28" si="13">F28</f>
        <v>0</v>
      </c>
      <c r="H28" s="457"/>
      <c r="I28" s="457"/>
      <c r="J28" s="458"/>
      <c r="K28" s="762"/>
      <c r="L28" s="879">
        <v>0</v>
      </c>
    </row>
    <row r="29" spans="1:12" s="478" customFormat="1" ht="12.75" customHeight="1" x14ac:dyDescent="0.2">
      <c r="A29" s="457"/>
      <c r="B29" s="458"/>
      <c r="C29" s="459"/>
      <c r="D29" s="460"/>
      <c r="E29" s="457"/>
      <c r="F29" s="461"/>
      <c r="G29" s="675">
        <f t="shared" ref="G29" si="14">F29</f>
        <v>0</v>
      </c>
      <c r="H29" s="457"/>
      <c r="I29" s="457"/>
      <c r="J29" s="458"/>
      <c r="K29" s="762"/>
      <c r="L29" s="879">
        <v>0</v>
      </c>
    </row>
    <row r="30" spans="1:12" s="478" customFormat="1" ht="12.75" customHeight="1" x14ac:dyDescent="0.2">
      <c r="A30" s="457"/>
      <c r="B30" s="458"/>
      <c r="C30" s="459"/>
      <c r="D30" s="460"/>
      <c r="E30" s="457"/>
      <c r="F30" s="461"/>
      <c r="G30" s="675">
        <f t="shared" ref="G30" si="15">F30</f>
        <v>0</v>
      </c>
      <c r="H30" s="457"/>
      <c r="I30" s="457"/>
      <c r="J30" s="458"/>
      <c r="K30" s="762"/>
      <c r="L30" s="879">
        <v>0</v>
      </c>
    </row>
    <row r="31" spans="1:12" s="480" customFormat="1" x14ac:dyDescent="0.2">
      <c r="A31" s="457"/>
      <c r="B31" s="458"/>
      <c r="C31" s="459"/>
      <c r="D31" s="460"/>
      <c r="E31" s="457"/>
      <c r="F31" s="461"/>
      <c r="G31" s="675">
        <f t="shared" ref="G31" si="16">F31</f>
        <v>0</v>
      </c>
      <c r="H31" s="457"/>
      <c r="I31" s="457"/>
      <c r="J31" s="458"/>
      <c r="K31" s="762"/>
      <c r="L31" s="879">
        <v>0</v>
      </c>
    </row>
    <row r="32" spans="1:12" s="480" customFormat="1" x14ac:dyDescent="0.2">
      <c r="A32" s="457"/>
      <c r="B32" s="458"/>
      <c r="C32" s="459"/>
      <c r="D32" s="460"/>
      <c r="E32" s="457"/>
      <c r="F32" s="461"/>
      <c r="G32" s="675">
        <f t="shared" ref="G32" si="17">F32</f>
        <v>0</v>
      </c>
      <c r="H32" s="457"/>
      <c r="I32" s="457"/>
      <c r="J32" s="458"/>
      <c r="K32" s="762"/>
      <c r="L32" s="879">
        <v>0</v>
      </c>
    </row>
    <row r="33" spans="1:12" s="480" customFormat="1" x14ac:dyDescent="0.2">
      <c r="A33" s="457"/>
      <c r="B33" s="458"/>
      <c r="C33" s="459"/>
      <c r="D33" s="460"/>
      <c r="E33" s="457"/>
      <c r="F33" s="461"/>
      <c r="G33" s="675">
        <f t="shared" ref="G33" si="18">F33</f>
        <v>0</v>
      </c>
      <c r="H33" s="457"/>
      <c r="I33" s="457"/>
      <c r="J33" s="458"/>
      <c r="K33" s="762"/>
      <c r="L33" s="879">
        <v>0</v>
      </c>
    </row>
    <row r="34" spans="1:12" s="480" customFormat="1" x14ac:dyDescent="0.2">
      <c r="A34" s="471"/>
      <c r="B34" s="472"/>
      <c r="C34" s="473"/>
      <c r="D34" s="479"/>
      <c r="E34" s="457"/>
      <c r="F34" s="416"/>
      <c r="G34" s="474"/>
      <c r="H34" s="475"/>
      <c r="I34" s="469"/>
      <c r="J34" s="467"/>
      <c r="K34" s="762"/>
      <c r="L34" s="477">
        <v>0</v>
      </c>
    </row>
    <row r="35" spans="1:12" s="480" customFormat="1" x14ac:dyDescent="0.2">
      <c r="A35" s="471"/>
      <c r="B35" s="472"/>
      <c r="C35" s="473"/>
      <c r="D35" s="479"/>
      <c r="E35" s="457"/>
      <c r="F35" s="416"/>
      <c r="G35" s="474"/>
      <c r="H35" s="475"/>
      <c r="I35" s="469"/>
      <c r="J35" s="467"/>
      <c r="K35" s="762"/>
      <c r="L35" s="477"/>
    </row>
    <row r="36" spans="1:12" s="54" customFormat="1" x14ac:dyDescent="0.2">
      <c r="A36" s="471"/>
      <c r="B36" s="472"/>
      <c r="C36" s="473"/>
      <c r="D36" s="479"/>
      <c r="E36" s="457"/>
      <c r="F36" s="461"/>
      <c r="G36" s="474"/>
      <c r="H36" s="475"/>
      <c r="I36" s="469"/>
      <c r="J36" s="467"/>
      <c r="K36" s="762"/>
      <c r="L36" s="477"/>
    </row>
    <row r="37" spans="1:12" s="481" customFormat="1" x14ac:dyDescent="0.2">
      <c r="A37" s="471"/>
      <c r="B37" s="472"/>
      <c r="C37" s="473"/>
      <c r="D37" s="479"/>
      <c r="E37" s="457"/>
      <c r="F37" s="416"/>
      <c r="G37" s="474"/>
      <c r="H37" s="475"/>
      <c r="I37" s="469"/>
      <c r="J37" s="467"/>
      <c r="K37" s="762"/>
      <c r="L37" s="477"/>
    </row>
    <row r="38" spans="1:12" s="54" customFormat="1" x14ac:dyDescent="0.2">
      <c r="A38" s="471"/>
      <c r="B38" s="472"/>
      <c r="C38" s="473"/>
      <c r="D38" s="479"/>
      <c r="E38" s="457"/>
      <c r="F38" s="461"/>
      <c r="G38" s="474"/>
      <c r="H38" s="475"/>
      <c r="I38" s="469"/>
      <c r="J38" s="467"/>
      <c r="K38" s="762"/>
      <c r="L38" s="477"/>
    </row>
    <row r="39" spans="1:12" s="481" customFormat="1" x14ac:dyDescent="0.2">
      <c r="A39" s="471"/>
      <c r="B39" s="472"/>
      <c r="C39" s="473"/>
      <c r="D39" s="479"/>
      <c r="E39" s="457"/>
      <c r="F39" s="416"/>
      <c r="G39" s="474"/>
      <c r="H39" s="475"/>
      <c r="I39" s="469"/>
      <c r="J39" s="467"/>
      <c r="K39" s="762"/>
      <c r="L39" s="477"/>
    </row>
    <row r="40" spans="1:12" s="481" customFormat="1" x14ac:dyDescent="0.2">
      <c r="A40" s="471"/>
      <c r="B40" s="472"/>
      <c r="C40" s="473"/>
      <c r="D40" s="479"/>
      <c r="E40" s="457"/>
      <c r="F40" s="416"/>
      <c r="G40" s="474"/>
      <c r="H40" s="475"/>
      <c r="I40" s="469"/>
      <c r="J40" s="467"/>
      <c r="K40" s="762"/>
      <c r="L40" s="477"/>
    </row>
    <row r="41" spans="1:12" s="54" customFormat="1" x14ac:dyDescent="0.2">
      <c r="A41" s="471"/>
      <c r="B41" s="472"/>
      <c r="C41" s="473"/>
      <c r="D41" s="479"/>
      <c r="E41" s="457"/>
      <c r="F41" s="461"/>
      <c r="G41" s="474"/>
      <c r="H41" s="475"/>
      <c r="I41" s="469"/>
      <c r="J41" s="467"/>
      <c r="K41" s="762"/>
      <c r="L41" s="477"/>
    </row>
    <row r="42" spans="1:12" s="481" customFormat="1" x14ac:dyDescent="0.2">
      <c r="A42" s="471"/>
      <c r="B42" s="472"/>
      <c r="C42" s="473"/>
      <c r="D42" s="479"/>
      <c r="E42" s="457"/>
      <c r="F42" s="416"/>
      <c r="G42" s="474"/>
      <c r="H42" s="475"/>
      <c r="I42" s="469"/>
      <c r="J42" s="467"/>
      <c r="K42" s="762"/>
      <c r="L42" s="477"/>
    </row>
    <row r="43" spans="1:12" s="481" customFormat="1" x14ac:dyDescent="0.2">
      <c r="A43" s="471"/>
      <c r="B43" s="472"/>
      <c r="C43" s="473"/>
      <c r="D43" s="479"/>
      <c r="E43" s="457"/>
      <c r="F43" s="416"/>
      <c r="G43" s="474"/>
      <c r="H43" s="475"/>
      <c r="I43" s="469"/>
      <c r="J43" s="467"/>
      <c r="K43" s="762"/>
      <c r="L43" s="477"/>
    </row>
    <row r="44" spans="1:12" s="483" customFormat="1" ht="12.75" customHeight="1" x14ac:dyDescent="0.2">
      <c r="A44" s="471"/>
      <c r="B44" s="472"/>
      <c r="C44" s="482"/>
      <c r="D44" s="479"/>
      <c r="E44" s="457"/>
      <c r="F44" s="461"/>
      <c r="G44" s="474"/>
      <c r="H44" s="475"/>
      <c r="I44" s="469"/>
      <c r="J44" s="467"/>
      <c r="K44" s="762"/>
      <c r="L44" s="477"/>
    </row>
    <row r="45" spans="1:12" s="481" customFormat="1" ht="12.75" customHeight="1" x14ac:dyDescent="0.2">
      <c r="A45" s="471"/>
      <c r="B45" s="472"/>
      <c r="C45" s="482"/>
      <c r="D45" s="479"/>
      <c r="E45" s="457"/>
      <c r="F45" s="416"/>
      <c r="G45" s="474"/>
      <c r="H45" s="475"/>
      <c r="I45" s="469"/>
      <c r="J45" s="467"/>
      <c r="K45" s="476"/>
      <c r="L45" s="477"/>
    </row>
    <row r="46" spans="1:12" s="480" customFormat="1" ht="12.75" customHeight="1" x14ac:dyDescent="0.2">
      <c r="A46" s="471"/>
      <c r="B46" s="472"/>
      <c r="C46" s="482"/>
      <c r="D46" s="479"/>
      <c r="E46" s="457"/>
      <c r="F46" s="461"/>
      <c r="G46" s="474"/>
      <c r="H46" s="475"/>
      <c r="I46" s="469"/>
      <c r="J46" s="467"/>
      <c r="K46" s="476"/>
      <c r="L46" s="476"/>
    </row>
    <row r="47" spans="1:12" s="54" customFormat="1" ht="12.75" customHeight="1" x14ac:dyDescent="0.2">
      <c r="A47" s="471"/>
      <c r="B47" s="472"/>
      <c r="C47" s="482"/>
      <c r="D47" s="479"/>
      <c r="E47" s="457"/>
      <c r="F47" s="461"/>
      <c r="G47" s="474"/>
      <c r="H47" s="475"/>
      <c r="I47" s="469"/>
      <c r="J47" s="467"/>
      <c r="K47" s="476"/>
      <c r="L47" s="476"/>
    </row>
    <row r="48" spans="1:12" s="480" customFormat="1" ht="12.75" customHeight="1" x14ac:dyDescent="0.2">
      <c r="A48" s="471"/>
      <c r="B48" s="472"/>
      <c r="C48" s="482"/>
      <c r="D48" s="479"/>
      <c r="E48" s="457"/>
      <c r="F48" s="461"/>
      <c r="G48" s="474"/>
      <c r="H48" s="475"/>
      <c r="I48" s="469"/>
      <c r="J48" s="467"/>
      <c r="K48" s="476"/>
      <c r="L48" s="476"/>
    </row>
    <row r="49" spans="1:12" s="483" customFormat="1" ht="12.75" customHeight="1" x14ac:dyDescent="0.2">
      <c r="A49" s="471"/>
      <c r="B49" s="472"/>
      <c r="C49" s="482"/>
      <c r="D49" s="479"/>
      <c r="E49" s="457"/>
      <c r="F49" s="461"/>
      <c r="G49" s="474"/>
      <c r="H49" s="475"/>
      <c r="I49" s="469"/>
      <c r="J49" s="467"/>
      <c r="K49" s="476"/>
      <c r="L49" s="476"/>
    </row>
    <row r="50" spans="1:12" s="483" customFormat="1" ht="12.75" customHeight="1" x14ac:dyDescent="0.2">
      <c r="A50" s="471"/>
      <c r="B50" s="472"/>
      <c r="C50" s="482"/>
      <c r="D50" s="479"/>
      <c r="E50" s="457"/>
      <c r="F50" s="461"/>
      <c r="G50" s="474"/>
      <c r="H50" s="475"/>
      <c r="I50" s="469"/>
      <c r="J50" s="467"/>
      <c r="K50" s="476"/>
      <c r="L50" s="476"/>
    </row>
    <row r="51" spans="1:12" s="480" customFormat="1" ht="12.75" customHeight="1" x14ac:dyDescent="0.2">
      <c r="A51" s="471"/>
      <c r="B51" s="472"/>
      <c r="C51" s="482"/>
      <c r="D51" s="479"/>
      <c r="E51" s="457"/>
      <c r="F51" s="461"/>
      <c r="G51" s="474"/>
      <c r="H51" s="475"/>
      <c r="I51" s="469"/>
      <c r="J51" s="467"/>
      <c r="K51" s="476"/>
      <c r="L51" s="476"/>
    </row>
    <row r="52" spans="1:12" s="465" customFormat="1" ht="12.75" customHeight="1" x14ac:dyDescent="0.2">
      <c r="A52" s="471"/>
      <c r="B52" s="472"/>
      <c r="C52" s="482"/>
      <c r="D52" s="479"/>
      <c r="E52" s="457"/>
      <c r="F52" s="461"/>
      <c r="G52" s="474"/>
      <c r="H52" s="475"/>
      <c r="I52" s="469"/>
      <c r="J52" s="467"/>
      <c r="K52" s="476"/>
      <c r="L52" s="476"/>
    </row>
    <row r="53" spans="1:12" s="465" customFormat="1" ht="12.75" customHeight="1" x14ac:dyDescent="0.2">
      <c r="A53" s="471"/>
      <c r="B53" s="472"/>
      <c r="C53" s="482"/>
      <c r="D53" s="479"/>
      <c r="E53" s="457"/>
      <c r="F53" s="461"/>
      <c r="G53" s="474"/>
      <c r="H53" s="475"/>
      <c r="I53" s="469"/>
      <c r="J53" s="467"/>
      <c r="K53" s="476"/>
      <c r="L53" s="476"/>
    </row>
    <row r="54" spans="1:12" s="48" customFormat="1" ht="12.75" customHeight="1" x14ac:dyDescent="0.2">
      <c r="A54" s="471"/>
      <c r="B54" s="472"/>
      <c r="C54" s="482"/>
      <c r="D54" s="479"/>
      <c r="E54" s="457"/>
      <c r="F54" s="461"/>
      <c r="G54" s="474"/>
      <c r="H54" s="475"/>
      <c r="I54" s="469"/>
      <c r="J54" s="467"/>
      <c r="K54" s="476"/>
      <c r="L54" s="476"/>
    </row>
    <row r="55" spans="1:12" s="465" customFormat="1" ht="12.75" customHeight="1" x14ac:dyDescent="0.2">
      <c r="A55" s="471"/>
      <c r="B55" s="472"/>
      <c r="C55" s="482"/>
      <c r="D55" s="479"/>
      <c r="E55" s="457"/>
      <c r="F55" s="461"/>
      <c r="G55" s="474"/>
      <c r="H55" s="475"/>
      <c r="I55" s="469"/>
      <c r="J55" s="467"/>
      <c r="K55" s="476"/>
      <c r="L55" s="476"/>
    </row>
    <row r="56" spans="1:12" s="465" customFormat="1" ht="12.75" customHeight="1" x14ac:dyDescent="0.2">
      <c r="A56" s="471"/>
      <c r="B56" s="472"/>
      <c r="C56" s="482"/>
      <c r="D56" s="479"/>
      <c r="E56" s="457"/>
      <c r="F56" s="461"/>
      <c r="G56" s="474"/>
      <c r="H56" s="475"/>
      <c r="I56" s="469"/>
      <c r="J56" s="467"/>
      <c r="K56" s="476"/>
      <c r="L56" s="476"/>
    </row>
    <row r="57" spans="1:12" s="48" customFormat="1" ht="12.75" customHeight="1" x14ac:dyDescent="0.2">
      <c r="A57" s="471"/>
      <c r="B57" s="472"/>
      <c r="C57" s="482"/>
      <c r="D57" s="479"/>
      <c r="E57" s="457"/>
      <c r="F57" s="461"/>
      <c r="G57" s="474"/>
      <c r="H57" s="475"/>
      <c r="I57" s="469"/>
      <c r="J57" s="467"/>
      <c r="K57" s="476"/>
      <c r="L57" s="484"/>
    </row>
    <row r="58" spans="1:12" s="48" customFormat="1" ht="12.75" customHeight="1" x14ac:dyDescent="0.2">
      <c r="A58" s="457"/>
      <c r="B58" s="463"/>
      <c r="C58" s="471"/>
      <c r="D58" s="462"/>
      <c r="E58" s="457"/>
      <c r="F58" s="461"/>
      <c r="G58" s="461"/>
      <c r="H58" s="457"/>
      <c r="I58" s="457"/>
      <c r="J58" s="463"/>
      <c r="K58" s="462"/>
      <c r="L58" s="484"/>
    </row>
    <row r="59" spans="1:12" x14ac:dyDescent="0.2">
      <c r="A59" s="457"/>
      <c r="B59" s="463"/>
      <c r="C59" s="457"/>
      <c r="D59" s="462"/>
      <c r="E59" s="457"/>
      <c r="F59" s="461"/>
      <c r="G59" s="461"/>
      <c r="H59" s="457"/>
      <c r="I59" s="457"/>
      <c r="J59" s="457"/>
      <c r="K59" s="462"/>
      <c r="L59" s="484"/>
    </row>
    <row r="60" spans="1:12" s="485" customFormat="1" x14ac:dyDescent="0.2">
      <c r="A60" s="457"/>
      <c r="B60" s="463"/>
      <c r="C60" s="457"/>
      <c r="D60" s="462"/>
      <c r="E60" s="457"/>
      <c r="F60" s="461"/>
      <c r="G60" s="461"/>
      <c r="H60" s="457"/>
      <c r="I60" s="457"/>
      <c r="J60" s="463"/>
      <c r="K60" s="462"/>
      <c r="L60" s="484"/>
    </row>
    <row r="61" spans="1:12" s="485" customFormat="1" x14ac:dyDescent="0.2">
      <c r="A61" s="457"/>
      <c r="B61" s="463"/>
      <c r="C61" s="457"/>
      <c r="D61" s="462"/>
      <c r="E61" s="457"/>
      <c r="F61" s="461"/>
      <c r="G61" s="461"/>
      <c r="H61" s="457"/>
      <c r="I61" s="457"/>
      <c r="J61" s="463"/>
      <c r="K61" s="462"/>
      <c r="L61" s="484"/>
    </row>
    <row r="62" spans="1:12" x14ac:dyDescent="0.2">
      <c r="A62" s="457"/>
      <c r="B62" s="463"/>
      <c r="C62" s="457"/>
      <c r="D62" s="462"/>
      <c r="E62" s="457"/>
      <c r="F62" s="461"/>
      <c r="G62" s="461"/>
      <c r="H62" s="457"/>
      <c r="I62" s="457"/>
      <c r="J62" s="457"/>
      <c r="K62" s="462"/>
      <c r="L62" s="484"/>
    </row>
    <row r="63" spans="1:12" s="491" customFormat="1" x14ac:dyDescent="0.2">
      <c r="A63" s="457"/>
      <c r="B63" s="463"/>
      <c r="C63" s="457"/>
      <c r="D63" s="462"/>
      <c r="E63" s="486"/>
      <c r="F63" s="487"/>
      <c r="G63" s="487"/>
      <c r="H63" s="486"/>
      <c r="I63" s="486"/>
      <c r="J63" s="488"/>
      <c r="K63" s="489"/>
      <c r="L63" s="490"/>
    </row>
    <row r="64" spans="1:12" s="1" customFormat="1" x14ac:dyDescent="0.2">
      <c r="A64" s="457"/>
      <c r="B64" s="463"/>
      <c r="C64" s="457"/>
      <c r="D64" s="462"/>
      <c r="E64" s="457"/>
      <c r="F64" s="461"/>
      <c r="G64" s="461"/>
      <c r="H64" s="457"/>
      <c r="I64" s="457"/>
      <c r="J64" s="457"/>
      <c r="K64" s="462"/>
      <c r="L64" s="476"/>
    </row>
    <row r="65" spans="1:12" x14ac:dyDescent="0.2">
      <c r="A65" s="457"/>
      <c r="B65" s="463"/>
      <c r="C65" s="457"/>
      <c r="D65" s="462"/>
      <c r="E65" s="492"/>
      <c r="F65" s="493"/>
      <c r="G65" s="493"/>
      <c r="H65" s="492"/>
      <c r="I65" s="492"/>
      <c r="J65" s="492"/>
      <c r="K65" s="494"/>
      <c r="L65" s="495"/>
    </row>
    <row r="66" spans="1:12" s="496" customFormat="1" x14ac:dyDescent="0.2">
      <c r="A66" s="457"/>
      <c r="B66" s="463"/>
      <c r="C66" s="457"/>
      <c r="D66" s="462"/>
      <c r="E66" s="457"/>
      <c r="F66" s="461"/>
      <c r="G66" s="461"/>
      <c r="H66" s="457"/>
      <c r="I66" s="457"/>
      <c r="J66" s="463"/>
      <c r="K66" s="462"/>
      <c r="L66" s="484"/>
    </row>
    <row r="67" spans="1:12" x14ac:dyDescent="0.2">
      <c r="A67" s="457"/>
      <c r="B67" s="463"/>
      <c r="C67" s="457"/>
      <c r="D67" s="462"/>
      <c r="E67" s="457"/>
      <c r="F67" s="461"/>
      <c r="G67" s="461"/>
      <c r="H67" s="457"/>
      <c r="I67" s="457"/>
      <c r="J67" s="457"/>
      <c r="K67" s="462"/>
      <c r="L67" s="484"/>
    </row>
    <row r="68" spans="1:12" s="485" customFormat="1" x14ac:dyDescent="0.2">
      <c r="A68" s="457"/>
      <c r="B68" s="463"/>
      <c r="C68" s="457"/>
      <c r="D68" s="462"/>
      <c r="E68" s="457"/>
      <c r="F68" s="461"/>
      <c r="G68" s="461"/>
      <c r="H68" s="457"/>
      <c r="I68" s="457"/>
      <c r="J68" s="463"/>
      <c r="K68" s="462"/>
      <c r="L68" s="484"/>
    </row>
    <row r="69" spans="1:12" s="50" customFormat="1" x14ac:dyDescent="0.2">
      <c r="A69" s="457"/>
      <c r="B69" s="463"/>
      <c r="C69" s="457"/>
      <c r="D69" s="462"/>
      <c r="E69" s="457"/>
      <c r="F69" s="461"/>
      <c r="G69" s="461"/>
      <c r="H69" s="457"/>
      <c r="I69" s="457"/>
      <c r="J69" s="457"/>
      <c r="K69" s="462"/>
      <c r="L69" s="484"/>
    </row>
    <row r="70" spans="1:12" s="485" customFormat="1" x14ac:dyDescent="0.2">
      <c r="A70" s="497"/>
      <c r="B70" s="498"/>
      <c r="C70" s="497"/>
      <c r="D70" s="499"/>
      <c r="E70" s="497"/>
      <c r="F70" s="413"/>
      <c r="G70" s="413"/>
      <c r="H70" s="497"/>
      <c r="I70" s="497"/>
      <c r="J70" s="498"/>
      <c r="K70" s="499"/>
      <c r="L70" s="500"/>
    </row>
    <row r="71" spans="1:12" s="50" customFormat="1" ht="12.75" customHeight="1" x14ac:dyDescent="0.2">
      <c r="A71" s="497"/>
      <c r="B71" s="498"/>
      <c r="C71" s="497"/>
      <c r="D71" s="499"/>
      <c r="E71" s="497"/>
      <c r="F71" s="413"/>
      <c r="G71" s="413"/>
      <c r="H71" s="501"/>
      <c r="I71" s="497"/>
      <c r="J71" s="497"/>
      <c r="K71" s="499"/>
      <c r="L71" s="500"/>
    </row>
    <row r="72" spans="1:12" s="50" customFormat="1" ht="13.5" customHeight="1" x14ac:dyDescent="0.2">
      <c r="A72" s="497"/>
      <c r="B72" s="498"/>
      <c r="C72" s="497"/>
      <c r="D72" s="499"/>
      <c r="E72" s="497"/>
      <c r="F72" s="413"/>
      <c r="G72" s="413"/>
      <c r="H72" s="501"/>
      <c r="I72" s="497"/>
      <c r="J72" s="497"/>
      <c r="K72" s="499"/>
      <c r="L72" s="500"/>
    </row>
    <row r="73" spans="1:12" s="485" customFormat="1" ht="13.5" customHeight="1" x14ac:dyDescent="0.2">
      <c r="A73" s="497"/>
      <c r="B73" s="498"/>
      <c r="C73" s="497"/>
      <c r="D73" s="499"/>
      <c r="E73" s="497"/>
      <c r="F73" s="413"/>
      <c r="G73" s="413"/>
      <c r="H73" s="501"/>
      <c r="I73" s="497"/>
      <c r="J73" s="498"/>
      <c r="K73" s="499"/>
      <c r="L73" s="500"/>
    </row>
    <row r="74" spans="1:12" s="50" customFormat="1" x14ac:dyDescent="0.2">
      <c r="A74" s="497"/>
      <c r="B74" s="498"/>
      <c r="C74" s="497"/>
      <c r="D74" s="499"/>
      <c r="E74" s="497"/>
      <c r="F74" s="413"/>
      <c r="G74" s="413"/>
      <c r="H74" s="501"/>
      <c r="I74" s="497"/>
      <c r="J74" s="497"/>
      <c r="K74" s="499"/>
      <c r="L74" s="500"/>
    </row>
    <row r="75" spans="1:12" s="485" customFormat="1" x14ac:dyDescent="0.2">
      <c r="A75" s="497"/>
      <c r="B75" s="502"/>
      <c r="C75" s="497"/>
      <c r="D75" s="499"/>
      <c r="E75" s="497"/>
      <c r="F75" s="413"/>
      <c r="G75" s="413"/>
      <c r="H75" s="497"/>
      <c r="I75" s="497"/>
      <c r="J75" s="498"/>
      <c r="K75" s="499"/>
      <c r="L75" s="500"/>
    </row>
    <row r="76" spans="1:12" s="50" customFormat="1" x14ac:dyDescent="0.2">
      <c r="A76" s="497"/>
      <c r="B76" s="502"/>
      <c r="C76" s="497"/>
      <c r="D76" s="499"/>
      <c r="E76" s="497"/>
      <c r="F76" s="413"/>
      <c r="G76" s="413"/>
      <c r="H76" s="497"/>
      <c r="I76" s="497"/>
      <c r="J76" s="498"/>
      <c r="K76" s="499"/>
      <c r="L76" s="500"/>
    </row>
    <row r="77" spans="1:12" s="50" customFormat="1" x14ac:dyDescent="0.2">
      <c r="A77" s="497"/>
      <c r="B77" s="502"/>
      <c r="C77" s="497"/>
      <c r="D77" s="499"/>
      <c r="E77" s="497"/>
      <c r="F77" s="413"/>
      <c r="G77" s="413"/>
      <c r="H77" s="501"/>
      <c r="I77" s="497"/>
      <c r="J77" s="497"/>
      <c r="K77" s="499"/>
      <c r="L77" s="500"/>
    </row>
    <row r="78" spans="1:12" s="485" customFormat="1" x14ac:dyDescent="0.2">
      <c r="A78" s="497"/>
      <c r="B78" s="502"/>
      <c r="C78" s="497"/>
      <c r="D78" s="499"/>
      <c r="E78" s="497"/>
      <c r="F78" s="413"/>
      <c r="G78" s="413"/>
      <c r="H78" s="501"/>
      <c r="I78" s="497"/>
      <c r="J78" s="498"/>
      <c r="K78" s="499"/>
      <c r="L78" s="500"/>
    </row>
    <row r="79" spans="1:12" s="50" customFormat="1" x14ac:dyDescent="0.2">
      <c r="A79" s="497"/>
      <c r="B79" s="502"/>
      <c r="C79" s="497"/>
      <c r="D79" s="499"/>
      <c r="E79" s="497"/>
      <c r="F79" s="413"/>
      <c r="G79" s="413"/>
      <c r="H79" s="501"/>
      <c r="I79" s="497"/>
      <c r="J79" s="498"/>
      <c r="K79" s="499"/>
      <c r="L79" s="500"/>
    </row>
    <row r="80" spans="1:12" s="50" customFormat="1" x14ac:dyDescent="0.2">
      <c r="A80" s="497"/>
      <c r="B80" s="502"/>
      <c r="C80" s="497"/>
      <c r="D80" s="499"/>
      <c r="E80" s="497"/>
      <c r="F80" s="413"/>
      <c r="G80" s="413"/>
      <c r="H80" s="501"/>
      <c r="I80" s="497"/>
      <c r="J80" s="497"/>
      <c r="K80" s="499"/>
      <c r="L80" s="500"/>
    </row>
    <row r="81" spans="1:12" s="485" customFormat="1" x14ac:dyDescent="0.2">
      <c r="A81" s="497"/>
      <c r="B81" s="502"/>
      <c r="C81" s="497"/>
      <c r="D81" s="499"/>
      <c r="E81" s="497"/>
      <c r="F81" s="413"/>
      <c r="G81" s="413"/>
      <c r="H81" s="497"/>
      <c r="I81" s="497"/>
      <c r="J81" s="498"/>
      <c r="K81" s="499"/>
      <c r="L81" s="500"/>
    </row>
    <row r="82" spans="1:12" s="485" customFormat="1" x14ac:dyDescent="0.2">
      <c r="A82" s="497"/>
      <c r="B82" s="502"/>
      <c r="C82" s="497"/>
      <c r="D82" s="499"/>
      <c r="E82" s="497"/>
      <c r="F82" s="413"/>
      <c r="G82" s="413"/>
      <c r="H82" s="497"/>
      <c r="I82" s="497"/>
      <c r="J82" s="498"/>
      <c r="K82" s="499"/>
      <c r="L82" s="500"/>
    </row>
    <row r="83" spans="1:12" s="485" customFormat="1" x14ac:dyDescent="0.2">
      <c r="A83" s="497"/>
      <c r="B83" s="502"/>
      <c r="C83" s="497"/>
      <c r="D83" s="499"/>
      <c r="E83" s="497"/>
      <c r="F83" s="413"/>
      <c r="G83" s="413"/>
      <c r="H83" s="497"/>
      <c r="I83" s="497"/>
      <c r="J83" s="498"/>
      <c r="K83" s="499"/>
      <c r="L83" s="500"/>
    </row>
    <row r="84" spans="1:12" s="485" customFormat="1" x14ac:dyDescent="0.2">
      <c r="A84" s="497"/>
      <c r="B84" s="502"/>
      <c r="C84" s="497"/>
      <c r="D84" s="499"/>
      <c r="E84" s="497"/>
      <c r="F84" s="413"/>
      <c r="G84" s="413"/>
      <c r="H84" s="497"/>
      <c r="I84" s="497"/>
      <c r="J84" s="498"/>
      <c r="K84" s="499"/>
      <c r="L84" s="500"/>
    </row>
    <row r="85" spans="1:12" s="50" customFormat="1" x14ac:dyDescent="0.2">
      <c r="A85" s="497"/>
      <c r="B85" s="502"/>
      <c r="C85" s="497"/>
      <c r="D85" s="499"/>
      <c r="E85" s="497"/>
      <c r="F85" s="413"/>
      <c r="G85" s="413"/>
      <c r="H85" s="501"/>
      <c r="I85" s="497"/>
      <c r="J85" s="497"/>
      <c r="K85" s="499"/>
      <c r="L85" s="500"/>
    </row>
    <row r="86" spans="1:12" s="50" customFormat="1" x14ac:dyDescent="0.2">
      <c r="A86" s="497"/>
      <c r="B86" s="502"/>
      <c r="C86" s="497"/>
      <c r="D86" s="499"/>
      <c r="E86" s="497"/>
      <c r="F86" s="413"/>
      <c r="G86" s="413"/>
      <c r="H86" s="501"/>
      <c r="I86" s="497"/>
      <c r="J86" s="497"/>
      <c r="K86" s="499"/>
      <c r="L86" s="500"/>
    </row>
    <row r="87" spans="1:12" s="485" customFormat="1" x14ac:dyDescent="0.2">
      <c r="A87" s="497"/>
      <c r="B87" s="502"/>
      <c r="C87" s="497"/>
      <c r="D87" s="499"/>
      <c r="E87" s="497"/>
      <c r="F87" s="413"/>
      <c r="G87" s="413"/>
      <c r="H87" s="497"/>
      <c r="I87" s="497"/>
      <c r="J87" s="498"/>
      <c r="K87" s="499"/>
      <c r="L87" s="500"/>
    </row>
    <row r="88" spans="1:12" x14ac:dyDescent="0.2">
      <c r="A88" s="497"/>
      <c r="B88" s="502"/>
      <c r="C88" s="497"/>
      <c r="D88" s="499"/>
      <c r="E88" s="497"/>
      <c r="F88" s="461"/>
      <c r="G88" s="413"/>
      <c r="H88" s="501"/>
      <c r="I88" s="497"/>
      <c r="J88" s="497"/>
      <c r="K88" s="499"/>
      <c r="L88" s="500"/>
    </row>
    <row r="89" spans="1:12" x14ac:dyDescent="0.2">
      <c r="A89" s="503"/>
      <c r="B89" s="502"/>
      <c r="C89" s="497"/>
      <c r="D89" s="499"/>
      <c r="E89" s="497"/>
      <c r="F89" s="461"/>
      <c r="G89" s="413"/>
      <c r="H89" s="501"/>
      <c r="I89" s="497"/>
      <c r="J89" s="497"/>
      <c r="K89" s="499"/>
      <c r="L89" s="500"/>
    </row>
    <row r="90" spans="1:12" x14ac:dyDescent="0.2">
      <c r="A90" s="503"/>
      <c r="B90" s="502"/>
      <c r="C90" s="497"/>
      <c r="D90" s="499"/>
      <c r="E90" s="497"/>
      <c r="F90" s="461"/>
      <c r="G90" s="413"/>
      <c r="H90" s="501"/>
      <c r="I90" s="497"/>
      <c r="J90" s="497"/>
      <c r="K90" s="499"/>
      <c r="L90" s="500"/>
    </row>
    <row r="91" spans="1:12" s="485" customFormat="1" x14ac:dyDescent="0.2">
      <c r="A91" s="497"/>
      <c r="B91" s="502"/>
      <c r="C91" s="497"/>
      <c r="D91" s="499"/>
      <c r="E91" s="497"/>
      <c r="F91" s="461"/>
      <c r="G91" s="413"/>
      <c r="H91" s="497"/>
      <c r="I91" s="497"/>
      <c r="J91" s="498"/>
      <c r="K91" s="499"/>
      <c r="L91" s="500"/>
    </row>
    <row r="92" spans="1:12" s="485" customFormat="1" x14ac:dyDescent="0.2">
      <c r="A92" s="497"/>
      <c r="B92" s="502"/>
      <c r="C92" s="497"/>
      <c r="D92" s="499"/>
      <c r="E92" s="497"/>
      <c r="F92" s="461"/>
      <c r="G92" s="413"/>
      <c r="H92" s="497"/>
      <c r="I92" s="497"/>
      <c r="J92" s="498"/>
      <c r="K92" s="499"/>
      <c r="L92" s="500"/>
    </row>
    <row r="93" spans="1:12" s="485" customFormat="1" x14ac:dyDescent="0.2">
      <c r="A93" s="497"/>
      <c r="B93" s="498"/>
      <c r="C93" s="497"/>
      <c r="D93" s="499"/>
      <c r="E93" s="497"/>
      <c r="F93" s="461"/>
      <c r="G93" s="413"/>
      <c r="H93" s="497"/>
      <c r="I93" s="497"/>
      <c r="J93" s="498"/>
      <c r="K93" s="499"/>
      <c r="L93" s="500"/>
    </row>
    <row r="94" spans="1:12" s="485" customFormat="1" x14ac:dyDescent="0.2">
      <c r="A94" s="497"/>
      <c r="B94" s="498"/>
      <c r="C94" s="497"/>
      <c r="D94" s="499"/>
      <c r="E94" s="497"/>
      <c r="F94" s="461"/>
      <c r="G94" s="413"/>
      <c r="H94" s="497"/>
      <c r="I94" s="497"/>
      <c r="J94" s="498"/>
      <c r="K94" s="499"/>
      <c r="L94" s="500"/>
    </row>
    <row r="95" spans="1:12" s="485" customFormat="1" x14ac:dyDescent="0.2">
      <c r="A95" s="497"/>
      <c r="B95" s="498"/>
      <c r="C95" s="497"/>
      <c r="D95" s="499"/>
      <c r="E95" s="497"/>
      <c r="F95" s="461"/>
      <c r="G95" s="413"/>
      <c r="H95" s="497"/>
      <c r="I95" s="497"/>
      <c r="J95" s="498"/>
      <c r="K95" s="499"/>
      <c r="L95" s="500"/>
    </row>
    <row r="96" spans="1:12" s="50" customFormat="1" x14ac:dyDescent="0.2">
      <c r="A96" s="501"/>
      <c r="B96" s="502"/>
      <c r="C96" s="501"/>
      <c r="D96" s="504"/>
      <c r="E96" s="501"/>
      <c r="F96" s="505"/>
      <c r="G96" s="505"/>
      <c r="H96" s="501"/>
      <c r="I96" s="1160"/>
      <c r="J96" s="1160"/>
      <c r="K96" s="1160"/>
      <c r="L96" s="500"/>
    </row>
    <row r="97" spans="1:12" s="50" customFormat="1" x14ac:dyDescent="0.2">
      <c r="A97" s="497"/>
      <c r="B97" s="498"/>
      <c r="C97" s="497"/>
      <c r="D97" s="499"/>
      <c r="E97" s="497"/>
      <c r="F97" s="413"/>
      <c r="G97" s="413"/>
      <c r="H97" s="501"/>
      <c r="I97" s="497"/>
      <c r="J97" s="497"/>
      <c r="K97" s="499"/>
      <c r="L97" s="500"/>
    </row>
    <row r="98" spans="1:12" s="485" customFormat="1" x14ac:dyDescent="0.2">
      <c r="A98" s="497"/>
      <c r="B98" s="498"/>
      <c r="C98" s="497"/>
      <c r="D98" s="499"/>
      <c r="E98" s="497"/>
      <c r="F98" s="413"/>
      <c r="G98" s="413"/>
      <c r="H98" s="497"/>
      <c r="I98" s="497"/>
      <c r="J98" s="498"/>
      <c r="K98" s="499"/>
      <c r="L98" s="500"/>
    </row>
    <row r="99" spans="1:12" s="50" customFormat="1" x14ac:dyDescent="0.2">
      <c r="A99" s="497"/>
      <c r="B99" s="498"/>
      <c r="C99" s="497"/>
      <c r="D99" s="499"/>
      <c r="E99" s="497"/>
      <c r="F99" s="413"/>
      <c r="G99" s="413"/>
      <c r="H99" s="501"/>
      <c r="I99" s="497"/>
      <c r="J99" s="497"/>
      <c r="K99" s="499"/>
      <c r="L99" s="500"/>
    </row>
    <row r="100" spans="1:12" s="507" customFormat="1" x14ac:dyDescent="0.2">
      <c r="A100" s="497"/>
      <c r="B100" s="498"/>
      <c r="C100" s="497"/>
      <c r="D100" s="499"/>
      <c r="E100" s="497"/>
      <c r="F100" s="413"/>
      <c r="G100" s="413"/>
      <c r="H100" s="497"/>
      <c r="I100" s="497"/>
      <c r="J100" s="498"/>
      <c r="K100" s="499"/>
      <c r="L100" s="506"/>
    </row>
    <row r="101" spans="1:12" s="508" customFormat="1" x14ac:dyDescent="0.2">
      <c r="A101" s="497"/>
      <c r="B101" s="498"/>
      <c r="C101" s="497"/>
      <c r="D101" s="499"/>
      <c r="E101" s="497"/>
      <c r="F101" s="413"/>
      <c r="G101" s="413"/>
      <c r="H101" s="501"/>
      <c r="I101" s="497"/>
      <c r="J101" s="497"/>
      <c r="K101" s="499"/>
      <c r="L101" s="506"/>
    </row>
    <row r="102" spans="1:12" s="507" customFormat="1" x14ac:dyDescent="0.2">
      <c r="A102" s="497"/>
      <c r="B102" s="498"/>
      <c r="C102" s="497"/>
      <c r="D102" s="499"/>
      <c r="E102" s="497"/>
      <c r="F102" s="413"/>
      <c r="G102" s="413"/>
      <c r="H102" s="497"/>
      <c r="I102" s="497"/>
      <c r="J102" s="498"/>
      <c r="K102" s="499"/>
      <c r="L102" s="506"/>
    </row>
    <row r="103" spans="1:12" s="50" customFormat="1" x14ac:dyDescent="0.2">
      <c r="A103" s="497"/>
      <c r="B103" s="498"/>
      <c r="C103" s="497"/>
      <c r="D103" s="499"/>
      <c r="E103" s="497"/>
      <c r="F103" s="413"/>
      <c r="G103" s="413"/>
      <c r="H103" s="501"/>
      <c r="I103" s="509"/>
      <c r="J103" s="509"/>
      <c r="K103" s="510"/>
      <c r="L103" s="500"/>
    </row>
    <row r="104" spans="1:12" s="50" customFormat="1" x14ac:dyDescent="0.2">
      <c r="A104" s="497"/>
      <c r="B104" s="498"/>
      <c r="C104" s="497"/>
      <c r="D104" s="499"/>
      <c r="E104" s="497"/>
      <c r="F104" s="413"/>
      <c r="G104" s="413"/>
      <c r="H104" s="501"/>
      <c r="I104" s="509"/>
      <c r="J104" s="509"/>
      <c r="K104" s="510"/>
      <c r="L104" s="500"/>
    </row>
    <row r="105" spans="1:12" s="50" customFormat="1" x14ac:dyDescent="0.2">
      <c r="A105" s="497"/>
      <c r="B105" s="498"/>
      <c r="C105" s="497"/>
      <c r="D105" s="499"/>
      <c r="E105" s="497"/>
      <c r="F105" s="413"/>
      <c r="G105" s="413"/>
      <c r="H105" s="501"/>
      <c r="I105" s="509"/>
      <c r="J105" s="509"/>
      <c r="K105" s="510"/>
      <c r="L105" s="500"/>
    </row>
    <row r="106" spans="1:12" s="50" customFormat="1" x14ac:dyDescent="0.2">
      <c r="A106" s="497"/>
      <c r="B106" s="498"/>
      <c r="C106" s="497"/>
      <c r="D106" s="499"/>
      <c r="E106" s="497"/>
      <c r="F106" s="413"/>
      <c r="G106" s="413"/>
      <c r="H106" s="501"/>
      <c r="I106" s="509"/>
      <c r="J106" s="509"/>
      <c r="K106" s="510"/>
      <c r="L106" s="500"/>
    </row>
    <row r="107" spans="1:12" s="485" customFormat="1" x14ac:dyDescent="0.2">
      <c r="A107" s="497"/>
      <c r="B107" s="498"/>
      <c r="C107" s="497"/>
      <c r="D107" s="499"/>
      <c r="E107" s="497"/>
      <c r="F107" s="413"/>
      <c r="G107" s="413"/>
      <c r="H107" s="501"/>
      <c r="I107" s="497"/>
      <c r="J107" s="498"/>
      <c r="K107" s="510"/>
      <c r="L107" s="500"/>
    </row>
    <row r="108" spans="1:12" s="485" customFormat="1" x14ac:dyDescent="0.2">
      <c r="A108" s="497"/>
      <c r="B108" s="498"/>
      <c r="C108" s="497"/>
      <c r="D108" s="499"/>
      <c r="E108" s="497"/>
      <c r="F108" s="413"/>
      <c r="G108" s="413"/>
      <c r="H108" s="501"/>
      <c r="I108" s="497"/>
      <c r="J108" s="498"/>
      <c r="K108" s="510"/>
      <c r="L108" s="500"/>
    </row>
    <row r="109" spans="1:12" s="50" customFormat="1" x14ac:dyDescent="0.2">
      <c r="A109" s="497"/>
      <c r="B109" s="498"/>
      <c r="C109" s="497"/>
      <c r="D109" s="499"/>
      <c r="E109" s="497"/>
      <c r="F109" s="413"/>
      <c r="G109" s="413"/>
      <c r="H109" s="501"/>
      <c r="I109" s="497"/>
      <c r="J109" s="497"/>
      <c r="K109" s="510"/>
      <c r="L109" s="500"/>
    </row>
    <row r="110" spans="1:12" s="50" customFormat="1" x14ac:dyDescent="0.2">
      <c r="A110" s="497"/>
      <c r="B110" s="498"/>
      <c r="C110" s="497"/>
      <c r="D110" s="499"/>
      <c r="E110" s="497"/>
      <c r="F110" s="413"/>
      <c r="G110" s="413"/>
      <c r="H110" s="501"/>
      <c r="I110" s="497"/>
      <c r="J110" s="497"/>
      <c r="K110" s="510"/>
      <c r="L110" s="500"/>
    </row>
    <row r="111" spans="1:12" s="50" customFormat="1" x14ac:dyDescent="0.2">
      <c r="A111" s="497"/>
      <c r="B111" s="498"/>
      <c r="C111" s="497"/>
      <c r="D111" s="499"/>
      <c r="E111" s="497"/>
      <c r="F111" s="413"/>
      <c r="G111" s="413"/>
      <c r="H111" s="501"/>
      <c r="I111" s="497"/>
      <c r="J111" s="497"/>
      <c r="K111" s="510"/>
      <c r="L111" s="500"/>
    </row>
    <row r="112" spans="1:12" s="50" customFormat="1" x14ac:dyDescent="0.2">
      <c r="A112" s="497"/>
      <c r="B112" s="498"/>
      <c r="C112" s="497"/>
      <c r="D112" s="499"/>
      <c r="E112" s="497"/>
      <c r="F112" s="413"/>
      <c r="G112" s="413"/>
      <c r="H112" s="501"/>
      <c r="I112" s="497"/>
      <c r="J112" s="497"/>
      <c r="K112" s="510"/>
      <c r="L112" s="500"/>
    </row>
    <row r="113" spans="1:12" x14ac:dyDescent="0.2">
      <c r="A113" s="497"/>
      <c r="B113" s="498"/>
      <c r="C113" s="497"/>
      <c r="D113" s="499"/>
      <c r="E113" s="497"/>
      <c r="F113" s="413"/>
      <c r="G113" s="413"/>
      <c r="H113" s="501"/>
      <c r="I113" s="497"/>
      <c r="J113" s="497"/>
      <c r="K113" s="510"/>
      <c r="L113" s="500"/>
    </row>
    <row r="114" spans="1:12" x14ac:dyDescent="0.2">
      <c r="A114" s="497"/>
      <c r="B114" s="498"/>
      <c r="C114" s="497"/>
      <c r="D114" s="499"/>
      <c r="E114" s="497"/>
      <c r="F114" s="413"/>
      <c r="G114" s="413"/>
      <c r="H114" s="501"/>
      <c r="I114" s="497"/>
      <c r="J114" s="497"/>
      <c r="K114" s="510"/>
      <c r="L114" s="500"/>
    </row>
    <row r="115" spans="1:12" s="485" customFormat="1" x14ac:dyDescent="0.2">
      <c r="A115" s="497"/>
      <c r="B115" s="498"/>
      <c r="C115" s="497"/>
      <c r="D115" s="499"/>
      <c r="E115" s="497"/>
      <c r="F115" s="510"/>
      <c r="G115" s="413"/>
      <c r="H115" s="501"/>
      <c r="I115" s="497"/>
      <c r="J115" s="498"/>
      <c r="K115" s="510"/>
      <c r="L115" s="500"/>
    </row>
    <row r="116" spans="1:12" x14ac:dyDescent="0.2">
      <c r="A116" s="497"/>
      <c r="B116" s="498"/>
      <c r="C116" s="497"/>
      <c r="D116" s="499"/>
      <c r="E116" s="497"/>
      <c r="F116" s="413"/>
      <c r="G116" s="413"/>
      <c r="H116" s="501"/>
      <c r="I116" s="497"/>
      <c r="J116" s="497"/>
      <c r="K116" s="510"/>
      <c r="L116" s="500"/>
    </row>
    <row r="117" spans="1:12" s="485" customFormat="1" x14ac:dyDescent="0.2">
      <c r="A117" s="497"/>
      <c r="B117" s="498"/>
      <c r="C117" s="497"/>
      <c r="D117" s="499"/>
      <c r="E117" s="497"/>
      <c r="F117" s="511"/>
      <c r="G117" s="413"/>
      <c r="H117" s="501"/>
      <c r="I117" s="497"/>
      <c r="J117" s="498"/>
      <c r="K117" s="510"/>
      <c r="L117" s="500"/>
    </row>
    <row r="118" spans="1:12" x14ac:dyDescent="0.2">
      <c r="A118" s="497"/>
      <c r="B118" s="498"/>
      <c r="C118" s="497"/>
      <c r="D118" s="499"/>
      <c r="E118" s="497"/>
      <c r="F118" s="505"/>
      <c r="G118" s="413"/>
      <c r="H118" s="501"/>
      <c r="I118" s="509"/>
      <c r="J118" s="509"/>
      <c r="K118" s="510"/>
      <c r="L118" s="500"/>
    </row>
    <row r="119" spans="1:12" x14ac:dyDescent="0.2">
      <c r="A119" s="497"/>
      <c r="B119" s="498"/>
      <c r="C119" s="497"/>
      <c r="D119" s="499"/>
      <c r="E119" s="497"/>
      <c r="F119" s="505"/>
      <c r="G119" s="413"/>
      <c r="H119" s="501"/>
      <c r="I119" s="509"/>
      <c r="J119" s="509"/>
      <c r="K119" s="510"/>
      <c r="L119" s="500"/>
    </row>
    <row r="120" spans="1:12" x14ac:dyDescent="0.2">
      <c r="A120" s="497"/>
      <c r="B120" s="498"/>
      <c r="C120" s="497"/>
      <c r="D120" s="499"/>
      <c r="E120" s="497"/>
      <c r="F120" s="505"/>
      <c r="G120" s="413"/>
      <c r="H120" s="501"/>
      <c r="I120" s="509"/>
      <c r="J120" s="509"/>
      <c r="K120" s="510"/>
      <c r="L120" s="500"/>
    </row>
    <row r="121" spans="1:12" x14ac:dyDescent="0.2">
      <c r="A121" s="497"/>
      <c r="B121" s="498"/>
      <c r="C121" s="497"/>
      <c r="D121" s="499"/>
      <c r="E121" s="497"/>
      <c r="F121" s="505"/>
      <c r="G121" s="413"/>
      <c r="H121" s="501"/>
      <c r="I121" s="509"/>
      <c r="J121" s="509"/>
      <c r="K121" s="510"/>
      <c r="L121" s="500"/>
    </row>
    <row r="122" spans="1:12" s="50" customFormat="1" x14ac:dyDescent="0.2">
      <c r="A122" s="497"/>
      <c r="B122" s="498"/>
      <c r="C122" s="497"/>
      <c r="D122" s="499"/>
      <c r="E122" s="497"/>
      <c r="F122" s="505"/>
      <c r="G122" s="413"/>
      <c r="H122" s="497"/>
      <c r="I122" s="497"/>
      <c r="J122" s="497"/>
      <c r="K122" s="499"/>
      <c r="L122" s="500"/>
    </row>
    <row r="123" spans="1:12" s="50" customFormat="1" x14ac:dyDescent="0.2">
      <c r="A123" s="497"/>
      <c r="B123" s="498"/>
      <c r="C123" s="497"/>
      <c r="D123" s="499"/>
      <c r="E123" s="497"/>
      <c r="F123" s="505"/>
      <c r="G123" s="413"/>
      <c r="H123" s="497"/>
      <c r="I123" s="497"/>
      <c r="J123" s="497"/>
      <c r="K123" s="499"/>
      <c r="L123" s="500"/>
    </row>
    <row r="124" spans="1:12" s="485" customFormat="1" x14ac:dyDescent="0.2">
      <c r="A124" s="497"/>
      <c r="B124" s="498"/>
      <c r="C124" s="497"/>
      <c r="D124" s="499"/>
      <c r="E124" s="497"/>
      <c r="F124" s="413"/>
      <c r="G124" s="413"/>
      <c r="H124" s="497"/>
      <c r="I124" s="497"/>
      <c r="J124" s="498"/>
      <c r="K124" s="499"/>
      <c r="L124" s="500"/>
    </row>
    <row r="125" spans="1:12" s="50" customFormat="1" x14ac:dyDescent="0.2">
      <c r="A125" s="497"/>
      <c r="B125" s="498"/>
      <c r="C125" s="497"/>
      <c r="D125" s="499"/>
      <c r="E125" s="497"/>
      <c r="F125" s="413"/>
      <c r="G125" s="499"/>
      <c r="H125" s="497"/>
      <c r="I125" s="497"/>
      <c r="J125" s="497"/>
      <c r="K125" s="499"/>
      <c r="L125" s="500"/>
    </row>
    <row r="126" spans="1:12" s="485" customFormat="1" x14ac:dyDescent="0.2">
      <c r="A126" s="497"/>
      <c r="B126" s="498"/>
      <c r="C126" s="497"/>
      <c r="D126" s="499"/>
      <c r="E126" s="497"/>
      <c r="F126" s="413"/>
      <c r="G126" s="499"/>
      <c r="H126" s="497"/>
      <c r="I126" s="497"/>
      <c r="J126" s="498"/>
      <c r="K126" s="499"/>
      <c r="L126" s="500"/>
    </row>
    <row r="127" spans="1:12" s="50" customFormat="1" x14ac:dyDescent="0.2">
      <c r="A127" s="497"/>
      <c r="B127" s="498"/>
      <c r="C127" s="497"/>
      <c r="D127" s="499"/>
      <c r="E127" s="497"/>
      <c r="F127" s="413"/>
      <c r="G127" s="499"/>
      <c r="H127" s="497"/>
      <c r="I127" s="497"/>
      <c r="J127" s="497"/>
      <c r="K127" s="499"/>
      <c r="L127" s="500"/>
    </row>
    <row r="128" spans="1:12" s="50" customFormat="1" x14ac:dyDescent="0.2">
      <c r="A128" s="497"/>
      <c r="B128" s="498"/>
      <c r="C128" s="497"/>
      <c r="D128" s="499"/>
      <c r="E128" s="497"/>
      <c r="F128" s="413"/>
      <c r="G128" s="499"/>
      <c r="H128" s="497"/>
      <c r="I128" s="497"/>
      <c r="J128" s="498"/>
      <c r="K128" s="499"/>
      <c r="L128" s="500"/>
    </row>
    <row r="129" spans="1:12" s="485" customFormat="1" x14ac:dyDescent="0.2">
      <c r="A129" s="497"/>
      <c r="B129" s="498"/>
      <c r="C129" s="497"/>
      <c r="D129" s="499"/>
      <c r="E129" s="497"/>
      <c r="F129" s="413"/>
      <c r="G129" s="499"/>
      <c r="H129" s="497"/>
      <c r="I129" s="497"/>
      <c r="J129" s="497"/>
      <c r="K129" s="499"/>
      <c r="L129" s="500"/>
    </row>
    <row r="130" spans="1:12" s="50" customFormat="1" x14ac:dyDescent="0.2">
      <c r="A130" s="497"/>
      <c r="B130" s="498"/>
      <c r="C130" s="497"/>
      <c r="D130" s="499"/>
      <c r="E130" s="497"/>
      <c r="F130" s="413"/>
      <c r="G130" s="499"/>
      <c r="H130" s="497"/>
      <c r="I130" s="497"/>
      <c r="J130" s="497"/>
      <c r="K130" s="499"/>
      <c r="L130" s="500"/>
    </row>
    <row r="131" spans="1:12" s="507" customFormat="1" x14ac:dyDescent="0.2">
      <c r="A131" s="497"/>
      <c r="B131" s="498"/>
      <c r="C131" s="497"/>
      <c r="D131" s="462"/>
      <c r="E131" s="497"/>
      <c r="F131" s="499"/>
      <c r="G131" s="499"/>
      <c r="H131" s="497"/>
      <c r="I131" s="497"/>
      <c r="J131" s="498"/>
      <c r="K131" s="499"/>
    </row>
    <row r="132" spans="1:12" s="512" customFormat="1" x14ac:dyDescent="0.2">
      <c r="A132" s="497"/>
      <c r="B132" s="498"/>
      <c r="C132" s="497"/>
      <c r="D132" s="499"/>
      <c r="E132" s="497"/>
      <c r="F132" s="499"/>
      <c r="G132" s="499"/>
      <c r="H132" s="497"/>
      <c r="I132" s="497"/>
      <c r="J132" s="497"/>
      <c r="K132" s="499"/>
      <c r="L132" s="506"/>
    </row>
    <row r="133" spans="1:12" s="512" customFormat="1" x14ac:dyDescent="0.2">
      <c r="A133" s="513"/>
      <c r="B133" s="514"/>
      <c r="C133" s="513"/>
      <c r="D133" s="515"/>
      <c r="E133" s="513"/>
      <c r="F133" s="515"/>
      <c r="G133" s="515"/>
      <c r="H133" s="513"/>
      <c r="I133" s="513"/>
      <c r="J133" s="513"/>
      <c r="K133" s="515"/>
      <c r="L133" s="516"/>
    </row>
    <row r="134" spans="1:12" s="512" customFormat="1" x14ac:dyDescent="0.2">
      <c r="A134" s="513"/>
      <c r="B134" s="514"/>
      <c r="C134" s="513"/>
      <c r="D134" s="515"/>
      <c r="E134" s="513"/>
      <c r="F134" s="515"/>
      <c r="G134" s="515"/>
      <c r="H134" s="513"/>
      <c r="I134" s="513"/>
      <c r="J134" s="513"/>
      <c r="K134" s="515"/>
      <c r="L134" s="516"/>
    </row>
    <row r="135" spans="1:12" s="512" customFormat="1" x14ac:dyDescent="0.2">
      <c r="A135" s="513"/>
      <c r="B135" s="514"/>
      <c r="C135" s="513"/>
      <c r="D135" s="515"/>
      <c r="E135" s="513"/>
      <c r="F135" s="515"/>
      <c r="G135" s="515"/>
      <c r="H135" s="513"/>
      <c r="I135" s="513"/>
      <c r="J135" s="513"/>
      <c r="K135" s="515"/>
      <c r="L135" s="516"/>
    </row>
    <row r="136" spans="1:12" s="512" customFormat="1" x14ac:dyDescent="0.2">
      <c r="A136" s="513"/>
      <c r="B136" s="514"/>
      <c r="C136" s="513"/>
      <c r="D136" s="515"/>
      <c r="E136" s="513"/>
      <c r="F136" s="517"/>
      <c r="G136" s="515"/>
      <c r="H136" s="513"/>
      <c r="I136" s="513"/>
      <c r="J136" s="513"/>
      <c r="K136" s="515"/>
      <c r="L136" s="516"/>
    </row>
    <row r="137" spans="1:12" s="512" customFormat="1" x14ac:dyDescent="0.2">
      <c r="A137" s="513"/>
      <c r="B137" s="514"/>
      <c r="C137" s="513"/>
      <c r="D137" s="515"/>
      <c r="E137" s="513"/>
      <c r="F137" s="517"/>
      <c r="G137" s="515"/>
      <c r="H137" s="513"/>
      <c r="I137" s="513"/>
      <c r="J137" s="513"/>
      <c r="K137" s="515"/>
      <c r="L137" s="516"/>
    </row>
    <row r="138" spans="1:12" s="512" customFormat="1" x14ac:dyDescent="0.2">
      <c r="A138" s="513"/>
      <c r="B138" s="514"/>
      <c r="C138" s="513"/>
      <c r="D138" s="515"/>
      <c r="E138" s="513"/>
      <c r="F138" s="517"/>
      <c r="G138" s="515"/>
      <c r="H138" s="513"/>
      <c r="I138" s="513"/>
      <c r="J138" s="513"/>
      <c r="K138" s="515"/>
      <c r="L138" s="516"/>
    </row>
    <row r="139" spans="1:12" s="512" customFormat="1" x14ac:dyDescent="0.2">
      <c r="A139" s="513"/>
      <c r="B139" s="514"/>
      <c r="C139" s="513"/>
      <c r="D139" s="515"/>
      <c r="E139" s="513"/>
      <c r="F139" s="517"/>
      <c r="G139" s="515"/>
      <c r="H139" s="513"/>
      <c r="I139" s="513"/>
      <c r="J139" s="513"/>
      <c r="K139" s="515"/>
      <c r="L139" s="516"/>
    </row>
    <row r="140" spans="1:12" s="512" customFormat="1" x14ac:dyDescent="0.2">
      <c r="A140" s="513"/>
      <c r="B140" s="514"/>
      <c r="C140" s="513"/>
      <c r="D140" s="515"/>
      <c r="E140" s="513"/>
      <c r="F140" s="517"/>
      <c r="G140" s="515"/>
      <c r="H140" s="513"/>
      <c r="I140" s="513"/>
      <c r="J140" s="513"/>
      <c r="K140" s="515"/>
      <c r="L140" s="516"/>
    </row>
    <row r="141" spans="1:12" s="512" customFormat="1" x14ac:dyDescent="0.2">
      <c r="A141" s="513"/>
      <c r="B141" s="514"/>
      <c r="C141" s="513"/>
      <c r="D141" s="515"/>
      <c r="E141" s="513"/>
      <c r="F141" s="517"/>
      <c r="G141" s="515"/>
      <c r="H141" s="513"/>
      <c r="I141" s="513"/>
      <c r="J141" s="513"/>
      <c r="K141" s="515"/>
      <c r="L141" s="516"/>
    </row>
    <row r="142" spans="1:12" s="512" customFormat="1" x14ac:dyDescent="0.2">
      <c r="A142" s="513"/>
      <c r="B142" s="514"/>
      <c r="C142" s="513"/>
      <c r="D142" s="515"/>
      <c r="E142" s="513"/>
      <c r="F142" s="517"/>
      <c r="G142" s="515"/>
      <c r="H142" s="513"/>
      <c r="I142" s="513"/>
      <c r="J142" s="513"/>
      <c r="K142" s="515"/>
      <c r="L142" s="516"/>
    </row>
    <row r="143" spans="1:12" s="512" customFormat="1" x14ac:dyDescent="0.2">
      <c r="A143" s="513"/>
      <c r="B143" s="514"/>
      <c r="C143" s="513"/>
      <c r="D143" s="515"/>
      <c r="E143" s="513"/>
      <c r="F143" s="517"/>
      <c r="G143" s="515"/>
      <c r="H143" s="513"/>
      <c r="I143" s="513"/>
      <c r="J143" s="513"/>
      <c r="K143" s="515"/>
      <c r="L143" s="516"/>
    </row>
    <row r="144" spans="1:12" s="512" customFormat="1" x14ac:dyDescent="0.2">
      <c r="A144" s="513"/>
      <c r="B144" s="514"/>
      <c r="C144" s="513"/>
      <c r="D144" s="515"/>
      <c r="E144" s="513"/>
      <c r="F144" s="517"/>
      <c r="G144" s="515"/>
      <c r="H144" s="513"/>
      <c r="I144" s="513"/>
      <c r="J144" s="513"/>
      <c r="K144" s="515"/>
      <c r="L144" s="516"/>
    </row>
    <row r="145" spans="1:12" s="512" customFormat="1" x14ac:dyDescent="0.2">
      <c r="A145" s="513"/>
      <c r="B145" s="514"/>
      <c r="C145" s="513"/>
      <c r="D145" s="515"/>
      <c r="E145" s="513"/>
      <c r="F145" s="517"/>
      <c r="G145" s="515"/>
      <c r="H145" s="513"/>
      <c r="I145" s="513"/>
      <c r="J145" s="513"/>
      <c r="K145" s="515"/>
      <c r="L145" s="516"/>
    </row>
    <row r="146" spans="1:12" s="512" customFormat="1" x14ac:dyDescent="0.2">
      <c r="A146" s="513"/>
      <c r="B146" s="514"/>
      <c r="C146" s="513"/>
      <c r="D146" s="515"/>
      <c r="E146" s="513"/>
      <c r="F146" s="517"/>
      <c r="G146" s="515"/>
      <c r="H146" s="513"/>
      <c r="I146" s="513"/>
      <c r="J146" s="513"/>
      <c r="K146" s="515"/>
      <c r="L146" s="516"/>
    </row>
    <row r="147" spans="1:12" x14ac:dyDescent="0.2">
      <c r="A147" s="518"/>
      <c r="B147" s="518"/>
      <c r="C147" s="518"/>
      <c r="D147" s="519"/>
      <c r="E147" s="518"/>
      <c r="F147" s="519"/>
      <c r="G147" s="519"/>
      <c r="H147" s="518"/>
      <c r="I147" s="518"/>
      <c r="J147" s="518"/>
      <c r="K147" s="519"/>
      <c r="L147" s="520"/>
    </row>
    <row r="148" spans="1:12" x14ac:dyDescent="0.2">
      <c r="A148" s="518"/>
      <c r="B148" s="518"/>
      <c r="C148" s="518"/>
      <c r="D148" s="519"/>
      <c r="E148" s="518"/>
      <c r="F148" s="519"/>
      <c r="G148" s="519"/>
      <c r="H148" s="518"/>
      <c r="I148" s="518"/>
      <c r="J148" s="518"/>
      <c r="K148" s="519"/>
      <c r="L148" s="521"/>
    </row>
    <row r="149" spans="1:12" x14ac:dyDescent="0.2">
      <c r="A149" s="518"/>
      <c r="B149" s="518"/>
      <c r="C149" s="518"/>
      <c r="D149" s="519"/>
      <c r="E149" s="518"/>
      <c r="F149" s="519"/>
      <c r="G149" s="519"/>
      <c r="H149" s="518"/>
      <c r="I149" s="518"/>
      <c r="J149" s="518"/>
      <c r="K149" s="519"/>
      <c r="L149" s="521"/>
    </row>
    <row r="150" spans="1:12" x14ac:dyDescent="0.2">
      <c r="A150" s="518"/>
      <c r="B150" s="518"/>
      <c r="C150" s="518"/>
      <c r="D150" s="519"/>
      <c r="E150" s="518"/>
      <c r="F150" s="519"/>
      <c r="G150" s="519"/>
      <c r="H150" s="518"/>
      <c r="I150" s="518"/>
      <c r="J150" s="518"/>
      <c r="K150" s="519"/>
      <c r="L150" s="521"/>
    </row>
    <row r="151" spans="1:12" x14ac:dyDescent="0.2">
      <c r="A151" s="518"/>
      <c r="B151" s="518"/>
      <c r="C151" s="518"/>
      <c r="D151" s="519"/>
      <c r="E151" s="518"/>
      <c r="F151" s="519"/>
      <c r="G151" s="519"/>
      <c r="H151" s="518"/>
      <c r="I151" s="518"/>
      <c r="J151" s="518"/>
      <c r="K151" s="519"/>
      <c r="L151" s="521"/>
    </row>
    <row r="152" spans="1:12" ht="13.5" thickBot="1" x14ac:dyDescent="0.25">
      <c r="A152" s="522"/>
      <c r="B152" s="522"/>
      <c r="C152" s="522"/>
      <c r="D152" s="523"/>
      <c r="E152" s="522"/>
      <c r="F152" s="523"/>
      <c r="G152" s="523"/>
      <c r="H152" s="522"/>
      <c r="I152" s="522"/>
      <c r="J152" s="522"/>
      <c r="K152" s="523"/>
      <c r="L152" s="523"/>
    </row>
    <row r="153" spans="1:12" ht="13.5" thickBot="1" x14ac:dyDescent="0.25">
      <c r="A153" s="524"/>
      <c r="B153" s="525"/>
      <c r="C153" s="525"/>
      <c r="D153" s="526" t="s">
        <v>164</v>
      </c>
      <c r="E153" s="525"/>
      <c r="F153" s="527">
        <f>SUM(F2:F151)</f>
        <v>0</v>
      </c>
      <c r="G153" s="527">
        <f>SUM(G2:G151)</f>
        <v>147326</v>
      </c>
      <c r="H153" s="527"/>
      <c r="I153" s="525"/>
      <c r="J153" s="525"/>
      <c r="K153" s="526"/>
      <c r="L153" s="528"/>
    </row>
  </sheetData>
  <autoFilter ref="A2:K139"/>
  <mergeCells count="1">
    <mergeCell ref="I96:K96"/>
  </mergeCells>
  <conditionalFormatting sqref="M14:M25 L13 A13">
    <cfRule type="cellIs" dxfId="26" priority="41" stopIfTrue="1" operator="lessThan">
      <formula>0</formula>
    </cfRule>
  </conditionalFormatting>
  <conditionalFormatting sqref="A24 A34:A57">
    <cfRule type="cellIs" dxfId="25" priority="40" stopIfTrue="1" operator="lessThan">
      <formula>0</formula>
    </cfRule>
  </conditionalFormatting>
  <conditionalFormatting sqref="L35 F35">
    <cfRule type="cellIs" dxfId="24" priority="35" stopIfTrue="1" operator="lessThan">
      <formula>0</formula>
    </cfRule>
  </conditionalFormatting>
  <conditionalFormatting sqref="L35 F35:G35">
    <cfRule type="cellIs" dxfId="23" priority="34" stopIfTrue="1" operator="lessThan">
      <formula>0</formula>
    </cfRule>
  </conditionalFormatting>
  <conditionalFormatting sqref="L35 B35 F35">
    <cfRule type="cellIs" dxfId="22" priority="33" stopIfTrue="1" operator="lessThan">
      <formula>0</formula>
    </cfRule>
  </conditionalFormatting>
  <conditionalFormatting sqref="L35 B35 F35:G35">
    <cfRule type="cellIs" dxfId="21" priority="32" stopIfTrue="1" operator="lessThan">
      <formula>0</formula>
    </cfRule>
  </conditionalFormatting>
  <conditionalFormatting sqref="L34 F34">
    <cfRule type="cellIs" dxfId="20" priority="31" stopIfTrue="1" operator="lessThan">
      <formula>0</formula>
    </cfRule>
  </conditionalFormatting>
  <conditionalFormatting sqref="L34 F34:G34">
    <cfRule type="cellIs" dxfId="19" priority="30" stopIfTrue="1" operator="lessThan">
      <formula>0</formula>
    </cfRule>
  </conditionalFormatting>
  <conditionalFormatting sqref="L34 B34 F34">
    <cfRule type="cellIs" dxfId="18" priority="29" stopIfTrue="1" operator="lessThan">
      <formula>0</formula>
    </cfRule>
  </conditionalFormatting>
  <conditionalFormatting sqref="L34 B34 F34:G34">
    <cfRule type="cellIs" dxfId="17" priority="28" stopIfTrue="1" operator="lessThan">
      <formula>0</formula>
    </cfRule>
  </conditionalFormatting>
  <conditionalFormatting sqref="E13">
    <cfRule type="cellIs" dxfId="16" priority="24" stopIfTrue="1" operator="lessThan">
      <formula>0</formula>
    </cfRule>
  </conditionalFormatting>
  <conditionalFormatting sqref="H13">
    <cfRule type="cellIs" dxfId="15" priority="19" stopIfTrue="1" operator="lessThan">
      <formula>0</formula>
    </cfRule>
  </conditionalFormatting>
  <conditionalFormatting sqref="C34:C43">
    <cfRule type="cellIs" dxfId="14" priority="17" stopIfTrue="1" operator="lessThan">
      <formula>0</formula>
    </cfRule>
  </conditionalFormatting>
  <conditionalFormatting sqref="C34:C43">
    <cfRule type="cellIs" dxfId="13" priority="16" stopIfTrue="1" operator="lessThan">
      <formula>0</formula>
    </cfRule>
  </conditionalFormatting>
  <conditionalFormatting sqref="I34:J57">
    <cfRule type="cellIs" dxfId="12" priority="13" stopIfTrue="1" operator="lessThan">
      <formula>0</formula>
    </cfRule>
  </conditionalFormatting>
  <conditionalFormatting sqref="E14">
    <cfRule type="cellIs" dxfId="11" priority="12" stopIfTrue="1" operator="lessThan">
      <formula>0</formula>
    </cfRule>
  </conditionalFormatting>
  <conditionalFormatting sqref="H14">
    <cfRule type="cellIs" dxfId="10" priority="11" stopIfTrue="1" operator="lessThan">
      <formula>0</formula>
    </cfRule>
  </conditionalFormatting>
  <conditionalFormatting sqref="E15:E16">
    <cfRule type="cellIs" dxfId="9" priority="10" stopIfTrue="1" operator="lessThan">
      <formula>0</formula>
    </cfRule>
  </conditionalFormatting>
  <conditionalFormatting sqref="H15:H16">
    <cfRule type="cellIs" dxfId="8" priority="9" stopIfTrue="1" operator="lessThan">
      <formula>0</formula>
    </cfRule>
  </conditionalFormatting>
  <conditionalFormatting sqref="E17">
    <cfRule type="cellIs" dxfId="7" priority="8" stopIfTrue="1" operator="lessThan">
      <formula>0</formula>
    </cfRule>
  </conditionalFormatting>
  <conditionalFormatting sqref="H17">
    <cfRule type="cellIs" dxfId="6" priority="7" stopIfTrue="1" operator="lessThan">
      <formula>0</formula>
    </cfRule>
  </conditionalFormatting>
  <conditionalFormatting sqref="E18">
    <cfRule type="cellIs" dxfId="5" priority="6" stopIfTrue="1" operator="lessThan">
      <formula>0</formula>
    </cfRule>
  </conditionalFormatting>
  <conditionalFormatting sqref="H18">
    <cfRule type="cellIs" dxfId="4" priority="5" stopIfTrue="1" operator="lessThan">
      <formula>0</formula>
    </cfRule>
  </conditionalFormatting>
  <conditionalFormatting sqref="E19">
    <cfRule type="cellIs" dxfId="3" priority="4" stopIfTrue="1" operator="lessThan">
      <formula>0</formula>
    </cfRule>
  </conditionalFormatting>
  <conditionalFormatting sqref="H19">
    <cfRule type="cellIs" dxfId="2" priority="3" stopIfTrue="1" operator="lessThan">
      <formula>0</formula>
    </cfRule>
  </conditionalFormatting>
  <conditionalFormatting sqref="E20">
    <cfRule type="cellIs" dxfId="1" priority="2" stopIfTrue="1" operator="lessThan">
      <formula>0</formula>
    </cfRule>
  </conditionalFormatting>
  <conditionalFormatting sqref="H20">
    <cfRule type="cellIs" dxfId="0" priority="1" stopIfTrue="1" operator="lessThan">
      <formula>0</formula>
    </cfRule>
  </conditionalFormatting>
  <pageMargins left="0.7" right="0.7" top="0.75" bottom="0.75" header="0.3" footer="0.3"/>
  <pageSetup paperSize="3" scale="56" orientation="landscape" r:id="rId1"/>
  <rowBreaks count="1" manualBreakCount="1">
    <brk id="90" max="1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07"/>
  <sheetViews>
    <sheetView view="pageBreakPreview" zoomScale="60" zoomScaleNormal="62" workbookViewId="0">
      <pane ySplit="3" topLeftCell="A4" activePane="bottomLeft" state="frozen"/>
      <selection pane="bottomLeft" activeCell="E22" sqref="E22"/>
    </sheetView>
  </sheetViews>
  <sheetFormatPr defaultRowHeight="15" x14ac:dyDescent="0.25"/>
  <cols>
    <col min="1" max="1" width="24.7109375" style="529" bestFit="1" customWidth="1"/>
    <col min="2" max="4" width="12.7109375" style="529" customWidth="1"/>
    <col min="5" max="5" width="73.85546875" style="647" customWidth="1"/>
    <col min="6" max="6" width="21.7109375" style="647" bestFit="1" customWidth="1"/>
    <col min="7" max="7" width="20" style="647" bestFit="1" customWidth="1"/>
    <col min="8" max="8" width="20" style="647" customWidth="1"/>
    <col min="9" max="9" width="19.140625" style="648" bestFit="1" customWidth="1"/>
    <col min="10" max="10" width="24.140625" style="648" bestFit="1" customWidth="1"/>
    <col min="11" max="11" width="42.7109375" style="529" customWidth="1"/>
    <col min="12" max="12" width="5.28515625" style="530" customWidth="1"/>
    <col min="13" max="258" width="8.85546875" style="529"/>
    <col min="259" max="259" width="18.85546875" style="529" bestFit="1" customWidth="1"/>
    <col min="260" max="260" width="56.7109375" style="529" customWidth="1"/>
    <col min="261" max="261" width="10.42578125" style="529" customWidth="1"/>
    <col min="262" max="262" width="18.85546875" style="529" bestFit="1" customWidth="1"/>
    <col min="263" max="263" width="14.28515625" style="529" customWidth="1"/>
    <col min="264" max="264" width="16.85546875" style="529" customWidth="1"/>
    <col min="265" max="265" width="16" style="529" customWidth="1"/>
    <col min="266" max="266" width="9.85546875" style="529" customWidth="1"/>
    <col min="267" max="267" width="124.42578125" style="529" customWidth="1"/>
    <col min="268" max="514" width="8.85546875" style="529"/>
    <col min="515" max="515" width="18.85546875" style="529" bestFit="1" customWidth="1"/>
    <col min="516" max="516" width="56.7109375" style="529" customWidth="1"/>
    <col min="517" max="517" width="10.42578125" style="529" customWidth="1"/>
    <col min="518" max="518" width="18.85546875" style="529" bestFit="1" customWidth="1"/>
    <col min="519" max="519" width="14.28515625" style="529" customWidth="1"/>
    <col min="520" max="520" width="16.85546875" style="529" customWidth="1"/>
    <col min="521" max="521" width="16" style="529" customWidth="1"/>
    <col min="522" max="522" width="9.85546875" style="529" customWidth="1"/>
    <col min="523" max="523" width="124.42578125" style="529" customWidth="1"/>
    <col min="524" max="770" width="8.85546875" style="529"/>
    <col min="771" max="771" width="18.85546875" style="529" bestFit="1" customWidth="1"/>
    <col min="772" max="772" width="56.7109375" style="529" customWidth="1"/>
    <col min="773" max="773" width="10.42578125" style="529" customWidth="1"/>
    <col min="774" max="774" width="18.85546875" style="529" bestFit="1" customWidth="1"/>
    <col min="775" max="775" width="14.28515625" style="529" customWidth="1"/>
    <col min="776" max="776" width="16.85546875" style="529" customWidth="1"/>
    <col min="777" max="777" width="16" style="529" customWidth="1"/>
    <col min="778" max="778" width="9.85546875" style="529" customWidth="1"/>
    <col min="779" max="779" width="124.42578125" style="529" customWidth="1"/>
    <col min="780" max="1026" width="8.85546875" style="529"/>
    <col min="1027" max="1027" width="18.85546875" style="529" bestFit="1" customWidth="1"/>
    <col min="1028" max="1028" width="56.7109375" style="529" customWidth="1"/>
    <col min="1029" max="1029" width="10.42578125" style="529" customWidth="1"/>
    <col min="1030" max="1030" width="18.85546875" style="529" bestFit="1" customWidth="1"/>
    <col min="1031" max="1031" width="14.28515625" style="529" customWidth="1"/>
    <col min="1032" max="1032" width="16.85546875" style="529" customWidth="1"/>
    <col min="1033" max="1033" width="16" style="529" customWidth="1"/>
    <col min="1034" max="1034" width="9.85546875" style="529" customWidth="1"/>
    <col min="1035" max="1035" width="124.42578125" style="529" customWidth="1"/>
    <col min="1036" max="1282" width="8.85546875" style="529"/>
    <col min="1283" max="1283" width="18.85546875" style="529" bestFit="1" customWidth="1"/>
    <col min="1284" max="1284" width="56.7109375" style="529" customWidth="1"/>
    <col min="1285" max="1285" width="10.42578125" style="529" customWidth="1"/>
    <col min="1286" max="1286" width="18.85546875" style="529" bestFit="1" customWidth="1"/>
    <col min="1287" max="1287" width="14.28515625" style="529" customWidth="1"/>
    <col min="1288" max="1288" width="16.85546875" style="529" customWidth="1"/>
    <col min="1289" max="1289" width="16" style="529" customWidth="1"/>
    <col min="1290" max="1290" width="9.85546875" style="529" customWidth="1"/>
    <col min="1291" max="1291" width="124.42578125" style="529" customWidth="1"/>
    <col min="1292" max="1538" width="8.85546875" style="529"/>
    <col min="1539" max="1539" width="18.85546875" style="529" bestFit="1" customWidth="1"/>
    <col min="1540" max="1540" width="56.7109375" style="529" customWidth="1"/>
    <col min="1541" max="1541" width="10.42578125" style="529" customWidth="1"/>
    <col min="1542" max="1542" width="18.85546875" style="529" bestFit="1" customWidth="1"/>
    <col min="1543" max="1543" width="14.28515625" style="529" customWidth="1"/>
    <col min="1544" max="1544" width="16.85546875" style="529" customWidth="1"/>
    <col min="1545" max="1545" width="16" style="529" customWidth="1"/>
    <col min="1546" max="1546" width="9.85546875" style="529" customWidth="1"/>
    <col min="1547" max="1547" width="124.42578125" style="529" customWidth="1"/>
    <col min="1548" max="1794" width="8.85546875" style="529"/>
    <col min="1795" max="1795" width="18.85546875" style="529" bestFit="1" customWidth="1"/>
    <col min="1796" max="1796" width="56.7109375" style="529" customWidth="1"/>
    <col min="1797" max="1797" width="10.42578125" style="529" customWidth="1"/>
    <col min="1798" max="1798" width="18.85546875" style="529" bestFit="1" customWidth="1"/>
    <col min="1799" max="1799" width="14.28515625" style="529" customWidth="1"/>
    <col min="1800" max="1800" width="16.85546875" style="529" customWidth="1"/>
    <col min="1801" max="1801" width="16" style="529" customWidth="1"/>
    <col min="1802" max="1802" width="9.85546875" style="529" customWidth="1"/>
    <col min="1803" max="1803" width="124.42578125" style="529" customWidth="1"/>
    <col min="1804" max="2050" width="8.85546875" style="529"/>
    <col min="2051" max="2051" width="18.85546875" style="529" bestFit="1" customWidth="1"/>
    <col min="2052" max="2052" width="56.7109375" style="529" customWidth="1"/>
    <col min="2053" max="2053" width="10.42578125" style="529" customWidth="1"/>
    <col min="2054" max="2054" width="18.85546875" style="529" bestFit="1" customWidth="1"/>
    <col min="2055" max="2055" width="14.28515625" style="529" customWidth="1"/>
    <col min="2056" max="2056" width="16.85546875" style="529" customWidth="1"/>
    <col min="2057" max="2057" width="16" style="529" customWidth="1"/>
    <col min="2058" max="2058" width="9.85546875" style="529" customWidth="1"/>
    <col min="2059" max="2059" width="124.42578125" style="529" customWidth="1"/>
    <col min="2060" max="2306" width="8.85546875" style="529"/>
    <col min="2307" max="2307" width="18.85546875" style="529" bestFit="1" customWidth="1"/>
    <col min="2308" max="2308" width="56.7109375" style="529" customWidth="1"/>
    <col min="2309" max="2309" width="10.42578125" style="529" customWidth="1"/>
    <col min="2310" max="2310" width="18.85546875" style="529" bestFit="1" customWidth="1"/>
    <col min="2311" max="2311" width="14.28515625" style="529" customWidth="1"/>
    <col min="2312" max="2312" width="16.85546875" style="529" customWidth="1"/>
    <col min="2313" max="2313" width="16" style="529" customWidth="1"/>
    <col min="2314" max="2314" width="9.85546875" style="529" customWidth="1"/>
    <col min="2315" max="2315" width="124.42578125" style="529" customWidth="1"/>
    <col min="2316" max="2562" width="8.85546875" style="529"/>
    <col min="2563" max="2563" width="18.85546875" style="529" bestFit="1" customWidth="1"/>
    <col min="2564" max="2564" width="56.7109375" style="529" customWidth="1"/>
    <col min="2565" max="2565" width="10.42578125" style="529" customWidth="1"/>
    <col min="2566" max="2566" width="18.85546875" style="529" bestFit="1" customWidth="1"/>
    <col min="2567" max="2567" width="14.28515625" style="529" customWidth="1"/>
    <col min="2568" max="2568" width="16.85546875" style="529" customWidth="1"/>
    <col min="2569" max="2569" width="16" style="529" customWidth="1"/>
    <col min="2570" max="2570" width="9.85546875" style="529" customWidth="1"/>
    <col min="2571" max="2571" width="124.42578125" style="529" customWidth="1"/>
    <col min="2572" max="2818" width="8.85546875" style="529"/>
    <col min="2819" max="2819" width="18.85546875" style="529" bestFit="1" customWidth="1"/>
    <col min="2820" max="2820" width="56.7109375" style="529" customWidth="1"/>
    <col min="2821" max="2821" width="10.42578125" style="529" customWidth="1"/>
    <col min="2822" max="2822" width="18.85546875" style="529" bestFit="1" customWidth="1"/>
    <col min="2823" max="2823" width="14.28515625" style="529" customWidth="1"/>
    <col min="2824" max="2824" width="16.85546875" style="529" customWidth="1"/>
    <col min="2825" max="2825" width="16" style="529" customWidth="1"/>
    <col min="2826" max="2826" width="9.85546875" style="529" customWidth="1"/>
    <col min="2827" max="2827" width="124.42578125" style="529" customWidth="1"/>
    <col min="2828" max="3074" width="8.85546875" style="529"/>
    <col min="3075" max="3075" width="18.85546875" style="529" bestFit="1" customWidth="1"/>
    <col min="3076" max="3076" width="56.7109375" style="529" customWidth="1"/>
    <col min="3077" max="3077" width="10.42578125" style="529" customWidth="1"/>
    <col min="3078" max="3078" width="18.85546875" style="529" bestFit="1" customWidth="1"/>
    <col min="3079" max="3079" width="14.28515625" style="529" customWidth="1"/>
    <col min="3080" max="3080" width="16.85546875" style="529" customWidth="1"/>
    <col min="3081" max="3081" width="16" style="529" customWidth="1"/>
    <col min="3082" max="3082" width="9.85546875" style="529" customWidth="1"/>
    <col min="3083" max="3083" width="124.42578125" style="529" customWidth="1"/>
    <col min="3084" max="3330" width="8.85546875" style="529"/>
    <col min="3331" max="3331" width="18.85546875" style="529" bestFit="1" customWidth="1"/>
    <col min="3332" max="3332" width="56.7109375" style="529" customWidth="1"/>
    <col min="3333" max="3333" width="10.42578125" style="529" customWidth="1"/>
    <col min="3334" max="3334" width="18.85546875" style="529" bestFit="1" customWidth="1"/>
    <col min="3335" max="3335" width="14.28515625" style="529" customWidth="1"/>
    <col min="3336" max="3336" width="16.85546875" style="529" customWidth="1"/>
    <col min="3337" max="3337" width="16" style="529" customWidth="1"/>
    <col min="3338" max="3338" width="9.85546875" style="529" customWidth="1"/>
    <col min="3339" max="3339" width="124.42578125" style="529" customWidth="1"/>
    <col min="3340" max="3586" width="8.85546875" style="529"/>
    <col min="3587" max="3587" width="18.85546875" style="529" bestFit="1" customWidth="1"/>
    <col min="3588" max="3588" width="56.7109375" style="529" customWidth="1"/>
    <col min="3589" max="3589" width="10.42578125" style="529" customWidth="1"/>
    <col min="3590" max="3590" width="18.85546875" style="529" bestFit="1" customWidth="1"/>
    <col min="3591" max="3591" width="14.28515625" style="529" customWidth="1"/>
    <col min="3592" max="3592" width="16.85546875" style="529" customWidth="1"/>
    <col min="3593" max="3593" width="16" style="529" customWidth="1"/>
    <col min="3594" max="3594" width="9.85546875" style="529" customWidth="1"/>
    <col min="3595" max="3595" width="124.42578125" style="529" customWidth="1"/>
    <col min="3596" max="3842" width="8.85546875" style="529"/>
    <col min="3843" max="3843" width="18.85546875" style="529" bestFit="1" customWidth="1"/>
    <col min="3844" max="3844" width="56.7109375" style="529" customWidth="1"/>
    <col min="3845" max="3845" width="10.42578125" style="529" customWidth="1"/>
    <col min="3846" max="3846" width="18.85546875" style="529" bestFit="1" customWidth="1"/>
    <col min="3847" max="3847" width="14.28515625" style="529" customWidth="1"/>
    <col min="3848" max="3848" width="16.85546875" style="529" customWidth="1"/>
    <col min="3849" max="3849" width="16" style="529" customWidth="1"/>
    <col min="3850" max="3850" width="9.85546875" style="529" customWidth="1"/>
    <col min="3851" max="3851" width="124.42578125" style="529" customWidth="1"/>
    <col min="3852" max="4098" width="8.85546875" style="529"/>
    <col min="4099" max="4099" width="18.85546875" style="529" bestFit="1" customWidth="1"/>
    <col min="4100" max="4100" width="56.7109375" style="529" customWidth="1"/>
    <col min="4101" max="4101" width="10.42578125" style="529" customWidth="1"/>
    <col min="4102" max="4102" width="18.85546875" style="529" bestFit="1" customWidth="1"/>
    <col min="4103" max="4103" width="14.28515625" style="529" customWidth="1"/>
    <col min="4104" max="4104" width="16.85546875" style="529" customWidth="1"/>
    <col min="4105" max="4105" width="16" style="529" customWidth="1"/>
    <col min="4106" max="4106" width="9.85546875" style="529" customWidth="1"/>
    <col min="4107" max="4107" width="124.42578125" style="529" customWidth="1"/>
    <col min="4108" max="4354" width="8.85546875" style="529"/>
    <col min="4355" max="4355" width="18.85546875" style="529" bestFit="1" customWidth="1"/>
    <col min="4356" max="4356" width="56.7109375" style="529" customWidth="1"/>
    <col min="4357" max="4357" width="10.42578125" style="529" customWidth="1"/>
    <col min="4358" max="4358" width="18.85546875" style="529" bestFit="1" customWidth="1"/>
    <col min="4359" max="4359" width="14.28515625" style="529" customWidth="1"/>
    <col min="4360" max="4360" width="16.85546875" style="529" customWidth="1"/>
    <col min="4361" max="4361" width="16" style="529" customWidth="1"/>
    <col min="4362" max="4362" width="9.85546875" style="529" customWidth="1"/>
    <col min="4363" max="4363" width="124.42578125" style="529" customWidth="1"/>
    <col min="4364" max="4610" width="8.85546875" style="529"/>
    <col min="4611" max="4611" width="18.85546875" style="529" bestFit="1" customWidth="1"/>
    <col min="4612" max="4612" width="56.7109375" style="529" customWidth="1"/>
    <col min="4613" max="4613" width="10.42578125" style="529" customWidth="1"/>
    <col min="4614" max="4614" width="18.85546875" style="529" bestFit="1" customWidth="1"/>
    <col min="4615" max="4615" width="14.28515625" style="529" customWidth="1"/>
    <col min="4616" max="4616" width="16.85546875" style="529" customWidth="1"/>
    <col min="4617" max="4617" width="16" style="529" customWidth="1"/>
    <col min="4618" max="4618" width="9.85546875" style="529" customWidth="1"/>
    <col min="4619" max="4619" width="124.42578125" style="529" customWidth="1"/>
    <col min="4620" max="4866" width="8.85546875" style="529"/>
    <col min="4867" max="4867" width="18.85546875" style="529" bestFit="1" customWidth="1"/>
    <col min="4868" max="4868" width="56.7109375" style="529" customWidth="1"/>
    <col min="4869" max="4869" width="10.42578125" style="529" customWidth="1"/>
    <col min="4870" max="4870" width="18.85546875" style="529" bestFit="1" customWidth="1"/>
    <col min="4871" max="4871" width="14.28515625" style="529" customWidth="1"/>
    <col min="4872" max="4872" width="16.85546875" style="529" customWidth="1"/>
    <col min="4873" max="4873" width="16" style="529" customWidth="1"/>
    <col min="4874" max="4874" width="9.85546875" style="529" customWidth="1"/>
    <col min="4875" max="4875" width="124.42578125" style="529" customWidth="1"/>
    <col min="4876" max="5122" width="8.85546875" style="529"/>
    <col min="5123" max="5123" width="18.85546875" style="529" bestFit="1" customWidth="1"/>
    <col min="5124" max="5124" width="56.7109375" style="529" customWidth="1"/>
    <col min="5125" max="5125" width="10.42578125" style="529" customWidth="1"/>
    <col min="5126" max="5126" width="18.85546875" style="529" bestFit="1" customWidth="1"/>
    <col min="5127" max="5127" width="14.28515625" style="529" customWidth="1"/>
    <col min="5128" max="5128" width="16.85546875" style="529" customWidth="1"/>
    <col min="5129" max="5129" width="16" style="529" customWidth="1"/>
    <col min="5130" max="5130" width="9.85546875" style="529" customWidth="1"/>
    <col min="5131" max="5131" width="124.42578125" style="529" customWidth="1"/>
    <col min="5132" max="5378" width="8.85546875" style="529"/>
    <col min="5379" max="5379" width="18.85546875" style="529" bestFit="1" customWidth="1"/>
    <col min="5380" max="5380" width="56.7109375" style="529" customWidth="1"/>
    <col min="5381" max="5381" width="10.42578125" style="529" customWidth="1"/>
    <col min="5382" max="5382" width="18.85546875" style="529" bestFit="1" customWidth="1"/>
    <col min="5383" max="5383" width="14.28515625" style="529" customWidth="1"/>
    <col min="5384" max="5384" width="16.85546875" style="529" customWidth="1"/>
    <col min="5385" max="5385" width="16" style="529" customWidth="1"/>
    <col min="5386" max="5386" width="9.85546875" style="529" customWidth="1"/>
    <col min="5387" max="5387" width="124.42578125" style="529" customWidth="1"/>
    <col min="5388" max="5634" width="8.85546875" style="529"/>
    <col min="5635" max="5635" width="18.85546875" style="529" bestFit="1" customWidth="1"/>
    <col min="5636" max="5636" width="56.7109375" style="529" customWidth="1"/>
    <col min="5637" max="5637" width="10.42578125" style="529" customWidth="1"/>
    <col min="5638" max="5638" width="18.85546875" style="529" bestFit="1" customWidth="1"/>
    <col min="5639" max="5639" width="14.28515625" style="529" customWidth="1"/>
    <col min="5640" max="5640" width="16.85546875" style="529" customWidth="1"/>
    <col min="5641" max="5641" width="16" style="529" customWidth="1"/>
    <col min="5642" max="5642" width="9.85546875" style="529" customWidth="1"/>
    <col min="5643" max="5643" width="124.42578125" style="529" customWidth="1"/>
    <col min="5644" max="5890" width="8.85546875" style="529"/>
    <col min="5891" max="5891" width="18.85546875" style="529" bestFit="1" customWidth="1"/>
    <col min="5892" max="5892" width="56.7109375" style="529" customWidth="1"/>
    <col min="5893" max="5893" width="10.42578125" style="529" customWidth="1"/>
    <col min="5894" max="5894" width="18.85546875" style="529" bestFit="1" customWidth="1"/>
    <col min="5895" max="5895" width="14.28515625" style="529" customWidth="1"/>
    <col min="5896" max="5896" width="16.85546875" style="529" customWidth="1"/>
    <col min="5897" max="5897" width="16" style="529" customWidth="1"/>
    <col min="5898" max="5898" width="9.85546875" style="529" customWidth="1"/>
    <col min="5899" max="5899" width="124.42578125" style="529" customWidth="1"/>
    <col min="5900" max="6146" width="8.85546875" style="529"/>
    <col min="6147" max="6147" width="18.85546875" style="529" bestFit="1" customWidth="1"/>
    <col min="6148" max="6148" width="56.7109375" style="529" customWidth="1"/>
    <col min="6149" max="6149" width="10.42578125" style="529" customWidth="1"/>
    <col min="6150" max="6150" width="18.85546875" style="529" bestFit="1" customWidth="1"/>
    <col min="6151" max="6151" width="14.28515625" style="529" customWidth="1"/>
    <col min="6152" max="6152" width="16.85546875" style="529" customWidth="1"/>
    <col min="6153" max="6153" width="16" style="529" customWidth="1"/>
    <col min="6154" max="6154" width="9.85546875" style="529" customWidth="1"/>
    <col min="6155" max="6155" width="124.42578125" style="529" customWidth="1"/>
    <col min="6156" max="6402" width="8.85546875" style="529"/>
    <col min="6403" max="6403" width="18.85546875" style="529" bestFit="1" customWidth="1"/>
    <col min="6404" max="6404" width="56.7109375" style="529" customWidth="1"/>
    <col min="6405" max="6405" width="10.42578125" style="529" customWidth="1"/>
    <col min="6406" max="6406" width="18.85546875" style="529" bestFit="1" customWidth="1"/>
    <col min="6407" max="6407" width="14.28515625" style="529" customWidth="1"/>
    <col min="6408" max="6408" width="16.85546875" style="529" customWidth="1"/>
    <col min="6409" max="6409" width="16" style="529" customWidth="1"/>
    <col min="6410" max="6410" width="9.85546875" style="529" customWidth="1"/>
    <col min="6411" max="6411" width="124.42578125" style="529" customWidth="1"/>
    <col min="6412" max="6658" width="8.85546875" style="529"/>
    <col min="6659" max="6659" width="18.85546875" style="529" bestFit="1" customWidth="1"/>
    <col min="6660" max="6660" width="56.7109375" style="529" customWidth="1"/>
    <col min="6661" max="6661" width="10.42578125" style="529" customWidth="1"/>
    <col min="6662" max="6662" width="18.85546875" style="529" bestFit="1" customWidth="1"/>
    <col min="6663" max="6663" width="14.28515625" style="529" customWidth="1"/>
    <col min="6664" max="6664" width="16.85546875" style="529" customWidth="1"/>
    <col min="6665" max="6665" width="16" style="529" customWidth="1"/>
    <col min="6666" max="6666" width="9.85546875" style="529" customWidth="1"/>
    <col min="6667" max="6667" width="124.42578125" style="529" customWidth="1"/>
    <col min="6668" max="6914" width="8.85546875" style="529"/>
    <col min="6915" max="6915" width="18.85546875" style="529" bestFit="1" customWidth="1"/>
    <col min="6916" max="6916" width="56.7109375" style="529" customWidth="1"/>
    <col min="6917" max="6917" width="10.42578125" style="529" customWidth="1"/>
    <col min="6918" max="6918" width="18.85546875" style="529" bestFit="1" customWidth="1"/>
    <col min="6919" max="6919" width="14.28515625" style="529" customWidth="1"/>
    <col min="6920" max="6920" width="16.85546875" style="529" customWidth="1"/>
    <col min="6921" max="6921" width="16" style="529" customWidth="1"/>
    <col min="6922" max="6922" width="9.85546875" style="529" customWidth="1"/>
    <col min="6923" max="6923" width="124.42578125" style="529" customWidth="1"/>
    <col min="6924" max="7170" width="8.85546875" style="529"/>
    <col min="7171" max="7171" width="18.85546875" style="529" bestFit="1" customWidth="1"/>
    <col min="7172" max="7172" width="56.7109375" style="529" customWidth="1"/>
    <col min="7173" max="7173" width="10.42578125" style="529" customWidth="1"/>
    <col min="7174" max="7174" width="18.85546875" style="529" bestFit="1" customWidth="1"/>
    <col min="7175" max="7175" width="14.28515625" style="529" customWidth="1"/>
    <col min="7176" max="7176" width="16.85546875" style="529" customWidth="1"/>
    <col min="7177" max="7177" width="16" style="529" customWidth="1"/>
    <col min="7178" max="7178" width="9.85546875" style="529" customWidth="1"/>
    <col min="7179" max="7179" width="124.42578125" style="529" customWidth="1"/>
    <col min="7180" max="7426" width="8.85546875" style="529"/>
    <col min="7427" max="7427" width="18.85546875" style="529" bestFit="1" customWidth="1"/>
    <col min="7428" max="7428" width="56.7109375" style="529" customWidth="1"/>
    <col min="7429" max="7429" width="10.42578125" style="529" customWidth="1"/>
    <col min="7430" max="7430" width="18.85546875" style="529" bestFit="1" customWidth="1"/>
    <col min="7431" max="7431" width="14.28515625" style="529" customWidth="1"/>
    <col min="7432" max="7432" width="16.85546875" style="529" customWidth="1"/>
    <col min="7433" max="7433" width="16" style="529" customWidth="1"/>
    <col min="7434" max="7434" width="9.85546875" style="529" customWidth="1"/>
    <col min="7435" max="7435" width="124.42578125" style="529" customWidth="1"/>
    <col min="7436" max="7682" width="8.85546875" style="529"/>
    <col min="7683" max="7683" width="18.85546875" style="529" bestFit="1" customWidth="1"/>
    <col min="7684" max="7684" width="56.7109375" style="529" customWidth="1"/>
    <col min="7685" max="7685" width="10.42578125" style="529" customWidth="1"/>
    <col min="7686" max="7686" width="18.85546875" style="529" bestFit="1" customWidth="1"/>
    <col min="7687" max="7687" width="14.28515625" style="529" customWidth="1"/>
    <col min="7688" max="7688" width="16.85546875" style="529" customWidth="1"/>
    <col min="7689" max="7689" width="16" style="529" customWidth="1"/>
    <col min="7690" max="7690" width="9.85546875" style="529" customWidth="1"/>
    <col min="7691" max="7691" width="124.42578125" style="529" customWidth="1"/>
    <col min="7692" max="7938" width="8.85546875" style="529"/>
    <col min="7939" max="7939" width="18.85546875" style="529" bestFit="1" customWidth="1"/>
    <col min="7940" max="7940" width="56.7109375" style="529" customWidth="1"/>
    <col min="7941" max="7941" width="10.42578125" style="529" customWidth="1"/>
    <col min="7942" max="7942" width="18.85546875" style="529" bestFit="1" customWidth="1"/>
    <col min="7943" max="7943" width="14.28515625" style="529" customWidth="1"/>
    <col min="7944" max="7944" width="16.85546875" style="529" customWidth="1"/>
    <col min="7945" max="7945" width="16" style="529" customWidth="1"/>
    <col min="7946" max="7946" width="9.85546875" style="529" customWidth="1"/>
    <col min="7947" max="7947" width="124.42578125" style="529" customWidth="1"/>
    <col min="7948" max="8194" width="8.85546875" style="529"/>
    <col min="8195" max="8195" width="18.85546875" style="529" bestFit="1" customWidth="1"/>
    <col min="8196" max="8196" width="56.7109375" style="529" customWidth="1"/>
    <col min="8197" max="8197" width="10.42578125" style="529" customWidth="1"/>
    <col min="8198" max="8198" width="18.85546875" style="529" bestFit="1" customWidth="1"/>
    <col min="8199" max="8199" width="14.28515625" style="529" customWidth="1"/>
    <col min="8200" max="8200" width="16.85546875" style="529" customWidth="1"/>
    <col min="8201" max="8201" width="16" style="529" customWidth="1"/>
    <col min="8202" max="8202" width="9.85546875" style="529" customWidth="1"/>
    <col min="8203" max="8203" width="124.42578125" style="529" customWidth="1"/>
    <col min="8204" max="8450" width="8.85546875" style="529"/>
    <col min="8451" max="8451" width="18.85546875" style="529" bestFit="1" customWidth="1"/>
    <col min="8452" max="8452" width="56.7109375" style="529" customWidth="1"/>
    <col min="8453" max="8453" width="10.42578125" style="529" customWidth="1"/>
    <col min="8454" max="8454" width="18.85546875" style="529" bestFit="1" customWidth="1"/>
    <col min="8455" max="8455" width="14.28515625" style="529" customWidth="1"/>
    <col min="8456" max="8456" width="16.85546875" style="529" customWidth="1"/>
    <col min="8457" max="8457" width="16" style="529" customWidth="1"/>
    <col min="8458" max="8458" width="9.85546875" style="529" customWidth="1"/>
    <col min="8459" max="8459" width="124.42578125" style="529" customWidth="1"/>
    <col min="8460" max="8706" width="8.85546875" style="529"/>
    <col min="8707" max="8707" width="18.85546875" style="529" bestFit="1" customWidth="1"/>
    <col min="8708" max="8708" width="56.7109375" style="529" customWidth="1"/>
    <col min="8709" max="8709" width="10.42578125" style="529" customWidth="1"/>
    <col min="8710" max="8710" width="18.85546875" style="529" bestFit="1" customWidth="1"/>
    <col min="8711" max="8711" width="14.28515625" style="529" customWidth="1"/>
    <col min="8712" max="8712" width="16.85546875" style="529" customWidth="1"/>
    <col min="8713" max="8713" width="16" style="529" customWidth="1"/>
    <col min="8714" max="8714" width="9.85546875" style="529" customWidth="1"/>
    <col min="8715" max="8715" width="124.42578125" style="529" customWidth="1"/>
    <col min="8716" max="8962" width="8.85546875" style="529"/>
    <col min="8963" max="8963" width="18.85546875" style="529" bestFit="1" customWidth="1"/>
    <col min="8964" max="8964" width="56.7109375" style="529" customWidth="1"/>
    <col min="8965" max="8965" width="10.42578125" style="529" customWidth="1"/>
    <col min="8966" max="8966" width="18.85546875" style="529" bestFit="1" customWidth="1"/>
    <col min="8967" max="8967" width="14.28515625" style="529" customWidth="1"/>
    <col min="8968" max="8968" width="16.85546875" style="529" customWidth="1"/>
    <col min="8969" max="8969" width="16" style="529" customWidth="1"/>
    <col min="8970" max="8970" width="9.85546875" style="529" customWidth="1"/>
    <col min="8971" max="8971" width="124.42578125" style="529" customWidth="1"/>
    <col min="8972" max="9218" width="8.85546875" style="529"/>
    <col min="9219" max="9219" width="18.85546875" style="529" bestFit="1" customWidth="1"/>
    <col min="9220" max="9220" width="56.7109375" style="529" customWidth="1"/>
    <col min="9221" max="9221" width="10.42578125" style="529" customWidth="1"/>
    <col min="9222" max="9222" width="18.85546875" style="529" bestFit="1" customWidth="1"/>
    <col min="9223" max="9223" width="14.28515625" style="529" customWidth="1"/>
    <col min="9224" max="9224" width="16.85546875" style="529" customWidth="1"/>
    <col min="9225" max="9225" width="16" style="529" customWidth="1"/>
    <col min="9226" max="9226" width="9.85546875" style="529" customWidth="1"/>
    <col min="9227" max="9227" width="124.42578125" style="529" customWidth="1"/>
    <col min="9228" max="9474" width="8.85546875" style="529"/>
    <col min="9475" max="9475" width="18.85546875" style="529" bestFit="1" customWidth="1"/>
    <col min="9476" max="9476" width="56.7109375" style="529" customWidth="1"/>
    <col min="9477" max="9477" width="10.42578125" style="529" customWidth="1"/>
    <col min="9478" max="9478" width="18.85546875" style="529" bestFit="1" customWidth="1"/>
    <col min="9479" max="9479" width="14.28515625" style="529" customWidth="1"/>
    <col min="9480" max="9480" width="16.85546875" style="529" customWidth="1"/>
    <col min="9481" max="9481" width="16" style="529" customWidth="1"/>
    <col min="9482" max="9482" width="9.85546875" style="529" customWidth="1"/>
    <col min="9483" max="9483" width="124.42578125" style="529" customWidth="1"/>
    <col min="9484" max="9730" width="8.85546875" style="529"/>
    <col min="9731" max="9731" width="18.85546875" style="529" bestFit="1" customWidth="1"/>
    <col min="9732" max="9732" width="56.7109375" style="529" customWidth="1"/>
    <col min="9733" max="9733" width="10.42578125" style="529" customWidth="1"/>
    <col min="9734" max="9734" width="18.85546875" style="529" bestFit="1" customWidth="1"/>
    <col min="9735" max="9735" width="14.28515625" style="529" customWidth="1"/>
    <col min="9736" max="9736" width="16.85546875" style="529" customWidth="1"/>
    <col min="9737" max="9737" width="16" style="529" customWidth="1"/>
    <col min="9738" max="9738" width="9.85546875" style="529" customWidth="1"/>
    <col min="9739" max="9739" width="124.42578125" style="529" customWidth="1"/>
    <col min="9740" max="9986" width="8.85546875" style="529"/>
    <col min="9987" max="9987" width="18.85546875" style="529" bestFit="1" customWidth="1"/>
    <col min="9988" max="9988" width="56.7109375" style="529" customWidth="1"/>
    <col min="9989" max="9989" width="10.42578125" style="529" customWidth="1"/>
    <col min="9990" max="9990" width="18.85546875" style="529" bestFit="1" customWidth="1"/>
    <col min="9991" max="9991" width="14.28515625" style="529" customWidth="1"/>
    <col min="9992" max="9992" width="16.85546875" style="529" customWidth="1"/>
    <col min="9993" max="9993" width="16" style="529" customWidth="1"/>
    <col min="9994" max="9994" width="9.85546875" style="529" customWidth="1"/>
    <col min="9995" max="9995" width="124.42578125" style="529" customWidth="1"/>
    <col min="9996" max="10242" width="8.85546875" style="529"/>
    <col min="10243" max="10243" width="18.85546875" style="529" bestFit="1" customWidth="1"/>
    <col min="10244" max="10244" width="56.7109375" style="529" customWidth="1"/>
    <col min="10245" max="10245" width="10.42578125" style="529" customWidth="1"/>
    <col min="10246" max="10246" width="18.85546875" style="529" bestFit="1" customWidth="1"/>
    <col min="10247" max="10247" width="14.28515625" style="529" customWidth="1"/>
    <col min="10248" max="10248" width="16.85546875" style="529" customWidth="1"/>
    <col min="10249" max="10249" width="16" style="529" customWidth="1"/>
    <col min="10250" max="10250" width="9.85546875" style="529" customWidth="1"/>
    <col min="10251" max="10251" width="124.42578125" style="529" customWidth="1"/>
    <col min="10252" max="10498" width="8.85546875" style="529"/>
    <col min="10499" max="10499" width="18.85546875" style="529" bestFit="1" customWidth="1"/>
    <col min="10500" max="10500" width="56.7109375" style="529" customWidth="1"/>
    <col min="10501" max="10501" width="10.42578125" style="529" customWidth="1"/>
    <col min="10502" max="10502" width="18.85546875" style="529" bestFit="1" customWidth="1"/>
    <col min="10503" max="10503" width="14.28515625" style="529" customWidth="1"/>
    <col min="10504" max="10504" width="16.85546875" style="529" customWidth="1"/>
    <col min="10505" max="10505" width="16" style="529" customWidth="1"/>
    <col min="10506" max="10506" width="9.85546875" style="529" customWidth="1"/>
    <col min="10507" max="10507" width="124.42578125" style="529" customWidth="1"/>
    <col min="10508" max="10754" width="8.85546875" style="529"/>
    <col min="10755" max="10755" width="18.85546875" style="529" bestFit="1" customWidth="1"/>
    <col min="10756" max="10756" width="56.7109375" style="529" customWidth="1"/>
    <col min="10757" max="10757" width="10.42578125" style="529" customWidth="1"/>
    <col min="10758" max="10758" width="18.85546875" style="529" bestFit="1" customWidth="1"/>
    <col min="10759" max="10759" width="14.28515625" style="529" customWidth="1"/>
    <col min="10760" max="10760" width="16.85546875" style="529" customWidth="1"/>
    <col min="10761" max="10761" width="16" style="529" customWidth="1"/>
    <col min="10762" max="10762" width="9.85546875" style="529" customWidth="1"/>
    <col min="10763" max="10763" width="124.42578125" style="529" customWidth="1"/>
    <col min="10764" max="11010" width="8.85546875" style="529"/>
    <col min="11011" max="11011" width="18.85546875" style="529" bestFit="1" customWidth="1"/>
    <col min="11012" max="11012" width="56.7109375" style="529" customWidth="1"/>
    <col min="11013" max="11013" width="10.42578125" style="529" customWidth="1"/>
    <col min="11014" max="11014" width="18.85546875" style="529" bestFit="1" customWidth="1"/>
    <col min="11015" max="11015" width="14.28515625" style="529" customWidth="1"/>
    <col min="11016" max="11016" width="16.85546875" style="529" customWidth="1"/>
    <col min="11017" max="11017" width="16" style="529" customWidth="1"/>
    <col min="11018" max="11018" width="9.85546875" style="529" customWidth="1"/>
    <col min="11019" max="11019" width="124.42578125" style="529" customWidth="1"/>
    <col min="11020" max="11266" width="8.85546875" style="529"/>
    <col min="11267" max="11267" width="18.85546875" style="529" bestFit="1" customWidth="1"/>
    <col min="11268" max="11268" width="56.7109375" style="529" customWidth="1"/>
    <col min="11269" max="11269" width="10.42578125" style="529" customWidth="1"/>
    <col min="11270" max="11270" width="18.85546875" style="529" bestFit="1" customWidth="1"/>
    <col min="11271" max="11271" width="14.28515625" style="529" customWidth="1"/>
    <col min="11272" max="11272" width="16.85546875" style="529" customWidth="1"/>
    <col min="11273" max="11273" width="16" style="529" customWidth="1"/>
    <col min="11274" max="11274" width="9.85546875" style="529" customWidth="1"/>
    <col min="11275" max="11275" width="124.42578125" style="529" customWidth="1"/>
    <col min="11276" max="11522" width="8.85546875" style="529"/>
    <col min="11523" max="11523" width="18.85546875" style="529" bestFit="1" customWidth="1"/>
    <col min="11524" max="11524" width="56.7109375" style="529" customWidth="1"/>
    <col min="11525" max="11525" width="10.42578125" style="529" customWidth="1"/>
    <col min="11526" max="11526" width="18.85546875" style="529" bestFit="1" customWidth="1"/>
    <col min="11527" max="11527" width="14.28515625" style="529" customWidth="1"/>
    <col min="11528" max="11528" width="16.85546875" style="529" customWidth="1"/>
    <col min="11529" max="11529" width="16" style="529" customWidth="1"/>
    <col min="11530" max="11530" width="9.85546875" style="529" customWidth="1"/>
    <col min="11531" max="11531" width="124.42578125" style="529" customWidth="1"/>
    <col min="11532" max="11778" width="8.85546875" style="529"/>
    <col min="11779" max="11779" width="18.85546875" style="529" bestFit="1" customWidth="1"/>
    <col min="11780" max="11780" width="56.7109375" style="529" customWidth="1"/>
    <col min="11781" max="11781" width="10.42578125" style="529" customWidth="1"/>
    <col min="11782" max="11782" width="18.85546875" style="529" bestFit="1" customWidth="1"/>
    <col min="11783" max="11783" width="14.28515625" style="529" customWidth="1"/>
    <col min="11784" max="11784" width="16.85546875" style="529" customWidth="1"/>
    <col min="11785" max="11785" width="16" style="529" customWidth="1"/>
    <col min="11786" max="11786" width="9.85546875" style="529" customWidth="1"/>
    <col min="11787" max="11787" width="124.42578125" style="529" customWidth="1"/>
    <col min="11788" max="12034" width="8.85546875" style="529"/>
    <col min="12035" max="12035" width="18.85546875" style="529" bestFit="1" customWidth="1"/>
    <col min="12036" max="12036" width="56.7109375" style="529" customWidth="1"/>
    <col min="12037" max="12037" width="10.42578125" style="529" customWidth="1"/>
    <col min="12038" max="12038" width="18.85546875" style="529" bestFit="1" customWidth="1"/>
    <col min="12039" max="12039" width="14.28515625" style="529" customWidth="1"/>
    <col min="12040" max="12040" width="16.85546875" style="529" customWidth="1"/>
    <col min="12041" max="12041" width="16" style="529" customWidth="1"/>
    <col min="12042" max="12042" width="9.85546875" style="529" customWidth="1"/>
    <col min="12043" max="12043" width="124.42578125" style="529" customWidth="1"/>
    <col min="12044" max="12290" width="8.85546875" style="529"/>
    <col min="12291" max="12291" width="18.85546875" style="529" bestFit="1" customWidth="1"/>
    <col min="12292" max="12292" width="56.7109375" style="529" customWidth="1"/>
    <col min="12293" max="12293" width="10.42578125" style="529" customWidth="1"/>
    <col min="12294" max="12294" width="18.85546875" style="529" bestFit="1" customWidth="1"/>
    <col min="12295" max="12295" width="14.28515625" style="529" customWidth="1"/>
    <col min="12296" max="12296" width="16.85546875" style="529" customWidth="1"/>
    <col min="12297" max="12297" width="16" style="529" customWidth="1"/>
    <col min="12298" max="12298" width="9.85546875" style="529" customWidth="1"/>
    <col min="12299" max="12299" width="124.42578125" style="529" customWidth="1"/>
    <col min="12300" max="12546" width="8.85546875" style="529"/>
    <col min="12547" max="12547" width="18.85546875" style="529" bestFit="1" customWidth="1"/>
    <col min="12548" max="12548" width="56.7109375" style="529" customWidth="1"/>
    <col min="12549" max="12549" width="10.42578125" style="529" customWidth="1"/>
    <col min="12550" max="12550" width="18.85546875" style="529" bestFit="1" customWidth="1"/>
    <col min="12551" max="12551" width="14.28515625" style="529" customWidth="1"/>
    <col min="12552" max="12552" width="16.85546875" style="529" customWidth="1"/>
    <col min="12553" max="12553" width="16" style="529" customWidth="1"/>
    <col min="12554" max="12554" width="9.85546875" style="529" customWidth="1"/>
    <col min="12555" max="12555" width="124.42578125" style="529" customWidth="1"/>
    <col min="12556" max="12802" width="8.85546875" style="529"/>
    <col min="12803" max="12803" width="18.85546875" style="529" bestFit="1" customWidth="1"/>
    <col min="12804" max="12804" width="56.7109375" style="529" customWidth="1"/>
    <col min="12805" max="12805" width="10.42578125" style="529" customWidth="1"/>
    <col min="12806" max="12806" width="18.85546875" style="529" bestFit="1" customWidth="1"/>
    <col min="12807" max="12807" width="14.28515625" style="529" customWidth="1"/>
    <col min="12808" max="12808" width="16.85546875" style="529" customWidth="1"/>
    <col min="12809" max="12809" width="16" style="529" customWidth="1"/>
    <col min="12810" max="12810" width="9.85546875" style="529" customWidth="1"/>
    <col min="12811" max="12811" width="124.42578125" style="529" customWidth="1"/>
    <col min="12812" max="13058" width="8.85546875" style="529"/>
    <col min="13059" max="13059" width="18.85546875" style="529" bestFit="1" customWidth="1"/>
    <col min="13060" max="13060" width="56.7109375" style="529" customWidth="1"/>
    <col min="13061" max="13061" width="10.42578125" style="529" customWidth="1"/>
    <col min="13062" max="13062" width="18.85546875" style="529" bestFit="1" customWidth="1"/>
    <col min="13063" max="13063" width="14.28515625" style="529" customWidth="1"/>
    <col min="13064" max="13064" width="16.85546875" style="529" customWidth="1"/>
    <col min="13065" max="13065" width="16" style="529" customWidth="1"/>
    <col min="13066" max="13066" width="9.85546875" style="529" customWidth="1"/>
    <col min="13067" max="13067" width="124.42578125" style="529" customWidth="1"/>
    <col min="13068" max="13314" width="8.85546875" style="529"/>
    <col min="13315" max="13315" width="18.85546875" style="529" bestFit="1" customWidth="1"/>
    <col min="13316" max="13316" width="56.7109375" style="529" customWidth="1"/>
    <col min="13317" max="13317" width="10.42578125" style="529" customWidth="1"/>
    <col min="13318" max="13318" width="18.85546875" style="529" bestFit="1" customWidth="1"/>
    <col min="13319" max="13319" width="14.28515625" style="529" customWidth="1"/>
    <col min="13320" max="13320" width="16.85546875" style="529" customWidth="1"/>
    <col min="13321" max="13321" width="16" style="529" customWidth="1"/>
    <col min="13322" max="13322" width="9.85546875" style="529" customWidth="1"/>
    <col min="13323" max="13323" width="124.42578125" style="529" customWidth="1"/>
    <col min="13324" max="13570" width="8.85546875" style="529"/>
    <col min="13571" max="13571" width="18.85546875" style="529" bestFit="1" customWidth="1"/>
    <col min="13572" max="13572" width="56.7109375" style="529" customWidth="1"/>
    <col min="13573" max="13573" width="10.42578125" style="529" customWidth="1"/>
    <col min="13574" max="13574" width="18.85546875" style="529" bestFit="1" customWidth="1"/>
    <col min="13575" max="13575" width="14.28515625" style="529" customWidth="1"/>
    <col min="13576" max="13576" width="16.85546875" style="529" customWidth="1"/>
    <col min="13577" max="13577" width="16" style="529" customWidth="1"/>
    <col min="13578" max="13578" width="9.85546875" style="529" customWidth="1"/>
    <col min="13579" max="13579" width="124.42578125" style="529" customWidth="1"/>
    <col min="13580" max="13826" width="8.85546875" style="529"/>
    <col min="13827" max="13827" width="18.85546875" style="529" bestFit="1" customWidth="1"/>
    <col min="13828" max="13828" width="56.7109375" style="529" customWidth="1"/>
    <col min="13829" max="13829" width="10.42578125" style="529" customWidth="1"/>
    <col min="13830" max="13830" width="18.85546875" style="529" bestFit="1" customWidth="1"/>
    <col min="13831" max="13831" width="14.28515625" style="529" customWidth="1"/>
    <col min="13832" max="13832" width="16.85546875" style="529" customWidth="1"/>
    <col min="13833" max="13833" width="16" style="529" customWidth="1"/>
    <col min="13834" max="13834" width="9.85546875" style="529" customWidth="1"/>
    <col min="13835" max="13835" width="124.42578125" style="529" customWidth="1"/>
    <col min="13836" max="14082" width="8.85546875" style="529"/>
    <col min="14083" max="14083" width="18.85546875" style="529" bestFit="1" customWidth="1"/>
    <col min="14084" max="14084" width="56.7109375" style="529" customWidth="1"/>
    <col min="14085" max="14085" width="10.42578125" style="529" customWidth="1"/>
    <col min="14086" max="14086" width="18.85546875" style="529" bestFit="1" customWidth="1"/>
    <col min="14087" max="14087" width="14.28515625" style="529" customWidth="1"/>
    <col min="14088" max="14088" width="16.85546875" style="529" customWidth="1"/>
    <col min="14089" max="14089" width="16" style="529" customWidth="1"/>
    <col min="14090" max="14090" width="9.85546875" style="529" customWidth="1"/>
    <col min="14091" max="14091" width="124.42578125" style="529" customWidth="1"/>
    <col min="14092" max="14338" width="8.85546875" style="529"/>
    <col min="14339" max="14339" width="18.85546875" style="529" bestFit="1" customWidth="1"/>
    <col min="14340" max="14340" width="56.7109375" style="529" customWidth="1"/>
    <col min="14341" max="14341" width="10.42578125" style="529" customWidth="1"/>
    <col min="14342" max="14342" width="18.85546875" style="529" bestFit="1" customWidth="1"/>
    <col min="14343" max="14343" width="14.28515625" style="529" customWidth="1"/>
    <col min="14344" max="14344" width="16.85546875" style="529" customWidth="1"/>
    <col min="14345" max="14345" width="16" style="529" customWidth="1"/>
    <col min="14346" max="14346" width="9.85546875" style="529" customWidth="1"/>
    <col min="14347" max="14347" width="124.42578125" style="529" customWidth="1"/>
    <col min="14348" max="14594" width="8.85546875" style="529"/>
    <col min="14595" max="14595" width="18.85546875" style="529" bestFit="1" customWidth="1"/>
    <col min="14596" max="14596" width="56.7109375" style="529" customWidth="1"/>
    <col min="14597" max="14597" width="10.42578125" style="529" customWidth="1"/>
    <col min="14598" max="14598" width="18.85546875" style="529" bestFit="1" customWidth="1"/>
    <col min="14599" max="14599" width="14.28515625" style="529" customWidth="1"/>
    <col min="14600" max="14600" width="16.85546875" style="529" customWidth="1"/>
    <col min="14601" max="14601" width="16" style="529" customWidth="1"/>
    <col min="14602" max="14602" width="9.85546875" style="529" customWidth="1"/>
    <col min="14603" max="14603" width="124.42578125" style="529" customWidth="1"/>
    <col min="14604" max="14850" width="8.85546875" style="529"/>
    <col min="14851" max="14851" width="18.85546875" style="529" bestFit="1" customWidth="1"/>
    <col min="14852" max="14852" width="56.7109375" style="529" customWidth="1"/>
    <col min="14853" max="14853" width="10.42578125" style="529" customWidth="1"/>
    <col min="14854" max="14854" width="18.85546875" style="529" bestFit="1" customWidth="1"/>
    <col min="14855" max="14855" width="14.28515625" style="529" customWidth="1"/>
    <col min="14856" max="14856" width="16.85546875" style="529" customWidth="1"/>
    <col min="14857" max="14857" width="16" style="529" customWidth="1"/>
    <col min="14858" max="14858" width="9.85546875" style="529" customWidth="1"/>
    <col min="14859" max="14859" width="124.42578125" style="529" customWidth="1"/>
    <col min="14860" max="15106" width="8.85546875" style="529"/>
    <col min="15107" max="15107" width="18.85546875" style="529" bestFit="1" customWidth="1"/>
    <col min="15108" max="15108" width="56.7109375" style="529" customWidth="1"/>
    <col min="15109" max="15109" width="10.42578125" style="529" customWidth="1"/>
    <col min="15110" max="15110" width="18.85546875" style="529" bestFit="1" customWidth="1"/>
    <col min="15111" max="15111" width="14.28515625" style="529" customWidth="1"/>
    <col min="15112" max="15112" width="16.85546875" style="529" customWidth="1"/>
    <col min="15113" max="15113" width="16" style="529" customWidth="1"/>
    <col min="15114" max="15114" width="9.85546875" style="529" customWidth="1"/>
    <col min="15115" max="15115" width="124.42578125" style="529" customWidth="1"/>
    <col min="15116" max="15362" width="8.85546875" style="529"/>
    <col min="15363" max="15363" width="18.85546875" style="529" bestFit="1" customWidth="1"/>
    <col min="15364" max="15364" width="56.7109375" style="529" customWidth="1"/>
    <col min="15365" max="15365" width="10.42578125" style="529" customWidth="1"/>
    <col min="15366" max="15366" width="18.85546875" style="529" bestFit="1" customWidth="1"/>
    <col min="15367" max="15367" width="14.28515625" style="529" customWidth="1"/>
    <col min="15368" max="15368" width="16.85546875" style="529" customWidth="1"/>
    <col min="15369" max="15369" width="16" style="529" customWidth="1"/>
    <col min="15370" max="15370" width="9.85546875" style="529" customWidth="1"/>
    <col min="15371" max="15371" width="124.42578125" style="529" customWidth="1"/>
    <col min="15372" max="15618" width="8.85546875" style="529"/>
    <col min="15619" max="15619" width="18.85546875" style="529" bestFit="1" customWidth="1"/>
    <col min="15620" max="15620" width="56.7109375" style="529" customWidth="1"/>
    <col min="15621" max="15621" width="10.42578125" style="529" customWidth="1"/>
    <col min="15622" max="15622" width="18.85546875" style="529" bestFit="1" customWidth="1"/>
    <col min="15623" max="15623" width="14.28515625" style="529" customWidth="1"/>
    <col min="15624" max="15624" width="16.85546875" style="529" customWidth="1"/>
    <col min="15625" max="15625" width="16" style="529" customWidth="1"/>
    <col min="15626" max="15626" width="9.85546875" style="529" customWidth="1"/>
    <col min="15627" max="15627" width="124.42578125" style="529" customWidth="1"/>
    <col min="15628" max="15874" width="8.85546875" style="529"/>
    <col min="15875" max="15875" width="18.85546875" style="529" bestFit="1" customWidth="1"/>
    <col min="15876" max="15876" width="56.7109375" style="529" customWidth="1"/>
    <col min="15877" max="15877" width="10.42578125" style="529" customWidth="1"/>
    <col min="15878" max="15878" width="18.85546875" style="529" bestFit="1" customWidth="1"/>
    <col min="15879" max="15879" width="14.28515625" style="529" customWidth="1"/>
    <col min="15880" max="15880" width="16.85546875" style="529" customWidth="1"/>
    <col min="15881" max="15881" width="16" style="529" customWidth="1"/>
    <col min="15882" max="15882" width="9.85546875" style="529" customWidth="1"/>
    <col min="15883" max="15883" width="124.42578125" style="529" customWidth="1"/>
    <col min="15884" max="16130" width="8.85546875" style="529"/>
    <col min="16131" max="16131" width="18.85546875" style="529" bestFit="1" customWidth="1"/>
    <col min="16132" max="16132" width="56.7109375" style="529" customWidth="1"/>
    <col min="16133" max="16133" width="10.42578125" style="529" customWidth="1"/>
    <col min="16134" max="16134" width="18.85546875" style="529" bestFit="1" customWidth="1"/>
    <col min="16135" max="16135" width="14.28515625" style="529" customWidth="1"/>
    <col min="16136" max="16136" width="16.85546875" style="529" customWidth="1"/>
    <col min="16137" max="16137" width="16" style="529" customWidth="1"/>
    <col min="16138" max="16138" width="9.85546875" style="529" customWidth="1"/>
    <col min="16139" max="16139" width="124.42578125" style="529" customWidth="1"/>
    <col min="16140" max="16384" width="8.85546875" style="529"/>
  </cols>
  <sheetData>
    <row r="1" spans="1:12" ht="37.15" customHeight="1" x14ac:dyDescent="0.25">
      <c r="A1" s="1163"/>
      <c r="B1" s="1163"/>
      <c r="C1" s="1163"/>
      <c r="D1" s="1163"/>
      <c r="E1" s="1163"/>
      <c r="F1" s="1163"/>
      <c r="G1" s="1163"/>
      <c r="H1" s="1163"/>
      <c r="I1" s="1163"/>
      <c r="J1" s="1163"/>
      <c r="K1" s="1163"/>
    </row>
    <row r="2" spans="1:12" ht="37.15" customHeight="1" x14ac:dyDescent="0.25">
      <c r="A2" s="866" t="s">
        <v>191</v>
      </c>
      <c r="B2" s="867" t="s">
        <v>192</v>
      </c>
      <c r="C2" s="868" t="s">
        <v>193</v>
      </c>
      <c r="D2" s="869"/>
      <c r="E2" s="869"/>
      <c r="F2" s="875"/>
      <c r="G2" s="875"/>
      <c r="H2" s="875"/>
      <c r="I2" s="875"/>
      <c r="J2" s="876"/>
      <c r="K2" s="877"/>
    </row>
    <row r="3" spans="1:12" ht="49.15" customHeight="1" thickBot="1" x14ac:dyDescent="0.3">
      <c r="A3" s="864" t="s">
        <v>180</v>
      </c>
      <c r="B3" s="865" t="s">
        <v>194</v>
      </c>
      <c r="C3" s="865" t="s">
        <v>195</v>
      </c>
      <c r="D3" s="865" t="s">
        <v>196</v>
      </c>
      <c r="E3" s="864" t="s">
        <v>141</v>
      </c>
      <c r="F3" s="870" t="s">
        <v>187</v>
      </c>
      <c r="G3" s="871" t="s">
        <v>188</v>
      </c>
      <c r="H3" s="872" t="s">
        <v>197</v>
      </c>
      <c r="I3" s="873" t="s">
        <v>189</v>
      </c>
      <c r="J3" s="873" t="s">
        <v>190</v>
      </c>
      <c r="K3" s="874" t="s">
        <v>179</v>
      </c>
    </row>
    <row r="4" spans="1:12" s="532" customFormat="1" ht="21" x14ac:dyDescent="0.35">
      <c r="A4" s="680"/>
      <c r="B4" s="680"/>
      <c r="C4" s="680"/>
      <c r="D4" s="680"/>
      <c r="E4" s="681"/>
      <c r="F4" s="682"/>
      <c r="G4" s="682"/>
      <c r="H4" s="682"/>
      <c r="I4" s="683"/>
      <c r="J4" s="683"/>
      <c r="K4" s="684"/>
      <c r="L4" s="530"/>
    </row>
    <row r="5" spans="1:12" s="532" customFormat="1" ht="21" x14ac:dyDescent="0.35">
      <c r="A5" s="685"/>
      <c r="B5" s="685"/>
      <c r="C5" s="685"/>
      <c r="D5" s="685"/>
      <c r="E5" s="686"/>
      <c r="F5" s="687"/>
      <c r="G5" s="687"/>
      <c r="H5" s="690"/>
      <c r="I5" s="690"/>
      <c r="J5" s="688"/>
      <c r="K5" s="689"/>
      <c r="L5" s="530"/>
    </row>
    <row r="6" spans="1:12" s="538" customFormat="1" ht="21" x14ac:dyDescent="0.35">
      <c r="A6" s="680"/>
      <c r="B6" s="680"/>
      <c r="C6" s="680"/>
      <c r="D6" s="680"/>
      <c r="E6" s="681"/>
      <c r="F6" s="682"/>
      <c r="G6" s="682"/>
      <c r="H6" s="682"/>
      <c r="I6" s="682"/>
      <c r="J6" s="683"/>
      <c r="K6" s="684"/>
      <c r="L6" s="530"/>
    </row>
    <row r="7" spans="1:12" s="538" customFormat="1" ht="21" x14ac:dyDescent="0.35">
      <c r="A7" s="685"/>
      <c r="B7" s="685"/>
      <c r="C7" s="685"/>
      <c r="D7" s="685"/>
      <c r="E7" s="686"/>
      <c r="F7" s="687"/>
      <c r="G7" s="687"/>
      <c r="H7" s="687"/>
      <c r="I7" s="687"/>
      <c r="J7" s="691"/>
      <c r="K7" s="689"/>
      <c r="L7" s="530"/>
    </row>
    <row r="8" spans="1:12" s="538" customFormat="1" ht="21" x14ac:dyDescent="0.35">
      <c r="A8" s="680"/>
      <c r="B8" s="680"/>
      <c r="C8" s="680"/>
      <c r="D8" s="680"/>
      <c r="E8" s="692"/>
      <c r="F8" s="682"/>
      <c r="G8" s="682"/>
      <c r="H8" s="682"/>
      <c r="I8" s="682"/>
      <c r="J8" s="683"/>
      <c r="K8" s="684"/>
      <c r="L8" s="530"/>
    </row>
    <row r="9" spans="1:12" s="532" customFormat="1" ht="24" customHeight="1" x14ac:dyDescent="0.35">
      <c r="A9" s="685"/>
      <c r="B9" s="685"/>
      <c r="C9" s="685"/>
      <c r="D9" s="685"/>
      <c r="E9" s="686"/>
      <c r="F9" s="687"/>
      <c r="G9" s="687"/>
      <c r="H9" s="687"/>
      <c r="I9" s="690"/>
      <c r="J9" s="688"/>
      <c r="K9" s="689"/>
      <c r="L9" s="530"/>
    </row>
    <row r="10" spans="1:12" s="532" customFormat="1" ht="21" x14ac:dyDescent="0.35">
      <c r="A10" s="685"/>
      <c r="B10" s="685"/>
      <c r="C10" s="693"/>
      <c r="D10" s="685"/>
      <c r="E10" s="686"/>
      <c r="F10" s="687"/>
      <c r="G10" s="687"/>
      <c r="H10" s="687"/>
      <c r="I10" s="690"/>
      <c r="J10" s="688"/>
      <c r="K10" s="689"/>
      <c r="L10" s="530"/>
    </row>
    <row r="11" spans="1:12" s="532" customFormat="1" ht="21" x14ac:dyDescent="0.35">
      <c r="A11" s="680"/>
      <c r="B11" s="680"/>
      <c r="C11" s="680"/>
      <c r="D11" s="680"/>
      <c r="E11" s="692"/>
      <c r="F11" s="682"/>
      <c r="G11" s="682"/>
      <c r="H11" s="682"/>
      <c r="I11" s="682"/>
      <c r="J11" s="683"/>
      <c r="K11" s="684"/>
      <c r="L11" s="530"/>
    </row>
    <row r="12" spans="1:12" s="532" customFormat="1" ht="21" x14ac:dyDescent="0.35">
      <c r="A12" s="685"/>
      <c r="B12" s="685"/>
      <c r="C12" s="693"/>
      <c r="D12" s="685"/>
      <c r="E12" s="686"/>
      <c r="F12" s="687"/>
      <c r="G12" s="687"/>
      <c r="H12" s="687"/>
      <c r="I12" s="690"/>
      <c r="J12" s="688"/>
      <c r="K12" s="689"/>
      <c r="L12" s="530"/>
    </row>
    <row r="13" spans="1:12" s="532" customFormat="1" ht="21" x14ac:dyDescent="0.35">
      <c r="A13" s="680"/>
      <c r="B13" s="680"/>
      <c r="C13" s="680"/>
      <c r="D13" s="680"/>
      <c r="E13" s="681"/>
      <c r="F13" s="682"/>
      <c r="G13" s="682"/>
      <c r="H13" s="682"/>
      <c r="I13" s="682"/>
      <c r="J13" s="683"/>
      <c r="K13" s="684"/>
      <c r="L13" s="530"/>
    </row>
    <row r="14" spans="1:12" s="532" customFormat="1" x14ac:dyDescent="0.25">
      <c r="A14" s="549"/>
      <c r="B14" s="549"/>
      <c r="C14" s="549"/>
      <c r="D14" s="549"/>
      <c r="E14" s="550"/>
      <c r="F14" s="551"/>
      <c r="G14" s="551"/>
      <c r="H14" s="551"/>
      <c r="I14" s="552"/>
      <c r="J14" s="552"/>
      <c r="K14" s="553"/>
      <c r="L14" s="530"/>
    </row>
    <row r="15" spans="1:12" s="532" customFormat="1" x14ac:dyDescent="0.25">
      <c r="A15" s="533"/>
      <c r="B15" s="533"/>
      <c r="C15" s="533"/>
      <c r="D15" s="533"/>
      <c r="E15" s="534"/>
      <c r="F15" s="535"/>
      <c r="G15" s="535"/>
      <c r="H15" s="535"/>
      <c r="I15" s="536"/>
      <c r="J15" s="536"/>
      <c r="K15" s="537"/>
      <c r="L15" s="530"/>
    </row>
    <row r="16" spans="1:12" s="532" customFormat="1" x14ac:dyDescent="0.25">
      <c r="A16" s="620"/>
      <c r="B16" s="620"/>
      <c r="C16" s="620"/>
      <c r="D16" s="620"/>
      <c r="E16" s="651"/>
      <c r="F16" s="622"/>
      <c r="G16" s="622"/>
      <c r="H16" s="622"/>
      <c r="I16" s="623"/>
      <c r="J16" s="623"/>
      <c r="K16" s="624"/>
      <c r="L16" s="530"/>
    </row>
    <row r="17" spans="1:12" s="532" customFormat="1" x14ac:dyDescent="0.25">
      <c r="A17" s="554"/>
      <c r="B17" s="554"/>
      <c r="C17" s="554"/>
      <c r="D17" s="554"/>
      <c r="E17" s="555"/>
      <c r="F17" s="546"/>
      <c r="G17" s="546"/>
      <c r="H17" s="546"/>
      <c r="I17" s="547"/>
      <c r="J17" s="547"/>
      <c r="K17" s="555"/>
      <c r="L17" s="530"/>
    </row>
    <row r="18" spans="1:12" s="559" customFormat="1" x14ac:dyDescent="0.25">
      <c r="A18" s="556"/>
      <c r="B18" s="556"/>
      <c r="C18" s="556"/>
      <c r="D18" s="556"/>
      <c r="E18" s="555"/>
      <c r="F18" s="546"/>
      <c r="G18" s="546"/>
      <c r="H18" s="546"/>
      <c r="I18" s="547"/>
      <c r="J18" s="547"/>
      <c r="K18" s="557"/>
      <c r="L18" s="558"/>
    </row>
    <row r="19" spans="1:12" s="559" customFormat="1" x14ac:dyDescent="0.25">
      <c r="A19" s="649"/>
      <c r="B19" s="649"/>
      <c r="C19" s="649"/>
      <c r="D19" s="649"/>
      <c r="E19" s="650"/>
      <c r="F19" s="622"/>
      <c r="G19" s="622"/>
      <c r="H19" s="622"/>
      <c r="I19" s="623"/>
      <c r="J19" s="623"/>
      <c r="K19" s="650"/>
      <c r="L19" s="558"/>
    </row>
    <row r="20" spans="1:12" s="538" customFormat="1" x14ac:dyDescent="0.25">
      <c r="A20" s="539"/>
      <c r="B20" s="539"/>
      <c r="C20" s="539"/>
      <c r="D20" s="539"/>
      <c r="E20" s="545"/>
      <c r="F20" s="546"/>
      <c r="G20" s="546"/>
      <c r="H20" s="546"/>
      <c r="I20" s="560"/>
      <c r="J20" s="560"/>
      <c r="K20" s="548"/>
      <c r="L20" s="530"/>
    </row>
    <row r="21" spans="1:12" s="532" customFormat="1" x14ac:dyDescent="0.25">
      <c r="A21" s="620"/>
      <c r="B21" s="620"/>
      <c r="C21" s="620"/>
      <c r="D21" s="620"/>
      <c r="E21" s="651"/>
      <c r="F21" s="622"/>
      <c r="G21" s="622"/>
      <c r="H21" s="622"/>
      <c r="I21" s="622"/>
      <c r="J21" s="623"/>
      <c r="K21" s="624"/>
      <c r="L21" s="561"/>
    </row>
    <row r="22" spans="1:12" s="538" customFormat="1" x14ac:dyDescent="0.25">
      <c r="A22" s="544"/>
      <c r="B22" s="544"/>
      <c r="C22" s="544"/>
      <c r="D22" s="544"/>
      <c r="E22" s="545"/>
      <c r="F22" s="546"/>
      <c r="G22" s="546"/>
      <c r="H22" s="546"/>
      <c r="I22" s="547"/>
      <c r="J22" s="547"/>
      <c r="K22" s="548"/>
      <c r="L22" s="530"/>
    </row>
    <row r="23" spans="1:12" s="563" customFormat="1" ht="409.6" customHeight="1" x14ac:dyDescent="0.25">
      <c r="A23" s="539"/>
      <c r="B23" s="539"/>
      <c r="C23" s="539"/>
      <c r="D23" s="539"/>
      <c r="E23" s="540"/>
      <c r="F23" s="541"/>
      <c r="G23" s="541"/>
      <c r="H23" s="541"/>
      <c r="I23" s="542"/>
      <c r="J23" s="542"/>
      <c r="K23" s="562"/>
      <c r="L23" s="558"/>
    </row>
    <row r="24" spans="1:12" s="563" customFormat="1" ht="69" customHeight="1" x14ac:dyDescent="0.25">
      <c r="A24" s="539"/>
      <c r="B24" s="539"/>
      <c r="C24" s="539"/>
      <c r="D24" s="539"/>
      <c r="E24" s="540"/>
      <c r="F24" s="541"/>
      <c r="G24" s="541"/>
      <c r="H24" s="541"/>
      <c r="I24" s="542"/>
      <c r="J24" s="542"/>
      <c r="K24" s="562"/>
      <c r="L24" s="558"/>
    </row>
    <row r="25" spans="1:12" s="563" customFormat="1" ht="69" customHeight="1" x14ac:dyDescent="0.25">
      <c r="A25" s="539"/>
      <c r="B25" s="539"/>
      <c r="C25" s="539"/>
      <c r="D25" s="539"/>
      <c r="E25" s="540"/>
      <c r="F25" s="541"/>
      <c r="G25" s="541"/>
      <c r="H25" s="541"/>
      <c r="I25" s="542"/>
      <c r="J25" s="542"/>
      <c r="K25" s="562"/>
      <c r="L25" s="558"/>
    </row>
    <row r="26" spans="1:12" s="563" customFormat="1" ht="129.6" customHeight="1" x14ac:dyDescent="0.25">
      <c r="A26" s="620"/>
      <c r="B26" s="620"/>
      <c r="C26" s="620"/>
      <c r="D26" s="620"/>
      <c r="E26" s="651"/>
      <c r="F26" s="622"/>
      <c r="G26" s="622"/>
      <c r="H26" s="622"/>
      <c r="I26" s="623"/>
      <c r="J26" s="623"/>
      <c r="K26" s="624"/>
      <c r="L26" s="558"/>
    </row>
    <row r="27" spans="1:12" s="538" customFormat="1" ht="66" customHeight="1" x14ac:dyDescent="0.25">
      <c r="A27" s="544"/>
      <c r="B27" s="544"/>
      <c r="C27" s="544"/>
      <c r="D27" s="544"/>
      <c r="E27" s="564"/>
      <c r="F27" s="546"/>
      <c r="G27" s="546"/>
      <c r="H27" s="546"/>
      <c r="I27" s="547"/>
      <c r="J27" s="547"/>
      <c r="K27" s="548"/>
      <c r="L27" s="530"/>
    </row>
    <row r="28" spans="1:12" s="538" customFormat="1" ht="66" customHeight="1" x14ac:dyDescent="0.25">
      <c r="A28" s="539"/>
      <c r="B28" s="539"/>
      <c r="C28" s="539"/>
      <c r="D28" s="539"/>
      <c r="E28" s="565"/>
      <c r="F28" s="541"/>
      <c r="G28" s="541"/>
      <c r="H28" s="541"/>
      <c r="I28" s="542"/>
      <c r="J28" s="542"/>
      <c r="K28" s="562"/>
      <c r="L28" s="530"/>
    </row>
    <row r="29" spans="1:12" s="538" customFormat="1" ht="66" customHeight="1" x14ac:dyDescent="0.25">
      <c r="A29" s="539"/>
      <c r="B29" s="539"/>
      <c r="C29" s="539"/>
      <c r="D29" s="539"/>
      <c r="E29" s="565"/>
      <c r="F29" s="541"/>
      <c r="G29" s="541"/>
      <c r="H29" s="541"/>
      <c r="I29" s="542"/>
      <c r="J29" s="542"/>
      <c r="K29" s="562"/>
      <c r="L29" s="530"/>
    </row>
    <row r="30" spans="1:12" s="538" customFormat="1" ht="109.9" customHeight="1" x14ac:dyDescent="0.25">
      <c r="A30" s="539"/>
      <c r="B30" s="539"/>
      <c r="C30" s="539"/>
      <c r="D30" s="539"/>
      <c r="E30" s="565"/>
      <c r="F30" s="541"/>
      <c r="G30" s="541"/>
      <c r="H30" s="541"/>
      <c r="I30" s="542"/>
      <c r="J30" s="542"/>
      <c r="K30" s="562"/>
      <c r="L30" s="530"/>
    </row>
    <row r="31" spans="1:12" s="538" customFormat="1" ht="166.15" customHeight="1" x14ac:dyDescent="0.25">
      <c r="A31" s="533"/>
      <c r="B31" s="533"/>
      <c r="C31" s="533"/>
      <c r="D31" s="533"/>
      <c r="E31" s="566"/>
      <c r="F31" s="535"/>
      <c r="G31" s="535"/>
      <c r="H31" s="535"/>
      <c r="I31" s="536"/>
      <c r="J31" s="536"/>
      <c r="K31" s="537"/>
      <c r="L31" s="530"/>
    </row>
    <row r="32" spans="1:12" s="538" customFormat="1" x14ac:dyDescent="0.25">
      <c r="A32" s="533"/>
      <c r="B32" s="533"/>
      <c r="C32" s="533"/>
      <c r="D32" s="533"/>
      <c r="E32" s="566"/>
      <c r="F32" s="535"/>
      <c r="G32" s="535"/>
      <c r="H32" s="535"/>
      <c r="I32" s="536"/>
      <c r="J32" s="536"/>
      <c r="K32" s="537"/>
      <c r="L32" s="530"/>
    </row>
    <row r="33" spans="1:12" s="563" customFormat="1" ht="165" customHeight="1" x14ac:dyDescent="0.25">
      <c r="A33" s="567"/>
      <c r="B33" s="567"/>
      <c r="C33" s="567"/>
      <c r="D33" s="567"/>
      <c r="E33" s="568"/>
      <c r="F33" s="569"/>
      <c r="G33" s="569"/>
      <c r="H33" s="569"/>
      <c r="I33" s="570"/>
      <c r="J33" s="570"/>
      <c r="K33" s="571"/>
      <c r="L33" s="558"/>
    </row>
    <row r="34" spans="1:12" s="563" customFormat="1" x14ac:dyDescent="0.25">
      <c r="A34" s="620"/>
      <c r="B34" s="620"/>
      <c r="C34" s="620"/>
      <c r="D34" s="620"/>
      <c r="E34" s="652"/>
      <c r="F34" s="622"/>
      <c r="G34" s="622"/>
      <c r="H34" s="622"/>
      <c r="I34" s="623"/>
      <c r="J34" s="623"/>
      <c r="K34" s="624"/>
      <c r="L34" s="558"/>
    </row>
    <row r="35" spans="1:12" s="538" customFormat="1" ht="41.25" customHeight="1" x14ac:dyDescent="0.25">
      <c r="A35" s="544"/>
      <c r="B35" s="544"/>
      <c r="C35" s="544"/>
      <c r="D35" s="544"/>
      <c r="E35" s="545"/>
      <c r="F35" s="546"/>
      <c r="G35" s="546"/>
      <c r="H35" s="546"/>
      <c r="I35" s="547"/>
      <c r="J35" s="547"/>
      <c r="K35" s="548"/>
      <c r="L35" s="530"/>
    </row>
    <row r="36" spans="1:12" s="559" customFormat="1" ht="41.25" customHeight="1" x14ac:dyDescent="0.25">
      <c r="A36" s="620"/>
      <c r="B36" s="620"/>
      <c r="C36" s="620"/>
      <c r="D36" s="620"/>
      <c r="E36" s="651"/>
      <c r="F36" s="622"/>
      <c r="G36" s="622"/>
      <c r="H36" s="622"/>
      <c r="I36" s="623"/>
      <c r="J36" s="623"/>
      <c r="K36" s="624"/>
      <c r="L36" s="572"/>
    </row>
    <row r="37" spans="1:12" s="538" customFormat="1" ht="79.5" customHeight="1" x14ac:dyDescent="0.25">
      <c r="A37" s="544"/>
      <c r="B37" s="544"/>
      <c r="C37" s="544"/>
      <c r="D37" s="544"/>
      <c r="E37" s="545"/>
      <c r="F37" s="546"/>
      <c r="G37" s="546"/>
      <c r="H37" s="546"/>
      <c r="I37" s="547"/>
      <c r="J37" s="547"/>
      <c r="K37" s="548"/>
      <c r="L37" s="530"/>
    </row>
    <row r="38" spans="1:12" s="538" customFormat="1" ht="63" customHeight="1" x14ac:dyDescent="0.25">
      <c r="A38" s="533"/>
      <c r="B38" s="533"/>
      <c r="C38" s="533"/>
      <c r="D38" s="533"/>
      <c r="E38" s="534"/>
      <c r="F38" s="535"/>
      <c r="G38" s="535"/>
      <c r="H38" s="535"/>
      <c r="I38" s="536"/>
      <c r="J38" s="536"/>
      <c r="K38" s="537"/>
      <c r="L38" s="530"/>
    </row>
    <row r="39" spans="1:12" s="538" customFormat="1" x14ac:dyDescent="0.25">
      <c r="A39" s="533"/>
      <c r="B39" s="533"/>
      <c r="C39" s="533"/>
      <c r="D39" s="533"/>
      <c r="E39" s="534"/>
      <c r="F39" s="535"/>
      <c r="G39" s="535"/>
      <c r="H39" s="535"/>
      <c r="I39" s="536"/>
      <c r="J39" s="536"/>
      <c r="K39" s="537"/>
      <c r="L39" s="530"/>
    </row>
    <row r="40" spans="1:12" s="538" customFormat="1" x14ac:dyDescent="0.25">
      <c r="A40" s="620"/>
      <c r="B40" s="620"/>
      <c r="C40" s="620"/>
      <c r="D40" s="620"/>
      <c r="E40" s="651"/>
      <c r="F40" s="622"/>
      <c r="G40" s="622"/>
      <c r="H40" s="622"/>
      <c r="I40" s="623"/>
      <c r="J40" s="623"/>
      <c r="K40" s="624"/>
      <c r="L40" s="530"/>
    </row>
    <row r="41" spans="1:12" s="538" customFormat="1" ht="360" customHeight="1" x14ac:dyDescent="0.25">
      <c r="A41" s="554"/>
      <c r="B41" s="554"/>
      <c r="C41" s="554"/>
      <c r="D41" s="554"/>
      <c r="E41" s="555"/>
      <c r="F41" s="546"/>
      <c r="G41" s="546"/>
      <c r="H41" s="546"/>
      <c r="I41" s="547"/>
      <c r="J41" s="547"/>
      <c r="K41" s="555"/>
      <c r="L41" s="530"/>
    </row>
    <row r="42" spans="1:12" s="538" customFormat="1" ht="31.9" customHeight="1" x14ac:dyDescent="0.25">
      <c r="A42" s="649"/>
      <c r="B42" s="649"/>
      <c r="C42" s="649"/>
      <c r="D42" s="649"/>
      <c r="E42" s="650"/>
      <c r="F42" s="622"/>
      <c r="G42" s="622"/>
      <c r="H42" s="622"/>
      <c r="I42" s="623"/>
      <c r="J42" s="623"/>
      <c r="K42" s="651"/>
      <c r="L42" s="530"/>
    </row>
    <row r="43" spans="1:12" s="538" customFormat="1" ht="15" customHeight="1" x14ac:dyDescent="0.25">
      <c r="A43" s="544"/>
      <c r="B43" s="544"/>
      <c r="C43" s="544"/>
      <c r="D43" s="544"/>
      <c r="E43" s="545"/>
      <c r="F43" s="546"/>
      <c r="G43" s="546"/>
      <c r="H43" s="546"/>
      <c r="I43" s="547"/>
      <c r="J43" s="547"/>
      <c r="K43" s="548"/>
      <c r="L43" s="530"/>
    </row>
    <row r="44" spans="1:12" s="538" customFormat="1" ht="33" customHeight="1" x14ac:dyDescent="0.25">
      <c r="A44" s="533"/>
      <c r="B44" s="533"/>
      <c r="C44" s="533"/>
      <c r="D44" s="533"/>
      <c r="E44" s="534"/>
      <c r="F44" s="535"/>
      <c r="G44" s="535"/>
      <c r="H44" s="535"/>
      <c r="I44" s="536"/>
      <c r="J44" s="536"/>
      <c r="K44" s="537"/>
      <c r="L44" s="530"/>
    </row>
    <row r="45" spans="1:12" s="538" customFormat="1" x14ac:dyDescent="0.25">
      <c r="A45" s="620"/>
      <c r="B45" s="620"/>
      <c r="C45" s="620"/>
      <c r="D45" s="620"/>
      <c r="E45" s="651"/>
      <c r="F45" s="622"/>
      <c r="G45" s="622"/>
      <c r="H45" s="622"/>
      <c r="I45" s="623"/>
      <c r="J45" s="623"/>
      <c r="K45" s="624"/>
      <c r="L45" s="530"/>
    </row>
    <row r="46" spans="1:12" s="538" customFormat="1" ht="39" customHeight="1" x14ac:dyDescent="0.25">
      <c r="A46" s="544"/>
      <c r="B46" s="544"/>
      <c r="C46" s="544"/>
      <c r="D46" s="544"/>
      <c r="E46" s="545"/>
      <c r="F46" s="546"/>
      <c r="G46" s="546"/>
      <c r="H46" s="546"/>
      <c r="I46" s="547"/>
      <c r="J46" s="547"/>
      <c r="K46" s="548"/>
      <c r="L46" s="530"/>
    </row>
    <row r="47" spans="1:12" s="538" customFormat="1" x14ac:dyDescent="0.25">
      <c r="A47" s="620"/>
      <c r="B47" s="620"/>
      <c r="C47" s="620"/>
      <c r="D47" s="620"/>
      <c r="E47" s="651"/>
      <c r="F47" s="622"/>
      <c r="G47" s="622"/>
      <c r="H47" s="622"/>
      <c r="I47" s="623"/>
      <c r="J47" s="623"/>
      <c r="K47" s="624"/>
      <c r="L47" s="530"/>
    </row>
    <row r="48" spans="1:12" s="532" customFormat="1" ht="35.25" customHeight="1" x14ac:dyDescent="0.25">
      <c r="A48" s="544"/>
      <c r="B48" s="544"/>
      <c r="C48" s="544"/>
      <c r="D48" s="544"/>
      <c r="E48" s="545"/>
      <c r="F48" s="546"/>
      <c r="G48" s="546"/>
      <c r="H48" s="546"/>
      <c r="I48" s="547"/>
      <c r="J48" s="547"/>
      <c r="K48" s="548"/>
      <c r="L48" s="530"/>
    </row>
    <row r="49" spans="1:12" s="532" customFormat="1" x14ac:dyDescent="0.25">
      <c r="A49" s="573"/>
      <c r="B49" s="573"/>
      <c r="C49" s="573"/>
      <c r="D49" s="573"/>
      <c r="E49" s="550"/>
      <c r="F49" s="574"/>
      <c r="G49" s="574"/>
      <c r="H49" s="574"/>
      <c r="I49" s="575"/>
      <c r="J49" s="575"/>
      <c r="K49" s="553"/>
      <c r="L49" s="530"/>
    </row>
    <row r="50" spans="1:12" s="532" customFormat="1" x14ac:dyDescent="0.25">
      <c r="A50" s="567"/>
      <c r="B50" s="567"/>
      <c r="C50" s="567"/>
      <c r="D50" s="567"/>
      <c r="E50" s="576"/>
      <c r="F50" s="569"/>
      <c r="G50" s="569"/>
      <c r="H50" s="569"/>
      <c r="I50" s="570"/>
      <c r="J50" s="570"/>
      <c r="K50" s="571"/>
      <c r="L50" s="530"/>
    </row>
    <row r="51" spans="1:12" s="532" customFormat="1" x14ac:dyDescent="0.25">
      <c r="A51" s="620"/>
      <c r="B51" s="620"/>
      <c r="C51" s="620"/>
      <c r="D51" s="620"/>
      <c r="E51" s="651"/>
      <c r="F51" s="622"/>
      <c r="G51" s="622"/>
      <c r="H51" s="622"/>
      <c r="I51" s="623"/>
      <c r="J51" s="623"/>
      <c r="K51" s="624"/>
      <c r="L51" s="530"/>
    </row>
    <row r="52" spans="1:12" s="532" customFormat="1" ht="39.75" customHeight="1" x14ac:dyDescent="0.25">
      <c r="A52" s="544"/>
      <c r="B52" s="544"/>
      <c r="C52" s="544"/>
      <c r="D52" s="544"/>
      <c r="E52" s="545"/>
      <c r="F52" s="546"/>
      <c r="G52" s="546"/>
      <c r="H52" s="546"/>
      <c r="I52" s="547"/>
      <c r="J52" s="547"/>
      <c r="K52" s="548"/>
      <c r="L52" s="530"/>
    </row>
    <row r="53" spans="1:12" s="532" customFormat="1" x14ac:dyDescent="0.25">
      <c r="A53" s="620"/>
      <c r="B53" s="620"/>
      <c r="C53" s="620"/>
      <c r="D53" s="620"/>
      <c r="E53" s="651"/>
      <c r="F53" s="622"/>
      <c r="G53" s="622"/>
      <c r="H53" s="622"/>
      <c r="I53" s="623"/>
      <c r="J53" s="623"/>
      <c r="K53" s="624"/>
      <c r="L53" s="530"/>
    </row>
    <row r="54" spans="1:12" s="532" customFormat="1" ht="15" customHeight="1" x14ac:dyDescent="0.25">
      <c r="A54" s="544"/>
      <c r="B54" s="544"/>
      <c r="C54" s="544"/>
      <c r="D54" s="544"/>
      <c r="E54" s="545"/>
      <c r="F54" s="546"/>
      <c r="G54" s="546"/>
      <c r="H54" s="546"/>
      <c r="I54" s="547"/>
      <c r="J54" s="547"/>
      <c r="K54" s="548"/>
      <c r="L54" s="530"/>
    </row>
    <row r="55" spans="1:12" s="532" customFormat="1" ht="15" customHeight="1" x14ac:dyDescent="0.25">
      <c r="A55" s="620"/>
      <c r="B55" s="620"/>
      <c r="C55" s="620"/>
      <c r="D55" s="620"/>
      <c r="E55" s="651"/>
      <c r="F55" s="622"/>
      <c r="G55" s="622"/>
      <c r="H55" s="622"/>
      <c r="I55" s="623"/>
      <c r="J55" s="623"/>
      <c r="K55" s="624"/>
      <c r="L55" s="530"/>
    </row>
    <row r="56" spans="1:12" s="532" customFormat="1" ht="33" customHeight="1" x14ac:dyDescent="0.25">
      <c r="A56" s="544"/>
      <c r="B56" s="544"/>
      <c r="C56" s="544"/>
      <c r="D56" s="544"/>
      <c r="E56" s="577"/>
      <c r="F56" s="578"/>
      <c r="G56" s="578"/>
      <c r="H56" s="578"/>
      <c r="I56" s="579"/>
      <c r="J56" s="579"/>
      <c r="K56" s="580"/>
      <c r="L56" s="530"/>
    </row>
    <row r="57" spans="1:12" s="532" customFormat="1" ht="79.150000000000006" customHeight="1" x14ac:dyDescent="0.25">
      <c r="A57" s="533"/>
      <c r="B57" s="533"/>
      <c r="C57" s="533"/>
      <c r="D57" s="533"/>
      <c r="E57" s="581"/>
      <c r="F57" s="535"/>
      <c r="G57" s="535"/>
      <c r="H57" s="535"/>
      <c r="I57" s="536"/>
      <c r="J57" s="536"/>
      <c r="K57" s="582"/>
      <c r="L57" s="530"/>
    </row>
    <row r="58" spans="1:12" s="532" customFormat="1" x14ac:dyDescent="0.25">
      <c r="A58" s="539"/>
      <c r="B58" s="539"/>
      <c r="C58" s="539"/>
      <c r="D58" s="539"/>
      <c r="E58" s="583"/>
      <c r="F58" s="584"/>
      <c r="G58" s="584"/>
      <c r="H58" s="584"/>
      <c r="I58" s="585"/>
      <c r="J58" s="585"/>
      <c r="K58" s="586"/>
      <c r="L58" s="530"/>
    </row>
    <row r="59" spans="1:12" s="532" customFormat="1" x14ac:dyDescent="0.25">
      <c r="A59" s="620"/>
      <c r="B59" s="620"/>
      <c r="C59" s="620"/>
      <c r="D59" s="620"/>
      <c r="E59" s="653"/>
      <c r="F59" s="654"/>
      <c r="G59" s="654"/>
      <c r="H59" s="654"/>
      <c r="I59" s="655"/>
      <c r="J59" s="655"/>
      <c r="K59" s="656"/>
      <c r="L59" s="530"/>
    </row>
    <row r="60" spans="1:12" s="532" customFormat="1" ht="108" customHeight="1" x14ac:dyDescent="0.25">
      <c r="A60" s="544"/>
      <c r="B60" s="544"/>
      <c r="C60" s="544"/>
      <c r="D60" s="544"/>
      <c r="E60" s="545"/>
      <c r="F60" s="546"/>
      <c r="G60" s="546"/>
      <c r="H60" s="546"/>
      <c r="I60" s="547"/>
      <c r="J60" s="547"/>
      <c r="K60" s="545"/>
      <c r="L60" s="530"/>
    </row>
    <row r="61" spans="1:12" s="532" customFormat="1" ht="108" customHeight="1" x14ac:dyDescent="0.25">
      <c r="A61" s="533"/>
      <c r="B61" s="533"/>
      <c r="C61" s="533"/>
      <c r="D61" s="533"/>
      <c r="E61" s="534"/>
      <c r="F61" s="535"/>
      <c r="G61" s="535"/>
      <c r="H61" s="535"/>
      <c r="I61" s="536"/>
      <c r="J61" s="536"/>
      <c r="K61" s="534"/>
      <c r="L61" s="530"/>
    </row>
    <row r="62" spans="1:12" s="532" customFormat="1" ht="82.9" customHeight="1" x14ac:dyDescent="0.25">
      <c r="A62" s="533"/>
      <c r="B62" s="533"/>
      <c r="C62" s="533"/>
      <c r="D62" s="533"/>
      <c r="E62" s="534"/>
      <c r="F62" s="535"/>
      <c r="G62" s="535"/>
      <c r="H62" s="535"/>
      <c r="I62" s="536"/>
      <c r="J62" s="536"/>
      <c r="K62" s="534"/>
      <c r="L62" s="530"/>
    </row>
    <row r="63" spans="1:12" s="532" customFormat="1" x14ac:dyDescent="0.25">
      <c r="A63" s="620"/>
      <c r="B63" s="620"/>
      <c r="C63" s="620"/>
      <c r="D63" s="620"/>
      <c r="E63" s="651"/>
      <c r="F63" s="622"/>
      <c r="G63" s="622"/>
      <c r="H63" s="622"/>
      <c r="I63" s="623"/>
      <c r="J63" s="623"/>
      <c r="K63" s="651"/>
      <c r="L63" s="530"/>
    </row>
    <row r="64" spans="1:12" s="532" customFormat="1" ht="127.5" customHeight="1" x14ac:dyDescent="0.25">
      <c r="A64" s="544"/>
      <c r="B64" s="544"/>
      <c r="C64" s="544"/>
      <c r="D64" s="544"/>
      <c r="E64" s="545"/>
      <c r="F64" s="546"/>
      <c r="G64" s="546"/>
      <c r="H64" s="546"/>
      <c r="I64" s="547"/>
      <c r="J64" s="547"/>
      <c r="K64" s="587"/>
      <c r="L64" s="530"/>
    </row>
    <row r="65" spans="1:12" s="559" customFormat="1" ht="121.9" customHeight="1" x14ac:dyDescent="0.25">
      <c r="A65" s="573"/>
      <c r="B65" s="573"/>
      <c r="C65" s="573"/>
      <c r="D65" s="573"/>
      <c r="E65" s="550"/>
      <c r="F65" s="574"/>
      <c r="G65" s="574"/>
      <c r="H65" s="574"/>
      <c r="I65" s="575"/>
      <c r="J65" s="575"/>
      <c r="K65" s="657"/>
      <c r="L65" s="572"/>
    </row>
    <row r="66" spans="1:12" s="559" customFormat="1" ht="132.6" customHeight="1" x14ac:dyDescent="0.25">
      <c r="A66" s="533"/>
      <c r="B66" s="533"/>
      <c r="C66" s="533"/>
      <c r="D66" s="533"/>
      <c r="E66" s="534"/>
      <c r="F66" s="535"/>
      <c r="G66" s="535"/>
      <c r="H66" s="535"/>
      <c r="I66" s="536"/>
      <c r="J66" s="536"/>
      <c r="K66" s="658"/>
      <c r="L66" s="572"/>
    </row>
    <row r="67" spans="1:12" s="559" customFormat="1" ht="65.45" customHeight="1" x14ac:dyDescent="0.25">
      <c r="A67" s="567"/>
      <c r="B67" s="567"/>
      <c r="C67" s="567"/>
      <c r="D67" s="567"/>
      <c r="E67" s="576"/>
      <c r="F67" s="569"/>
      <c r="G67" s="569"/>
      <c r="H67" s="569"/>
      <c r="I67" s="570"/>
      <c r="J67" s="570"/>
      <c r="K67" s="659"/>
      <c r="L67" s="572"/>
    </row>
    <row r="68" spans="1:12" s="532" customFormat="1" ht="102.75" customHeight="1" x14ac:dyDescent="0.25">
      <c r="A68" s="544"/>
      <c r="B68" s="544"/>
      <c r="C68" s="544"/>
      <c r="D68" s="544"/>
      <c r="E68" s="545"/>
      <c r="F68" s="546"/>
      <c r="G68" s="546"/>
      <c r="H68" s="546"/>
      <c r="I68" s="547"/>
      <c r="J68" s="547"/>
      <c r="K68" s="548"/>
      <c r="L68" s="530"/>
    </row>
    <row r="69" spans="1:12" s="559" customFormat="1" x14ac:dyDescent="0.25">
      <c r="A69" s="620"/>
      <c r="B69" s="620"/>
      <c r="C69" s="620"/>
      <c r="D69" s="620"/>
      <c r="E69" s="651"/>
      <c r="F69" s="622"/>
      <c r="G69" s="622"/>
      <c r="H69" s="622"/>
      <c r="I69" s="623"/>
      <c r="J69" s="623"/>
      <c r="K69" s="624"/>
      <c r="L69" s="572"/>
    </row>
    <row r="70" spans="1:12" s="532" customFormat="1" ht="126" customHeight="1" x14ac:dyDescent="0.25">
      <c r="A70" s="544"/>
      <c r="B70" s="544"/>
      <c r="C70" s="544"/>
      <c r="D70" s="544"/>
      <c r="E70" s="545"/>
      <c r="F70" s="546"/>
      <c r="G70" s="546"/>
      <c r="H70" s="546"/>
      <c r="I70" s="547"/>
      <c r="J70" s="547"/>
      <c r="K70" s="555"/>
      <c r="L70" s="530"/>
    </row>
    <row r="71" spans="1:12" s="538" customFormat="1" ht="46.5" customHeight="1" x14ac:dyDescent="0.25">
      <c r="A71" s="533"/>
      <c r="B71" s="533"/>
      <c r="C71" s="533"/>
      <c r="D71" s="533"/>
      <c r="E71" s="534"/>
      <c r="F71" s="535"/>
      <c r="G71" s="535"/>
      <c r="H71" s="535"/>
      <c r="I71" s="536"/>
      <c r="J71" s="536"/>
      <c r="K71" s="588"/>
      <c r="L71" s="530"/>
    </row>
    <row r="72" spans="1:12" s="538" customFormat="1" ht="31.9" customHeight="1" x14ac:dyDescent="0.25">
      <c r="A72" s="620"/>
      <c r="B72" s="620"/>
      <c r="C72" s="620"/>
      <c r="D72" s="620"/>
      <c r="E72" s="651"/>
      <c r="F72" s="622"/>
      <c r="G72" s="622"/>
      <c r="H72" s="622"/>
      <c r="I72" s="623"/>
      <c r="J72" s="623"/>
      <c r="K72" s="660"/>
      <c r="L72" s="530"/>
    </row>
    <row r="73" spans="1:12" s="532" customFormat="1" ht="54" customHeight="1" x14ac:dyDescent="0.25">
      <c r="A73" s="544"/>
      <c r="B73" s="544"/>
      <c r="C73" s="544"/>
      <c r="D73" s="544"/>
      <c r="E73" s="545"/>
      <c r="F73" s="546"/>
      <c r="G73" s="546"/>
      <c r="H73" s="546"/>
      <c r="I73" s="547"/>
      <c r="J73" s="547"/>
      <c r="K73" s="548"/>
      <c r="L73" s="530"/>
    </row>
    <row r="74" spans="1:12" s="532" customFormat="1" x14ac:dyDescent="0.25">
      <c r="A74" s="620"/>
      <c r="B74" s="620"/>
      <c r="C74" s="620"/>
      <c r="D74" s="620"/>
      <c r="E74" s="651"/>
      <c r="F74" s="622"/>
      <c r="G74" s="622"/>
      <c r="H74" s="622"/>
      <c r="I74" s="623"/>
      <c r="J74" s="623"/>
      <c r="K74" s="624"/>
      <c r="L74" s="530"/>
    </row>
    <row r="75" spans="1:12" s="532" customFormat="1" ht="46.9" customHeight="1" x14ac:dyDescent="0.25">
      <c r="A75" s="544"/>
      <c r="B75" s="544"/>
      <c r="C75" s="544"/>
      <c r="D75" s="544"/>
      <c r="E75" s="555"/>
      <c r="F75" s="546"/>
      <c r="G75" s="546"/>
      <c r="H75" s="546"/>
      <c r="I75" s="547"/>
      <c r="J75" s="547"/>
      <c r="K75" s="548"/>
      <c r="L75" s="530"/>
    </row>
    <row r="76" spans="1:12" s="559" customFormat="1" ht="297.60000000000002" customHeight="1" x14ac:dyDescent="0.25">
      <c r="A76" s="539"/>
      <c r="B76" s="539"/>
      <c r="C76" s="539"/>
      <c r="D76" s="539"/>
      <c r="E76" s="540"/>
      <c r="F76" s="541"/>
      <c r="G76" s="541"/>
      <c r="H76" s="541"/>
      <c r="I76" s="542"/>
      <c r="J76" s="542"/>
      <c r="K76" s="562"/>
      <c r="L76" s="558"/>
    </row>
    <row r="77" spans="1:12" s="559" customFormat="1" x14ac:dyDescent="0.25">
      <c r="A77" s="620"/>
      <c r="B77" s="620"/>
      <c r="C77" s="620"/>
      <c r="D77" s="620"/>
      <c r="E77" s="651"/>
      <c r="F77" s="622"/>
      <c r="G77" s="622"/>
      <c r="H77" s="622"/>
      <c r="I77" s="623"/>
      <c r="J77" s="623"/>
      <c r="K77" s="624"/>
      <c r="L77" s="558"/>
    </row>
    <row r="78" spans="1:12" s="590" customFormat="1" ht="255" customHeight="1" x14ac:dyDescent="0.25">
      <c r="A78" s="544"/>
      <c r="B78" s="544"/>
      <c r="C78" s="544"/>
      <c r="D78" s="544"/>
      <c r="E78" s="545"/>
      <c r="F78" s="546"/>
      <c r="G78" s="546"/>
      <c r="H78" s="546"/>
      <c r="I78" s="547"/>
      <c r="J78" s="547"/>
      <c r="K78" s="555"/>
      <c r="L78" s="589"/>
    </row>
    <row r="79" spans="1:12" s="532" customFormat="1" ht="113.25" customHeight="1" x14ac:dyDescent="0.25">
      <c r="A79" s="533"/>
      <c r="B79" s="533"/>
      <c r="C79" s="533"/>
      <c r="D79" s="533"/>
      <c r="E79" s="534"/>
      <c r="F79" s="535"/>
      <c r="G79" s="535"/>
      <c r="H79" s="535"/>
      <c r="I79" s="536"/>
      <c r="J79" s="536"/>
      <c r="K79" s="537"/>
      <c r="L79" s="561"/>
    </row>
    <row r="80" spans="1:12" s="532" customFormat="1" ht="155.44999999999999" customHeight="1" x14ac:dyDescent="0.25">
      <c r="A80" s="533"/>
      <c r="B80" s="533"/>
      <c r="C80" s="533"/>
      <c r="D80" s="533"/>
      <c r="E80" s="534"/>
      <c r="F80" s="535"/>
      <c r="G80" s="535"/>
      <c r="H80" s="535"/>
      <c r="I80" s="536"/>
      <c r="J80" s="536"/>
      <c r="K80" s="537"/>
      <c r="L80" s="561"/>
    </row>
    <row r="81" spans="1:12" s="532" customFormat="1" x14ac:dyDescent="0.25">
      <c r="A81" s="620"/>
      <c r="B81" s="620"/>
      <c r="C81" s="620"/>
      <c r="D81" s="620"/>
      <c r="E81" s="651"/>
      <c r="F81" s="622"/>
      <c r="G81" s="622"/>
      <c r="H81" s="622"/>
      <c r="I81" s="623"/>
      <c r="J81" s="623"/>
      <c r="K81" s="624"/>
      <c r="L81" s="561"/>
    </row>
    <row r="82" spans="1:12" s="590" customFormat="1" ht="71.25" customHeight="1" x14ac:dyDescent="0.25">
      <c r="A82" s="544"/>
      <c r="B82" s="544"/>
      <c r="C82" s="544"/>
      <c r="D82" s="544"/>
      <c r="E82" s="545"/>
      <c r="F82" s="546"/>
      <c r="G82" s="546"/>
      <c r="H82" s="546"/>
      <c r="I82" s="547"/>
      <c r="J82" s="547"/>
      <c r="K82" s="548"/>
      <c r="L82" s="589"/>
    </row>
    <row r="83" spans="1:12" s="590" customFormat="1" x14ac:dyDescent="0.25">
      <c r="A83" s="620"/>
      <c r="B83" s="620"/>
      <c r="C83" s="620"/>
      <c r="D83" s="620"/>
      <c r="E83" s="651"/>
      <c r="F83" s="622"/>
      <c r="G83" s="622"/>
      <c r="H83" s="622"/>
      <c r="I83" s="623"/>
      <c r="J83" s="623"/>
      <c r="K83" s="624"/>
      <c r="L83" s="589"/>
    </row>
    <row r="84" spans="1:12" s="532" customFormat="1" ht="205.15" customHeight="1" x14ac:dyDescent="0.25">
      <c r="A84" s="544"/>
      <c r="B84" s="544"/>
      <c r="C84" s="544"/>
      <c r="D84" s="544"/>
      <c r="E84" s="545"/>
      <c r="F84" s="546"/>
      <c r="G84" s="546"/>
      <c r="H84" s="546"/>
      <c r="I84" s="547"/>
      <c r="J84" s="547"/>
      <c r="K84" s="591"/>
      <c r="L84" s="530"/>
    </row>
    <row r="85" spans="1:12" s="532" customFormat="1" ht="160.15" customHeight="1" x14ac:dyDescent="0.25">
      <c r="A85" s="533"/>
      <c r="B85" s="533"/>
      <c r="C85" s="533"/>
      <c r="D85" s="533"/>
      <c r="E85" s="534"/>
      <c r="F85" s="535"/>
      <c r="G85" s="535"/>
      <c r="H85" s="535"/>
      <c r="I85" s="536"/>
      <c r="J85" s="536"/>
      <c r="K85" s="592"/>
      <c r="L85" s="530"/>
    </row>
    <row r="86" spans="1:12" s="532" customFormat="1" ht="79.900000000000006" customHeight="1" x14ac:dyDescent="0.25">
      <c r="A86" s="539"/>
      <c r="B86" s="539"/>
      <c r="C86" s="539"/>
      <c r="D86" s="539"/>
      <c r="E86" s="540"/>
      <c r="F86" s="541"/>
      <c r="G86" s="541"/>
      <c r="H86" s="541"/>
      <c r="I86" s="542"/>
      <c r="J86" s="542"/>
      <c r="K86" s="557"/>
      <c r="L86" s="530"/>
    </row>
    <row r="87" spans="1:12" s="532" customFormat="1" ht="237" customHeight="1" x14ac:dyDescent="0.25">
      <c r="A87" s="620"/>
      <c r="B87" s="620"/>
      <c r="C87" s="620"/>
      <c r="D87" s="620"/>
      <c r="E87" s="651"/>
      <c r="F87" s="622"/>
      <c r="G87" s="622"/>
      <c r="H87" s="622"/>
      <c r="I87" s="623"/>
      <c r="J87" s="623"/>
      <c r="K87" s="650"/>
      <c r="L87" s="530"/>
    </row>
    <row r="88" spans="1:12" s="532" customFormat="1" ht="37.15" customHeight="1" x14ac:dyDescent="0.25">
      <c r="A88" s="544"/>
      <c r="B88" s="544"/>
      <c r="C88" s="544"/>
      <c r="D88" s="544"/>
      <c r="E88" s="555"/>
      <c r="F88" s="546"/>
      <c r="G88" s="546"/>
      <c r="H88" s="546"/>
      <c r="I88" s="547"/>
      <c r="J88" s="547"/>
      <c r="K88" s="548"/>
      <c r="L88" s="530"/>
    </row>
    <row r="89" spans="1:12" s="532" customFormat="1" x14ac:dyDescent="0.25">
      <c r="A89" s="573"/>
      <c r="B89" s="573"/>
      <c r="C89" s="573"/>
      <c r="D89" s="573"/>
      <c r="E89" s="593"/>
      <c r="F89" s="574"/>
      <c r="G89" s="574"/>
      <c r="H89" s="574"/>
      <c r="I89" s="575"/>
      <c r="J89" s="575"/>
      <c r="K89" s="553"/>
      <c r="L89" s="530"/>
    </row>
    <row r="90" spans="1:12" s="532" customFormat="1" ht="48" customHeight="1" x14ac:dyDescent="0.25">
      <c r="A90" s="539"/>
      <c r="B90" s="539"/>
      <c r="C90" s="539"/>
      <c r="D90" s="539"/>
      <c r="E90" s="557"/>
      <c r="F90" s="541"/>
      <c r="G90" s="541"/>
      <c r="H90" s="541"/>
      <c r="I90" s="542"/>
      <c r="J90" s="542"/>
      <c r="K90" s="562"/>
      <c r="L90" s="530"/>
    </row>
    <row r="91" spans="1:12" s="532" customFormat="1" x14ac:dyDescent="0.25">
      <c r="A91" s="620"/>
      <c r="B91" s="620"/>
      <c r="C91" s="620"/>
      <c r="D91" s="620"/>
      <c r="E91" s="651"/>
      <c r="F91" s="622"/>
      <c r="G91" s="622"/>
      <c r="H91" s="622"/>
      <c r="I91" s="623"/>
      <c r="J91" s="623"/>
      <c r="K91" s="624"/>
      <c r="L91" s="530"/>
    </row>
    <row r="92" spans="1:12" ht="31.15" customHeight="1" x14ac:dyDescent="0.25">
      <c r="A92" s="544"/>
      <c r="B92" s="544"/>
      <c r="C92" s="544"/>
      <c r="D92" s="544"/>
      <c r="E92" s="545"/>
      <c r="F92" s="546"/>
      <c r="G92" s="546"/>
      <c r="H92" s="546"/>
      <c r="I92" s="547"/>
      <c r="J92" s="547"/>
      <c r="K92" s="548"/>
    </row>
    <row r="93" spans="1:12" x14ac:dyDescent="0.25">
      <c r="A93" s="620"/>
      <c r="B93" s="620"/>
      <c r="C93" s="620"/>
      <c r="D93" s="620"/>
      <c r="E93" s="651"/>
      <c r="F93" s="622"/>
      <c r="G93" s="622"/>
      <c r="H93" s="622"/>
      <c r="I93" s="623"/>
      <c r="J93" s="623"/>
      <c r="K93" s="624"/>
    </row>
    <row r="94" spans="1:12" ht="62.45" customHeight="1" x14ac:dyDescent="0.25">
      <c r="A94" s="544"/>
      <c r="B94" s="544"/>
      <c r="C94" s="544"/>
      <c r="D94" s="544"/>
      <c r="E94" s="545"/>
      <c r="F94" s="546"/>
      <c r="G94" s="546"/>
      <c r="H94" s="546"/>
      <c r="I94" s="547"/>
      <c r="J94" s="547"/>
      <c r="K94" s="548"/>
    </row>
    <row r="95" spans="1:12" ht="19.899999999999999" customHeight="1" x14ac:dyDescent="0.25">
      <c r="A95" s="533"/>
      <c r="B95" s="533"/>
      <c r="C95" s="533"/>
      <c r="D95" s="533"/>
      <c r="E95" s="534"/>
      <c r="F95" s="535"/>
      <c r="G95" s="535"/>
      <c r="H95" s="535"/>
      <c r="I95" s="536"/>
      <c r="J95" s="536"/>
      <c r="K95" s="537"/>
    </row>
    <row r="96" spans="1:12" ht="64.150000000000006" customHeight="1" x14ac:dyDescent="0.25">
      <c r="A96" s="620"/>
      <c r="B96" s="620"/>
      <c r="C96" s="620"/>
      <c r="D96" s="620"/>
      <c r="E96" s="651"/>
      <c r="F96" s="622"/>
      <c r="G96" s="622"/>
      <c r="H96" s="622"/>
      <c r="I96" s="623"/>
      <c r="J96" s="623"/>
      <c r="K96" s="624"/>
    </row>
    <row r="97" spans="1:11" ht="73.900000000000006" customHeight="1" x14ac:dyDescent="0.25">
      <c r="A97" s="544"/>
      <c r="B97" s="544"/>
      <c r="C97" s="544"/>
      <c r="D97" s="544"/>
      <c r="E97" s="545"/>
      <c r="F97" s="546"/>
      <c r="G97" s="546"/>
      <c r="H97" s="546"/>
      <c r="I97" s="547"/>
      <c r="J97" s="547"/>
      <c r="K97" s="548"/>
    </row>
    <row r="98" spans="1:11" ht="73.900000000000006" customHeight="1" x14ac:dyDescent="0.25">
      <c r="A98" s="533"/>
      <c r="B98" s="533"/>
      <c r="C98" s="533"/>
      <c r="D98" s="533"/>
      <c r="E98" s="534"/>
      <c r="F98" s="535"/>
      <c r="G98" s="535"/>
      <c r="H98" s="535"/>
      <c r="I98" s="536"/>
      <c r="J98" s="536"/>
      <c r="K98" s="537"/>
    </row>
    <row r="99" spans="1:11" ht="164.45" customHeight="1" x14ac:dyDescent="0.25">
      <c r="A99" s="539"/>
      <c r="B99" s="539"/>
      <c r="C99" s="539"/>
      <c r="D99" s="539"/>
      <c r="E99" s="540"/>
      <c r="F99" s="541"/>
      <c r="G99" s="541"/>
      <c r="H99" s="541"/>
      <c r="I99" s="542"/>
      <c r="J99" s="542"/>
      <c r="K99" s="562"/>
    </row>
    <row r="100" spans="1:11" ht="87.6" customHeight="1" x14ac:dyDescent="0.25">
      <c r="A100" s="539"/>
      <c r="B100" s="539"/>
      <c r="C100" s="539"/>
      <c r="D100" s="539"/>
      <c r="E100" s="540"/>
      <c r="F100" s="541"/>
      <c r="G100" s="541"/>
      <c r="H100" s="541"/>
      <c r="I100" s="542"/>
      <c r="J100" s="542"/>
      <c r="K100" s="562"/>
    </row>
    <row r="101" spans="1:11" ht="67.900000000000006" customHeight="1" x14ac:dyDescent="0.25">
      <c r="A101" s="539"/>
      <c r="B101" s="539"/>
      <c r="C101" s="539"/>
      <c r="D101" s="539"/>
      <c r="E101" s="540"/>
      <c r="F101" s="541"/>
      <c r="G101" s="541"/>
      <c r="H101" s="541"/>
      <c r="I101" s="542"/>
      <c r="J101" s="542"/>
      <c r="K101" s="562"/>
    </row>
    <row r="102" spans="1:11" ht="46.9" customHeight="1" x14ac:dyDescent="0.25">
      <c r="A102" s="539"/>
      <c r="B102" s="539"/>
      <c r="C102" s="539"/>
      <c r="D102" s="539"/>
      <c r="E102" s="540"/>
      <c r="F102" s="541"/>
      <c r="G102" s="541"/>
      <c r="H102" s="541"/>
      <c r="I102" s="542"/>
      <c r="J102" s="542"/>
      <c r="K102" s="562"/>
    </row>
    <row r="103" spans="1:11" ht="46.9" customHeight="1" x14ac:dyDescent="0.25">
      <c r="A103" s="539"/>
      <c r="B103" s="539"/>
      <c r="C103" s="539"/>
      <c r="D103" s="539"/>
      <c r="E103" s="540"/>
      <c r="F103" s="541"/>
      <c r="G103" s="541"/>
      <c r="H103" s="541"/>
      <c r="I103" s="542"/>
      <c r="J103" s="542"/>
      <c r="K103" s="562"/>
    </row>
    <row r="104" spans="1:11" ht="46.9" customHeight="1" x14ac:dyDescent="0.25">
      <c r="A104" s="539"/>
      <c r="B104" s="539"/>
      <c r="C104" s="539"/>
      <c r="D104" s="539"/>
      <c r="E104" s="540"/>
      <c r="F104" s="541"/>
      <c r="G104" s="541"/>
      <c r="H104" s="541"/>
      <c r="I104" s="542"/>
      <c r="J104" s="542"/>
      <c r="K104" s="562"/>
    </row>
    <row r="105" spans="1:11" ht="46.9" customHeight="1" x14ac:dyDescent="0.25">
      <c r="A105" s="539"/>
      <c r="B105" s="539"/>
      <c r="C105" s="539"/>
      <c r="D105" s="539"/>
      <c r="E105" s="540"/>
      <c r="F105" s="541"/>
      <c r="G105" s="541"/>
      <c r="H105" s="541"/>
      <c r="I105" s="542"/>
      <c r="J105" s="542"/>
      <c r="K105" s="562"/>
    </row>
    <row r="106" spans="1:11" ht="91.9" customHeight="1" x14ac:dyDescent="0.25">
      <c r="A106" s="533"/>
      <c r="B106" s="533"/>
      <c r="C106" s="533"/>
      <c r="D106" s="533"/>
      <c r="E106" s="534"/>
      <c r="F106" s="535"/>
      <c r="G106" s="535"/>
      <c r="H106" s="535"/>
      <c r="I106" s="536"/>
      <c r="J106" s="536"/>
      <c r="K106" s="537"/>
    </row>
    <row r="107" spans="1:11" x14ac:dyDescent="0.25">
      <c r="A107" s="544"/>
      <c r="B107" s="544"/>
      <c r="C107" s="544"/>
      <c r="D107" s="544"/>
      <c r="E107" s="545"/>
      <c r="F107" s="546"/>
      <c r="G107" s="546"/>
      <c r="H107" s="546"/>
      <c r="I107" s="547"/>
      <c r="J107" s="547"/>
      <c r="K107" s="548"/>
    </row>
    <row r="108" spans="1:11" x14ac:dyDescent="0.25">
      <c r="A108" s="539"/>
      <c r="B108" s="539"/>
      <c r="C108" s="539"/>
      <c r="D108" s="539"/>
      <c r="E108" s="540"/>
      <c r="F108" s="541"/>
      <c r="G108" s="541"/>
      <c r="H108" s="541"/>
      <c r="I108" s="542"/>
      <c r="J108" s="542"/>
      <c r="K108" s="562"/>
    </row>
    <row r="109" spans="1:11" x14ac:dyDescent="0.25">
      <c r="A109" s="620"/>
      <c r="B109" s="620"/>
      <c r="C109" s="620"/>
      <c r="D109" s="620"/>
      <c r="E109" s="651"/>
      <c r="F109" s="622"/>
      <c r="G109" s="622"/>
      <c r="H109" s="622"/>
      <c r="I109" s="623"/>
      <c r="J109" s="623"/>
      <c r="K109" s="624"/>
    </row>
    <row r="110" spans="1:11" ht="73.900000000000006" customHeight="1" x14ac:dyDescent="0.25">
      <c r="A110" s="544"/>
      <c r="B110" s="544"/>
      <c r="C110" s="544"/>
      <c r="D110" s="544"/>
      <c r="E110" s="545"/>
      <c r="F110" s="546"/>
      <c r="G110" s="546"/>
      <c r="H110" s="546"/>
      <c r="I110" s="547"/>
      <c r="J110" s="547"/>
      <c r="K110" s="548"/>
    </row>
    <row r="111" spans="1:11" x14ac:dyDescent="0.25">
      <c r="A111" s="539"/>
      <c r="B111" s="539"/>
      <c r="C111" s="539"/>
      <c r="D111" s="539"/>
      <c r="E111" s="540"/>
      <c r="F111" s="541"/>
      <c r="G111" s="541"/>
      <c r="H111" s="541"/>
      <c r="I111" s="542"/>
      <c r="J111" s="542"/>
      <c r="K111" s="562"/>
    </row>
    <row r="112" spans="1:11" x14ac:dyDescent="0.25">
      <c r="A112" s="539"/>
      <c r="B112" s="539"/>
      <c r="C112" s="539"/>
      <c r="D112" s="539"/>
      <c r="E112" s="540"/>
      <c r="F112" s="541"/>
      <c r="G112" s="541"/>
      <c r="H112" s="541"/>
      <c r="I112" s="542"/>
      <c r="J112" s="542"/>
      <c r="K112" s="562"/>
    </row>
    <row r="113" spans="1:13" x14ac:dyDescent="0.25">
      <c r="A113" s="533"/>
      <c r="B113" s="533"/>
      <c r="C113" s="533"/>
      <c r="D113" s="533"/>
      <c r="E113" s="534"/>
      <c r="F113" s="535"/>
      <c r="G113" s="535"/>
      <c r="H113" s="535"/>
      <c r="I113" s="536"/>
      <c r="J113" s="536"/>
      <c r="K113" s="537"/>
    </row>
    <row r="114" spans="1:13" ht="48.6" customHeight="1" x14ac:dyDescent="0.25">
      <c r="A114" s="567"/>
      <c r="B114" s="567"/>
      <c r="C114" s="567"/>
      <c r="D114" s="567"/>
      <c r="E114" s="576"/>
      <c r="F114" s="569"/>
      <c r="G114" s="569"/>
      <c r="H114" s="569"/>
      <c r="I114" s="570"/>
      <c r="J114" s="570"/>
      <c r="K114" s="571"/>
    </row>
    <row r="115" spans="1:13" ht="30" customHeight="1" x14ac:dyDescent="0.25">
      <c r="A115" s="620"/>
      <c r="B115" s="620"/>
      <c r="C115" s="620"/>
      <c r="D115" s="620"/>
      <c r="E115" s="651"/>
      <c r="F115" s="622"/>
      <c r="G115" s="622"/>
      <c r="H115" s="622"/>
      <c r="I115" s="623"/>
      <c r="J115" s="623"/>
      <c r="K115" s="624"/>
    </row>
    <row r="116" spans="1:13" ht="409.15" customHeight="1" x14ac:dyDescent="0.25">
      <c r="A116" s="544"/>
      <c r="B116" s="544"/>
      <c r="C116" s="544"/>
      <c r="D116" s="544"/>
      <c r="E116" s="545"/>
      <c r="F116" s="546"/>
      <c r="G116" s="546"/>
      <c r="H116" s="546"/>
      <c r="I116" s="547"/>
      <c r="J116" s="547"/>
      <c r="K116" s="548"/>
    </row>
    <row r="117" spans="1:13" s="538" customFormat="1" ht="241.9" customHeight="1" x14ac:dyDescent="0.25">
      <c r="A117" s="533"/>
      <c r="B117" s="533"/>
      <c r="C117" s="533"/>
      <c r="D117" s="533"/>
      <c r="E117" s="534"/>
      <c r="F117" s="535"/>
      <c r="G117" s="535"/>
      <c r="H117" s="535"/>
      <c r="I117" s="536"/>
      <c r="J117" s="536"/>
      <c r="K117" s="537"/>
      <c r="L117" s="530"/>
    </row>
    <row r="118" spans="1:13" s="538" customFormat="1" ht="76.150000000000006" customHeight="1" x14ac:dyDescent="0.25">
      <c r="A118" s="539"/>
      <c r="B118" s="539"/>
      <c r="C118" s="539"/>
      <c r="D118" s="539"/>
      <c r="E118" s="540"/>
      <c r="F118" s="541"/>
      <c r="G118" s="541"/>
      <c r="H118" s="541"/>
      <c r="I118" s="542"/>
      <c r="J118" s="542"/>
      <c r="K118" s="562"/>
      <c r="L118" s="594"/>
      <c r="M118" s="595"/>
    </row>
    <row r="119" spans="1:13" s="538" customFormat="1" ht="156.6" customHeight="1" x14ac:dyDescent="0.25">
      <c r="A119" s="533"/>
      <c r="B119" s="533"/>
      <c r="C119" s="533"/>
      <c r="D119" s="533"/>
      <c r="E119" s="534"/>
      <c r="F119" s="535"/>
      <c r="G119" s="535"/>
      <c r="H119" s="535"/>
      <c r="I119" s="536"/>
      <c r="J119" s="536"/>
      <c r="K119" s="537"/>
      <c r="L119" s="594"/>
      <c r="M119" s="595"/>
    </row>
    <row r="120" spans="1:13" s="538" customFormat="1" x14ac:dyDescent="0.25">
      <c r="A120" s="567"/>
      <c r="B120" s="567"/>
      <c r="C120" s="567"/>
      <c r="D120" s="567"/>
      <c r="E120" s="576"/>
      <c r="F120" s="569"/>
      <c r="G120" s="569"/>
      <c r="H120" s="569"/>
      <c r="I120" s="570"/>
      <c r="J120" s="570"/>
      <c r="K120" s="571"/>
      <c r="L120" s="594"/>
      <c r="M120" s="595"/>
    </row>
    <row r="121" spans="1:13" s="538" customFormat="1" x14ac:dyDescent="0.25">
      <c r="A121" s="533"/>
      <c r="B121" s="533"/>
      <c r="C121" s="533"/>
      <c r="D121" s="533"/>
      <c r="E121" s="534"/>
      <c r="F121" s="535"/>
      <c r="G121" s="535"/>
      <c r="H121" s="535"/>
      <c r="I121" s="536"/>
      <c r="J121" s="536"/>
      <c r="K121" s="537"/>
      <c r="L121" s="594"/>
      <c r="M121" s="595"/>
    </row>
    <row r="122" spans="1:13" s="538" customFormat="1" ht="112.15" customHeight="1" x14ac:dyDescent="0.25">
      <c r="A122" s="567"/>
      <c r="B122" s="567"/>
      <c r="C122" s="567"/>
      <c r="D122" s="567"/>
      <c r="E122" s="576"/>
      <c r="F122" s="569"/>
      <c r="G122" s="569"/>
      <c r="H122" s="569"/>
      <c r="I122" s="570"/>
      <c r="J122" s="570"/>
      <c r="K122" s="596"/>
      <c r="L122" s="594"/>
      <c r="M122" s="595"/>
    </row>
    <row r="123" spans="1:13" s="538" customFormat="1" ht="31.15" customHeight="1" x14ac:dyDescent="0.25">
      <c r="A123" s="620"/>
      <c r="B123" s="620"/>
      <c r="C123" s="620"/>
      <c r="D123" s="620"/>
      <c r="E123" s="651"/>
      <c r="F123" s="622"/>
      <c r="G123" s="622"/>
      <c r="H123" s="622"/>
      <c r="I123" s="623"/>
      <c r="J123" s="623"/>
      <c r="K123" s="661"/>
      <c r="L123" s="594"/>
      <c r="M123" s="595"/>
    </row>
    <row r="124" spans="1:13" s="538" customFormat="1" ht="93" customHeight="1" x14ac:dyDescent="0.25">
      <c r="A124" s="544"/>
      <c r="B124" s="544"/>
      <c r="C124" s="544"/>
      <c r="D124" s="544"/>
      <c r="E124" s="545"/>
      <c r="F124" s="546"/>
      <c r="G124" s="546"/>
      <c r="H124" s="546"/>
      <c r="I124" s="547"/>
      <c r="J124" s="547"/>
      <c r="K124" s="548"/>
      <c r="L124" s="530"/>
    </row>
    <row r="125" spans="1:13" s="538" customFormat="1" ht="182.45" customHeight="1" x14ac:dyDescent="0.25">
      <c r="A125" s="533"/>
      <c r="B125" s="533"/>
      <c r="C125" s="533"/>
      <c r="D125" s="533"/>
      <c r="E125" s="534"/>
      <c r="F125" s="535"/>
      <c r="G125" s="535"/>
      <c r="H125" s="535"/>
      <c r="I125" s="536"/>
      <c r="J125" s="536"/>
      <c r="K125" s="537"/>
      <c r="L125" s="530"/>
    </row>
    <row r="126" spans="1:13" s="538" customFormat="1" ht="102" customHeight="1" x14ac:dyDescent="0.25">
      <c r="A126" s="567"/>
      <c r="B126" s="567"/>
      <c r="C126" s="567"/>
      <c r="D126" s="567"/>
      <c r="E126" s="576"/>
      <c r="F126" s="569"/>
      <c r="G126" s="569"/>
      <c r="H126" s="569"/>
      <c r="I126" s="570"/>
      <c r="J126" s="570"/>
      <c r="K126" s="571"/>
      <c r="L126" s="530"/>
    </row>
    <row r="127" spans="1:13" s="538" customFormat="1" x14ac:dyDescent="0.25">
      <c r="A127" s="533"/>
      <c r="B127" s="533"/>
      <c r="C127" s="533"/>
      <c r="D127" s="533"/>
      <c r="E127" s="534"/>
      <c r="F127" s="535"/>
      <c r="G127" s="535"/>
      <c r="H127" s="535"/>
      <c r="I127" s="536"/>
      <c r="J127" s="536"/>
      <c r="K127" s="537"/>
      <c r="L127" s="530"/>
    </row>
    <row r="128" spans="1:13" s="538" customFormat="1" ht="147" customHeight="1" x14ac:dyDescent="0.25">
      <c r="A128" s="533"/>
      <c r="B128" s="533"/>
      <c r="C128" s="533"/>
      <c r="D128" s="533"/>
      <c r="E128" s="534"/>
      <c r="F128" s="535"/>
      <c r="G128" s="535"/>
      <c r="H128" s="535"/>
      <c r="I128" s="536"/>
      <c r="J128" s="536"/>
      <c r="K128" s="537"/>
      <c r="L128" s="530"/>
    </row>
    <row r="129" spans="1:12" s="538" customFormat="1" x14ac:dyDescent="0.25">
      <c r="A129" s="533"/>
      <c r="B129" s="533"/>
      <c r="C129" s="533"/>
      <c r="D129" s="533"/>
      <c r="E129" s="534"/>
      <c r="F129" s="535"/>
      <c r="G129" s="535"/>
      <c r="H129" s="535"/>
      <c r="I129" s="536"/>
      <c r="J129" s="536"/>
      <c r="K129" s="537"/>
      <c r="L129" s="530"/>
    </row>
    <row r="130" spans="1:12" s="538" customFormat="1" x14ac:dyDescent="0.25">
      <c r="A130" s="573"/>
      <c r="B130" s="573"/>
      <c r="C130" s="573"/>
      <c r="D130" s="573"/>
      <c r="E130" s="550"/>
      <c r="F130" s="574"/>
      <c r="G130" s="574"/>
      <c r="H130" s="574"/>
      <c r="I130" s="575"/>
      <c r="J130" s="575"/>
      <c r="K130" s="553"/>
      <c r="L130" s="530"/>
    </row>
    <row r="131" spans="1:12" s="538" customFormat="1" x14ac:dyDescent="0.25">
      <c r="A131" s="567"/>
      <c r="B131" s="567"/>
      <c r="C131" s="567"/>
      <c r="D131" s="567"/>
      <c r="E131" s="576"/>
      <c r="F131" s="569"/>
      <c r="G131" s="569"/>
      <c r="H131" s="569"/>
      <c r="I131" s="570"/>
      <c r="J131" s="570"/>
      <c r="K131" s="571"/>
      <c r="L131" s="530"/>
    </row>
    <row r="132" spans="1:12" s="538" customFormat="1" ht="31.9" customHeight="1" x14ac:dyDescent="0.25">
      <c r="A132" s="620"/>
      <c r="B132" s="620"/>
      <c r="C132" s="620"/>
      <c r="D132" s="620"/>
      <c r="E132" s="651"/>
      <c r="F132" s="622"/>
      <c r="G132" s="622"/>
      <c r="H132" s="622"/>
      <c r="I132" s="623"/>
      <c r="J132" s="623"/>
      <c r="K132" s="624"/>
      <c r="L132" s="530"/>
    </row>
    <row r="133" spans="1:12" ht="178.9" customHeight="1" x14ac:dyDescent="0.25">
      <c r="A133" s="544"/>
      <c r="B133" s="544"/>
      <c r="C133" s="544"/>
      <c r="D133" s="544"/>
      <c r="E133" s="545"/>
      <c r="F133" s="546"/>
      <c r="G133" s="546"/>
      <c r="H133" s="546"/>
      <c r="I133" s="547"/>
      <c r="J133" s="547"/>
      <c r="K133" s="548"/>
    </row>
    <row r="134" spans="1:12" x14ac:dyDescent="0.25">
      <c r="A134" s="533"/>
      <c r="B134" s="533"/>
      <c r="C134" s="533"/>
      <c r="D134" s="533"/>
      <c r="E134" s="534"/>
      <c r="F134" s="535"/>
      <c r="G134" s="535"/>
      <c r="H134" s="535"/>
      <c r="I134" s="536"/>
      <c r="J134" s="536"/>
      <c r="K134" s="537"/>
    </row>
    <row r="135" spans="1:12" ht="392.45" customHeight="1" x14ac:dyDescent="0.25">
      <c r="A135" s="539"/>
      <c r="B135" s="539"/>
      <c r="C135" s="539"/>
      <c r="D135" s="539"/>
      <c r="E135" s="540"/>
      <c r="F135" s="541"/>
      <c r="G135" s="541"/>
      <c r="H135" s="541"/>
      <c r="I135" s="542"/>
      <c r="J135" s="542"/>
      <c r="K135" s="597"/>
    </row>
    <row r="136" spans="1:12" s="590" customFormat="1" ht="367.15" customHeight="1" x14ac:dyDescent="0.25">
      <c r="A136" s="544"/>
      <c r="B136" s="544"/>
      <c r="C136" s="544"/>
      <c r="D136" s="544"/>
      <c r="E136" s="545"/>
      <c r="F136" s="546"/>
      <c r="G136" s="546"/>
      <c r="H136" s="546"/>
      <c r="I136" s="547"/>
      <c r="J136" s="547"/>
      <c r="K136" s="548"/>
      <c r="L136" s="530"/>
    </row>
    <row r="137" spans="1:12" s="590" customFormat="1" x14ac:dyDescent="0.25">
      <c r="A137" s="539"/>
      <c r="B137" s="539"/>
      <c r="C137" s="539"/>
      <c r="D137" s="539"/>
      <c r="E137" s="540"/>
      <c r="F137" s="541"/>
      <c r="G137" s="541"/>
      <c r="H137" s="541"/>
      <c r="I137" s="542"/>
      <c r="J137" s="542"/>
      <c r="K137" s="562"/>
      <c r="L137" s="530"/>
    </row>
    <row r="138" spans="1:12" s="590" customFormat="1" x14ac:dyDescent="0.25">
      <c r="A138" s="620"/>
      <c r="B138" s="620"/>
      <c r="C138" s="620"/>
      <c r="D138" s="620"/>
      <c r="E138" s="651"/>
      <c r="F138" s="622"/>
      <c r="G138" s="622"/>
      <c r="H138" s="622"/>
      <c r="I138" s="623"/>
      <c r="J138" s="623"/>
      <c r="K138" s="624"/>
      <c r="L138" s="530"/>
    </row>
    <row r="139" spans="1:12" x14ac:dyDescent="0.25">
      <c r="A139" s="544"/>
      <c r="B139" s="544"/>
      <c r="C139" s="544"/>
      <c r="D139" s="544"/>
      <c r="E139" s="545"/>
      <c r="F139" s="546"/>
      <c r="G139" s="546"/>
      <c r="H139" s="546"/>
      <c r="I139" s="547"/>
      <c r="J139" s="547"/>
      <c r="K139" s="548"/>
    </row>
    <row r="140" spans="1:12" ht="75.599999999999994" customHeight="1" x14ac:dyDescent="0.25">
      <c r="A140" s="620"/>
      <c r="B140" s="620"/>
      <c r="C140" s="620"/>
      <c r="D140" s="620"/>
      <c r="E140" s="651"/>
      <c r="F140" s="622"/>
      <c r="G140" s="622"/>
      <c r="H140" s="622"/>
      <c r="I140" s="623"/>
      <c r="J140" s="623"/>
      <c r="K140" s="624"/>
    </row>
    <row r="141" spans="1:12" x14ac:dyDescent="0.25">
      <c r="A141" s="554"/>
      <c r="B141" s="554"/>
      <c r="C141" s="554"/>
      <c r="D141" s="554"/>
      <c r="E141" s="555"/>
      <c r="F141" s="546"/>
      <c r="G141" s="546"/>
      <c r="H141" s="546"/>
      <c r="I141" s="547"/>
      <c r="J141" s="547"/>
      <c r="K141" s="598"/>
    </row>
    <row r="142" spans="1:12" s="538" customFormat="1" ht="46.15" customHeight="1" x14ac:dyDescent="0.25">
      <c r="A142" s="599"/>
      <c r="B142" s="599"/>
      <c r="C142" s="599"/>
      <c r="D142" s="599"/>
      <c r="E142" s="592"/>
      <c r="F142" s="535"/>
      <c r="G142" s="535"/>
      <c r="H142" s="535"/>
      <c r="I142" s="536"/>
      <c r="J142" s="536"/>
      <c r="K142" s="600"/>
      <c r="L142" s="530"/>
    </row>
    <row r="143" spans="1:12" s="538" customFormat="1" ht="136.9" customHeight="1" x14ac:dyDescent="0.25">
      <c r="A143" s="649"/>
      <c r="B143" s="649"/>
      <c r="C143" s="649"/>
      <c r="D143" s="649"/>
      <c r="E143" s="650"/>
      <c r="F143" s="622"/>
      <c r="G143" s="622"/>
      <c r="H143" s="622"/>
      <c r="I143" s="623"/>
      <c r="J143" s="623"/>
      <c r="K143" s="650"/>
      <c r="L143" s="530"/>
    </row>
    <row r="144" spans="1:12" ht="15" customHeight="1" x14ac:dyDescent="0.25">
      <c r="A144" s="554"/>
      <c r="B144" s="554"/>
      <c r="C144" s="554"/>
      <c r="D144" s="554"/>
      <c r="E144" s="555"/>
      <c r="F144" s="546"/>
      <c r="G144" s="546"/>
      <c r="H144" s="546"/>
      <c r="I144" s="547"/>
      <c r="J144" s="547"/>
      <c r="K144" s="555"/>
    </row>
    <row r="145" spans="1:50" ht="31.9" customHeight="1" x14ac:dyDescent="0.25">
      <c r="A145" s="649"/>
      <c r="B145" s="649"/>
      <c r="C145" s="649"/>
      <c r="D145" s="649"/>
      <c r="E145" s="650"/>
      <c r="F145" s="622"/>
      <c r="G145" s="622"/>
      <c r="H145" s="622"/>
      <c r="I145" s="623"/>
      <c r="J145" s="623"/>
      <c r="K145" s="650"/>
    </row>
    <row r="146" spans="1:50" x14ac:dyDescent="0.25">
      <c r="A146" s="544"/>
      <c r="B146" s="544"/>
      <c r="C146" s="544"/>
      <c r="D146" s="544"/>
      <c r="E146" s="545"/>
      <c r="F146" s="546"/>
      <c r="G146" s="546"/>
      <c r="H146" s="546"/>
      <c r="I146" s="547"/>
      <c r="J146" s="547"/>
      <c r="K146" s="555"/>
    </row>
    <row r="147" spans="1:50" x14ac:dyDescent="0.25">
      <c r="A147" s="539"/>
      <c r="B147" s="539"/>
      <c r="C147" s="539"/>
      <c r="D147" s="539"/>
      <c r="E147" s="540"/>
      <c r="F147" s="541"/>
      <c r="G147" s="541"/>
      <c r="H147" s="541"/>
      <c r="I147" s="542"/>
      <c r="J147" s="542"/>
      <c r="K147" s="562"/>
    </row>
    <row r="148" spans="1:50" s="538" customFormat="1" x14ac:dyDescent="0.25">
      <c r="A148" s="533"/>
      <c r="B148" s="533"/>
      <c r="C148" s="533"/>
      <c r="D148" s="533"/>
      <c r="E148" s="534"/>
      <c r="F148" s="535"/>
      <c r="G148" s="535"/>
      <c r="H148" s="535"/>
      <c r="I148" s="536"/>
      <c r="J148" s="536"/>
      <c r="K148" s="537"/>
      <c r="L148" s="530"/>
    </row>
    <row r="149" spans="1:50" s="538" customFormat="1" ht="79.150000000000006" customHeight="1" x14ac:dyDescent="0.25">
      <c r="A149" s="567"/>
      <c r="B149" s="567"/>
      <c r="C149" s="567"/>
      <c r="D149" s="567"/>
      <c r="E149" s="576"/>
      <c r="F149" s="569"/>
      <c r="G149" s="569"/>
      <c r="H149" s="569"/>
      <c r="I149" s="570"/>
      <c r="J149" s="570"/>
      <c r="K149" s="571"/>
      <c r="L149" s="530"/>
    </row>
    <row r="150" spans="1:50" s="538" customFormat="1" x14ac:dyDescent="0.25">
      <c r="A150" s="533"/>
      <c r="B150" s="533"/>
      <c r="C150" s="533"/>
      <c r="D150" s="533"/>
      <c r="E150" s="534"/>
      <c r="F150" s="535"/>
      <c r="G150" s="535"/>
      <c r="H150" s="535"/>
      <c r="I150" s="536"/>
      <c r="J150" s="536"/>
      <c r="K150" s="537"/>
      <c r="L150" s="530"/>
    </row>
    <row r="151" spans="1:50" s="538" customFormat="1" x14ac:dyDescent="0.25">
      <c r="A151" s="620"/>
      <c r="B151" s="620"/>
      <c r="C151" s="620"/>
      <c r="D151" s="620"/>
      <c r="E151" s="651"/>
      <c r="F151" s="622"/>
      <c r="G151" s="622"/>
      <c r="H151" s="622"/>
      <c r="I151" s="623"/>
      <c r="J151" s="623"/>
      <c r="K151" s="624"/>
      <c r="L151" s="530"/>
    </row>
    <row r="152" spans="1:50" s="590" customFormat="1" ht="41.45" customHeight="1" x14ac:dyDescent="0.25">
      <c r="A152" s="544"/>
      <c r="B152" s="544"/>
      <c r="C152" s="544"/>
      <c r="D152" s="544"/>
      <c r="E152" s="545"/>
      <c r="F152" s="546"/>
      <c r="G152" s="546"/>
      <c r="H152" s="546"/>
      <c r="I152" s="547"/>
      <c r="J152" s="547"/>
      <c r="K152" s="548"/>
      <c r="L152" s="530"/>
    </row>
    <row r="153" spans="1:50" s="590" customFormat="1" x14ac:dyDescent="0.25">
      <c r="A153" s="620"/>
      <c r="B153" s="620"/>
      <c r="C153" s="620"/>
      <c r="D153" s="620"/>
      <c r="E153" s="651"/>
      <c r="F153" s="622"/>
      <c r="G153" s="622"/>
      <c r="H153" s="622"/>
      <c r="I153" s="623"/>
      <c r="J153" s="623"/>
      <c r="K153" s="624"/>
      <c r="L153" s="530"/>
    </row>
    <row r="154" spans="1:50" x14ac:dyDescent="0.25">
      <c r="A154" s="601"/>
      <c r="B154" s="601"/>
      <c r="C154" s="601"/>
      <c r="D154" s="601"/>
      <c r="E154" s="545"/>
      <c r="F154" s="546"/>
      <c r="G154" s="546"/>
      <c r="H154" s="546"/>
      <c r="I154" s="547"/>
      <c r="J154" s="547"/>
      <c r="K154" s="555"/>
      <c r="L154" s="602"/>
      <c r="M154" s="603"/>
      <c r="N154" s="603"/>
      <c r="O154" s="603"/>
      <c r="P154" s="603"/>
      <c r="Q154" s="603"/>
      <c r="R154" s="603"/>
      <c r="S154" s="603"/>
      <c r="T154" s="603"/>
      <c r="U154" s="603"/>
      <c r="V154" s="603"/>
      <c r="W154" s="603"/>
      <c r="X154" s="603"/>
      <c r="Y154" s="603"/>
      <c r="Z154" s="603"/>
      <c r="AA154" s="603"/>
      <c r="AB154" s="603"/>
      <c r="AC154" s="603"/>
      <c r="AD154" s="603"/>
      <c r="AE154" s="603"/>
      <c r="AF154" s="603"/>
      <c r="AG154" s="603"/>
      <c r="AH154" s="603"/>
      <c r="AI154" s="603"/>
      <c r="AJ154" s="603"/>
      <c r="AK154" s="603"/>
      <c r="AL154" s="603"/>
      <c r="AM154" s="603"/>
      <c r="AN154" s="603"/>
      <c r="AO154" s="603"/>
      <c r="AP154" s="603"/>
      <c r="AQ154" s="603"/>
      <c r="AR154" s="603"/>
      <c r="AS154" s="603"/>
      <c r="AT154" s="603"/>
      <c r="AU154" s="603"/>
      <c r="AV154" s="603"/>
      <c r="AW154" s="603"/>
      <c r="AX154" s="604"/>
    </row>
    <row r="155" spans="1:50" x14ac:dyDescent="0.25">
      <c r="A155" s="662"/>
      <c r="B155" s="662"/>
      <c r="C155" s="662"/>
      <c r="D155" s="662"/>
      <c r="E155" s="651"/>
      <c r="F155" s="622"/>
      <c r="G155" s="622"/>
      <c r="H155" s="622"/>
      <c r="I155" s="623"/>
      <c r="J155" s="623"/>
      <c r="K155" s="624"/>
      <c r="L155" s="605"/>
      <c r="M155" s="606"/>
      <c r="N155" s="606"/>
      <c r="O155" s="606"/>
      <c r="P155" s="606"/>
      <c r="Q155" s="606"/>
      <c r="R155" s="606"/>
      <c r="S155" s="606"/>
      <c r="T155" s="606"/>
      <c r="U155" s="606"/>
      <c r="V155" s="606"/>
      <c r="W155" s="606"/>
      <c r="X155" s="606"/>
      <c r="Y155" s="606"/>
      <c r="Z155" s="606"/>
      <c r="AA155" s="606"/>
      <c r="AB155" s="606"/>
      <c r="AC155" s="606"/>
      <c r="AD155" s="606"/>
      <c r="AE155" s="606"/>
      <c r="AF155" s="606"/>
      <c r="AG155" s="606"/>
      <c r="AH155" s="606"/>
      <c r="AI155" s="606"/>
      <c r="AJ155" s="606"/>
      <c r="AK155" s="606"/>
      <c r="AL155" s="606"/>
      <c r="AM155" s="606"/>
      <c r="AN155" s="606"/>
      <c r="AO155" s="606"/>
      <c r="AP155" s="606"/>
      <c r="AQ155" s="606"/>
      <c r="AR155" s="606"/>
      <c r="AS155" s="606"/>
      <c r="AT155" s="606"/>
      <c r="AU155" s="606"/>
      <c r="AV155" s="606"/>
      <c r="AW155" s="606"/>
      <c r="AX155" s="607"/>
    </row>
    <row r="156" spans="1:50" s="590" customFormat="1" ht="30" customHeight="1" x14ac:dyDescent="0.25">
      <c r="A156" s="601"/>
      <c r="B156" s="601"/>
      <c r="C156" s="601"/>
      <c r="D156" s="601"/>
      <c r="E156" s="608"/>
      <c r="F156" s="546"/>
      <c r="G156" s="546"/>
      <c r="H156" s="546"/>
      <c r="I156" s="547"/>
      <c r="J156" s="547"/>
      <c r="K156" s="609"/>
      <c r="L156" s="1161"/>
      <c r="M156" s="1161"/>
      <c r="N156" s="1161"/>
      <c r="O156" s="1161"/>
      <c r="P156" s="1161"/>
      <c r="Q156" s="1161"/>
      <c r="R156" s="1161"/>
      <c r="S156" s="1161"/>
      <c r="T156" s="1161"/>
      <c r="U156" s="1161"/>
      <c r="V156" s="1161"/>
      <c r="W156" s="1161"/>
      <c r="X156" s="1161"/>
      <c r="Y156" s="1161"/>
      <c r="Z156" s="1161"/>
      <c r="AA156" s="1161"/>
      <c r="AB156" s="1161"/>
      <c r="AC156" s="1161"/>
      <c r="AD156" s="1161"/>
      <c r="AE156" s="1161"/>
      <c r="AF156" s="1161"/>
      <c r="AG156" s="1161"/>
      <c r="AH156" s="1161"/>
      <c r="AI156" s="1161"/>
      <c r="AJ156" s="1161"/>
      <c r="AK156" s="1161"/>
      <c r="AL156" s="1161"/>
      <c r="AM156" s="1161"/>
      <c r="AN156" s="1161"/>
      <c r="AO156" s="1161"/>
      <c r="AP156" s="1161"/>
      <c r="AQ156" s="1161"/>
      <c r="AR156" s="1161"/>
      <c r="AS156" s="1161"/>
      <c r="AT156" s="1161"/>
      <c r="AU156" s="1161"/>
      <c r="AV156" s="1161"/>
      <c r="AW156" s="1161"/>
      <c r="AX156" s="1162"/>
    </row>
    <row r="157" spans="1:50" s="590" customFormat="1" ht="68.45" customHeight="1" x14ac:dyDescent="0.25">
      <c r="A157" s="610"/>
      <c r="B157" s="610"/>
      <c r="C157" s="610"/>
      <c r="D157" s="610"/>
      <c r="E157" s="611"/>
      <c r="F157" s="541"/>
      <c r="G157" s="541"/>
      <c r="H157" s="541"/>
      <c r="I157" s="542"/>
      <c r="J157" s="542"/>
      <c r="K157" s="612"/>
      <c r="L157" s="613"/>
      <c r="M157" s="613"/>
      <c r="N157" s="613"/>
      <c r="O157" s="613"/>
      <c r="P157" s="613"/>
      <c r="Q157" s="613"/>
      <c r="R157" s="613"/>
      <c r="S157" s="613"/>
      <c r="T157" s="613"/>
      <c r="U157" s="613"/>
      <c r="V157" s="613"/>
      <c r="W157" s="613"/>
      <c r="X157" s="613"/>
      <c r="Y157" s="613"/>
      <c r="Z157" s="613"/>
      <c r="AA157" s="613"/>
      <c r="AB157" s="613"/>
      <c r="AC157" s="613"/>
      <c r="AD157" s="613"/>
      <c r="AE157" s="613"/>
      <c r="AF157" s="613"/>
      <c r="AG157" s="613"/>
      <c r="AH157" s="613"/>
      <c r="AI157" s="613"/>
      <c r="AJ157" s="613"/>
      <c r="AK157" s="613"/>
      <c r="AL157" s="613"/>
      <c r="AM157" s="613"/>
      <c r="AN157" s="613"/>
      <c r="AO157" s="613"/>
      <c r="AP157" s="613"/>
      <c r="AQ157" s="613"/>
      <c r="AR157" s="613"/>
      <c r="AS157" s="613"/>
      <c r="AT157" s="613"/>
      <c r="AU157" s="613"/>
      <c r="AV157" s="613"/>
      <c r="AW157" s="613"/>
      <c r="AX157" s="613"/>
    </row>
    <row r="158" spans="1:50" s="590" customFormat="1" ht="91.9" customHeight="1" x14ac:dyDescent="0.25">
      <c r="A158" s="662"/>
      <c r="B158" s="662"/>
      <c r="C158" s="662"/>
      <c r="D158" s="662"/>
      <c r="E158" s="663"/>
      <c r="F158" s="622"/>
      <c r="G158" s="622"/>
      <c r="H158" s="622"/>
      <c r="I158" s="623"/>
      <c r="J158" s="623"/>
      <c r="K158" s="664"/>
      <c r="L158" s="613"/>
      <c r="M158" s="613"/>
      <c r="N158" s="613"/>
      <c r="O158" s="613"/>
      <c r="P158" s="613"/>
      <c r="Q158" s="613"/>
      <c r="R158" s="613"/>
      <c r="S158" s="613"/>
      <c r="T158" s="613"/>
      <c r="U158" s="613"/>
      <c r="V158" s="613"/>
      <c r="W158" s="613"/>
      <c r="X158" s="613"/>
      <c r="Y158" s="613"/>
      <c r="Z158" s="613"/>
      <c r="AA158" s="613"/>
      <c r="AB158" s="613"/>
      <c r="AC158" s="613"/>
      <c r="AD158" s="613"/>
      <c r="AE158" s="613"/>
      <c r="AF158" s="613"/>
      <c r="AG158" s="613"/>
      <c r="AH158" s="613"/>
      <c r="AI158" s="613"/>
      <c r="AJ158" s="613"/>
      <c r="AK158" s="613"/>
      <c r="AL158" s="613"/>
      <c r="AM158" s="613"/>
      <c r="AN158" s="613"/>
      <c r="AO158" s="613"/>
      <c r="AP158" s="613"/>
      <c r="AQ158" s="613"/>
      <c r="AR158" s="613"/>
      <c r="AS158" s="613"/>
      <c r="AT158" s="613"/>
      <c r="AU158" s="613"/>
      <c r="AV158" s="613"/>
      <c r="AW158" s="613"/>
      <c r="AX158" s="613"/>
    </row>
    <row r="159" spans="1:50" ht="45" customHeight="1" x14ac:dyDescent="0.25">
      <c r="A159" s="544"/>
      <c r="B159" s="544"/>
      <c r="C159" s="544"/>
      <c r="D159" s="544"/>
      <c r="E159" s="545"/>
      <c r="F159" s="546"/>
      <c r="G159" s="546"/>
      <c r="H159" s="546"/>
      <c r="I159" s="547"/>
      <c r="J159" s="547"/>
      <c r="K159" s="548"/>
    </row>
    <row r="160" spans="1:50" ht="408.6" customHeight="1" x14ac:dyDescent="0.25">
      <c r="A160" s="533"/>
      <c r="B160" s="533"/>
      <c r="C160" s="533"/>
      <c r="D160" s="533"/>
      <c r="E160" s="534"/>
      <c r="F160" s="535"/>
      <c r="G160" s="535"/>
      <c r="H160" s="535"/>
      <c r="I160" s="536"/>
      <c r="J160" s="536"/>
      <c r="K160" s="600"/>
    </row>
    <row r="161" spans="1:12" ht="90.6" customHeight="1" x14ac:dyDescent="0.25">
      <c r="A161" s="539"/>
      <c r="B161" s="539"/>
      <c r="C161" s="539"/>
      <c r="D161" s="539"/>
      <c r="E161" s="540"/>
      <c r="F161" s="541"/>
      <c r="G161" s="541"/>
      <c r="H161" s="541"/>
      <c r="I161" s="542"/>
      <c r="J161" s="542"/>
      <c r="K161" s="597"/>
    </row>
    <row r="162" spans="1:12" ht="55.9" customHeight="1" x14ac:dyDescent="0.25">
      <c r="A162" s="539"/>
      <c r="B162" s="539"/>
      <c r="C162" s="539"/>
      <c r="D162" s="539"/>
      <c r="E162" s="540"/>
      <c r="F162" s="541"/>
      <c r="G162" s="541"/>
      <c r="H162" s="541"/>
      <c r="I162" s="542"/>
      <c r="J162" s="542"/>
      <c r="K162" s="597"/>
    </row>
    <row r="163" spans="1:12" ht="35.450000000000003" customHeight="1" x14ac:dyDescent="0.25">
      <c r="A163" s="573"/>
      <c r="B163" s="573"/>
      <c r="C163" s="573"/>
      <c r="D163" s="573"/>
      <c r="E163" s="550"/>
      <c r="F163" s="574"/>
      <c r="G163" s="574"/>
      <c r="H163" s="574"/>
      <c r="I163" s="575"/>
      <c r="J163" s="575"/>
      <c r="K163" s="553"/>
    </row>
    <row r="164" spans="1:12" ht="259.89999999999998" customHeight="1" x14ac:dyDescent="0.25">
      <c r="A164" s="533"/>
      <c r="B164" s="533"/>
      <c r="C164" s="533"/>
      <c r="D164" s="533"/>
      <c r="E164" s="534"/>
      <c r="F164" s="535"/>
      <c r="G164" s="535"/>
      <c r="H164" s="535"/>
      <c r="I164" s="536"/>
      <c r="J164" s="536"/>
      <c r="K164" s="534"/>
    </row>
    <row r="165" spans="1:12" x14ac:dyDescent="0.25">
      <c r="A165" s="539"/>
      <c r="B165" s="539"/>
      <c r="C165" s="539"/>
      <c r="D165" s="539"/>
      <c r="E165" s="540"/>
      <c r="F165" s="541"/>
      <c r="G165" s="541"/>
      <c r="H165" s="541"/>
      <c r="I165" s="542"/>
      <c r="J165" s="542"/>
      <c r="K165" s="540"/>
    </row>
    <row r="166" spans="1:12" x14ac:dyDescent="0.25">
      <c r="A166" s="573"/>
      <c r="B166" s="573"/>
      <c r="C166" s="573"/>
      <c r="D166" s="573"/>
      <c r="E166" s="614"/>
      <c r="F166" s="574"/>
      <c r="G166" s="574"/>
      <c r="H166" s="574"/>
      <c r="I166" s="575"/>
      <c r="J166" s="575"/>
      <c r="K166" s="553"/>
    </row>
    <row r="167" spans="1:12" ht="60.6" customHeight="1" x14ac:dyDescent="0.25">
      <c r="A167" s="539"/>
      <c r="B167" s="539"/>
      <c r="C167" s="539"/>
      <c r="D167" s="539"/>
      <c r="E167" s="615"/>
      <c r="F167" s="541"/>
      <c r="G167" s="541"/>
      <c r="H167" s="541"/>
      <c r="I167" s="542"/>
      <c r="J167" s="542"/>
      <c r="K167" s="562"/>
    </row>
    <row r="168" spans="1:12" s="538" customFormat="1" ht="64.150000000000006" customHeight="1" x14ac:dyDescent="0.25">
      <c r="A168" s="544"/>
      <c r="B168" s="544"/>
      <c r="C168" s="544"/>
      <c r="D168" s="544"/>
      <c r="E168" s="616"/>
      <c r="F168" s="546"/>
      <c r="G168" s="546"/>
      <c r="H168" s="546"/>
      <c r="I168" s="547"/>
      <c r="J168" s="547"/>
      <c r="K168" s="548"/>
      <c r="L168" s="530"/>
    </row>
    <row r="169" spans="1:12" s="538" customFormat="1" x14ac:dyDescent="0.25">
      <c r="A169" s="620"/>
      <c r="B169" s="620"/>
      <c r="C169" s="620"/>
      <c r="D169" s="620"/>
      <c r="E169" s="621"/>
      <c r="F169" s="622"/>
      <c r="G169" s="622"/>
      <c r="H169" s="622"/>
      <c r="I169" s="623"/>
      <c r="J169" s="623"/>
      <c r="K169" s="624"/>
      <c r="L169" s="530"/>
    </row>
    <row r="170" spans="1:12" s="538" customFormat="1" ht="48.6" customHeight="1" x14ac:dyDescent="0.25">
      <c r="A170" s="544"/>
      <c r="B170" s="544"/>
      <c r="C170" s="544"/>
      <c r="D170" s="544"/>
      <c r="E170" s="616"/>
      <c r="F170" s="546"/>
      <c r="G170" s="546"/>
      <c r="H170" s="546"/>
      <c r="I170" s="547"/>
      <c r="J170" s="547"/>
      <c r="K170" s="548"/>
      <c r="L170" s="530"/>
    </row>
    <row r="171" spans="1:12" s="538" customFormat="1" x14ac:dyDescent="0.25">
      <c r="A171" s="533"/>
      <c r="B171" s="533"/>
      <c r="C171" s="533"/>
      <c r="D171" s="533"/>
      <c r="E171" s="617"/>
      <c r="F171" s="535"/>
      <c r="G171" s="535"/>
      <c r="H171" s="535"/>
      <c r="I171" s="536"/>
      <c r="J171" s="536"/>
      <c r="K171" s="537"/>
      <c r="L171" s="530"/>
    </row>
    <row r="172" spans="1:12" s="538" customFormat="1" x14ac:dyDescent="0.25">
      <c r="A172" s="620"/>
      <c r="B172" s="620"/>
      <c r="C172" s="620"/>
      <c r="D172" s="620"/>
      <c r="E172" s="621"/>
      <c r="F172" s="622"/>
      <c r="G172" s="622"/>
      <c r="H172" s="622"/>
      <c r="I172" s="623"/>
      <c r="J172" s="623"/>
      <c r="K172" s="624"/>
      <c r="L172" s="530"/>
    </row>
    <row r="173" spans="1:12" s="590" customFormat="1" ht="33" customHeight="1" x14ac:dyDescent="0.25">
      <c r="A173" s="544"/>
      <c r="B173" s="544"/>
      <c r="C173" s="544"/>
      <c r="D173" s="544"/>
      <c r="E173" s="616"/>
      <c r="F173" s="546"/>
      <c r="G173" s="546"/>
      <c r="H173" s="546"/>
      <c r="I173" s="547"/>
      <c r="J173" s="547"/>
      <c r="K173" s="548"/>
      <c r="L173" s="530"/>
    </row>
    <row r="174" spans="1:12" s="590" customFormat="1" ht="51" customHeight="1" x14ac:dyDescent="0.25">
      <c r="A174" s="539"/>
      <c r="B174" s="539"/>
      <c r="C174" s="539"/>
      <c r="D174" s="539"/>
      <c r="E174" s="615"/>
      <c r="F174" s="541"/>
      <c r="G174" s="541"/>
      <c r="H174" s="541"/>
      <c r="I174" s="542"/>
      <c r="J174" s="542"/>
      <c r="K174" s="562"/>
      <c r="L174" s="530"/>
    </row>
    <row r="175" spans="1:12" s="590" customFormat="1" ht="33" customHeight="1" x14ac:dyDescent="0.25">
      <c r="A175" s="620"/>
      <c r="B175" s="620"/>
      <c r="C175" s="620"/>
      <c r="D175" s="620"/>
      <c r="E175" s="621"/>
      <c r="F175" s="622"/>
      <c r="G175" s="622"/>
      <c r="H175" s="622"/>
      <c r="I175" s="623"/>
      <c r="J175" s="623"/>
      <c r="K175" s="624"/>
      <c r="L175" s="530"/>
    </row>
    <row r="176" spans="1:12" s="538" customFormat="1" ht="76.150000000000006" customHeight="1" x14ac:dyDescent="0.25">
      <c r="A176" s="544"/>
      <c r="B176" s="544"/>
      <c r="C176" s="544"/>
      <c r="D176" s="544"/>
      <c r="E176" s="616"/>
      <c r="F176" s="546"/>
      <c r="G176" s="546"/>
      <c r="H176" s="546"/>
      <c r="I176" s="547"/>
      <c r="J176" s="547"/>
      <c r="K176" s="548"/>
      <c r="L176" s="530"/>
    </row>
    <row r="177" spans="1:12" s="538" customFormat="1" x14ac:dyDescent="0.25">
      <c r="A177" s="620"/>
      <c r="B177" s="620"/>
      <c r="C177" s="620"/>
      <c r="D177" s="620"/>
      <c r="E177" s="621"/>
      <c r="F177" s="622"/>
      <c r="G177" s="622"/>
      <c r="H177" s="622"/>
      <c r="I177" s="623"/>
      <c r="J177" s="623"/>
      <c r="K177" s="624"/>
      <c r="L177" s="530"/>
    </row>
    <row r="178" spans="1:12" s="538" customFormat="1" x14ac:dyDescent="0.25">
      <c r="A178" s="544"/>
      <c r="B178" s="544"/>
      <c r="C178" s="544"/>
      <c r="D178" s="544"/>
      <c r="E178" s="616"/>
      <c r="F178" s="546"/>
      <c r="G178" s="546"/>
      <c r="H178" s="546"/>
      <c r="I178" s="547"/>
      <c r="J178" s="547"/>
      <c r="K178" s="548"/>
      <c r="L178" s="530"/>
    </row>
    <row r="179" spans="1:12" s="538" customFormat="1" x14ac:dyDescent="0.25">
      <c r="A179" s="539"/>
      <c r="B179" s="539"/>
      <c r="C179" s="539"/>
      <c r="D179" s="539"/>
      <c r="E179" s="615"/>
      <c r="F179" s="541"/>
      <c r="G179" s="541"/>
      <c r="H179" s="541"/>
      <c r="I179" s="542"/>
      <c r="J179" s="542"/>
      <c r="K179" s="562"/>
      <c r="L179" s="530"/>
    </row>
    <row r="180" spans="1:12" s="538" customFormat="1" x14ac:dyDescent="0.25">
      <c r="A180" s="539"/>
      <c r="B180" s="539"/>
      <c r="C180" s="539"/>
      <c r="D180" s="539"/>
      <c r="E180" s="615"/>
      <c r="F180" s="541"/>
      <c r="G180" s="541"/>
      <c r="H180" s="541"/>
      <c r="I180" s="542"/>
      <c r="J180" s="542"/>
      <c r="K180" s="562"/>
      <c r="L180" s="530"/>
    </row>
    <row r="181" spans="1:12" s="538" customFormat="1" x14ac:dyDescent="0.25">
      <c r="A181" s="533"/>
      <c r="B181" s="533"/>
      <c r="C181" s="533"/>
      <c r="D181" s="533"/>
      <c r="E181" s="617"/>
      <c r="F181" s="535"/>
      <c r="G181" s="535"/>
      <c r="H181" s="535"/>
      <c r="I181" s="536"/>
      <c r="J181" s="536"/>
      <c r="K181" s="537"/>
      <c r="L181" s="530"/>
    </row>
    <row r="182" spans="1:12" s="538" customFormat="1" x14ac:dyDescent="0.25">
      <c r="A182" s="567"/>
      <c r="B182" s="567"/>
      <c r="C182" s="567"/>
      <c r="D182" s="567"/>
      <c r="E182" s="618"/>
      <c r="F182" s="569"/>
      <c r="G182" s="569"/>
      <c r="H182" s="569"/>
      <c r="I182" s="570"/>
      <c r="J182" s="570"/>
      <c r="K182" s="571"/>
      <c r="L182" s="530"/>
    </row>
    <row r="183" spans="1:12" s="538" customFormat="1" x14ac:dyDescent="0.25">
      <c r="A183" s="567"/>
      <c r="B183" s="567"/>
      <c r="C183" s="567"/>
      <c r="D183" s="567"/>
      <c r="E183" s="618"/>
      <c r="F183" s="569"/>
      <c r="G183" s="569"/>
      <c r="H183" s="569"/>
      <c r="I183" s="570"/>
      <c r="J183" s="570"/>
      <c r="K183" s="571"/>
      <c r="L183" s="530"/>
    </row>
    <row r="184" spans="1:12" s="538" customFormat="1" x14ac:dyDescent="0.25">
      <c r="A184" s="533"/>
      <c r="B184" s="533"/>
      <c r="C184" s="533"/>
      <c r="D184" s="533"/>
      <c r="E184" s="617"/>
      <c r="F184" s="535"/>
      <c r="G184" s="535"/>
      <c r="H184" s="535"/>
      <c r="I184" s="536"/>
      <c r="J184" s="536"/>
      <c r="K184" s="537"/>
      <c r="L184" s="530"/>
    </row>
    <row r="185" spans="1:12" s="538" customFormat="1" x14ac:dyDescent="0.25">
      <c r="A185" s="567"/>
      <c r="B185" s="567"/>
      <c r="C185" s="567"/>
      <c r="D185" s="567"/>
      <c r="E185" s="618"/>
      <c r="F185" s="569"/>
      <c r="G185" s="569"/>
      <c r="H185" s="569"/>
      <c r="I185" s="570"/>
      <c r="J185" s="570"/>
      <c r="K185" s="571"/>
      <c r="L185" s="530"/>
    </row>
    <row r="186" spans="1:12" s="538" customFormat="1" ht="58.9" customHeight="1" x14ac:dyDescent="0.25">
      <c r="A186" s="567"/>
      <c r="B186" s="567"/>
      <c r="C186" s="567"/>
      <c r="D186" s="567"/>
      <c r="E186" s="618"/>
      <c r="F186" s="569"/>
      <c r="G186" s="569"/>
      <c r="H186" s="569"/>
      <c r="I186" s="570"/>
      <c r="J186" s="570"/>
      <c r="K186" s="571"/>
      <c r="L186" s="530"/>
    </row>
    <row r="187" spans="1:12" s="538" customFormat="1" x14ac:dyDescent="0.25">
      <c r="A187" s="533"/>
      <c r="B187" s="533"/>
      <c r="C187" s="533"/>
      <c r="D187" s="533"/>
      <c r="E187" s="617"/>
      <c r="F187" s="535"/>
      <c r="G187" s="535"/>
      <c r="H187" s="535"/>
      <c r="I187" s="536"/>
      <c r="J187" s="536"/>
      <c r="K187" s="537"/>
      <c r="L187" s="530"/>
    </row>
    <row r="188" spans="1:12" s="538" customFormat="1" x14ac:dyDescent="0.25">
      <c r="A188" s="620"/>
      <c r="B188" s="620"/>
      <c r="C188" s="620"/>
      <c r="D188" s="620"/>
      <c r="E188" s="621"/>
      <c r="F188" s="622"/>
      <c r="G188" s="622"/>
      <c r="H188" s="622"/>
      <c r="I188" s="623"/>
      <c r="J188" s="623"/>
      <c r="K188" s="624"/>
      <c r="L188" s="530"/>
    </row>
    <row r="189" spans="1:12" s="538" customFormat="1" x14ac:dyDescent="0.25">
      <c r="A189" s="544"/>
      <c r="B189" s="544"/>
      <c r="C189" s="544"/>
      <c r="D189" s="544"/>
      <c r="E189" s="616"/>
      <c r="F189" s="546"/>
      <c r="G189" s="546"/>
      <c r="H189" s="546"/>
      <c r="I189" s="547"/>
      <c r="J189" s="547"/>
      <c r="K189" s="548"/>
      <c r="L189" s="530"/>
    </row>
    <row r="190" spans="1:12" s="538" customFormat="1" ht="396" customHeight="1" x14ac:dyDescent="0.25">
      <c r="A190" s="539"/>
      <c r="B190" s="539"/>
      <c r="C190" s="539"/>
      <c r="D190" s="539"/>
      <c r="E190" s="615"/>
      <c r="F190" s="541"/>
      <c r="G190" s="541"/>
      <c r="H190" s="541"/>
      <c r="I190" s="542"/>
      <c r="J190" s="542"/>
      <c r="K190" s="562"/>
      <c r="L190" s="530"/>
    </row>
    <row r="191" spans="1:12" s="538" customFormat="1" x14ac:dyDescent="0.25">
      <c r="A191" s="567"/>
      <c r="B191" s="567"/>
      <c r="C191" s="567"/>
      <c r="D191" s="567"/>
      <c r="E191" s="618"/>
      <c r="F191" s="569"/>
      <c r="G191" s="569"/>
      <c r="H191" s="569"/>
      <c r="I191" s="570"/>
      <c r="J191" s="570"/>
      <c r="K191" s="571"/>
      <c r="L191" s="530"/>
    </row>
    <row r="192" spans="1:12" s="538" customFormat="1" x14ac:dyDescent="0.25">
      <c r="A192" s="539"/>
      <c r="B192" s="539"/>
      <c r="C192" s="539"/>
      <c r="D192" s="539"/>
      <c r="E192" s="615"/>
      <c r="F192" s="541"/>
      <c r="G192" s="541"/>
      <c r="H192" s="541"/>
      <c r="I192" s="542"/>
      <c r="J192" s="542"/>
      <c r="K192" s="562"/>
      <c r="L192" s="530"/>
    </row>
    <row r="193" spans="1:12" s="538" customFormat="1" ht="31.15" customHeight="1" x14ac:dyDescent="0.25">
      <c r="A193" s="544"/>
      <c r="B193" s="544"/>
      <c r="C193" s="544"/>
      <c r="D193" s="544"/>
      <c r="E193" s="616"/>
      <c r="F193" s="546"/>
      <c r="G193" s="546"/>
      <c r="H193" s="546"/>
      <c r="I193" s="547"/>
      <c r="J193" s="547"/>
      <c r="K193" s="548"/>
      <c r="L193" s="530"/>
    </row>
    <row r="194" spans="1:12" s="538" customFormat="1" ht="31.15" customHeight="1" x14ac:dyDescent="0.25">
      <c r="A194" s="539"/>
      <c r="B194" s="539"/>
      <c r="C194" s="539"/>
      <c r="D194" s="539"/>
      <c r="E194" s="615"/>
      <c r="F194" s="541"/>
      <c r="G194" s="541"/>
      <c r="H194" s="541"/>
      <c r="I194" s="542"/>
      <c r="J194" s="542"/>
      <c r="K194" s="562"/>
      <c r="L194" s="530"/>
    </row>
    <row r="195" spans="1:12" s="538" customFormat="1" x14ac:dyDescent="0.25">
      <c r="A195" s="533"/>
      <c r="B195" s="533"/>
      <c r="C195" s="533"/>
      <c r="D195" s="533"/>
      <c r="E195" s="617"/>
      <c r="F195" s="535"/>
      <c r="G195" s="535"/>
      <c r="H195" s="535"/>
      <c r="I195" s="536"/>
      <c r="J195" s="536"/>
      <c r="K195" s="537"/>
      <c r="L195" s="530"/>
    </row>
    <row r="196" spans="1:12" s="538" customFormat="1" x14ac:dyDescent="0.25">
      <c r="A196" s="539"/>
      <c r="B196" s="539"/>
      <c r="C196" s="539"/>
      <c r="D196" s="539"/>
      <c r="E196" s="615"/>
      <c r="F196" s="541"/>
      <c r="G196" s="541"/>
      <c r="H196" s="541"/>
      <c r="I196" s="542"/>
      <c r="J196" s="542"/>
      <c r="K196" s="619"/>
      <c r="L196" s="530"/>
    </row>
    <row r="197" spans="1:12" s="538" customFormat="1" x14ac:dyDescent="0.25">
      <c r="A197" s="539"/>
      <c r="B197" s="539"/>
      <c r="C197" s="539"/>
      <c r="D197" s="539"/>
      <c r="E197" s="615"/>
      <c r="F197" s="541"/>
      <c r="G197" s="541"/>
      <c r="H197" s="541"/>
      <c r="I197" s="542"/>
      <c r="J197" s="542"/>
      <c r="K197" s="562"/>
      <c r="L197" s="530"/>
    </row>
    <row r="198" spans="1:12" s="538" customFormat="1" x14ac:dyDescent="0.25">
      <c r="A198" s="544"/>
      <c r="B198" s="544"/>
      <c r="C198" s="544"/>
      <c r="D198" s="544"/>
      <c r="E198" s="616"/>
      <c r="F198" s="546"/>
      <c r="G198" s="546"/>
      <c r="H198" s="546"/>
      <c r="I198" s="547"/>
      <c r="J198" s="547"/>
      <c r="K198" s="548"/>
      <c r="L198" s="530"/>
    </row>
    <row r="199" spans="1:12" s="538" customFormat="1" x14ac:dyDescent="0.25">
      <c r="A199" s="620"/>
      <c r="B199" s="620"/>
      <c r="C199" s="620"/>
      <c r="D199" s="620"/>
      <c r="E199" s="621"/>
      <c r="F199" s="622"/>
      <c r="G199" s="622"/>
      <c r="H199" s="622"/>
      <c r="I199" s="623"/>
      <c r="J199" s="623"/>
      <c r="K199" s="624"/>
      <c r="L199" s="530"/>
    </row>
    <row r="200" spans="1:12" s="538" customFormat="1" x14ac:dyDescent="0.25">
      <c r="A200" s="544"/>
      <c r="B200" s="544"/>
      <c r="C200" s="544"/>
      <c r="D200" s="544"/>
      <c r="E200" s="616"/>
      <c r="F200" s="546"/>
      <c r="G200" s="546"/>
      <c r="H200" s="546"/>
      <c r="I200" s="547"/>
      <c r="J200" s="547"/>
      <c r="K200" s="548"/>
      <c r="L200" s="530"/>
    </row>
    <row r="201" spans="1:12" s="538" customFormat="1" x14ac:dyDescent="0.25">
      <c r="A201" s="539"/>
      <c r="B201" s="539"/>
      <c r="C201" s="539"/>
      <c r="D201" s="539"/>
      <c r="E201" s="615"/>
      <c r="F201" s="541"/>
      <c r="G201" s="541"/>
      <c r="H201" s="541"/>
      <c r="I201" s="542"/>
      <c r="J201" s="542"/>
      <c r="K201" s="562"/>
      <c r="L201" s="530"/>
    </row>
    <row r="202" spans="1:12" s="538" customFormat="1" x14ac:dyDescent="0.25">
      <c r="A202" s="620"/>
      <c r="B202" s="620"/>
      <c r="C202" s="620"/>
      <c r="D202" s="620"/>
      <c r="E202" s="621"/>
      <c r="F202" s="622"/>
      <c r="G202" s="622"/>
      <c r="H202" s="622"/>
      <c r="I202" s="623"/>
      <c r="J202" s="623"/>
      <c r="K202" s="624"/>
      <c r="L202" s="530"/>
    </row>
    <row r="203" spans="1:12" s="538" customFormat="1" x14ac:dyDescent="0.25">
      <c r="A203" s="544"/>
      <c r="B203" s="544"/>
      <c r="C203" s="544"/>
      <c r="D203" s="544"/>
      <c r="E203" s="616"/>
      <c r="F203" s="546"/>
      <c r="G203" s="546"/>
      <c r="H203" s="546"/>
      <c r="I203" s="547"/>
      <c r="J203" s="547"/>
      <c r="K203" s="548"/>
      <c r="L203" s="530"/>
    </row>
    <row r="204" spans="1:12" s="538" customFormat="1" x14ac:dyDescent="0.25">
      <c r="A204" s="539"/>
      <c r="B204" s="539"/>
      <c r="C204" s="539"/>
      <c r="D204" s="539"/>
      <c r="E204" s="615"/>
      <c r="F204" s="541"/>
      <c r="G204" s="541"/>
      <c r="H204" s="541"/>
      <c r="I204" s="542"/>
      <c r="J204" s="542"/>
      <c r="K204" s="562"/>
      <c r="L204" s="530"/>
    </row>
    <row r="205" spans="1:12" s="538" customFormat="1" x14ac:dyDescent="0.25">
      <c r="A205" s="620"/>
      <c r="B205" s="620"/>
      <c r="C205" s="620"/>
      <c r="D205" s="620"/>
      <c r="E205" s="621"/>
      <c r="F205" s="622"/>
      <c r="G205" s="622"/>
      <c r="H205" s="622"/>
      <c r="I205" s="623"/>
      <c r="J205" s="623"/>
      <c r="K205" s="624"/>
      <c r="L205" s="530"/>
    </row>
    <row r="206" spans="1:12" s="538" customFormat="1" x14ac:dyDescent="0.25">
      <c r="A206" s="544"/>
      <c r="B206" s="544"/>
      <c r="C206" s="544"/>
      <c r="D206" s="544"/>
      <c r="E206" s="616"/>
      <c r="F206" s="546"/>
      <c r="G206" s="546"/>
      <c r="H206" s="546"/>
      <c r="I206" s="547"/>
      <c r="J206" s="547"/>
      <c r="K206" s="548"/>
      <c r="L206" s="530"/>
    </row>
    <row r="207" spans="1:12" s="538" customFormat="1" x14ac:dyDescent="0.25">
      <c r="A207" s="620"/>
      <c r="B207" s="620"/>
      <c r="C207" s="620"/>
      <c r="D207" s="620"/>
      <c r="E207" s="621"/>
      <c r="F207" s="622"/>
      <c r="G207" s="622"/>
      <c r="H207" s="622"/>
      <c r="I207" s="623"/>
      <c r="J207" s="623"/>
      <c r="K207" s="624"/>
      <c r="L207" s="530"/>
    </row>
    <row r="208" spans="1:12" s="538" customFormat="1" x14ac:dyDescent="0.25">
      <c r="A208" s="544"/>
      <c r="B208" s="544"/>
      <c r="C208" s="544"/>
      <c r="D208" s="544"/>
      <c r="E208" s="616"/>
      <c r="F208" s="546"/>
      <c r="G208" s="546"/>
      <c r="H208" s="546"/>
      <c r="I208" s="547"/>
      <c r="J208" s="547"/>
      <c r="K208" s="548"/>
      <c r="L208" s="530"/>
    </row>
    <row r="209" spans="1:12" s="538" customFormat="1" ht="32.450000000000003" customHeight="1" x14ac:dyDescent="0.25">
      <c r="A209" s="620"/>
      <c r="B209" s="620"/>
      <c r="C209" s="620"/>
      <c r="D209" s="620"/>
      <c r="E209" s="621"/>
      <c r="F209" s="622"/>
      <c r="G209" s="622"/>
      <c r="H209" s="622"/>
      <c r="I209" s="623"/>
      <c r="J209" s="623"/>
      <c r="K209" s="624"/>
      <c r="L209" s="530"/>
    </row>
    <row r="210" spans="1:12" s="538" customFormat="1" x14ac:dyDescent="0.25">
      <c r="A210" s="544"/>
      <c r="B210" s="544"/>
      <c r="C210" s="544"/>
      <c r="D210" s="544"/>
      <c r="E210" s="616"/>
      <c r="F210" s="546"/>
      <c r="G210" s="546"/>
      <c r="H210" s="546"/>
      <c r="I210" s="547"/>
      <c r="J210" s="547"/>
      <c r="K210" s="548"/>
      <c r="L210" s="530"/>
    </row>
    <row r="211" spans="1:12" s="538" customFormat="1" x14ac:dyDescent="0.25">
      <c r="A211" s="620"/>
      <c r="B211" s="620"/>
      <c r="C211" s="620"/>
      <c r="D211" s="620"/>
      <c r="E211" s="621"/>
      <c r="F211" s="622"/>
      <c r="G211" s="622"/>
      <c r="H211" s="622"/>
      <c r="I211" s="623"/>
      <c r="J211" s="623"/>
      <c r="K211" s="624"/>
      <c r="L211" s="530"/>
    </row>
    <row r="212" spans="1:12" s="538" customFormat="1" x14ac:dyDescent="0.25">
      <c r="A212" s="544"/>
      <c r="B212" s="544"/>
      <c r="C212" s="544"/>
      <c r="D212" s="544"/>
      <c r="E212" s="616"/>
      <c r="F212" s="546"/>
      <c r="G212" s="546"/>
      <c r="H212" s="546"/>
      <c r="I212" s="547"/>
      <c r="J212" s="547"/>
      <c r="K212" s="548"/>
      <c r="L212" s="530"/>
    </row>
    <row r="213" spans="1:12" s="538" customFormat="1" ht="49.15" customHeight="1" x14ac:dyDescent="0.25">
      <c r="A213" s="620"/>
      <c r="B213" s="620"/>
      <c r="C213" s="620"/>
      <c r="D213" s="620"/>
      <c r="E213" s="621"/>
      <c r="F213" s="622"/>
      <c r="G213" s="622"/>
      <c r="H213" s="622"/>
      <c r="I213" s="623"/>
      <c r="J213" s="623"/>
      <c r="K213" s="624"/>
      <c r="L213" s="530"/>
    </row>
    <row r="214" spans="1:12" s="538" customFormat="1" ht="259.14999999999998" customHeight="1" x14ac:dyDescent="0.25">
      <c r="A214" s="544"/>
      <c r="B214" s="544"/>
      <c r="C214" s="544"/>
      <c r="D214" s="544"/>
      <c r="E214" s="616"/>
      <c r="F214" s="546"/>
      <c r="G214" s="546"/>
      <c r="H214" s="546"/>
      <c r="I214" s="547"/>
      <c r="J214" s="547"/>
      <c r="K214" s="548"/>
      <c r="L214" s="530"/>
    </row>
    <row r="215" spans="1:12" s="538" customFormat="1" x14ac:dyDescent="0.25">
      <c r="A215" s="620"/>
      <c r="B215" s="620"/>
      <c r="C215" s="620"/>
      <c r="D215" s="620"/>
      <c r="E215" s="621"/>
      <c r="F215" s="622"/>
      <c r="G215" s="622"/>
      <c r="H215" s="622"/>
      <c r="I215" s="623"/>
      <c r="J215" s="623"/>
      <c r="K215" s="624"/>
      <c r="L215" s="530"/>
    </row>
    <row r="216" spans="1:12" s="538" customFormat="1" x14ac:dyDescent="0.25">
      <c r="A216" s="544"/>
      <c r="B216" s="544"/>
      <c r="C216" s="544"/>
      <c r="D216" s="544"/>
      <c r="E216" s="616"/>
      <c r="F216" s="546"/>
      <c r="G216" s="546"/>
      <c r="H216" s="546"/>
      <c r="I216" s="547"/>
      <c r="J216" s="547"/>
      <c r="K216" s="548"/>
      <c r="L216" s="530"/>
    </row>
    <row r="217" spans="1:12" s="538" customFormat="1" ht="30.6" customHeight="1" x14ac:dyDescent="0.25">
      <c r="A217" s="620"/>
      <c r="B217" s="620"/>
      <c r="C217" s="620"/>
      <c r="D217" s="620"/>
      <c r="E217" s="621"/>
      <c r="F217" s="622"/>
      <c r="G217" s="622"/>
      <c r="H217" s="622"/>
      <c r="I217" s="623"/>
      <c r="J217" s="623"/>
      <c r="K217" s="624"/>
      <c r="L217" s="530"/>
    </row>
    <row r="218" spans="1:12" s="538" customFormat="1" x14ac:dyDescent="0.25">
      <c r="A218" s="544"/>
      <c r="B218" s="544"/>
      <c r="C218" s="544"/>
      <c r="D218" s="544"/>
      <c r="E218" s="616"/>
      <c r="F218" s="546"/>
      <c r="G218" s="546"/>
      <c r="H218" s="546"/>
      <c r="I218" s="547"/>
      <c r="J218" s="547"/>
      <c r="K218" s="548"/>
      <c r="L218" s="530"/>
    </row>
    <row r="219" spans="1:12" s="538" customFormat="1" x14ac:dyDescent="0.25">
      <c r="A219" s="620"/>
      <c r="B219" s="620"/>
      <c r="C219" s="620"/>
      <c r="D219" s="620"/>
      <c r="E219" s="621"/>
      <c r="F219" s="622"/>
      <c r="G219" s="622"/>
      <c r="H219" s="622"/>
      <c r="I219" s="623"/>
      <c r="J219" s="623"/>
      <c r="K219" s="624"/>
      <c r="L219" s="530"/>
    </row>
    <row r="220" spans="1:12" s="538" customFormat="1" ht="45.6" customHeight="1" x14ac:dyDescent="0.25">
      <c r="A220" s="567"/>
      <c r="B220" s="567"/>
      <c r="C220" s="567"/>
      <c r="D220" s="567"/>
      <c r="E220" s="618"/>
      <c r="F220" s="569"/>
      <c r="G220" s="569"/>
      <c r="H220" s="569"/>
      <c r="I220" s="570"/>
      <c r="J220" s="570"/>
      <c r="K220" s="571"/>
      <c r="L220" s="530"/>
    </row>
    <row r="221" spans="1:12" s="538" customFormat="1" ht="45.6" customHeight="1" x14ac:dyDescent="0.25">
      <c r="A221" s="620"/>
      <c r="B221" s="620"/>
      <c r="C221" s="620"/>
      <c r="D221" s="620"/>
      <c r="E221" s="621"/>
      <c r="F221" s="622"/>
      <c r="G221" s="622"/>
      <c r="H221" s="622"/>
      <c r="I221" s="623"/>
      <c r="J221" s="623"/>
      <c r="K221" s="624"/>
      <c r="L221" s="530"/>
    </row>
    <row r="222" spans="1:12" s="538" customFormat="1" ht="49.9" customHeight="1" x14ac:dyDescent="0.25">
      <c r="A222" s="544"/>
      <c r="B222" s="544"/>
      <c r="C222" s="544"/>
      <c r="D222" s="544"/>
      <c r="E222" s="616"/>
      <c r="F222" s="546"/>
      <c r="G222" s="546"/>
      <c r="H222" s="546"/>
      <c r="I222" s="547"/>
      <c r="J222" s="547"/>
      <c r="K222" s="548"/>
      <c r="L222" s="530"/>
    </row>
    <row r="223" spans="1:12" s="538" customFormat="1" x14ac:dyDescent="0.25">
      <c r="A223" s="620"/>
      <c r="B223" s="620"/>
      <c r="C223" s="620"/>
      <c r="D223" s="620"/>
      <c r="E223" s="621"/>
      <c r="F223" s="622"/>
      <c r="G223" s="622"/>
      <c r="H223" s="622"/>
      <c r="I223" s="623"/>
      <c r="J223" s="623"/>
      <c r="K223" s="624"/>
      <c r="L223" s="530"/>
    </row>
    <row r="224" spans="1:12" s="538" customFormat="1" ht="396" customHeight="1" x14ac:dyDescent="0.25">
      <c r="A224" s="544"/>
      <c r="B224" s="544"/>
      <c r="C224" s="544"/>
      <c r="D224" s="544"/>
      <c r="E224" s="616"/>
      <c r="F224" s="546"/>
      <c r="G224" s="546"/>
      <c r="H224" s="546"/>
      <c r="I224" s="547"/>
      <c r="J224" s="547"/>
      <c r="K224" s="548"/>
      <c r="L224" s="530"/>
    </row>
    <row r="225" spans="1:12" s="538" customFormat="1" x14ac:dyDescent="0.25">
      <c r="A225" s="533"/>
      <c r="B225" s="533"/>
      <c r="C225" s="533"/>
      <c r="D225" s="533"/>
      <c r="E225" s="617"/>
      <c r="F225" s="535"/>
      <c r="G225" s="535"/>
      <c r="H225" s="535"/>
      <c r="I225" s="536"/>
      <c r="J225" s="536"/>
      <c r="K225" s="537"/>
      <c r="L225" s="530"/>
    </row>
    <row r="226" spans="1:12" s="538" customFormat="1" ht="81.599999999999994" customHeight="1" x14ac:dyDescent="0.25">
      <c r="A226" s="539"/>
      <c r="B226" s="539"/>
      <c r="C226" s="539"/>
      <c r="D226" s="539"/>
      <c r="E226" s="615"/>
      <c r="F226" s="541"/>
      <c r="G226" s="541"/>
      <c r="H226" s="541"/>
      <c r="I226" s="542"/>
      <c r="J226" s="542"/>
      <c r="K226" s="543"/>
      <c r="L226" s="530"/>
    </row>
    <row r="227" spans="1:12" s="538" customFormat="1" ht="81.599999999999994" customHeight="1" x14ac:dyDescent="0.25">
      <c r="A227" s="620"/>
      <c r="B227" s="620"/>
      <c r="C227" s="620"/>
      <c r="D227" s="620"/>
      <c r="E227" s="621"/>
      <c r="F227" s="622"/>
      <c r="G227" s="622"/>
      <c r="H227" s="622"/>
      <c r="I227" s="623"/>
      <c r="J227" s="623"/>
      <c r="K227" s="624"/>
      <c r="L227" s="530"/>
    </row>
    <row r="228" spans="1:12" s="538" customFormat="1" x14ac:dyDescent="0.25">
      <c r="A228" s="544"/>
      <c r="B228" s="544"/>
      <c r="C228" s="544"/>
      <c r="D228" s="544"/>
      <c r="E228" s="616"/>
      <c r="F228" s="546"/>
      <c r="G228" s="546"/>
      <c r="H228" s="546"/>
      <c r="I228" s="547"/>
      <c r="J228" s="547"/>
      <c r="K228" s="548"/>
      <c r="L228" s="530"/>
    </row>
    <row r="229" spans="1:12" s="538" customFormat="1" x14ac:dyDescent="0.25">
      <c r="A229" s="620"/>
      <c r="B229" s="620"/>
      <c r="C229" s="620"/>
      <c r="D229" s="620"/>
      <c r="E229" s="621"/>
      <c r="F229" s="622"/>
      <c r="G229" s="622"/>
      <c r="H229" s="622"/>
      <c r="I229" s="623"/>
      <c r="J229" s="623"/>
      <c r="K229" s="624"/>
      <c r="L229" s="530"/>
    </row>
    <row r="230" spans="1:12" s="538" customFormat="1" x14ac:dyDescent="0.25">
      <c r="A230" s="544"/>
      <c r="B230" s="544"/>
      <c r="C230" s="544"/>
      <c r="D230" s="544"/>
      <c r="E230" s="616"/>
      <c r="F230" s="546"/>
      <c r="G230" s="546"/>
      <c r="H230" s="546"/>
      <c r="I230" s="547"/>
      <c r="J230" s="547"/>
      <c r="K230" s="548"/>
      <c r="L230" s="530"/>
    </row>
    <row r="231" spans="1:12" s="538" customFormat="1" x14ac:dyDescent="0.25">
      <c r="A231" s="620"/>
      <c r="B231" s="620"/>
      <c r="C231" s="620"/>
      <c r="D231" s="620"/>
      <c r="E231" s="621"/>
      <c r="F231" s="622"/>
      <c r="G231" s="622"/>
      <c r="H231" s="622"/>
      <c r="I231" s="623"/>
      <c r="J231" s="623"/>
      <c r="K231" s="624"/>
      <c r="L231" s="530"/>
    </row>
    <row r="232" spans="1:12" s="538" customFormat="1" x14ac:dyDescent="0.25">
      <c r="A232" s="544"/>
      <c r="B232" s="544"/>
      <c r="C232" s="544"/>
      <c r="D232" s="544"/>
      <c r="E232" s="616"/>
      <c r="F232" s="546"/>
      <c r="G232" s="546"/>
      <c r="H232" s="546"/>
      <c r="I232" s="547"/>
      <c r="J232" s="547"/>
      <c r="K232" s="548"/>
      <c r="L232" s="530"/>
    </row>
    <row r="233" spans="1:12" s="538" customFormat="1" ht="113.45" customHeight="1" x14ac:dyDescent="0.25">
      <c r="A233" s="539"/>
      <c r="B233" s="539"/>
      <c r="C233" s="539"/>
      <c r="D233" s="539"/>
      <c r="E233" s="615"/>
      <c r="F233" s="541"/>
      <c r="G233" s="541"/>
      <c r="H233" s="541"/>
      <c r="I233" s="542"/>
      <c r="J233" s="542"/>
      <c r="K233" s="562"/>
      <c r="L233" s="530"/>
    </row>
    <row r="234" spans="1:12" s="538" customFormat="1" x14ac:dyDescent="0.25">
      <c r="A234" s="544"/>
      <c r="B234" s="544"/>
      <c r="C234" s="544"/>
      <c r="D234" s="544"/>
      <c r="E234" s="616"/>
      <c r="F234" s="546"/>
      <c r="G234" s="546"/>
      <c r="H234" s="546"/>
      <c r="I234" s="547"/>
      <c r="J234" s="547"/>
      <c r="K234" s="548"/>
      <c r="L234" s="530"/>
    </row>
    <row r="235" spans="1:12" s="538" customFormat="1" x14ac:dyDescent="0.25">
      <c r="A235" s="620"/>
      <c r="B235" s="620"/>
      <c r="C235" s="620"/>
      <c r="D235" s="620"/>
      <c r="E235" s="621"/>
      <c r="F235" s="622"/>
      <c r="G235" s="622"/>
      <c r="H235" s="622"/>
      <c r="I235" s="623"/>
      <c r="J235" s="623"/>
      <c r="K235" s="624"/>
      <c r="L235" s="530"/>
    </row>
    <row r="236" spans="1:12" s="538" customFormat="1" x14ac:dyDescent="0.25">
      <c r="A236" s="544"/>
      <c r="B236" s="544"/>
      <c r="C236" s="544"/>
      <c r="D236" s="544"/>
      <c r="E236" s="616"/>
      <c r="F236" s="546"/>
      <c r="G236" s="546"/>
      <c r="H236" s="546"/>
      <c r="I236" s="547"/>
      <c r="J236" s="547"/>
      <c r="K236" s="548"/>
      <c r="L236" s="530"/>
    </row>
    <row r="237" spans="1:12" s="538" customFormat="1" ht="68.45" customHeight="1" x14ac:dyDescent="0.25">
      <c r="A237" s="533"/>
      <c r="B237" s="533"/>
      <c r="C237" s="533"/>
      <c r="D237" s="533"/>
      <c r="E237" s="617"/>
      <c r="F237" s="535"/>
      <c r="G237" s="535"/>
      <c r="H237" s="535"/>
      <c r="I237" s="536"/>
      <c r="J237" s="536"/>
      <c r="K237" s="537"/>
      <c r="L237" s="530"/>
    </row>
    <row r="238" spans="1:12" s="538" customFormat="1" ht="116.45" customHeight="1" x14ac:dyDescent="0.25">
      <c r="A238" s="625"/>
      <c r="B238" s="625"/>
      <c r="C238" s="625"/>
      <c r="D238" s="625"/>
      <c r="E238" s="626"/>
      <c r="F238" s="627"/>
      <c r="G238" s="627"/>
      <c r="H238" s="627"/>
      <c r="I238" s="628"/>
      <c r="J238" s="628"/>
      <c r="K238" s="562"/>
      <c r="L238" s="530"/>
    </row>
    <row r="239" spans="1:12" s="538" customFormat="1" x14ac:dyDescent="0.25">
      <c r="A239" s="629"/>
      <c r="B239" s="676"/>
      <c r="C239" s="676"/>
      <c r="D239" s="676"/>
      <c r="E239" s="616"/>
      <c r="F239" s="531"/>
      <c r="G239" s="546"/>
      <c r="H239" s="546"/>
      <c r="I239" s="547"/>
      <c r="J239" s="547"/>
      <c r="K239" s="630"/>
      <c r="L239" s="530"/>
    </row>
    <row r="240" spans="1:12" s="538" customFormat="1" x14ac:dyDescent="0.25">
      <c r="A240" s="573"/>
      <c r="B240" s="573"/>
      <c r="C240" s="573"/>
      <c r="D240" s="573"/>
      <c r="E240" s="614"/>
      <c r="F240" s="574"/>
      <c r="G240" s="574"/>
      <c r="H240" s="574"/>
      <c r="I240" s="575"/>
      <c r="J240" s="575"/>
      <c r="K240" s="553"/>
      <c r="L240" s="530"/>
    </row>
    <row r="241" spans="1:12" s="538" customFormat="1" x14ac:dyDescent="0.25">
      <c r="A241" s="631"/>
      <c r="B241" s="677"/>
      <c r="C241" s="677"/>
      <c r="D241" s="677"/>
      <c r="E241" s="617"/>
      <c r="F241" s="632"/>
      <c r="G241" s="535"/>
      <c r="H241" s="535"/>
      <c r="I241" s="536"/>
      <c r="J241" s="536"/>
      <c r="K241" s="633"/>
      <c r="L241" s="530"/>
    </row>
    <row r="242" spans="1:12" s="538" customFormat="1" x14ac:dyDescent="0.25">
      <c r="A242" s="620"/>
      <c r="B242" s="620"/>
      <c r="C242" s="620"/>
      <c r="D242" s="620"/>
      <c r="E242" s="621"/>
      <c r="F242" s="622"/>
      <c r="G242" s="622"/>
      <c r="H242" s="622"/>
      <c r="I242" s="623"/>
      <c r="J242" s="623"/>
      <c r="K242" s="624"/>
      <c r="L242" s="530"/>
    </row>
    <row r="243" spans="1:12" s="538" customFormat="1" ht="42" customHeight="1" x14ac:dyDescent="0.25">
      <c r="A243" s="629"/>
      <c r="B243" s="676"/>
      <c r="C243" s="676"/>
      <c r="D243" s="676"/>
      <c r="E243" s="616"/>
      <c r="F243" s="531"/>
      <c r="G243" s="546"/>
      <c r="H243" s="546"/>
      <c r="I243" s="547"/>
      <c r="J243" s="547"/>
      <c r="K243" s="630"/>
      <c r="L243" s="530"/>
    </row>
    <row r="244" spans="1:12" s="538" customFormat="1" x14ac:dyDescent="0.25">
      <c r="A244" s="620"/>
      <c r="B244" s="620"/>
      <c r="C244" s="620"/>
      <c r="D244" s="620"/>
      <c r="E244" s="621"/>
      <c r="F244" s="622"/>
      <c r="G244" s="622"/>
      <c r="H244" s="622"/>
      <c r="I244" s="623"/>
      <c r="J244" s="623"/>
      <c r="K244" s="624"/>
      <c r="L244" s="530"/>
    </row>
    <row r="245" spans="1:12" s="538" customFormat="1" ht="66" customHeight="1" x14ac:dyDescent="0.25">
      <c r="A245" s="629"/>
      <c r="B245" s="676"/>
      <c r="C245" s="676"/>
      <c r="D245" s="676"/>
      <c r="E245" s="616"/>
      <c r="F245" s="531"/>
      <c r="G245" s="546"/>
      <c r="H245" s="546"/>
      <c r="I245" s="547"/>
      <c r="J245" s="547"/>
      <c r="K245" s="630"/>
      <c r="L245" s="530"/>
    </row>
    <row r="246" spans="1:12" s="538" customFormat="1" x14ac:dyDescent="0.25">
      <c r="A246" s="620"/>
      <c r="B246" s="620"/>
      <c r="C246" s="620"/>
      <c r="D246" s="620"/>
      <c r="E246" s="621"/>
      <c r="F246" s="622"/>
      <c r="G246" s="622"/>
      <c r="H246" s="622"/>
      <c r="I246" s="623"/>
      <c r="J246" s="623"/>
      <c r="K246" s="624"/>
      <c r="L246" s="530"/>
    </row>
    <row r="247" spans="1:12" s="538" customFormat="1" x14ac:dyDescent="0.25">
      <c r="A247" s="629"/>
      <c r="B247" s="676"/>
      <c r="C247" s="676"/>
      <c r="D247" s="676"/>
      <c r="E247" s="616"/>
      <c r="F247" s="531"/>
      <c r="G247" s="546"/>
      <c r="H247" s="546"/>
      <c r="I247" s="547"/>
      <c r="J247" s="547"/>
      <c r="K247" s="630"/>
      <c r="L247" s="530"/>
    </row>
    <row r="248" spans="1:12" s="538" customFormat="1" x14ac:dyDescent="0.25">
      <c r="A248" s="620"/>
      <c r="B248" s="620"/>
      <c r="C248" s="620"/>
      <c r="D248" s="620"/>
      <c r="E248" s="621"/>
      <c r="F248" s="622"/>
      <c r="G248" s="622"/>
      <c r="H248" s="622"/>
      <c r="I248" s="623"/>
      <c r="J248" s="623"/>
      <c r="K248" s="624"/>
      <c r="L248" s="530"/>
    </row>
    <row r="249" spans="1:12" s="538" customFormat="1" x14ac:dyDescent="0.25">
      <c r="A249" s="629"/>
      <c r="B249" s="676"/>
      <c r="C249" s="676"/>
      <c r="D249" s="676"/>
      <c r="E249" s="616"/>
      <c r="F249" s="531"/>
      <c r="G249" s="546"/>
      <c r="H249" s="546"/>
      <c r="I249" s="547"/>
      <c r="J249" s="547"/>
      <c r="K249" s="630"/>
      <c r="L249" s="530"/>
    </row>
    <row r="250" spans="1:12" s="538" customFormat="1" x14ac:dyDescent="0.25">
      <c r="A250" s="620"/>
      <c r="B250" s="620"/>
      <c r="C250" s="620"/>
      <c r="D250" s="620"/>
      <c r="E250" s="621"/>
      <c r="F250" s="622"/>
      <c r="G250" s="622"/>
      <c r="H250" s="622"/>
      <c r="I250" s="623"/>
      <c r="J250" s="623"/>
      <c r="K250" s="624"/>
      <c r="L250" s="530"/>
    </row>
    <row r="251" spans="1:12" s="590" customFormat="1" x14ac:dyDescent="0.25">
      <c r="A251" s="629"/>
      <c r="B251" s="676"/>
      <c r="C251" s="676"/>
      <c r="D251" s="676"/>
      <c r="E251" s="616"/>
      <c r="F251" s="531"/>
      <c r="G251" s="546"/>
      <c r="H251" s="546"/>
      <c r="I251" s="547"/>
      <c r="J251" s="547"/>
      <c r="K251" s="630"/>
      <c r="L251" s="530"/>
    </row>
    <row r="252" spans="1:12" s="590" customFormat="1" ht="390.6" customHeight="1" x14ac:dyDescent="0.25">
      <c r="A252" s="631"/>
      <c r="B252" s="677"/>
      <c r="C252" s="677"/>
      <c r="D252" s="677"/>
      <c r="E252" s="617"/>
      <c r="F252" s="632"/>
      <c r="G252" s="535"/>
      <c r="H252" s="535"/>
      <c r="I252" s="536"/>
      <c r="J252" s="536"/>
      <c r="K252" s="634"/>
      <c r="L252" s="530"/>
    </row>
    <row r="253" spans="1:12" s="590" customFormat="1" x14ac:dyDescent="0.25">
      <c r="A253" s="635"/>
      <c r="B253" s="635"/>
      <c r="C253" s="635"/>
      <c r="D253" s="635"/>
      <c r="E253" s="636"/>
      <c r="F253" s="637"/>
      <c r="G253" s="541"/>
      <c r="H253" s="541"/>
      <c r="I253" s="542"/>
      <c r="J253" s="542"/>
      <c r="K253" s="638"/>
      <c r="L253" s="530"/>
    </row>
    <row r="254" spans="1:12" s="590" customFormat="1" x14ac:dyDescent="0.25">
      <c r="A254" s="631"/>
      <c r="B254" s="631"/>
      <c r="C254" s="631"/>
      <c r="D254" s="631"/>
      <c r="E254" s="639"/>
      <c r="F254" s="632"/>
      <c r="G254" s="535"/>
      <c r="H254" s="535"/>
      <c r="I254" s="536"/>
      <c r="J254" s="536"/>
      <c r="K254" s="640"/>
      <c r="L254" s="530"/>
    </row>
    <row r="255" spans="1:12" s="590" customFormat="1" ht="48" customHeight="1" x14ac:dyDescent="0.25">
      <c r="A255" s="620"/>
      <c r="B255" s="620"/>
      <c r="C255" s="620"/>
      <c r="D255" s="620"/>
      <c r="E255" s="621"/>
      <c r="F255" s="622"/>
      <c r="G255" s="622"/>
      <c r="H255" s="622"/>
      <c r="I255" s="623"/>
      <c r="J255" s="623"/>
      <c r="K255" s="624"/>
      <c r="L255" s="530"/>
    </row>
    <row r="256" spans="1:12" s="538" customFormat="1" ht="139.15" customHeight="1" x14ac:dyDescent="0.25">
      <c r="A256" s="629"/>
      <c r="B256" s="676"/>
      <c r="C256" s="676"/>
      <c r="D256" s="676"/>
      <c r="E256" s="616"/>
      <c r="F256" s="531"/>
      <c r="G256" s="546"/>
      <c r="H256" s="546"/>
      <c r="I256" s="547"/>
      <c r="J256" s="547"/>
      <c r="K256" s="630"/>
      <c r="L256" s="530"/>
    </row>
    <row r="257" spans="1:12" s="538" customFormat="1" x14ac:dyDescent="0.25">
      <c r="A257" s="631"/>
      <c r="B257" s="677"/>
      <c r="C257" s="677"/>
      <c r="D257" s="677"/>
      <c r="E257" s="617"/>
      <c r="F257" s="632"/>
      <c r="G257" s="535"/>
      <c r="H257" s="535"/>
      <c r="I257" s="536"/>
      <c r="J257" s="536"/>
      <c r="K257" s="640"/>
      <c r="L257" s="530"/>
    </row>
    <row r="258" spans="1:12" s="538" customFormat="1" ht="88.15" customHeight="1" x14ac:dyDescent="0.25">
      <c r="A258" s="635"/>
      <c r="B258" s="678"/>
      <c r="C258" s="678"/>
      <c r="D258" s="678"/>
      <c r="E258" s="615"/>
      <c r="F258" s="637"/>
      <c r="G258" s="541"/>
      <c r="H258" s="541"/>
      <c r="I258" s="542"/>
      <c r="J258" s="542"/>
      <c r="K258" s="641"/>
      <c r="L258" s="530"/>
    </row>
    <row r="259" spans="1:12" s="538" customFormat="1" ht="48" customHeight="1" x14ac:dyDescent="0.25">
      <c r="A259" s="635"/>
      <c r="B259" s="678"/>
      <c r="C259" s="678"/>
      <c r="D259" s="678"/>
      <c r="E259" s="615"/>
      <c r="F259" s="637"/>
      <c r="G259" s="541"/>
      <c r="H259" s="541"/>
      <c r="I259" s="542"/>
      <c r="J259" s="542"/>
      <c r="K259" s="641"/>
      <c r="L259" s="530"/>
    </row>
    <row r="260" spans="1:12" s="538" customFormat="1" ht="97.9" customHeight="1" x14ac:dyDescent="0.25">
      <c r="A260" s="635"/>
      <c r="B260" s="678"/>
      <c r="C260" s="678"/>
      <c r="D260" s="678"/>
      <c r="E260" s="615"/>
      <c r="F260" s="637"/>
      <c r="G260" s="541"/>
      <c r="H260" s="541"/>
      <c r="I260" s="542"/>
      <c r="J260" s="542"/>
      <c r="K260" s="641"/>
      <c r="L260" s="530"/>
    </row>
    <row r="261" spans="1:12" s="538" customFormat="1" ht="181.9" customHeight="1" x14ac:dyDescent="0.25">
      <c r="A261" s="631"/>
      <c r="B261" s="677"/>
      <c r="C261" s="677"/>
      <c r="D261" s="677"/>
      <c r="E261" s="617"/>
      <c r="F261" s="632"/>
      <c r="G261" s="535"/>
      <c r="H261" s="535"/>
      <c r="I261" s="536"/>
      <c r="J261" s="536"/>
      <c r="K261" s="633"/>
      <c r="L261" s="530"/>
    </row>
    <row r="262" spans="1:12" s="538" customFormat="1" x14ac:dyDescent="0.25">
      <c r="A262" s="635"/>
      <c r="B262" s="678"/>
      <c r="C262" s="678"/>
      <c r="D262" s="678"/>
      <c r="E262" s="615"/>
      <c r="F262" s="637"/>
      <c r="G262" s="541"/>
      <c r="H262" s="541"/>
      <c r="I262" s="542"/>
      <c r="J262" s="542"/>
      <c r="K262" s="641"/>
      <c r="L262" s="530"/>
    </row>
    <row r="263" spans="1:12" s="538" customFormat="1" ht="111.6" customHeight="1" x14ac:dyDescent="0.25">
      <c r="A263" s="629"/>
      <c r="B263" s="676"/>
      <c r="C263" s="676"/>
      <c r="D263" s="676"/>
      <c r="E263" s="616"/>
      <c r="F263" s="531"/>
      <c r="G263" s="546"/>
      <c r="H263" s="546"/>
      <c r="I263" s="547"/>
      <c r="J263" s="547"/>
      <c r="K263" s="630"/>
      <c r="L263" s="530"/>
    </row>
    <row r="264" spans="1:12" s="538" customFormat="1" ht="37.9" customHeight="1" x14ac:dyDescent="0.25">
      <c r="A264" s="631"/>
      <c r="B264" s="677"/>
      <c r="C264" s="677"/>
      <c r="D264" s="677"/>
      <c r="E264" s="617"/>
      <c r="F264" s="632"/>
      <c r="G264" s="535"/>
      <c r="H264" s="535"/>
      <c r="I264" s="536"/>
      <c r="J264" s="536"/>
      <c r="K264" s="640"/>
      <c r="L264" s="530"/>
    </row>
    <row r="265" spans="1:12" s="538" customFormat="1" ht="42.6" customHeight="1" x14ac:dyDescent="0.25">
      <c r="A265" s="635"/>
      <c r="B265" s="678"/>
      <c r="C265" s="678"/>
      <c r="D265" s="678"/>
      <c r="E265" s="615"/>
      <c r="F265" s="637"/>
      <c r="G265" s="541"/>
      <c r="H265" s="541"/>
      <c r="I265" s="542"/>
      <c r="J265" s="542"/>
      <c r="K265" s="641"/>
      <c r="L265" s="530"/>
    </row>
    <row r="266" spans="1:12" s="538" customFormat="1" x14ac:dyDescent="0.25">
      <c r="A266" s="620"/>
      <c r="B266" s="620"/>
      <c r="C266" s="620"/>
      <c r="D266" s="620"/>
      <c r="E266" s="621"/>
      <c r="F266" s="622"/>
      <c r="G266" s="622"/>
      <c r="H266" s="622"/>
      <c r="I266" s="623"/>
      <c r="J266" s="623"/>
      <c r="K266" s="624"/>
      <c r="L266" s="530"/>
    </row>
    <row r="267" spans="1:12" s="538" customFormat="1" ht="99.6" customHeight="1" x14ac:dyDescent="0.25">
      <c r="A267" s="629"/>
      <c r="B267" s="676"/>
      <c r="C267" s="676"/>
      <c r="D267" s="676"/>
      <c r="E267" s="616"/>
      <c r="F267" s="531"/>
      <c r="G267" s="546"/>
      <c r="H267" s="546"/>
      <c r="I267" s="547"/>
      <c r="J267" s="547"/>
      <c r="K267" s="630"/>
      <c r="L267" s="530"/>
    </row>
    <row r="268" spans="1:12" s="538" customFormat="1" ht="99.6" customHeight="1" x14ac:dyDescent="0.25">
      <c r="A268" s="635"/>
      <c r="B268" s="678"/>
      <c r="C268" s="678"/>
      <c r="D268" s="678"/>
      <c r="E268" s="615"/>
      <c r="F268" s="637"/>
      <c r="G268" s="541"/>
      <c r="H268" s="541"/>
      <c r="I268" s="542"/>
      <c r="J268" s="542"/>
      <c r="K268" s="641"/>
      <c r="L268" s="530"/>
    </row>
    <row r="269" spans="1:12" s="538" customFormat="1" ht="141.6" customHeight="1" x14ac:dyDescent="0.25">
      <c r="A269" s="629"/>
      <c r="B269" s="676"/>
      <c r="C269" s="676"/>
      <c r="D269" s="676"/>
      <c r="E269" s="616"/>
      <c r="F269" s="531"/>
      <c r="G269" s="546"/>
      <c r="H269" s="546"/>
      <c r="I269" s="547"/>
      <c r="J269" s="547"/>
      <c r="K269" s="630"/>
      <c r="L269" s="530"/>
    </row>
    <row r="270" spans="1:12" s="538" customFormat="1" ht="165.6" customHeight="1" x14ac:dyDescent="0.25">
      <c r="A270" s="620"/>
      <c r="B270" s="620"/>
      <c r="C270" s="620"/>
      <c r="D270" s="620"/>
      <c r="E270" s="621"/>
      <c r="F270" s="622"/>
      <c r="G270" s="622"/>
      <c r="H270" s="622"/>
      <c r="I270" s="623"/>
      <c r="J270" s="623"/>
      <c r="K270" s="624"/>
      <c r="L270" s="530"/>
    </row>
    <row r="271" spans="1:12" s="538" customFormat="1" x14ac:dyDescent="0.25">
      <c r="A271" s="629"/>
      <c r="B271" s="676"/>
      <c r="C271" s="676"/>
      <c r="D271" s="676"/>
      <c r="E271" s="616"/>
      <c r="F271" s="531"/>
      <c r="G271" s="546"/>
      <c r="H271" s="546"/>
      <c r="I271" s="547"/>
      <c r="J271" s="547"/>
      <c r="K271" s="630"/>
      <c r="L271" s="530"/>
    </row>
    <row r="272" spans="1:12" s="538" customFormat="1" x14ac:dyDescent="0.25">
      <c r="A272" s="620"/>
      <c r="B272" s="620"/>
      <c r="C272" s="620"/>
      <c r="D272" s="620"/>
      <c r="E272" s="621"/>
      <c r="F272" s="622"/>
      <c r="G272" s="622"/>
      <c r="H272" s="622"/>
      <c r="I272" s="623"/>
      <c r="J272" s="623"/>
      <c r="K272" s="624"/>
      <c r="L272" s="530"/>
    </row>
    <row r="273" spans="1:12" s="538" customFormat="1" x14ac:dyDescent="0.25">
      <c r="A273" s="629"/>
      <c r="B273" s="676"/>
      <c r="C273" s="676"/>
      <c r="D273" s="676"/>
      <c r="E273" s="616"/>
      <c r="F273" s="531"/>
      <c r="G273" s="546"/>
      <c r="H273" s="546"/>
      <c r="I273" s="547"/>
      <c r="J273" s="547"/>
      <c r="K273" s="630"/>
      <c r="L273" s="530"/>
    </row>
    <row r="274" spans="1:12" s="538" customFormat="1" x14ac:dyDescent="0.25">
      <c r="A274" s="620"/>
      <c r="B274" s="620"/>
      <c r="C274" s="620"/>
      <c r="D274" s="620"/>
      <c r="E274" s="621"/>
      <c r="F274" s="622"/>
      <c r="G274" s="622"/>
      <c r="H274" s="622"/>
      <c r="I274" s="623"/>
      <c r="J274" s="623"/>
      <c r="K274" s="624"/>
      <c r="L274" s="530"/>
    </row>
    <row r="275" spans="1:12" s="538" customFormat="1" ht="180.6" customHeight="1" x14ac:dyDescent="0.25">
      <c r="A275" s="629"/>
      <c r="B275" s="676"/>
      <c r="C275" s="676"/>
      <c r="D275" s="676"/>
      <c r="E275" s="616"/>
      <c r="F275" s="531"/>
      <c r="G275" s="546"/>
      <c r="H275" s="546"/>
      <c r="I275" s="547"/>
      <c r="J275" s="547"/>
      <c r="K275" s="630"/>
      <c r="L275" s="530"/>
    </row>
    <row r="276" spans="1:12" s="538" customFormat="1" x14ac:dyDescent="0.25">
      <c r="A276" s="573"/>
      <c r="B276" s="573"/>
      <c r="C276" s="573"/>
      <c r="D276" s="573"/>
      <c r="E276" s="614"/>
      <c r="F276" s="574"/>
      <c r="G276" s="574"/>
      <c r="H276" s="574"/>
      <c r="I276" s="575"/>
      <c r="J276" s="575"/>
      <c r="K276" s="553"/>
      <c r="L276" s="530"/>
    </row>
    <row r="277" spans="1:12" s="538" customFormat="1" x14ac:dyDescent="0.25">
      <c r="A277" s="539"/>
      <c r="B277" s="539"/>
      <c r="C277" s="539"/>
      <c r="D277" s="539"/>
      <c r="E277" s="615"/>
      <c r="F277" s="541"/>
      <c r="G277" s="541"/>
      <c r="H277" s="541"/>
      <c r="I277" s="542"/>
      <c r="J277" s="542"/>
      <c r="K277" s="543"/>
      <c r="L277" s="530"/>
    </row>
    <row r="278" spans="1:12" s="538" customFormat="1" x14ac:dyDescent="0.25">
      <c r="A278" s="624"/>
      <c r="B278" s="624"/>
      <c r="C278" s="624"/>
      <c r="D278" s="624"/>
      <c r="E278" s="624"/>
      <c r="F278" s="624"/>
      <c r="G278" s="624"/>
      <c r="H278" s="624"/>
      <c r="I278" s="665"/>
      <c r="J278" s="624"/>
      <c r="K278" s="624"/>
      <c r="L278" s="530"/>
    </row>
    <row r="279" spans="1:12" s="538" customFormat="1" ht="305.45" customHeight="1" x14ac:dyDescent="0.25">
      <c r="A279" s="539"/>
      <c r="B279" s="539"/>
      <c r="C279" s="539"/>
      <c r="D279" s="539"/>
      <c r="E279" s="615"/>
      <c r="F279" s="541"/>
      <c r="G279" s="541"/>
      <c r="H279" s="541"/>
      <c r="I279" s="542"/>
      <c r="J279" s="542"/>
      <c r="K279" s="562"/>
      <c r="L279" s="530"/>
    </row>
    <row r="280" spans="1:12" s="538" customFormat="1" x14ac:dyDescent="0.25">
      <c r="A280" s="629"/>
      <c r="B280" s="676"/>
      <c r="C280" s="676"/>
      <c r="D280" s="676"/>
      <c r="E280" s="616"/>
      <c r="F280" s="531"/>
      <c r="G280" s="546"/>
      <c r="H280" s="546"/>
      <c r="I280" s="547"/>
      <c r="J280" s="547"/>
      <c r="K280" s="630"/>
      <c r="L280" s="530"/>
    </row>
    <row r="281" spans="1:12" s="538" customFormat="1" ht="245.45" customHeight="1" x14ac:dyDescent="0.25">
      <c r="A281" s="631"/>
      <c r="B281" s="677"/>
      <c r="C281" s="677"/>
      <c r="D281" s="677"/>
      <c r="E281" s="617"/>
      <c r="F281" s="632"/>
      <c r="G281" s="535"/>
      <c r="H281" s="535"/>
      <c r="I281" s="536"/>
      <c r="J281" s="536"/>
      <c r="K281" s="642"/>
      <c r="L281" s="530"/>
    </row>
    <row r="282" spans="1:12" s="538" customFormat="1" x14ac:dyDescent="0.25">
      <c r="A282" s="635"/>
      <c r="B282" s="678"/>
      <c r="C282" s="678"/>
      <c r="D282" s="678"/>
      <c r="E282" s="615"/>
      <c r="F282" s="637"/>
      <c r="G282" s="541"/>
      <c r="H282" s="541"/>
      <c r="I282" s="542"/>
      <c r="J282" s="542"/>
      <c r="K282" s="643"/>
      <c r="L282" s="530"/>
    </row>
    <row r="283" spans="1:12" s="538" customFormat="1" ht="241.9" customHeight="1" x14ac:dyDescent="0.25">
      <c r="A283" s="629"/>
      <c r="B283" s="676"/>
      <c r="C283" s="676"/>
      <c r="D283" s="676"/>
      <c r="E283" s="616"/>
      <c r="F283" s="531"/>
      <c r="G283" s="546"/>
      <c r="H283" s="546"/>
      <c r="I283" s="547"/>
      <c r="J283" s="547"/>
      <c r="K283" s="630"/>
      <c r="L283" s="530"/>
    </row>
    <row r="284" spans="1:12" s="538" customFormat="1" x14ac:dyDescent="0.25">
      <c r="A284" s="629"/>
      <c r="B284" s="676"/>
      <c r="C284" s="676"/>
      <c r="D284" s="676"/>
      <c r="E284" s="616"/>
      <c r="F284" s="531"/>
      <c r="G284" s="546"/>
      <c r="H284" s="546"/>
      <c r="I284" s="547"/>
      <c r="J284" s="547"/>
      <c r="K284" s="644"/>
      <c r="L284" s="530"/>
    </row>
    <row r="285" spans="1:12" s="538" customFormat="1" ht="49.15" customHeight="1" x14ac:dyDescent="0.25">
      <c r="A285" s="624"/>
      <c r="B285" s="624"/>
      <c r="C285" s="624"/>
      <c r="D285" s="624"/>
      <c r="E285" s="624"/>
      <c r="F285" s="665"/>
      <c r="G285" s="624"/>
      <c r="H285" s="624"/>
      <c r="I285" s="665"/>
      <c r="J285" s="624"/>
      <c r="K285" s="624"/>
      <c r="L285" s="530"/>
    </row>
    <row r="286" spans="1:12" s="538" customFormat="1" ht="307.89999999999998" customHeight="1" x14ac:dyDescent="0.25">
      <c r="A286" s="629"/>
      <c r="B286" s="676"/>
      <c r="C286" s="676"/>
      <c r="D286" s="676"/>
      <c r="E286" s="616"/>
      <c r="F286" s="531"/>
      <c r="G286" s="546"/>
      <c r="H286" s="546"/>
      <c r="I286" s="547"/>
      <c r="J286" s="547"/>
      <c r="K286" s="630"/>
      <c r="L286" s="530"/>
    </row>
    <row r="287" spans="1:12" s="538" customFormat="1" ht="15" customHeight="1" x14ac:dyDescent="0.25">
      <c r="A287" s="629"/>
      <c r="B287" s="676"/>
      <c r="C287" s="676"/>
      <c r="D287" s="676"/>
      <c r="E287" s="616"/>
      <c r="F287" s="531"/>
      <c r="G287" s="546"/>
      <c r="H287" s="546"/>
      <c r="I287" s="547"/>
      <c r="J287" s="547"/>
      <c r="K287" s="630"/>
      <c r="L287" s="530"/>
    </row>
    <row r="288" spans="1:12" s="538" customFormat="1" ht="15" customHeight="1" x14ac:dyDescent="0.25">
      <c r="A288" s="629"/>
      <c r="B288" s="676"/>
      <c r="C288" s="676"/>
      <c r="D288" s="676"/>
      <c r="E288" s="616"/>
      <c r="F288" s="531"/>
      <c r="G288" s="546"/>
      <c r="H288" s="546"/>
      <c r="I288" s="547"/>
      <c r="J288" s="547"/>
      <c r="K288" s="630"/>
      <c r="L288" s="530"/>
    </row>
    <row r="289" spans="1:12" s="538" customFormat="1" ht="15" customHeight="1" x14ac:dyDescent="0.25">
      <c r="A289" s="629"/>
      <c r="B289" s="676"/>
      <c r="C289" s="676"/>
      <c r="D289" s="676"/>
      <c r="E289" s="616"/>
      <c r="F289" s="531"/>
      <c r="G289" s="546"/>
      <c r="H289" s="546"/>
      <c r="I289" s="547"/>
      <c r="J289" s="547"/>
      <c r="K289" s="630"/>
      <c r="L289" s="530"/>
    </row>
    <row r="290" spans="1:12" s="538" customFormat="1" ht="15" customHeight="1" x14ac:dyDescent="0.25">
      <c r="A290" s="629"/>
      <c r="B290" s="676"/>
      <c r="C290" s="676"/>
      <c r="D290" s="676"/>
      <c r="E290" s="616"/>
      <c r="F290" s="531"/>
      <c r="G290" s="546"/>
      <c r="H290" s="546"/>
      <c r="I290" s="547"/>
      <c r="J290" s="547"/>
      <c r="K290" s="645"/>
      <c r="L290" s="530"/>
    </row>
    <row r="291" spans="1:12" s="538" customFormat="1" ht="15" customHeight="1" x14ac:dyDescent="0.25">
      <c r="A291" s="629"/>
      <c r="B291" s="676"/>
      <c r="C291" s="676"/>
      <c r="D291" s="676"/>
      <c r="E291" s="616"/>
      <c r="F291" s="531"/>
      <c r="G291" s="546"/>
      <c r="H291" s="546"/>
      <c r="I291" s="547"/>
      <c r="J291" s="547"/>
      <c r="K291" s="630"/>
      <c r="L291" s="530"/>
    </row>
    <row r="292" spans="1:12" s="538" customFormat="1" ht="15" customHeight="1" x14ac:dyDescent="0.25">
      <c r="A292" s="629"/>
      <c r="B292" s="676"/>
      <c r="C292" s="676"/>
      <c r="D292" s="676"/>
      <c r="E292" s="616"/>
      <c r="F292" s="531"/>
      <c r="G292" s="546"/>
      <c r="H292" s="546"/>
      <c r="I292" s="547"/>
      <c r="J292" s="547"/>
      <c r="K292" s="630"/>
      <c r="L292" s="530"/>
    </row>
    <row r="293" spans="1:12" s="538" customFormat="1" ht="15" customHeight="1" x14ac:dyDescent="0.25">
      <c r="A293" s="629"/>
      <c r="B293" s="676"/>
      <c r="C293" s="676"/>
      <c r="D293" s="676"/>
      <c r="E293" s="616"/>
      <c r="F293" s="531"/>
      <c r="G293" s="546"/>
      <c r="H293" s="546"/>
      <c r="I293" s="547"/>
      <c r="J293" s="547"/>
      <c r="K293" s="630"/>
      <c r="L293" s="530"/>
    </row>
    <row r="294" spans="1:12" s="538" customFormat="1" ht="15" customHeight="1" x14ac:dyDescent="0.25">
      <c r="A294" s="629"/>
      <c r="B294" s="676"/>
      <c r="C294" s="676"/>
      <c r="D294" s="676"/>
      <c r="E294" s="616"/>
      <c r="F294" s="531"/>
      <c r="G294" s="546"/>
      <c r="H294" s="546"/>
      <c r="I294" s="547"/>
      <c r="J294" s="547"/>
      <c r="K294" s="630"/>
      <c r="L294" s="530"/>
    </row>
    <row r="295" spans="1:12" s="538" customFormat="1" ht="15" customHeight="1" x14ac:dyDescent="0.25">
      <c r="A295" s="629"/>
      <c r="B295" s="676"/>
      <c r="C295" s="676"/>
      <c r="D295" s="676"/>
      <c r="E295" s="616"/>
      <c r="F295" s="531"/>
      <c r="G295" s="546"/>
      <c r="H295" s="546"/>
      <c r="I295" s="547"/>
      <c r="J295" s="547"/>
      <c r="K295" s="630"/>
      <c r="L295" s="530"/>
    </row>
    <row r="296" spans="1:12" s="538" customFormat="1" x14ac:dyDescent="0.25">
      <c r="A296" s="629"/>
      <c r="B296" s="676"/>
      <c r="C296" s="676"/>
      <c r="D296" s="676"/>
      <c r="E296" s="616"/>
      <c r="F296" s="531"/>
      <c r="G296" s="546"/>
      <c r="H296" s="546"/>
      <c r="I296" s="547"/>
      <c r="J296" s="547"/>
      <c r="K296" s="630"/>
      <c r="L296" s="530"/>
    </row>
    <row r="297" spans="1:12" s="538" customFormat="1" ht="26.25" customHeight="1" x14ac:dyDescent="0.25">
      <c r="A297" s="629"/>
      <c r="B297" s="676"/>
      <c r="C297" s="676"/>
      <c r="D297" s="676"/>
      <c r="E297" s="616"/>
      <c r="F297" s="531"/>
      <c r="G297" s="546"/>
      <c r="H297" s="546"/>
      <c r="I297" s="547"/>
      <c r="J297" s="547"/>
      <c r="K297" s="630"/>
      <c r="L297" s="530"/>
    </row>
    <row r="298" spans="1:12" s="538" customFormat="1" x14ac:dyDescent="0.25">
      <c r="A298" s="629"/>
      <c r="B298" s="676"/>
      <c r="C298" s="676"/>
      <c r="D298" s="676"/>
      <c r="E298" s="616"/>
      <c r="F298" s="531"/>
      <c r="G298" s="546"/>
      <c r="H298" s="546"/>
      <c r="I298" s="547"/>
      <c r="J298" s="547"/>
      <c r="K298" s="630"/>
      <c r="L298" s="530"/>
    </row>
    <row r="299" spans="1:12" s="538" customFormat="1" x14ac:dyDescent="0.25">
      <c r="A299" s="629"/>
      <c r="B299" s="676"/>
      <c r="C299" s="676"/>
      <c r="D299" s="676"/>
      <c r="E299" s="616"/>
      <c r="F299" s="531"/>
      <c r="G299" s="546"/>
      <c r="H299" s="546"/>
      <c r="I299" s="547"/>
      <c r="J299" s="547"/>
      <c r="K299" s="630"/>
      <c r="L299" s="530"/>
    </row>
    <row r="300" spans="1:12" s="590" customFormat="1" x14ac:dyDescent="0.25">
      <c r="A300" s="629"/>
      <c r="B300" s="676"/>
      <c r="C300" s="676"/>
      <c r="D300" s="676"/>
      <c r="E300" s="616"/>
      <c r="F300" s="531"/>
      <c r="G300" s="546"/>
      <c r="H300" s="546"/>
      <c r="I300" s="547"/>
      <c r="J300" s="547"/>
      <c r="K300" s="630"/>
      <c r="L300" s="530"/>
    </row>
    <row r="301" spans="1:12" s="538" customFormat="1" x14ac:dyDescent="0.25">
      <c r="A301" s="646"/>
      <c r="B301" s="679"/>
      <c r="C301" s="679"/>
      <c r="D301" s="679"/>
      <c r="E301" s="616"/>
      <c r="F301" s="531"/>
      <c r="G301" s="546"/>
      <c r="H301" s="546"/>
      <c r="I301" s="547"/>
      <c r="J301" s="547"/>
      <c r="K301" s="630"/>
      <c r="L301" s="530"/>
    </row>
    <row r="302" spans="1:12" x14ac:dyDescent="0.25">
      <c r="A302" s="646"/>
      <c r="B302" s="679"/>
      <c r="C302" s="679"/>
      <c r="D302" s="679"/>
      <c r="E302" s="616"/>
      <c r="F302" s="531"/>
      <c r="G302" s="546"/>
      <c r="H302" s="546"/>
      <c r="I302" s="547"/>
      <c r="J302" s="547"/>
      <c r="K302" s="630"/>
    </row>
    <row r="303" spans="1:12" ht="39" customHeight="1" x14ac:dyDescent="0.25">
      <c r="A303" s="646"/>
      <c r="B303" s="679"/>
      <c r="C303" s="679"/>
      <c r="D303" s="679"/>
      <c r="E303" s="616"/>
      <c r="F303" s="531"/>
      <c r="G303" s="546"/>
      <c r="H303" s="546"/>
      <c r="I303" s="547"/>
      <c r="J303" s="547"/>
      <c r="K303" s="630"/>
    </row>
    <row r="304" spans="1:12" s="590" customFormat="1" x14ac:dyDescent="0.25">
      <c r="A304" s="646"/>
      <c r="B304" s="679"/>
      <c r="C304" s="679"/>
      <c r="D304" s="679"/>
      <c r="E304" s="616"/>
      <c r="F304" s="531"/>
      <c r="G304" s="546"/>
      <c r="H304" s="546"/>
      <c r="I304" s="547"/>
      <c r="J304" s="547"/>
      <c r="K304" s="630"/>
      <c r="L304" s="530"/>
    </row>
    <row r="305" spans="1:12" s="590" customFormat="1" x14ac:dyDescent="0.25">
      <c r="A305" s="646"/>
      <c r="B305" s="679"/>
      <c r="C305" s="679"/>
      <c r="D305" s="679"/>
      <c r="E305" s="616"/>
      <c r="F305" s="531"/>
      <c r="G305" s="546"/>
      <c r="H305" s="546"/>
      <c r="I305" s="547"/>
      <c r="J305" s="547"/>
      <c r="K305" s="630"/>
      <c r="L305" s="530"/>
    </row>
    <row r="306" spans="1:12" x14ac:dyDescent="0.25">
      <c r="A306" s="646"/>
      <c r="B306" s="679"/>
      <c r="C306" s="679"/>
      <c r="D306" s="679"/>
      <c r="E306" s="616"/>
      <c r="F306" s="531"/>
      <c r="G306" s="546"/>
      <c r="H306" s="546"/>
      <c r="I306" s="547"/>
      <c r="J306" s="547"/>
      <c r="K306" s="630"/>
    </row>
    <row r="307" spans="1:12" x14ac:dyDescent="0.25">
      <c r="A307" s="646"/>
      <c r="B307" s="679"/>
      <c r="C307" s="679"/>
      <c r="D307" s="679"/>
      <c r="E307" s="616"/>
      <c r="F307" s="531"/>
      <c r="G307" s="546"/>
      <c r="H307" s="546"/>
      <c r="I307" s="547"/>
      <c r="J307" s="547"/>
      <c r="K307" s="630"/>
    </row>
  </sheetData>
  <autoFilter ref="A3:AX306"/>
  <mergeCells count="2">
    <mergeCell ref="L156:AX156"/>
    <mergeCell ref="A1:K1"/>
  </mergeCells>
  <pageMargins left="0.59055118110236227" right="0.51181102362204722" top="0.74803149606299213" bottom="0.74803149606299213" header="0.51181102362204722" footer="0.31496062992125984"/>
  <pageSetup paperSize="3" scale="45" fitToHeight="0" orientation="landscape" r:id="rId1"/>
  <headerFooter>
    <oddHeader>&amp;C&amp;"-,Bold"&amp;20Site Query Log</oddHeader>
  </headerFooter>
  <rowBreaks count="2" manualBreakCount="2">
    <brk id="260" max="12" man="1"/>
    <brk id="286" max="12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"/>
  <sheetViews>
    <sheetView zoomScaleNormal="100" workbookViewId="0">
      <selection activeCell="R23" sqref="R23"/>
    </sheetView>
  </sheetViews>
  <sheetFormatPr defaultRowHeight="12.75" x14ac:dyDescent="0.2"/>
  <cols>
    <col min="1" max="1" width="13" style="36" customWidth="1"/>
    <col min="2" max="2" width="15.5703125" style="36" customWidth="1"/>
    <col min="3" max="3" width="14.28515625" style="36" customWidth="1"/>
    <col min="4" max="4" width="16.140625" style="36" customWidth="1"/>
    <col min="5" max="5" width="16" style="36" customWidth="1"/>
    <col min="6" max="6" width="20" style="36" customWidth="1"/>
    <col min="7" max="7" width="16.42578125" customWidth="1"/>
    <col min="8" max="8" width="14.140625" customWidth="1"/>
    <col min="9" max="9" width="9.5703125" bestFit="1" customWidth="1"/>
    <col min="11" max="11" width="4.85546875" customWidth="1"/>
    <col min="12" max="16" width="9.140625" hidden="1" customWidth="1"/>
    <col min="20" max="20" width="14.7109375" customWidth="1"/>
  </cols>
  <sheetData>
    <row r="1" spans="1:32" ht="12.75" customHeight="1" x14ac:dyDescent="0.3">
      <c r="A1" s="1165" t="s">
        <v>44</v>
      </c>
      <c r="B1" s="1165"/>
      <c r="C1" s="1165"/>
      <c r="D1" s="1165"/>
      <c r="E1" s="1165"/>
      <c r="F1" s="1165"/>
      <c r="G1" s="1165"/>
      <c r="H1" s="1165"/>
      <c r="J1" s="33"/>
      <c r="K1" s="31"/>
      <c r="L1" s="32"/>
      <c r="M1" s="32"/>
      <c r="N1" s="1164" t="s">
        <v>40</v>
      </c>
      <c r="O1" s="1164"/>
      <c r="P1" s="1164"/>
      <c r="Q1" s="1164"/>
      <c r="R1" s="1164"/>
      <c r="S1" s="1164"/>
      <c r="T1" s="80" t="e">
        <f>LOOKUP(A4,F10:F113,E10:E113)</f>
        <v>#N/A</v>
      </c>
      <c r="V1" s="33"/>
      <c r="W1" s="31"/>
      <c r="X1" s="32"/>
      <c r="Y1" s="32"/>
      <c r="Z1" s="1164" t="s">
        <v>40</v>
      </c>
      <c r="AA1" s="1164"/>
      <c r="AB1" s="1164"/>
      <c r="AC1" s="1164"/>
      <c r="AD1" s="1164"/>
      <c r="AE1" s="1164"/>
      <c r="AF1" s="80" t="e">
        <f>LOOKUP(P1,'Actual vs Sch Days '!T10:T113,'Actual vs Sch Days '!S10:S113)</f>
        <v>#N/A</v>
      </c>
    </row>
    <row r="2" spans="1:32" ht="14.25" x14ac:dyDescent="0.3">
      <c r="A2" s="1165"/>
      <c r="B2" s="1165"/>
      <c r="C2" s="1165"/>
      <c r="D2" s="1165"/>
      <c r="E2" s="1165"/>
      <c r="F2" s="1165"/>
      <c r="G2" s="1165"/>
      <c r="H2" s="1165"/>
      <c r="J2" s="32"/>
      <c r="K2" s="32"/>
      <c r="L2" s="32"/>
      <c r="M2" s="32"/>
      <c r="N2" s="1164" t="s">
        <v>41</v>
      </c>
      <c r="O2" s="1164"/>
      <c r="P2" s="1164"/>
      <c r="Q2" s="1164"/>
      <c r="R2" s="1164"/>
      <c r="S2" s="1164"/>
      <c r="T2" s="60">
        <f>REPORT!F13</f>
        <v>0</v>
      </c>
      <c r="V2" s="32"/>
      <c r="W2" s="32"/>
      <c r="X2" s="32"/>
      <c r="Y2" s="32"/>
      <c r="Z2" s="1164" t="s">
        <v>41</v>
      </c>
      <c r="AA2" s="1164"/>
      <c r="AB2" s="1164"/>
      <c r="AC2" s="1164"/>
      <c r="AD2" s="1164"/>
      <c r="AE2" s="1164"/>
      <c r="AF2" s="60">
        <f>T18</f>
        <v>0</v>
      </c>
    </row>
    <row r="3" spans="1:32" ht="14.25" x14ac:dyDescent="0.3">
      <c r="J3" s="1164" t="s">
        <v>43</v>
      </c>
      <c r="K3" s="1164"/>
      <c r="L3" s="1164"/>
      <c r="M3" s="1164"/>
      <c r="N3" s="1164"/>
      <c r="O3" s="1164"/>
      <c r="P3" s="1164"/>
      <c r="Q3" s="1164"/>
      <c r="R3" s="1164"/>
      <c r="S3" s="1164"/>
      <c r="T3" s="75" t="e">
        <f>T1-T2</f>
        <v>#N/A</v>
      </c>
      <c r="V3" s="1164" t="s">
        <v>43</v>
      </c>
      <c r="W3" s="1164"/>
      <c r="X3" s="1164"/>
      <c r="Y3" s="1164"/>
      <c r="Z3" s="1164"/>
      <c r="AA3" s="1164"/>
      <c r="AB3" s="1164"/>
      <c r="AC3" s="1164"/>
      <c r="AD3" s="1164"/>
      <c r="AE3" s="1164"/>
      <c r="AF3" s="75" t="e">
        <f>AF1-AF2</f>
        <v>#N/A</v>
      </c>
    </row>
    <row r="4" spans="1:32" x14ac:dyDescent="0.2">
      <c r="A4" s="87">
        <f>REPORT!B1</f>
        <v>1</v>
      </c>
      <c r="J4" s="1164" t="s">
        <v>42</v>
      </c>
      <c r="K4" s="1164"/>
      <c r="L4" s="1164"/>
      <c r="M4" s="1164"/>
      <c r="N4" s="1164"/>
      <c r="O4" s="1164"/>
      <c r="P4" s="1164"/>
      <c r="Q4" s="1164"/>
      <c r="R4" s="1164"/>
      <c r="S4" s="1164"/>
      <c r="T4" s="76" t="e">
        <f>(LOOKUP(T2,E10:E113,A10:A113)-(LOOKUP(T1,E10:E113,A10:A113)))</f>
        <v>#N/A</v>
      </c>
      <c r="V4" s="1164" t="s">
        <v>42</v>
      </c>
      <c r="W4" s="1164"/>
      <c r="X4" s="1164"/>
      <c r="Y4" s="1164"/>
      <c r="Z4" s="1164"/>
      <c r="AA4" s="1164"/>
      <c r="AB4" s="1164"/>
      <c r="AC4" s="1164"/>
      <c r="AD4" s="1164"/>
      <c r="AE4" s="1164"/>
      <c r="AF4" s="76" t="e">
        <f>(LOOKUP(AF2,'Actual vs Sch Days '!S10:S113,'Actual vs Sch Days '!O10:O113)-(LOOKUP(AF1,'Actual vs Sch Days '!S10:S113,'Actual vs Sch Days '!O10:O113)))</f>
        <v>#N/A</v>
      </c>
    </row>
    <row r="5" spans="1:32" ht="13.5" thickBot="1" x14ac:dyDescent="0.25"/>
    <row r="6" spans="1:32" ht="26.25" thickBot="1" x14ac:dyDescent="0.25">
      <c r="A6" s="59" t="s">
        <v>39</v>
      </c>
      <c r="B6" s="58">
        <v>288192</v>
      </c>
      <c r="G6" s="77">
        <v>42003655.700000003</v>
      </c>
      <c r="I6" s="85">
        <f>G6/B6</f>
        <v>145.74886082889185</v>
      </c>
      <c r="J6" s="83" t="s">
        <v>46</v>
      </c>
    </row>
    <row r="8" spans="1:32" ht="13.5" thickBot="1" x14ac:dyDescent="0.25"/>
    <row r="9" spans="1:32" ht="39" thickBot="1" x14ac:dyDescent="0.25">
      <c r="A9" s="61" t="s">
        <v>34</v>
      </c>
      <c r="B9" s="62" t="s">
        <v>35</v>
      </c>
      <c r="C9" s="62" t="s">
        <v>36</v>
      </c>
      <c r="D9" s="63" t="s">
        <v>37</v>
      </c>
      <c r="E9" s="63" t="s">
        <v>38</v>
      </c>
      <c r="F9" s="62" t="s">
        <v>8</v>
      </c>
      <c r="G9" s="64" t="s">
        <v>45</v>
      </c>
      <c r="H9" s="65" t="s">
        <v>47</v>
      </c>
    </row>
    <row r="10" spans="1:32" ht="14.25" customHeight="1" x14ac:dyDescent="0.2">
      <c r="A10" s="68">
        <v>1</v>
      </c>
      <c r="B10" s="68">
        <v>77</v>
      </c>
      <c r="C10" s="68">
        <f>B10*12</f>
        <v>924</v>
      </c>
      <c r="D10" s="69">
        <f>C10/288192</f>
        <v>3.2061958694203866E-3</v>
      </c>
      <c r="E10" s="70">
        <f>D10</f>
        <v>3.2061958694203866E-3</v>
      </c>
      <c r="F10" s="71">
        <v>39993</v>
      </c>
      <c r="G10" s="84">
        <f>C10*$I$6</f>
        <v>134671.94740589606</v>
      </c>
      <c r="H10" s="84">
        <f>G10</f>
        <v>134671.94740589606</v>
      </c>
    </row>
    <row r="11" spans="1:32" x14ac:dyDescent="0.2">
      <c r="A11" s="55">
        <v>2</v>
      </c>
      <c r="B11" s="55">
        <v>79</v>
      </c>
      <c r="C11" s="55">
        <f t="shared" ref="C11:C74" si="0">B11*12</f>
        <v>948</v>
      </c>
      <c r="D11" s="72">
        <f t="shared" ref="D11:D74" si="1">C11/288192</f>
        <v>3.2894736842105261E-3</v>
      </c>
      <c r="E11" s="70">
        <f>E10+D11</f>
        <v>6.4956695536309127E-3</v>
      </c>
      <c r="F11" s="73">
        <v>39994</v>
      </c>
      <c r="G11" s="84">
        <f t="shared" ref="G11:G74" si="2">C11*$I$6</f>
        <v>138169.92006578948</v>
      </c>
      <c r="H11" s="84">
        <f t="shared" ref="H11:H74" si="3">G11</f>
        <v>138169.92006578948</v>
      </c>
    </row>
    <row r="12" spans="1:32" x14ac:dyDescent="0.2">
      <c r="A12" s="55">
        <v>3</v>
      </c>
      <c r="B12" s="55">
        <v>81</v>
      </c>
      <c r="C12" s="55">
        <f t="shared" si="0"/>
        <v>972</v>
      </c>
      <c r="D12" s="72">
        <f t="shared" si="1"/>
        <v>3.3727514990006661E-3</v>
      </c>
      <c r="E12" s="70">
        <f t="shared" ref="E12:E75" si="4">E11+D12</f>
        <v>9.8684210526315784E-3</v>
      </c>
      <c r="F12" s="73">
        <v>39995</v>
      </c>
      <c r="G12" s="84">
        <f t="shared" si="2"/>
        <v>141667.89272568288</v>
      </c>
      <c r="H12" s="84">
        <f t="shared" si="3"/>
        <v>141667.89272568288</v>
      </c>
    </row>
    <row r="13" spans="1:32" x14ac:dyDescent="0.2">
      <c r="A13" s="55">
        <v>4</v>
      </c>
      <c r="B13" s="55">
        <v>87</v>
      </c>
      <c r="C13" s="55">
        <f t="shared" si="0"/>
        <v>1044</v>
      </c>
      <c r="D13" s="72">
        <f t="shared" si="1"/>
        <v>3.622584943371086E-3</v>
      </c>
      <c r="E13" s="70">
        <f t="shared" si="4"/>
        <v>1.3491005996002664E-2</v>
      </c>
      <c r="F13" s="73">
        <v>39996</v>
      </c>
      <c r="G13" s="84">
        <f t="shared" si="2"/>
        <v>152161.81070536308</v>
      </c>
      <c r="H13" s="84">
        <f t="shared" si="3"/>
        <v>152161.81070536308</v>
      </c>
    </row>
    <row r="14" spans="1:32" x14ac:dyDescent="0.2">
      <c r="A14" s="55">
        <v>5</v>
      </c>
      <c r="B14" s="55">
        <v>92</v>
      </c>
      <c r="C14" s="55">
        <f t="shared" si="0"/>
        <v>1104</v>
      </c>
      <c r="D14" s="72">
        <f t="shared" si="1"/>
        <v>3.8307794803464357E-3</v>
      </c>
      <c r="E14" s="70">
        <f t="shared" si="4"/>
        <v>1.7321785476349098E-2</v>
      </c>
      <c r="F14" s="73">
        <v>39997</v>
      </c>
      <c r="G14" s="84">
        <f t="shared" si="2"/>
        <v>160906.74235509659</v>
      </c>
      <c r="H14" s="84">
        <f t="shared" si="3"/>
        <v>160906.74235509659</v>
      </c>
    </row>
    <row r="15" spans="1:32" x14ac:dyDescent="0.2">
      <c r="A15" s="55">
        <v>6</v>
      </c>
      <c r="B15" s="55">
        <v>92</v>
      </c>
      <c r="C15" s="55">
        <f t="shared" si="0"/>
        <v>1104</v>
      </c>
      <c r="D15" s="72">
        <f t="shared" si="1"/>
        <v>3.8307794803464357E-3</v>
      </c>
      <c r="E15" s="70">
        <f t="shared" si="4"/>
        <v>2.1152564956695534E-2</v>
      </c>
      <c r="F15" s="73">
        <v>39998</v>
      </c>
      <c r="G15" s="84">
        <f t="shared" si="2"/>
        <v>160906.74235509659</v>
      </c>
      <c r="H15" s="84">
        <f t="shared" si="3"/>
        <v>160906.74235509659</v>
      </c>
    </row>
    <row r="16" spans="1:32" x14ac:dyDescent="0.2">
      <c r="A16" s="55">
        <v>7</v>
      </c>
      <c r="B16" s="55">
        <v>3</v>
      </c>
      <c r="C16" s="55">
        <f t="shared" si="0"/>
        <v>36</v>
      </c>
      <c r="D16" s="72">
        <f t="shared" si="1"/>
        <v>1.2491672218520986E-4</v>
      </c>
      <c r="E16" s="70">
        <f t="shared" si="4"/>
        <v>2.1277481678880744E-2</v>
      </c>
      <c r="F16" s="73">
        <v>39999</v>
      </c>
      <c r="G16" s="84">
        <f t="shared" si="2"/>
        <v>5246.9589898401064</v>
      </c>
      <c r="H16" s="84">
        <f t="shared" si="3"/>
        <v>5246.9589898401064</v>
      </c>
    </row>
    <row r="17" spans="1:8" x14ac:dyDescent="0.2">
      <c r="A17" s="55">
        <v>8</v>
      </c>
      <c r="B17" s="55">
        <v>138</v>
      </c>
      <c r="C17" s="55">
        <f t="shared" si="0"/>
        <v>1656</v>
      </c>
      <c r="D17" s="72">
        <f t="shared" si="1"/>
        <v>5.7461692205196535E-3</v>
      </c>
      <c r="E17" s="70">
        <f t="shared" si="4"/>
        <v>2.7023650899400398E-2</v>
      </c>
      <c r="F17" s="73">
        <v>40000</v>
      </c>
      <c r="G17" s="84">
        <f t="shared" si="2"/>
        <v>241360.1135326449</v>
      </c>
      <c r="H17" s="84">
        <f t="shared" si="3"/>
        <v>241360.1135326449</v>
      </c>
    </row>
    <row r="18" spans="1:8" x14ac:dyDescent="0.2">
      <c r="A18" s="55">
        <v>9</v>
      </c>
      <c r="B18" s="55">
        <v>138</v>
      </c>
      <c r="C18" s="55">
        <f t="shared" si="0"/>
        <v>1656</v>
      </c>
      <c r="D18" s="72">
        <f t="shared" si="1"/>
        <v>5.7461692205196535E-3</v>
      </c>
      <c r="E18" s="70">
        <f t="shared" si="4"/>
        <v>3.2769820119920051E-2</v>
      </c>
      <c r="F18" s="73">
        <v>40001</v>
      </c>
      <c r="G18" s="84">
        <f t="shared" si="2"/>
        <v>241360.1135326449</v>
      </c>
      <c r="H18" s="84">
        <f t="shared" si="3"/>
        <v>241360.1135326449</v>
      </c>
    </row>
    <row r="19" spans="1:8" x14ac:dyDescent="0.2">
      <c r="A19" s="55">
        <v>10</v>
      </c>
      <c r="B19" s="55">
        <v>146</v>
      </c>
      <c r="C19" s="55">
        <f t="shared" si="0"/>
        <v>1752</v>
      </c>
      <c r="D19" s="72">
        <f t="shared" si="1"/>
        <v>6.0792804796802134E-3</v>
      </c>
      <c r="E19" s="70">
        <f t="shared" si="4"/>
        <v>3.8849100599600263E-2</v>
      </c>
      <c r="F19" s="73">
        <v>40002</v>
      </c>
      <c r="G19" s="84">
        <f t="shared" si="2"/>
        <v>255352.00417221853</v>
      </c>
      <c r="H19" s="84">
        <f t="shared" si="3"/>
        <v>255352.00417221853</v>
      </c>
    </row>
    <row r="20" spans="1:8" x14ac:dyDescent="0.2">
      <c r="A20" s="55">
        <v>11</v>
      </c>
      <c r="B20" s="55">
        <v>159</v>
      </c>
      <c r="C20" s="55">
        <f t="shared" si="0"/>
        <v>1908</v>
      </c>
      <c r="D20" s="72">
        <f t="shared" si="1"/>
        <v>6.6205862758161229E-3</v>
      </c>
      <c r="E20" s="70">
        <f t="shared" si="4"/>
        <v>4.5469686875416387E-2</v>
      </c>
      <c r="F20" s="73">
        <v>40003</v>
      </c>
      <c r="G20" s="84">
        <f t="shared" si="2"/>
        <v>278088.82646152563</v>
      </c>
      <c r="H20" s="84">
        <f t="shared" si="3"/>
        <v>278088.82646152563</v>
      </c>
    </row>
    <row r="21" spans="1:8" x14ac:dyDescent="0.2">
      <c r="A21" s="55">
        <v>12</v>
      </c>
      <c r="B21" s="55">
        <v>159</v>
      </c>
      <c r="C21" s="55">
        <f t="shared" si="0"/>
        <v>1908</v>
      </c>
      <c r="D21" s="72">
        <f t="shared" si="1"/>
        <v>6.6205862758161229E-3</v>
      </c>
      <c r="E21" s="70">
        <f t="shared" si="4"/>
        <v>5.2090273151232512E-2</v>
      </c>
      <c r="F21" s="73">
        <v>40004</v>
      </c>
      <c r="G21" s="84">
        <f t="shared" si="2"/>
        <v>278088.82646152563</v>
      </c>
      <c r="H21" s="84">
        <f t="shared" si="3"/>
        <v>278088.82646152563</v>
      </c>
    </row>
    <row r="22" spans="1:8" x14ac:dyDescent="0.2">
      <c r="A22" s="55">
        <v>13</v>
      </c>
      <c r="B22" s="55">
        <v>159</v>
      </c>
      <c r="C22" s="55">
        <f t="shared" si="0"/>
        <v>1908</v>
      </c>
      <c r="D22" s="72">
        <f t="shared" si="1"/>
        <v>6.6205862758161229E-3</v>
      </c>
      <c r="E22" s="70">
        <f t="shared" si="4"/>
        <v>5.8710859427048637E-2</v>
      </c>
      <c r="F22" s="73">
        <v>40005</v>
      </c>
      <c r="G22" s="84">
        <f t="shared" si="2"/>
        <v>278088.82646152563</v>
      </c>
      <c r="H22" s="84">
        <f t="shared" si="3"/>
        <v>278088.82646152563</v>
      </c>
    </row>
    <row r="23" spans="1:8" x14ac:dyDescent="0.2">
      <c r="A23" s="55">
        <v>14</v>
      </c>
      <c r="B23" s="55">
        <v>3</v>
      </c>
      <c r="C23" s="55">
        <f t="shared" si="0"/>
        <v>36</v>
      </c>
      <c r="D23" s="72">
        <f t="shared" si="1"/>
        <v>1.2491672218520986E-4</v>
      </c>
      <c r="E23" s="70">
        <f t="shared" si="4"/>
        <v>5.8835776149233847E-2</v>
      </c>
      <c r="F23" s="73">
        <v>40006</v>
      </c>
      <c r="G23" s="84">
        <f t="shared" si="2"/>
        <v>5246.9589898401064</v>
      </c>
      <c r="H23" s="84">
        <f t="shared" si="3"/>
        <v>5246.9589898401064</v>
      </c>
    </row>
    <row r="24" spans="1:8" x14ac:dyDescent="0.2">
      <c r="A24" s="55">
        <v>15</v>
      </c>
      <c r="B24" s="55">
        <v>193</v>
      </c>
      <c r="C24" s="55">
        <f t="shared" si="0"/>
        <v>2316</v>
      </c>
      <c r="D24" s="72">
        <f t="shared" si="1"/>
        <v>8.0363091272485018E-3</v>
      </c>
      <c r="E24" s="70">
        <f t="shared" si="4"/>
        <v>6.6872085276482349E-2</v>
      </c>
      <c r="F24" s="73">
        <v>40007</v>
      </c>
      <c r="G24" s="84">
        <f t="shared" si="2"/>
        <v>337554.36167971353</v>
      </c>
      <c r="H24" s="84">
        <f t="shared" si="3"/>
        <v>337554.36167971353</v>
      </c>
    </row>
    <row r="25" spans="1:8" x14ac:dyDescent="0.2">
      <c r="A25" s="55">
        <v>16</v>
      </c>
      <c r="B25" s="55">
        <v>193</v>
      </c>
      <c r="C25" s="55">
        <f t="shared" si="0"/>
        <v>2316</v>
      </c>
      <c r="D25" s="72">
        <f t="shared" si="1"/>
        <v>8.0363091272485018E-3</v>
      </c>
      <c r="E25" s="70">
        <f t="shared" si="4"/>
        <v>7.4908394403730844E-2</v>
      </c>
      <c r="F25" s="73">
        <v>40008</v>
      </c>
      <c r="G25" s="84">
        <f t="shared" si="2"/>
        <v>337554.36167971353</v>
      </c>
      <c r="H25" s="84">
        <f t="shared" si="3"/>
        <v>337554.36167971353</v>
      </c>
    </row>
    <row r="26" spans="1:8" x14ac:dyDescent="0.2">
      <c r="A26" s="55">
        <v>17</v>
      </c>
      <c r="B26" s="55">
        <v>201</v>
      </c>
      <c r="C26" s="55">
        <f t="shared" si="0"/>
        <v>2412</v>
      </c>
      <c r="D26" s="72">
        <f t="shared" si="1"/>
        <v>8.3694203864090599E-3</v>
      </c>
      <c r="E26" s="70">
        <f t="shared" si="4"/>
        <v>8.3277814790139904E-2</v>
      </c>
      <c r="F26" s="73">
        <v>40009</v>
      </c>
      <c r="G26" s="84">
        <f t="shared" si="2"/>
        <v>351546.25231928716</v>
      </c>
      <c r="H26" s="84">
        <f t="shared" si="3"/>
        <v>351546.25231928716</v>
      </c>
    </row>
    <row r="27" spans="1:8" x14ac:dyDescent="0.2">
      <c r="A27" s="55">
        <v>18</v>
      </c>
      <c r="B27" s="55">
        <v>235</v>
      </c>
      <c r="C27" s="55">
        <f t="shared" si="0"/>
        <v>2820</v>
      </c>
      <c r="D27" s="72">
        <f t="shared" si="1"/>
        <v>9.7851432378414389E-3</v>
      </c>
      <c r="E27" s="70">
        <f t="shared" si="4"/>
        <v>9.3062958027981341E-2</v>
      </c>
      <c r="F27" s="73">
        <v>40010</v>
      </c>
      <c r="G27" s="84">
        <f t="shared" si="2"/>
        <v>411011.787537475</v>
      </c>
      <c r="H27" s="84">
        <f t="shared" si="3"/>
        <v>411011.787537475</v>
      </c>
    </row>
    <row r="28" spans="1:8" x14ac:dyDescent="0.2">
      <c r="A28" s="55">
        <v>19</v>
      </c>
      <c r="B28" s="55">
        <v>229</v>
      </c>
      <c r="C28" s="55">
        <f t="shared" si="0"/>
        <v>2748</v>
      </c>
      <c r="D28" s="72">
        <f t="shared" si="1"/>
        <v>9.5353097934710185E-3</v>
      </c>
      <c r="E28" s="70">
        <f t="shared" si="4"/>
        <v>0.10259826782145236</v>
      </c>
      <c r="F28" s="73">
        <v>40011</v>
      </c>
      <c r="G28" s="84">
        <f t="shared" si="2"/>
        <v>400517.86955779482</v>
      </c>
      <c r="H28" s="84">
        <f t="shared" si="3"/>
        <v>400517.86955779482</v>
      </c>
    </row>
    <row r="29" spans="1:8" x14ac:dyDescent="0.2">
      <c r="A29" s="55">
        <v>20</v>
      </c>
      <c r="B29" s="55">
        <v>229</v>
      </c>
      <c r="C29" s="55">
        <f t="shared" si="0"/>
        <v>2748</v>
      </c>
      <c r="D29" s="72">
        <f t="shared" si="1"/>
        <v>9.5353097934710185E-3</v>
      </c>
      <c r="E29" s="70">
        <f t="shared" si="4"/>
        <v>0.11213357761492337</v>
      </c>
      <c r="F29" s="73">
        <v>40012</v>
      </c>
      <c r="G29" s="84">
        <f t="shared" si="2"/>
        <v>400517.86955779482</v>
      </c>
      <c r="H29" s="84">
        <f t="shared" si="3"/>
        <v>400517.86955779482</v>
      </c>
    </row>
    <row r="30" spans="1:8" x14ac:dyDescent="0.2">
      <c r="A30" s="55">
        <v>21</v>
      </c>
      <c r="B30" s="55">
        <v>3</v>
      </c>
      <c r="C30" s="55">
        <f t="shared" si="0"/>
        <v>36</v>
      </c>
      <c r="D30" s="72">
        <f t="shared" si="1"/>
        <v>1.2491672218520986E-4</v>
      </c>
      <c r="E30" s="70">
        <f t="shared" si="4"/>
        <v>0.11225849433710858</v>
      </c>
      <c r="F30" s="73">
        <v>40013</v>
      </c>
      <c r="G30" s="84">
        <f t="shared" si="2"/>
        <v>5246.9589898401064</v>
      </c>
      <c r="H30" s="84">
        <f t="shared" si="3"/>
        <v>5246.9589898401064</v>
      </c>
    </row>
    <row r="31" spans="1:8" x14ac:dyDescent="0.2">
      <c r="A31" s="55">
        <v>22</v>
      </c>
      <c r="B31" s="55">
        <v>247</v>
      </c>
      <c r="C31" s="55">
        <f t="shared" si="0"/>
        <v>2964</v>
      </c>
      <c r="D31" s="72">
        <f t="shared" si="1"/>
        <v>1.0284810126582278E-2</v>
      </c>
      <c r="E31" s="70">
        <f t="shared" si="4"/>
        <v>0.12254330446369086</v>
      </c>
      <c r="F31" s="73">
        <v>40014</v>
      </c>
      <c r="G31" s="84">
        <f t="shared" si="2"/>
        <v>431999.62349683547</v>
      </c>
      <c r="H31" s="84">
        <f t="shared" si="3"/>
        <v>431999.62349683547</v>
      </c>
    </row>
    <row r="32" spans="1:8" x14ac:dyDescent="0.2">
      <c r="A32" s="55">
        <v>23</v>
      </c>
      <c r="B32" s="55">
        <v>247</v>
      </c>
      <c r="C32" s="55">
        <f t="shared" si="0"/>
        <v>2964</v>
      </c>
      <c r="D32" s="72">
        <f t="shared" si="1"/>
        <v>1.0284810126582278E-2</v>
      </c>
      <c r="E32" s="70">
        <f t="shared" si="4"/>
        <v>0.13282811459027313</v>
      </c>
      <c r="F32" s="73">
        <v>40015</v>
      </c>
      <c r="G32" s="84">
        <f t="shared" si="2"/>
        <v>431999.62349683547</v>
      </c>
      <c r="H32" s="84">
        <f t="shared" si="3"/>
        <v>431999.62349683547</v>
      </c>
    </row>
    <row r="33" spans="1:8" x14ac:dyDescent="0.2">
      <c r="A33" s="55">
        <v>24</v>
      </c>
      <c r="B33" s="55">
        <v>257</v>
      </c>
      <c r="C33" s="55">
        <f t="shared" si="0"/>
        <v>3084</v>
      </c>
      <c r="D33" s="72">
        <f t="shared" si="1"/>
        <v>1.0701199200532977E-2</v>
      </c>
      <c r="E33" s="70">
        <f t="shared" si="4"/>
        <v>0.14352931379080611</v>
      </c>
      <c r="F33" s="73">
        <v>40016</v>
      </c>
      <c r="G33" s="84">
        <f t="shared" si="2"/>
        <v>449489.48679630249</v>
      </c>
      <c r="H33" s="84">
        <f t="shared" si="3"/>
        <v>449489.48679630249</v>
      </c>
    </row>
    <row r="34" spans="1:8" x14ac:dyDescent="0.2">
      <c r="A34" s="55">
        <v>25</v>
      </c>
      <c r="B34" s="55">
        <v>286</v>
      </c>
      <c r="C34" s="55">
        <f t="shared" si="0"/>
        <v>3432</v>
      </c>
      <c r="D34" s="72">
        <f t="shared" si="1"/>
        <v>1.1908727514990006E-2</v>
      </c>
      <c r="E34" s="70">
        <f t="shared" si="4"/>
        <v>0.15543804130579611</v>
      </c>
      <c r="F34" s="73">
        <v>40017</v>
      </c>
      <c r="G34" s="84">
        <f t="shared" si="2"/>
        <v>500210.09036475682</v>
      </c>
      <c r="H34" s="84">
        <f t="shared" si="3"/>
        <v>500210.09036475682</v>
      </c>
    </row>
    <row r="35" spans="1:8" x14ac:dyDescent="0.2">
      <c r="A35" s="55">
        <v>26</v>
      </c>
      <c r="B35" s="55">
        <v>306</v>
      </c>
      <c r="C35" s="55">
        <f t="shared" si="0"/>
        <v>3672</v>
      </c>
      <c r="D35" s="72">
        <f t="shared" si="1"/>
        <v>1.2741505662891405E-2</v>
      </c>
      <c r="E35" s="70">
        <f t="shared" si="4"/>
        <v>0.1681795469686875</v>
      </c>
      <c r="F35" s="73">
        <v>40018</v>
      </c>
      <c r="G35" s="84">
        <f t="shared" si="2"/>
        <v>535189.81696369092</v>
      </c>
      <c r="H35" s="84">
        <f t="shared" si="3"/>
        <v>535189.81696369092</v>
      </c>
    </row>
    <row r="36" spans="1:8" x14ac:dyDescent="0.2">
      <c r="A36" s="55">
        <v>27</v>
      </c>
      <c r="B36" s="55">
        <v>322</v>
      </c>
      <c r="C36" s="55">
        <f t="shared" si="0"/>
        <v>3864</v>
      </c>
      <c r="D36" s="72">
        <f t="shared" si="1"/>
        <v>1.3407728181212525E-2</v>
      </c>
      <c r="E36" s="70">
        <f t="shared" si="4"/>
        <v>0.18158727514990003</v>
      </c>
      <c r="F36" s="73">
        <v>40019</v>
      </c>
      <c r="G36" s="84">
        <f t="shared" si="2"/>
        <v>563173.59824283805</v>
      </c>
      <c r="H36" s="84">
        <f t="shared" si="3"/>
        <v>563173.59824283805</v>
      </c>
    </row>
    <row r="37" spans="1:8" x14ac:dyDescent="0.2">
      <c r="A37" s="55">
        <v>28</v>
      </c>
      <c r="B37" s="55">
        <v>39</v>
      </c>
      <c r="C37" s="55">
        <f t="shared" si="0"/>
        <v>468</v>
      </c>
      <c r="D37" s="72">
        <f t="shared" si="1"/>
        <v>1.6239173884077282E-3</v>
      </c>
      <c r="E37" s="70">
        <f t="shared" si="4"/>
        <v>0.18321119253830775</v>
      </c>
      <c r="F37" s="73">
        <v>40020</v>
      </c>
      <c r="G37" s="84">
        <f t="shared" si="2"/>
        <v>68210.466867921379</v>
      </c>
      <c r="H37" s="84">
        <f t="shared" si="3"/>
        <v>68210.466867921379</v>
      </c>
    </row>
    <row r="38" spans="1:8" x14ac:dyDescent="0.2">
      <c r="A38" s="55">
        <v>29</v>
      </c>
      <c r="B38" s="55">
        <v>359</v>
      </c>
      <c r="C38" s="55">
        <f t="shared" si="0"/>
        <v>4308</v>
      </c>
      <c r="D38" s="72">
        <f t="shared" si="1"/>
        <v>1.4948367754830114E-2</v>
      </c>
      <c r="E38" s="70">
        <f t="shared" si="4"/>
        <v>0.19815956029313786</v>
      </c>
      <c r="F38" s="73">
        <v>40021</v>
      </c>
      <c r="G38" s="84">
        <f t="shared" si="2"/>
        <v>627886.09245086613</v>
      </c>
      <c r="H38" s="84">
        <f t="shared" si="3"/>
        <v>627886.09245086613</v>
      </c>
    </row>
    <row r="39" spans="1:8" x14ac:dyDescent="0.2">
      <c r="A39" s="55">
        <v>30</v>
      </c>
      <c r="B39" s="55">
        <v>359</v>
      </c>
      <c r="C39" s="55">
        <f t="shared" si="0"/>
        <v>4308</v>
      </c>
      <c r="D39" s="72">
        <f t="shared" si="1"/>
        <v>1.4948367754830114E-2</v>
      </c>
      <c r="E39" s="70">
        <f t="shared" si="4"/>
        <v>0.21310792804796796</v>
      </c>
      <c r="F39" s="73">
        <v>40022</v>
      </c>
      <c r="G39" s="84">
        <f t="shared" si="2"/>
        <v>627886.09245086613</v>
      </c>
      <c r="H39" s="84">
        <f t="shared" si="3"/>
        <v>627886.09245086613</v>
      </c>
    </row>
    <row r="40" spans="1:8" x14ac:dyDescent="0.2">
      <c r="A40" s="55">
        <v>31</v>
      </c>
      <c r="B40" s="55">
        <v>359</v>
      </c>
      <c r="C40" s="55">
        <f t="shared" si="0"/>
        <v>4308</v>
      </c>
      <c r="D40" s="72">
        <f t="shared" si="1"/>
        <v>1.4948367754830114E-2</v>
      </c>
      <c r="E40" s="70">
        <f t="shared" si="4"/>
        <v>0.22805629580279807</v>
      </c>
      <c r="F40" s="73">
        <v>40023</v>
      </c>
      <c r="G40" s="84">
        <f t="shared" si="2"/>
        <v>627886.09245086613</v>
      </c>
      <c r="H40" s="84">
        <f t="shared" si="3"/>
        <v>627886.09245086613</v>
      </c>
    </row>
    <row r="41" spans="1:8" x14ac:dyDescent="0.2">
      <c r="A41" s="55">
        <v>32</v>
      </c>
      <c r="B41" s="55">
        <v>368</v>
      </c>
      <c r="C41" s="55">
        <f t="shared" si="0"/>
        <v>4416</v>
      </c>
      <c r="D41" s="72">
        <f t="shared" si="1"/>
        <v>1.5323117921385743E-2</v>
      </c>
      <c r="E41" s="70">
        <f t="shared" si="4"/>
        <v>0.24337941372418381</v>
      </c>
      <c r="F41" s="73">
        <v>40024</v>
      </c>
      <c r="G41" s="84">
        <f t="shared" si="2"/>
        <v>643626.96942038636</v>
      </c>
      <c r="H41" s="84">
        <f t="shared" si="3"/>
        <v>643626.96942038636</v>
      </c>
    </row>
    <row r="42" spans="1:8" x14ac:dyDescent="0.2">
      <c r="A42" s="55">
        <v>33</v>
      </c>
      <c r="B42" s="55">
        <v>388</v>
      </c>
      <c r="C42" s="55">
        <f t="shared" si="0"/>
        <v>4656</v>
      </c>
      <c r="D42" s="72">
        <f t="shared" si="1"/>
        <v>1.6155896069287141E-2</v>
      </c>
      <c r="E42" s="70">
        <f t="shared" si="4"/>
        <v>0.25953530979347095</v>
      </c>
      <c r="F42" s="73">
        <v>40025</v>
      </c>
      <c r="G42" s="84">
        <f t="shared" si="2"/>
        <v>678606.6960193204</v>
      </c>
      <c r="H42" s="84">
        <f t="shared" si="3"/>
        <v>678606.6960193204</v>
      </c>
    </row>
    <row r="43" spans="1:8" x14ac:dyDescent="0.2">
      <c r="A43" s="55">
        <v>34</v>
      </c>
      <c r="B43" s="55">
        <v>388</v>
      </c>
      <c r="C43" s="55">
        <f t="shared" si="0"/>
        <v>4656</v>
      </c>
      <c r="D43" s="72">
        <f t="shared" si="1"/>
        <v>1.6155896069287141E-2</v>
      </c>
      <c r="E43" s="70">
        <f t="shared" si="4"/>
        <v>0.27569120586275808</v>
      </c>
      <c r="F43" s="73">
        <v>40026</v>
      </c>
      <c r="G43" s="84">
        <f t="shared" si="2"/>
        <v>678606.6960193204</v>
      </c>
      <c r="H43" s="84">
        <f t="shared" si="3"/>
        <v>678606.6960193204</v>
      </c>
    </row>
    <row r="44" spans="1:8" x14ac:dyDescent="0.2">
      <c r="A44" s="55">
        <v>35</v>
      </c>
      <c r="B44" s="55">
        <v>58</v>
      </c>
      <c r="C44" s="55">
        <f t="shared" si="0"/>
        <v>696</v>
      </c>
      <c r="D44" s="72">
        <f t="shared" si="1"/>
        <v>2.4150566289140572E-3</v>
      </c>
      <c r="E44" s="70">
        <f t="shared" si="4"/>
        <v>0.27810626249167214</v>
      </c>
      <c r="F44" s="73">
        <v>40027</v>
      </c>
      <c r="G44" s="84">
        <f t="shared" si="2"/>
        <v>101441.20713690872</v>
      </c>
      <c r="H44" s="84">
        <f t="shared" si="3"/>
        <v>101441.20713690872</v>
      </c>
    </row>
    <row r="45" spans="1:8" x14ac:dyDescent="0.2">
      <c r="A45" s="55">
        <v>36</v>
      </c>
      <c r="B45" s="55">
        <v>58</v>
      </c>
      <c r="C45" s="55">
        <f t="shared" si="0"/>
        <v>696</v>
      </c>
      <c r="D45" s="72">
        <f t="shared" si="1"/>
        <v>2.4150566289140572E-3</v>
      </c>
      <c r="E45" s="70">
        <f t="shared" si="4"/>
        <v>0.2805213191205862</v>
      </c>
      <c r="F45" s="73">
        <v>40028</v>
      </c>
      <c r="G45" s="84">
        <f t="shared" si="2"/>
        <v>101441.20713690872</v>
      </c>
      <c r="H45" s="84">
        <f t="shared" si="3"/>
        <v>101441.20713690872</v>
      </c>
    </row>
    <row r="46" spans="1:8" x14ac:dyDescent="0.2">
      <c r="A46" s="55">
        <v>37</v>
      </c>
      <c r="B46" s="55">
        <v>421</v>
      </c>
      <c r="C46" s="55">
        <f t="shared" si="0"/>
        <v>5052</v>
      </c>
      <c r="D46" s="72">
        <f t="shared" si="1"/>
        <v>1.752998001332445E-2</v>
      </c>
      <c r="E46" s="70">
        <f t="shared" si="4"/>
        <v>0.29805129913391065</v>
      </c>
      <c r="F46" s="73">
        <v>40029</v>
      </c>
      <c r="G46" s="84">
        <f t="shared" si="2"/>
        <v>736323.24490756157</v>
      </c>
      <c r="H46" s="84">
        <f t="shared" si="3"/>
        <v>736323.24490756157</v>
      </c>
    </row>
    <row r="47" spans="1:8" x14ac:dyDescent="0.2">
      <c r="A47" s="55">
        <v>38</v>
      </c>
      <c r="B47" s="55">
        <v>440</v>
      </c>
      <c r="C47" s="55">
        <f t="shared" si="0"/>
        <v>5280</v>
      </c>
      <c r="D47" s="72">
        <f t="shared" si="1"/>
        <v>1.832111925383078E-2</v>
      </c>
      <c r="E47" s="70">
        <f t="shared" si="4"/>
        <v>0.31637241838774144</v>
      </c>
      <c r="F47" s="73">
        <v>40030</v>
      </c>
      <c r="G47" s="84">
        <f t="shared" si="2"/>
        <v>769553.98517654894</v>
      </c>
      <c r="H47" s="84">
        <f t="shared" si="3"/>
        <v>769553.98517654894</v>
      </c>
    </row>
    <row r="48" spans="1:8" x14ac:dyDescent="0.2">
      <c r="A48" s="55">
        <v>39</v>
      </c>
      <c r="B48" s="55">
        <v>442</v>
      </c>
      <c r="C48" s="55">
        <f t="shared" si="0"/>
        <v>5304</v>
      </c>
      <c r="D48" s="72">
        <f t="shared" si="1"/>
        <v>1.8404397068620921E-2</v>
      </c>
      <c r="E48" s="70">
        <f t="shared" si="4"/>
        <v>0.33477681545636234</v>
      </c>
      <c r="F48" s="73">
        <v>40031</v>
      </c>
      <c r="G48" s="84">
        <f t="shared" si="2"/>
        <v>773051.95783644239</v>
      </c>
      <c r="H48" s="84">
        <f t="shared" si="3"/>
        <v>773051.95783644239</v>
      </c>
    </row>
    <row r="49" spans="1:8" x14ac:dyDescent="0.2">
      <c r="A49" s="55">
        <v>40</v>
      </c>
      <c r="B49" s="55">
        <v>438</v>
      </c>
      <c r="C49" s="55">
        <f t="shared" si="0"/>
        <v>5256</v>
      </c>
      <c r="D49" s="72">
        <f t="shared" si="1"/>
        <v>1.8237841439040638E-2</v>
      </c>
      <c r="E49" s="70">
        <f t="shared" si="4"/>
        <v>0.35301465689540296</v>
      </c>
      <c r="F49" s="73">
        <v>40032</v>
      </c>
      <c r="G49" s="84">
        <f t="shared" si="2"/>
        <v>766056.01251665561</v>
      </c>
      <c r="H49" s="84">
        <f t="shared" si="3"/>
        <v>766056.01251665561</v>
      </c>
    </row>
    <row r="50" spans="1:8" x14ac:dyDescent="0.2">
      <c r="A50" s="55">
        <v>41</v>
      </c>
      <c r="B50" s="55">
        <v>438</v>
      </c>
      <c r="C50" s="55">
        <f t="shared" si="0"/>
        <v>5256</v>
      </c>
      <c r="D50" s="72">
        <f t="shared" si="1"/>
        <v>1.8237841439040638E-2</v>
      </c>
      <c r="E50" s="70">
        <f t="shared" si="4"/>
        <v>0.37125249833444357</v>
      </c>
      <c r="F50" s="73">
        <v>40033</v>
      </c>
      <c r="G50" s="84">
        <f t="shared" si="2"/>
        <v>766056.01251665561</v>
      </c>
      <c r="H50" s="84">
        <f t="shared" si="3"/>
        <v>766056.01251665561</v>
      </c>
    </row>
    <row r="51" spans="1:8" x14ac:dyDescent="0.2">
      <c r="A51" s="55">
        <v>42</v>
      </c>
      <c r="B51" s="55">
        <v>58</v>
      </c>
      <c r="C51" s="55">
        <f t="shared" si="0"/>
        <v>696</v>
      </c>
      <c r="D51" s="72">
        <f t="shared" si="1"/>
        <v>2.4150566289140572E-3</v>
      </c>
      <c r="E51" s="70">
        <f t="shared" si="4"/>
        <v>0.37366755496335763</v>
      </c>
      <c r="F51" s="73">
        <v>40034</v>
      </c>
      <c r="G51" s="84">
        <f t="shared" si="2"/>
        <v>101441.20713690872</v>
      </c>
      <c r="H51" s="84">
        <f t="shared" si="3"/>
        <v>101441.20713690872</v>
      </c>
    </row>
    <row r="52" spans="1:8" x14ac:dyDescent="0.2">
      <c r="A52" s="55">
        <v>43</v>
      </c>
      <c r="B52" s="55">
        <v>444</v>
      </c>
      <c r="C52" s="55">
        <f t="shared" si="0"/>
        <v>5328</v>
      </c>
      <c r="D52" s="72">
        <f t="shared" si="1"/>
        <v>1.8487674883411059E-2</v>
      </c>
      <c r="E52" s="70">
        <f t="shared" si="4"/>
        <v>0.3921552298467687</v>
      </c>
      <c r="F52" s="73">
        <v>40035</v>
      </c>
      <c r="G52" s="84">
        <f t="shared" si="2"/>
        <v>776549.93049633573</v>
      </c>
      <c r="H52" s="84">
        <f t="shared" si="3"/>
        <v>776549.93049633573</v>
      </c>
    </row>
    <row r="53" spans="1:8" x14ac:dyDescent="0.2">
      <c r="A53" s="55">
        <v>44</v>
      </c>
      <c r="B53" s="55">
        <v>444</v>
      </c>
      <c r="C53" s="55">
        <f t="shared" si="0"/>
        <v>5328</v>
      </c>
      <c r="D53" s="72">
        <f t="shared" si="1"/>
        <v>1.8487674883411059E-2</v>
      </c>
      <c r="E53" s="70">
        <f t="shared" si="4"/>
        <v>0.41064290473017978</v>
      </c>
      <c r="F53" s="73">
        <v>40036</v>
      </c>
      <c r="G53" s="84">
        <f t="shared" si="2"/>
        <v>776549.93049633573</v>
      </c>
      <c r="H53" s="84">
        <f t="shared" si="3"/>
        <v>776549.93049633573</v>
      </c>
    </row>
    <row r="54" spans="1:8" x14ac:dyDescent="0.2">
      <c r="A54" s="55">
        <v>45</v>
      </c>
      <c r="B54" s="55">
        <v>448</v>
      </c>
      <c r="C54" s="55">
        <f t="shared" si="0"/>
        <v>5376</v>
      </c>
      <c r="D54" s="72">
        <f t="shared" si="1"/>
        <v>1.8654230512991338E-2</v>
      </c>
      <c r="E54" s="70">
        <f t="shared" si="4"/>
        <v>0.42929713524317115</v>
      </c>
      <c r="F54" s="73">
        <v>40037</v>
      </c>
      <c r="G54" s="84">
        <f t="shared" si="2"/>
        <v>783545.87581612263</v>
      </c>
      <c r="H54" s="84">
        <f t="shared" si="3"/>
        <v>783545.87581612263</v>
      </c>
    </row>
    <row r="55" spans="1:8" x14ac:dyDescent="0.2">
      <c r="A55" s="55">
        <v>46</v>
      </c>
      <c r="B55" s="55">
        <v>443</v>
      </c>
      <c r="C55" s="55">
        <f t="shared" si="0"/>
        <v>5316</v>
      </c>
      <c r="D55" s="72">
        <f t="shared" si="1"/>
        <v>1.844603597601599E-2</v>
      </c>
      <c r="E55" s="70">
        <f t="shared" si="4"/>
        <v>0.44774317121918716</v>
      </c>
      <c r="F55" s="73">
        <v>40038</v>
      </c>
      <c r="G55" s="84">
        <f t="shared" si="2"/>
        <v>774800.94416638906</v>
      </c>
      <c r="H55" s="84">
        <f t="shared" si="3"/>
        <v>774800.94416638906</v>
      </c>
    </row>
    <row r="56" spans="1:8" x14ac:dyDescent="0.2">
      <c r="A56" s="55">
        <v>47</v>
      </c>
      <c r="B56" s="55">
        <v>432</v>
      </c>
      <c r="C56" s="55">
        <f t="shared" si="0"/>
        <v>5184</v>
      </c>
      <c r="D56" s="72">
        <f t="shared" si="1"/>
        <v>1.7988007994670221E-2</v>
      </c>
      <c r="E56" s="70">
        <f t="shared" si="4"/>
        <v>0.46573117921385737</v>
      </c>
      <c r="F56" s="73">
        <v>40039</v>
      </c>
      <c r="G56" s="84">
        <f t="shared" si="2"/>
        <v>755562.09453697538</v>
      </c>
      <c r="H56" s="84">
        <f t="shared" si="3"/>
        <v>755562.09453697538</v>
      </c>
    </row>
    <row r="57" spans="1:8" x14ac:dyDescent="0.2">
      <c r="A57" s="55">
        <v>48</v>
      </c>
      <c r="B57" s="55">
        <v>432</v>
      </c>
      <c r="C57" s="55">
        <f t="shared" si="0"/>
        <v>5184</v>
      </c>
      <c r="D57" s="72">
        <f t="shared" si="1"/>
        <v>1.7988007994670221E-2</v>
      </c>
      <c r="E57" s="70">
        <f t="shared" si="4"/>
        <v>0.48371918720852758</v>
      </c>
      <c r="F57" s="73">
        <v>40040</v>
      </c>
      <c r="G57" s="84">
        <f t="shared" si="2"/>
        <v>755562.09453697538</v>
      </c>
      <c r="H57" s="84">
        <f t="shared" si="3"/>
        <v>755562.09453697538</v>
      </c>
    </row>
    <row r="58" spans="1:8" x14ac:dyDescent="0.2">
      <c r="A58" s="55">
        <v>49</v>
      </c>
      <c r="B58" s="55">
        <v>58</v>
      </c>
      <c r="C58" s="55">
        <f t="shared" si="0"/>
        <v>696</v>
      </c>
      <c r="D58" s="72">
        <f t="shared" si="1"/>
        <v>2.4150566289140572E-3</v>
      </c>
      <c r="E58" s="70">
        <f t="shared" si="4"/>
        <v>0.48613424383744164</v>
      </c>
      <c r="F58" s="73">
        <v>40041</v>
      </c>
      <c r="G58" s="84">
        <f t="shared" si="2"/>
        <v>101441.20713690872</v>
      </c>
      <c r="H58" s="84">
        <f t="shared" si="3"/>
        <v>101441.20713690872</v>
      </c>
    </row>
    <row r="59" spans="1:8" x14ac:dyDescent="0.2">
      <c r="A59" s="55">
        <v>50</v>
      </c>
      <c r="B59" s="55">
        <v>415</v>
      </c>
      <c r="C59" s="55">
        <f t="shared" si="0"/>
        <v>4980</v>
      </c>
      <c r="D59" s="72">
        <f t="shared" si="1"/>
        <v>1.7280146568954029E-2</v>
      </c>
      <c r="E59" s="70">
        <f t="shared" si="4"/>
        <v>0.50341439040639568</v>
      </c>
      <c r="F59" s="73">
        <v>40042</v>
      </c>
      <c r="G59" s="84">
        <f t="shared" si="2"/>
        <v>725829.32692788146</v>
      </c>
      <c r="H59" s="84">
        <f t="shared" si="3"/>
        <v>725829.32692788146</v>
      </c>
    </row>
    <row r="60" spans="1:8" x14ac:dyDescent="0.2">
      <c r="A60" s="55">
        <v>51</v>
      </c>
      <c r="B60" s="55">
        <v>415</v>
      </c>
      <c r="C60" s="55">
        <f t="shared" si="0"/>
        <v>4980</v>
      </c>
      <c r="D60" s="72">
        <f t="shared" si="1"/>
        <v>1.7280146568954029E-2</v>
      </c>
      <c r="E60" s="70">
        <f t="shared" si="4"/>
        <v>0.52069453697534973</v>
      </c>
      <c r="F60" s="73">
        <v>40043</v>
      </c>
      <c r="G60" s="84">
        <f t="shared" si="2"/>
        <v>725829.32692788146</v>
      </c>
      <c r="H60" s="84">
        <f t="shared" si="3"/>
        <v>725829.32692788146</v>
      </c>
    </row>
    <row r="61" spans="1:8" x14ac:dyDescent="0.2">
      <c r="A61" s="55">
        <v>52</v>
      </c>
      <c r="B61" s="55">
        <v>421</v>
      </c>
      <c r="C61" s="55">
        <f t="shared" si="0"/>
        <v>5052</v>
      </c>
      <c r="D61" s="72">
        <f t="shared" si="1"/>
        <v>1.752998001332445E-2</v>
      </c>
      <c r="E61" s="70">
        <f t="shared" si="4"/>
        <v>0.53822451698867413</v>
      </c>
      <c r="F61" s="73">
        <v>40044</v>
      </c>
      <c r="G61" s="84">
        <f t="shared" si="2"/>
        <v>736323.24490756157</v>
      </c>
      <c r="H61" s="84">
        <f t="shared" si="3"/>
        <v>736323.24490756157</v>
      </c>
    </row>
    <row r="62" spans="1:8" x14ac:dyDescent="0.2">
      <c r="A62" s="55">
        <v>53</v>
      </c>
      <c r="B62" s="55">
        <v>417</v>
      </c>
      <c r="C62" s="55">
        <f t="shared" si="0"/>
        <v>5004</v>
      </c>
      <c r="D62" s="72">
        <f t="shared" si="1"/>
        <v>1.7363424383744171E-2</v>
      </c>
      <c r="E62" s="70">
        <f t="shared" si="4"/>
        <v>0.55558794137241829</v>
      </c>
      <c r="F62" s="73">
        <v>40045</v>
      </c>
      <c r="G62" s="84">
        <f t="shared" si="2"/>
        <v>729327.29958777479</v>
      </c>
      <c r="H62" s="84">
        <f t="shared" si="3"/>
        <v>729327.29958777479</v>
      </c>
    </row>
    <row r="63" spans="1:8" x14ac:dyDescent="0.2">
      <c r="A63" s="55">
        <v>54</v>
      </c>
      <c r="B63" s="55">
        <v>417</v>
      </c>
      <c r="C63" s="55">
        <f t="shared" si="0"/>
        <v>5004</v>
      </c>
      <c r="D63" s="72">
        <f t="shared" si="1"/>
        <v>1.7363424383744171E-2</v>
      </c>
      <c r="E63" s="70">
        <f t="shared" si="4"/>
        <v>0.57295136575616246</v>
      </c>
      <c r="F63" s="73">
        <v>40046</v>
      </c>
      <c r="G63" s="84">
        <f t="shared" si="2"/>
        <v>729327.29958777479</v>
      </c>
      <c r="H63" s="84">
        <f t="shared" si="3"/>
        <v>729327.29958777479</v>
      </c>
    </row>
    <row r="64" spans="1:8" x14ac:dyDescent="0.2">
      <c r="A64" s="55">
        <v>55</v>
      </c>
      <c r="B64" s="55">
        <v>417</v>
      </c>
      <c r="C64" s="55">
        <f t="shared" si="0"/>
        <v>5004</v>
      </c>
      <c r="D64" s="72">
        <f t="shared" si="1"/>
        <v>1.7363424383744171E-2</v>
      </c>
      <c r="E64" s="70">
        <f t="shared" si="4"/>
        <v>0.59031479013990662</v>
      </c>
      <c r="F64" s="73">
        <v>40047</v>
      </c>
      <c r="G64" s="84">
        <f t="shared" si="2"/>
        <v>729327.29958777479</v>
      </c>
      <c r="H64" s="84">
        <f t="shared" si="3"/>
        <v>729327.29958777479</v>
      </c>
    </row>
    <row r="65" spans="1:8" x14ac:dyDescent="0.2">
      <c r="A65" s="55">
        <v>56</v>
      </c>
      <c r="B65" s="55">
        <v>50</v>
      </c>
      <c r="C65" s="55">
        <f t="shared" si="0"/>
        <v>600</v>
      </c>
      <c r="D65" s="72">
        <f t="shared" si="1"/>
        <v>2.0819453697534978E-3</v>
      </c>
      <c r="E65" s="70">
        <f t="shared" si="4"/>
        <v>0.5923967355096601</v>
      </c>
      <c r="F65" s="73">
        <v>40048</v>
      </c>
      <c r="G65" s="84">
        <f t="shared" si="2"/>
        <v>87449.316497335109</v>
      </c>
      <c r="H65" s="84">
        <f t="shared" si="3"/>
        <v>87449.316497335109</v>
      </c>
    </row>
    <row r="66" spans="1:8" x14ac:dyDescent="0.2">
      <c r="A66" s="55">
        <v>57</v>
      </c>
      <c r="B66" s="55">
        <v>386</v>
      </c>
      <c r="C66" s="55">
        <f t="shared" si="0"/>
        <v>4632</v>
      </c>
      <c r="D66" s="72">
        <f t="shared" si="1"/>
        <v>1.6072618254497004E-2</v>
      </c>
      <c r="E66" s="70">
        <f t="shared" si="4"/>
        <v>0.60846935376415712</v>
      </c>
      <c r="F66" s="73">
        <v>40049</v>
      </c>
      <c r="G66" s="84">
        <f t="shared" si="2"/>
        <v>675108.72335942707</v>
      </c>
      <c r="H66" s="84">
        <f t="shared" si="3"/>
        <v>675108.72335942707</v>
      </c>
    </row>
    <row r="67" spans="1:8" x14ac:dyDescent="0.2">
      <c r="A67" s="55">
        <v>58</v>
      </c>
      <c r="B67" s="55">
        <v>386</v>
      </c>
      <c r="C67" s="55">
        <f t="shared" si="0"/>
        <v>4632</v>
      </c>
      <c r="D67" s="72">
        <f t="shared" si="1"/>
        <v>1.6072618254497004E-2</v>
      </c>
      <c r="E67" s="70">
        <f t="shared" si="4"/>
        <v>0.62454197201865413</v>
      </c>
      <c r="F67" s="73">
        <v>40050</v>
      </c>
      <c r="G67" s="84">
        <f t="shared" si="2"/>
        <v>675108.72335942707</v>
      </c>
      <c r="H67" s="84">
        <f t="shared" si="3"/>
        <v>675108.72335942707</v>
      </c>
    </row>
    <row r="68" spans="1:8" x14ac:dyDescent="0.2">
      <c r="A68" s="55">
        <v>59</v>
      </c>
      <c r="B68" s="55">
        <v>386</v>
      </c>
      <c r="C68" s="55">
        <f t="shared" si="0"/>
        <v>4632</v>
      </c>
      <c r="D68" s="72">
        <f t="shared" si="1"/>
        <v>1.6072618254497004E-2</v>
      </c>
      <c r="E68" s="70">
        <f t="shared" si="4"/>
        <v>0.64061459027315115</v>
      </c>
      <c r="F68" s="73">
        <v>40051</v>
      </c>
      <c r="G68" s="84">
        <f t="shared" si="2"/>
        <v>675108.72335942707</v>
      </c>
      <c r="H68" s="84">
        <f t="shared" si="3"/>
        <v>675108.72335942707</v>
      </c>
    </row>
    <row r="69" spans="1:8" x14ac:dyDescent="0.2">
      <c r="A69" s="55">
        <v>60</v>
      </c>
      <c r="B69" s="55">
        <v>386</v>
      </c>
      <c r="C69" s="55">
        <f t="shared" si="0"/>
        <v>4632</v>
      </c>
      <c r="D69" s="72">
        <f t="shared" si="1"/>
        <v>1.6072618254497004E-2</v>
      </c>
      <c r="E69" s="70">
        <f t="shared" si="4"/>
        <v>0.65668720852764817</v>
      </c>
      <c r="F69" s="73">
        <v>40052</v>
      </c>
      <c r="G69" s="84">
        <f t="shared" si="2"/>
        <v>675108.72335942707</v>
      </c>
      <c r="H69" s="84">
        <f t="shared" si="3"/>
        <v>675108.72335942707</v>
      </c>
    </row>
    <row r="70" spans="1:8" x14ac:dyDescent="0.2">
      <c r="A70" s="55">
        <v>61</v>
      </c>
      <c r="B70" s="55">
        <v>386</v>
      </c>
      <c r="C70" s="55">
        <f t="shared" si="0"/>
        <v>4632</v>
      </c>
      <c r="D70" s="72">
        <f t="shared" si="1"/>
        <v>1.6072618254497004E-2</v>
      </c>
      <c r="E70" s="70">
        <f t="shared" si="4"/>
        <v>0.67275982678214519</v>
      </c>
      <c r="F70" s="73">
        <v>40053</v>
      </c>
      <c r="G70" s="84">
        <f t="shared" si="2"/>
        <v>675108.72335942707</v>
      </c>
      <c r="H70" s="84">
        <f t="shared" si="3"/>
        <v>675108.72335942707</v>
      </c>
    </row>
    <row r="71" spans="1:8" x14ac:dyDescent="0.2">
      <c r="A71" s="55">
        <v>62</v>
      </c>
      <c r="B71" s="55">
        <v>386</v>
      </c>
      <c r="C71" s="55">
        <f t="shared" si="0"/>
        <v>4632</v>
      </c>
      <c r="D71" s="72">
        <f t="shared" si="1"/>
        <v>1.6072618254497004E-2</v>
      </c>
      <c r="E71" s="70">
        <f t="shared" si="4"/>
        <v>0.6888324450366422</v>
      </c>
      <c r="F71" s="73">
        <v>40054</v>
      </c>
      <c r="G71" s="84">
        <f t="shared" si="2"/>
        <v>675108.72335942707</v>
      </c>
      <c r="H71" s="84">
        <f t="shared" si="3"/>
        <v>675108.72335942707</v>
      </c>
    </row>
    <row r="72" spans="1:8" x14ac:dyDescent="0.2">
      <c r="A72" s="55">
        <v>63</v>
      </c>
      <c r="B72" s="55">
        <v>38</v>
      </c>
      <c r="C72" s="55">
        <f t="shared" si="0"/>
        <v>456</v>
      </c>
      <c r="D72" s="72">
        <f t="shared" si="1"/>
        <v>1.5822784810126582E-3</v>
      </c>
      <c r="E72" s="70">
        <f t="shared" si="4"/>
        <v>0.69041472351765487</v>
      </c>
      <c r="F72" s="73">
        <v>40055</v>
      </c>
      <c r="G72" s="84">
        <f t="shared" si="2"/>
        <v>66461.480537974683</v>
      </c>
      <c r="H72" s="84">
        <f t="shared" si="3"/>
        <v>66461.480537974683</v>
      </c>
    </row>
    <row r="73" spans="1:8" x14ac:dyDescent="0.2">
      <c r="A73" s="55">
        <v>64</v>
      </c>
      <c r="B73" s="55">
        <v>360</v>
      </c>
      <c r="C73" s="55">
        <f t="shared" si="0"/>
        <v>4320</v>
      </c>
      <c r="D73" s="72">
        <f t="shared" si="1"/>
        <v>1.4990006662225183E-2</v>
      </c>
      <c r="E73" s="70">
        <f t="shared" si="4"/>
        <v>0.70540473017988004</v>
      </c>
      <c r="F73" s="73">
        <v>40056</v>
      </c>
      <c r="G73" s="84">
        <f t="shared" si="2"/>
        <v>629635.07878081279</v>
      </c>
      <c r="H73" s="84">
        <f t="shared" si="3"/>
        <v>629635.07878081279</v>
      </c>
    </row>
    <row r="74" spans="1:8" x14ac:dyDescent="0.2">
      <c r="A74" s="55">
        <v>65</v>
      </c>
      <c r="B74" s="55">
        <v>360</v>
      </c>
      <c r="C74" s="55">
        <f t="shared" si="0"/>
        <v>4320</v>
      </c>
      <c r="D74" s="72">
        <f t="shared" si="1"/>
        <v>1.4990006662225183E-2</v>
      </c>
      <c r="E74" s="70">
        <f t="shared" si="4"/>
        <v>0.7203947368421052</v>
      </c>
      <c r="F74" s="73">
        <v>40057</v>
      </c>
      <c r="G74" s="84">
        <f t="shared" si="2"/>
        <v>629635.07878081279</v>
      </c>
      <c r="H74" s="84">
        <f t="shared" si="3"/>
        <v>629635.07878081279</v>
      </c>
    </row>
    <row r="75" spans="1:8" x14ac:dyDescent="0.2">
      <c r="A75" s="55">
        <v>66</v>
      </c>
      <c r="B75" s="55">
        <v>357</v>
      </c>
      <c r="C75" s="55">
        <f t="shared" ref="C75:C113" si="5">B75*12</f>
        <v>4284</v>
      </c>
      <c r="D75" s="72">
        <f t="shared" ref="D75:D113" si="6">C75/288192</f>
        <v>1.4865089940039973E-2</v>
      </c>
      <c r="E75" s="70">
        <f t="shared" si="4"/>
        <v>0.73525982678214519</v>
      </c>
      <c r="F75" s="73">
        <v>40058</v>
      </c>
      <c r="G75" s="84">
        <f t="shared" ref="G75:G113" si="7">C75*$I$6</f>
        <v>624388.11979097268</v>
      </c>
      <c r="H75" s="84">
        <f t="shared" ref="H75:H113" si="8">G75</f>
        <v>624388.11979097268</v>
      </c>
    </row>
    <row r="76" spans="1:8" x14ac:dyDescent="0.2">
      <c r="A76" s="55">
        <v>67</v>
      </c>
      <c r="B76" s="55">
        <v>357</v>
      </c>
      <c r="C76" s="55">
        <f t="shared" si="5"/>
        <v>4284</v>
      </c>
      <c r="D76" s="72">
        <f t="shared" si="6"/>
        <v>1.4865089940039973E-2</v>
      </c>
      <c r="E76" s="70">
        <f t="shared" ref="E76:E113" si="9">E75+D76</f>
        <v>0.75012491672218518</v>
      </c>
      <c r="F76" s="73">
        <v>40059</v>
      </c>
      <c r="G76" s="84">
        <f t="shared" si="7"/>
        <v>624388.11979097268</v>
      </c>
      <c r="H76" s="84">
        <f t="shared" si="8"/>
        <v>624388.11979097268</v>
      </c>
    </row>
    <row r="77" spans="1:8" x14ac:dyDescent="0.2">
      <c r="A77" s="55">
        <v>68</v>
      </c>
      <c r="B77" s="55">
        <v>347</v>
      </c>
      <c r="C77" s="55">
        <f t="shared" si="5"/>
        <v>4164</v>
      </c>
      <c r="D77" s="72">
        <f t="shared" si="6"/>
        <v>1.4448700866089273E-2</v>
      </c>
      <c r="E77" s="70">
        <f t="shared" si="9"/>
        <v>0.76457361758827447</v>
      </c>
      <c r="F77" s="73">
        <v>40060</v>
      </c>
      <c r="G77" s="84">
        <f t="shared" si="7"/>
        <v>606898.25649150566</v>
      </c>
      <c r="H77" s="84">
        <f t="shared" si="8"/>
        <v>606898.25649150566</v>
      </c>
    </row>
    <row r="78" spans="1:8" x14ac:dyDescent="0.2">
      <c r="A78" s="55">
        <v>69</v>
      </c>
      <c r="B78" s="55">
        <v>347</v>
      </c>
      <c r="C78" s="55">
        <f t="shared" si="5"/>
        <v>4164</v>
      </c>
      <c r="D78" s="72">
        <f t="shared" si="6"/>
        <v>1.4448700866089273E-2</v>
      </c>
      <c r="E78" s="70">
        <f t="shared" si="9"/>
        <v>0.77902231845436376</v>
      </c>
      <c r="F78" s="73">
        <v>40061</v>
      </c>
      <c r="G78" s="84">
        <f t="shared" si="7"/>
        <v>606898.25649150566</v>
      </c>
      <c r="H78" s="84">
        <f t="shared" si="8"/>
        <v>606898.25649150566</v>
      </c>
    </row>
    <row r="79" spans="1:8" x14ac:dyDescent="0.2">
      <c r="A79" s="55">
        <v>70</v>
      </c>
      <c r="B79" s="55">
        <v>50</v>
      </c>
      <c r="C79" s="55">
        <f t="shared" si="5"/>
        <v>600</v>
      </c>
      <c r="D79" s="72">
        <f t="shared" si="6"/>
        <v>2.0819453697534978E-3</v>
      </c>
      <c r="E79" s="70">
        <f t="shared" si="9"/>
        <v>0.78110426382411724</v>
      </c>
      <c r="F79" s="73">
        <v>40062</v>
      </c>
      <c r="G79" s="84">
        <f t="shared" si="7"/>
        <v>87449.316497335109</v>
      </c>
      <c r="H79" s="84">
        <f t="shared" si="8"/>
        <v>87449.316497335109</v>
      </c>
    </row>
    <row r="80" spans="1:8" x14ac:dyDescent="0.2">
      <c r="A80" s="55">
        <v>71</v>
      </c>
      <c r="B80" s="55">
        <v>350</v>
      </c>
      <c r="C80" s="55">
        <f t="shared" si="5"/>
        <v>4200</v>
      </c>
      <c r="D80" s="72">
        <f t="shared" si="6"/>
        <v>1.4573617588274483E-2</v>
      </c>
      <c r="E80" s="70">
        <f t="shared" si="9"/>
        <v>0.79567788141239171</v>
      </c>
      <c r="F80" s="73">
        <v>40063</v>
      </c>
      <c r="G80" s="84">
        <f t="shared" si="7"/>
        <v>612145.21548134577</v>
      </c>
      <c r="H80" s="84">
        <f t="shared" si="8"/>
        <v>612145.21548134577</v>
      </c>
    </row>
    <row r="81" spans="1:8" x14ac:dyDescent="0.2">
      <c r="A81" s="55">
        <v>72</v>
      </c>
      <c r="B81" s="55">
        <v>350</v>
      </c>
      <c r="C81" s="55">
        <f t="shared" si="5"/>
        <v>4200</v>
      </c>
      <c r="D81" s="72">
        <f t="shared" si="6"/>
        <v>1.4573617588274483E-2</v>
      </c>
      <c r="E81" s="70">
        <f t="shared" si="9"/>
        <v>0.81025149900066618</v>
      </c>
      <c r="F81" s="73">
        <v>40064</v>
      </c>
      <c r="G81" s="84">
        <f t="shared" si="7"/>
        <v>612145.21548134577</v>
      </c>
      <c r="H81" s="84">
        <f t="shared" si="8"/>
        <v>612145.21548134577</v>
      </c>
    </row>
    <row r="82" spans="1:8" x14ac:dyDescent="0.2">
      <c r="A82" s="55">
        <v>73</v>
      </c>
      <c r="B82" s="55">
        <v>350</v>
      </c>
      <c r="C82" s="55">
        <f t="shared" si="5"/>
        <v>4200</v>
      </c>
      <c r="D82" s="72">
        <f t="shared" si="6"/>
        <v>1.4573617588274483E-2</v>
      </c>
      <c r="E82" s="70">
        <f t="shared" si="9"/>
        <v>0.82482511658894064</v>
      </c>
      <c r="F82" s="73">
        <v>40065</v>
      </c>
      <c r="G82" s="84">
        <f t="shared" si="7"/>
        <v>612145.21548134577</v>
      </c>
      <c r="H82" s="84">
        <f t="shared" si="8"/>
        <v>612145.21548134577</v>
      </c>
    </row>
    <row r="83" spans="1:8" x14ac:dyDescent="0.2">
      <c r="A83" s="55">
        <v>74</v>
      </c>
      <c r="B83" s="55">
        <v>329</v>
      </c>
      <c r="C83" s="55">
        <f t="shared" si="5"/>
        <v>3948</v>
      </c>
      <c r="D83" s="72">
        <f t="shared" si="6"/>
        <v>1.3699200532978014E-2</v>
      </c>
      <c r="E83" s="70">
        <f t="shared" si="9"/>
        <v>0.83852431712191866</v>
      </c>
      <c r="F83" s="73">
        <v>40066</v>
      </c>
      <c r="G83" s="84">
        <f t="shared" si="7"/>
        <v>575416.50255246507</v>
      </c>
      <c r="H83" s="84">
        <f t="shared" si="8"/>
        <v>575416.50255246507</v>
      </c>
    </row>
    <row r="84" spans="1:8" x14ac:dyDescent="0.2">
      <c r="A84" s="55">
        <v>75</v>
      </c>
      <c r="B84" s="55">
        <v>329</v>
      </c>
      <c r="C84" s="55">
        <f t="shared" si="5"/>
        <v>3948</v>
      </c>
      <c r="D84" s="72">
        <f t="shared" si="6"/>
        <v>1.3699200532978014E-2</v>
      </c>
      <c r="E84" s="70">
        <f t="shared" si="9"/>
        <v>0.85222351765489668</v>
      </c>
      <c r="F84" s="73">
        <v>40067</v>
      </c>
      <c r="G84" s="84">
        <f t="shared" si="7"/>
        <v>575416.50255246507</v>
      </c>
      <c r="H84" s="84">
        <f t="shared" si="8"/>
        <v>575416.50255246507</v>
      </c>
    </row>
    <row r="85" spans="1:8" x14ac:dyDescent="0.2">
      <c r="A85" s="55">
        <v>76</v>
      </c>
      <c r="B85" s="55">
        <v>329</v>
      </c>
      <c r="C85" s="55">
        <f t="shared" si="5"/>
        <v>3948</v>
      </c>
      <c r="D85" s="72">
        <f t="shared" si="6"/>
        <v>1.3699200532978014E-2</v>
      </c>
      <c r="E85" s="70">
        <f t="shared" si="9"/>
        <v>0.8659227181878747</v>
      </c>
      <c r="F85" s="73">
        <v>40068</v>
      </c>
      <c r="G85" s="84">
        <f t="shared" si="7"/>
        <v>575416.50255246507</v>
      </c>
      <c r="H85" s="84">
        <f t="shared" si="8"/>
        <v>575416.50255246507</v>
      </c>
    </row>
    <row r="86" spans="1:8" x14ac:dyDescent="0.2">
      <c r="A86" s="55">
        <v>77</v>
      </c>
      <c r="B86" s="55">
        <v>30</v>
      </c>
      <c r="C86" s="55">
        <f t="shared" si="5"/>
        <v>360</v>
      </c>
      <c r="D86" s="72">
        <f t="shared" si="6"/>
        <v>1.2491672218520986E-3</v>
      </c>
      <c r="E86" s="70">
        <f t="shared" si="9"/>
        <v>0.86717188540972678</v>
      </c>
      <c r="F86" s="73">
        <v>40069</v>
      </c>
      <c r="G86" s="84">
        <f t="shared" si="7"/>
        <v>52469.589898401064</v>
      </c>
      <c r="H86" s="84">
        <f t="shared" si="8"/>
        <v>52469.589898401064</v>
      </c>
    </row>
    <row r="87" spans="1:8" x14ac:dyDescent="0.2">
      <c r="A87" s="55">
        <v>78</v>
      </c>
      <c r="B87" s="55">
        <v>30</v>
      </c>
      <c r="C87" s="55">
        <f t="shared" si="5"/>
        <v>360</v>
      </c>
      <c r="D87" s="72">
        <f t="shared" si="6"/>
        <v>1.2491672218520986E-3</v>
      </c>
      <c r="E87" s="70">
        <f t="shared" si="9"/>
        <v>0.86842105263157887</v>
      </c>
      <c r="F87" s="73">
        <v>40070</v>
      </c>
      <c r="G87" s="84">
        <f t="shared" si="7"/>
        <v>52469.589898401064</v>
      </c>
      <c r="H87" s="84">
        <f t="shared" si="8"/>
        <v>52469.589898401064</v>
      </c>
    </row>
    <row r="88" spans="1:8" x14ac:dyDescent="0.2">
      <c r="A88" s="55">
        <v>79</v>
      </c>
      <c r="B88" s="55">
        <v>242</v>
      </c>
      <c r="C88" s="55">
        <f t="shared" si="5"/>
        <v>2904</v>
      </c>
      <c r="D88" s="72">
        <f t="shared" si="6"/>
        <v>1.0076615589606928E-2</v>
      </c>
      <c r="E88" s="70">
        <f t="shared" si="9"/>
        <v>0.8784976682211858</v>
      </c>
      <c r="F88" s="73">
        <v>40071</v>
      </c>
      <c r="G88" s="84">
        <f t="shared" si="7"/>
        <v>423254.69184710196</v>
      </c>
      <c r="H88" s="84">
        <f t="shared" si="8"/>
        <v>423254.69184710196</v>
      </c>
    </row>
    <row r="89" spans="1:8" x14ac:dyDescent="0.2">
      <c r="A89" s="55">
        <v>80</v>
      </c>
      <c r="B89" s="55">
        <v>242</v>
      </c>
      <c r="C89" s="55">
        <f t="shared" si="5"/>
        <v>2904</v>
      </c>
      <c r="D89" s="72">
        <f t="shared" si="6"/>
        <v>1.0076615589606928E-2</v>
      </c>
      <c r="E89" s="70">
        <f t="shared" si="9"/>
        <v>0.88857428381079273</v>
      </c>
      <c r="F89" s="73">
        <v>40072</v>
      </c>
      <c r="G89" s="84">
        <f t="shared" si="7"/>
        <v>423254.69184710196</v>
      </c>
      <c r="H89" s="84">
        <f t="shared" si="8"/>
        <v>423254.69184710196</v>
      </c>
    </row>
    <row r="90" spans="1:8" x14ac:dyDescent="0.2">
      <c r="A90" s="55">
        <v>81</v>
      </c>
      <c r="B90" s="55">
        <v>226</v>
      </c>
      <c r="C90" s="55">
        <f t="shared" si="5"/>
        <v>2712</v>
      </c>
      <c r="D90" s="72">
        <f t="shared" si="6"/>
        <v>9.4103930712858101E-3</v>
      </c>
      <c r="E90" s="70">
        <f t="shared" si="9"/>
        <v>0.8979846768820785</v>
      </c>
      <c r="F90" s="73">
        <v>40073</v>
      </c>
      <c r="G90" s="84">
        <f t="shared" si="7"/>
        <v>395270.91056795471</v>
      </c>
      <c r="H90" s="84">
        <f t="shared" si="8"/>
        <v>395270.91056795471</v>
      </c>
    </row>
    <row r="91" spans="1:8" x14ac:dyDescent="0.2">
      <c r="A91" s="55">
        <v>82</v>
      </c>
      <c r="B91" s="55">
        <v>231</v>
      </c>
      <c r="C91" s="55">
        <f t="shared" si="5"/>
        <v>2772</v>
      </c>
      <c r="D91" s="72">
        <f t="shared" si="6"/>
        <v>9.6185876082611598E-3</v>
      </c>
      <c r="E91" s="70">
        <f t="shared" si="9"/>
        <v>0.90760326449033968</v>
      </c>
      <c r="F91" s="73">
        <v>40074</v>
      </c>
      <c r="G91" s="84">
        <f t="shared" si="7"/>
        <v>404015.84221768822</v>
      </c>
      <c r="H91" s="84">
        <f t="shared" si="8"/>
        <v>404015.84221768822</v>
      </c>
    </row>
    <row r="92" spans="1:8" x14ac:dyDescent="0.2">
      <c r="A92" s="55">
        <v>83</v>
      </c>
      <c r="B92" s="55">
        <v>218</v>
      </c>
      <c r="C92" s="55">
        <f t="shared" si="5"/>
        <v>2616</v>
      </c>
      <c r="D92" s="72">
        <f t="shared" si="6"/>
        <v>9.0772818121252503E-3</v>
      </c>
      <c r="E92" s="70">
        <f t="shared" si="9"/>
        <v>0.91668054630246498</v>
      </c>
      <c r="F92" s="73">
        <v>40075</v>
      </c>
      <c r="G92" s="84">
        <f t="shared" si="7"/>
        <v>381279.01992838108</v>
      </c>
      <c r="H92" s="84">
        <f t="shared" si="8"/>
        <v>381279.01992838108</v>
      </c>
    </row>
    <row r="93" spans="1:8" x14ac:dyDescent="0.2">
      <c r="A93" s="55">
        <v>84</v>
      </c>
      <c r="B93" s="55">
        <v>14</v>
      </c>
      <c r="C93" s="55">
        <f t="shared" si="5"/>
        <v>168</v>
      </c>
      <c r="D93" s="72">
        <f t="shared" si="6"/>
        <v>5.829447035309793E-4</v>
      </c>
      <c r="E93" s="70">
        <f t="shared" si="9"/>
        <v>0.91726349100599591</v>
      </c>
      <c r="F93" s="73">
        <v>40076</v>
      </c>
      <c r="G93" s="84">
        <f t="shared" si="7"/>
        <v>24485.808619253832</v>
      </c>
      <c r="H93" s="84">
        <f t="shared" si="8"/>
        <v>24485.808619253832</v>
      </c>
    </row>
    <row r="94" spans="1:8" x14ac:dyDescent="0.2">
      <c r="A94" s="55">
        <v>85</v>
      </c>
      <c r="B94" s="55">
        <v>189</v>
      </c>
      <c r="C94" s="55">
        <f t="shared" si="5"/>
        <v>2268</v>
      </c>
      <c r="D94" s="72">
        <f t="shared" si="6"/>
        <v>7.869753497668221E-3</v>
      </c>
      <c r="E94" s="70">
        <f t="shared" si="9"/>
        <v>0.92513324450366419</v>
      </c>
      <c r="F94" s="73">
        <v>40077</v>
      </c>
      <c r="G94" s="84">
        <f t="shared" si="7"/>
        <v>330558.41635992669</v>
      </c>
      <c r="H94" s="84">
        <f t="shared" si="8"/>
        <v>330558.41635992669</v>
      </c>
    </row>
    <row r="95" spans="1:8" x14ac:dyDescent="0.2">
      <c r="A95" s="55">
        <v>86</v>
      </c>
      <c r="B95" s="55">
        <v>189</v>
      </c>
      <c r="C95" s="55">
        <f t="shared" si="5"/>
        <v>2268</v>
      </c>
      <c r="D95" s="72">
        <f t="shared" si="6"/>
        <v>7.869753497668221E-3</v>
      </c>
      <c r="E95" s="70">
        <f t="shared" si="9"/>
        <v>0.93300299800133246</v>
      </c>
      <c r="F95" s="73">
        <v>40078</v>
      </c>
      <c r="G95" s="84">
        <f t="shared" si="7"/>
        <v>330558.41635992669</v>
      </c>
      <c r="H95" s="84">
        <f t="shared" si="8"/>
        <v>330558.41635992669</v>
      </c>
    </row>
    <row r="96" spans="1:8" x14ac:dyDescent="0.2">
      <c r="A96" s="55">
        <v>87</v>
      </c>
      <c r="B96" s="55">
        <v>189</v>
      </c>
      <c r="C96" s="55">
        <f t="shared" si="5"/>
        <v>2268</v>
      </c>
      <c r="D96" s="72">
        <f t="shared" si="6"/>
        <v>7.869753497668221E-3</v>
      </c>
      <c r="E96" s="70">
        <f t="shared" si="9"/>
        <v>0.94087275149900074</v>
      </c>
      <c r="F96" s="73">
        <v>40079</v>
      </c>
      <c r="G96" s="84">
        <f t="shared" si="7"/>
        <v>330558.41635992669</v>
      </c>
      <c r="H96" s="84">
        <f t="shared" si="8"/>
        <v>330558.41635992669</v>
      </c>
    </row>
    <row r="97" spans="1:8" x14ac:dyDescent="0.2">
      <c r="A97" s="55">
        <v>88</v>
      </c>
      <c r="B97" s="55">
        <v>189</v>
      </c>
      <c r="C97" s="55">
        <f t="shared" si="5"/>
        <v>2268</v>
      </c>
      <c r="D97" s="72">
        <f t="shared" si="6"/>
        <v>7.869753497668221E-3</v>
      </c>
      <c r="E97" s="70">
        <f t="shared" si="9"/>
        <v>0.94874250499666901</v>
      </c>
      <c r="F97" s="73">
        <v>40080</v>
      </c>
      <c r="G97" s="84">
        <f t="shared" si="7"/>
        <v>330558.41635992669</v>
      </c>
      <c r="H97" s="84">
        <f t="shared" si="8"/>
        <v>330558.41635992669</v>
      </c>
    </row>
    <row r="98" spans="1:8" x14ac:dyDescent="0.2">
      <c r="A98" s="55">
        <v>89</v>
      </c>
      <c r="B98" s="55">
        <v>189</v>
      </c>
      <c r="C98" s="55">
        <f t="shared" si="5"/>
        <v>2268</v>
      </c>
      <c r="D98" s="72">
        <f t="shared" si="6"/>
        <v>7.869753497668221E-3</v>
      </c>
      <c r="E98" s="70">
        <f t="shared" si="9"/>
        <v>0.95661225849433729</v>
      </c>
      <c r="F98" s="73">
        <v>40081</v>
      </c>
      <c r="G98" s="84">
        <f t="shared" si="7"/>
        <v>330558.41635992669</v>
      </c>
      <c r="H98" s="84">
        <f t="shared" si="8"/>
        <v>330558.41635992669</v>
      </c>
    </row>
    <row r="99" spans="1:8" x14ac:dyDescent="0.2">
      <c r="A99" s="55">
        <v>90</v>
      </c>
      <c r="B99" s="55">
        <v>179</v>
      </c>
      <c r="C99" s="55">
        <f t="shared" si="5"/>
        <v>2148</v>
      </c>
      <c r="D99" s="72">
        <f t="shared" si="6"/>
        <v>7.4533644237175217E-3</v>
      </c>
      <c r="E99" s="70">
        <f t="shared" si="9"/>
        <v>0.96406562291805475</v>
      </c>
      <c r="F99" s="73">
        <v>40082</v>
      </c>
      <c r="G99" s="84">
        <f t="shared" si="7"/>
        <v>313068.55306045967</v>
      </c>
      <c r="H99" s="84">
        <f t="shared" si="8"/>
        <v>313068.55306045967</v>
      </c>
    </row>
    <row r="100" spans="1:8" x14ac:dyDescent="0.2">
      <c r="A100" s="55">
        <v>91</v>
      </c>
      <c r="B100" s="55">
        <v>14</v>
      </c>
      <c r="C100" s="55">
        <f t="shared" si="5"/>
        <v>168</v>
      </c>
      <c r="D100" s="72">
        <f t="shared" si="6"/>
        <v>5.829447035309793E-4</v>
      </c>
      <c r="E100" s="70">
        <f t="shared" si="9"/>
        <v>0.96464856762158568</v>
      </c>
      <c r="F100" s="73">
        <v>40083</v>
      </c>
      <c r="G100" s="84">
        <f t="shared" si="7"/>
        <v>24485.808619253832</v>
      </c>
      <c r="H100" s="84">
        <f t="shared" si="8"/>
        <v>24485.808619253832</v>
      </c>
    </row>
    <row r="101" spans="1:8" x14ac:dyDescent="0.2">
      <c r="A101" s="55">
        <v>92</v>
      </c>
      <c r="B101" s="55">
        <v>92</v>
      </c>
      <c r="C101" s="55">
        <f t="shared" si="5"/>
        <v>1104</v>
      </c>
      <c r="D101" s="72">
        <f t="shared" si="6"/>
        <v>3.8307794803464357E-3</v>
      </c>
      <c r="E101" s="70">
        <f t="shared" si="9"/>
        <v>0.96847934710193218</v>
      </c>
      <c r="F101" s="73">
        <v>40084</v>
      </c>
      <c r="G101" s="84">
        <f t="shared" si="7"/>
        <v>160906.74235509659</v>
      </c>
      <c r="H101" s="84">
        <f t="shared" si="8"/>
        <v>160906.74235509659</v>
      </c>
    </row>
    <row r="102" spans="1:8" x14ac:dyDescent="0.2">
      <c r="A102" s="55">
        <v>93</v>
      </c>
      <c r="B102" s="55">
        <v>92</v>
      </c>
      <c r="C102" s="55">
        <f t="shared" si="5"/>
        <v>1104</v>
      </c>
      <c r="D102" s="72">
        <f t="shared" si="6"/>
        <v>3.8307794803464357E-3</v>
      </c>
      <c r="E102" s="70">
        <f t="shared" si="9"/>
        <v>0.97231012658227867</v>
      </c>
      <c r="F102" s="73">
        <v>40085</v>
      </c>
      <c r="G102" s="84">
        <f t="shared" si="7"/>
        <v>160906.74235509659</v>
      </c>
      <c r="H102" s="84">
        <f t="shared" si="8"/>
        <v>160906.74235509659</v>
      </c>
    </row>
    <row r="103" spans="1:8" x14ac:dyDescent="0.2">
      <c r="A103" s="55">
        <v>94</v>
      </c>
      <c r="B103" s="55">
        <v>92</v>
      </c>
      <c r="C103" s="55">
        <f t="shared" si="5"/>
        <v>1104</v>
      </c>
      <c r="D103" s="72">
        <f t="shared" si="6"/>
        <v>3.8307794803464357E-3</v>
      </c>
      <c r="E103" s="70">
        <f t="shared" si="9"/>
        <v>0.97614090606262516</v>
      </c>
      <c r="F103" s="73">
        <v>40086</v>
      </c>
      <c r="G103" s="84">
        <f t="shared" si="7"/>
        <v>160906.74235509659</v>
      </c>
      <c r="H103" s="84">
        <f t="shared" si="8"/>
        <v>160906.74235509659</v>
      </c>
    </row>
    <row r="104" spans="1:8" x14ac:dyDescent="0.2">
      <c r="A104" s="55">
        <v>95</v>
      </c>
      <c r="B104" s="55">
        <v>91</v>
      </c>
      <c r="C104" s="55">
        <f t="shared" si="5"/>
        <v>1092</v>
      </c>
      <c r="D104" s="72">
        <f t="shared" si="6"/>
        <v>3.7891405729513659E-3</v>
      </c>
      <c r="E104" s="70">
        <f t="shared" si="9"/>
        <v>0.97993004663557648</v>
      </c>
      <c r="F104" s="73">
        <v>40087</v>
      </c>
      <c r="G104" s="84">
        <f t="shared" si="7"/>
        <v>159157.75602514989</v>
      </c>
      <c r="H104" s="84">
        <f t="shared" si="8"/>
        <v>159157.75602514989</v>
      </c>
    </row>
    <row r="105" spans="1:8" x14ac:dyDescent="0.2">
      <c r="A105" s="55">
        <v>96</v>
      </c>
      <c r="B105" s="55">
        <v>91</v>
      </c>
      <c r="C105" s="55">
        <f t="shared" si="5"/>
        <v>1092</v>
      </c>
      <c r="D105" s="72">
        <f t="shared" si="6"/>
        <v>3.7891405729513659E-3</v>
      </c>
      <c r="E105" s="70">
        <f t="shared" si="9"/>
        <v>0.9837191872085278</v>
      </c>
      <c r="F105" s="73">
        <v>40088</v>
      </c>
      <c r="G105" s="84">
        <f t="shared" si="7"/>
        <v>159157.75602514989</v>
      </c>
      <c r="H105" s="84">
        <f t="shared" si="8"/>
        <v>159157.75602514989</v>
      </c>
    </row>
    <row r="106" spans="1:8" x14ac:dyDescent="0.2">
      <c r="A106" s="55">
        <v>97</v>
      </c>
      <c r="B106" s="55">
        <v>91</v>
      </c>
      <c r="C106" s="55">
        <f t="shared" si="5"/>
        <v>1092</v>
      </c>
      <c r="D106" s="72">
        <f t="shared" si="6"/>
        <v>3.7891405729513659E-3</v>
      </c>
      <c r="E106" s="70">
        <f t="shared" si="9"/>
        <v>0.98750832778147912</v>
      </c>
      <c r="F106" s="73">
        <v>40089</v>
      </c>
      <c r="G106" s="84">
        <f t="shared" si="7"/>
        <v>159157.75602514989</v>
      </c>
      <c r="H106" s="84">
        <f t="shared" si="8"/>
        <v>159157.75602514989</v>
      </c>
    </row>
    <row r="107" spans="1:8" x14ac:dyDescent="0.2">
      <c r="A107" s="55">
        <v>98</v>
      </c>
      <c r="B107" s="55">
        <v>0</v>
      </c>
      <c r="C107" s="55">
        <f t="shared" si="5"/>
        <v>0</v>
      </c>
      <c r="D107" s="72">
        <f t="shared" si="6"/>
        <v>0</v>
      </c>
      <c r="E107" s="70">
        <f t="shared" si="9"/>
        <v>0.98750832778147912</v>
      </c>
      <c r="F107" s="73">
        <v>40090</v>
      </c>
      <c r="G107" s="84">
        <f t="shared" si="7"/>
        <v>0</v>
      </c>
      <c r="H107" s="84">
        <f t="shared" si="8"/>
        <v>0</v>
      </c>
    </row>
    <row r="108" spans="1:8" x14ac:dyDescent="0.2">
      <c r="A108" s="55">
        <v>99</v>
      </c>
      <c r="B108" s="55">
        <v>51</v>
      </c>
      <c r="C108" s="55">
        <f t="shared" si="5"/>
        <v>612</v>
      </c>
      <c r="D108" s="72">
        <f t="shared" si="6"/>
        <v>2.1235842771485675E-3</v>
      </c>
      <c r="E108" s="70">
        <f t="shared" si="9"/>
        <v>0.98963191205862766</v>
      </c>
      <c r="F108" s="73">
        <v>40091</v>
      </c>
      <c r="G108" s="84">
        <f t="shared" si="7"/>
        <v>89198.302827281819</v>
      </c>
      <c r="H108" s="84">
        <f t="shared" si="8"/>
        <v>89198.302827281819</v>
      </c>
    </row>
    <row r="109" spans="1:8" x14ac:dyDescent="0.2">
      <c r="A109" s="55">
        <v>100</v>
      </c>
      <c r="B109" s="55">
        <v>51</v>
      </c>
      <c r="C109" s="55">
        <f t="shared" si="5"/>
        <v>612</v>
      </c>
      <c r="D109" s="72">
        <f t="shared" si="6"/>
        <v>2.1235842771485675E-3</v>
      </c>
      <c r="E109" s="70">
        <f t="shared" si="9"/>
        <v>0.9917554963357762</v>
      </c>
      <c r="F109" s="73">
        <v>40092</v>
      </c>
      <c r="G109" s="84">
        <f t="shared" si="7"/>
        <v>89198.302827281819</v>
      </c>
      <c r="H109" s="84">
        <f t="shared" si="8"/>
        <v>89198.302827281819</v>
      </c>
    </row>
    <row r="110" spans="1:8" x14ac:dyDescent="0.2">
      <c r="A110" s="55">
        <v>101</v>
      </c>
      <c r="B110" s="55">
        <v>51</v>
      </c>
      <c r="C110" s="55">
        <f t="shared" si="5"/>
        <v>612</v>
      </c>
      <c r="D110" s="72">
        <f t="shared" si="6"/>
        <v>2.1235842771485675E-3</v>
      </c>
      <c r="E110" s="70">
        <f t="shared" si="9"/>
        <v>0.99387908061292474</v>
      </c>
      <c r="F110" s="73">
        <v>40093</v>
      </c>
      <c r="G110" s="84">
        <f t="shared" si="7"/>
        <v>89198.302827281819</v>
      </c>
      <c r="H110" s="84">
        <f t="shared" si="8"/>
        <v>89198.302827281819</v>
      </c>
    </row>
    <row r="111" spans="1:8" x14ac:dyDescent="0.2">
      <c r="A111" s="55">
        <v>102</v>
      </c>
      <c r="B111" s="55">
        <v>49</v>
      </c>
      <c r="C111" s="55">
        <f t="shared" si="5"/>
        <v>588</v>
      </c>
      <c r="D111" s="72">
        <f t="shared" si="6"/>
        <v>2.0403064623584276E-3</v>
      </c>
      <c r="E111" s="70">
        <f t="shared" si="9"/>
        <v>0.99591938707528316</v>
      </c>
      <c r="F111" s="73">
        <v>40094</v>
      </c>
      <c r="G111" s="84">
        <f t="shared" si="7"/>
        <v>85700.330167388413</v>
      </c>
      <c r="H111" s="84">
        <f t="shared" si="8"/>
        <v>85700.330167388413</v>
      </c>
    </row>
    <row r="112" spans="1:8" x14ac:dyDescent="0.2">
      <c r="A112" s="55">
        <v>103</v>
      </c>
      <c r="B112" s="55">
        <v>49</v>
      </c>
      <c r="C112" s="55">
        <f t="shared" si="5"/>
        <v>588</v>
      </c>
      <c r="D112" s="72">
        <f t="shared" si="6"/>
        <v>2.0403064623584276E-3</v>
      </c>
      <c r="E112" s="70">
        <f t="shared" si="9"/>
        <v>0.99795969353764158</v>
      </c>
      <c r="F112" s="73">
        <v>40095</v>
      </c>
      <c r="G112" s="84">
        <f t="shared" si="7"/>
        <v>85700.330167388413</v>
      </c>
      <c r="H112" s="84">
        <f t="shared" si="8"/>
        <v>85700.330167388413</v>
      </c>
    </row>
    <row r="113" spans="1:8" x14ac:dyDescent="0.2">
      <c r="A113" s="55">
        <v>104</v>
      </c>
      <c r="B113" s="55">
        <v>49</v>
      </c>
      <c r="C113" s="55">
        <f t="shared" si="5"/>
        <v>588</v>
      </c>
      <c r="D113" s="72">
        <f t="shared" si="6"/>
        <v>2.0403064623584276E-3</v>
      </c>
      <c r="E113" s="70">
        <f t="shared" si="9"/>
        <v>1</v>
      </c>
      <c r="F113" s="73">
        <v>40096</v>
      </c>
      <c r="G113" s="84">
        <f t="shared" si="7"/>
        <v>85700.330167388413</v>
      </c>
      <c r="H113" s="84">
        <f t="shared" si="8"/>
        <v>85700.330167388413</v>
      </c>
    </row>
    <row r="114" spans="1:8" x14ac:dyDescent="0.2">
      <c r="A114" s="55"/>
      <c r="B114" s="55"/>
      <c r="C114" s="55"/>
      <c r="D114" s="55"/>
      <c r="E114" s="55"/>
      <c r="F114" s="73"/>
      <c r="G114" s="56"/>
      <c r="H114" s="56"/>
    </row>
    <row r="115" spans="1:8" x14ac:dyDescent="0.2">
      <c r="A115" s="55"/>
      <c r="B115" s="55"/>
      <c r="C115" s="55"/>
      <c r="D115" s="55"/>
      <c r="E115" s="55"/>
      <c r="F115" s="73"/>
      <c r="G115" s="56"/>
      <c r="H115" s="56"/>
    </row>
    <row r="116" spans="1:8" x14ac:dyDescent="0.2">
      <c r="A116" s="55"/>
      <c r="B116" s="55"/>
      <c r="C116" s="55"/>
      <c r="D116" s="55"/>
      <c r="E116" s="55"/>
      <c r="F116" s="73"/>
      <c r="G116" s="56"/>
      <c r="H116" s="56"/>
    </row>
    <row r="117" spans="1:8" x14ac:dyDescent="0.2">
      <c r="A117" s="55"/>
      <c r="B117" s="55"/>
      <c r="C117" s="55"/>
      <c r="D117" s="55"/>
      <c r="E117" s="55"/>
      <c r="F117" s="73"/>
      <c r="G117" s="56"/>
      <c r="H117" s="56"/>
    </row>
    <row r="118" spans="1:8" x14ac:dyDescent="0.2">
      <c r="A118" s="55"/>
      <c r="B118" s="55">
        <f>SUM(B10:B113)</f>
        <v>24016</v>
      </c>
      <c r="C118" s="55">
        <f>SUM(C10:C113)</f>
        <v>288192</v>
      </c>
      <c r="D118" s="74">
        <f>SUM(D10:D113)</f>
        <v>1</v>
      </c>
      <c r="E118" s="74"/>
      <c r="F118" s="55"/>
      <c r="G118" s="56"/>
      <c r="H118" s="56"/>
    </row>
    <row r="119" spans="1:8" x14ac:dyDescent="0.2">
      <c r="A119" s="66"/>
      <c r="B119" s="66"/>
      <c r="C119" s="66"/>
      <c r="D119" s="66"/>
      <c r="E119" s="66"/>
      <c r="F119" s="66"/>
      <c r="G119" s="67"/>
      <c r="H119" s="67"/>
    </row>
    <row r="120" spans="1:8" x14ac:dyDescent="0.2">
      <c r="A120" s="66"/>
      <c r="B120" s="66"/>
      <c r="C120" s="66"/>
      <c r="D120" s="66"/>
      <c r="E120" s="66"/>
      <c r="F120" s="66"/>
      <c r="G120" s="67"/>
      <c r="H120" s="67"/>
    </row>
  </sheetData>
  <mergeCells count="9">
    <mergeCell ref="Z1:AE1"/>
    <mergeCell ref="Z2:AE2"/>
    <mergeCell ref="V3:AE3"/>
    <mergeCell ref="V4:AE4"/>
    <mergeCell ref="A1:H2"/>
    <mergeCell ref="N1:S1"/>
    <mergeCell ref="N2:S2"/>
    <mergeCell ref="J3:S3"/>
    <mergeCell ref="J4:S4"/>
  </mergeCell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Index</vt:lpstr>
      <vt:lpstr>REPORT</vt:lpstr>
      <vt:lpstr>Actual PROGRESS</vt:lpstr>
      <vt:lpstr>Planned PROGRESS</vt:lpstr>
      <vt:lpstr>SECTION 1a (BASELAY)</vt:lpstr>
      <vt:lpstr>SECTION 1b (LUMP SUM PRICING)</vt:lpstr>
      <vt:lpstr>SECTION 3 (Additional UPI)</vt:lpstr>
      <vt:lpstr>Holdback | Payment Log</vt:lpstr>
      <vt:lpstr>CO Log</vt:lpstr>
      <vt:lpstr>RFI Log</vt:lpstr>
      <vt:lpstr>Actual vs Sch Days </vt:lpstr>
      <vt:lpstr>'Actual PROGRESS'!Print_Area</vt:lpstr>
      <vt:lpstr>'CO Log'!Print_Area</vt:lpstr>
      <vt:lpstr>'Planned PROGRESS'!Print_Area</vt:lpstr>
      <vt:lpstr>REPORT!Print_Area</vt:lpstr>
      <vt:lpstr>'RFI Log'!Print_Area</vt:lpstr>
      <vt:lpstr>'SECTION 1a (BASELAY)'!Print_Area</vt:lpstr>
      <vt:lpstr>'SECTION 1b (LUMP SUM PRICING)'!Print_Area</vt:lpstr>
      <vt:lpstr>'SECTION 3 (Additional UPI)'!Print_Area</vt:lpstr>
    </vt:vector>
  </TitlesOfParts>
  <Company>G &amp; L Ventures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 Hockridge</dc:creator>
  <cp:lastModifiedBy>sacook000</cp:lastModifiedBy>
  <cp:lastPrinted>2014-12-16T19:34:35Z</cp:lastPrinted>
  <dcterms:created xsi:type="dcterms:W3CDTF">2000-01-13T15:01:44Z</dcterms:created>
  <dcterms:modified xsi:type="dcterms:W3CDTF">2015-07-01T20:59:48Z</dcterms:modified>
</cp:coreProperties>
</file>