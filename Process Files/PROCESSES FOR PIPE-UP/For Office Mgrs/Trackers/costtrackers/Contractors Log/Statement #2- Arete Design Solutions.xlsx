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709"/>
  <workbookPr/>
  <mc:AlternateContent xmlns:mc="http://schemas.openxmlformats.org/markup-compatibility/2006">
    <mc:Choice Requires="x15">
      <x15ac:absPath xmlns:x15ac="http://schemas.microsoft.com/office/spreadsheetml/2010/11/ac" url="/Volumes/KINGSTON/Fox Creek To Namao/Trackers/costtracker/"/>
    </mc:Choice>
  </mc:AlternateContent>
  <bookViews>
    <workbookView xWindow="680" yWindow="7920" windowWidth="28160" windowHeight="16740" tabRatio="500"/>
  </bookViews>
  <sheets>
    <sheet name="Vendor #2" sheetId="1" r:id="rId1"/>
  </sheets>
  <definedNames>
    <definedName name="_xlnm._FilterDatabase" localSheetId="0" hidden="1">'Vendor #2'!$A$5:$S$5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7" i="1" l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R6" i="1"/>
  <c r="N21" i="1"/>
  <c r="O21" i="1"/>
  <c r="N20" i="1"/>
  <c r="O20" i="1"/>
  <c r="N19" i="1"/>
  <c r="O19" i="1"/>
  <c r="N18" i="1"/>
  <c r="O18" i="1"/>
  <c r="N17" i="1"/>
  <c r="O17" i="1"/>
  <c r="N16" i="1"/>
  <c r="O16" i="1"/>
  <c r="N15" i="1"/>
  <c r="O15" i="1"/>
  <c r="N14" i="1"/>
  <c r="O14" i="1"/>
  <c r="N13" i="1"/>
  <c r="O13" i="1"/>
  <c r="N12" i="1"/>
  <c r="O12" i="1"/>
  <c r="N11" i="1"/>
  <c r="O11" i="1"/>
  <c r="N10" i="1"/>
  <c r="O10" i="1"/>
  <c r="N9" i="1"/>
  <c r="O9" i="1"/>
  <c r="N8" i="1"/>
  <c r="O8" i="1"/>
  <c r="N7" i="1"/>
  <c r="O7" i="1"/>
</calcChain>
</file>

<file path=xl/sharedStrings.xml><?xml version="1.0" encoding="utf-8"?>
<sst xmlns="http://schemas.openxmlformats.org/spreadsheetml/2006/main" count="25" uniqueCount="22">
  <si>
    <t>Date</t>
  </si>
  <si>
    <t>Straight Hours Charged (ea.)</t>
  </si>
  <si>
    <t xml:space="preserve">Robert </t>
  </si>
  <si>
    <t xml:space="preserve"> Rate</t>
  </si>
  <si>
    <t>Truck</t>
  </si>
  <si>
    <t>Sub</t>
  </si>
  <si>
    <t>KM's over 200</t>
  </si>
  <si>
    <t>Rate</t>
  </si>
  <si>
    <t>Quad</t>
  </si>
  <si>
    <t>Subtotal</t>
  </si>
  <si>
    <t>GST</t>
  </si>
  <si>
    <t>LEM Amount</t>
  </si>
  <si>
    <t>Affiliating Invoice</t>
  </si>
  <si>
    <t>Approved By</t>
  </si>
  <si>
    <t>SUM OF ALL LEM'S (before GST)</t>
  </si>
  <si>
    <t>Statement #</t>
  </si>
  <si>
    <t>AFE#</t>
  </si>
  <si>
    <t>M15126</t>
  </si>
  <si>
    <t>Arete Design Solutions</t>
  </si>
  <si>
    <t>PO# 4500091323</t>
  </si>
  <si>
    <t>AR-002</t>
  </si>
  <si>
    <t>July 1-15,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</si>
</sst>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[$-409]d\-mmm\-yy;@"/>
  </numFmts>
  <fonts count="6" x14ac:knownFonts="1">
    <font>
      <sz val="10"/>
      <name val="Arial"/>
    </font>
    <font>
      <sz val="10"/>
      <name val="Arial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164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44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3" borderId="1" xfId="0" applyNumberFormat="1" applyFont="1" applyFill="1" applyBorder="1" applyAlignment="1">
      <alignment horizontal="center" vertical="center" wrapText="1" shrinkToFit="1"/>
    </xf>
    <xf numFmtId="2" fontId="1" fillId="3" borderId="1" xfId="1" applyNumberFormat="1" applyFont="1" applyFill="1" applyBorder="1" applyAlignment="1">
      <alignment horizontal="center" vertical="center" wrapText="1" shrinkToFit="1"/>
    </xf>
    <xf numFmtId="0" fontId="0" fillId="3" borderId="1" xfId="1" applyNumberFormat="1" applyFont="1" applyFill="1" applyBorder="1" applyAlignment="1">
      <alignment horizontal="center" vertical="center" wrapText="1" shrinkToFit="1"/>
    </xf>
    <xf numFmtId="44" fontId="1" fillId="3" borderId="1" xfId="1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 shrinkToFit="1"/>
    </xf>
    <xf numFmtId="2" fontId="1" fillId="4" borderId="1" xfId="1" applyNumberFormat="1" applyFont="1" applyFill="1" applyBorder="1" applyAlignment="1">
      <alignment horizontal="center" vertical="center" wrapText="1" shrinkToFit="1"/>
    </xf>
    <xf numFmtId="0" fontId="0" fillId="4" borderId="1" xfId="1" applyNumberFormat="1" applyFont="1" applyFill="1" applyBorder="1" applyAlignment="1">
      <alignment horizontal="center" vertical="center" wrapText="1" shrinkToFit="1"/>
    </xf>
    <xf numFmtId="44" fontId="1" fillId="4" borderId="1" xfId="1" applyFont="1" applyFill="1" applyBorder="1" applyAlignment="1">
      <alignment horizontal="center" vertical="center" wrapText="1" shrinkToFit="1"/>
    </xf>
    <xf numFmtId="0" fontId="1" fillId="4" borderId="1" xfId="0" applyFont="1" applyFill="1" applyBorder="1" applyAlignment="1">
      <alignment horizontal="center" vertical="center" wrapText="1" shrinkToFit="1"/>
    </xf>
    <xf numFmtId="44" fontId="0" fillId="4" borderId="1" xfId="0" applyNumberFormat="1" applyFill="1" applyBorder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164" fontId="1" fillId="5" borderId="1" xfId="0" applyNumberFormat="1" applyFont="1" applyFill="1" applyBorder="1" applyAlignment="1">
      <alignment horizontal="center"/>
    </xf>
    <xf numFmtId="2" fontId="0" fillId="5" borderId="1" xfId="1" applyNumberFormat="1" applyFont="1" applyFill="1" applyBorder="1" applyAlignment="1">
      <alignment horizontal="center"/>
    </xf>
    <xf numFmtId="0" fontId="1" fillId="5" borderId="1" xfId="1" applyNumberFormat="1" applyFont="1" applyFill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0" fontId="1" fillId="5" borderId="1" xfId="1" quotePrefix="1" applyNumberFormat="1" applyFont="1" applyFill="1" applyBorder="1" applyAlignment="1">
      <alignment horizontal="center"/>
    </xf>
    <xf numFmtId="0" fontId="0" fillId="5" borderId="1" xfId="1" applyNumberFormat="1" applyFont="1" applyFill="1" applyBorder="1" applyAlignment="1">
      <alignment horizontal="center"/>
    </xf>
    <xf numFmtId="49" fontId="0" fillId="5" borderId="1" xfId="1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5" fontId="1" fillId="5" borderId="1" xfId="0" applyNumberFormat="1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44" fontId="1" fillId="5" borderId="1" xfId="1" applyFont="1" applyFill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left"/>
    </xf>
    <xf numFmtId="0" fontId="0" fillId="2" borderId="0" xfId="1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44" fontId="0" fillId="0" borderId="0" xfId="1" applyFont="1" applyAlignment="1">
      <alignment horizontal="left"/>
    </xf>
    <xf numFmtId="44" fontId="5" fillId="0" borderId="0" xfId="1" applyFont="1" applyAlignment="1">
      <alignment horizontal="center"/>
    </xf>
  </cellXfs>
  <cellStyles count="3">
    <cellStyle name="Currency" xfId="1" builtinId="4"/>
    <cellStyle name="Normal" xfId="0" builtinId="0"/>
    <cellStyle name="Normal 3" xfId="2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0"/>
    <pageSetUpPr fitToPage="1"/>
  </sheetPr>
  <dimension ref="A1:S29"/>
  <sheetViews>
    <sheetView tabSelected="1" workbookViewId="0">
      <pane ySplit="5" topLeftCell="A6" activePane="bottomLeft" state="frozen"/>
      <selection pane="bottomLeft"/>
    </sheetView>
  </sheetViews>
  <sheetFormatPr baseColWidth="10" defaultColWidth="8.83203125" defaultRowHeight="13" x14ac:dyDescent="0.15"/>
  <cols>
    <col min="1" max="1" width="11.6640625" style="6" bestFit="1" customWidth="1"/>
    <col min="2" max="2" width="11.83203125" style="37" hidden="1" customWidth="1"/>
    <col min="3" max="3" width="8.83203125" style="6"/>
    <col min="4" max="4" width="10.33203125" style="4" bestFit="1" customWidth="1"/>
    <col min="5" max="5" width="8.83203125" style="4"/>
    <col min="6" max="6" width="10.33203125" style="4" bestFit="1" customWidth="1"/>
    <col min="7" max="12" width="8.83203125" style="4"/>
    <col min="13" max="13" width="11.33203125" style="6" bestFit="1" customWidth="1"/>
    <col min="14" max="14" width="10.33203125" style="6" bestFit="1" customWidth="1"/>
    <col min="15" max="15" width="12" style="6" customWidth="1"/>
    <col min="16" max="16" width="11.33203125" style="6" customWidth="1"/>
    <col min="17" max="17" width="14.33203125" style="5" bestFit="1" customWidth="1"/>
    <col min="18" max="18" width="17.5" style="6" customWidth="1"/>
    <col min="19" max="19" width="11.33203125" bestFit="1" customWidth="1"/>
  </cols>
  <sheetData>
    <row r="1" spans="1:18" x14ac:dyDescent="0.15">
      <c r="A1" s="42" t="s">
        <v>19</v>
      </c>
      <c r="D1" s="44" t="s">
        <v>16</v>
      </c>
      <c r="E1" s="4" t="s">
        <v>17</v>
      </c>
      <c r="F1" s="44" t="s">
        <v>15</v>
      </c>
      <c r="G1" s="4" t="s">
        <v>20</v>
      </c>
      <c r="H1" s="43" t="s">
        <v>21</v>
      </c>
    </row>
    <row r="2" spans="1:18" x14ac:dyDescent="0.15">
      <c r="A2" s="39"/>
      <c r="B2" s="2"/>
      <c r="C2" s="3"/>
      <c r="M2" s="4"/>
      <c r="N2" s="4"/>
      <c r="O2" s="4"/>
      <c r="P2" s="4"/>
    </row>
    <row r="3" spans="1:18" x14ac:dyDescent="0.15">
      <c r="A3" s="41" t="s">
        <v>18</v>
      </c>
      <c r="B3" s="2"/>
      <c r="C3" s="40"/>
      <c r="M3" s="4"/>
      <c r="N3" s="4"/>
      <c r="O3" s="4"/>
      <c r="P3" s="4"/>
    </row>
    <row r="4" spans="1:18" x14ac:dyDescent="0.15">
      <c r="A4" s="1"/>
      <c r="B4" s="2"/>
      <c r="C4" s="3"/>
      <c r="M4" s="4"/>
      <c r="N4" s="4"/>
      <c r="O4" s="4"/>
      <c r="P4" s="4"/>
    </row>
    <row r="5" spans="1:18" ht="51.75" customHeight="1" x14ac:dyDescent="0.15">
      <c r="A5" s="7" t="s">
        <v>0</v>
      </c>
      <c r="B5" s="8" t="s">
        <v>1</v>
      </c>
      <c r="C5" s="9" t="s">
        <v>2</v>
      </c>
      <c r="D5" s="10" t="s">
        <v>3</v>
      </c>
      <c r="E5" s="10" t="s">
        <v>4</v>
      </c>
      <c r="F5" s="10" t="s">
        <v>3</v>
      </c>
      <c r="G5" s="10" t="s">
        <v>5</v>
      </c>
      <c r="H5" s="10" t="s">
        <v>3</v>
      </c>
      <c r="I5" s="10" t="s">
        <v>6</v>
      </c>
      <c r="J5" s="10" t="s">
        <v>7</v>
      </c>
      <c r="K5" s="10" t="s">
        <v>8</v>
      </c>
      <c r="L5" s="10" t="s">
        <v>7</v>
      </c>
      <c r="M5" s="10" t="s">
        <v>9</v>
      </c>
      <c r="N5" s="10" t="s">
        <v>10</v>
      </c>
      <c r="O5" s="10" t="s">
        <v>11</v>
      </c>
      <c r="P5" s="10" t="s">
        <v>12</v>
      </c>
      <c r="Q5" s="11" t="s">
        <v>13</v>
      </c>
      <c r="R5" s="12" t="s">
        <v>14</v>
      </c>
    </row>
    <row r="6" spans="1:18" s="19" customFormat="1" x14ac:dyDescent="0.15">
      <c r="A6" s="13"/>
      <c r="B6" s="14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  <c r="R6" s="18">
        <f>SUM(M7:M100)</f>
        <v>18225</v>
      </c>
    </row>
    <row r="7" spans="1:18" s="21" customFormat="1" x14ac:dyDescent="0.15">
      <c r="A7" s="22">
        <v>42186</v>
      </c>
      <c r="B7" s="23"/>
      <c r="C7" s="24">
        <v>1</v>
      </c>
      <c r="D7" s="25">
        <v>1100</v>
      </c>
      <c r="E7" s="26">
        <v>1</v>
      </c>
      <c r="F7" s="25">
        <v>200</v>
      </c>
      <c r="G7" s="27">
        <v>1</v>
      </c>
      <c r="H7" s="25">
        <v>175</v>
      </c>
      <c r="I7" s="25"/>
      <c r="J7" s="25">
        <v>1</v>
      </c>
      <c r="K7" s="25"/>
      <c r="L7" s="25">
        <v>150</v>
      </c>
      <c r="M7" s="25">
        <f t="shared" ref="M7:M21" si="0">(C7*D7)+(E7*F7)+(G7*H7)+(I7*J7)+(K7*L7)</f>
        <v>1475</v>
      </c>
      <c r="N7" s="25">
        <f t="shared" ref="N7:N21" si="1">(M7*5%)</f>
        <v>73.75</v>
      </c>
      <c r="O7" s="25">
        <f t="shared" ref="O7:O21" si="2">SUM(M7+N7)</f>
        <v>1548.75</v>
      </c>
      <c r="P7" s="28"/>
      <c r="Q7" s="29"/>
      <c r="R7" s="20"/>
    </row>
    <row r="8" spans="1:18" s="21" customFormat="1" x14ac:dyDescent="0.15">
      <c r="A8" s="22">
        <v>42187</v>
      </c>
      <c r="B8" s="23"/>
      <c r="C8" s="24">
        <v>1</v>
      </c>
      <c r="D8" s="25">
        <v>1100</v>
      </c>
      <c r="E8" s="26">
        <v>1</v>
      </c>
      <c r="F8" s="25">
        <v>200</v>
      </c>
      <c r="G8" s="27">
        <v>1</v>
      </c>
      <c r="H8" s="25">
        <v>175</v>
      </c>
      <c r="I8" s="25"/>
      <c r="J8" s="25">
        <v>1</v>
      </c>
      <c r="K8" s="25"/>
      <c r="L8" s="25">
        <v>150</v>
      </c>
      <c r="M8" s="25">
        <f t="shared" si="0"/>
        <v>1475</v>
      </c>
      <c r="N8" s="25">
        <f t="shared" si="1"/>
        <v>73.75</v>
      </c>
      <c r="O8" s="25">
        <f t="shared" si="2"/>
        <v>1548.75</v>
      </c>
      <c r="P8" s="28"/>
      <c r="Q8" s="29"/>
      <c r="R8" s="20"/>
    </row>
    <row r="9" spans="1:18" s="21" customFormat="1" x14ac:dyDescent="0.15">
      <c r="A9" s="22">
        <v>42188</v>
      </c>
      <c r="B9" s="23"/>
      <c r="C9" s="24">
        <v>1</v>
      </c>
      <c r="D9" s="25">
        <v>1100</v>
      </c>
      <c r="E9" s="26">
        <v>1</v>
      </c>
      <c r="F9" s="25">
        <v>200</v>
      </c>
      <c r="G9" s="27">
        <v>1</v>
      </c>
      <c r="H9" s="25">
        <v>175</v>
      </c>
      <c r="I9" s="25"/>
      <c r="J9" s="25">
        <v>1</v>
      </c>
      <c r="K9" s="25"/>
      <c r="L9" s="25">
        <v>150</v>
      </c>
      <c r="M9" s="25">
        <f t="shared" si="0"/>
        <v>1475</v>
      </c>
      <c r="N9" s="25">
        <f t="shared" si="1"/>
        <v>73.75</v>
      </c>
      <c r="O9" s="25">
        <f t="shared" si="2"/>
        <v>1548.75</v>
      </c>
      <c r="P9" s="28"/>
      <c r="Q9" s="29"/>
      <c r="R9" s="20"/>
    </row>
    <row r="10" spans="1:18" s="21" customFormat="1" ht="13.5" customHeight="1" x14ac:dyDescent="0.15">
      <c r="A10" s="22">
        <v>42189</v>
      </c>
      <c r="B10" s="23"/>
      <c r="C10" s="24">
        <v>1</v>
      </c>
      <c r="D10" s="25">
        <v>1100</v>
      </c>
      <c r="E10" s="26">
        <v>1</v>
      </c>
      <c r="F10" s="25">
        <v>200</v>
      </c>
      <c r="G10" s="27">
        <v>1</v>
      </c>
      <c r="H10" s="25">
        <v>175</v>
      </c>
      <c r="I10" s="25"/>
      <c r="J10" s="25">
        <v>1</v>
      </c>
      <c r="K10" s="25"/>
      <c r="L10" s="25">
        <v>150</v>
      </c>
      <c r="M10" s="25">
        <f t="shared" si="0"/>
        <v>1475</v>
      </c>
      <c r="N10" s="25">
        <f t="shared" si="1"/>
        <v>73.75</v>
      </c>
      <c r="O10" s="25">
        <f t="shared" si="2"/>
        <v>1548.75</v>
      </c>
      <c r="P10" s="28"/>
      <c r="Q10" s="29"/>
      <c r="R10" s="20"/>
    </row>
    <row r="11" spans="1:18" s="21" customFormat="1" ht="12" customHeight="1" x14ac:dyDescent="0.15">
      <c r="A11" s="30">
        <v>42190</v>
      </c>
      <c r="B11" s="31"/>
      <c r="C11" s="32"/>
      <c r="D11" s="25"/>
      <c r="E11" s="33"/>
      <c r="F11" s="25"/>
      <c r="G11" s="27">
        <v>1</v>
      </c>
      <c r="H11" s="25">
        <v>175</v>
      </c>
      <c r="I11" s="25"/>
      <c r="J11" s="25">
        <v>1</v>
      </c>
      <c r="K11" s="25"/>
      <c r="L11" s="25">
        <v>150</v>
      </c>
      <c r="M11" s="25">
        <f t="shared" si="0"/>
        <v>175</v>
      </c>
      <c r="N11" s="25">
        <f t="shared" si="1"/>
        <v>8.75</v>
      </c>
      <c r="O11" s="25">
        <f t="shared" si="2"/>
        <v>183.75</v>
      </c>
      <c r="P11" s="28"/>
      <c r="Q11" s="29"/>
      <c r="R11" s="20"/>
    </row>
    <row r="12" spans="1:18" s="21" customFormat="1" x14ac:dyDescent="0.15">
      <c r="A12" s="34">
        <v>42191</v>
      </c>
      <c r="B12" s="31"/>
      <c r="C12" s="32">
        <v>1</v>
      </c>
      <c r="D12" s="25">
        <v>1100</v>
      </c>
      <c r="E12" s="33">
        <v>1</v>
      </c>
      <c r="F12" s="25">
        <v>200</v>
      </c>
      <c r="G12" s="27">
        <v>1</v>
      </c>
      <c r="H12" s="25">
        <v>175</v>
      </c>
      <c r="I12" s="25"/>
      <c r="J12" s="25">
        <v>1</v>
      </c>
      <c r="K12" s="25"/>
      <c r="L12" s="25">
        <v>150</v>
      </c>
      <c r="M12" s="25">
        <f t="shared" si="0"/>
        <v>1475</v>
      </c>
      <c r="N12" s="25">
        <f t="shared" si="1"/>
        <v>73.75</v>
      </c>
      <c r="O12" s="25">
        <f t="shared" si="2"/>
        <v>1548.75</v>
      </c>
      <c r="P12" s="28"/>
      <c r="Q12" s="29"/>
      <c r="R12" s="20"/>
    </row>
    <row r="13" spans="1:18" s="21" customFormat="1" x14ac:dyDescent="0.15">
      <c r="A13" s="34">
        <v>42192</v>
      </c>
      <c r="B13" s="31"/>
      <c r="C13" s="32">
        <v>1</v>
      </c>
      <c r="D13" s="25">
        <v>1100</v>
      </c>
      <c r="E13" s="33">
        <v>1</v>
      </c>
      <c r="F13" s="25">
        <v>200</v>
      </c>
      <c r="G13" s="27">
        <v>1</v>
      </c>
      <c r="H13" s="25">
        <v>175</v>
      </c>
      <c r="I13" s="25"/>
      <c r="J13" s="25">
        <v>1</v>
      </c>
      <c r="K13" s="25"/>
      <c r="L13" s="25">
        <v>150</v>
      </c>
      <c r="M13" s="25">
        <f t="shared" si="0"/>
        <v>1475</v>
      </c>
      <c r="N13" s="25">
        <f t="shared" si="1"/>
        <v>73.75</v>
      </c>
      <c r="O13" s="25">
        <f t="shared" si="2"/>
        <v>1548.75</v>
      </c>
      <c r="P13" s="28"/>
      <c r="Q13" s="29"/>
      <c r="R13" s="20"/>
    </row>
    <row r="14" spans="1:18" s="21" customFormat="1" x14ac:dyDescent="0.15">
      <c r="A14" s="34">
        <v>42193</v>
      </c>
      <c r="B14" s="31"/>
      <c r="C14" s="32">
        <v>1</v>
      </c>
      <c r="D14" s="25">
        <v>1100</v>
      </c>
      <c r="E14" s="33">
        <v>1</v>
      </c>
      <c r="F14" s="25">
        <v>200</v>
      </c>
      <c r="G14" s="27">
        <v>1</v>
      </c>
      <c r="H14" s="25">
        <v>175</v>
      </c>
      <c r="I14" s="25"/>
      <c r="J14" s="25">
        <v>1</v>
      </c>
      <c r="K14" s="25"/>
      <c r="L14" s="25">
        <v>150</v>
      </c>
      <c r="M14" s="25">
        <f t="shared" si="0"/>
        <v>1475</v>
      </c>
      <c r="N14" s="25">
        <f t="shared" si="1"/>
        <v>73.75</v>
      </c>
      <c r="O14" s="25">
        <f t="shared" si="2"/>
        <v>1548.75</v>
      </c>
      <c r="P14" s="28"/>
      <c r="Q14" s="29"/>
      <c r="R14" s="20"/>
    </row>
    <row r="15" spans="1:18" s="21" customFormat="1" x14ac:dyDescent="0.15">
      <c r="A15" s="34">
        <v>42194</v>
      </c>
      <c r="B15" s="31"/>
      <c r="C15" s="32">
        <v>1</v>
      </c>
      <c r="D15" s="25">
        <v>1100</v>
      </c>
      <c r="E15" s="33">
        <v>1</v>
      </c>
      <c r="F15" s="25">
        <v>200</v>
      </c>
      <c r="G15" s="27">
        <v>1</v>
      </c>
      <c r="H15" s="25">
        <v>175</v>
      </c>
      <c r="I15" s="25"/>
      <c r="J15" s="25">
        <v>1</v>
      </c>
      <c r="K15" s="25"/>
      <c r="L15" s="25">
        <v>150</v>
      </c>
      <c r="M15" s="25">
        <f t="shared" si="0"/>
        <v>1475</v>
      </c>
      <c r="N15" s="25">
        <f t="shared" si="1"/>
        <v>73.75</v>
      </c>
      <c r="O15" s="25">
        <f t="shared" si="2"/>
        <v>1548.75</v>
      </c>
      <c r="P15" s="28"/>
      <c r="Q15" s="29"/>
      <c r="R15" s="20"/>
    </row>
    <row r="16" spans="1:18" s="21" customFormat="1" x14ac:dyDescent="0.15">
      <c r="A16" s="34">
        <v>42195</v>
      </c>
      <c r="B16" s="31"/>
      <c r="C16" s="32">
        <v>1</v>
      </c>
      <c r="D16" s="25">
        <v>1100</v>
      </c>
      <c r="E16" s="33">
        <v>1</v>
      </c>
      <c r="F16" s="25">
        <v>200</v>
      </c>
      <c r="G16" s="27">
        <v>1</v>
      </c>
      <c r="H16" s="25">
        <v>175</v>
      </c>
      <c r="I16" s="25"/>
      <c r="J16" s="25">
        <v>1</v>
      </c>
      <c r="K16" s="25"/>
      <c r="L16" s="25">
        <v>150</v>
      </c>
      <c r="M16" s="25">
        <f t="shared" si="0"/>
        <v>1475</v>
      </c>
      <c r="N16" s="25">
        <f t="shared" si="1"/>
        <v>73.75</v>
      </c>
      <c r="O16" s="25">
        <f t="shared" si="2"/>
        <v>1548.75</v>
      </c>
      <c r="P16" s="28"/>
      <c r="Q16" s="29"/>
      <c r="R16" s="20"/>
    </row>
    <row r="17" spans="1:19" s="21" customFormat="1" x14ac:dyDescent="0.15">
      <c r="A17" s="34">
        <v>42196</v>
      </c>
      <c r="B17" s="31"/>
      <c r="C17" s="32">
        <v>1</v>
      </c>
      <c r="D17" s="25">
        <v>1100</v>
      </c>
      <c r="E17" s="33">
        <v>1</v>
      </c>
      <c r="F17" s="25">
        <v>200</v>
      </c>
      <c r="G17" s="27">
        <v>1</v>
      </c>
      <c r="H17" s="25">
        <v>175</v>
      </c>
      <c r="I17" s="25"/>
      <c r="J17" s="25">
        <v>1</v>
      </c>
      <c r="K17" s="25"/>
      <c r="L17" s="25">
        <v>150</v>
      </c>
      <c r="M17" s="25">
        <f t="shared" si="0"/>
        <v>1475</v>
      </c>
      <c r="N17" s="25">
        <f t="shared" si="1"/>
        <v>73.75</v>
      </c>
      <c r="O17" s="25">
        <f t="shared" si="2"/>
        <v>1548.75</v>
      </c>
      <c r="P17" s="28"/>
      <c r="Q17" s="29"/>
      <c r="R17" s="20"/>
    </row>
    <row r="18" spans="1:19" s="21" customFormat="1" x14ac:dyDescent="0.15">
      <c r="A18" s="34">
        <v>42197</v>
      </c>
      <c r="B18" s="31"/>
      <c r="C18" s="32"/>
      <c r="D18" s="25">
        <v>1100</v>
      </c>
      <c r="E18" s="33"/>
      <c r="F18" s="25">
        <v>200</v>
      </c>
      <c r="G18" s="27">
        <v>1</v>
      </c>
      <c r="H18" s="25">
        <v>175</v>
      </c>
      <c r="I18" s="25"/>
      <c r="J18" s="25">
        <v>1</v>
      </c>
      <c r="K18" s="25"/>
      <c r="L18" s="25">
        <v>150</v>
      </c>
      <c r="M18" s="25">
        <f t="shared" si="0"/>
        <v>175</v>
      </c>
      <c r="N18" s="25">
        <f t="shared" si="1"/>
        <v>8.75</v>
      </c>
      <c r="O18" s="25">
        <f t="shared" si="2"/>
        <v>183.75</v>
      </c>
      <c r="P18" s="28"/>
      <c r="Q18" s="29"/>
      <c r="R18" s="20"/>
    </row>
    <row r="19" spans="1:19" s="21" customFormat="1" x14ac:dyDescent="0.15">
      <c r="A19" s="34">
        <v>42198</v>
      </c>
      <c r="B19" s="31"/>
      <c r="C19" s="32"/>
      <c r="D19" s="25">
        <v>1100</v>
      </c>
      <c r="E19" s="33"/>
      <c r="F19" s="25">
        <v>200</v>
      </c>
      <c r="G19" s="27">
        <v>1</v>
      </c>
      <c r="H19" s="25">
        <v>175</v>
      </c>
      <c r="I19" s="25"/>
      <c r="J19" s="25">
        <v>1</v>
      </c>
      <c r="K19" s="25"/>
      <c r="L19" s="25">
        <v>150</v>
      </c>
      <c r="M19" s="25">
        <f t="shared" si="0"/>
        <v>175</v>
      </c>
      <c r="N19" s="25">
        <f t="shared" si="1"/>
        <v>8.75</v>
      </c>
      <c r="O19" s="25">
        <f t="shared" si="2"/>
        <v>183.75</v>
      </c>
      <c r="P19" s="28"/>
      <c r="Q19" s="29"/>
      <c r="R19" s="20"/>
    </row>
    <row r="20" spans="1:19" s="21" customFormat="1" x14ac:dyDescent="0.15">
      <c r="A20" s="34">
        <v>42199</v>
      </c>
      <c r="B20" s="31"/>
      <c r="C20" s="32">
        <v>1</v>
      </c>
      <c r="D20" s="25">
        <v>1100</v>
      </c>
      <c r="E20" s="33">
        <v>1</v>
      </c>
      <c r="F20" s="25">
        <v>200</v>
      </c>
      <c r="G20" s="27">
        <v>1</v>
      </c>
      <c r="H20" s="25">
        <v>175</v>
      </c>
      <c r="I20" s="25"/>
      <c r="J20" s="25">
        <v>1</v>
      </c>
      <c r="K20" s="25"/>
      <c r="L20" s="25">
        <v>150</v>
      </c>
      <c r="M20" s="25">
        <f t="shared" si="0"/>
        <v>1475</v>
      </c>
      <c r="N20" s="25">
        <f t="shared" si="1"/>
        <v>73.75</v>
      </c>
      <c r="O20" s="25">
        <f t="shared" si="2"/>
        <v>1548.75</v>
      </c>
      <c r="P20" s="28"/>
      <c r="Q20" s="29"/>
      <c r="R20" s="20"/>
    </row>
    <row r="21" spans="1:19" s="36" customFormat="1" x14ac:dyDescent="0.15">
      <c r="A21" s="34">
        <v>42200</v>
      </c>
      <c r="B21" s="31"/>
      <c r="C21" s="32">
        <v>1</v>
      </c>
      <c r="D21" s="25">
        <v>1100</v>
      </c>
      <c r="E21" s="24">
        <v>1</v>
      </c>
      <c r="F21" s="25">
        <v>200</v>
      </c>
      <c r="G21" s="27">
        <v>1</v>
      </c>
      <c r="H21" s="25">
        <v>175</v>
      </c>
      <c r="I21" s="25"/>
      <c r="J21" s="25">
        <v>1</v>
      </c>
      <c r="K21" s="25"/>
      <c r="L21" s="25">
        <v>150</v>
      </c>
      <c r="M21" s="25">
        <f t="shared" si="0"/>
        <v>1475</v>
      </c>
      <c r="N21" s="25">
        <f t="shared" si="1"/>
        <v>73.75</v>
      </c>
      <c r="O21" s="25">
        <f t="shared" si="2"/>
        <v>1548.75</v>
      </c>
      <c r="P21" s="28"/>
      <c r="Q21" s="29"/>
      <c r="R21" s="35"/>
    </row>
    <row r="22" spans="1:19" x14ac:dyDescent="0.15">
      <c r="P22" s="38"/>
    </row>
    <row r="23" spans="1:19" x14ac:dyDescent="0.15">
      <c r="P23" s="38"/>
    </row>
    <row r="24" spans="1:19" x14ac:dyDescent="0.15">
      <c r="P24" s="38"/>
    </row>
    <row r="25" spans="1:19" s="5" customFormat="1" x14ac:dyDescent="0.15">
      <c r="A25" s="6"/>
      <c r="B25" s="37"/>
      <c r="C25" s="6"/>
      <c r="D25" s="4"/>
      <c r="E25" s="4"/>
      <c r="F25" s="4"/>
      <c r="G25" s="4"/>
      <c r="H25" s="4"/>
      <c r="I25" s="4"/>
      <c r="J25" s="4"/>
      <c r="K25" s="4"/>
      <c r="L25" s="4"/>
      <c r="M25" s="6"/>
      <c r="N25" s="6"/>
      <c r="O25" s="6"/>
      <c r="P25" s="38"/>
      <c r="R25" s="6"/>
      <c r="S25"/>
    </row>
    <row r="26" spans="1:19" s="5" customFormat="1" x14ac:dyDescent="0.15">
      <c r="A26" s="6"/>
      <c r="B26" s="37"/>
      <c r="C26" s="6"/>
      <c r="D26" s="4"/>
      <c r="E26" s="4"/>
      <c r="F26" s="4"/>
      <c r="G26" s="4"/>
      <c r="H26" s="4"/>
      <c r="I26" s="4"/>
      <c r="J26" s="4"/>
      <c r="K26" s="4"/>
      <c r="L26" s="4"/>
      <c r="M26" s="6"/>
      <c r="N26" s="6"/>
      <c r="O26" s="6"/>
      <c r="P26" s="38"/>
      <c r="R26" s="6"/>
      <c r="S26"/>
    </row>
    <row r="27" spans="1:19" s="5" customFormat="1" x14ac:dyDescent="0.15">
      <c r="A27" s="6"/>
      <c r="B27" s="37"/>
      <c r="C27" s="6"/>
      <c r="D27" s="4"/>
      <c r="E27" s="4"/>
      <c r="F27" s="4"/>
      <c r="G27" s="4"/>
      <c r="H27" s="4"/>
      <c r="I27" s="4"/>
      <c r="J27" s="4"/>
      <c r="K27" s="4"/>
      <c r="L27" s="4"/>
      <c r="M27" s="6"/>
      <c r="N27" s="6"/>
      <c r="O27" s="6"/>
      <c r="P27" s="38"/>
      <c r="R27" s="6"/>
      <c r="S27"/>
    </row>
    <row r="28" spans="1:19" s="5" customFormat="1" x14ac:dyDescent="0.15">
      <c r="A28" s="6"/>
      <c r="B28" s="37"/>
      <c r="C28" s="6"/>
      <c r="D28" s="4"/>
      <c r="E28" s="4"/>
      <c r="F28" s="4"/>
      <c r="G28" s="4"/>
      <c r="H28" s="4"/>
      <c r="I28" s="4"/>
      <c r="J28" s="4"/>
      <c r="K28" s="4"/>
      <c r="L28" s="4"/>
      <c r="M28" s="6"/>
      <c r="N28" s="6"/>
      <c r="O28" s="6"/>
      <c r="P28" s="38"/>
      <c r="R28" s="6"/>
      <c r="S28"/>
    </row>
    <row r="29" spans="1:19" s="5" customFormat="1" x14ac:dyDescent="0.15">
      <c r="A29" s="6"/>
      <c r="B29" s="37"/>
      <c r="C29" s="6"/>
      <c r="D29" s="4"/>
      <c r="E29" s="4"/>
      <c r="F29" s="4"/>
      <c r="G29" s="4"/>
      <c r="H29" s="4"/>
      <c r="I29" s="4"/>
      <c r="J29" s="4"/>
      <c r="K29" s="4"/>
      <c r="L29" s="4"/>
      <c r="M29" s="6"/>
      <c r="N29" s="6"/>
      <c r="O29" s="6"/>
      <c r="P29" s="38"/>
      <c r="R29" s="6"/>
      <c r="S29"/>
    </row>
  </sheetData>
  <autoFilter ref="A5:S5"/>
  <phoneticPr fontId="4" type="noConversion"/>
  <pageMargins left="0.7" right="0.7" top="0.75" bottom="0.75" header="0.3" footer="0.3"/>
  <pageSetup scale="44" orientation="portrait" r:id="rId1"/>
  <colBreaks count="1" manualBreakCount="1">
    <brk id="1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#2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Judson</dc:creator>
  <cp:lastModifiedBy>Richard Judson</cp:lastModifiedBy>
  <dcterms:created xsi:type="dcterms:W3CDTF">2016-07-18T19:45:41Z</dcterms:created>
  <dcterms:modified xsi:type="dcterms:W3CDTF">2016-07-18T20:37:53Z</dcterms:modified>
</cp:coreProperties>
</file>