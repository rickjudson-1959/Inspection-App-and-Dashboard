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7629"/>
  <workbookPr showInkAnnotation="0" codeName="ThisWorkbook" autoCompressPictures="0"/>
  <bookViews>
    <workbookView xWindow="0" yWindow="460" windowWidth="28800" windowHeight="14640" tabRatio="604"/>
  </bookViews>
  <sheets>
    <sheet name="SUMMARY PAGE" sheetId="19" r:id="rId1"/>
    <sheet name="Arete Design Solutions" sheetId="58" r:id="rId2"/>
    <sheet name="Vendor #3" sheetId="83" r:id="rId3"/>
    <sheet name="Vendor #4" sheetId="57" r:id="rId4"/>
    <sheet name="Vendor #8" sheetId="51" r:id="rId5"/>
    <sheet name="Vendor #11" sheetId="48" r:id="rId6"/>
    <sheet name="Vendor #12" sheetId="49" r:id="rId7"/>
    <sheet name="Vendor #13" sheetId="74" r:id="rId8"/>
    <sheet name="Vendor #14" sheetId="50" r:id="rId9"/>
    <sheet name="Vendor #17" sheetId="54" r:id="rId10"/>
    <sheet name="Vendor #18" sheetId="53" r:id="rId11"/>
    <sheet name="Vendor #19" sheetId="59" r:id="rId12"/>
    <sheet name="Vendor #20" sheetId="52" r:id="rId13"/>
    <sheet name="Vendor #23" sheetId="61" r:id="rId14"/>
    <sheet name="Vendor #24" sheetId="72" r:id="rId15"/>
    <sheet name="Vendor #27" sheetId="85" r:id="rId16"/>
    <sheet name="Vendor #28" sheetId="86" r:id="rId17"/>
  </sheets>
  <definedNames>
    <definedName name="_xlnm._FilterDatabase" localSheetId="1" hidden="1">'Arete Design Solutions'!$A$4:$S$4</definedName>
    <definedName name="_xlnm._FilterDatabase" localSheetId="0" hidden="1">'SUMMARY PAGE'!$A$85:$I$267</definedName>
    <definedName name="_xlnm._FilterDatabase" localSheetId="5" hidden="1">'Vendor #11'!$A$4:$AB$4</definedName>
    <definedName name="_xlnm._FilterDatabase" localSheetId="6" hidden="1">'Vendor #12'!$A$4:$Z$81</definedName>
    <definedName name="_xlnm._FilterDatabase" localSheetId="7" hidden="1">'Vendor #13'!$A$4:$AA$4</definedName>
    <definedName name="_xlnm._FilterDatabase" localSheetId="8" hidden="1">'Vendor #14'!$A$4:$AE$238</definedName>
    <definedName name="_xlnm._FilterDatabase" localSheetId="9" hidden="1">'Vendor #17'!$A$4:$AH$53</definedName>
    <definedName name="_xlnm._FilterDatabase" localSheetId="10" hidden="1">'Vendor #18'!$A$4:$X$336</definedName>
    <definedName name="_xlnm._FilterDatabase" localSheetId="11" hidden="1">'Vendor #19'!$A$4:$AM$225</definedName>
    <definedName name="_xlnm._FilterDatabase" localSheetId="12" hidden="1">'Vendor #20'!$A$4:$AW$4</definedName>
    <definedName name="_xlnm._FilterDatabase" localSheetId="13" hidden="1">'Vendor #23'!$A$4:$S$4</definedName>
    <definedName name="_xlnm._FilterDatabase" localSheetId="14" hidden="1">'Vendor #24'!$A$3:$AJ$439</definedName>
    <definedName name="_xlnm._FilterDatabase" localSheetId="15" hidden="1">'Vendor #27'!$A$4:$AF$4</definedName>
    <definedName name="_xlnm._FilterDatabase" localSheetId="16" hidden="1">'Vendor #28'!$A$4:$AB$4</definedName>
    <definedName name="_xlnm._FilterDatabase" localSheetId="2" hidden="1">'Vendor #3'!$A$4:$AB$32</definedName>
    <definedName name="_xlnm._FilterDatabase" localSheetId="3" hidden="1">'Vendor #4'!$A$4:$AC$22</definedName>
    <definedName name="_xlnm._FilterDatabase" localSheetId="4" hidden="1">'Vendor #8'!$A$4:$AB$121</definedName>
    <definedName name="_xlnm.Print_Area" localSheetId="0">'SUMMARY PAGE'!$A$1:$K$34</definedName>
    <definedName name="_xlnm.Print_Area" localSheetId="8">'Vendor #14'!$A$1:$AA$158</definedName>
    <definedName name="_xlnm.Print_Titles" localSheetId="0">'SUMMARY PAGE'!$6:$7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Q77" i="52" l="1"/>
  <c r="AR77" i="52"/>
  <c r="W24" i="57"/>
  <c r="W25" i="57"/>
  <c r="W26" i="57"/>
  <c r="W27" i="57"/>
  <c r="W28" i="57"/>
  <c r="W29" i="57"/>
  <c r="W30" i="57"/>
  <c r="W31" i="57"/>
  <c r="W32" i="57"/>
  <c r="W33" i="57"/>
  <c r="W34" i="57"/>
  <c r="W35" i="57"/>
  <c r="W36" i="57"/>
  <c r="W37" i="57"/>
  <c r="W38" i="57"/>
  <c r="W39" i="57"/>
  <c r="W40" i="57"/>
  <c r="W41" i="57"/>
  <c r="W42" i="57"/>
  <c r="W43" i="57"/>
  <c r="W44" i="57"/>
  <c r="W45" i="57"/>
  <c r="W46" i="57"/>
  <c r="W47" i="57"/>
  <c r="W48" i="57"/>
  <c r="W49" i="57"/>
  <c r="W50" i="57"/>
  <c r="W51" i="57"/>
  <c r="W52" i="57"/>
  <c r="W53" i="57"/>
  <c r="W54" i="57"/>
  <c r="AA38" i="57"/>
  <c r="M6" i="58"/>
  <c r="M7" i="58"/>
  <c r="M8" i="58"/>
  <c r="M9" i="58"/>
  <c r="M10" i="58"/>
  <c r="M11" i="58"/>
  <c r="M12" i="58"/>
  <c r="M13" i="58"/>
  <c r="M14" i="58"/>
  <c r="M15" i="58"/>
  <c r="M16" i="58"/>
  <c r="M17" i="58"/>
  <c r="M18" i="58"/>
  <c r="M19" i="58"/>
  <c r="M20" i="58"/>
  <c r="M21" i="58"/>
  <c r="M22" i="58"/>
  <c r="M23" i="58"/>
  <c r="M24" i="58"/>
  <c r="M25" i="58"/>
  <c r="M26" i="58"/>
  <c r="M27" i="58"/>
  <c r="M28" i="58"/>
  <c r="M29" i="58"/>
  <c r="M30" i="58"/>
  <c r="M31" i="58"/>
  <c r="M32" i="58"/>
  <c r="M33" i="58"/>
  <c r="M34" i="58"/>
  <c r="M35" i="58"/>
  <c r="M36" i="58"/>
  <c r="M37" i="58"/>
  <c r="M38" i="58"/>
  <c r="M39" i="58"/>
  <c r="M40" i="58"/>
  <c r="M41" i="58"/>
  <c r="M42" i="58"/>
  <c r="M43" i="58"/>
  <c r="M44" i="58"/>
  <c r="M45" i="58"/>
  <c r="M46" i="58"/>
  <c r="M47" i="58"/>
  <c r="M48" i="58"/>
  <c r="M49" i="58"/>
  <c r="M50" i="58"/>
  <c r="M51" i="58"/>
  <c r="M52" i="58"/>
  <c r="M53" i="58"/>
  <c r="M54" i="58"/>
  <c r="M55" i="58"/>
  <c r="M56" i="58"/>
  <c r="M57" i="58"/>
  <c r="M58" i="58"/>
  <c r="M59" i="58"/>
  <c r="M60" i="58"/>
  <c r="M61" i="58"/>
  <c r="M62" i="58"/>
  <c r="M63" i="58"/>
  <c r="M64" i="58"/>
  <c r="M65" i="58"/>
  <c r="M66" i="58"/>
  <c r="M67" i="58"/>
  <c r="M68" i="58"/>
  <c r="M69" i="58"/>
  <c r="M70" i="58"/>
  <c r="M71" i="58"/>
  <c r="M72" i="58"/>
  <c r="M73" i="58"/>
  <c r="M74" i="58"/>
  <c r="M75" i="58"/>
  <c r="M76" i="58"/>
  <c r="M77" i="58"/>
  <c r="R5" i="58"/>
  <c r="H9" i="19"/>
  <c r="I102" i="19"/>
  <c r="I127" i="19"/>
  <c r="I147" i="19"/>
  <c r="I175" i="19"/>
  <c r="I176" i="19"/>
  <c r="I206" i="19"/>
  <c r="I214" i="19"/>
  <c r="I216" i="19"/>
  <c r="I227" i="19"/>
  <c r="I228" i="19"/>
  <c r="I229" i="19"/>
  <c r="I230" i="19"/>
  <c r="W93" i="57"/>
  <c r="W94" i="57"/>
  <c r="W95" i="57"/>
  <c r="W96" i="57"/>
  <c r="W97" i="57"/>
  <c r="W6" i="57"/>
  <c r="W7" i="57"/>
  <c r="W8" i="57"/>
  <c r="W9" i="57"/>
  <c r="W10" i="57"/>
  <c r="W11" i="57"/>
  <c r="W12" i="57"/>
  <c r="W13" i="57"/>
  <c r="W14" i="57"/>
  <c r="W15" i="57"/>
  <c r="W16" i="57"/>
  <c r="W17" i="57"/>
  <c r="W18" i="57"/>
  <c r="W19" i="57"/>
  <c r="W20" i="57"/>
  <c r="W21" i="57"/>
  <c r="W22" i="57"/>
  <c r="W23" i="57"/>
  <c r="W55" i="57"/>
  <c r="W56" i="57"/>
  <c r="W57" i="57"/>
  <c r="W58" i="57"/>
  <c r="W59" i="57"/>
  <c r="W60" i="57"/>
  <c r="W61" i="57"/>
  <c r="W62" i="57"/>
  <c r="W63" i="57"/>
  <c r="W64" i="57"/>
  <c r="W65" i="57"/>
  <c r="W66" i="57"/>
  <c r="W67" i="57"/>
  <c r="W68" i="57"/>
  <c r="W69" i="57"/>
  <c r="W70" i="57"/>
  <c r="W71" i="57"/>
  <c r="W72" i="57"/>
  <c r="W73" i="57"/>
  <c r="W74" i="57"/>
  <c r="W75" i="57"/>
  <c r="W76" i="57"/>
  <c r="W77" i="57"/>
  <c r="W78" i="57"/>
  <c r="W79" i="57"/>
  <c r="W80" i="57"/>
  <c r="W81" i="57"/>
  <c r="W82" i="57"/>
  <c r="W83" i="57"/>
  <c r="W84" i="57"/>
  <c r="W85" i="57"/>
  <c r="W86" i="57"/>
  <c r="W87" i="57"/>
  <c r="W88" i="57"/>
  <c r="W89" i="57"/>
  <c r="W90" i="57"/>
  <c r="W91" i="57"/>
  <c r="W92" i="57"/>
  <c r="AB5" i="57"/>
  <c r="J11" i="19"/>
  <c r="J9" i="19"/>
  <c r="H12" i="19"/>
  <c r="J12" i="19"/>
  <c r="H51" i="19"/>
  <c r="R6" i="53"/>
  <c r="R7" i="53"/>
  <c r="R8" i="53"/>
  <c r="R9" i="53"/>
  <c r="R10" i="53"/>
  <c r="R11" i="53"/>
  <c r="R12" i="53"/>
  <c r="R13" i="53"/>
  <c r="R14" i="53"/>
  <c r="R15" i="53"/>
  <c r="R16" i="53"/>
  <c r="R17" i="53"/>
  <c r="R18" i="53"/>
  <c r="R19" i="53"/>
  <c r="R20" i="53"/>
  <c r="R21" i="53"/>
  <c r="R22" i="53"/>
  <c r="R23" i="53"/>
  <c r="R24" i="53"/>
  <c r="R25" i="53"/>
  <c r="R26" i="53"/>
  <c r="R27" i="53"/>
  <c r="R28" i="53"/>
  <c r="R29" i="53"/>
  <c r="R30" i="53"/>
  <c r="R31" i="53"/>
  <c r="R32" i="53"/>
  <c r="R33" i="53"/>
  <c r="R34" i="53"/>
  <c r="R35" i="53"/>
  <c r="R36" i="53"/>
  <c r="R37" i="53"/>
  <c r="R38" i="53"/>
  <c r="R39" i="53"/>
  <c r="R40" i="53"/>
  <c r="R41" i="53"/>
  <c r="R42" i="53"/>
  <c r="R43" i="53"/>
  <c r="R44" i="53"/>
  <c r="R45" i="53"/>
  <c r="R46" i="53"/>
  <c r="R47" i="53"/>
  <c r="R48" i="53"/>
  <c r="R49" i="53"/>
  <c r="R50" i="53"/>
  <c r="R51" i="53"/>
  <c r="R52" i="53"/>
  <c r="R53" i="53"/>
  <c r="R54" i="53"/>
  <c r="R55" i="53"/>
  <c r="R56" i="53"/>
  <c r="R57" i="53"/>
  <c r="R58" i="53"/>
  <c r="R59" i="53"/>
  <c r="R60" i="53"/>
  <c r="R61" i="53"/>
  <c r="R62" i="53"/>
  <c r="R63" i="53"/>
  <c r="R64" i="53"/>
  <c r="R65" i="53"/>
  <c r="R66" i="53"/>
  <c r="R67" i="53"/>
  <c r="R68" i="53"/>
  <c r="R69" i="53"/>
  <c r="R70" i="53"/>
  <c r="R71" i="53"/>
  <c r="R72" i="53"/>
  <c r="R73" i="53"/>
  <c r="R74" i="53"/>
  <c r="R75" i="53"/>
  <c r="R76" i="53"/>
  <c r="R77" i="53"/>
  <c r="R78" i="53"/>
  <c r="R79" i="53"/>
  <c r="R80" i="53"/>
  <c r="R81" i="53"/>
  <c r="R82" i="53"/>
  <c r="R83" i="53"/>
  <c r="R84" i="53"/>
  <c r="R85" i="53"/>
  <c r="R86" i="53"/>
  <c r="R87" i="53"/>
  <c r="R88" i="53"/>
  <c r="R89" i="53"/>
  <c r="R90" i="53"/>
  <c r="R91" i="53"/>
  <c r="R92" i="53"/>
  <c r="R93" i="53"/>
  <c r="R94" i="53"/>
  <c r="R95" i="53"/>
  <c r="R96" i="53"/>
  <c r="R97" i="53"/>
  <c r="R98" i="53"/>
  <c r="R99" i="53"/>
  <c r="R100" i="53"/>
  <c r="R101" i="53"/>
  <c r="R102" i="53"/>
  <c r="R103" i="53"/>
  <c r="R104" i="53"/>
  <c r="R105" i="53"/>
  <c r="R106" i="53"/>
  <c r="R107" i="53"/>
  <c r="R108" i="53"/>
  <c r="R109" i="53"/>
  <c r="R110" i="53"/>
  <c r="R111" i="53"/>
  <c r="R112" i="53"/>
  <c r="R113" i="53"/>
  <c r="R114" i="53"/>
  <c r="R115" i="53"/>
  <c r="R116" i="53"/>
  <c r="R117" i="53"/>
  <c r="R118" i="53"/>
  <c r="R119" i="53"/>
  <c r="R120" i="53"/>
  <c r="R121" i="53"/>
  <c r="R122" i="53"/>
  <c r="R123" i="53"/>
  <c r="R124" i="53"/>
  <c r="R125" i="53"/>
  <c r="R126" i="53"/>
  <c r="R127" i="53"/>
  <c r="R128" i="53"/>
  <c r="R129" i="53"/>
  <c r="R130" i="53"/>
  <c r="R131" i="53"/>
  <c r="R132" i="53"/>
  <c r="R133" i="53"/>
  <c r="R134" i="53"/>
  <c r="R135" i="53"/>
  <c r="R136" i="53"/>
  <c r="R137" i="53"/>
  <c r="R138" i="53"/>
  <c r="R139" i="53"/>
  <c r="R140" i="53"/>
  <c r="R141" i="53"/>
  <c r="R142" i="53"/>
  <c r="R143" i="53"/>
  <c r="R144" i="53"/>
  <c r="R145" i="53"/>
  <c r="R146" i="53"/>
  <c r="R147" i="53"/>
  <c r="R148" i="53"/>
  <c r="R149" i="53"/>
  <c r="R150" i="53"/>
  <c r="R151" i="53"/>
  <c r="R152" i="53"/>
  <c r="R153" i="53"/>
  <c r="R154" i="53"/>
  <c r="R155" i="53"/>
  <c r="R156" i="53"/>
  <c r="R157" i="53"/>
  <c r="R158" i="53"/>
  <c r="R159" i="53"/>
  <c r="R160" i="53"/>
  <c r="R161" i="53"/>
  <c r="R162" i="53"/>
  <c r="R163" i="53"/>
  <c r="R164" i="53"/>
  <c r="R165" i="53"/>
  <c r="R166" i="53"/>
  <c r="R167" i="53"/>
  <c r="R168" i="53"/>
  <c r="R169" i="53"/>
  <c r="R170" i="53"/>
  <c r="R171" i="53"/>
  <c r="R172" i="53"/>
  <c r="R173" i="53"/>
  <c r="R174" i="53"/>
  <c r="R175" i="53"/>
  <c r="R176" i="53"/>
  <c r="R177" i="53"/>
  <c r="R178" i="53"/>
  <c r="R179" i="53"/>
  <c r="R180" i="53"/>
  <c r="R181" i="53"/>
  <c r="R182" i="53"/>
  <c r="R183" i="53"/>
  <c r="R184" i="53"/>
  <c r="R185" i="53"/>
  <c r="R186" i="53"/>
  <c r="R187" i="53"/>
  <c r="R188" i="53"/>
  <c r="R189" i="53"/>
  <c r="R190" i="53"/>
  <c r="R191" i="53"/>
  <c r="R192" i="53"/>
  <c r="R193" i="53"/>
  <c r="R194" i="53"/>
  <c r="R195" i="53"/>
  <c r="R196" i="53"/>
  <c r="R197" i="53"/>
  <c r="R198" i="53"/>
  <c r="R199" i="53"/>
  <c r="R200" i="53"/>
  <c r="R201" i="53"/>
  <c r="R202" i="53"/>
  <c r="R203" i="53"/>
  <c r="R204" i="53"/>
  <c r="R205" i="53"/>
  <c r="R206" i="53"/>
  <c r="R207" i="53"/>
  <c r="R208" i="53"/>
  <c r="R209" i="53"/>
  <c r="R210" i="53"/>
  <c r="R211" i="53"/>
  <c r="R212" i="53"/>
  <c r="R213" i="53"/>
  <c r="R214" i="53"/>
  <c r="R215" i="53"/>
  <c r="R216" i="53"/>
  <c r="R217" i="53"/>
  <c r="R218" i="53"/>
  <c r="R219" i="53"/>
  <c r="R220" i="53"/>
  <c r="R221" i="53"/>
  <c r="R222" i="53"/>
  <c r="R223" i="53"/>
  <c r="R224" i="53"/>
  <c r="R225" i="53"/>
  <c r="R226" i="53"/>
  <c r="R227" i="53"/>
  <c r="R228" i="53"/>
  <c r="R229" i="53"/>
  <c r="R230" i="53"/>
  <c r="R231" i="53"/>
  <c r="R232" i="53"/>
  <c r="R233" i="53"/>
  <c r="R234" i="53"/>
  <c r="R235" i="53"/>
  <c r="R236" i="53"/>
  <c r="R237" i="53"/>
  <c r="R238" i="53"/>
  <c r="R239" i="53"/>
  <c r="R240" i="53"/>
  <c r="R241" i="53"/>
  <c r="R242" i="53"/>
  <c r="R243" i="53"/>
  <c r="R244" i="53"/>
  <c r="R245" i="53"/>
  <c r="R246" i="53"/>
  <c r="R247" i="53"/>
  <c r="R248" i="53"/>
  <c r="R249" i="53"/>
  <c r="R250" i="53"/>
  <c r="R251" i="53"/>
  <c r="R252" i="53"/>
  <c r="R253" i="53"/>
  <c r="R254" i="53"/>
  <c r="R255" i="53"/>
  <c r="R256" i="53"/>
  <c r="R257" i="53"/>
  <c r="R258" i="53"/>
  <c r="R259" i="53"/>
  <c r="R260" i="53"/>
  <c r="R261" i="53"/>
  <c r="R262" i="53"/>
  <c r="R263" i="53"/>
  <c r="R264" i="53"/>
  <c r="R265" i="53"/>
  <c r="R266" i="53"/>
  <c r="R267" i="53"/>
  <c r="R268" i="53"/>
  <c r="R269" i="53"/>
  <c r="R270" i="53"/>
  <c r="R271" i="53"/>
  <c r="R272" i="53"/>
  <c r="R273" i="53"/>
  <c r="R274" i="53"/>
  <c r="R275" i="53"/>
  <c r="R276" i="53"/>
  <c r="R277" i="53"/>
  <c r="R278" i="53"/>
  <c r="R279" i="53"/>
  <c r="R280" i="53"/>
  <c r="R281" i="53"/>
  <c r="R282" i="53"/>
  <c r="R283" i="53"/>
  <c r="R284" i="53"/>
  <c r="R285" i="53"/>
  <c r="R286" i="53"/>
  <c r="R287" i="53"/>
  <c r="R288" i="53"/>
  <c r="R289" i="53"/>
  <c r="R290" i="53"/>
  <c r="R291" i="53"/>
  <c r="R292" i="53"/>
  <c r="R293" i="53"/>
  <c r="R294" i="53"/>
  <c r="R295" i="53"/>
  <c r="R296" i="53"/>
  <c r="R297" i="53"/>
  <c r="R298" i="53"/>
  <c r="R299" i="53"/>
  <c r="R300" i="53"/>
  <c r="R301" i="53"/>
  <c r="R302" i="53"/>
  <c r="R303" i="53"/>
  <c r="R304" i="53"/>
  <c r="R305" i="53"/>
  <c r="R306" i="53"/>
  <c r="R307" i="53"/>
  <c r="R308" i="53"/>
  <c r="R309" i="53"/>
  <c r="R310" i="53"/>
  <c r="R311" i="53"/>
  <c r="R312" i="53"/>
  <c r="R313" i="53"/>
  <c r="R314" i="53"/>
  <c r="R315" i="53"/>
  <c r="R316" i="53"/>
  <c r="R317" i="53"/>
  <c r="R318" i="53"/>
  <c r="R319" i="53"/>
  <c r="R320" i="53"/>
  <c r="R321" i="53"/>
  <c r="R322" i="53"/>
  <c r="R323" i="53"/>
  <c r="R324" i="53"/>
  <c r="R326" i="53"/>
  <c r="R327" i="53"/>
  <c r="R328" i="53"/>
  <c r="R329" i="53"/>
  <c r="R330" i="53"/>
  <c r="R331" i="53"/>
  <c r="R332" i="53"/>
  <c r="R333" i="53"/>
  <c r="R334" i="53"/>
  <c r="R335" i="53"/>
  <c r="R336" i="53"/>
  <c r="R337" i="53"/>
  <c r="W5" i="53"/>
  <c r="K9" i="19"/>
  <c r="Y230" i="50"/>
  <c r="Y226" i="50"/>
  <c r="R240" i="50"/>
  <c r="T240" i="50"/>
  <c r="Y240" i="50"/>
  <c r="Z240" i="50"/>
  <c r="R241" i="50"/>
  <c r="T241" i="50"/>
  <c r="Y241" i="50"/>
  <c r="Z241" i="50"/>
  <c r="R242" i="50"/>
  <c r="T242" i="50"/>
  <c r="Y242" i="50"/>
  <c r="Z242" i="50"/>
  <c r="R243" i="50"/>
  <c r="T243" i="50"/>
  <c r="Y243" i="50"/>
  <c r="Z243" i="50"/>
  <c r="AA243" i="50"/>
  <c r="R244" i="50"/>
  <c r="T244" i="50"/>
  <c r="Y244" i="50"/>
  <c r="R245" i="50"/>
  <c r="T245" i="50"/>
  <c r="Y245" i="50"/>
  <c r="Z245" i="50"/>
  <c r="R246" i="50"/>
  <c r="T246" i="50"/>
  <c r="Y246" i="50"/>
  <c r="Z246" i="50"/>
  <c r="R247" i="50"/>
  <c r="T247" i="50"/>
  <c r="Y247" i="50"/>
  <c r="Z247" i="50"/>
  <c r="AA247" i="50"/>
  <c r="R248" i="50"/>
  <c r="T248" i="50"/>
  <c r="Y248" i="50"/>
  <c r="Z248" i="50"/>
  <c r="R249" i="50"/>
  <c r="T249" i="50"/>
  <c r="Y249" i="50"/>
  <c r="Z249" i="50"/>
  <c r="R250" i="50"/>
  <c r="T250" i="50"/>
  <c r="Y250" i="50"/>
  <c r="Z250" i="50"/>
  <c r="R251" i="50"/>
  <c r="T251" i="50"/>
  <c r="Y251" i="50"/>
  <c r="Z251" i="50"/>
  <c r="AA251" i="50"/>
  <c r="R252" i="50"/>
  <c r="T252" i="50"/>
  <c r="Y252" i="50"/>
  <c r="Z252" i="50"/>
  <c r="R253" i="50"/>
  <c r="T253" i="50"/>
  <c r="Z253" i="50"/>
  <c r="R254" i="50"/>
  <c r="T254" i="50"/>
  <c r="Y254" i="50"/>
  <c r="Z254" i="50"/>
  <c r="R255" i="50"/>
  <c r="T255" i="50"/>
  <c r="Y255" i="50"/>
  <c r="Z255" i="50"/>
  <c r="AA255" i="50"/>
  <c r="R256" i="50"/>
  <c r="T256" i="50"/>
  <c r="Y256" i="50"/>
  <c r="Z256" i="50"/>
  <c r="R257" i="50"/>
  <c r="T257" i="50"/>
  <c r="Y257" i="50"/>
  <c r="Z257" i="50"/>
  <c r="R258" i="50"/>
  <c r="T258" i="50"/>
  <c r="Y258" i="50"/>
  <c r="Z258" i="50"/>
  <c r="R259" i="50"/>
  <c r="T259" i="50"/>
  <c r="Y259" i="50"/>
  <c r="Z259" i="50"/>
  <c r="AA259" i="50"/>
  <c r="R260" i="50"/>
  <c r="T260" i="50"/>
  <c r="Y260" i="50"/>
  <c r="R261" i="50"/>
  <c r="T261" i="50"/>
  <c r="Y261" i="50"/>
  <c r="Z261" i="50"/>
  <c r="R262" i="50"/>
  <c r="T262" i="50"/>
  <c r="Y262" i="50"/>
  <c r="Z262" i="50"/>
  <c r="R263" i="50"/>
  <c r="T263" i="50"/>
  <c r="Y263" i="50"/>
  <c r="Z263" i="50"/>
  <c r="AA263" i="50"/>
  <c r="R264" i="50"/>
  <c r="T264" i="50"/>
  <c r="Y264" i="50"/>
  <c r="Z264" i="50"/>
  <c r="R265" i="50"/>
  <c r="T265" i="50"/>
  <c r="Y265" i="50"/>
  <c r="Z265" i="50"/>
  <c r="R266" i="50"/>
  <c r="T266" i="50"/>
  <c r="Y266" i="50"/>
  <c r="Z266" i="50"/>
  <c r="R267" i="50"/>
  <c r="T267" i="50"/>
  <c r="Y267" i="50"/>
  <c r="Z267" i="50"/>
  <c r="AA267" i="50"/>
  <c r="R268" i="50"/>
  <c r="T268" i="50"/>
  <c r="Y268" i="50"/>
  <c r="Z268" i="50"/>
  <c r="R269" i="50"/>
  <c r="T269" i="50"/>
  <c r="Y269" i="50"/>
  <c r="Z269" i="50"/>
  <c r="R270" i="50"/>
  <c r="T270" i="50"/>
  <c r="Y270" i="50"/>
  <c r="Z270" i="50"/>
  <c r="R271" i="50"/>
  <c r="T271" i="50"/>
  <c r="Y271" i="50"/>
  <c r="Z271" i="50"/>
  <c r="R272" i="50"/>
  <c r="T272" i="50"/>
  <c r="Y272" i="50"/>
  <c r="Z272" i="50"/>
  <c r="R273" i="50"/>
  <c r="T273" i="50"/>
  <c r="Y273" i="50"/>
  <c r="Z273" i="50"/>
  <c r="R274" i="50"/>
  <c r="T274" i="50"/>
  <c r="Y274" i="50"/>
  <c r="Z274" i="50"/>
  <c r="R275" i="50"/>
  <c r="T275" i="50"/>
  <c r="Y275" i="50"/>
  <c r="R276" i="50"/>
  <c r="T276" i="50"/>
  <c r="Y276" i="50"/>
  <c r="R277" i="50"/>
  <c r="T277" i="50"/>
  <c r="Y277" i="50"/>
  <c r="Z277" i="50"/>
  <c r="R278" i="50"/>
  <c r="T278" i="50"/>
  <c r="Y278" i="50"/>
  <c r="Z278" i="50"/>
  <c r="R279" i="50"/>
  <c r="T279" i="50"/>
  <c r="Y279" i="50"/>
  <c r="Z279" i="50"/>
  <c r="AA279" i="50"/>
  <c r="R280" i="50"/>
  <c r="T280" i="50"/>
  <c r="Y280" i="50"/>
  <c r="Z280" i="50"/>
  <c r="R281" i="50"/>
  <c r="T281" i="50"/>
  <c r="Y281" i="50"/>
  <c r="Z281" i="50"/>
  <c r="R282" i="50"/>
  <c r="T282" i="50"/>
  <c r="Y282" i="50"/>
  <c r="Z282" i="50"/>
  <c r="R283" i="50"/>
  <c r="T283" i="50"/>
  <c r="Y283" i="50"/>
  <c r="Z283" i="50"/>
  <c r="Z275" i="50"/>
  <c r="AA275" i="50"/>
  <c r="AA271" i="50"/>
  <c r="AA268" i="50"/>
  <c r="AA252" i="50"/>
  <c r="AA256" i="50"/>
  <c r="AA240" i="50"/>
  <c r="AA283" i="50"/>
  <c r="AA280" i="50"/>
  <c r="AA272" i="50"/>
  <c r="AA264" i="50"/>
  <c r="Z260" i="50"/>
  <c r="AA260" i="50"/>
  <c r="AA248" i="50"/>
  <c r="Z244" i="50"/>
  <c r="AA244" i="50"/>
  <c r="Z276" i="50"/>
  <c r="AA276" i="50"/>
  <c r="AA278" i="50"/>
  <c r="AA274" i="50"/>
  <c r="AA270" i="50"/>
  <c r="AA266" i="50"/>
  <c r="AA262" i="50"/>
  <c r="AA258" i="50"/>
  <c r="AA254" i="50"/>
  <c r="AA250" i="50"/>
  <c r="AA246" i="50"/>
  <c r="AA242" i="50"/>
  <c r="AA282" i="50"/>
  <c r="AA281" i="50"/>
  <c r="AA277" i="50"/>
  <c r="AA273" i="50"/>
  <c r="AA269" i="50"/>
  <c r="AA265" i="50"/>
  <c r="AA261" i="50"/>
  <c r="AA257" i="50"/>
  <c r="AA253" i="50"/>
  <c r="AA249" i="50"/>
  <c r="AA245" i="50"/>
  <c r="AA241" i="50"/>
  <c r="AA87" i="59"/>
  <c r="AB87" i="59"/>
  <c r="AH87" i="59"/>
  <c r="AA88" i="59"/>
  <c r="AB88" i="59"/>
  <c r="AH88" i="59"/>
  <c r="AI87" i="59"/>
  <c r="AJ87" i="59"/>
  <c r="AI88" i="59"/>
  <c r="AJ88" i="59"/>
  <c r="Z222" i="50"/>
  <c r="AA222" i="50"/>
  <c r="H24" i="19"/>
  <c r="Z190" i="50"/>
  <c r="AA190" i="50"/>
  <c r="AB7" i="85"/>
  <c r="H28" i="19"/>
  <c r="H18" i="19"/>
  <c r="V196" i="48"/>
  <c r="W196" i="48"/>
  <c r="X196" i="48"/>
  <c r="V197" i="48"/>
  <c r="W197" i="48"/>
  <c r="V198" i="48"/>
  <c r="W198" i="48"/>
  <c r="V199" i="48"/>
  <c r="W199" i="48"/>
  <c r="X199" i="48"/>
  <c r="V200" i="48"/>
  <c r="W200" i="48"/>
  <c r="X200" i="48"/>
  <c r="V201" i="48"/>
  <c r="W201" i="48"/>
  <c r="V202" i="48"/>
  <c r="W202" i="48"/>
  <c r="V203" i="48"/>
  <c r="W203" i="48"/>
  <c r="V204" i="48"/>
  <c r="W204" i="48"/>
  <c r="X204" i="48"/>
  <c r="V205" i="48"/>
  <c r="W205" i="48"/>
  <c r="V206" i="48"/>
  <c r="W206" i="48"/>
  <c r="V207" i="48"/>
  <c r="W207" i="48"/>
  <c r="X207" i="48"/>
  <c r="V208" i="48"/>
  <c r="W208" i="48"/>
  <c r="X208" i="48"/>
  <c r="V209" i="48"/>
  <c r="W209" i="48"/>
  <c r="V210" i="48"/>
  <c r="W210" i="48"/>
  <c r="V211" i="48"/>
  <c r="W211" i="48"/>
  <c r="V212" i="48"/>
  <c r="W212" i="48"/>
  <c r="X212" i="48"/>
  <c r="X210" i="48"/>
  <c r="X202" i="48"/>
  <c r="X206" i="48"/>
  <c r="X198" i="48"/>
  <c r="X211" i="48"/>
  <c r="X203" i="48"/>
  <c r="X209" i="48"/>
  <c r="X205" i="48"/>
  <c r="X201" i="48"/>
  <c r="X197" i="48"/>
  <c r="R200" i="50"/>
  <c r="T200" i="50"/>
  <c r="Y200" i="50"/>
  <c r="R201" i="50"/>
  <c r="T201" i="50"/>
  <c r="Y201" i="50"/>
  <c r="Z201" i="50"/>
  <c r="R202" i="50"/>
  <c r="T202" i="50"/>
  <c r="Y202" i="50"/>
  <c r="Z202" i="50"/>
  <c r="AA202" i="50"/>
  <c r="R203" i="50"/>
  <c r="T203" i="50"/>
  <c r="Y203" i="50"/>
  <c r="Z203" i="50"/>
  <c r="R204" i="50"/>
  <c r="T204" i="50"/>
  <c r="Y204" i="50"/>
  <c r="R205" i="50"/>
  <c r="T205" i="50"/>
  <c r="Y205" i="50"/>
  <c r="Z205" i="50"/>
  <c r="R206" i="50"/>
  <c r="T206" i="50"/>
  <c r="Y206" i="50"/>
  <c r="Z206" i="50"/>
  <c r="R207" i="50"/>
  <c r="T207" i="50"/>
  <c r="Y207" i="50"/>
  <c r="Z207" i="50"/>
  <c r="R208" i="50"/>
  <c r="T208" i="50"/>
  <c r="Y208" i="50"/>
  <c r="R209" i="50"/>
  <c r="T209" i="50"/>
  <c r="Y209" i="50"/>
  <c r="Z209" i="50"/>
  <c r="R210" i="50"/>
  <c r="T210" i="50"/>
  <c r="Y210" i="50"/>
  <c r="Z210" i="50"/>
  <c r="AA210" i="50"/>
  <c r="R211" i="50"/>
  <c r="T211" i="50"/>
  <c r="Y211" i="50"/>
  <c r="Z211" i="50"/>
  <c r="R212" i="50"/>
  <c r="T212" i="50"/>
  <c r="Y212" i="50"/>
  <c r="R213" i="50"/>
  <c r="T213" i="50"/>
  <c r="Y213" i="50"/>
  <c r="Z213" i="50"/>
  <c r="R214" i="50"/>
  <c r="T214" i="50"/>
  <c r="Y214" i="50"/>
  <c r="Z214" i="50"/>
  <c r="R215" i="50"/>
  <c r="T215" i="50"/>
  <c r="Y215" i="50"/>
  <c r="Z215" i="50"/>
  <c r="R216" i="50"/>
  <c r="T216" i="50"/>
  <c r="Y216" i="50"/>
  <c r="Z216" i="50"/>
  <c r="R217" i="50"/>
  <c r="T217" i="50"/>
  <c r="Y217" i="50"/>
  <c r="Z217" i="50"/>
  <c r="R218" i="50"/>
  <c r="T218" i="50"/>
  <c r="Y218" i="50"/>
  <c r="Z218" i="50"/>
  <c r="R219" i="50"/>
  <c r="T219" i="50"/>
  <c r="Y219" i="50"/>
  <c r="Z219" i="50"/>
  <c r="AA219" i="50"/>
  <c r="R220" i="50"/>
  <c r="T220" i="50"/>
  <c r="Y220" i="50"/>
  <c r="Z220" i="50"/>
  <c r="R221" i="50"/>
  <c r="T221" i="50"/>
  <c r="Y221" i="50"/>
  <c r="Z221" i="50"/>
  <c r="R224" i="50"/>
  <c r="T224" i="50"/>
  <c r="Y224" i="50"/>
  <c r="Z224" i="50"/>
  <c r="R225" i="50"/>
  <c r="T225" i="50"/>
  <c r="Y225" i="50"/>
  <c r="Z225" i="50"/>
  <c r="R226" i="50"/>
  <c r="T226" i="50"/>
  <c r="Z226" i="50"/>
  <c r="R227" i="50"/>
  <c r="T227" i="50"/>
  <c r="Y227" i="50"/>
  <c r="Z227" i="50"/>
  <c r="R228" i="50"/>
  <c r="T228" i="50"/>
  <c r="Y228" i="50"/>
  <c r="R229" i="50"/>
  <c r="T229" i="50"/>
  <c r="Y229" i="50"/>
  <c r="R230" i="50"/>
  <c r="T230" i="50"/>
  <c r="Z230" i="50"/>
  <c r="R231" i="50"/>
  <c r="T231" i="50"/>
  <c r="Y231" i="50"/>
  <c r="Z231" i="50"/>
  <c r="R232" i="50"/>
  <c r="T232" i="50"/>
  <c r="Y232" i="50"/>
  <c r="Z232" i="50"/>
  <c r="R233" i="50"/>
  <c r="T233" i="50"/>
  <c r="Y233" i="50"/>
  <c r="Z233" i="50"/>
  <c r="R234" i="50"/>
  <c r="T234" i="50"/>
  <c r="Y234" i="50"/>
  <c r="Z234" i="50"/>
  <c r="R235" i="50"/>
  <c r="T235" i="50"/>
  <c r="Y235" i="50"/>
  <c r="Z235" i="50"/>
  <c r="R236" i="50"/>
  <c r="T236" i="50"/>
  <c r="Y236" i="50"/>
  <c r="Z236" i="50"/>
  <c r="AA236" i="50"/>
  <c r="R237" i="50"/>
  <c r="T237" i="50"/>
  <c r="Y237" i="50"/>
  <c r="Z237" i="50"/>
  <c r="R238" i="50"/>
  <c r="T238" i="50"/>
  <c r="Y238" i="50"/>
  <c r="Z238" i="50"/>
  <c r="R239" i="50"/>
  <c r="T239" i="50"/>
  <c r="Y239" i="50"/>
  <c r="Z239" i="50"/>
  <c r="AA239" i="50"/>
  <c r="AA227" i="50"/>
  <c r="AA224" i="50"/>
  <c r="AA211" i="50"/>
  <c r="AA231" i="50"/>
  <c r="Z228" i="50"/>
  <c r="AA228" i="50"/>
  <c r="AA214" i="50"/>
  <c r="AA225" i="50"/>
  <c r="AA237" i="50"/>
  <c r="AA235" i="50"/>
  <c r="AA232" i="50"/>
  <c r="AA220" i="50"/>
  <c r="AA218" i="50"/>
  <c r="AA215" i="50"/>
  <c r="AA233" i="50"/>
  <c r="Z229" i="50"/>
  <c r="AA229" i="50"/>
  <c r="AA216" i="50"/>
  <c r="Z212" i="50"/>
  <c r="AA212" i="50"/>
  <c r="Z208" i="50"/>
  <c r="AA208" i="50"/>
  <c r="AA207" i="50"/>
  <c r="AA206" i="50"/>
  <c r="Z204" i="50"/>
  <c r="AA204" i="50"/>
  <c r="AA203" i="50"/>
  <c r="Z200" i="50"/>
  <c r="AA200" i="50"/>
  <c r="AA238" i="50"/>
  <c r="AA234" i="50"/>
  <c r="AA230" i="50"/>
  <c r="AA226" i="50"/>
  <c r="AA221" i="50"/>
  <c r="AA217" i="50"/>
  <c r="AA213" i="50"/>
  <c r="AA209" i="50"/>
  <c r="AA205" i="50"/>
  <c r="AA201" i="50"/>
  <c r="H21" i="19"/>
  <c r="Y144" i="50"/>
  <c r="AB49" i="54"/>
  <c r="AC49" i="54"/>
  <c r="AD49" i="54"/>
  <c r="V192" i="48"/>
  <c r="W192" i="48"/>
  <c r="V193" i="48"/>
  <c r="V194" i="48"/>
  <c r="W194" i="48"/>
  <c r="V195" i="48"/>
  <c r="W195" i="48"/>
  <c r="X194" i="48"/>
  <c r="W193" i="48"/>
  <c r="X193" i="48"/>
  <c r="X192" i="48"/>
  <c r="X195" i="48"/>
  <c r="V190" i="48"/>
  <c r="V189" i="48"/>
  <c r="W189" i="48"/>
  <c r="X189" i="48"/>
  <c r="W190" i="48"/>
  <c r="V191" i="48"/>
  <c r="W191" i="48"/>
  <c r="X191" i="48"/>
  <c r="X190" i="48"/>
  <c r="V179" i="48"/>
  <c r="W179" i="48"/>
  <c r="V180" i="48"/>
  <c r="W180" i="48"/>
  <c r="V181" i="48"/>
  <c r="W181" i="48"/>
  <c r="X181" i="48"/>
  <c r="V182" i="48"/>
  <c r="W182" i="48"/>
  <c r="X182" i="48"/>
  <c r="V183" i="48"/>
  <c r="W183" i="48"/>
  <c r="V184" i="48"/>
  <c r="W184" i="48"/>
  <c r="V185" i="48"/>
  <c r="W185" i="48"/>
  <c r="X185" i="48"/>
  <c r="V186" i="48"/>
  <c r="W186" i="48"/>
  <c r="X186" i="48"/>
  <c r="V187" i="48"/>
  <c r="W187" i="48"/>
  <c r="V188" i="48"/>
  <c r="W188" i="48"/>
  <c r="X183" i="48"/>
  <c r="X187" i="48"/>
  <c r="X179" i="48"/>
  <c r="X188" i="48"/>
  <c r="X180" i="48"/>
  <c r="X184" i="48"/>
  <c r="AB65" i="85"/>
  <c r="R182" i="50"/>
  <c r="T182" i="50"/>
  <c r="Y182" i="50"/>
  <c r="Z182" i="50"/>
  <c r="AA182" i="50"/>
  <c r="R183" i="50"/>
  <c r="T183" i="50"/>
  <c r="Y183" i="50"/>
  <c r="Z183" i="50"/>
  <c r="AA183" i="50"/>
  <c r="R184" i="50"/>
  <c r="T184" i="50"/>
  <c r="Y184" i="50"/>
  <c r="Z184" i="50"/>
  <c r="R185" i="50"/>
  <c r="T185" i="50"/>
  <c r="Y185" i="50"/>
  <c r="Z185" i="50"/>
  <c r="R186" i="50"/>
  <c r="T186" i="50"/>
  <c r="Y186" i="50"/>
  <c r="Z186" i="50"/>
  <c r="AA186" i="50"/>
  <c r="R187" i="50"/>
  <c r="T187" i="50"/>
  <c r="Y187" i="50"/>
  <c r="Z187" i="50"/>
  <c r="AA187" i="50"/>
  <c r="R188" i="50"/>
  <c r="T188" i="50"/>
  <c r="Y188" i="50"/>
  <c r="Z188" i="50"/>
  <c r="R189" i="50"/>
  <c r="T189" i="50"/>
  <c r="Y189" i="50"/>
  <c r="Z189" i="50"/>
  <c r="R191" i="50"/>
  <c r="T191" i="50"/>
  <c r="Y191" i="50"/>
  <c r="Z191" i="50"/>
  <c r="AA191" i="50"/>
  <c r="R192" i="50"/>
  <c r="T192" i="50"/>
  <c r="Y192" i="50"/>
  <c r="Z192" i="50"/>
  <c r="AA192" i="50"/>
  <c r="R193" i="50"/>
  <c r="T193" i="50"/>
  <c r="Y193" i="50"/>
  <c r="Z193" i="50"/>
  <c r="R194" i="50"/>
  <c r="T194" i="50"/>
  <c r="Y194" i="50"/>
  <c r="Z194" i="50"/>
  <c r="R195" i="50"/>
  <c r="T195" i="50"/>
  <c r="Y195" i="50"/>
  <c r="Z195" i="50"/>
  <c r="AA195" i="50"/>
  <c r="R196" i="50"/>
  <c r="T196" i="50"/>
  <c r="Y196" i="50"/>
  <c r="Z196" i="50"/>
  <c r="AA196" i="50"/>
  <c r="R197" i="50"/>
  <c r="T197" i="50"/>
  <c r="Y197" i="50"/>
  <c r="Z197" i="50"/>
  <c r="R198" i="50"/>
  <c r="T198" i="50"/>
  <c r="Y198" i="50"/>
  <c r="Z198" i="50"/>
  <c r="R199" i="50"/>
  <c r="T199" i="50"/>
  <c r="Y199" i="50"/>
  <c r="Z199" i="50"/>
  <c r="AA199" i="50"/>
  <c r="AA198" i="50"/>
  <c r="AA194" i="50"/>
  <c r="AA189" i="50"/>
  <c r="AA185" i="50"/>
  <c r="AA197" i="50"/>
  <c r="AA193" i="50"/>
  <c r="AA188" i="50"/>
  <c r="AA184" i="50"/>
  <c r="V9" i="51"/>
  <c r="V10" i="51"/>
  <c r="V11" i="51"/>
  <c r="V12" i="51"/>
  <c r="V13" i="51"/>
  <c r="V14" i="51"/>
  <c r="V15" i="51"/>
  <c r="V16" i="51"/>
  <c r="V17" i="51"/>
  <c r="V18" i="51"/>
  <c r="V19" i="51"/>
  <c r="V20" i="51"/>
  <c r="V21" i="51"/>
  <c r="V22" i="51"/>
  <c r="V23" i="51"/>
  <c r="V24" i="51"/>
  <c r="V25" i="51"/>
  <c r="V26" i="51"/>
  <c r="V27" i="51"/>
  <c r="V28" i="51"/>
  <c r="V29" i="51"/>
  <c r="V30" i="51"/>
  <c r="V31" i="51"/>
  <c r="V32" i="51"/>
  <c r="V33" i="51"/>
  <c r="V34" i="51"/>
  <c r="V35" i="51"/>
  <c r="V36" i="51"/>
  <c r="V37" i="51"/>
  <c r="V38" i="51"/>
  <c r="V39" i="51"/>
  <c r="V40" i="51"/>
  <c r="V41" i="51"/>
  <c r="V42" i="51"/>
  <c r="V43" i="51"/>
  <c r="V44" i="51"/>
  <c r="V45" i="51"/>
  <c r="V46" i="51"/>
  <c r="V47" i="51"/>
  <c r="V48" i="51"/>
  <c r="V49" i="51"/>
  <c r="V50" i="51"/>
  <c r="V51" i="51"/>
  <c r="V52" i="51"/>
  <c r="V53" i="51"/>
  <c r="V54" i="51"/>
  <c r="V55" i="51"/>
  <c r="V56" i="51"/>
  <c r="V57" i="51"/>
  <c r="V58" i="51"/>
  <c r="V59" i="51"/>
  <c r="V60" i="51"/>
  <c r="V61" i="51"/>
  <c r="V62" i="51"/>
  <c r="V63" i="51"/>
  <c r="V64" i="51"/>
  <c r="V65" i="51"/>
  <c r="V66" i="51"/>
  <c r="V67" i="51"/>
  <c r="V68" i="51"/>
  <c r="V69" i="51"/>
  <c r="V70" i="51"/>
  <c r="V71" i="51"/>
  <c r="V72" i="51"/>
  <c r="V73" i="51"/>
  <c r="V74" i="51"/>
  <c r="V75" i="51"/>
  <c r="V76" i="51"/>
  <c r="V77" i="51"/>
  <c r="V78" i="51"/>
  <c r="V79" i="51"/>
  <c r="V80" i="51"/>
  <c r="V81" i="51"/>
  <c r="V82" i="51"/>
  <c r="V83" i="51"/>
  <c r="V84" i="51"/>
  <c r="V85" i="51"/>
  <c r="V86" i="51"/>
  <c r="V87" i="51"/>
  <c r="V88" i="51"/>
  <c r="V89" i="51"/>
  <c r="V90" i="51"/>
  <c r="V91" i="51"/>
  <c r="V92" i="51"/>
  <c r="V93" i="51"/>
  <c r="V94" i="51"/>
  <c r="V95" i="51"/>
  <c r="V96" i="51"/>
  <c r="V97" i="51"/>
  <c r="V98" i="51"/>
  <c r="V99" i="51"/>
  <c r="V100" i="51"/>
  <c r="V101" i="51"/>
  <c r="V102" i="51"/>
  <c r="V103" i="51"/>
  <c r="V104" i="51"/>
  <c r="V105" i="51"/>
  <c r="V106" i="51"/>
  <c r="V107" i="51"/>
  <c r="V108" i="51"/>
  <c r="V109" i="51"/>
  <c r="V110" i="51"/>
  <c r="V111" i="51"/>
  <c r="V112" i="51"/>
  <c r="V113" i="51"/>
  <c r="V114" i="51"/>
  <c r="V115" i="51"/>
  <c r="V116" i="51"/>
  <c r="V117" i="51"/>
  <c r="V118" i="51"/>
  <c r="V119" i="51"/>
  <c r="V120" i="51"/>
  <c r="V121" i="51"/>
  <c r="V122" i="51"/>
  <c r="V123" i="51"/>
  <c r="V124" i="51"/>
  <c r="V125" i="51"/>
  <c r="V126" i="51"/>
  <c r="V127" i="51"/>
  <c r="V128" i="51"/>
  <c r="V129" i="51"/>
  <c r="V130" i="51"/>
  <c r="V131" i="51"/>
  <c r="V132" i="51"/>
  <c r="V133" i="51"/>
  <c r="V134" i="51"/>
  <c r="V135" i="51"/>
  <c r="V136" i="51"/>
  <c r="V137" i="51"/>
  <c r="V138" i="51"/>
  <c r="V139" i="51"/>
  <c r="V140" i="51"/>
  <c r="V141" i="51"/>
  <c r="V142" i="51"/>
  <c r="V143" i="51"/>
  <c r="V144" i="51"/>
  <c r="V145" i="51"/>
  <c r="V146" i="51"/>
  <c r="V147" i="51"/>
  <c r="V148" i="51"/>
  <c r="V149" i="51"/>
  <c r="V150" i="51"/>
  <c r="V151" i="51"/>
  <c r="V152" i="51"/>
  <c r="AA5" i="51"/>
  <c r="AF347" i="72"/>
  <c r="AG347" i="72"/>
  <c r="AF348" i="72"/>
  <c r="AG348" i="72"/>
  <c r="AF349" i="72"/>
  <c r="AG349" i="72"/>
  <c r="AF350" i="72"/>
  <c r="AG350" i="72"/>
  <c r="AH350" i="72"/>
  <c r="AF351" i="72"/>
  <c r="AG351" i="72"/>
  <c r="AH351" i="72"/>
  <c r="AF352" i="72"/>
  <c r="AG352" i="72"/>
  <c r="AF353" i="72"/>
  <c r="AG353" i="72"/>
  <c r="AF354" i="72"/>
  <c r="AG354" i="72"/>
  <c r="AH354" i="72"/>
  <c r="AF355" i="72"/>
  <c r="AG355" i="72"/>
  <c r="AH355" i="72"/>
  <c r="AF356" i="72"/>
  <c r="AG356" i="72"/>
  <c r="AF357" i="72"/>
  <c r="AG357" i="72"/>
  <c r="AF358" i="72"/>
  <c r="AF359" i="72"/>
  <c r="AG359" i="72"/>
  <c r="AH359" i="72"/>
  <c r="AF360" i="72"/>
  <c r="AG360" i="72"/>
  <c r="AF361" i="72"/>
  <c r="AF362" i="72"/>
  <c r="AG362" i="72"/>
  <c r="AF363" i="72"/>
  <c r="AG363" i="72"/>
  <c r="AH363" i="72"/>
  <c r="AF364" i="72"/>
  <c r="AG364" i="72"/>
  <c r="AF365" i="72"/>
  <c r="AG365" i="72"/>
  <c r="AF366" i="72"/>
  <c r="AG366" i="72"/>
  <c r="AH366" i="72"/>
  <c r="AF367" i="72"/>
  <c r="AG367" i="72"/>
  <c r="AH367" i="72"/>
  <c r="AF368" i="72"/>
  <c r="AG368" i="72"/>
  <c r="AF369" i="72"/>
  <c r="AG369" i="72"/>
  <c r="AF370" i="72"/>
  <c r="AG370" i="72"/>
  <c r="AH370" i="72"/>
  <c r="AF371" i="72"/>
  <c r="AG371" i="72"/>
  <c r="AH371" i="72"/>
  <c r="AF372" i="72"/>
  <c r="AG372" i="72"/>
  <c r="AF373" i="72"/>
  <c r="AG373" i="72"/>
  <c r="AF374" i="72"/>
  <c r="AF375" i="72"/>
  <c r="AG375" i="72"/>
  <c r="AH375" i="72"/>
  <c r="AF376" i="72"/>
  <c r="AG376" i="72"/>
  <c r="AF377" i="72"/>
  <c r="AF378" i="72"/>
  <c r="AG378" i="72"/>
  <c r="AF379" i="72"/>
  <c r="AG379" i="72"/>
  <c r="AH379" i="72"/>
  <c r="AF380" i="72"/>
  <c r="AG380" i="72"/>
  <c r="AF381" i="72"/>
  <c r="AG381" i="72"/>
  <c r="AF382" i="72"/>
  <c r="AG382" i="72"/>
  <c r="AH382" i="72"/>
  <c r="AF383" i="72"/>
  <c r="AG383" i="72"/>
  <c r="AH383" i="72"/>
  <c r="AF384" i="72"/>
  <c r="AG384" i="72"/>
  <c r="AF385" i="72"/>
  <c r="AF386" i="72"/>
  <c r="AG386" i="72"/>
  <c r="AH386" i="72"/>
  <c r="AF387" i="72"/>
  <c r="AG387" i="72"/>
  <c r="AH387" i="72"/>
  <c r="AF388" i="72"/>
  <c r="AG388" i="72"/>
  <c r="AF389" i="72"/>
  <c r="AG389" i="72"/>
  <c r="AF390" i="72"/>
  <c r="AF391" i="72"/>
  <c r="AG391" i="72"/>
  <c r="AH391" i="72"/>
  <c r="AF392" i="72"/>
  <c r="AG392" i="72"/>
  <c r="AF393" i="72"/>
  <c r="AF394" i="72"/>
  <c r="AG394" i="72"/>
  <c r="AF395" i="72"/>
  <c r="AG395" i="72"/>
  <c r="AH395" i="72"/>
  <c r="AF396" i="72"/>
  <c r="AG396" i="72"/>
  <c r="AF397" i="72"/>
  <c r="AG397" i="72"/>
  <c r="AF398" i="72"/>
  <c r="AG398" i="72"/>
  <c r="AH398" i="72"/>
  <c r="AF399" i="72"/>
  <c r="AG399" i="72"/>
  <c r="AH399" i="72"/>
  <c r="AF400" i="72"/>
  <c r="AG400" i="72"/>
  <c r="AF401" i="72"/>
  <c r="AG401" i="72"/>
  <c r="AF402" i="72"/>
  <c r="AG402" i="72"/>
  <c r="AH402" i="72"/>
  <c r="AF403" i="72"/>
  <c r="AG403" i="72"/>
  <c r="AH403" i="72"/>
  <c r="AF404" i="72"/>
  <c r="AG404" i="72"/>
  <c r="AF405" i="72"/>
  <c r="AG405" i="72"/>
  <c r="AF406" i="72"/>
  <c r="AF407" i="72"/>
  <c r="AG407" i="72"/>
  <c r="AH407" i="72"/>
  <c r="AF408" i="72"/>
  <c r="AG408" i="72"/>
  <c r="AF409" i="72"/>
  <c r="AF410" i="72"/>
  <c r="AG410" i="72"/>
  <c r="AF411" i="72"/>
  <c r="AG411" i="72"/>
  <c r="AH411" i="72"/>
  <c r="AF412" i="72"/>
  <c r="AG412" i="72"/>
  <c r="AF413" i="72"/>
  <c r="AG413" i="72"/>
  <c r="AF414" i="72"/>
  <c r="AG414" i="72"/>
  <c r="AH414" i="72"/>
  <c r="AF415" i="72"/>
  <c r="AG415" i="72"/>
  <c r="AH415" i="72"/>
  <c r="AF416" i="72"/>
  <c r="AG416" i="72"/>
  <c r="AF417" i="72"/>
  <c r="AF418" i="72"/>
  <c r="AG418" i="72"/>
  <c r="AH418" i="72"/>
  <c r="AF419" i="72"/>
  <c r="AG419" i="72"/>
  <c r="AH419" i="72"/>
  <c r="AF420" i="72"/>
  <c r="AG420" i="72"/>
  <c r="AF421" i="72"/>
  <c r="AG421" i="72"/>
  <c r="AF422" i="72"/>
  <c r="AF423" i="72"/>
  <c r="AG423" i="72"/>
  <c r="AH423" i="72"/>
  <c r="AF424" i="72"/>
  <c r="AG424" i="72"/>
  <c r="AF425" i="72"/>
  <c r="AF426" i="72"/>
  <c r="AG426" i="72"/>
  <c r="AF427" i="72"/>
  <c r="AG427" i="72"/>
  <c r="AH427" i="72"/>
  <c r="AF428" i="72"/>
  <c r="AG428" i="72"/>
  <c r="AF429" i="72"/>
  <c r="AG429" i="72"/>
  <c r="AF430" i="72"/>
  <c r="AF431" i="72"/>
  <c r="AG431" i="72"/>
  <c r="AF432" i="72"/>
  <c r="AG432" i="72"/>
  <c r="AF433" i="72"/>
  <c r="AF434" i="72"/>
  <c r="AG434" i="72"/>
  <c r="AH434" i="72"/>
  <c r="AF435" i="72"/>
  <c r="AF436" i="72"/>
  <c r="AG436" i="72"/>
  <c r="AF437" i="72"/>
  <c r="AG437" i="72"/>
  <c r="AF438" i="72"/>
  <c r="AG438" i="72"/>
  <c r="AH438" i="72"/>
  <c r="AF439" i="72"/>
  <c r="AG439" i="72"/>
  <c r="AH439" i="72"/>
  <c r="AF440" i="72"/>
  <c r="AG440" i="72"/>
  <c r="V176" i="48"/>
  <c r="W176" i="48"/>
  <c r="V177" i="48"/>
  <c r="W177" i="48"/>
  <c r="V178" i="48"/>
  <c r="W178" i="48"/>
  <c r="X178" i="48"/>
  <c r="AG435" i="72"/>
  <c r="AH435" i="72"/>
  <c r="AH431" i="72"/>
  <c r="AG430" i="72"/>
  <c r="AH430" i="72"/>
  <c r="AH426" i="72"/>
  <c r="AG422" i="72"/>
  <c r="AH422" i="72"/>
  <c r="AH410" i="72"/>
  <c r="AG406" i="72"/>
  <c r="AH406" i="72"/>
  <c r="AH394" i="72"/>
  <c r="AG390" i="72"/>
  <c r="AH390" i="72"/>
  <c r="AH378" i="72"/>
  <c r="AG374" i="72"/>
  <c r="AH374" i="72"/>
  <c r="AH362" i="72"/>
  <c r="AG358" i="72"/>
  <c r="AH358" i="72"/>
  <c r="AH437" i="72"/>
  <c r="AG433" i="72"/>
  <c r="AH433" i="72"/>
  <c r="AG417" i="72"/>
  <c r="AH417" i="72"/>
  <c r="AH413" i="72"/>
  <c r="AH397" i="72"/>
  <c r="AG385" i="72"/>
  <c r="AH385" i="72"/>
  <c r="AH381" i="72"/>
  <c r="AH365" i="72"/>
  <c r="AH349" i="72"/>
  <c r="AH401" i="72"/>
  <c r="AH369" i="72"/>
  <c r="AH353" i="72"/>
  <c r="AH429" i="72"/>
  <c r="AG425" i="72"/>
  <c r="AH425" i="72"/>
  <c r="AH421" i="72"/>
  <c r="AG409" i="72"/>
  <c r="AH409" i="72"/>
  <c r="AH405" i="72"/>
  <c r="AG393" i="72"/>
  <c r="AH393" i="72"/>
  <c r="AH389" i="72"/>
  <c r="AG377" i="72"/>
  <c r="AH377" i="72"/>
  <c r="AH373" i="72"/>
  <c r="AG361" i="72"/>
  <c r="AH361" i="72"/>
  <c r="AH357" i="72"/>
  <c r="AH347" i="72"/>
  <c r="AH436" i="72"/>
  <c r="AH432" i="72"/>
  <c r="AH428" i="72"/>
  <c r="AH424" i="72"/>
  <c r="AH420" i="72"/>
  <c r="AH416" i="72"/>
  <c r="AH412" i="72"/>
  <c r="AH408" i="72"/>
  <c r="AH404" i="72"/>
  <c r="AH400" i="72"/>
  <c r="AH396" i="72"/>
  <c r="AH392" i="72"/>
  <c r="AH388" i="72"/>
  <c r="AH384" i="72"/>
  <c r="AH380" i="72"/>
  <c r="AH376" i="72"/>
  <c r="AH372" i="72"/>
  <c r="AH368" i="72"/>
  <c r="AH364" i="72"/>
  <c r="AH360" i="72"/>
  <c r="AH356" i="72"/>
  <c r="AH352" i="72"/>
  <c r="AH348" i="72"/>
  <c r="AH440" i="72"/>
  <c r="X176" i="48"/>
  <c r="X177" i="48"/>
  <c r="AF267" i="72"/>
  <c r="AG267" i="72"/>
  <c r="AF248" i="72"/>
  <c r="AG248" i="72"/>
  <c r="AF249" i="72"/>
  <c r="AG249" i="72"/>
  <c r="AF152" i="72"/>
  <c r="AH267" i="72"/>
  <c r="AH248" i="72"/>
  <c r="AH249" i="72"/>
  <c r="AF5" i="72"/>
  <c r="AF6" i="72"/>
  <c r="AF7" i="72"/>
  <c r="AG7" i="72"/>
  <c r="AH7" i="72"/>
  <c r="AF8" i="72"/>
  <c r="AG8" i="72"/>
  <c r="AF9" i="72"/>
  <c r="AG9" i="72"/>
  <c r="AF10" i="72"/>
  <c r="AF11" i="72"/>
  <c r="AG11" i="72"/>
  <c r="AH11" i="72"/>
  <c r="AF12" i="72"/>
  <c r="AG12" i="72"/>
  <c r="AH12" i="72"/>
  <c r="AF13" i="72"/>
  <c r="AG13" i="72"/>
  <c r="AF14" i="72"/>
  <c r="AF15" i="72"/>
  <c r="AG15" i="72"/>
  <c r="AH15" i="72"/>
  <c r="AF16" i="72"/>
  <c r="AG16" i="72"/>
  <c r="AF17" i="72"/>
  <c r="AF18" i="72"/>
  <c r="AF19" i="72"/>
  <c r="AG19" i="72"/>
  <c r="AH19" i="72"/>
  <c r="AF20" i="72"/>
  <c r="AG20" i="72"/>
  <c r="AH20" i="72"/>
  <c r="AF21" i="72"/>
  <c r="AG21" i="72"/>
  <c r="AF22" i="72"/>
  <c r="AF23" i="72"/>
  <c r="AG23" i="72"/>
  <c r="AH23" i="72"/>
  <c r="AF24" i="72"/>
  <c r="AG24" i="72"/>
  <c r="AF25" i="72"/>
  <c r="AG25" i="72"/>
  <c r="AF26" i="72"/>
  <c r="AF27" i="72"/>
  <c r="AG27" i="72"/>
  <c r="AH27" i="72"/>
  <c r="AF28" i="72"/>
  <c r="AG28" i="72"/>
  <c r="AH28" i="72"/>
  <c r="AF29" i="72"/>
  <c r="AF30" i="72"/>
  <c r="AF31" i="72"/>
  <c r="AG31" i="72"/>
  <c r="AH31" i="72"/>
  <c r="AF32" i="72"/>
  <c r="AG32" i="72"/>
  <c r="AF33" i="72"/>
  <c r="AG33" i="72"/>
  <c r="AF34" i="72"/>
  <c r="AF35" i="72"/>
  <c r="AG35" i="72"/>
  <c r="AH35" i="72"/>
  <c r="AF36" i="72"/>
  <c r="AG36" i="72"/>
  <c r="AF37" i="72"/>
  <c r="AG37" i="72"/>
  <c r="AF38" i="72"/>
  <c r="AF39" i="72"/>
  <c r="AG39" i="72"/>
  <c r="AH39" i="72"/>
  <c r="AF40" i="72"/>
  <c r="AG40" i="72"/>
  <c r="AF41" i="72"/>
  <c r="AG41" i="72"/>
  <c r="AF42" i="72"/>
  <c r="AF43" i="72"/>
  <c r="AG43" i="72"/>
  <c r="AH43" i="72"/>
  <c r="AF44" i="72"/>
  <c r="AG44" i="72"/>
  <c r="AH44" i="72"/>
  <c r="AF45" i="72"/>
  <c r="AG45" i="72"/>
  <c r="AF46" i="72"/>
  <c r="AF47" i="72"/>
  <c r="AG47" i="72"/>
  <c r="AH47" i="72"/>
  <c r="AF48" i="72"/>
  <c r="AG48" i="72"/>
  <c r="AH48" i="72"/>
  <c r="AF49" i="72"/>
  <c r="AG49" i="72"/>
  <c r="AF50" i="72"/>
  <c r="AF51" i="72"/>
  <c r="AG51" i="72"/>
  <c r="AH51" i="72"/>
  <c r="AF52" i="72"/>
  <c r="AG52" i="72"/>
  <c r="AF53" i="72"/>
  <c r="AF54" i="72"/>
  <c r="AF55" i="72"/>
  <c r="AG55" i="72"/>
  <c r="AH55" i="72"/>
  <c r="AF56" i="72"/>
  <c r="AG56" i="72"/>
  <c r="AF57" i="72"/>
  <c r="AG57" i="72"/>
  <c r="AF58" i="72"/>
  <c r="AF59" i="72"/>
  <c r="AG59" i="72"/>
  <c r="AH59" i="72"/>
  <c r="AF60" i="72"/>
  <c r="AG60" i="72"/>
  <c r="AH60" i="72"/>
  <c r="AF61" i="72"/>
  <c r="AG61" i="72"/>
  <c r="AF62" i="72"/>
  <c r="AF63" i="72"/>
  <c r="AG63" i="72"/>
  <c r="AH63" i="72"/>
  <c r="AF64" i="72"/>
  <c r="AG64" i="72"/>
  <c r="AF65" i="72"/>
  <c r="AF66" i="72"/>
  <c r="AF67" i="72"/>
  <c r="AG67" i="72"/>
  <c r="AF68" i="72"/>
  <c r="AG68" i="72"/>
  <c r="AF69" i="72"/>
  <c r="AG69" i="72"/>
  <c r="AF70" i="72"/>
  <c r="AF71" i="72"/>
  <c r="AG71" i="72"/>
  <c r="AH71" i="72"/>
  <c r="AF72" i="72"/>
  <c r="AG72" i="72"/>
  <c r="AF73" i="72"/>
  <c r="AG73" i="72"/>
  <c r="AF74" i="72"/>
  <c r="AF75" i="72"/>
  <c r="AG75" i="72"/>
  <c r="AH75" i="72"/>
  <c r="AF76" i="72"/>
  <c r="AG76" i="72"/>
  <c r="AH76" i="72"/>
  <c r="AF77" i="72"/>
  <c r="AF78" i="72"/>
  <c r="AF79" i="72"/>
  <c r="AG79" i="72"/>
  <c r="AH79" i="72"/>
  <c r="AF80" i="72"/>
  <c r="AG80" i="72"/>
  <c r="AF81" i="72"/>
  <c r="AG81" i="72"/>
  <c r="AF82" i="72"/>
  <c r="AF83" i="72"/>
  <c r="AG83" i="72"/>
  <c r="AF84" i="72"/>
  <c r="AG84" i="72"/>
  <c r="AF85" i="72"/>
  <c r="AG85" i="72"/>
  <c r="AF86" i="72"/>
  <c r="AF87" i="72"/>
  <c r="AG87" i="72"/>
  <c r="AF88" i="72"/>
  <c r="AG88" i="72"/>
  <c r="AF89" i="72"/>
  <c r="AG89" i="72"/>
  <c r="AF90" i="72"/>
  <c r="AF91" i="72"/>
  <c r="AG91" i="72"/>
  <c r="AF92" i="72"/>
  <c r="AG92" i="72"/>
  <c r="AH92" i="72"/>
  <c r="AF93" i="72"/>
  <c r="AG93" i="72"/>
  <c r="AF94" i="72"/>
  <c r="AF95" i="72"/>
  <c r="AG95" i="72"/>
  <c r="AF96" i="72"/>
  <c r="AG96" i="72"/>
  <c r="AF97" i="72"/>
  <c r="AG97" i="72"/>
  <c r="AF98" i="72"/>
  <c r="AF99" i="72"/>
  <c r="AG99" i="72"/>
  <c r="AF100" i="72"/>
  <c r="AG100" i="72"/>
  <c r="AF101" i="72"/>
  <c r="AG101" i="72"/>
  <c r="AF102" i="72"/>
  <c r="AF103" i="72"/>
  <c r="AG103" i="72"/>
  <c r="AF104" i="72"/>
  <c r="AG104" i="72"/>
  <c r="AF105" i="72"/>
  <c r="AF106" i="72"/>
  <c r="AF107" i="72"/>
  <c r="AG107" i="72"/>
  <c r="AF108" i="72"/>
  <c r="AG108" i="72"/>
  <c r="AH108" i="72"/>
  <c r="AF109" i="72"/>
  <c r="AG109" i="72"/>
  <c r="AF110" i="72"/>
  <c r="AF111" i="72"/>
  <c r="AG111" i="72"/>
  <c r="AF112" i="72"/>
  <c r="AG112" i="72"/>
  <c r="AH112" i="72"/>
  <c r="AF113" i="72"/>
  <c r="AF114" i="72"/>
  <c r="AF115" i="72"/>
  <c r="AG115" i="72"/>
  <c r="AF116" i="72"/>
  <c r="AG116" i="72"/>
  <c r="AF117" i="72"/>
  <c r="AG117" i="72"/>
  <c r="AF118" i="72"/>
  <c r="AF119" i="72"/>
  <c r="AG119" i="72"/>
  <c r="AF120" i="72"/>
  <c r="AG120" i="72"/>
  <c r="AF121" i="72"/>
  <c r="AG121" i="72"/>
  <c r="AF122" i="72"/>
  <c r="AF123" i="72"/>
  <c r="AG123" i="72"/>
  <c r="AF124" i="72"/>
  <c r="AG124" i="72"/>
  <c r="AH124" i="72"/>
  <c r="AF125" i="72"/>
  <c r="AF126" i="72"/>
  <c r="AF127" i="72"/>
  <c r="AG127" i="72"/>
  <c r="AH127" i="72"/>
  <c r="AF128" i="72"/>
  <c r="AG128" i="72"/>
  <c r="AF129" i="72"/>
  <c r="AG129" i="72"/>
  <c r="AF130" i="72"/>
  <c r="AG130" i="72"/>
  <c r="AF131" i="72"/>
  <c r="AG131" i="72"/>
  <c r="AF132" i="72"/>
  <c r="AG132" i="72"/>
  <c r="AF133" i="72"/>
  <c r="AG133" i="72"/>
  <c r="AF134" i="72"/>
  <c r="AG134" i="72"/>
  <c r="AF135" i="72"/>
  <c r="AG135" i="72"/>
  <c r="AF136" i="72"/>
  <c r="AG136" i="72"/>
  <c r="AF137" i="72"/>
  <c r="AG137" i="72"/>
  <c r="AF138" i="72"/>
  <c r="AG138" i="72"/>
  <c r="AF139" i="72"/>
  <c r="AG139" i="72"/>
  <c r="AF140" i="72"/>
  <c r="AG140" i="72"/>
  <c r="AF141" i="72"/>
  <c r="AG141" i="72"/>
  <c r="AF142" i="72"/>
  <c r="AG142" i="72"/>
  <c r="AF143" i="72"/>
  <c r="AG143" i="72"/>
  <c r="AF144" i="72"/>
  <c r="AG144" i="72"/>
  <c r="AF145" i="72"/>
  <c r="AG145" i="72"/>
  <c r="AF146" i="72"/>
  <c r="AG146" i="72"/>
  <c r="AF147" i="72"/>
  <c r="AG147" i="72"/>
  <c r="AF148" i="72"/>
  <c r="AG148" i="72"/>
  <c r="AF149" i="72"/>
  <c r="AG149" i="72"/>
  <c r="AF150" i="72"/>
  <c r="AG150" i="72"/>
  <c r="AF151" i="72"/>
  <c r="AG151" i="72"/>
  <c r="AG152" i="72"/>
  <c r="AF153" i="72"/>
  <c r="AG153" i="72"/>
  <c r="AF154" i="72"/>
  <c r="AG154" i="72"/>
  <c r="AF155" i="72"/>
  <c r="AG155" i="72"/>
  <c r="AF156" i="72"/>
  <c r="AG156" i="72"/>
  <c r="AF157" i="72"/>
  <c r="AG157" i="72"/>
  <c r="AF158" i="72"/>
  <c r="AG158" i="72"/>
  <c r="AF159" i="72"/>
  <c r="AG159" i="72"/>
  <c r="AF160" i="72"/>
  <c r="AG160" i="72"/>
  <c r="AF161" i="72"/>
  <c r="AG161" i="72"/>
  <c r="AF162" i="72"/>
  <c r="AG162" i="72"/>
  <c r="AF163" i="72"/>
  <c r="AG163" i="72"/>
  <c r="AF164" i="72"/>
  <c r="AG164" i="72"/>
  <c r="AF165" i="72"/>
  <c r="AG165" i="72"/>
  <c r="AF166" i="72"/>
  <c r="AG166" i="72"/>
  <c r="AF167" i="72"/>
  <c r="AG167" i="72"/>
  <c r="AF168" i="72"/>
  <c r="AG168" i="72"/>
  <c r="AF169" i="72"/>
  <c r="AG169" i="72"/>
  <c r="AF170" i="72"/>
  <c r="AG170" i="72"/>
  <c r="AF171" i="72"/>
  <c r="AG171" i="72"/>
  <c r="AF172" i="72"/>
  <c r="AG172" i="72"/>
  <c r="AF173" i="72"/>
  <c r="AG173" i="72"/>
  <c r="AF174" i="72"/>
  <c r="AG174" i="72"/>
  <c r="AF175" i="72"/>
  <c r="AG175" i="72"/>
  <c r="AF176" i="72"/>
  <c r="AG176" i="72"/>
  <c r="AH176" i="72"/>
  <c r="AF177" i="72"/>
  <c r="AG177" i="72"/>
  <c r="AF178" i="72"/>
  <c r="AG178" i="72"/>
  <c r="AF179" i="72"/>
  <c r="AF180" i="72"/>
  <c r="AF181" i="72"/>
  <c r="AG181" i="72"/>
  <c r="AF182" i="72"/>
  <c r="AG182" i="72"/>
  <c r="AF183" i="72"/>
  <c r="AG183" i="72"/>
  <c r="AH183" i="72"/>
  <c r="AF184" i="72"/>
  <c r="AG184" i="72"/>
  <c r="AH184" i="72"/>
  <c r="AF185" i="72"/>
  <c r="AG185" i="72"/>
  <c r="AF186" i="72"/>
  <c r="AG186" i="72"/>
  <c r="AF187" i="72"/>
  <c r="AG187" i="72"/>
  <c r="AF188" i="72"/>
  <c r="AF189" i="72"/>
  <c r="AG189" i="72"/>
  <c r="AF190" i="72"/>
  <c r="AG190" i="72"/>
  <c r="AF191" i="72"/>
  <c r="AG191" i="72"/>
  <c r="AH191" i="72"/>
  <c r="AF192" i="72"/>
  <c r="AG192" i="72"/>
  <c r="AH192" i="72"/>
  <c r="AF193" i="72"/>
  <c r="AG193" i="72"/>
  <c r="AF194" i="72"/>
  <c r="AG194" i="72"/>
  <c r="AF195" i="72"/>
  <c r="AF196" i="72"/>
  <c r="AG196" i="72"/>
  <c r="AF197" i="72"/>
  <c r="AG197" i="72"/>
  <c r="AF198" i="72"/>
  <c r="AG198" i="72"/>
  <c r="AH198" i="72"/>
  <c r="AF199" i="72"/>
  <c r="AG199" i="72"/>
  <c r="AH199" i="72"/>
  <c r="AF200" i="72"/>
  <c r="AG200" i="72"/>
  <c r="AF201" i="72"/>
  <c r="AG201" i="72"/>
  <c r="AF202" i="72"/>
  <c r="AG202" i="72"/>
  <c r="AF203" i="72"/>
  <c r="AF204" i="72"/>
  <c r="AG204" i="72"/>
  <c r="AF205" i="72"/>
  <c r="AG205" i="72"/>
  <c r="AF206" i="72"/>
  <c r="AG206" i="72"/>
  <c r="AH206" i="72"/>
  <c r="AF207" i="72"/>
  <c r="AG207" i="72"/>
  <c r="AH207" i="72"/>
  <c r="AF208" i="72"/>
  <c r="AG208" i="72"/>
  <c r="AF209" i="72"/>
  <c r="AG209" i="72"/>
  <c r="AF210" i="72"/>
  <c r="AF211" i="72"/>
  <c r="AG211" i="72"/>
  <c r="AH211" i="72"/>
  <c r="AF212" i="72"/>
  <c r="AG212" i="72"/>
  <c r="AF213" i="72"/>
  <c r="AG213" i="72"/>
  <c r="AF214" i="72"/>
  <c r="AG214" i="72"/>
  <c r="AH214" i="72"/>
  <c r="AF215" i="72"/>
  <c r="AG215" i="72"/>
  <c r="AH215" i="72"/>
  <c r="AF216" i="72"/>
  <c r="AG216" i="72"/>
  <c r="AF217" i="72"/>
  <c r="AG217" i="72"/>
  <c r="AF218" i="72"/>
  <c r="AG218" i="72"/>
  <c r="AF219" i="72"/>
  <c r="AG219" i="72"/>
  <c r="AF220" i="72"/>
  <c r="AG220" i="72"/>
  <c r="AF221" i="72"/>
  <c r="AG221" i="72"/>
  <c r="AF222" i="72"/>
  <c r="AF223" i="72"/>
  <c r="AG223" i="72"/>
  <c r="AH223" i="72"/>
  <c r="AF224" i="72"/>
  <c r="AF225" i="72"/>
  <c r="AG225" i="72"/>
  <c r="AF226" i="72"/>
  <c r="AG226" i="72"/>
  <c r="AF227" i="72"/>
  <c r="AG227" i="72"/>
  <c r="AH227" i="72"/>
  <c r="AF228" i="72"/>
  <c r="AG228" i="72"/>
  <c r="AF229" i="72"/>
  <c r="AF230" i="72"/>
  <c r="AG230" i="72"/>
  <c r="AF231" i="72"/>
  <c r="AG231" i="72"/>
  <c r="AH231" i="72"/>
  <c r="AF232" i="72"/>
  <c r="AG232" i="72"/>
  <c r="AF233" i="72"/>
  <c r="AG233" i="72"/>
  <c r="AF234" i="72"/>
  <c r="AG234" i="72"/>
  <c r="AF235" i="72"/>
  <c r="AG235" i="72"/>
  <c r="AH235" i="72"/>
  <c r="AF236" i="72"/>
  <c r="AG236" i="72"/>
  <c r="AF237" i="72"/>
  <c r="AG237" i="72"/>
  <c r="AF238" i="72"/>
  <c r="AF239" i="72"/>
  <c r="AG239" i="72"/>
  <c r="AH239" i="72"/>
  <c r="AF240" i="72"/>
  <c r="AF241" i="72"/>
  <c r="AG241" i="72"/>
  <c r="AF242" i="72"/>
  <c r="AF243" i="72"/>
  <c r="AF244" i="72"/>
  <c r="AG244" i="72"/>
  <c r="AF245" i="72"/>
  <c r="AG245" i="72"/>
  <c r="AF246" i="72"/>
  <c r="AG246" i="72"/>
  <c r="AH246" i="72"/>
  <c r="AF247" i="72"/>
  <c r="AG247" i="72"/>
  <c r="AH247" i="72"/>
  <c r="AF250" i="72"/>
  <c r="AG250" i="72"/>
  <c r="AF251" i="72"/>
  <c r="AF252" i="72"/>
  <c r="AG252" i="72"/>
  <c r="AF253" i="72"/>
  <c r="AG253" i="72"/>
  <c r="AF254" i="72"/>
  <c r="AG254" i="72"/>
  <c r="AF255" i="72"/>
  <c r="AG255" i="72"/>
  <c r="AH255" i="72"/>
  <c r="AF256" i="72"/>
  <c r="AG256" i="72"/>
  <c r="AF257" i="72"/>
  <c r="AF258" i="72"/>
  <c r="AG258" i="72"/>
  <c r="AH258" i="72"/>
  <c r="AF259" i="72"/>
  <c r="AF260" i="72"/>
  <c r="AF261" i="72"/>
  <c r="AG261" i="72"/>
  <c r="AF262" i="72"/>
  <c r="AG262" i="72"/>
  <c r="AF263" i="72"/>
  <c r="AG263" i="72"/>
  <c r="AH263" i="72"/>
  <c r="AF264" i="72"/>
  <c r="AG264" i="72"/>
  <c r="AF265" i="72"/>
  <c r="AF266" i="72"/>
  <c r="AG266" i="72"/>
  <c r="AH266" i="72"/>
  <c r="AF268" i="72"/>
  <c r="AF269" i="72"/>
  <c r="AF270" i="72"/>
  <c r="AG270" i="72"/>
  <c r="AF271" i="72"/>
  <c r="AG271" i="72"/>
  <c r="AF272" i="72"/>
  <c r="AG272" i="72"/>
  <c r="AF273" i="72"/>
  <c r="AG273" i="72"/>
  <c r="AF274" i="72"/>
  <c r="AF275" i="72"/>
  <c r="AG275" i="72"/>
  <c r="AF276" i="72"/>
  <c r="AG276" i="72"/>
  <c r="AF277" i="72"/>
  <c r="AG277" i="72"/>
  <c r="AF278" i="72"/>
  <c r="AG278" i="72"/>
  <c r="AH278" i="72"/>
  <c r="AF279" i="72"/>
  <c r="AG279" i="72"/>
  <c r="AF280" i="72"/>
  <c r="AG280" i="72"/>
  <c r="AF281" i="72"/>
  <c r="AG281" i="72"/>
  <c r="AF282" i="72"/>
  <c r="AF283" i="72"/>
  <c r="AG283" i="72"/>
  <c r="AF284" i="72"/>
  <c r="AG284" i="72"/>
  <c r="AF285" i="72"/>
  <c r="AG285" i="72"/>
  <c r="AH285" i="72"/>
  <c r="AF286" i="72"/>
  <c r="AG286" i="72"/>
  <c r="AH286" i="72"/>
  <c r="AF287" i="72"/>
  <c r="AF288" i="72"/>
  <c r="AG288" i="72"/>
  <c r="AF289" i="72"/>
  <c r="AG289" i="72"/>
  <c r="AF290" i="72"/>
  <c r="AG290" i="72"/>
  <c r="AH290" i="72"/>
  <c r="AF291" i="72"/>
  <c r="AG291" i="72"/>
  <c r="AF292" i="72"/>
  <c r="AG292" i="72"/>
  <c r="AF293" i="72"/>
  <c r="AG293" i="72"/>
  <c r="AH293" i="72"/>
  <c r="AF294" i="72"/>
  <c r="AG294" i="72"/>
  <c r="AH294" i="72"/>
  <c r="AF295" i="72"/>
  <c r="AG295" i="72"/>
  <c r="AF296" i="72"/>
  <c r="AG296" i="72"/>
  <c r="AF297" i="72"/>
  <c r="AG297" i="72"/>
  <c r="AF298" i="72"/>
  <c r="AG298" i="72"/>
  <c r="AF299" i="72"/>
  <c r="AG299" i="72"/>
  <c r="AF300" i="72"/>
  <c r="AG300" i="72"/>
  <c r="AF301" i="72"/>
  <c r="AG301" i="72"/>
  <c r="AH301" i="72"/>
  <c r="AF302" i="72"/>
  <c r="AG302" i="72"/>
  <c r="AH302" i="72"/>
  <c r="AF303" i="72"/>
  <c r="AF304" i="72"/>
  <c r="AG304" i="72"/>
  <c r="AF305" i="72"/>
  <c r="AG305" i="72"/>
  <c r="AF306" i="72"/>
  <c r="AG306" i="72"/>
  <c r="AH306" i="72"/>
  <c r="AF307" i="72"/>
  <c r="AG307" i="72"/>
  <c r="AF308" i="72"/>
  <c r="AG308" i="72"/>
  <c r="AF309" i="72"/>
  <c r="AG309" i="72"/>
  <c r="AH309" i="72"/>
  <c r="AF310" i="72"/>
  <c r="AG310" i="72"/>
  <c r="AH310" i="72"/>
  <c r="AF311" i="72"/>
  <c r="AG311" i="72"/>
  <c r="AF312" i="72"/>
  <c r="AG312" i="72"/>
  <c r="AF313" i="72"/>
  <c r="AG313" i="72"/>
  <c r="AF314" i="72"/>
  <c r="AG314" i="72"/>
  <c r="AF315" i="72"/>
  <c r="AG315" i="72"/>
  <c r="AF316" i="72"/>
  <c r="AG316" i="72"/>
  <c r="AF317" i="72"/>
  <c r="AG317" i="72"/>
  <c r="AH317" i="72"/>
  <c r="AF318" i="72"/>
  <c r="AG318" i="72"/>
  <c r="AH318" i="72"/>
  <c r="AF319" i="72"/>
  <c r="AF320" i="72"/>
  <c r="AG320" i="72"/>
  <c r="AF321" i="72"/>
  <c r="AG321" i="72"/>
  <c r="AF322" i="72"/>
  <c r="AG322" i="72"/>
  <c r="AH322" i="72"/>
  <c r="AF323" i="72"/>
  <c r="AG323" i="72"/>
  <c r="AF324" i="72"/>
  <c r="AG324" i="72"/>
  <c r="AF325" i="72"/>
  <c r="AG325" i="72"/>
  <c r="AF326" i="72"/>
  <c r="AG326" i="72"/>
  <c r="AH326" i="72"/>
  <c r="AF327" i="72"/>
  <c r="AG327" i="72"/>
  <c r="AF328" i="72"/>
  <c r="AG328" i="72"/>
  <c r="AF329" i="72"/>
  <c r="AG329" i="72"/>
  <c r="AH329" i="72"/>
  <c r="AF330" i="72"/>
  <c r="AF331" i="72"/>
  <c r="AG331" i="72"/>
  <c r="AF332" i="72"/>
  <c r="AG332" i="72"/>
  <c r="AF333" i="72"/>
  <c r="AG333" i="72"/>
  <c r="AF334" i="72"/>
  <c r="AG334" i="72"/>
  <c r="AH334" i="72"/>
  <c r="AF335" i="72"/>
  <c r="AF337" i="72"/>
  <c r="AG337" i="72"/>
  <c r="AG338" i="72"/>
  <c r="AF339" i="72"/>
  <c r="AG339" i="72"/>
  <c r="AH339" i="72"/>
  <c r="AF340" i="72"/>
  <c r="AG340" i="72"/>
  <c r="AF341" i="72"/>
  <c r="AG341" i="72"/>
  <c r="AF342" i="72"/>
  <c r="AG342" i="72"/>
  <c r="AF343" i="72"/>
  <c r="AG343" i="72"/>
  <c r="AH343" i="72"/>
  <c r="AF344" i="72"/>
  <c r="AG344" i="72"/>
  <c r="AH344" i="72"/>
  <c r="AF345" i="72"/>
  <c r="AG345" i="72"/>
  <c r="AF346" i="72"/>
  <c r="AG346" i="72"/>
  <c r="AF336" i="72"/>
  <c r="AG5" i="72"/>
  <c r="AJ4" i="72"/>
  <c r="AH283" i="72"/>
  <c r="AH311" i="72"/>
  <c r="AH271" i="72"/>
  <c r="AH295" i="72"/>
  <c r="AH88" i="72"/>
  <c r="AH254" i="72"/>
  <c r="AH232" i="72"/>
  <c r="AH185" i="72"/>
  <c r="AH230" i="72"/>
  <c r="AH219" i="72"/>
  <c r="AH116" i="72"/>
  <c r="AH196" i="72"/>
  <c r="AH264" i="72"/>
  <c r="AG180" i="72"/>
  <c r="AH180" i="72"/>
  <c r="AH104" i="72"/>
  <c r="AH314" i="72"/>
  <c r="AH277" i="72"/>
  <c r="AH175" i="72"/>
  <c r="AH340" i="72"/>
  <c r="AH256" i="72"/>
  <c r="AH200" i="72"/>
  <c r="AG330" i="72"/>
  <c r="AH330" i="72"/>
  <c r="AH327" i="72"/>
  <c r="AG282" i="72"/>
  <c r="AH282" i="72"/>
  <c r="AH275" i="72"/>
  <c r="AH262" i="72"/>
  <c r="AH128" i="72"/>
  <c r="AH100" i="72"/>
  <c r="AH64" i="72"/>
  <c r="AG251" i="72"/>
  <c r="AH251" i="72"/>
  <c r="AG303" i="72"/>
  <c r="AH303" i="72"/>
  <c r="AH298" i="72"/>
  <c r="AG240" i="72"/>
  <c r="AH240" i="72"/>
  <c r="AG203" i="72"/>
  <c r="AH203" i="72"/>
  <c r="AG287" i="72"/>
  <c r="AH287" i="72"/>
  <c r="AG259" i="72"/>
  <c r="AH259" i="72"/>
  <c r="AG243" i="72"/>
  <c r="AH243" i="72"/>
  <c r="AG222" i="72"/>
  <c r="AH222" i="72"/>
  <c r="AG319" i="72"/>
  <c r="AH319" i="72"/>
  <c r="AG274" i="72"/>
  <c r="AH274" i="72"/>
  <c r="AG268" i="72"/>
  <c r="AH268" i="72"/>
  <c r="AG238" i="72"/>
  <c r="AH238" i="72"/>
  <c r="AG335" i="72"/>
  <c r="AH335" i="72"/>
  <c r="AG224" i="72"/>
  <c r="AH224" i="72"/>
  <c r="AG195" i="72"/>
  <c r="AH195" i="72"/>
  <c r="AG188" i="72"/>
  <c r="AH188" i="72"/>
  <c r="AH115" i="72"/>
  <c r="AH81" i="72"/>
  <c r="AH67" i="72"/>
  <c r="AH57" i="72"/>
  <c r="AH279" i="72"/>
  <c r="AH273" i="72"/>
  <c r="AH208" i="72"/>
  <c r="AH193" i="72"/>
  <c r="AH177" i="72"/>
  <c r="AH172" i="72"/>
  <c r="AH170" i="72"/>
  <c r="AH168" i="72"/>
  <c r="AH166" i="72"/>
  <c r="AH164" i="72"/>
  <c r="AH162" i="72"/>
  <c r="AH160" i="72"/>
  <c r="AH158" i="72"/>
  <c r="AH156" i="72"/>
  <c r="AH154" i="72"/>
  <c r="AH152" i="72"/>
  <c r="AH150" i="72"/>
  <c r="AH148" i="72"/>
  <c r="AH146" i="72"/>
  <c r="AH144" i="72"/>
  <c r="AH142" i="72"/>
  <c r="AH140" i="72"/>
  <c r="AH138" i="72"/>
  <c r="AH136" i="72"/>
  <c r="AH134" i="72"/>
  <c r="AH132" i="72"/>
  <c r="AH130" i="72"/>
  <c r="AH121" i="72"/>
  <c r="AH119" i="72"/>
  <c r="AH109" i="72"/>
  <c r="AH97" i="72"/>
  <c r="AH85" i="72"/>
  <c r="AH83" i="72"/>
  <c r="AH80" i="72"/>
  <c r="AH73" i="72"/>
  <c r="AH68" i="72"/>
  <c r="AH56" i="72"/>
  <c r="AH32" i="72"/>
  <c r="AH8" i="72"/>
  <c r="AH321" i="72"/>
  <c r="AH305" i="72"/>
  <c r="AH289" i="72"/>
  <c r="AH117" i="72"/>
  <c r="AH93" i="72"/>
  <c r="AH69" i="72"/>
  <c r="AH313" i="72"/>
  <c r="AH297" i="72"/>
  <c r="AH281" i="72"/>
  <c r="AG179" i="72"/>
  <c r="AH179" i="72"/>
  <c r="AG125" i="72"/>
  <c r="AH125" i="72"/>
  <c r="AH120" i="72"/>
  <c r="AG113" i="72"/>
  <c r="AH113" i="72"/>
  <c r="AG105" i="72"/>
  <c r="AH105" i="72"/>
  <c r="AH101" i="72"/>
  <c r="AH99" i="72"/>
  <c r="AH96" i="72"/>
  <c r="AH89" i="72"/>
  <c r="AH84" i="72"/>
  <c r="AG77" i="72"/>
  <c r="AH77" i="72"/>
  <c r="AH72" i="72"/>
  <c r="AG65" i="72"/>
  <c r="AH65" i="72"/>
  <c r="AH61" i="72"/>
  <c r="AH40" i="72"/>
  <c r="AH52" i="72"/>
  <c r="AH45" i="72"/>
  <c r="AH33" i="72"/>
  <c r="AH21" i="72"/>
  <c r="AH16" i="72"/>
  <c r="AH9" i="72"/>
  <c r="AH37" i="72"/>
  <c r="AH25" i="72"/>
  <c r="AG53" i="72"/>
  <c r="AH53" i="72"/>
  <c r="AH49" i="72"/>
  <c r="AH41" i="72"/>
  <c r="AH36" i="72"/>
  <c r="AG29" i="72"/>
  <c r="AH29" i="72"/>
  <c r="AH24" i="72"/>
  <c r="AG17" i="72"/>
  <c r="AH17" i="72"/>
  <c r="AH13" i="72"/>
  <c r="AH332" i="72"/>
  <c r="AH325" i="72"/>
  <c r="AH316" i="72"/>
  <c r="AH300" i="72"/>
  <c r="AH276" i="72"/>
  <c r="AH237" i="72"/>
  <c r="AH218" i="72"/>
  <c r="AG62" i="72"/>
  <c r="AH62" i="72"/>
  <c r="AG50" i="72"/>
  <c r="AH50" i="72"/>
  <c r="AG269" i="72"/>
  <c r="AH269" i="72"/>
  <c r="AH333" i="72"/>
  <c r="AH324" i="72"/>
  <c r="AH308" i="72"/>
  <c r="AH292" i="72"/>
  <c r="AH284" i="72"/>
  <c r="AH331" i="72"/>
  <c r="AH323" i="72"/>
  <c r="AH315" i="72"/>
  <c r="AH307" i="72"/>
  <c r="AH299" i="72"/>
  <c r="AH291" i="72"/>
  <c r="AH245" i="72"/>
  <c r="AH226" i="72"/>
  <c r="AH213" i="72"/>
  <c r="AH202" i="72"/>
  <c r="AH187" i="72"/>
  <c r="AG126" i="72"/>
  <c r="AH126" i="72"/>
  <c r="AG114" i="72"/>
  <c r="AH114" i="72"/>
  <c r="AG260" i="72"/>
  <c r="AH260" i="72"/>
  <c r="AH328" i="72"/>
  <c r="AH320" i="72"/>
  <c r="AH312" i="72"/>
  <c r="AH304" i="72"/>
  <c r="AH296" i="72"/>
  <c r="AH288" i="72"/>
  <c r="AH280" i="72"/>
  <c r="AH272" i="72"/>
  <c r="AH270" i="72"/>
  <c r="AG265" i="72"/>
  <c r="AH265" i="72"/>
  <c r="AH261" i="72"/>
  <c r="AH253" i="72"/>
  <c r="AH250" i="72"/>
  <c r="AG242" i="72"/>
  <c r="AH242" i="72"/>
  <c r="AH234" i="72"/>
  <c r="AG229" i="72"/>
  <c r="AH229" i="72"/>
  <c r="AH221" i="72"/>
  <c r="AH216" i="72"/>
  <c r="AG210" i="72"/>
  <c r="AH210" i="72"/>
  <c r="AH182" i="72"/>
  <c r="AH174" i="72"/>
  <c r="AG78" i="72"/>
  <c r="AH78" i="72"/>
  <c r="AG66" i="72"/>
  <c r="AH66" i="72"/>
  <c r="AG14" i="72"/>
  <c r="AH14" i="72"/>
  <c r="AH205" i="72"/>
  <c r="AH190" i="72"/>
  <c r="AG257" i="72"/>
  <c r="AH257" i="72"/>
  <c r="AH252" i="72"/>
  <c r="AH244" i="72"/>
  <c r="AH236" i="72"/>
  <c r="AH228" i="72"/>
  <c r="AH220" i="72"/>
  <c r="AH212" i="72"/>
  <c r="AH204" i="72"/>
  <c r="AH197" i="72"/>
  <c r="AH189" i="72"/>
  <c r="AH181" i="72"/>
  <c r="AG94" i="72"/>
  <c r="AH94" i="72"/>
  <c r="AH87" i="72"/>
  <c r="AG82" i="72"/>
  <c r="AH82" i="72"/>
  <c r="AG30" i="72"/>
  <c r="AH30" i="72"/>
  <c r="AG18" i="72"/>
  <c r="AH18" i="72"/>
  <c r="AH241" i="72"/>
  <c r="AH233" i="72"/>
  <c r="AH225" i="72"/>
  <c r="AH217" i="72"/>
  <c r="AH209" i="72"/>
  <c r="AH201" i="72"/>
  <c r="AH194" i="72"/>
  <c r="AH186" i="72"/>
  <c r="AH178" i="72"/>
  <c r="AG110" i="72"/>
  <c r="AH110" i="72"/>
  <c r="AH103" i="72"/>
  <c r="AG98" i="72"/>
  <c r="AH98" i="72"/>
  <c r="AG46" i="72"/>
  <c r="AH46" i="72"/>
  <c r="AG34" i="72"/>
  <c r="AH34" i="72"/>
  <c r="AH123" i="72"/>
  <c r="AG118" i="72"/>
  <c r="AH118" i="72"/>
  <c r="AH107" i="72"/>
  <c r="AG102" i="72"/>
  <c r="AH102" i="72"/>
  <c r="AH91" i="72"/>
  <c r="AG86" i="72"/>
  <c r="AH86" i="72"/>
  <c r="AG70" i="72"/>
  <c r="AH70" i="72"/>
  <c r="AG54" i="72"/>
  <c r="AH54" i="72"/>
  <c r="AG38" i="72"/>
  <c r="AH38" i="72"/>
  <c r="AG22" i="72"/>
  <c r="AH22" i="72"/>
  <c r="AG6" i="72"/>
  <c r="AH6" i="72"/>
  <c r="AH173" i="72"/>
  <c r="AH171" i="72"/>
  <c r="AH169" i="72"/>
  <c r="AH167" i="72"/>
  <c r="AH165" i="72"/>
  <c r="AH163" i="72"/>
  <c r="AH161" i="72"/>
  <c r="AH159" i="72"/>
  <c r="AH157" i="72"/>
  <c r="AH155" i="72"/>
  <c r="AH153" i="72"/>
  <c r="AH151" i="72"/>
  <c r="AH149" i="72"/>
  <c r="AH147" i="72"/>
  <c r="AH145" i="72"/>
  <c r="AH143" i="72"/>
  <c r="AH141" i="72"/>
  <c r="AH139" i="72"/>
  <c r="AH137" i="72"/>
  <c r="AH135" i="72"/>
  <c r="AH133" i="72"/>
  <c r="AH131" i="72"/>
  <c r="AH129" i="72"/>
  <c r="AG122" i="72"/>
  <c r="AH122" i="72"/>
  <c r="AH111" i="72"/>
  <c r="AG106" i="72"/>
  <c r="AH106" i="72"/>
  <c r="AH95" i="72"/>
  <c r="AG90" i="72"/>
  <c r="AH90" i="72"/>
  <c r="AG74" i="72"/>
  <c r="AH74" i="72"/>
  <c r="AG58" i="72"/>
  <c r="AH58" i="72"/>
  <c r="AG42" i="72"/>
  <c r="AH42" i="72"/>
  <c r="AG26" i="72"/>
  <c r="AH26" i="72"/>
  <c r="AG10" i="72"/>
  <c r="AH10" i="72"/>
  <c r="AH5" i="72"/>
  <c r="AH345" i="72"/>
  <c r="AH341" i="72"/>
  <c r="AH337" i="72"/>
  <c r="AH346" i="72"/>
  <c r="AH342" i="72"/>
  <c r="AH338" i="72"/>
  <c r="H15" i="19"/>
  <c r="X8" i="86"/>
  <c r="Y8" i="86"/>
  <c r="X9" i="86"/>
  <c r="X10" i="86"/>
  <c r="X11" i="86"/>
  <c r="Y11" i="86"/>
  <c r="X12" i="86"/>
  <c r="Y12" i="86"/>
  <c r="X13" i="86"/>
  <c r="Y13" i="86"/>
  <c r="X14" i="86"/>
  <c r="X15" i="86"/>
  <c r="Y15" i="86"/>
  <c r="X16" i="86"/>
  <c r="Y16" i="86"/>
  <c r="Z16" i="86"/>
  <c r="X17" i="86"/>
  <c r="Y17" i="86"/>
  <c r="Z17" i="86"/>
  <c r="X24" i="86"/>
  <c r="X25" i="86"/>
  <c r="Y25" i="86"/>
  <c r="X26" i="86"/>
  <c r="Y26" i="86"/>
  <c r="X27" i="86"/>
  <c r="Y27" i="86"/>
  <c r="Z27" i="86"/>
  <c r="X28" i="86"/>
  <c r="X29" i="86"/>
  <c r="Y29" i="86"/>
  <c r="X30" i="86"/>
  <c r="Y30" i="86"/>
  <c r="X31" i="86"/>
  <c r="Y31" i="86"/>
  <c r="Z31" i="86"/>
  <c r="X32" i="86"/>
  <c r="X33" i="86"/>
  <c r="X34" i="86"/>
  <c r="Y34" i="86"/>
  <c r="X35" i="86"/>
  <c r="Y35" i="86"/>
  <c r="Z35" i="86"/>
  <c r="X36" i="86"/>
  <c r="X37" i="86"/>
  <c r="Y37" i="86"/>
  <c r="X38" i="86"/>
  <c r="Y38" i="86"/>
  <c r="X39" i="86"/>
  <c r="Y39" i="86"/>
  <c r="Z39" i="86"/>
  <c r="X40" i="86"/>
  <c r="X41" i="86"/>
  <c r="Y41" i="86"/>
  <c r="X7" i="86"/>
  <c r="Y7" i="86"/>
  <c r="AC65" i="85"/>
  <c r="AB66" i="85"/>
  <c r="AC66" i="85"/>
  <c r="AB67" i="85"/>
  <c r="AC67" i="85"/>
  <c r="AB68" i="85"/>
  <c r="AC68" i="85"/>
  <c r="AB69" i="85"/>
  <c r="AC69" i="85"/>
  <c r="AB70" i="85"/>
  <c r="AC70" i="85"/>
  <c r="AB71" i="85"/>
  <c r="AC71" i="85"/>
  <c r="AB72" i="85"/>
  <c r="AC72" i="85"/>
  <c r="AB73" i="85"/>
  <c r="AC73" i="85"/>
  <c r="AB74" i="85"/>
  <c r="AC74" i="85"/>
  <c r="AB75" i="85"/>
  <c r="AC75" i="85"/>
  <c r="AB76" i="85"/>
  <c r="AC76" i="85"/>
  <c r="AB77" i="85"/>
  <c r="AB78" i="85"/>
  <c r="AC78" i="85"/>
  <c r="AB79" i="85"/>
  <c r="AB80" i="85"/>
  <c r="AC80" i="85"/>
  <c r="AB81" i="85"/>
  <c r="AC81" i="85"/>
  <c r="Z34" i="86"/>
  <c r="Z30" i="86"/>
  <c r="Z13" i="86"/>
  <c r="Z15" i="86"/>
  <c r="Z38" i="86"/>
  <c r="Z26" i="86"/>
  <c r="Z25" i="86"/>
  <c r="Z12" i="86"/>
  <c r="Z11" i="86"/>
  <c r="Z41" i="86"/>
  <c r="Y33" i="86"/>
  <c r="Z33" i="86"/>
  <c r="Z29" i="86"/>
  <c r="Y9" i="86"/>
  <c r="Z9" i="86"/>
  <c r="Y40" i="86"/>
  <c r="Z40" i="86"/>
  <c r="Z37" i="86"/>
  <c r="Y36" i="86"/>
  <c r="Z36" i="86"/>
  <c r="Y32" i="86"/>
  <c r="Z32" i="86"/>
  <c r="Y28" i="86"/>
  <c r="Z28" i="86"/>
  <c r="Y24" i="86"/>
  <c r="Z24" i="86"/>
  <c r="Y14" i="86"/>
  <c r="Z14" i="86"/>
  <c r="Y10" i="86"/>
  <c r="Z10" i="86"/>
  <c r="Z8" i="86"/>
  <c r="AB5" i="86"/>
  <c r="Z7" i="86"/>
  <c r="AD80" i="85"/>
  <c r="AD76" i="85"/>
  <c r="AD72" i="85"/>
  <c r="AD66" i="85"/>
  <c r="AD78" i="85"/>
  <c r="AD74" i="85"/>
  <c r="AD70" i="85"/>
  <c r="AD68" i="85"/>
  <c r="AC79" i="85"/>
  <c r="AD79" i="85"/>
  <c r="AC77" i="85"/>
  <c r="AD77" i="85"/>
  <c r="AD81" i="85"/>
  <c r="AD75" i="85"/>
  <c r="AD73" i="85"/>
  <c r="AD71" i="85"/>
  <c r="AD69" i="85"/>
  <c r="AD67" i="85"/>
  <c r="AD65" i="85"/>
  <c r="V174" i="48"/>
  <c r="W174" i="48"/>
  <c r="X174" i="48"/>
  <c r="V175" i="48"/>
  <c r="W175" i="48"/>
  <c r="V152" i="48"/>
  <c r="W152" i="48"/>
  <c r="X152" i="48"/>
  <c r="V153" i="48"/>
  <c r="W153" i="48"/>
  <c r="V154" i="48"/>
  <c r="V155" i="48"/>
  <c r="W155" i="48"/>
  <c r="X155" i="48"/>
  <c r="V156" i="48"/>
  <c r="W156" i="48"/>
  <c r="X156" i="48"/>
  <c r="V157" i="48"/>
  <c r="W157" i="48"/>
  <c r="V158" i="48"/>
  <c r="W158" i="48"/>
  <c r="V159" i="48"/>
  <c r="W159" i="48"/>
  <c r="V160" i="48"/>
  <c r="W160" i="48"/>
  <c r="X160" i="48"/>
  <c r="X159" i="48"/>
  <c r="X158" i="48"/>
  <c r="W154" i="48"/>
  <c r="X154" i="48"/>
  <c r="X175" i="48"/>
  <c r="X157" i="48"/>
  <c r="X153" i="48"/>
  <c r="V171" i="48"/>
  <c r="W171" i="48"/>
  <c r="V172" i="48"/>
  <c r="W172" i="48"/>
  <c r="V173" i="48"/>
  <c r="X171" i="48"/>
  <c r="W173" i="48"/>
  <c r="X173" i="48"/>
  <c r="X172" i="48"/>
  <c r="I15" i="19"/>
  <c r="W108" i="74"/>
  <c r="X108" i="74"/>
  <c r="Y108" i="74"/>
  <c r="V169" i="48"/>
  <c r="W169" i="48"/>
  <c r="X169" i="48"/>
  <c r="V170" i="48"/>
  <c r="W170" i="48"/>
  <c r="X170" i="48"/>
  <c r="H64" i="85"/>
  <c r="AB64" i="85"/>
  <c r="AC64" i="85"/>
  <c r="AD64" i="85"/>
  <c r="S321" i="53"/>
  <c r="S322" i="53"/>
  <c r="S323" i="53"/>
  <c r="T323" i="53"/>
  <c r="S324" i="53"/>
  <c r="T324" i="53"/>
  <c r="S325" i="53"/>
  <c r="T325" i="53"/>
  <c r="S326" i="53"/>
  <c r="S327" i="53"/>
  <c r="T327" i="53"/>
  <c r="S328" i="53"/>
  <c r="T328" i="53"/>
  <c r="S330" i="53"/>
  <c r="S331" i="53"/>
  <c r="T331" i="53"/>
  <c r="S319" i="53"/>
  <c r="S320" i="53"/>
  <c r="T320" i="53"/>
  <c r="S318" i="53"/>
  <c r="V165" i="48"/>
  <c r="W165" i="48"/>
  <c r="X165" i="48"/>
  <c r="V166" i="48"/>
  <c r="V167" i="48"/>
  <c r="W167" i="48"/>
  <c r="V168" i="48"/>
  <c r="W168" i="48"/>
  <c r="S329" i="53"/>
  <c r="T329" i="53"/>
  <c r="X168" i="48"/>
  <c r="T321" i="53"/>
  <c r="T330" i="53"/>
  <c r="T326" i="53"/>
  <c r="T322" i="53"/>
  <c r="T319" i="53"/>
  <c r="T318" i="53"/>
  <c r="W166" i="48"/>
  <c r="X166" i="48"/>
  <c r="X167" i="48"/>
  <c r="U68" i="49"/>
  <c r="V68" i="49"/>
  <c r="W68" i="49"/>
  <c r="V163" i="48"/>
  <c r="W163" i="48"/>
  <c r="V164" i="48"/>
  <c r="W164" i="48"/>
  <c r="W107" i="74"/>
  <c r="X107" i="74"/>
  <c r="X163" i="48"/>
  <c r="X164" i="48"/>
  <c r="Y107" i="74"/>
  <c r="V162" i="48"/>
  <c r="W162" i="48"/>
  <c r="X162" i="48"/>
  <c r="V161" i="48"/>
  <c r="W161" i="48"/>
  <c r="X161" i="48"/>
  <c r="U52" i="49"/>
  <c r="V52" i="49"/>
  <c r="U65" i="49"/>
  <c r="W52" i="49"/>
  <c r="V65" i="49"/>
  <c r="W65" i="49"/>
  <c r="AB63" i="85"/>
  <c r="AC63" i="85"/>
  <c r="AD63" i="85"/>
  <c r="AB8" i="85"/>
  <c r="AB9" i="85"/>
  <c r="AB10" i="85"/>
  <c r="AB11" i="85"/>
  <c r="AB12" i="85"/>
  <c r="AB13" i="85"/>
  <c r="AB14" i="85"/>
  <c r="AB15" i="85"/>
  <c r="AB16" i="85"/>
  <c r="AB17" i="85"/>
  <c r="AB18" i="85"/>
  <c r="AB19" i="85"/>
  <c r="AB20" i="85"/>
  <c r="AB21" i="85"/>
  <c r="AB22" i="85"/>
  <c r="AB23" i="85"/>
  <c r="AB24" i="85"/>
  <c r="AB25" i="85"/>
  <c r="AB26" i="85"/>
  <c r="AB27" i="85"/>
  <c r="AB28" i="85"/>
  <c r="AB29" i="85"/>
  <c r="AB30" i="85"/>
  <c r="AB31" i="85"/>
  <c r="AB32" i="85"/>
  <c r="AB33" i="85"/>
  <c r="AB34" i="85"/>
  <c r="AB35" i="85"/>
  <c r="AB36" i="85"/>
  <c r="AB37" i="85"/>
  <c r="AB38" i="85"/>
  <c r="AB39" i="85"/>
  <c r="AB40" i="85"/>
  <c r="AB41" i="85"/>
  <c r="AB42" i="85"/>
  <c r="AB43" i="85"/>
  <c r="AB44" i="85"/>
  <c r="AB45" i="85"/>
  <c r="AB46" i="85"/>
  <c r="AB47" i="85"/>
  <c r="AB48" i="85"/>
  <c r="AB49" i="85"/>
  <c r="AB50" i="85"/>
  <c r="AB51" i="85"/>
  <c r="AB52" i="85"/>
  <c r="AB53" i="85"/>
  <c r="AB54" i="85"/>
  <c r="AB55" i="85"/>
  <c r="AB56" i="85"/>
  <c r="AB57" i="85"/>
  <c r="AB58" i="85"/>
  <c r="AB59" i="85"/>
  <c r="AC61" i="85"/>
  <c r="AB62" i="85"/>
  <c r="AD61" i="85"/>
  <c r="AC62" i="85"/>
  <c r="AD62" i="85"/>
  <c r="Z127" i="50"/>
  <c r="AA127" i="50"/>
  <c r="Z126" i="50"/>
  <c r="AA126" i="50"/>
  <c r="AC29" i="85"/>
  <c r="AD29" i="85"/>
  <c r="AG336" i="72"/>
  <c r="AH336" i="72"/>
  <c r="V151" i="48"/>
  <c r="W151" i="48"/>
  <c r="X151" i="48"/>
  <c r="V150" i="48"/>
  <c r="W150" i="48"/>
  <c r="X150" i="48"/>
  <c r="V149" i="48"/>
  <c r="V148" i="48"/>
  <c r="V147" i="48"/>
  <c r="W147" i="48"/>
  <c r="X147" i="48"/>
  <c r="V146" i="48"/>
  <c r="W146" i="48"/>
  <c r="X146" i="48"/>
  <c r="V145" i="48"/>
  <c r="V144" i="48"/>
  <c r="W144" i="48"/>
  <c r="V143" i="48"/>
  <c r="W143" i="48"/>
  <c r="X143" i="48"/>
  <c r="V142" i="48"/>
  <c r="W142" i="48"/>
  <c r="X142" i="48"/>
  <c r="V141" i="48"/>
  <c r="V140" i="48"/>
  <c r="V139" i="48"/>
  <c r="W139" i="48"/>
  <c r="X139" i="48"/>
  <c r="V138" i="48"/>
  <c r="W138" i="48"/>
  <c r="X138" i="48"/>
  <c r="V137" i="48"/>
  <c r="V136" i="48"/>
  <c r="W136" i="48"/>
  <c r="V135" i="48"/>
  <c r="W135" i="48"/>
  <c r="X135" i="48"/>
  <c r="W140" i="48"/>
  <c r="X140" i="48"/>
  <c r="W148" i="48"/>
  <c r="X148" i="48"/>
  <c r="X136" i="48"/>
  <c r="X144" i="48"/>
  <c r="W137" i="48"/>
  <c r="X137" i="48"/>
  <c r="W141" i="48"/>
  <c r="X141" i="48"/>
  <c r="W145" i="48"/>
  <c r="X145" i="48"/>
  <c r="W149" i="48"/>
  <c r="X149" i="48"/>
  <c r="R157" i="50"/>
  <c r="T157" i="50"/>
  <c r="Y157" i="50"/>
  <c r="R158" i="50"/>
  <c r="T158" i="50"/>
  <c r="Y158" i="50"/>
  <c r="Z158" i="50"/>
  <c r="R160" i="50"/>
  <c r="T160" i="50"/>
  <c r="Y160" i="50"/>
  <c r="Z160" i="50"/>
  <c r="AA160" i="50"/>
  <c r="R161" i="50"/>
  <c r="T161" i="50"/>
  <c r="Y161" i="50"/>
  <c r="R162" i="50"/>
  <c r="T162" i="50"/>
  <c r="Y162" i="50"/>
  <c r="R163" i="50"/>
  <c r="T163" i="50"/>
  <c r="Y163" i="50"/>
  <c r="Z163" i="50"/>
  <c r="R164" i="50"/>
  <c r="T164" i="50"/>
  <c r="Y164" i="50"/>
  <c r="Z164" i="50"/>
  <c r="AA164" i="50"/>
  <c r="R165" i="50"/>
  <c r="T165" i="50"/>
  <c r="Y165" i="50"/>
  <c r="R166" i="50"/>
  <c r="T166" i="50"/>
  <c r="Y166" i="50"/>
  <c r="Z166" i="50"/>
  <c r="R167" i="50"/>
  <c r="T167" i="50"/>
  <c r="Y167" i="50"/>
  <c r="Z167" i="50"/>
  <c r="R168" i="50"/>
  <c r="T168" i="50"/>
  <c r="Y168" i="50"/>
  <c r="Z168" i="50"/>
  <c r="AA168" i="50"/>
  <c r="R169" i="50"/>
  <c r="T169" i="50"/>
  <c r="Y169" i="50"/>
  <c r="R170" i="50"/>
  <c r="T170" i="50"/>
  <c r="Y170" i="50"/>
  <c r="Z170" i="50"/>
  <c r="R171" i="50"/>
  <c r="T171" i="50"/>
  <c r="Y171" i="50"/>
  <c r="Z171" i="50"/>
  <c r="R172" i="50"/>
  <c r="T172" i="50"/>
  <c r="Y172" i="50"/>
  <c r="Z172" i="50"/>
  <c r="AA172" i="50"/>
  <c r="R173" i="50"/>
  <c r="T173" i="50"/>
  <c r="Y173" i="50"/>
  <c r="Z173" i="50"/>
  <c r="R174" i="50"/>
  <c r="T174" i="50"/>
  <c r="Y174" i="50"/>
  <c r="R175" i="50"/>
  <c r="T175" i="50"/>
  <c r="Y175" i="50"/>
  <c r="Z175" i="50"/>
  <c r="R176" i="50"/>
  <c r="T176" i="50"/>
  <c r="Y176" i="50"/>
  <c r="Z176" i="50"/>
  <c r="AA176" i="50"/>
  <c r="R177" i="50"/>
  <c r="T177" i="50"/>
  <c r="Y177" i="50"/>
  <c r="R178" i="50"/>
  <c r="T178" i="50"/>
  <c r="Y178" i="50"/>
  <c r="Z178" i="50"/>
  <c r="R179" i="50"/>
  <c r="T179" i="50"/>
  <c r="Y179" i="50"/>
  <c r="Z179" i="50"/>
  <c r="R180" i="50"/>
  <c r="T180" i="50"/>
  <c r="Y180" i="50"/>
  <c r="Z180" i="50"/>
  <c r="AA180" i="50"/>
  <c r="R181" i="50"/>
  <c r="T181" i="50"/>
  <c r="Y181" i="50"/>
  <c r="Z181" i="50"/>
  <c r="AA181" i="50"/>
  <c r="AA178" i="50"/>
  <c r="Z177" i="50"/>
  <c r="AA177" i="50"/>
  <c r="Z174" i="50"/>
  <c r="AA174" i="50"/>
  <c r="AA173" i="50"/>
  <c r="AA170" i="50"/>
  <c r="Z169" i="50"/>
  <c r="AA169" i="50"/>
  <c r="AA166" i="50"/>
  <c r="Z165" i="50"/>
  <c r="AA165" i="50"/>
  <c r="Z162" i="50"/>
  <c r="AA162" i="50"/>
  <c r="Z161" i="50"/>
  <c r="AA161" i="50"/>
  <c r="Z157" i="50"/>
  <c r="AA157" i="50"/>
  <c r="AA179" i="50"/>
  <c r="AA175" i="50"/>
  <c r="AA171" i="50"/>
  <c r="AA167" i="50"/>
  <c r="AA163" i="50"/>
  <c r="AA158" i="50"/>
  <c r="R152" i="51"/>
  <c r="S152" i="51"/>
  <c r="W152" i="51"/>
  <c r="X152" i="51"/>
  <c r="AC59" i="85"/>
  <c r="AD59" i="85"/>
  <c r="AC60" i="85"/>
  <c r="AC58" i="85"/>
  <c r="AC57" i="85"/>
  <c r="AC56" i="85"/>
  <c r="AC55" i="85"/>
  <c r="AD55" i="85"/>
  <c r="AD60" i="85"/>
  <c r="AD58" i="85"/>
  <c r="AD57" i="85"/>
  <c r="AD56" i="85"/>
  <c r="R151" i="51"/>
  <c r="S151" i="51"/>
  <c r="W151" i="51"/>
  <c r="X151" i="51"/>
  <c r="N6" i="61"/>
  <c r="N7" i="61"/>
  <c r="N8" i="61"/>
  <c r="N9" i="61"/>
  <c r="N10" i="61"/>
  <c r="N11" i="61"/>
  <c r="N12" i="61"/>
  <c r="N13" i="61"/>
  <c r="N14" i="61"/>
  <c r="N15" i="61"/>
  <c r="N16" i="61"/>
  <c r="N17" i="61"/>
  <c r="N18" i="61"/>
  <c r="N19" i="61"/>
  <c r="N20" i="61"/>
  <c r="N21" i="61"/>
  <c r="N22" i="61"/>
  <c r="N23" i="61"/>
  <c r="N24" i="61"/>
  <c r="N25" i="61"/>
  <c r="N26" i="61"/>
  <c r="N27" i="61"/>
  <c r="N28" i="61"/>
  <c r="N29" i="61"/>
  <c r="N30" i="61"/>
  <c r="N31" i="61"/>
  <c r="N32" i="61"/>
  <c r="N33" i="61"/>
  <c r="N34" i="61"/>
  <c r="N35" i="61"/>
  <c r="N36" i="61"/>
  <c r="N37" i="61"/>
  <c r="N38" i="61"/>
  <c r="N39" i="61"/>
  <c r="N40" i="61"/>
  <c r="N41" i="61"/>
  <c r="N42" i="61"/>
  <c r="N43" i="61"/>
  <c r="N44" i="61"/>
  <c r="N45" i="61"/>
  <c r="N46" i="61"/>
  <c r="N47" i="61"/>
  <c r="N48" i="61"/>
  <c r="N49" i="61"/>
  <c r="N50" i="61"/>
  <c r="N51" i="61"/>
  <c r="N52" i="61"/>
  <c r="N53" i="61"/>
  <c r="N54" i="61"/>
  <c r="N55" i="61"/>
  <c r="N56" i="61"/>
  <c r="N57" i="61"/>
  <c r="N58" i="61"/>
  <c r="N59" i="61"/>
  <c r="N60" i="61"/>
  <c r="N61" i="61"/>
  <c r="N62" i="61"/>
  <c r="N63" i="61"/>
  <c r="N64" i="61"/>
  <c r="N65" i="61"/>
  <c r="N66" i="61"/>
  <c r="N67" i="61"/>
  <c r="N68" i="61"/>
  <c r="N69" i="61"/>
  <c r="N70" i="61"/>
  <c r="N71" i="61"/>
  <c r="N72" i="61"/>
  <c r="N73" i="61"/>
  <c r="N74" i="61"/>
  <c r="N75" i="61"/>
  <c r="N76" i="61"/>
  <c r="N77" i="61"/>
  <c r="N78" i="61"/>
  <c r="N79" i="61"/>
  <c r="N80" i="61"/>
  <c r="N81" i="61"/>
  <c r="N82" i="61"/>
  <c r="N83" i="61"/>
  <c r="N84" i="61"/>
  <c r="N85" i="61"/>
  <c r="N86" i="61"/>
  <c r="N87" i="61"/>
  <c r="N88" i="61"/>
  <c r="N89" i="61"/>
  <c r="N90" i="61"/>
  <c r="N91" i="61"/>
  <c r="N92" i="61"/>
  <c r="N93" i="61"/>
  <c r="N94" i="61"/>
  <c r="N95" i="61"/>
  <c r="D96" i="61"/>
  <c r="N96" i="61"/>
  <c r="N97" i="61"/>
  <c r="D98" i="61"/>
  <c r="N98" i="61"/>
  <c r="N99" i="61"/>
  <c r="N100" i="61"/>
  <c r="N101" i="61"/>
  <c r="N102" i="61"/>
  <c r="N103" i="61"/>
  <c r="N104" i="61"/>
  <c r="N105" i="61"/>
  <c r="N106" i="61"/>
  <c r="N107" i="61"/>
  <c r="N108" i="61"/>
  <c r="N109" i="61"/>
  <c r="N110" i="61"/>
  <c r="N111" i="61"/>
  <c r="N112" i="61"/>
  <c r="N113" i="61"/>
  <c r="N114" i="61"/>
  <c r="N115" i="61"/>
  <c r="S5" i="61"/>
  <c r="R150" i="51"/>
  <c r="S150" i="51"/>
  <c r="W150" i="51"/>
  <c r="X150" i="51"/>
  <c r="W105" i="74"/>
  <c r="X105" i="74"/>
  <c r="W106" i="74"/>
  <c r="X106" i="74"/>
  <c r="R148" i="51"/>
  <c r="S148" i="51"/>
  <c r="W148" i="51"/>
  <c r="X148" i="51"/>
  <c r="R149" i="51"/>
  <c r="S149" i="51"/>
  <c r="W149" i="51"/>
  <c r="X149" i="51"/>
  <c r="Y106" i="74"/>
  <c r="Y105" i="74"/>
  <c r="W104" i="74"/>
  <c r="X104" i="74"/>
  <c r="Y104" i="74"/>
  <c r="R147" i="51"/>
  <c r="S147" i="51"/>
  <c r="W147" i="51"/>
  <c r="X147" i="51"/>
  <c r="AH124" i="59"/>
  <c r="AI124" i="59"/>
  <c r="AH122" i="59"/>
  <c r="AI122" i="59"/>
  <c r="AJ124" i="59"/>
  <c r="AJ122" i="59"/>
  <c r="W102" i="74"/>
  <c r="X102" i="74"/>
  <c r="W103" i="74"/>
  <c r="X103" i="74"/>
  <c r="Y103" i="74"/>
  <c r="R145" i="51"/>
  <c r="S145" i="51"/>
  <c r="R146" i="51"/>
  <c r="S146" i="51"/>
  <c r="W146" i="51"/>
  <c r="X146" i="51"/>
  <c r="Y102" i="74"/>
  <c r="W145" i="51"/>
  <c r="X145" i="51"/>
  <c r="AC8" i="85"/>
  <c r="AC9" i="85"/>
  <c r="AD9" i="85"/>
  <c r="AC11" i="85"/>
  <c r="AD11" i="85"/>
  <c r="AC12" i="85"/>
  <c r="AC13" i="85"/>
  <c r="AD13" i="85"/>
  <c r="AC15" i="85"/>
  <c r="AC17" i="85"/>
  <c r="AD17" i="85"/>
  <c r="AC19" i="85"/>
  <c r="AD19" i="85"/>
  <c r="AC21" i="85"/>
  <c r="AD21" i="85"/>
  <c r="AC22" i="85"/>
  <c r="AD22" i="85"/>
  <c r="AC24" i="85"/>
  <c r="AC25" i="85"/>
  <c r="AD25" i="85"/>
  <c r="AC26" i="85"/>
  <c r="AD26" i="85"/>
  <c r="AC27" i="85"/>
  <c r="AC28" i="85"/>
  <c r="AD28" i="85"/>
  <c r="AC30" i="85"/>
  <c r="AD30" i="85"/>
  <c r="AC31" i="85"/>
  <c r="AD31" i="85"/>
  <c r="AC33" i="85"/>
  <c r="AC34" i="85"/>
  <c r="AD34" i="85"/>
  <c r="AC36" i="85"/>
  <c r="AD36" i="85"/>
  <c r="AC38" i="85"/>
  <c r="AD38" i="85"/>
  <c r="AC40" i="85"/>
  <c r="AC41" i="85"/>
  <c r="AC42" i="85"/>
  <c r="AD42" i="85"/>
  <c r="AC43" i="85"/>
  <c r="AD43" i="85"/>
  <c r="AC44" i="85"/>
  <c r="AD44" i="85"/>
  <c r="AC45" i="85"/>
  <c r="AC46" i="85"/>
  <c r="AD46" i="85"/>
  <c r="AC47" i="85"/>
  <c r="AD47" i="85"/>
  <c r="AC48" i="85"/>
  <c r="AD48" i="85"/>
  <c r="AC54" i="85"/>
  <c r="AD54" i="85"/>
  <c r="W101" i="74"/>
  <c r="X101" i="74"/>
  <c r="R144" i="51"/>
  <c r="S144" i="51"/>
  <c r="W144" i="51"/>
  <c r="X144" i="51"/>
  <c r="AH129" i="59"/>
  <c r="AI129" i="59"/>
  <c r="AH131" i="59"/>
  <c r="AI131" i="59"/>
  <c r="W100" i="74"/>
  <c r="X100" i="74"/>
  <c r="Y100" i="74"/>
  <c r="R143" i="51"/>
  <c r="S143" i="51"/>
  <c r="W143" i="51"/>
  <c r="W98" i="74"/>
  <c r="X98" i="74"/>
  <c r="W99" i="74"/>
  <c r="X99" i="74"/>
  <c r="Y99" i="74"/>
  <c r="R142" i="51"/>
  <c r="S142" i="51"/>
  <c r="W142" i="51"/>
  <c r="X142" i="51"/>
  <c r="R140" i="51"/>
  <c r="S140" i="51"/>
  <c r="W140" i="51"/>
  <c r="X140" i="51"/>
  <c r="R141" i="51"/>
  <c r="S141" i="51"/>
  <c r="W141" i="51"/>
  <c r="Y98" i="74"/>
  <c r="W94" i="74"/>
  <c r="X94" i="74"/>
  <c r="W95" i="74"/>
  <c r="X95" i="74"/>
  <c r="Y95" i="74"/>
  <c r="W96" i="74"/>
  <c r="X96" i="74"/>
  <c r="W97" i="74"/>
  <c r="X97" i="74"/>
  <c r="Y97" i="74"/>
  <c r="R139" i="51"/>
  <c r="S139" i="51"/>
  <c r="W139" i="51"/>
  <c r="X139" i="51"/>
  <c r="Y96" i="50"/>
  <c r="Z96" i="50"/>
  <c r="AA96" i="50"/>
  <c r="R138" i="51"/>
  <c r="S138" i="51"/>
  <c r="W138" i="51"/>
  <c r="X138" i="51"/>
  <c r="R137" i="51"/>
  <c r="S137" i="51"/>
  <c r="W137" i="51"/>
  <c r="X137" i="51"/>
  <c r="R132" i="51"/>
  <c r="S132" i="51"/>
  <c r="W132" i="51"/>
  <c r="X132" i="51"/>
  <c r="R133" i="51"/>
  <c r="S133" i="51"/>
  <c r="W133" i="51"/>
  <c r="R134" i="51"/>
  <c r="S134" i="51"/>
  <c r="W134" i="51"/>
  <c r="X134" i="51"/>
  <c r="R135" i="51"/>
  <c r="S135" i="51"/>
  <c r="W135" i="51"/>
  <c r="R136" i="51"/>
  <c r="S136" i="51"/>
  <c r="X133" i="51"/>
  <c r="V129" i="48"/>
  <c r="W129" i="48"/>
  <c r="V130" i="48"/>
  <c r="W130" i="48"/>
  <c r="V131" i="48"/>
  <c r="W131" i="48"/>
  <c r="X131" i="48"/>
  <c r="V132" i="48"/>
  <c r="W132" i="48"/>
  <c r="V133" i="48"/>
  <c r="W133" i="48"/>
  <c r="V134" i="48"/>
  <c r="W134" i="48"/>
  <c r="X134" i="48"/>
  <c r="R130" i="51"/>
  <c r="S130" i="51"/>
  <c r="R131" i="51"/>
  <c r="S131" i="51"/>
  <c r="W131" i="51"/>
  <c r="V127" i="48"/>
  <c r="V128" i="48"/>
  <c r="W128" i="48"/>
  <c r="W130" i="51"/>
  <c r="X130" i="51"/>
  <c r="W91" i="74"/>
  <c r="X91" i="74"/>
  <c r="W92" i="74"/>
  <c r="X92" i="74"/>
  <c r="Y92" i="74"/>
  <c r="W93" i="74"/>
  <c r="X93" i="74"/>
  <c r="Y93" i="74"/>
  <c r="Y91" i="74"/>
  <c r="R129" i="51"/>
  <c r="S129" i="51"/>
  <c r="W129" i="51"/>
  <c r="X129" i="51"/>
  <c r="V126" i="48"/>
  <c r="AB43" i="54"/>
  <c r="AB44" i="54"/>
  <c r="AB45" i="54"/>
  <c r="AB46" i="54"/>
  <c r="AB47" i="54"/>
  <c r="V125" i="48"/>
  <c r="W90" i="74"/>
  <c r="X90" i="74"/>
  <c r="W89" i="74"/>
  <c r="X89" i="74"/>
  <c r="Y89" i="74"/>
  <c r="Y90" i="74"/>
  <c r="R128" i="51"/>
  <c r="S128" i="51"/>
  <c r="W128" i="51"/>
  <c r="R127" i="51"/>
  <c r="S127" i="51"/>
  <c r="V123" i="48"/>
  <c r="W123" i="48"/>
  <c r="V124" i="48"/>
  <c r="W124" i="48"/>
  <c r="X124" i="48"/>
  <c r="W127" i="51"/>
  <c r="X127" i="51"/>
  <c r="Y120" i="50"/>
  <c r="Z120" i="50"/>
  <c r="AA120" i="50"/>
  <c r="Y122" i="50"/>
  <c r="Z122" i="50"/>
  <c r="Y121" i="50"/>
  <c r="Z121" i="50"/>
  <c r="Y123" i="50"/>
  <c r="Z123" i="50"/>
  <c r="W86" i="74"/>
  <c r="X86" i="74"/>
  <c r="W87" i="74"/>
  <c r="X87" i="74"/>
  <c r="W88" i="74"/>
  <c r="R124" i="51"/>
  <c r="S124" i="51"/>
  <c r="W124" i="51"/>
  <c r="X124" i="51"/>
  <c r="R125" i="51"/>
  <c r="S125" i="51"/>
  <c r="R126" i="51"/>
  <c r="S126" i="51"/>
  <c r="W126" i="51"/>
  <c r="X126" i="51"/>
  <c r="V121" i="48"/>
  <c r="W121" i="48"/>
  <c r="V122" i="48"/>
  <c r="W122" i="48"/>
  <c r="X122" i="48"/>
  <c r="Y87" i="74"/>
  <c r="S295" i="53"/>
  <c r="T295" i="53"/>
  <c r="S296" i="53"/>
  <c r="T296" i="53"/>
  <c r="S297" i="53"/>
  <c r="T297" i="53"/>
  <c r="S298" i="53"/>
  <c r="T298" i="53"/>
  <c r="S299" i="53"/>
  <c r="T299" i="53"/>
  <c r="S300" i="53"/>
  <c r="T300" i="53"/>
  <c r="S301" i="53"/>
  <c r="T301" i="53"/>
  <c r="S302" i="53"/>
  <c r="S304" i="53"/>
  <c r="T304" i="53"/>
  <c r="S316" i="53"/>
  <c r="T316" i="53"/>
  <c r="V120" i="48"/>
  <c r="W120" i="48"/>
  <c r="X120" i="48"/>
  <c r="W85" i="74"/>
  <c r="X85" i="74"/>
  <c r="Y85" i="74"/>
  <c r="X97" i="57"/>
  <c r="X96" i="57"/>
  <c r="X89" i="57"/>
  <c r="Y89" i="57"/>
  <c r="X90" i="57"/>
  <c r="X91" i="57"/>
  <c r="Y91" i="57"/>
  <c r="Y97" i="57"/>
  <c r="Y96" i="57"/>
  <c r="Y90" i="57"/>
  <c r="R123" i="51"/>
  <c r="S123" i="51"/>
  <c r="W123" i="51"/>
  <c r="V119" i="48"/>
  <c r="W81" i="74"/>
  <c r="X81" i="74"/>
  <c r="W82" i="74"/>
  <c r="X82" i="74"/>
  <c r="W83" i="74"/>
  <c r="X83" i="74"/>
  <c r="W84" i="74"/>
  <c r="X84" i="74"/>
  <c r="Y84" i="74"/>
  <c r="Y82" i="74"/>
  <c r="Y83" i="74"/>
  <c r="Y81" i="74"/>
  <c r="V118" i="48"/>
  <c r="W118" i="48"/>
  <c r="X95" i="57"/>
  <c r="X94" i="57"/>
  <c r="Y94" i="57"/>
  <c r="V117" i="48"/>
  <c r="Y95" i="57"/>
  <c r="W80" i="74"/>
  <c r="X80" i="74"/>
  <c r="W79" i="74"/>
  <c r="Y80" i="74"/>
  <c r="X79" i="74"/>
  <c r="Y79" i="74"/>
  <c r="X93" i="57"/>
  <c r="Y93" i="57"/>
  <c r="Y64" i="50"/>
  <c r="Z64" i="50"/>
  <c r="Y63" i="50"/>
  <c r="Z63" i="50"/>
  <c r="AA63" i="50"/>
  <c r="S303" i="53"/>
  <c r="T303" i="53"/>
  <c r="X92" i="57"/>
  <c r="Y92" i="57"/>
  <c r="W70" i="74"/>
  <c r="X70" i="74"/>
  <c r="W71" i="74"/>
  <c r="X71" i="74"/>
  <c r="W72" i="74"/>
  <c r="X72" i="74"/>
  <c r="Y72" i="74"/>
  <c r="W73" i="74"/>
  <c r="X73" i="74"/>
  <c r="W74" i="74"/>
  <c r="X74" i="74"/>
  <c r="W75" i="74"/>
  <c r="W76" i="74"/>
  <c r="X76" i="74"/>
  <c r="Y76" i="74"/>
  <c r="W77" i="74"/>
  <c r="X77" i="74"/>
  <c r="Y77" i="74"/>
  <c r="W78" i="74"/>
  <c r="X78" i="74"/>
  <c r="Y73" i="74"/>
  <c r="X75" i="74"/>
  <c r="Y75" i="74"/>
  <c r="Y78" i="74"/>
  <c r="Y74" i="74"/>
  <c r="Y70" i="74"/>
  <c r="W115" i="51"/>
  <c r="X115" i="51"/>
  <c r="W116" i="51"/>
  <c r="X116" i="51"/>
  <c r="W117" i="51"/>
  <c r="W118" i="51"/>
  <c r="X118" i="51"/>
  <c r="W120" i="51"/>
  <c r="X120" i="51"/>
  <c r="W121" i="51"/>
  <c r="X121" i="51"/>
  <c r="W122" i="51"/>
  <c r="X122" i="51"/>
  <c r="W99" i="51"/>
  <c r="X99" i="51"/>
  <c r="W95" i="51"/>
  <c r="X95" i="51"/>
  <c r="W105" i="51"/>
  <c r="W103" i="51"/>
  <c r="X103" i="51"/>
  <c r="W104" i="51"/>
  <c r="X104" i="51"/>
  <c r="X105" i="51"/>
  <c r="W106" i="51"/>
  <c r="X106" i="51"/>
  <c r="W109" i="51"/>
  <c r="W110" i="51"/>
  <c r="X110" i="51"/>
  <c r="W111" i="51"/>
  <c r="X111" i="51"/>
  <c r="W112" i="51"/>
  <c r="W113" i="51"/>
  <c r="X113" i="51"/>
  <c r="W114" i="51"/>
  <c r="U104" i="51"/>
  <c r="U105" i="51"/>
  <c r="U106" i="51"/>
  <c r="U107" i="51"/>
  <c r="U108" i="51"/>
  <c r="U109" i="51"/>
  <c r="U110" i="51"/>
  <c r="U111" i="51"/>
  <c r="U112" i="51"/>
  <c r="U113" i="51"/>
  <c r="R113" i="51"/>
  <c r="S113" i="51"/>
  <c r="W119" i="51"/>
  <c r="X119" i="51"/>
  <c r="X117" i="51"/>
  <c r="W107" i="51"/>
  <c r="X107" i="51"/>
  <c r="X112" i="51"/>
  <c r="V107" i="48"/>
  <c r="V108" i="48"/>
  <c r="W108" i="48"/>
  <c r="X108" i="48"/>
  <c r="V109" i="48"/>
  <c r="W109" i="48"/>
  <c r="V110" i="48"/>
  <c r="W110" i="48"/>
  <c r="V111" i="48"/>
  <c r="W111" i="48"/>
  <c r="X111" i="48"/>
  <c r="V112" i="48"/>
  <c r="W112" i="48"/>
  <c r="V113" i="48"/>
  <c r="W113" i="48"/>
  <c r="V114" i="48"/>
  <c r="V115" i="48"/>
  <c r="W115" i="48"/>
  <c r="V116" i="48"/>
  <c r="W107" i="48"/>
  <c r="X107" i="48"/>
  <c r="AH130" i="59"/>
  <c r="AI130" i="59"/>
  <c r="AJ130" i="59"/>
  <c r="AH132" i="59"/>
  <c r="AI132" i="59"/>
  <c r="AH133" i="59"/>
  <c r="AI133" i="59"/>
  <c r="AJ133" i="59"/>
  <c r="AH134" i="59"/>
  <c r="AI134" i="59"/>
  <c r="AH136" i="59"/>
  <c r="AI136" i="59"/>
  <c r="AH137" i="59"/>
  <c r="AI137" i="59"/>
  <c r="AJ137" i="59"/>
  <c r="AH138" i="59"/>
  <c r="AI138" i="59"/>
  <c r="AJ138" i="59"/>
  <c r="AH139" i="59"/>
  <c r="AI139" i="59"/>
  <c r="AJ139" i="59"/>
  <c r="AH140" i="59"/>
  <c r="AI140" i="59"/>
  <c r="AH141" i="59"/>
  <c r="AH142" i="59"/>
  <c r="AI142" i="59"/>
  <c r="AH135" i="59"/>
  <c r="AI135" i="59"/>
  <c r="AJ135" i="59"/>
  <c r="AH128" i="59"/>
  <c r="AH125" i="59"/>
  <c r="AI125" i="59"/>
  <c r="AH126" i="59"/>
  <c r="AH127" i="59"/>
  <c r="AI127" i="59"/>
  <c r="AJ127" i="59"/>
  <c r="AH147" i="59"/>
  <c r="AI147" i="59"/>
  <c r="AJ147" i="59"/>
  <c r="AH145" i="59"/>
  <c r="AI145" i="59"/>
  <c r="AJ145" i="59"/>
  <c r="AH146" i="59"/>
  <c r="AI146" i="59"/>
  <c r="AJ146" i="59"/>
  <c r="AH143" i="59"/>
  <c r="AI143" i="59"/>
  <c r="AJ143" i="59"/>
  <c r="AH148" i="59"/>
  <c r="AI148" i="59"/>
  <c r="AJ148" i="59"/>
  <c r="AH149" i="59"/>
  <c r="AI149" i="59"/>
  <c r="AH150" i="59"/>
  <c r="AH144" i="59"/>
  <c r="AI144" i="59"/>
  <c r="AJ144" i="59"/>
  <c r="AH151" i="59"/>
  <c r="AI151" i="59"/>
  <c r="AJ151" i="59"/>
  <c r="AH152" i="59"/>
  <c r="AI152" i="59"/>
  <c r="AH153" i="59"/>
  <c r="AI153" i="59"/>
  <c r="AJ153" i="59"/>
  <c r="AH154" i="59"/>
  <c r="AI154" i="59"/>
  <c r="AH155" i="59"/>
  <c r="AI155" i="59"/>
  <c r="AJ155" i="59"/>
  <c r="AH156" i="59"/>
  <c r="AI156" i="59"/>
  <c r="AH157" i="59"/>
  <c r="AI157" i="59"/>
  <c r="AJ157" i="59"/>
  <c r="AH158" i="59"/>
  <c r="AI158" i="59"/>
  <c r="AJ158" i="59"/>
  <c r="AH159" i="59"/>
  <c r="AI159" i="59"/>
  <c r="AJ159" i="59"/>
  <c r="AH160" i="59"/>
  <c r="AI160" i="59"/>
  <c r="AH161" i="59"/>
  <c r="AI161" i="59"/>
  <c r="AH162" i="59"/>
  <c r="AI162" i="59"/>
  <c r="AJ162" i="59"/>
  <c r="AH163" i="59"/>
  <c r="AI163" i="59"/>
  <c r="AJ163" i="59"/>
  <c r="AH164" i="59"/>
  <c r="AI164" i="59"/>
  <c r="AJ164" i="59"/>
  <c r="AH165" i="59"/>
  <c r="AH166" i="59"/>
  <c r="AI166" i="59"/>
  <c r="AJ166" i="59"/>
  <c r="AH167" i="59"/>
  <c r="AI167" i="59"/>
  <c r="AJ167" i="59"/>
  <c r="AH168" i="59"/>
  <c r="AI168" i="59"/>
  <c r="AH169" i="59"/>
  <c r="AI169" i="59"/>
  <c r="AJ169" i="59"/>
  <c r="AH170" i="59"/>
  <c r="AI170" i="59"/>
  <c r="AH171" i="59"/>
  <c r="AI171" i="59"/>
  <c r="AH172" i="59"/>
  <c r="AI172" i="59"/>
  <c r="AH173" i="59"/>
  <c r="AI173" i="59"/>
  <c r="AJ173" i="59"/>
  <c r="AH174" i="59"/>
  <c r="AI174" i="59"/>
  <c r="AJ174" i="59"/>
  <c r="AH175" i="59"/>
  <c r="AI175" i="59"/>
  <c r="AJ175" i="59"/>
  <c r="AH176" i="59"/>
  <c r="AI176" i="59"/>
  <c r="AH177" i="59"/>
  <c r="AI177" i="59"/>
  <c r="AJ177" i="59"/>
  <c r="AH178" i="59"/>
  <c r="AI178" i="59"/>
  <c r="AJ178" i="59"/>
  <c r="AH179" i="59"/>
  <c r="AI179" i="59"/>
  <c r="AH180" i="59"/>
  <c r="AI180" i="59"/>
  <c r="AH181" i="59"/>
  <c r="AH185" i="59"/>
  <c r="AI185" i="59"/>
  <c r="AJ185" i="59"/>
  <c r="AH186" i="59"/>
  <c r="AI186" i="59"/>
  <c r="AH187" i="59"/>
  <c r="AH188" i="59"/>
  <c r="AI188" i="59"/>
  <c r="AH189" i="59"/>
  <c r="AI189" i="59"/>
  <c r="AJ189" i="59"/>
  <c r="AH190" i="59"/>
  <c r="AI190" i="59"/>
  <c r="AJ190" i="59"/>
  <c r="AH191" i="59"/>
  <c r="AH192" i="59"/>
  <c r="AI192" i="59"/>
  <c r="AJ192" i="59"/>
  <c r="AH193" i="59"/>
  <c r="AI193" i="59"/>
  <c r="AH194" i="59"/>
  <c r="AI194" i="59"/>
  <c r="AH195" i="59"/>
  <c r="AH196" i="59"/>
  <c r="AH197" i="59"/>
  <c r="AI197" i="59"/>
  <c r="AH198" i="59"/>
  <c r="AI198" i="59"/>
  <c r="AJ198" i="59"/>
  <c r="AH199" i="59"/>
  <c r="AH200" i="59"/>
  <c r="AH201" i="59"/>
  <c r="AI201" i="59"/>
  <c r="AH202" i="59"/>
  <c r="AI202" i="59"/>
  <c r="AH203" i="59"/>
  <c r="AI203" i="59"/>
  <c r="AJ203" i="59"/>
  <c r="AH204" i="59"/>
  <c r="AH205" i="59"/>
  <c r="AH206" i="59"/>
  <c r="AI206" i="59"/>
  <c r="AJ206" i="59"/>
  <c r="AH207" i="59"/>
  <c r="AH208" i="59"/>
  <c r="AH209" i="59"/>
  <c r="AI209" i="59"/>
  <c r="AJ209" i="59"/>
  <c r="AH210" i="59"/>
  <c r="AI210" i="59"/>
  <c r="AH211" i="59"/>
  <c r="AH212" i="59"/>
  <c r="AH213" i="59"/>
  <c r="AI213" i="59"/>
  <c r="AJ213" i="59"/>
  <c r="AH214" i="59"/>
  <c r="AI214" i="59"/>
  <c r="AJ214" i="59"/>
  <c r="AH215" i="59"/>
  <c r="AI215" i="59"/>
  <c r="AJ215" i="59"/>
  <c r="AH216" i="59"/>
  <c r="AI216" i="59"/>
  <c r="AJ216" i="59"/>
  <c r="AH217" i="59"/>
  <c r="AI217" i="59"/>
  <c r="AJ217" i="59"/>
  <c r="AH218" i="59"/>
  <c r="AI218" i="59"/>
  <c r="AJ218" i="59"/>
  <c r="AH219" i="59"/>
  <c r="AH220" i="59"/>
  <c r="AI220" i="59"/>
  <c r="AJ220" i="59"/>
  <c r="AH221" i="59"/>
  <c r="AI221" i="59"/>
  <c r="AH222" i="59"/>
  <c r="AI222" i="59"/>
  <c r="AJ222" i="59"/>
  <c r="AH223" i="59"/>
  <c r="AI223" i="59"/>
  <c r="AJ223" i="59"/>
  <c r="AH224" i="59"/>
  <c r="AI224" i="59"/>
  <c r="AH225" i="59"/>
  <c r="AH123" i="59"/>
  <c r="AI123" i="59"/>
  <c r="AJ123" i="59"/>
  <c r="Q113" i="50"/>
  <c r="F113" i="50"/>
  <c r="V106" i="48"/>
  <c r="W106" i="48"/>
  <c r="F111" i="50"/>
  <c r="F110" i="50"/>
  <c r="G110" i="50"/>
  <c r="F108" i="50"/>
  <c r="W68" i="74"/>
  <c r="X68" i="74"/>
  <c r="W69" i="74"/>
  <c r="X69" i="74"/>
  <c r="Y69" i="74"/>
  <c r="V105" i="48"/>
  <c r="R108" i="51"/>
  <c r="S108" i="51"/>
  <c r="Y68" i="74"/>
  <c r="V103" i="48"/>
  <c r="W103" i="48"/>
  <c r="V104" i="48"/>
  <c r="W104" i="48"/>
  <c r="R106" i="51"/>
  <c r="S106" i="51"/>
  <c r="R107" i="51"/>
  <c r="S107" i="51"/>
  <c r="F107" i="50"/>
  <c r="F106" i="50"/>
  <c r="W59" i="74"/>
  <c r="W60" i="74"/>
  <c r="X60" i="74"/>
  <c r="W61" i="74"/>
  <c r="X61" i="74"/>
  <c r="W62" i="74"/>
  <c r="X62" i="74"/>
  <c r="Y62" i="74"/>
  <c r="W63" i="74"/>
  <c r="W64" i="74"/>
  <c r="X64" i="74"/>
  <c r="Y64" i="74"/>
  <c r="W65" i="74"/>
  <c r="X65" i="74"/>
  <c r="Y65" i="74"/>
  <c r="W66" i="74"/>
  <c r="X66" i="74"/>
  <c r="Y66" i="74"/>
  <c r="W67" i="74"/>
  <c r="V102" i="48"/>
  <c r="W102" i="48"/>
  <c r="X102" i="48"/>
  <c r="X63" i="74"/>
  <c r="Y63" i="74"/>
  <c r="X67" i="74"/>
  <c r="Y67" i="74"/>
  <c r="Y60" i="74"/>
  <c r="V101" i="48"/>
  <c r="W101" i="48"/>
  <c r="X101" i="48"/>
  <c r="S310" i="53"/>
  <c r="T310" i="53"/>
  <c r="S31" i="53"/>
  <c r="T31" i="53"/>
  <c r="S32" i="53"/>
  <c r="S33" i="53"/>
  <c r="T33" i="53"/>
  <c r="S34" i="53"/>
  <c r="T34" i="53"/>
  <c r="S38" i="53"/>
  <c r="S35" i="53"/>
  <c r="S36" i="53"/>
  <c r="T36" i="53"/>
  <c r="S37" i="53"/>
  <c r="S39" i="53"/>
  <c r="T39" i="53"/>
  <c r="S40" i="53"/>
  <c r="T40" i="53"/>
  <c r="S41" i="53"/>
  <c r="T41" i="53"/>
  <c r="S42" i="53"/>
  <c r="T42" i="53"/>
  <c r="S43" i="53"/>
  <c r="T43" i="53"/>
  <c r="S45" i="53"/>
  <c r="T45" i="53"/>
  <c r="S46" i="53"/>
  <c r="S48" i="53"/>
  <c r="T48" i="53"/>
  <c r="S49" i="53"/>
  <c r="T49" i="53"/>
  <c r="S50" i="53"/>
  <c r="T50" i="53"/>
  <c r="S51" i="53"/>
  <c r="S52" i="53"/>
  <c r="T52" i="53"/>
  <c r="S53" i="53"/>
  <c r="T53" i="53"/>
  <c r="S54" i="53"/>
  <c r="T54" i="53"/>
  <c r="S57" i="53"/>
  <c r="S59" i="53"/>
  <c r="T59" i="53"/>
  <c r="S60" i="53"/>
  <c r="T60" i="53"/>
  <c r="S61" i="53"/>
  <c r="T61" i="53"/>
  <c r="S62" i="53"/>
  <c r="S63" i="53"/>
  <c r="T63" i="53"/>
  <c r="S64" i="53"/>
  <c r="T64" i="53"/>
  <c r="S65" i="53"/>
  <c r="T65" i="53"/>
  <c r="S66" i="53"/>
  <c r="S67" i="53"/>
  <c r="S68" i="53"/>
  <c r="S69" i="53"/>
  <c r="T69" i="53"/>
  <c r="S70" i="53"/>
  <c r="S71" i="53"/>
  <c r="T71" i="53"/>
  <c r="S73" i="53"/>
  <c r="T73" i="53"/>
  <c r="S74" i="53"/>
  <c r="S76" i="53"/>
  <c r="T76" i="53"/>
  <c r="S77" i="53"/>
  <c r="T77" i="53"/>
  <c r="S78" i="53"/>
  <c r="T78" i="53"/>
  <c r="S81" i="53"/>
  <c r="T81" i="53"/>
  <c r="S82" i="53"/>
  <c r="S83" i="53"/>
  <c r="T83" i="53"/>
  <c r="S84" i="53"/>
  <c r="T84" i="53"/>
  <c r="S85" i="53"/>
  <c r="T85" i="53"/>
  <c r="S86" i="53"/>
  <c r="S87" i="53"/>
  <c r="T87" i="53"/>
  <c r="S88" i="53"/>
  <c r="T88" i="53"/>
  <c r="S89" i="53"/>
  <c r="T89" i="53"/>
  <c r="S90" i="53"/>
  <c r="T90" i="53"/>
  <c r="S91" i="53"/>
  <c r="T91" i="53"/>
  <c r="S92" i="53"/>
  <c r="T92" i="53"/>
  <c r="S93" i="53"/>
  <c r="T93" i="53"/>
  <c r="S94" i="53"/>
  <c r="S95" i="53"/>
  <c r="T95" i="53"/>
  <c r="S96" i="53"/>
  <c r="S97" i="53"/>
  <c r="T97" i="53"/>
  <c r="S99" i="53"/>
  <c r="T99" i="53"/>
  <c r="S100" i="53"/>
  <c r="T100" i="53"/>
  <c r="S101" i="53"/>
  <c r="T101" i="53"/>
  <c r="S102" i="53"/>
  <c r="S103" i="53"/>
  <c r="T103" i="53"/>
  <c r="S104" i="53"/>
  <c r="T104" i="53"/>
  <c r="S6" i="53"/>
  <c r="T6" i="53"/>
  <c r="S107" i="53"/>
  <c r="T107" i="53"/>
  <c r="S108" i="53"/>
  <c r="T108" i="53"/>
  <c r="S110" i="53"/>
  <c r="T110" i="53"/>
  <c r="S112" i="53"/>
  <c r="T112" i="53"/>
  <c r="S113" i="53"/>
  <c r="S114" i="53"/>
  <c r="T114" i="53"/>
  <c r="S115" i="53"/>
  <c r="T115" i="53"/>
  <c r="S116" i="53"/>
  <c r="T116" i="53"/>
  <c r="S117" i="53"/>
  <c r="T117" i="53"/>
  <c r="S118" i="53"/>
  <c r="T118" i="53"/>
  <c r="S119" i="53"/>
  <c r="T119" i="53"/>
  <c r="S120" i="53"/>
  <c r="T120" i="53"/>
  <c r="S121" i="53"/>
  <c r="T121" i="53"/>
  <c r="S122" i="53"/>
  <c r="S123" i="53"/>
  <c r="T123" i="53"/>
  <c r="S124" i="53"/>
  <c r="T124" i="53"/>
  <c r="S126" i="53"/>
  <c r="T126" i="53"/>
  <c r="S127" i="53"/>
  <c r="S128" i="53"/>
  <c r="T128" i="53"/>
  <c r="S129" i="53"/>
  <c r="S130" i="53"/>
  <c r="T130" i="53"/>
  <c r="S131" i="53"/>
  <c r="T131" i="53"/>
  <c r="S132" i="53"/>
  <c r="T132" i="53"/>
  <c r="S133" i="53"/>
  <c r="T133" i="53"/>
  <c r="S134" i="53"/>
  <c r="T134" i="53"/>
  <c r="S135" i="53"/>
  <c r="T135" i="53"/>
  <c r="S136" i="53"/>
  <c r="T136" i="53"/>
  <c r="S137" i="53"/>
  <c r="S138" i="53"/>
  <c r="S139" i="53"/>
  <c r="S7" i="53"/>
  <c r="T7" i="53"/>
  <c r="S140" i="53"/>
  <c r="T140" i="53"/>
  <c r="S141" i="53"/>
  <c r="S142" i="53"/>
  <c r="S144" i="53"/>
  <c r="T144" i="53"/>
  <c r="S145" i="53"/>
  <c r="S146" i="53"/>
  <c r="S147" i="53"/>
  <c r="T147" i="53"/>
  <c r="S148" i="53"/>
  <c r="S149" i="53"/>
  <c r="S151" i="53"/>
  <c r="T151" i="53"/>
  <c r="S152" i="53"/>
  <c r="S153" i="53"/>
  <c r="S154" i="53"/>
  <c r="S155" i="53"/>
  <c r="T155" i="53"/>
  <c r="S156" i="53"/>
  <c r="S157" i="53"/>
  <c r="T157" i="53"/>
  <c r="S159" i="53"/>
  <c r="T159" i="53"/>
  <c r="S160" i="53"/>
  <c r="S161" i="53"/>
  <c r="S162" i="53"/>
  <c r="S8" i="53"/>
  <c r="T8" i="53"/>
  <c r="S164" i="53"/>
  <c r="T164" i="53"/>
  <c r="S165" i="53"/>
  <c r="T165" i="53"/>
  <c r="S166" i="53"/>
  <c r="T166" i="53"/>
  <c r="S167" i="53"/>
  <c r="T167" i="53"/>
  <c r="S168" i="53"/>
  <c r="T168" i="53"/>
  <c r="S170" i="53"/>
  <c r="T170" i="53"/>
  <c r="S171" i="53"/>
  <c r="T171" i="53"/>
  <c r="S172" i="53"/>
  <c r="S173" i="53"/>
  <c r="S174" i="53"/>
  <c r="T174" i="53"/>
  <c r="S175" i="53"/>
  <c r="S176" i="53"/>
  <c r="S178" i="53"/>
  <c r="T178" i="53"/>
  <c r="S179" i="53"/>
  <c r="T179" i="53"/>
  <c r="S180" i="53"/>
  <c r="T180" i="53"/>
  <c r="S181" i="53"/>
  <c r="S182" i="53"/>
  <c r="T182" i="53"/>
  <c r="S184" i="53"/>
  <c r="S185" i="53"/>
  <c r="T185" i="53"/>
  <c r="S186" i="53"/>
  <c r="T186" i="53"/>
  <c r="S187" i="53"/>
  <c r="T187" i="53"/>
  <c r="S188" i="53"/>
  <c r="T188" i="53"/>
  <c r="S189" i="53"/>
  <c r="T189" i="53"/>
  <c r="S190" i="53"/>
  <c r="T190" i="53"/>
  <c r="S191" i="53"/>
  <c r="S192" i="53"/>
  <c r="T192" i="53"/>
  <c r="S194" i="53"/>
  <c r="T194" i="53"/>
  <c r="S195" i="53"/>
  <c r="S197" i="53"/>
  <c r="T197" i="53"/>
  <c r="S198" i="53"/>
  <c r="T198" i="53"/>
  <c r="S199" i="53"/>
  <c r="T199" i="53"/>
  <c r="S200" i="53"/>
  <c r="T200" i="53"/>
  <c r="S202" i="53"/>
  <c r="T202" i="53"/>
  <c r="S203" i="53"/>
  <c r="T203" i="53"/>
  <c r="S204" i="53"/>
  <c r="S205" i="53"/>
  <c r="S206" i="53"/>
  <c r="T206" i="53"/>
  <c r="S207" i="53"/>
  <c r="S208" i="53"/>
  <c r="T208" i="53"/>
  <c r="S209" i="53"/>
  <c r="T209" i="53"/>
  <c r="S210" i="53"/>
  <c r="T210" i="53"/>
  <c r="S212" i="53"/>
  <c r="T212" i="53"/>
  <c r="S213" i="53"/>
  <c r="T213" i="53"/>
  <c r="S214" i="53"/>
  <c r="T214" i="53"/>
  <c r="S215" i="53"/>
  <c r="S217" i="53"/>
  <c r="T217" i="53"/>
  <c r="S218" i="53"/>
  <c r="T218" i="53"/>
  <c r="S219" i="53"/>
  <c r="S220" i="53"/>
  <c r="T220" i="53"/>
  <c r="S221" i="53"/>
  <c r="T221" i="53"/>
  <c r="S229" i="53"/>
  <c r="S222" i="53"/>
  <c r="S225" i="53"/>
  <c r="T225" i="53"/>
  <c r="S226" i="53"/>
  <c r="T226" i="53"/>
  <c r="S227" i="53"/>
  <c r="T227" i="53"/>
  <c r="S228" i="53"/>
  <c r="T228" i="53"/>
  <c r="S230" i="53"/>
  <c r="T230" i="53"/>
  <c r="S231" i="53"/>
  <c r="S232" i="53"/>
  <c r="T232" i="53"/>
  <c r="S233" i="53"/>
  <c r="T233" i="53"/>
  <c r="S234" i="53"/>
  <c r="T234" i="53"/>
  <c r="S235" i="53"/>
  <c r="T235" i="53"/>
  <c r="S236" i="53"/>
  <c r="S237" i="53"/>
  <c r="T237" i="53"/>
  <c r="S242" i="53"/>
  <c r="T242" i="53"/>
  <c r="S238" i="53"/>
  <c r="T238" i="53"/>
  <c r="S240" i="53"/>
  <c r="T240" i="53"/>
  <c r="S241" i="53"/>
  <c r="T241" i="53"/>
  <c r="S243" i="53"/>
  <c r="T243" i="53"/>
  <c r="S244" i="53"/>
  <c r="S245" i="53"/>
  <c r="T245" i="53"/>
  <c r="S246" i="53"/>
  <c r="T246" i="53"/>
  <c r="S247" i="53"/>
  <c r="T247" i="53"/>
  <c r="S248" i="53"/>
  <c r="S249" i="53"/>
  <c r="T249" i="53"/>
  <c r="S250" i="53"/>
  <c r="T250" i="53"/>
  <c r="S251" i="53"/>
  <c r="S252" i="53"/>
  <c r="T252" i="53"/>
  <c r="S253" i="53"/>
  <c r="T253" i="53"/>
  <c r="S254" i="53"/>
  <c r="S255" i="53"/>
  <c r="S256" i="53"/>
  <c r="T256" i="53"/>
  <c r="S258" i="53"/>
  <c r="T258" i="53"/>
  <c r="S259" i="53"/>
  <c r="T259" i="53"/>
  <c r="S261" i="53"/>
  <c r="S262" i="53"/>
  <c r="S263" i="53"/>
  <c r="T263" i="53"/>
  <c r="S264" i="53"/>
  <c r="T264" i="53"/>
  <c r="S265" i="53"/>
  <c r="S305" i="53"/>
  <c r="S306" i="53"/>
  <c r="S307" i="53"/>
  <c r="T307" i="53"/>
  <c r="S308" i="53"/>
  <c r="S311" i="53"/>
  <c r="S266" i="53"/>
  <c r="T266" i="53"/>
  <c r="S312" i="53"/>
  <c r="T312" i="53"/>
  <c r="S313" i="53"/>
  <c r="T313" i="53"/>
  <c r="S314" i="53"/>
  <c r="T314" i="53"/>
  <c r="S315" i="53"/>
  <c r="T315" i="53"/>
  <c r="S267" i="53"/>
  <c r="T267" i="53"/>
  <c r="S268" i="53"/>
  <c r="T268" i="53"/>
  <c r="S269" i="53"/>
  <c r="S270" i="53"/>
  <c r="T270" i="53"/>
  <c r="S272" i="53"/>
  <c r="T272" i="53"/>
  <c r="S274" i="53"/>
  <c r="T274" i="53"/>
  <c r="S275" i="53"/>
  <c r="T275" i="53"/>
  <c r="S276" i="53"/>
  <c r="S277" i="53"/>
  <c r="T277" i="53"/>
  <c r="S281" i="53"/>
  <c r="T281" i="53"/>
  <c r="S279" i="53"/>
  <c r="T279" i="53"/>
  <c r="S282" i="53"/>
  <c r="S283" i="53"/>
  <c r="T283" i="53"/>
  <c r="S284" i="53"/>
  <c r="T284" i="53"/>
  <c r="S285" i="53"/>
  <c r="T285" i="53"/>
  <c r="S287" i="53"/>
  <c r="S288" i="53"/>
  <c r="T288" i="53"/>
  <c r="S289" i="53"/>
  <c r="T289" i="53"/>
  <c r="S292" i="53"/>
  <c r="S293" i="53"/>
  <c r="S294" i="53"/>
  <c r="T294" i="53"/>
  <c r="S15" i="53"/>
  <c r="T15" i="53"/>
  <c r="S16" i="53"/>
  <c r="T16" i="53"/>
  <c r="S17" i="53"/>
  <c r="T17" i="53"/>
  <c r="S18" i="53"/>
  <c r="T18" i="53"/>
  <c r="S19" i="53"/>
  <c r="T19" i="53"/>
  <c r="S20" i="53"/>
  <c r="T20" i="53"/>
  <c r="S21" i="53"/>
  <c r="S22" i="53"/>
  <c r="S23" i="53"/>
  <c r="T23" i="53"/>
  <c r="S24" i="53"/>
  <c r="T24" i="53"/>
  <c r="S26" i="53"/>
  <c r="S27" i="53"/>
  <c r="T27" i="53"/>
  <c r="S28" i="53"/>
  <c r="T28" i="53"/>
  <c r="S29" i="53"/>
  <c r="S30" i="53"/>
  <c r="T30" i="53"/>
  <c r="S12" i="53"/>
  <c r="T12" i="53"/>
  <c r="S13" i="53"/>
  <c r="T13" i="53"/>
  <c r="S14" i="53"/>
  <c r="T14" i="53"/>
  <c r="S10" i="53"/>
  <c r="S11" i="53"/>
  <c r="T11" i="53"/>
  <c r="S9" i="53"/>
  <c r="T9" i="53"/>
  <c r="P99" i="50"/>
  <c r="F99" i="50"/>
  <c r="O108" i="61"/>
  <c r="V100" i="48"/>
  <c r="W100" i="48"/>
  <c r="X100" i="48"/>
  <c r="R103" i="51"/>
  <c r="S103" i="51"/>
  <c r="U103" i="51"/>
  <c r="R101" i="51"/>
  <c r="S101" i="51"/>
  <c r="U101" i="51"/>
  <c r="R102" i="51"/>
  <c r="S102" i="51"/>
  <c r="U102" i="51"/>
  <c r="P108" i="61"/>
  <c r="O107" i="61"/>
  <c r="P107" i="61"/>
  <c r="O106" i="61"/>
  <c r="P106" i="61"/>
  <c r="V32" i="83"/>
  <c r="V6" i="83"/>
  <c r="V7" i="83"/>
  <c r="V8" i="83"/>
  <c r="V9" i="83"/>
  <c r="V10" i="83"/>
  <c r="V11" i="83"/>
  <c r="V12" i="83"/>
  <c r="V13" i="83"/>
  <c r="V14" i="83"/>
  <c r="V15" i="83"/>
  <c r="V16" i="83"/>
  <c r="V17" i="83"/>
  <c r="V18" i="83"/>
  <c r="V19" i="83"/>
  <c r="V20" i="83"/>
  <c r="V21" i="83"/>
  <c r="V22" i="83"/>
  <c r="V23" i="83"/>
  <c r="V24" i="83"/>
  <c r="V25" i="83"/>
  <c r="V26" i="83"/>
  <c r="V27" i="83"/>
  <c r="V28" i="83"/>
  <c r="V29" i="83"/>
  <c r="V30" i="83"/>
  <c r="V31" i="83"/>
  <c r="AA5" i="83"/>
  <c r="W32" i="83"/>
  <c r="X32" i="83"/>
  <c r="V99" i="48"/>
  <c r="W99" i="48"/>
  <c r="X99" i="48"/>
  <c r="V98" i="48"/>
  <c r="W98" i="48"/>
  <c r="F98" i="50"/>
  <c r="Y99" i="50"/>
  <c r="Y100" i="50"/>
  <c r="Z100" i="50"/>
  <c r="AA100" i="50"/>
  <c r="Y101" i="50"/>
  <c r="Z101" i="50"/>
  <c r="AA101" i="50"/>
  <c r="Y102" i="50"/>
  <c r="Z102" i="50"/>
  <c r="Y103" i="50"/>
  <c r="Y104" i="50"/>
  <c r="Z104" i="50"/>
  <c r="AA104" i="50"/>
  <c r="Y105" i="50"/>
  <c r="Z105" i="50"/>
  <c r="AA105" i="50"/>
  <c r="Y106" i="50"/>
  <c r="Z106" i="50"/>
  <c r="AA106" i="50"/>
  <c r="Y107" i="50"/>
  <c r="Y108" i="50"/>
  <c r="Z108" i="50"/>
  <c r="AA108" i="50"/>
  <c r="Y109" i="50"/>
  <c r="Z109" i="50"/>
  <c r="AA109" i="50"/>
  <c r="Y110" i="50"/>
  <c r="Z110" i="50"/>
  <c r="AA110" i="50"/>
  <c r="Y111" i="50"/>
  <c r="Y112" i="50"/>
  <c r="Z112" i="50"/>
  <c r="AA112" i="50"/>
  <c r="Y113" i="50"/>
  <c r="Z113" i="50"/>
  <c r="AA113" i="50"/>
  <c r="Y114" i="50"/>
  <c r="Z114" i="50"/>
  <c r="AA114" i="50"/>
  <c r="Y115" i="50"/>
  <c r="Y116" i="50"/>
  <c r="Z116" i="50"/>
  <c r="AA116" i="50"/>
  <c r="Y117" i="50"/>
  <c r="Z117" i="50"/>
  <c r="AA117" i="50"/>
  <c r="Y118" i="50"/>
  <c r="Z118" i="50"/>
  <c r="Y119" i="50"/>
  <c r="Y124" i="50"/>
  <c r="Z124" i="50"/>
  <c r="AA124" i="50"/>
  <c r="Y125" i="50"/>
  <c r="Z125" i="50"/>
  <c r="Y128" i="50"/>
  <c r="Z128" i="50"/>
  <c r="AA128" i="50"/>
  <c r="Y129" i="50"/>
  <c r="Y130" i="50"/>
  <c r="Z130" i="50"/>
  <c r="AA130" i="50"/>
  <c r="Y131" i="50"/>
  <c r="Z131" i="50"/>
  <c r="AA131" i="50"/>
  <c r="Y132" i="50"/>
  <c r="Z132" i="50"/>
  <c r="AA132" i="50"/>
  <c r="Y133" i="50"/>
  <c r="Y134" i="50"/>
  <c r="Y135" i="50"/>
  <c r="Z135" i="50"/>
  <c r="AA135" i="50"/>
  <c r="Y136" i="50"/>
  <c r="Z136" i="50"/>
  <c r="AA136" i="50"/>
  <c r="Y137" i="50"/>
  <c r="Y138" i="50"/>
  <c r="Z138" i="50"/>
  <c r="AA138" i="50"/>
  <c r="Y139" i="50"/>
  <c r="Z139" i="50"/>
  <c r="AA139" i="50"/>
  <c r="Y140" i="50"/>
  <c r="Z140" i="50"/>
  <c r="Y141" i="50"/>
  <c r="Y142" i="50"/>
  <c r="Z142" i="50"/>
  <c r="AA142" i="50"/>
  <c r="Y143" i="50"/>
  <c r="Z143" i="50"/>
  <c r="AA143" i="50"/>
  <c r="Y145" i="50"/>
  <c r="Z145" i="50"/>
  <c r="Y146" i="50"/>
  <c r="Y147" i="50"/>
  <c r="Z147" i="50"/>
  <c r="AA147" i="50"/>
  <c r="Y148" i="50"/>
  <c r="Z148" i="50"/>
  <c r="Y149" i="50"/>
  <c r="Z149" i="50"/>
  <c r="AA149" i="50"/>
  <c r="Y150" i="50"/>
  <c r="Y151" i="50"/>
  <c r="Z151" i="50"/>
  <c r="AA151" i="50"/>
  <c r="Y152" i="50"/>
  <c r="Z152" i="50"/>
  <c r="AA152" i="50"/>
  <c r="Y153" i="50"/>
  <c r="Y154" i="50"/>
  <c r="Z154" i="50"/>
  <c r="AA154" i="50"/>
  <c r="Y155" i="50"/>
  <c r="Z155" i="50"/>
  <c r="Y156" i="50"/>
  <c r="Z156" i="50"/>
  <c r="Y98" i="50"/>
  <c r="Z98" i="50"/>
  <c r="N76" i="58"/>
  <c r="V97" i="48"/>
  <c r="W97" i="48"/>
  <c r="X97" i="48"/>
  <c r="W31" i="83"/>
  <c r="X88" i="57"/>
  <c r="Y88" i="57"/>
  <c r="W58" i="74"/>
  <c r="R96" i="51"/>
  <c r="S96" i="51"/>
  <c r="U96" i="51"/>
  <c r="O99" i="61"/>
  <c r="O100" i="61"/>
  <c r="O101" i="61"/>
  <c r="X58" i="74"/>
  <c r="Y58" i="74"/>
  <c r="O76" i="58"/>
  <c r="X31" i="83"/>
  <c r="P101" i="61"/>
  <c r="P100" i="61"/>
  <c r="P99" i="61"/>
  <c r="S94" i="61"/>
  <c r="T98" i="50"/>
  <c r="R98" i="50"/>
  <c r="F97" i="50"/>
  <c r="Y9" i="50"/>
  <c r="Z9" i="50"/>
  <c r="AA9" i="50"/>
  <c r="Y10" i="50"/>
  <c r="Z10" i="50"/>
  <c r="AA10" i="50"/>
  <c r="Y15" i="50"/>
  <c r="Z15" i="50"/>
  <c r="AA15" i="50"/>
  <c r="Y16" i="50"/>
  <c r="Z16" i="50"/>
  <c r="Y17" i="50"/>
  <c r="Z17" i="50"/>
  <c r="Y18" i="50"/>
  <c r="Z18" i="50"/>
  <c r="Y19" i="50"/>
  <c r="Z19" i="50"/>
  <c r="AA19" i="50"/>
  <c r="Y20" i="50"/>
  <c r="Z20" i="50"/>
  <c r="AA20" i="50"/>
  <c r="Y21" i="50"/>
  <c r="Z21" i="50"/>
  <c r="AA21" i="50"/>
  <c r="Y22" i="50"/>
  <c r="Z22" i="50"/>
  <c r="Y23" i="50"/>
  <c r="Z23" i="50"/>
  <c r="AA23" i="50"/>
  <c r="Y24" i="50"/>
  <c r="Z24" i="50"/>
  <c r="Y25" i="50"/>
  <c r="Y26" i="50"/>
  <c r="Z26" i="50"/>
  <c r="AA26" i="50"/>
  <c r="Y27" i="50"/>
  <c r="Y28" i="50"/>
  <c r="Z28" i="50"/>
  <c r="Y29" i="50"/>
  <c r="Z29" i="50"/>
  <c r="AA29" i="50"/>
  <c r="Y30" i="50"/>
  <c r="Z30" i="50"/>
  <c r="Y31" i="50"/>
  <c r="Y32" i="50"/>
  <c r="Z32" i="50"/>
  <c r="Y33" i="50"/>
  <c r="Z33" i="50"/>
  <c r="AA33" i="50"/>
  <c r="Y34" i="50"/>
  <c r="Z34" i="50"/>
  <c r="AA34" i="50"/>
  <c r="Y35" i="50"/>
  <c r="Z35" i="50"/>
  <c r="AA35" i="50"/>
  <c r="Y8" i="50"/>
  <c r="Z8" i="50"/>
  <c r="Z13" i="50"/>
  <c r="AA13" i="50"/>
  <c r="Z14" i="50"/>
  <c r="AA14" i="50"/>
  <c r="N72" i="58"/>
  <c r="N73" i="58"/>
  <c r="N74" i="58"/>
  <c r="N75" i="58"/>
  <c r="O75" i="58"/>
  <c r="V93" i="48"/>
  <c r="V94" i="48"/>
  <c r="W94" i="48"/>
  <c r="V95" i="48"/>
  <c r="W95" i="48"/>
  <c r="V96" i="48"/>
  <c r="W96" i="48"/>
  <c r="X84" i="57"/>
  <c r="X85" i="57"/>
  <c r="X86" i="57"/>
  <c r="Y86" i="57"/>
  <c r="X87" i="57"/>
  <c r="W28" i="83"/>
  <c r="W29" i="83"/>
  <c r="X29" i="83"/>
  <c r="W30" i="83"/>
  <c r="AC14" i="85"/>
  <c r="AD14" i="85"/>
  <c r="W53" i="74"/>
  <c r="X53" i="74"/>
  <c r="W54" i="74"/>
  <c r="X54" i="74"/>
  <c r="W55" i="74"/>
  <c r="X55" i="74"/>
  <c r="Y55" i="74"/>
  <c r="W56" i="74"/>
  <c r="X56" i="74"/>
  <c r="Y56" i="74"/>
  <c r="W57" i="74"/>
  <c r="X57" i="74"/>
  <c r="R17" i="50"/>
  <c r="T17" i="50"/>
  <c r="Y57" i="74"/>
  <c r="Y87" i="57"/>
  <c r="X28" i="83"/>
  <c r="O74" i="58"/>
  <c r="O72" i="58"/>
  <c r="O73" i="58"/>
  <c r="Y84" i="57"/>
  <c r="Y85" i="57"/>
  <c r="W27" i="83"/>
  <c r="X27" i="83"/>
  <c r="X30" i="83"/>
  <c r="Y53" i="74"/>
  <c r="Y54" i="74"/>
  <c r="P95" i="50"/>
  <c r="F95" i="50"/>
  <c r="F93" i="50"/>
  <c r="P92" i="50"/>
  <c r="F92" i="50"/>
  <c r="P91" i="50"/>
  <c r="F91" i="50"/>
  <c r="AC10" i="85"/>
  <c r="AD10" i="85"/>
  <c r="AC18" i="85"/>
  <c r="AD18" i="85"/>
  <c r="AC35" i="85"/>
  <c r="AD35" i="85"/>
  <c r="AC39" i="85"/>
  <c r="AC50" i="85"/>
  <c r="AD50" i="85"/>
  <c r="AC51" i="85"/>
  <c r="AC52" i="85"/>
  <c r="AC53" i="85"/>
  <c r="AD53" i="85"/>
  <c r="AA118" i="59"/>
  <c r="AB118" i="59"/>
  <c r="AH118" i="59"/>
  <c r="AI118" i="59"/>
  <c r="AA119" i="59"/>
  <c r="AB119" i="59"/>
  <c r="AH119" i="59"/>
  <c r="AI119" i="59"/>
  <c r="AJ119" i="59"/>
  <c r="AA120" i="59"/>
  <c r="AB120" i="59"/>
  <c r="AH120" i="59"/>
  <c r="AI120" i="59"/>
  <c r="AA121" i="59"/>
  <c r="AB121" i="59"/>
  <c r="AH121" i="59"/>
  <c r="AI121" i="59"/>
  <c r="AJ121" i="59"/>
  <c r="AA125" i="59"/>
  <c r="AB125" i="59"/>
  <c r="AA126" i="59"/>
  <c r="AB126" i="59"/>
  <c r="AI126" i="59"/>
  <c r="AJ126" i="59"/>
  <c r="AA127" i="59"/>
  <c r="AB127" i="59"/>
  <c r="AA128" i="59"/>
  <c r="AB128" i="59"/>
  <c r="AI128" i="59"/>
  <c r="AJ128" i="59"/>
  <c r="AA130" i="59"/>
  <c r="AB130" i="59"/>
  <c r="AA132" i="59"/>
  <c r="AB132" i="59"/>
  <c r="AA133" i="59"/>
  <c r="AB133" i="59"/>
  <c r="AA134" i="59"/>
  <c r="AB134" i="59"/>
  <c r="AA136" i="59"/>
  <c r="AB136" i="59"/>
  <c r="AA137" i="59"/>
  <c r="AB137" i="59"/>
  <c r="AA138" i="59"/>
  <c r="AB138" i="59"/>
  <c r="AA139" i="59"/>
  <c r="AB139" i="59"/>
  <c r="AA140" i="59"/>
  <c r="AB140" i="59"/>
  <c r="AA141" i="59"/>
  <c r="AB141" i="59"/>
  <c r="AA142" i="59"/>
  <c r="AB142" i="59"/>
  <c r="AA135" i="59"/>
  <c r="AB135" i="59"/>
  <c r="AA147" i="59"/>
  <c r="AB147" i="59"/>
  <c r="AA145" i="59"/>
  <c r="AB145" i="59"/>
  <c r="AA146" i="59"/>
  <c r="AB146" i="59"/>
  <c r="AA143" i="59"/>
  <c r="AB143" i="59"/>
  <c r="AA148" i="59"/>
  <c r="AB148" i="59"/>
  <c r="AA149" i="59"/>
  <c r="AB149" i="59"/>
  <c r="AA150" i="59"/>
  <c r="AB150" i="59"/>
  <c r="AI150" i="59"/>
  <c r="AA144" i="59"/>
  <c r="AB144" i="59"/>
  <c r="AA151" i="59"/>
  <c r="AB151" i="59"/>
  <c r="AA152" i="59"/>
  <c r="AB152" i="59"/>
  <c r="AA153" i="59"/>
  <c r="AB153" i="59"/>
  <c r="AA154" i="59"/>
  <c r="AB154" i="59"/>
  <c r="AA155" i="59"/>
  <c r="AB155" i="59"/>
  <c r="AA156" i="59"/>
  <c r="AB156" i="59"/>
  <c r="AA157" i="59"/>
  <c r="AB157" i="59"/>
  <c r="AA158" i="59"/>
  <c r="AB158" i="59"/>
  <c r="AA159" i="59"/>
  <c r="AB159" i="59"/>
  <c r="AA160" i="59"/>
  <c r="AB160" i="59"/>
  <c r="AA161" i="59"/>
  <c r="AB161" i="59"/>
  <c r="AA162" i="59"/>
  <c r="AB162" i="59"/>
  <c r="AA163" i="59"/>
  <c r="AB163" i="59"/>
  <c r="AA164" i="59"/>
  <c r="AB164" i="59"/>
  <c r="AA165" i="59"/>
  <c r="AB165" i="59"/>
  <c r="AI165" i="59"/>
  <c r="AA166" i="59"/>
  <c r="AB166" i="59"/>
  <c r="AA167" i="59"/>
  <c r="AB167" i="59"/>
  <c r="AA168" i="59"/>
  <c r="AB168" i="59"/>
  <c r="AA169" i="59"/>
  <c r="AB169" i="59"/>
  <c r="AA170" i="59"/>
  <c r="AB170" i="59"/>
  <c r="AA171" i="59"/>
  <c r="AB171" i="59"/>
  <c r="AA172" i="59"/>
  <c r="AB172" i="59"/>
  <c r="AA173" i="59"/>
  <c r="AB173" i="59"/>
  <c r="AA174" i="59"/>
  <c r="AB174" i="59"/>
  <c r="AA175" i="59"/>
  <c r="AB175" i="59"/>
  <c r="AA176" i="59"/>
  <c r="AB176" i="59"/>
  <c r="AA177" i="59"/>
  <c r="AB177" i="59"/>
  <c r="AA178" i="59"/>
  <c r="AB178" i="59"/>
  <c r="AA179" i="59"/>
  <c r="AB179" i="59"/>
  <c r="AA180" i="59"/>
  <c r="AB180" i="59"/>
  <c r="AA181" i="59"/>
  <c r="AB181" i="59"/>
  <c r="AI181" i="59"/>
  <c r="AA182" i="59"/>
  <c r="AB182" i="59"/>
  <c r="AA183" i="59"/>
  <c r="AB183" i="59"/>
  <c r="AA184" i="59"/>
  <c r="AB184" i="59"/>
  <c r="AA185" i="59"/>
  <c r="AB185" i="59"/>
  <c r="AA186" i="59"/>
  <c r="AB186" i="59"/>
  <c r="AA187" i="59"/>
  <c r="AB187" i="59"/>
  <c r="AI187" i="59"/>
  <c r="AJ187" i="59"/>
  <c r="AA188" i="59"/>
  <c r="AB188" i="59"/>
  <c r="AA189" i="59"/>
  <c r="AB189" i="59"/>
  <c r="AA190" i="59"/>
  <c r="AB190" i="59"/>
  <c r="AA191" i="59"/>
  <c r="AB191" i="59"/>
  <c r="AI191" i="59"/>
  <c r="AJ191" i="59"/>
  <c r="AA192" i="59"/>
  <c r="AB192" i="59"/>
  <c r="AA193" i="59"/>
  <c r="AB193" i="59"/>
  <c r="AA194" i="59"/>
  <c r="AB194" i="59"/>
  <c r="AA195" i="59"/>
  <c r="AB195" i="59"/>
  <c r="AA196" i="59"/>
  <c r="AB196" i="59"/>
  <c r="AI196" i="59"/>
  <c r="AA197" i="59"/>
  <c r="AB197" i="59"/>
  <c r="AA198" i="59"/>
  <c r="AB198" i="59"/>
  <c r="AA199" i="59"/>
  <c r="AB199" i="59"/>
  <c r="AI199" i="59"/>
  <c r="AJ199" i="59"/>
  <c r="AA200" i="59"/>
  <c r="AB200" i="59"/>
  <c r="AI200" i="59"/>
  <c r="AJ200" i="59"/>
  <c r="AA201" i="59"/>
  <c r="AB201" i="59"/>
  <c r="AA202" i="59"/>
  <c r="AB202" i="59"/>
  <c r="AA203" i="59"/>
  <c r="AB203" i="59"/>
  <c r="AA204" i="59"/>
  <c r="AB204" i="59"/>
  <c r="AI204" i="59"/>
  <c r="AJ204" i="59"/>
  <c r="AA205" i="59"/>
  <c r="AB205" i="59"/>
  <c r="AA206" i="59"/>
  <c r="AB206" i="59"/>
  <c r="AA207" i="59"/>
  <c r="AB207" i="59"/>
  <c r="AI207" i="59"/>
  <c r="AJ207" i="59"/>
  <c r="AA208" i="59"/>
  <c r="AB208" i="59"/>
  <c r="AI208" i="59"/>
  <c r="AJ208" i="59"/>
  <c r="AA209" i="59"/>
  <c r="AB209" i="59"/>
  <c r="AA210" i="59"/>
  <c r="AB210" i="59"/>
  <c r="AA211" i="59"/>
  <c r="AB211" i="59"/>
  <c r="AI211" i="59"/>
  <c r="AJ211" i="59"/>
  <c r="AA212" i="59"/>
  <c r="AB212" i="59"/>
  <c r="AI212" i="59"/>
  <c r="AJ212" i="59"/>
  <c r="AA213" i="59"/>
  <c r="AB213" i="59"/>
  <c r="AA214" i="59"/>
  <c r="AB214" i="59"/>
  <c r="AA215" i="59"/>
  <c r="AB215" i="59"/>
  <c r="AA216" i="59"/>
  <c r="AB216" i="59"/>
  <c r="AA217" i="59"/>
  <c r="AB217" i="59"/>
  <c r="AA218" i="59"/>
  <c r="AB218" i="59"/>
  <c r="AA219" i="59"/>
  <c r="AB219" i="59"/>
  <c r="AI219" i="59"/>
  <c r="AJ219" i="59"/>
  <c r="AA220" i="59"/>
  <c r="AB220" i="59"/>
  <c r="AA221" i="59"/>
  <c r="AB221" i="59"/>
  <c r="AA222" i="59"/>
  <c r="AB222" i="59"/>
  <c r="AA223" i="59"/>
  <c r="AB223" i="59"/>
  <c r="AA224" i="59"/>
  <c r="AB224" i="59"/>
  <c r="AA225" i="59"/>
  <c r="AB225" i="59"/>
  <c r="S223" i="53"/>
  <c r="T223" i="53"/>
  <c r="S260" i="53"/>
  <c r="U64" i="49"/>
  <c r="V64" i="49"/>
  <c r="W64" i="49"/>
  <c r="U63" i="49"/>
  <c r="V63" i="49"/>
  <c r="U62" i="49"/>
  <c r="V62" i="49"/>
  <c r="W62" i="49"/>
  <c r="U60" i="49"/>
  <c r="V60" i="49"/>
  <c r="W60" i="49"/>
  <c r="U61" i="49"/>
  <c r="U59" i="49"/>
  <c r="V59" i="49"/>
  <c r="U57" i="49"/>
  <c r="V57" i="49"/>
  <c r="W57" i="49"/>
  <c r="U58" i="49"/>
  <c r="V58" i="49"/>
  <c r="W58" i="49"/>
  <c r="U69" i="49"/>
  <c r="V69" i="49"/>
  <c r="W69" i="49"/>
  <c r="U70" i="49"/>
  <c r="V70" i="49"/>
  <c r="U71" i="49"/>
  <c r="V71" i="49"/>
  <c r="W71" i="49"/>
  <c r="U72" i="49"/>
  <c r="V72" i="49"/>
  <c r="W72" i="49"/>
  <c r="U73" i="49"/>
  <c r="V73" i="49"/>
  <c r="U74" i="49"/>
  <c r="U75" i="49"/>
  <c r="V75" i="49"/>
  <c r="U76" i="49"/>
  <c r="V76" i="49"/>
  <c r="U77" i="49"/>
  <c r="U78" i="49"/>
  <c r="V78" i="49"/>
  <c r="W78" i="49"/>
  <c r="U79" i="49"/>
  <c r="V79" i="49"/>
  <c r="W79" i="49"/>
  <c r="U80" i="49"/>
  <c r="U81" i="49"/>
  <c r="V81" i="49"/>
  <c r="W81" i="49"/>
  <c r="U82" i="49"/>
  <c r="V82" i="49"/>
  <c r="Z12" i="50"/>
  <c r="AA12" i="50"/>
  <c r="Z11" i="50"/>
  <c r="AA11" i="50"/>
  <c r="W52" i="74"/>
  <c r="X52" i="74"/>
  <c r="W26" i="83"/>
  <c r="X26" i="83"/>
  <c r="X83" i="57"/>
  <c r="V92" i="48"/>
  <c r="W92" i="48"/>
  <c r="N71" i="58"/>
  <c r="R91" i="51"/>
  <c r="S91" i="51"/>
  <c r="U91" i="51"/>
  <c r="W91" i="51"/>
  <c r="X91" i="51"/>
  <c r="Y52" i="74"/>
  <c r="Y83" i="57"/>
  <c r="O71" i="58"/>
  <c r="AH108" i="59"/>
  <c r="AI108" i="59"/>
  <c r="AJ108" i="59"/>
  <c r="AH109" i="59"/>
  <c r="AI109" i="59"/>
  <c r="AH111" i="59"/>
  <c r="AI111" i="59"/>
  <c r="AJ111" i="59"/>
  <c r="AH112" i="59"/>
  <c r="AI112" i="59"/>
  <c r="AH113" i="59"/>
  <c r="AI113" i="59"/>
  <c r="AJ113" i="59"/>
  <c r="AH114" i="59"/>
  <c r="AI114" i="59"/>
  <c r="AH115" i="59"/>
  <c r="AI115" i="59"/>
  <c r="AH116" i="59"/>
  <c r="AI116" i="59"/>
  <c r="AH117" i="59"/>
  <c r="AI117" i="59"/>
  <c r="AJ117" i="59"/>
  <c r="W25" i="83"/>
  <c r="X25" i="83"/>
  <c r="X82" i="57"/>
  <c r="Y82" i="57"/>
  <c r="V91" i="48"/>
  <c r="W91" i="48"/>
  <c r="X91" i="48"/>
  <c r="N70" i="58"/>
  <c r="O70" i="58"/>
  <c r="R90" i="51"/>
  <c r="S90" i="51"/>
  <c r="U90" i="51"/>
  <c r="W90" i="51"/>
  <c r="X90" i="51"/>
  <c r="AQ78" i="52"/>
  <c r="AR78" i="52"/>
  <c r="AS78" i="52"/>
  <c r="AS77" i="52"/>
  <c r="AQ76" i="52"/>
  <c r="AR76" i="52"/>
  <c r="AT78" i="52"/>
  <c r="AT77" i="52"/>
  <c r="AS76" i="52"/>
  <c r="AT76" i="52"/>
  <c r="AQ82" i="52"/>
  <c r="AR82" i="52"/>
  <c r="O90" i="61"/>
  <c r="O91" i="61"/>
  <c r="P91" i="61"/>
  <c r="V61" i="49"/>
  <c r="W61" i="49"/>
  <c r="U66" i="49"/>
  <c r="V66" i="49"/>
  <c r="W66" i="49"/>
  <c r="U67" i="49"/>
  <c r="V67" i="49"/>
  <c r="U17" i="49"/>
  <c r="V17" i="49"/>
  <c r="W17" i="49"/>
  <c r="U22" i="49"/>
  <c r="V22" i="49"/>
  <c r="U21" i="49"/>
  <c r="V21" i="49"/>
  <c r="W21" i="49"/>
  <c r="U20" i="49"/>
  <c r="V20" i="49"/>
  <c r="U19" i="49"/>
  <c r="U18" i="49"/>
  <c r="V18" i="49"/>
  <c r="U16" i="49"/>
  <c r="V16" i="49"/>
  <c r="W16" i="49"/>
  <c r="U15" i="49"/>
  <c r="V15" i="49"/>
  <c r="U11" i="49"/>
  <c r="V11" i="49"/>
  <c r="U14" i="49"/>
  <c r="V14" i="49"/>
  <c r="W14" i="49"/>
  <c r="U13" i="49"/>
  <c r="V13" i="49"/>
  <c r="W13" i="49"/>
  <c r="U12" i="49"/>
  <c r="V12" i="49"/>
  <c r="U10" i="49"/>
  <c r="V10" i="49"/>
  <c r="W10" i="49"/>
  <c r="U8" i="49"/>
  <c r="V8" i="49"/>
  <c r="W8" i="49"/>
  <c r="U9" i="49"/>
  <c r="V9" i="49"/>
  <c r="U7" i="49"/>
  <c r="V7" i="49"/>
  <c r="U6" i="49"/>
  <c r="U56" i="49"/>
  <c r="V56" i="49"/>
  <c r="U30" i="49"/>
  <c r="V30" i="49"/>
  <c r="U51" i="49"/>
  <c r="V51" i="49"/>
  <c r="R6" i="49"/>
  <c r="W51" i="74"/>
  <c r="W24" i="83"/>
  <c r="X81" i="57"/>
  <c r="V90" i="48"/>
  <c r="W90" i="48"/>
  <c r="N69" i="58"/>
  <c r="R89" i="51"/>
  <c r="S89" i="51"/>
  <c r="U89" i="51"/>
  <c r="X51" i="74"/>
  <c r="Y51" i="74"/>
  <c r="O69" i="58"/>
  <c r="P90" i="61"/>
  <c r="V19" i="49"/>
  <c r="W19" i="49"/>
  <c r="X24" i="83"/>
  <c r="Y81" i="57"/>
  <c r="R88" i="51"/>
  <c r="S88" i="51"/>
  <c r="U88" i="51"/>
  <c r="W88" i="51"/>
  <c r="X88" i="51"/>
  <c r="O92" i="61"/>
  <c r="P92" i="61"/>
  <c r="V88" i="48"/>
  <c r="W88" i="48"/>
  <c r="AH99" i="59"/>
  <c r="AI99" i="59"/>
  <c r="AJ99" i="59"/>
  <c r="Y85" i="50"/>
  <c r="Z85" i="50"/>
  <c r="AA85" i="50"/>
  <c r="J29" i="19"/>
  <c r="K29" i="19"/>
  <c r="AB41" i="54"/>
  <c r="AC41" i="54"/>
  <c r="AB42" i="54"/>
  <c r="AC42" i="54"/>
  <c r="AD41" i="54"/>
  <c r="V38" i="48"/>
  <c r="W38" i="48"/>
  <c r="X38" i="48"/>
  <c r="V39" i="48"/>
  <c r="W39" i="48"/>
  <c r="X39" i="48"/>
  <c r="V40" i="48"/>
  <c r="W40" i="48"/>
  <c r="V41" i="48"/>
  <c r="W41" i="48"/>
  <c r="V42" i="48"/>
  <c r="W42" i="48"/>
  <c r="X42" i="48"/>
  <c r="V43" i="48"/>
  <c r="W43" i="48"/>
  <c r="X43" i="48"/>
  <c r="V44" i="48"/>
  <c r="W44" i="48"/>
  <c r="V45" i="48"/>
  <c r="W45" i="48"/>
  <c r="X45" i="48"/>
  <c r="V46" i="48"/>
  <c r="V47" i="48"/>
  <c r="W47" i="48"/>
  <c r="X47" i="48"/>
  <c r="V48" i="48"/>
  <c r="W48" i="48"/>
  <c r="V49" i="48"/>
  <c r="W49" i="48"/>
  <c r="X49" i="48"/>
  <c r="V50" i="48"/>
  <c r="V51" i="48"/>
  <c r="W51" i="48"/>
  <c r="X51" i="48"/>
  <c r="V52" i="48"/>
  <c r="W52" i="48"/>
  <c r="X52" i="48"/>
  <c r="V53" i="48"/>
  <c r="W53" i="48"/>
  <c r="V54" i="48"/>
  <c r="W54" i="48"/>
  <c r="X54" i="48"/>
  <c r="V55" i="48"/>
  <c r="W55" i="48"/>
  <c r="X55" i="48"/>
  <c r="V56" i="48"/>
  <c r="V57" i="48"/>
  <c r="V58" i="48"/>
  <c r="W58" i="48"/>
  <c r="X58" i="48"/>
  <c r="V59" i="48"/>
  <c r="W59" i="48"/>
  <c r="X59" i="48"/>
  <c r="V60" i="48"/>
  <c r="W60" i="48"/>
  <c r="X60" i="48"/>
  <c r="V61" i="48"/>
  <c r="W61" i="48"/>
  <c r="X61" i="48"/>
  <c r="V62" i="48"/>
  <c r="W62" i="48"/>
  <c r="V63" i="48"/>
  <c r="W63" i="48"/>
  <c r="AQ80" i="52"/>
  <c r="AR80" i="52"/>
  <c r="AQ79" i="52"/>
  <c r="AR79" i="52"/>
  <c r="W19" i="83"/>
  <c r="X19" i="83"/>
  <c r="W20" i="83"/>
  <c r="W21" i="83"/>
  <c r="X77" i="57"/>
  <c r="X78" i="57"/>
  <c r="X79" i="57"/>
  <c r="Y79" i="57"/>
  <c r="X80" i="57"/>
  <c r="Y80" i="57"/>
  <c r="V89" i="48"/>
  <c r="W89" i="48"/>
  <c r="V85" i="48"/>
  <c r="W85" i="48"/>
  <c r="V86" i="48"/>
  <c r="W86" i="48"/>
  <c r="X86" i="48"/>
  <c r="V87" i="48"/>
  <c r="W87" i="48"/>
  <c r="X87" i="48"/>
  <c r="N66" i="58"/>
  <c r="O66" i="58"/>
  <c r="W86" i="51"/>
  <c r="W87" i="51"/>
  <c r="X87" i="51"/>
  <c r="W92" i="51"/>
  <c r="W93" i="51"/>
  <c r="X93" i="51"/>
  <c r="W94" i="51"/>
  <c r="X94" i="51"/>
  <c r="W84" i="51"/>
  <c r="R84" i="51"/>
  <c r="U84" i="51"/>
  <c r="S84" i="51"/>
  <c r="X21" i="83"/>
  <c r="X20" i="83"/>
  <c r="Y77" i="57"/>
  <c r="Y78" i="57"/>
  <c r="R83" i="51"/>
  <c r="S83" i="51"/>
  <c r="U83" i="51"/>
  <c r="W83" i="51"/>
  <c r="X83" i="51"/>
  <c r="V84" i="48"/>
  <c r="W84" i="48"/>
  <c r="X76" i="57"/>
  <c r="Y76" i="57"/>
  <c r="P84" i="50"/>
  <c r="P83" i="50"/>
  <c r="G83" i="50"/>
  <c r="F83" i="50"/>
  <c r="V83" i="48"/>
  <c r="W83" i="48"/>
  <c r="X83" i="48"/>
  <c r="X74" i="57"/>
  <c r="Y74" i="57"/>
  <c r="X75" i="57"/>
  <c r="Y75" i="57"/>
  <c r="X72" i="57"/>
  <c r="Y72" i="57"/>
  <c r="X73" i="57"/>
  <c r="V81" i="48"/>
  <c r="W81" i="48"/>
  <c r="V82" i="48"/>
  <c r="W82" i="48"/>
  <c r="Y73" i="57"/>
  <c r="N64" i="58"/>
  <c r="N65" i="58"/>
  <c r="N67" i="58"/>
  <c r="N68" i="58"/>
  <c r="W82" i="51"/>
  <c r="X82" i="51"/>
  <c r="U82" i="51"/>
  <c r="S82" i="51"/>
  <c r="R82" i="51"/>
  <c r="W81" i="51"/>
  <c r="X81" i="51"/>
  <c r="U81" i="51"/>
  <c r="S81" i="51"/>
  <c r="R81" i="51"/>
  <c r="W80" i="51"/>
  <c r="X80" i="51"/>
  <c r="U80" i="51"/>
  <c r="S80" i="51"/>
  <c r="R80" i="51"/>
  <c r="W79" i="51"/>
  <c r="U79" i="51"/>
  <c r="S79" i="51"/>
  <c r="R79" i="51"/>
  <c r="O67" i="58"/>
  <c r="O68" i="58"/>
  <c r="O64" i="58"/>
  <c r="O65" i="58"/>
  <c r="F82" i="50"/>
  <c r="G46" i="49"/>
  <c r="C46" i="49"/>
  <c r="R8" i="50"/>
  <c r="T8" i="50"/>
  <c r="R9" i="50"/>
  <c r="T9" i="50"/>
  <c r="R15" i="50"/>
  <c r="T15" i="50"/>
  <c r="R18" i="50"/>
  <c r="T18" i="50"/>
  <c r="R19" i="50"/>
  <c r="T19" i="50"/>
  <c r="R20" i="50"/>
  <c r="T20" i="50"/>
  <c r="R21" i="50"/>
  <c r="T21" i="50"/>
  <c r="R22" i="50"/>
  <c r="T22" i="50"/>
  <c r="R23" i="50"/>
  <c r="T23" i="50"/>
  <c r="R24" i="50"/>
  <c r="T24" i="50"/>
  <c r="R25" i="50"/>
  <c r="T25" i="50"/>
  <c r="Z25" i="50"/>
  <c r="AA25" i="50"/>
  <c r="R26" i="50"/>
  <c r="T26" i="50"/>
  <c r="R27" i="50"/>
  <c r="T27" i="50"/>
  <c r="R28" i="50"/>
  <c r="T28" i="50"/>
  <c r="R29" i="50"/>
  <c r="R30" i="50"/>
  <c r="T30" i="50"/>
  <c r="R31" i="50"/>
  <c r="T31" i="50"/>
  <c r="R32" i="50"/>
  <c r="T32" i="50"/>
  <c r="R33" i="50"/>
  <c r="T33" i="50"/>
  <c r="R34" i="50"/>
  <c r="T34" i="50"/>
  <c r="R35" i="50"/>
  <c r="T35" i="50"/>
  <c r="AA81" i="59"/>
  <c r="AB81" i="59"/>
  <c r="AH81" i="59"/>
  <c r="AI81" i="59"/>
  <c r="AA77" i="59"/>
  <c r="AB77" i="59"/>
  <c r="AH77" i="59"/>
  <c r="AI77" i="59"/>
  <c r="AA78" i="59"/>
  <c r="AB78" i="59"/>
  <c r="AH78" i="59"/>
  <c r="AI78" i="59"/>
  <c r="U75" i="52"/>
  <c r="W6" i="83"/>
  <c r="X6" i="83"/>
  <c r="W7" i="83"/>
  <c r="W9" i="83"/>
  <c r="X9" i="83"/>
  <c r="W10" i="83"/>
  <c r="X10" i="83"/>
  <c r="W11" i="83"/>
  <c r="W12" i="83"/>
  <c r="W13" i="83"/>
  <c r="X13" i="83"/>
  <c r="W14" i="83"/>
  <c r="X14" i="83"/>
  <c r="W17" i="83"/>
  <c r="X17" i="83"/>
  <c r="W18" i="83"/>
  <c r="X18" i="83"/>
  <c r="W22" i="83"/>
  <c r="X22" i="83"/>
  <c r="W23" i="83"/>
  <c r="W15" i="83"/>
  <c r="W8" i="83"/>
  <c r="X8" i="83"/>
  <c r="W16" i="83"/>
  <c r="X16" i="83"/>
  <c r="X12" i="83"/>
  <c r="X7" i="83"/>
  <c r="X11" i="83"/>
  <c r="X15" i="83"/>
  <c r="X23" i="83"/>
  <c r="X69" i="57"/>
  <c r="Y69" i="57"/>
  <c r="X70" i="57"/>
  <c r="V80" i="48"/>
  <c r="W80" i="48"/>
  <c r="N61" i="58"/>
  <c r="N62" i="58"/>
  <c r="N63" i="58"/>
  <c r="O63" i="58"/>
  <c r="V78" i="48"/>
  <c r="W78" i="48"/>
  <c r="X78" i="48"/>
  <c r="V79" i="48"/>
  <c r="W79" i="48"/>
  <c r="X79" i="48"/>
  <c r="R77" i="51"/>
  <c r="S77" i="51"/>
  <c r="U77" i="51"/>
  <c r="W77" i="51"/>
  <c r="X77" i="51"/>
  <c r="R78" i="51"/>
  <c r="S78" i="51"/>
  <c r="U78" i="51"/>
  <c r="J10" i="19"/>
  <c r="K10" i="19"/>
  <c r="X71" i="57"/>
  <c r="Y71" i="57"/>
  <c r="Y70" i="57"/>
  <c r="O61" i="58"/>
  <c r="O62" i="58"/>
  <c r="U68" i="52"/>
  <c r="U69" i="52"/>
  <c r="C67" i="52"/>
  <c r="C68" i="52"/>
  <c r="C69" i="52"/>
  <c r="C70" i="52"/>
  <c r="C71" i="52"/>
  <c r="U70" i="52"/>
  <c r="W37" i="74"/>
  <c r="X37" i="74"/>
  <c r="Y37" i="74"/>
  <c r="U53" i="49"/>
  <c r="V53" i="49"/>
  <c r="U54" i="49"/>
  <c r="V54" i="49"/>
  <c r="U55" i="49"/>
  <c r="V55" i="49"/>
  <c r="W55" i="49"/>
  <c r="U44" i="49"/>
  <c r="V44" i="49"/>
  <c r="W44" i="49"/>
  <c r="U45" i="49"/>
  <c r="V45" i="49"/>
  <c r="W45" i="49"/>
  <c r="U46" i="49"/>
  <c r="U47" i="49"/>
  <c r="V47" i="49"/>
  <c r="U48" i="49"/>
  <c r="V48" i="49"/>
  <c r="W48" i="49"/>
  <c r="U49" i="49"/>
  <c r="V49" i="49"/>
  <c r="U50" i="49"/>
  <c r="O79" i="61"/>
  <c r="P79" i="61"/>
  <c r="O80" i="61"/>
  <c r="O81" i="61"/>
  <c r="P81" i="61"/>
  <c r="N60" i="58"/>
  <c r="O60" i="58"/>
  <c r="V77" i="48"/>
  <c r="W77" i="48"/>
  <c r="X77" i="48"/>
  <c r="X68" i="57"/>
  <c r="Y68" i="57"/>
  <c r="R75" i="51"/>
  <c r="S75" i="51"/>
  <c r="U75" i="51"/>
  <c r="W75" i="51"/>
  <c r="R76" i="51"/>
  <c r="S76" i="51"/>
  <c r="U76" i="51"/>
  <c r="X75" i="51"/>
  <c r="P80" i="61"/>
  <c r="N59" i="58"/>
  <c r="V76" i="48"/>
  <c r="W76" i="48"/>
  <c r="X76" i="48"/>
  <c r="X67" i="57"/>
  <c r="Y67" i="57"/>
  <c r="N58" i="58"/>
  <c r="V75" i="48"/>
  <c r="W75" i="48"/>
  <c r="X66" i="57"/>
  <c r="R74" i="51"/>
  <c r="S74" i="51"/>
  <c r="U74" i="51"/>
  <c r="Y66" i="57"/>
  <c r="O59" i="58"/>
  <c r="O58" i="58"/>
  <c r="W74" i="51"/>
  <c r="X74" i="51"/>
  <c r="Y36" i="50"/>
  <c r="Z36" i="50"/>
  <c r="AA36" i="50"/>
  <c r="Y37" i="50"/>
  <c r="Z37" i="50"/>
  <c r="AA37" i="50"/>
  <c r="Y38" i="50"/>
  <c r="Z38" i="50"/>
  <c r="Y39" i="50"/>
  <c r="Z39" i="50"/>
  <c r="AA39" i="50"/>
  <c r="Y40" i="50"/>
  <c r="Y41" i="50"/>
  <c r="Y42" i="50"/>
  <c r="Z42" i="50"/>
  <c r="Y43" i="50"/>
  <c r="Z43" i="50"/>
  <c r="AA43" i="50"/>
  <c r="Y44" i="50"/>
  <c r="Z44" i="50"/>
  <c r="AA44" i="50"/>
  <c r="Y45" i="50"/>
  <c r="Z45" i="50"/>
  <c r="AA45" i="50"/>
  <c r="Y46" i="50"/>
  <c r="Z46" i="50"/>
  <c r="Y47" i="50"/>
  <c r="Z47" i="50"/>
  <c r="AA47" i="50"/>
  <c r="Y48" i="50"/>
  <c r="Z48" i="50"/>
  <c r="AA48" i="50"/>
  <c r="Y49" i="50"/>
  <c r="Z49" i="50"/>
  <c r="AA49" i="50"/>
  <c r="Y50" i="50"/>
  <c r="Z50" i="50"/>
  <c r="Y51" i="50"/>
  <c r="Z51" i="50"/>
  <c r="AA51" i="50"/>
  <c r="Y52" i="50"/>
  <c r="Z52" i="50"/>
  <c r="AA52" i="50"/>
  <c r="Y53" i="50"/>
  <c r="Y54" i="50"/>
  <c r="Z54" i="50"/>
  <c r="Y55" i="50"/>
  <c r="Z55" i="50"/>
  <c r="AA55" i="50"/>
  <c r="Y56" i="50"/>
  <c r="Z56" i="50"/>
  <c r="AA56" i="50"/>
  <c r="Y57" i="50"/>
  <c r="Y58" i="50"/>
  <c r="Z58" i="50"/>
  <c r="Y59" i="50"/>
  <c r="Z59" i="50"/>
  <c r="AA59" i="50"/>
  <c r="Y60" i="50"/>
  <c r="Z60" i="50"/>
  <c r="AA60" i="50"/>
  <c r="Y61" i="50"/>
  <c r="Y62" i="50"/>
  <c r="Y65" i="50"/>
  <c r="Z65" i="50"/>
  <c r="AA65" i="50"/>
  <c r="Y70" i="50"/>
  <c r="Z70" i="50"/>
  <c r="AA70" i="50"/>
  <c r="Y72" i="50"/>
  <c r="Z72" i="50"/>
  <c r="AA72" i="50"/>
  <c r="Y73" i="50"/>
  <c r="Z73" i="50"/>
  <c r="Y74" i="50"/>
  <c r="Z74" i="50"/>
  <c r="AA74" i="50"/>
  <c r="Y75" i="50"/>
  <c r="Z75" i="50"/>
  <c r="AA75" i="50"/>
  <c r="Y76" i="50"/>
  <c r="Z76" i="50"/>
  <c r="AA76" i="50"/>
  <c r="Y77" i="50"/>
  <c r="Z77" i="50"/>
  <c r="Y78" i="50"/>
  <c r="Z78" i="50"/>
  <c r="AA78" i="50"/>
  <c r="Y79" i="50"/>
  <c r="Z79" i="50"/>
  <c r="AA79" i="50"/>
  <c r="Y80" i="50"/>
  <c r="Z80" i="50"/>
  <c r="AA80" i="50"/>
  <c r="Y81" i="50"/>
  <c r="Z81" i="50"/>
  <c r="Y82" i="50"/>
  <c r="Z82" i="50"/>
  <c r="AA82" i="50"/>
  <c r="Y83" i="50"/>
  <c r="Z83" i="50"/>
  <c r="AA83" i="50"/>
  <c r="Y84" i="50"/>
  <c r="Y86" i="50"/>
  <c r="Z86" i="50"/>
  <c r="Y87" i="50"/>
  <c r="Z87" i="50"/>
  <c r="AA87" i="50"/>
  <c r="Y88" i="50"/>
  <c r="Z88" i="50"/>
  <c r="AA88" i="50"/>
  <c r="Y89" i="50"/>
  <c r="Z89" i="50"/>
  <c r="Y90" i="50"/>
  <c r="Z90" i="50"/>
  <c r="AA90" i="50"/>
  <c r="Y91" i="50"/>
  <c r="Z91" i="50"/>
  <c r="AA91" i="50"/>
  <c r="Y92" i="50"/>
  <c r="Z92" i="50"/>
  <c r="Y93" i="50"/>
  <c r="Z93" i="50"/>
  <c r="AA93" i="50"/>
  <c r="Y94" i="50"/>
  <c r="Z94" i="50"/>
  <c r="AA94" i="50"/>
  <c r="Y95" i="50"/>
  <c r="Z95" i="50"/>
  <c r="AA95" i="50"/>
  <c r="Y97" i="50"/>
  <c r="Z97" i="50"/>
  <c r="AA97" i="50"/>
  <c r="R70" i="50"/>
  <c r="N57" i="58"/>
  <c r="V74" i="48"/>
  <c r="W74" i="48"/>
  <c r="X74" i="48"/>
  <c r="X65" i="57"/>
  <c r="Y65" i="57"/>
  <c r="O78" i="61"/>
  <c r="O76" i="61"/>
  <c r="P76" i="61"/>
  <c r="O77" i="61"/>
  <c r="O57" i="58"/>
  <c r="P78" i="61"/>
  <c r="P77" i="61"/>
  <c r="P71" i="50"/>
  <c r="F71" i="50"/>
  <c r="Y71" i="50"/>
  <c r="Z71" i="50"/>
  <c r="AA71" i="50"/>
  <c r="N53" i="58"/>
  <c r="O53" i="58"/>
  <c r="N54" i="58"/>
  <c r="N55" i="58"/>
  <c r="N56" i="58"/>
  <c r="V70" i="48"/>
  <c r="W70" i="48"/>
  <c r="X70" i="48"/>
  <c r="V71" i="48"/>
  <c r="W71" i="48"/>
  <c r="X71" i="48"/>
  <c r="V72" i="48"/>
  <c r="W72" i="48"/>
  <c r="X72" i="48"/>
  <c r="V73" i="48"/>
  <c r="W73" i="48"/>
  <c r="X61" i="57"/>
  <c r="X62" i="57"/>
  <c r="X63" i="57"/>
  <c r="X64" i="57"/>
  <c r="O73" i="61"/>
  <c r="P73" i="61"/>
  <c r="O74" i="61"/>
  <c r="O75" i="61"/>
  <c r="AQ65" i="52"/>
  <c r="AR65" i="52"/>
  <c r="AS65" i="52"/>
  <c r="AQ66" i="52"/>
  <c r="AR66" i="52"/>
  <c r="AS66" i="52"/>
  <c r="AQ64" i="52"/>
  <c r="AR64" i="52"/>
  <c r="AS64" i="52"/>
  <c r="Y61" i="57"/>
  <c r="Y64" i="57"/>
  <c r="O56" i="58"/>
  <c r="Y63" i="57"/>
  <c r="O55" i="58"/>
  <c r="Y62" i="57"/>
  <c r="O54" i="58"/>
  <c r="P75" i="61"/>
  <c r="P74" i="61"/>
  <c r="AT66" i="52"/>
  <c r="AT65" i="52"/>
  <c r="AT64" i="52"/>
  <c r="AH53" i="59"/>
  <c r="AI53" i="59"/>
  <c r="AJ53" i="59"/>
  <c r="AH46" i="59"/>
  <c r="AI46" i="59"/>
  <c r="AJ46" i="59"/>
  <c r="AH39" i="59"/>
  <c r="AI39" i="59"/>
  <c r="AJ39" i="59"/>
  <c r="AH38" i="59"/>
  <c r="AI38" i="59"/>
  <c r="AH37" i="59"/>
  <c r="AH36" i="59"/>
  <c r="AH35" i="59"/>
  <c r="AI35" i="59"/>
  <c r="AJ35" i="59"/>
  <c r="AH34" i="59"/>
  <c r="AH33" i="59"/>
  <c r="AI33" i="59"/>
  <c r="AJ33" i="59"/>
  <c r="AH32" i="59"/>
  <c r="AI32" i="59"/>
  <c r="AJ32" i="59"/>
  <c r="AH31" i="59"/>
  <c r="AI31" i="59"/>
  <c r="AH30" i="59"/>
  <c r="AI30" i="59"/>
  <c r="AH29" i="59"/>
  <c r="AI29" i="59"/>
  <c r="AJ29" i="59"/>
  <c r="AH28" i="59"/>
  <c r="AI28" i="59"/>
  <c r="AJ28" i="59"/>
  <c r="AH27" i="59"/>
  <c r="AI27" i="59"/>
  <c r="AH26" i="59"/>
  <c r="AI26" i="59"/>
  <c r="AJ26" i="59"/>
  <c r="AH25" i="59"/>
  <c r="AI25" i="59"/>
  <c r="AJ25" i="59"/>
  <c r="AH24" i="59"/>
  <c r="AI24" i="59"/>
  <c r="AJ24" i="59"/>
  <c r="AH23" i="59"/>
  <c r="AI23" i="59"/>
  <c r="AJ23" i="59"/>
  <c r="AH22" i="59"/>
  <c r="AI22" i="59"/>
  <c r="AH21" i="59"/>
  <c r="AI21" i="59"/>
  <c r="AJ21" i="59"/>
  <c r="AH20" i="59"/>
  <c r="AI20" i="59"/>
  <c r="AJ20" i="59"/>
  <c r="AH19" i="59"/>
  <c r="AI19" i="59"/>
  <c r="AJ19" i="59"/>
  <c r="AH18" i="59"/>
  <c r="AH17" i="59"/>
  <c r="AI17" i="59"/>
  <c r="AJ17" i="59"/>
  <c r="AH16" i="59"/>
  <c r="AI16" i="59"/>
  <c r="AJ16" i="59"/>
  <c r="AH15" i="59"/>
  <c r="AH14" i="59"/>
  <c r="AI14" i="59"/>
  <c r="AJ14" i="59"/>
  <c r="AH13" i="59"/>
  <c r="AI13" i="59"/>
  <c r="AJ13" i="59"/>
  <c r="AH12" i="59"/>
  <c r="AI12" i="59"/>
  <c r="AJ12" i="59"/>
  <c r="AH11" i="59"/>
  <c r="AH10" i="59"/>
  <c r="AI10" i="59"/>
  <c r="AJ10" i="59"/>
  <c r="AH9" i="59"/>
  <c r="AI9" i="59"/>
  <c r="AJ9" i="59"/>
  <c r="AH8" i="59"/>
  <c r="AI8" i="59"/>
  <c r="AJ8" i="59"/>
  <c r="AH7" i="59"/>
  <c r="AI7" i="59"/>
  <c r="AJ7" i="59"/>
  <c r="AH6" i="59"/>
  <c r="AH66" i="59"/>
  <c r="AH67" i="59"/>
  <c r="AI67" i="59"/>
  <c r="AJ67" i="59"/>
  <c r="AH68" i="59"/>
  <c r="AI68" i="59"/>
  <c r="AJ68" i="59"/>
  <c r="AH69" i="59"/>
  <c r="AI69" i="59"/>
  <c r="AJ69" i="59"/>
  <c r="AH70" i="59"/>
  <c r="AH71" i="59"/>
  <c r="AI71" i="59"/>
  <c r="AJ71" i="59"/>
  <c r="AH72" i="59"/>
  <c r="AI72" i="59"/>
  <c r="AJ72" i="59"/>
  <c r="AH73" i="59"/>
  <c r="AI73" i="59"/>
  <c r="AJ73" i="59"/>
  <c r="AH74" i="59"/>
  <c r="AH75" i="59"/>
  <c r="AI75" i="59"/>
  <c r="AJ75" i="59"/>
  <c r="AH76" i="59"/>
  <c r="AI76" i="59"/>
  <c r="AJ76" i="59"/>
  <c r="AH79" i="59"/>
  <c r="AI79" i="59"/>
  <c r="AJ79" i="59"/>
  <c r="AH80" i="59"/>
  <c r="AH82" i="59"/>
  <c r="AI82" i="59"/>
  <c r="AJ82" i="59"/>
  <c r="AH83" i="59"/>
  <c r="AI83" i="59"/>
  <c r="AJ83" i="59"/>
  <c r="AH84" i="59"/>
  <c r="AI84" i="59"/>
  <c r="AJ84" i="59"/>
  <c r="AH85" i="59"/>
  <c r="AH86" i="59"/>
  <c r="AI86" i="59"/>
  <c r="AJ86" i="59"/>
  <c r="AH89" i="59"/>
  <c r="AI89" i="59"/>
  <c r="AJ89" i="59"/>
  <c r="AH90" i="59"/>
  <c r="AI90" i="59"/>
  <c r="AJ90" i="59"/>
  <c r="AH91" i="59"/>
  <c r="AH92" i="59"/>
  <c r="AI92" i="59"/>
  <c r="AJ92" i="59"/>
  <c r="AH93" i="59"/>
  <c r="AI93" i="59"/>
  <c r="AJ93" i="59"/>
  <c r="AH94" i="59"/>
  <c r="AI94" i="59"/>
  <c r="AJ94" i="59"/>
  <c r="AH95" i="59"/>
  <c r="AH96" i="59"/>
  <c r="AI96" i="59"/>
  <c r="AJ96" i="59"/>
  <c r="AH97" i="59"/>
  <c r="AI97" i="59"/>
  <c r="AJ97" i="59"/>
  <c r="AH98" i="59"/>
  <c r="AI98" i="59"/>
  <c r="AJ98" i="59"/>
  <c r="AH100" i="59"/>
  <c r="AI100" i="59"/>
  <c r="AH101" i="59"/>
  <c r="AI101" i="59"/>
  <c r="AH102" i="59"/>
  <c r="AI102" i="59"/>
  <c r="AJ102" i="59"/>
  <c r="AH103" i="59"/>
  <c r="AH104" i="59"/>
  <c r="AI104" i="59"/>
  <c r="AH105" i="59"/>
  <c r="AI105" i="59"/>
  <c r="AH106" i="59"/>
  <c r="AI106" i="59"/>
  <c r="AH107" i="59"/>
  <c r="AI107" i="59"/>
  <c r="AJ107" i="59"/>
  <c r="AH110" i="59"/>
  <c r="AI110" i="59"/>
  <c r="AH65" i="59"/>
  <c r="AI65" i="59"/>
  <c r="AJ65" i="59"/>
  <c r="AH64" i="59"/>
  <c r="AI64" i="59"/>
  <c r="AJ64" i="59"/>
  <c r="F69" i="50"/>
  <c r="Y69" i="50"/>
  <c r="Z69" i="50"/>
  <c r="AA69" i="50"/>
  <c r="R71" i="50"/>
  <c r="R72" i="50"/>
  <c r="R73" i="50"/>
  <c r="R74" i="50"/>
  <c r="R75" i="50"/>
  <c r="R76" i="50"/>
  <c r="R77" i="50"/>
  <c r="R78" i="50"/>
  <c r="R79" i="50"/>
  <c r="R80" i="50"/>
  <c r="R81" i="50"/>
  <c r="R82" i="50"/>
  <c r="R83" i="50"/>
  <c r="R84" i="50"/>
  <c r="R85" i="50"/>
  <c r="R86" i="50"/>
  <c r="R87" i="50"/>
  <c r="R88" i="50"/>
  <c r="R89" i="50"/>
  <c r="R90" i="50"/>
  <c r="R91" i="50"/>
  <c r="R92" i="50"/>
  <c r="R93" i="50"/>
  <c r="R94" i="50"/>
  <c r="R95" i="50"/>
  <c r="R97" i="50"/>
  <c r="R99" i="50"/>
  <c r="R100" i="50"/>
  <c r="R101" i="50"/>
  <c r="R102" i="50"/>
  <c r="R103" i="50"/>
  <c r="R104" i="50"/>
  <c r="R105" i="50"/>
  <c r="R106" i="50"/>
  <c r="R107" i="50"/>
  <c r="R108" i="50"/>
  <c r="R109" i="50"/>
  <c r="R110" i="50"/>
  <c r="R111" i="50"/>
  <c r="R112" i="50"/>
  <c r="R113" i="50"/>
  <c r="R114" i="50"/>
  <c r="R115" i="50"/>
  <c r="R116" i="50"/>
  <c r="R117" i="50"/>
  <c r="R118" i="50"/>
  <c r="R119" i="50"/>
  <c r="R124" i="50"/>
  <c r="R125" i="50"/>
  <c r="R128" i="50"/>
  <c r="R129" i="50"/>
  <c r="R130" i="50"/>
  <c r="R131" i="50"/>
  <c r="R132" i="50"/>
  <c r="R133" i="50"/>
  <c r="R134" i="50"/>
  <c r="R135" i="50"/>
  <c r="R136" i="50"/>
  <c r="R137" i="50"/>
  <c r="R138" i="50"/>
  <c r="R139" i="50"/>
  <c r="R140" i="50"/>
  <c r="R141" i="50"/>
  <c r="R142" i="50"/>
  <c r="R143" i="50"/>
  <c r="R144" i="50"/>
  <c r="R145" i="50"/>
  <c r="R146" i="50"/>
  <c r="R147" i="50"/>
  <c r="R148" i="50"/>
  <c r="R149" i="50"/>
  <c r="R150" i="50"/>
  <c r="R151" i="50"/>
  <c r="R152" i="50"/>
  <c r="R153" i="50"/>
  <c r="R154" i="50"/>
  <c r="R155" i="50"/>
  <c r="R156" i="50"/>
  <c r="R69" i="50"/>
  <c r="R65" i="50"/>
  <c r="R62" i="50"/>
  <c r="R61" i="50"/>
  <c r="R60" i="50"/>
  <c r="R59" i="50"/>
  <c r="R58" i="50"/>
  <c r="R57" i="50"/>
  <c r="R56" i="50"/>
  <c r="R55" i="50"/>
  <c r="R54" i="50"/>
  <c r="R53" i="50"/>
  <c r="R52" i="50"/>
  <c r="R51" i="50"/>
  <c r="R50" i="50"/>
  <c r="R49" i="50"/>
  <c r="R48" i="50"/>
  <c r="R47" i="50"/>
  <c r="R46" i="50"/>
  <c r="R45" i="50"/>
  <c r="R44" i="50"/>
  <c r="R43" i="50"/>
  <c r="R42" i="50"/>
  <c r="R41" i="50"/>
  <c r="R40" i="50"/>
  <c r="R39" i="50"/>
  <c r="R38" i="50"/>
  <c r="R36" i="50"/>
  <c r="R37" i="50"/>
  <c r="T36" i="50"/>
  <c r="T37" i="50"/>
  <c r="T38" i="50"/>
  <c r="T39" i="50"/>
  <c r="T40" i="50"/>
  <c r="T41" i="50"/>
  <c r="T42" i="50"/>
  <c r="T43" i="50"/>
  <c r="T44" i="50"/>
  <c r="T45" i="50"/>
  <c r="T46" i="50"/>
  <c r="T47" i="50"/>
  <c r="T48" i="50"/>
  <c r="T49" i="50"/>
  <c r="T50" i="50"/>
  <c r="T51" i="50"/>
  <c r="T52" i="50"/>
  <c r="T53" i="50"/>
  <c r="T54" i="50"/>
  <c r="T55" i="50"/>
  <c r="T56" i="50"/>
  <c r="T57" i="50"/>
  <c r="T58" i="50"/>
  <c r="T59" i="50"/>
  <c r="T60" i="50"/>
  <c r="T61" i="50"/>
  <c r="T62" i="50"/>
  <c r="T65" i="50"/>
  <c r="T66" i="50"/>
  <c r="T67" i="50"/>
  <c r="T69" i="50"/>
  <c r="T70" i="50"/>
  <c r="T71" i="50"/>
  <c r="T72" i="50"/>
  <c r="T73" i="50"/>
  <c r="T74" i="50"/>
  <c r="T75" i="50"/>
  <c r="T76" i="50"/>
  <c r="T77" i="50"/>
  <c r="T78" i="50"/>
  <c r="T79" i="50"/>
  <c r="T80" i="50"/>
  <c r="T81" i="50"/>
  <c r="T82" i="50"/>
  <c r="T83" i="50"/>
  <c r="T84" i="50"/>
  <c r="T85" i="50"/>
  <c r="T86" i="50"/>
  <c r="T87" i="50"/>
  <c r="T88" i="50"/>
  <c r="T89" i="50"/>
  <c r="T90" i="50"/>
  <c r="T91" i="50"/>
  <c r="T92" i="50"/>
  <c r="T93" i="50"/>
  <c r="T94" i="50"/>
  <c r="T95" i="50"/>
  <c r="T97" i="50"/>
  <c r="T99" i="50"/>
  <c r="T100" i="50"/>
  <c r="T101" i="50"/>
  <c r="T102" i="50"/>
  <c r="T103" i="50"/>
  <c r="T104" i="50"/>
  <c r="T105" i="50"/>
  <c r="T106" i="50"/>
  <c r="T107" i="50"/>
  <c r="T108" i="50"/>
  <c r="T109" i="50"/>
  <c r="T110" i="50"/>
  <c r="T111" i="50"/>
  <c r="T112" i="50"/>
  <c r="T113" i="50"/>
  <c r="T114" i="50"/>
  <c r="T115" i="50"/>
  <c r="T116" i="50"/>
  <c r="T117" i="50"/>
  <c r="T118" i="50"/>
  <c r="T119" i="50"/>
  <c r="T123" i="50"/>
  <c r="T124" i="50"/>
  <c r="T125" i="50"/>
  <c r="T128" i="50"/>
  <c r="T129" i="50"/>
  <c r="T130" i="50"/>
  <c r="T131" i="50"/>
  <c r="T132" i="50"/>
  <c r="T133" i="50"/>
  <c r="T134" i="50"/>
  <c r="T135" i="50"/>
  <c r="T136" i="50"/>
  <c r="T137" i="50"/>
  <c r="T138" i="50"/>
  <c r="T139" i="50"/>
  <c r="T140" i="50"/>
  <c r="T141" i="50"/>
  <c r="T142" i="50"/>
  <c r="T143" i="50"/>
  <c r="T144" i="50"/>
  <c r="T145" i="50"/>
  <c r="T146" i="50"/>
  <c r="T147" i="50"/>
  <c r="T148" i="50"/>
  <c r="T149" i="50"/>
  <c r="T150" i="50"/>
  <c r="T151" i="50"/>
  <c r="T152" i="50"/>
  <c r="T153" i="50"/>
  <c r="T154" i="50"/>
  <c r="T155" i="50"/>
  <c r="T156" i="50"/>
  <c r="Z40" i="50"/>
  <c r="AA40" i="50"/>
  <c r="Z41" i="50"/>
  <c r="AA41" i="50"/>
  <c r="Z53" i="50"/>
  <c r="AA53" i="50"/>
  <c r="Z57" i="50"/>
  <c r="AA57" i="50"/>
  <c r="Z61" i="50"/>
  <c r="AA61" i="50"/>
  <c r="Z84" i="50"/>
  <c r="Z99" i="50"/>
  <c r="AA99" i="50"/>
  <c r="Z103" i="50"/>
  <c r="AA103" i="50"/>
  <c r="Z107" i="50"/>
  <c r="AA107" i="50"/>
  <c r="Z111" i="50"/>
  <c r="AA111" i="50"/>
  <c r="Z115" i="50"/>
  <c r="AA115" i="50"/>
  <c r="Z119" i="50"/>
  <c r="AA119" i="50"/>
  <c r="Z134" i="50"/>
  <c r="AA134" i="50"/>
  <c r="Z144" i="50"/>
  <c r="AA144" i="50"/>
  <c r="Z146" i="50"/>
  <c r="AA146" i="50"/>
  <c r="Z150" i="50"/>
  <c r="F68" i="50"/>
  <c r="R68" i="50"/>
  <c r="Z137" i="50"/>
  <c r="AA137" i="50"/>
  <c r="Z141" i="50"/>
  <c r="AA141" i="50"/>
  <c r="Z129" i="50"/>
  <c r="AA129" i="50"/>
  <c r="Z133" i="50"/>
  <c r="AA133" i="50"/>
  <c r="Q68" i="50"/>
  <c r="T68" i="50"/>
  <c r="O110" i="61"/>
  <c r="P110" i="61"/>
  <c r="O111" i="61"/>
  <c r="P111" i="61"/>
  <c r="O112" i="61"/>
  <c r="P112" i="61"/>
  <c r="O113" i="61"/>
  <c r="P113" i="61"/>
  <c r="O114" i="61"/>
  <c r="P114" i="61"/>
  <c r="O115" i="61"/>
  <c r="P115" i="61"/>
  <c r="Y68" i="50"/>
  <c r="Z68" i="50"/>
  <c r="AA68" i="50"/>
  <c r="N52" i="58"/>
  <c r="V69" i="48"/>
  <c r="W69" i="48"/>
  <c r="X69" i="48"/>
  <c r="N51" i="58"/>
  <c r="V68" i="48"/>
  <c r="W68" i="48"/>
  <c r="R72" i="51"/>
  <c r="S72" i="51"/>
  <c r="U72" i="51"/>
  <c r="W72" i="51"/>
  <c r="X72" i="51"/>
  <c r="R73" i="51"/>
  <c r="S73" i="51"/>
  <c r="U73" i="51"/>
  <c r="W73" i="51"/>
  <c r="X73" i="51"/>
  <c r="X60" i="57"/>
  <c r="Y60" i="57"/>
  <c r="O51" i="58"/>
  <c r="O52" i="58"/>
  <c r="X59" i="57"/>
  <c r="Y59" i="57"/>
  <c r="AQ241" i="52"/>
  <c r="AR241" i="52"/>
  <c r="AQ240" i="52"/>
  <c r="AR240" i="52"/>
  <c r="AQ239" i="52"/>
  <c r="AR239" i="52"/>
  <c r="AQ238" i="52"/>
  <c r="AR238" i="52"/>
  <c r="AQ237" i="52"/>
  <c r="AR237" i="52"/>
  <c r="AQ236" i="52"/>
  <c r="AR236" i="52"/>
  <c r="AQ235" i="52"/>
  <c r="AR235" i="52"/>
  <c r="AQ234" i="52"/>
  <c r="AR234" i="52"/>
  <c r="AQ233" i="52"/>
  <c r="AR233" i="52"/>
  <c r="AQ232" i="52"/>
  <c r="AR232" i="52"/>
  <c r="AQ231" i="52"/>
  <c r="AR231" i="52"/>
  <c r="AQ230" i="52"/>
  <c r="AR230" i="52"/>
  <c r="AQ229" i="52"/>
  <c r="AR229" i="52"/>
  <c r="AQ228" i="52"/>
  <c r="AR228" i="52"/>
  <c r="AQ227" i="52"/>
  <c r="AR227" i="52"/>
  <c r="AQ226" i="52"/>
  <c r="AR226" i="52"/>
  <c r="AQ225" i="52"/>
  <c r="AR225" i="52"/>
  <c r="AQ224" i="52"/>
  <c r="AR224" i="52"/>
  <c r="AQ223" i="52"/>
  <c r="AR223" i="52"/>
  <c r="AQ222" i="52"/>
  <c r="AR222" i="52"/>
  <c r="AQ221" i="52"/>
  <c r="AR221" i="52"/>
  <c r="AQ220" i="52"/>
  <c r="AR220" i="52"/>
  <c r="AQ219" i="52"/>
  <c r="AR219" i="52"/>
  <c r="AQ218" i="52"/>
  <c r="AR218" i="52"/>
  <c r="AQ217" i="52"/>
  <c r="AR217" i="52"/>
  <c r="AQ216" i="52"/>
  <c r="AR216" i="52"/>
  <c r="AQ215" i="52"/>
  <c r="AR215" i="52"/>
  <c r="AQ214" i="52"/>
  <c r="AR214" i="52"/>
  <c r="AQ213" i="52"/>
  <c r="AR213" i="52"/>
  <c r="AQ212" i="52"/>
  <c r="AR212" i="52"/>
  <c r="AQ211" i="52"/>
  <c r="AR211" i="52"/>
  <c r="AQ210" i="52"/>
  <c r="AR210" i="52"/>
  <c r="AQ209" i="52"/>
  <c r="AR209" i="52"/>
  <c r="AQ208" i="52"/>
  <c r="AR208" i="52"/>
  <c r="AQ207" i="52"/>
  <c r="AR207" i="52"/>
  <c r="AQ206" i="52"/>
  <c r="AR206" i="52"/>
  <c r="AS206" i="52"/>
  <c r="AQ205" i="52"/>
  <c r="AR205" i="52"/>
  <c r="AQ204" i="52"/>
  <c r="AR204" i="52"/>
  <c r="AQ203" i="52"/>
  <c r="AR203" i="52"/>
  <c r="AQ202" i="52"/>
  <c r="AR202" i="52"/>
  <c r="AQ201" i="52"/>
  <c r="AR201" i="52"/>
  <c r="AQ200" i="52"/>
  <c r="AR200" i="52"/>
  <c r="AQ199" i="52"/>
  <c r="AR199" i="52"/>
  <c r="AQ198" i="52"/>
  <c r="AR198" i="52"/>
  <c r="AQ197" i="52"/>
  <c r="AR197" i="52"/>
  <c r="AQ196" i="52"/>
  <c r="AR196" i="52"/>
  <c r="AQ195" i="52"/>
  <c r="AR195" i="52"/>
  <c r="AQ194" i="52"/>
  <c r="AR194" i="52"/>
  <c r="AS194" i="52"/>
  <c r="AQ193" i="52"/>
  <c r="AR193" i="52"/>
  <c r="AQ192" i="52"/>
  <c r="AR192" i="52"/>
  <c r="AQ191" i="52"/>
  <c r="AR191" i="52"/>
  <c r="AQ190" i="52"/>
  <c r="AR190" i="52"/>
  <c r="AS190" i="52"/>
  <c r="AQ189" i="52"/>
  <c r="AR189" i="52"/>
  <c r="AQ188" i="52"/>
  <c r="AR188" i="52"/>
  <c r="AQ187" i="52"/>
  <c r="AR187" i="52"/>
  <c r="AQ186" i="52"/>
  <c r="AR186" i="52"/>
  <c r="AS186" i="52"/>
  <c r="AQ185" i="52"/>
  <c r="AR185" i="52"/>
  <c r="AQ184" i="52"/>
  <c r="AR184" i="52"/>
  <c r="AQ183" i="52"/>
  <c r="AR183" i="52"/>
  <c r="AQ182" i="52"/>
  <c r="AR182" i="52"/>
  <c r="AS182" i="52"/>
  <c r="AQ181" i="52"/>
  <c r="AR181" i="52"/>
  <c r="AQ180" i="52"/>
  <c r="AR180" i="52"/>
  <c r="AQ179" i="52"/>
  <c r="AR179" i="52"/>
  <c r="AQ178" i="52"/>
  <c r="AR178" i="52"/>
  <c r="AS178" i="52"/>
  <c r="AQ177" i="52"/>
  <c r="AR177" i="52"/>
  <c r="AQ176" i="52"/>
  <c r="AR176" i="52"/>
  <c r="AQ175" i="52"/>
  <c r="AR175" i="52"/>
  <c r="AQ174" i="52"/>
  <c r="AR174" i="52"/>
  <c r="AS174" i="52"/>
  <c r="AQ173" i="52"/>
  <c r="AR173" i="52"/>
  <c r="AQ172" i="52"/>
  <c r="AR172" i="52"/>
  <c r="AQ171" i="52"/>
  <c r="AR171" i="52"/>
  <c r="AQ170" i="52"/>
  <c r="AR170" i="52"/>
  <c r="AS170" i="52"/>
  <c r="AQ169" i="52"/>
  <c r="AR169" i="52"/>
  <c r="AQ168" i="52"/>
  <c r="AR168" i="52"/>
  <c r="AQ167" i="52"/>
  <c r="AR167" i="52"/>
  <c r="AQ166" i="52"/>
  <c r="AR166" i="52"/>
  <c r="AQ165" i="52"/>
  <c r="AR165" i="52"/>
  <c r="AQ164" i="52"/>
  <c r="AR164" i="52"/>
  <c r="AQ163" i="52"/>
  <c r="AR163" i="52"/>
  <c r="AQ162" i="52"/>
  <c r="AR162" i="52"/>
  <c r="AS162" i="52"/>
  <c r="AQ161" i="52"/>
  <c r="AR161" i="52"/>
  <c r="AQ160" i="52"/>
  <c r="AR160" i="52"/>
  <c r="AQ159" i="52"/>
  <c r="AR159" i="52"/>
  <c r="AQ158" i="52"/>
  <c r="AR158" i="52"/>
  <c r="AS158" i="52"/>
  <c r="AQ157" i="52"/>
  <c r="AR157" i="52"/>
  <c r="AQ156" i="52"/>
  <c r="AR156" i="52"/>
  <c r="AQ155" i="52"/>
  <c r="AR155" i="52"/>
  <c r="AQ154" i="52"/>
  <c r="AR154" i="52"/>
  <c r="AS154" i="52"/>
  <c r="AQ153" i="52"/>
  <c r="AR153" i="52"/>
  <c r="AQ152" i="52"/>
  <c r="AR152" i="52"/>
  <c r="AQ151" i="52"/>
  <c r="AR151" i="52"/>
  <c r="AQ150" i="52"/>
  <c r="AR150" i="52"/>
  <c r="AS150" i="52"/>
  <c r="AQ149" i="52"/>
  <c r="AR149" i="52"/>
  <c r="AQ148" i="52"/>
  <c r="AR148" i="52"/>
  <c r="AQ147" i="52"/>
  <c r="AR147" i="52"/>
  <c r="AQ146" i="52"/>
  <c r="AR146" i="52"/>
  <c r="AS146" i="52"/>
  <c r="AQ145" i="52"/>
  <c r="AR145" i="52"/>
  <c r="AQ144" i="52"/>
  <c r="AR144" i="52"/>
  <c r="AQ143" i="52"/>
  <c r="AR143" i="52"/>
  <c r="AQ142" i="52"/>
  <c r="AR142" i="52"/>
  <c r="AS142" i="52"/>
  <c r="AQ141" i="52"/>
  <c r="AR141" i="52"/>
  <c r="AQ140" i="52"/>
  <c r="AR140" i="52"/>
  <c r="AQ139" i="52"/>
  <c r="AR139" i="52"/>
  <c r="AQ138" i="52"/>
  <c r="AR138" i="52"/>
  <c r="AQ137" i="52"/>
  <c r="AR137" i="52"/>
  <c r="AQ136" i="52"/>
  <c r="AR136" i="52"/>
  <c r="AQ135" i="52"/>
  <c r="AR135" i="52"/>
  <c r="AQ134" i="52"/>
  <c r="AR134" i="52"/>
  <c r="AQ133" i="52"/>
  <c r="AR133" i="52"/>
  <c r="AQ132" i="52"/>
  <c r="AR132" i="52"/>
  <c r="AQ131" i="52"/>
  <c r="AR131" i="52"/>
  <c r="AS131" i="52"/>
  <c r="AQ130" i="52"/>
  <c r="AR130" i="52"/>
  <c r="AS130" i="52"/>
  <c r="AQ129" i="52"/>
  <c r="AR129" i="52"/>
  <c r="AQ128" i="52"/>
  <c r="AR128" i="52"/>
  <c r="AQ127" i="52"/>
  <c r="AR127" i="52"/>
  <c r="AQ126" i="52"/>
  <c r="AR126" i="52"/>
  <c r="AS126" i="52"/>
  <c r="AQ125" i="52"/>
  <c r="AR125" i="52"/>
  <c r="AQ124" i="52"/>
  <c r="AR124" i="52"/>
  <c r="AQ123" i="52"/>
  <c r="AR123" i="52"/>
  <c r="AQ122" i="52"/>
  <c r="AR122" i="52"/>
  <c r="AS122" i="52"/>
  <c r="AQ121" i="52"/>
  <c r="AR121" i="52"/>
  <c r="AQ120" i="52"/>
  <c r="AR120" i="52"/>
  <c r="AQ119" i="52"/>
  <c r="AR119" i="52"/>
  <c r="AQ118" i="52"/>
  <c r="AR118" i="52"/>
  <c r="AS118" i="52"/>
  <c r="AQ117" i="52"/>
  <c r="AR117" i="52"/>
  <c r="AQ116" i="52"/>
  <c r="AR116" i="52"/>
  <c r="AQ115" i="52"/>
  <c r="AR115" i="52"/>
  <c r="AQ114" i="52"/>
  <c r="AR114" i="52"/>
  <c r="AS114" i="52"/>
  <c r="AQ113" i="52"/>
  <c r="AR113" i="52"/>
  <c r="AQ112" i="52"/>
  <c r="AR112" i="52"/>
  <c r="AQ111" i="52"/>
  <c r="AR111" i="52"/>
  <c r="AS111" i="52"/>
  <c r="AQ110" i="52"/>
  <c r="AR110" i="52"/>
  <c r="AS110" i="52"/>
  <c r="AQ109" i="52"/>
  <c r="AR109" i="52"/>
  <c r="AQ108" i="52"/>
  <c r="AR108" i="52"/>
  <c r="AQ107" i="52"/>
  <c r="AR107" i="52"/>
  <c r="AS107" i="52"/>
  <c r="AQ106" i="52"/>
  <c r="AR106" i="52"/>
  <c r="AQ105" i="52"/>
  <c r="AR105" i="52"/>
  <c r="AQ104" i="52"/>
  <c r="AR104" i="52"/>
  <c r="AQ103" i="52"/>
  <c r="AR103" i="52"/>
  <c r="AQ102" i="52"/>
  <c r="AR102" i="52"/>
  <c r="AQ101" i="52"/>
  <c r="AR101" i="52"/>
  <c r="AQ100" i="52"/>
  <c r="AR100" i="52"/>
  <c r="AQ99" i="52"/>
  <c r="AR99" i="52"/>
  <c r="AQ98" i="52"/>
  <c r="AR98" i="52"/>
  <c r="AQ97" i="52"/>
  <c r="AR97" i="52"/>
  <c r="AQ96" i="52"/>
  <c r="AR96" i="52"/>
  <c r="AQ95" i="52"/>
  <c r="AR95" i="52"/>
  <c r="AQ94" i="52"/>
  <c r="AR94" i="52"/>
  <c r="AQ93" i="52"/>
  <c r="AR93" i="52"/>
  <c r="AQ92" i="52"/>
  <c r="AR92" i="52"/>
  <c r="AQ91" i="52"/>
  <c r="AR91" i="52"/>
  <c r="AQ90" i="52"/>
  <c r="AR90" i="52"/>
  <c r="AQ89" i="52"/>
  <c r="AR89" i="52"/>
  <c r="AQ88" i="52"/>
  <c r="AR88" i="52"/>
  <c r="AQ87" i="52"/>
  <c r="AR87" i="52"/>
  <c r="AQ86" i="52"/>
  <c r="AR86" i="52"/>
  <c r="AQ85" i="52"/>
  <c r="AR85" i="52"/>
  <c r="AQ84" i="52"/>
  <c r="AR84" i="52"/>
  <c r="AQ83" i="52"/>
  <c r="AR83" i="52"/>
  <c r="AQ81" i="52"/>
  <c r="AR81" i="52"/>
  <c r="AQ75" i="52"/>
  <c r="AR75" i="52"/>
  <c r="AQ74" i="52"/>
  <c r="AR74" i="52"/>
  <c r="AQ73" i="52"/>
  <c r="AR73" i="52"/>
  <c r="AQ72" i="52"/>
  <c r="AR72" i="52"/>
  <c r="AQ71" i="52"/>
  <c r="AR71" i="52"/>
  <c r="AQ70" i="52"/>
  <c r="AR70" i="52"/>
  <c r="AQ69" i="52"/>
  <c r="AR69" i="52"/>
  <c r="AQ68" i="52"/>
  <c r="AR68" i="52"/>
  <c r="AQ67" i="52"/>
  <c r="AR67" i="52"/>
  <c r="AQ63" i="52"/>
  <c r="AQ62" i="52"/>
  <c r="AR62" i="52"/>
  <c r="AS62" i="52"/>
  <c r="AT62" i="52"/>
  <c r="AQ61" i="52"/>
  <c r="AQ60" i="52"/>
  <c r="AR60" i="52"/>
  <c r="AQ59" i="52"/>
  <c r="AQ58" i="52"/>
  <c r="AQ57" i="52"/>
  <c r="AQ56" i="52"/>
  <c r="AR56" i="52"/>
  <c r="AQ55" i="52"/>
  <c r="AQ54" i="52"/>
  <c r="AQ53" i="52"/>
  <c r="AQ52" i="52"/>
  <c r="AR52" i="52"/>
  <c r="AQ51" i="52"/>
  <c r="AQ50" i="52"/>
  <c r="AQ49" i="52"/>
  <c r="AQ48" i="52"/>
  <c r="AR48" i="52"/>
  <c r="AQ47" i="52"/>
  <c r="AQ46" i="52"/>
  <c r="AQ45" i="52"/>
  <c r="AQ44" i="52"/>
  <c r="AR44" i="52"/>
  <c r="AQ43" i="52"/>
  <c r="AQ42" i="52"/>
  <c r="AQ41" i="52"/>
  <c r="AQ40" i="52"/>
  <c r="AR40" i="52"/>
  <c r="AQ39" i="52"/>
  <c r="AQ38" i="52"/>
  <c r="AQ37" i="52"/>
  <c r="AQ36" i="52"/>
  <c r="AR36" i="52"/>
  <c r="AQ35" i="52"/>
  <c r="AQ34" i="52"/>
  <c r="AQ33" i="52"/>
  <c r="AQ32" i="52"/>
  <c r="AR32" i="52"/>
  <c r="AQ31" i="52"/>
  <c r="AQ30" i="52"/>
  <c r="AQ29" i="52"/>
  <c r="AQ28" i="52"/>
  <c r="AR28" i="52"/>
  <c r="AQ27" i="52"/>
  <c r="AQ26" i="52"/>
  <c r="AQ25" i="52"/>
  <c r="AQ24" i="52"/>
  <c r="AR24" i="52"/>
  <c r="AQ23" i="52"/>
  <c r="AQ22" i="52"/>
  <c r="AQ21" i="52"/>
  <c r="AQ20" i="52"/>
  <c r="AR20" i="52"/>
  <c r="AQ19" i="52"/>
  <c r="AQ18" i="52"/>
  <c r="AQ17" i="52"/>
  <c r="AQ16" i="52"/>
  <c r="AR16" i="52"/>
  <c r="AQ15" i="52"/>
  <c r="AQ14" i="52"/>
  <c r="AQ13" i="52"/>
  <c r="AQ12" i="52"/>
  <c r="AR12" i="52"/>
  <c r="AQ11" i="52"/>
  <c r="AQ10" i="52"/>
  <c r="AQ9" i="52"/>
  <c r="AQ8" i="52"/>
  <c r="AR8" i="52"/>
  <c r="AQ7" i="52"/>
  <c r="AQ6" i="52"/>
  <c r="AR9" i="52"/>
  <c r="AS239" i="52"/>
  <c r="AS238" i="52"/>
  <c r="AS235" i="52"/>
  <c r="AS231" i="52"/>
  <c r="AS230" i="52"/>
  <c r="AS226" i="52"/>
  <c r="AS223" i="52"/>
  <c r="AS222" i="52"/>
  <c r="AS215" i="52"/>
  <c r="AS214" i="52"/>
  <c r="AS211" i="52"/>
  <c r="AS210" i="52"/>
  <c r="AS207" i="52"/>
  <c r="AS203" i="52"/>
  <c r="AS199" i="52"/>
  <c r="AS198" i="52"/>
  <c r="AS195" i="52"/>
  <c r="AS187" i="52"/>
  <c r="AS179" i="52"/>
  <c r="AS175" i="52"/>
  <c r="AS171" i="52"/>
  <c r="AS167" i="52"/>
  <c r="AS166" i="52"/>
  <c r="AS159" i="52"/>
  <c r="AS151" i="52"/>
  <c r="AS147" i="52"/>
  <c r="AS143" i="52"/>
  <c r="AS139" i="52"/>
  <c r="AS135" i="52"/>
  <c r="AS134" i="52"/>
  <c r="AS123" i="52"/>
  <c r="AS115" i="52"/>
  <c r="AR63" i="52"/>
  <c r="AR61" i="52"/>
  <c r="AR59" i="52"/>
  <c r="AR58" i="52"/>
  <c r="AR57" i="52"/>
  <c r="AR55" i="52"/>
  <c r="AR54" i="52"/>
  <c r="AR53" i="52"/>
  <c r="AR51" i="52"/>
  <c r="AR50" i="52"/>
  <c r="AR49" i="52"/>
  <c r="AR47" i="52"/>
  <c r="AR46" i="52"/>
  <c r="AR45" i="52"/>
  <c r="AR43" i="52"/>
  <c r="AR42" i="52"/>
  <c r="AR41" i="52"/>
  <c r="AR39" i="52"/>
  <c r="AR38" i="52"/>
  <c r="AR37" i="52"/>
  <c r="AR35" i="52"/>
  <c r="AR34" i="52"/>
  <c r="AR33" i="52"/>
  <c r="AR31" i="52"/>
  <c r="AR30" i="52"/>
  <c r="AR29" i="52"/>
  <c r="AR27" i="52"/>
  <c r="AR26" i="52"/>
  <c r="AR25" i="52"/>
  <c r="AR23" i="52"/>
  <c r="AR22" i="52"/>
  <c r="AR21" i="52"/>
  <c r="AR19" i="52"/>
  <c r="AR18" i="52"/>
  <c r="AR17" i="52"/>
  <c r="AR15" i="52"/>
  <c r="AR14" i="52"/>
  <c r="AR13" i="52"/>
  <c r="AR11" i="52"/>
  <c r="AR10" i="52"/>
  <c r="AS109" i="52"/>
  <c r="AS112" i="52"/>
  <c r="AS116" i="52"/>
  <c r="AS117" i="52"/>
  <c r="AS121" i="52"/>
  <c r="AS125" i="52"/>
  <c r="AS128" i="52"/>
  <c r="AS132" i="52"/>
  <c r="AS133" i="52"/>
  <c r="AS137" i="52"/>
  <c r="AS141" i="52"/>
  <c r="AS144" i="52"/>
  <c r="AS148" i="52"/>
  <c r="AS149" i="52"/>
  <c r="AS153" i="52"/>
  <c r="AS157" i="52"/>
  <c r="AS160" i="52"/>
  <c r="AS164" i="52"/>
  <c r="AS165" i="52"/>
  <c r="AS169" i="52"/>
  <c r="AS173" i="52"/>
  <c r="AS176" i="52"/>
  <c r="AS180" i="52"/>
  <c r="AS181" i="52"/>
  <c r="AS185" i="52"/>
  <c r="AS189" i="52"/>
  <c r="AS192" i="52"/>
  <c r="AS196" i="52"/>
  <c r="AS197" i="52"/>
  <c r="AS201" i="52"/>
  <c r="AS205" i="52"/>
  <c r="AS208" i="52"/>
  <c r="AS212" i="52"/>
  <c r="AS213" i="52"/>
  <c r="AS217" i="52"/>
  <c r="AS221" i="52"/>
  <c r="AS224" i="52"/>
  <c r="AS228" i="52"/>
  <c r="AS229" i="52"/>
  <c r="AS233" i="52"/>
  <c r="AS237" i="52"/>
  <c r="AS240" i="52"/>
  <c r="AS234" i="52"/>
  <c r="AS218" i="52"/>
  <c r="AS202" i="52"/>
  <c r="AS138" i="52"/>
  <c r="AR7" i="52"/>
  <c r="AR6" i="52"/>
  <c r="AQ5" i="52"/>
  <c r="AR5" i="52"/>
  <c r="AS241" i="52"/>
  <c r="AS236" i="52"/>
  <c r="AS232" i="52"/>
  <c r="AS227" i="52"/>
  <c r="AS225" i="52"/>
  <c r="AS220" i="52"/>
  <c r="AS219" i="52"/>
  <c r="AS216" i="52"/>
  <c r="AS209" i="52"/>
  <c r="AS204" i="52"/>
  <c r="AS200" i="52"/>
  <c r="AS193" i="52"/>
  <c r="AS191" i="52"/>
  <c r="AS188" i="52"/>
  <c r="AS184" i="52"/>
  <c r="AS183" i="52"/>
  <c r="AS177" i="52"/>
  <c r="AS172" i="52"/>
  <c r="AS168" i="52"/>
  <c r="AS163" i="52"/>
  <c r="AS161" i="52"/>
  <c r="AS156" i="52"/>
  <c r="AS155" i="52"/>
  <c r="AS152" i="52"/>
  <c r="AS145" i="52"/>
  <c r="AS140" i="52"/>
  <c r="AS136" i="52"/>
  <c r="AS129" i="52"/>
  <c r="AS127" i="52"/>
  <c r="AS124" i="52"/>
  <c r="AS120" i="52"/>
  <c r="AS119" i="52"/>
  <c r="AS113" i="52"/>
  <c r="AS108" i="52"/>
  <c r="F67" i="50"/>
  <c r="G66" i="50"/>
  <c r="AH61" i="59"/>
  <c r="AI61" i="59"/>
  <c r="AJ61" i="59"/>
  <c r="AH62" i="59"/>
  <c r="AH63" i="59"/>
  <c r="AH60" i="59"/>
  <c r="AI60" i="59"/>
  <c r="AJ60" i="59"/>
  <c r="AH59" i="59"/>
  <c r="AI59" i="59"/>
  <c r="AJ59" i="59"/>
  <c r="S163" i="53"/>
  <c r="T163" i="53"/>
  <c r="S183" i="53"/>
  <c r="S196" i="53"/>
  <c r="AW5" i="52"/>
  <c r="Y67" i="50"/>
  <c r="Z67" i="50"/>
  <c r="AA67" i="50"/>
  <c r="R67" i="50"/>
  <c r="Y66" i="50"/>
  <c r="Z66" i="50"/>
  <c r="AA66" i="50"/>
  <c r="R66" i="50"/>
  <c r="S143" i="53"/>
  <c r="T143" i="53"/>
  <c r="S125" i="53"/>
  <c r="AA58" i="59"/>
  <c r="AB58" i="59"/>
  <c r="AH58" i="59"/>
  <c r="AI58" i="59"/>
  <c r="AJ58" i="59"/>
  <c r="AA59" i="59"/>
  <c r="AB59" i="59"/>
  <c r="AH57" i="59"/>
  <c r="AI57" i="59"/>
  <c r="AJ57" i="59"/>
  <c r="AB57" i="59"/>
  <c r="AA57" i="59"/>
  <c r="AH54" i="59"/>
  <c r="AI54" i="59"/>
  <c r="AJ54" i="59"/>
  <c r="AB54" i="59"/>
  <c r="AA54" i="59"/>
  <c r="AH55" i="59"/>
  <c r="AI55" i="59"/>
  <c r="AB55" i="59"/>
  <c r="AA55" i="59"/>
  <c r="AH56" i="59"/>
  <c r="AI56" i="59"/>
  <c r="AB56" i="59"/>
  <c r="AA56" i="59"/>
  <c r="AA50" i="59"/>
  <c r="AB50" i="59"/>
  <c r="AH50" i="59"/>
  <c r="AI50" i="59"/>
  <c r="AJ50" i="59"/>
  <c r="AH51" i="59"/>
  <c r="AI51" i="59"/>
  <c r="AJ51" i="59"/>
  <c r="AB51" i="59"/>
  <c r="AA51" i="59"/>
  <c r="AH52" i="59"/>
  <c r="AI52" i="59"/>
  <c r="AB52" i="59"/>
  <c r="AA52" i="59"/>
  <c r="AB53" i="59"/>
  <c r="AA53" i="59"/>
  <c r="S79" i="53"/>
  <c r="V67" i="48"/>
  <c r="W67" i="48"/>
  <c r="X58" i="57"/>
  <c r="O69" i="61"/>
  <c r="P69" i="61"/>
  <c r="O70" i="61"/>
  <c r="O71" i="61"/>
  <c r="O72" i="61"/>
  <c r="P72" i="61"/>
  <c r="R71" i="51"/>
  <c r="S71" i="51"/>
  <c r="U71" i="51"/>
  <c r="W71" i="51"/>
  <c r="X71" i="51"/>
  <c r="N50" i="58"/>
  <c r="O50" i="58"/>
  <c r="Y58" i="57"/>
  <c r="P71" i="61"/>
  <c r="P70" i="61"/>
  <c r="R11" i="51"/>
  <c r="S11" i="51"/>
  <c r="U11" i="51"/>
  <c r="W11" i="51"/>
  <c r="X11" i="51"/>
  <c r="R12" i="51"/>
  <c r="S12" i="51"/>
  <c r="U12" i="51"/>
  <c r="W12" i="51"/>
  <c r="W48" i="74"/>
  <c r="X48" i="74"/>
  <c r="Y48" i="74"/>
  <c r="W49" i="74"/>
  <c r="X49" i="74"/>
  <c r="W50" i="74"/>
  <c r="X50" i="74"/>
  <c r="X56" i="57"/>
  <c r="Y56" i="57"/>
  <c r="X57" i="57"/>
  <c r="V64" i="48"/>
  <c r="V65" i="48"/>
  <c r="W65" i="48"/>
  <c r="V66" i="48"/>
  <c r="N48" i="58"/>
  <c r="O48" i="58"/>
  <c r="N49" i="58"/>
  <c r="R69" i="51"/>
  <c r="S69" i="51"/>
  <c r="U69" i="51"/>
  <c r="W69" i="51"/>
  <c r="X69" i="51"/>
  <c r="R70" i="51"/>
  <c r="S70" i="51"/>
  <c r="U70" i="51"/>
  <c r="W70" i="51"/>
  <c r="AS57" i="52"/>
  <c r="AS58" i="52"/>
  <c r="AS59" i="52"/>
  <c r="AS60" i="52"/>
  <c r="W64" i="48"/>
  <c r="Y50" i="74"/>
  <c r="Y49" i="74"/>
  <c r="Y57" i="57"/>
  <c r="O49" i="58"/>
  <c r="AT60" i="52"/>
  <c r="AT59" i="52"/>
  <c r="AT58" i="52"/>
  <c r="AT57" i="52"/>
  <c r="O68" i="61"/>
  <c r="P68" i="61"/>
  <c r="O67" i="61"/>
  <c r="P67" i="61"/>
  <c r="N46" i="58"/>
  <c r="N47" i="58"/>
  <c r="O46" i="58"/>
  <c r="O66" i="61"/>
  <c r="P66" i="61"/>
  <c r="O47" i="58"/>
  <c r="R68" i="51"/>
  <c r="S68" i="51"/>
  <c r="U68" i="51"/>
  <c r="W68" i="51"/>
  <c r="X68" i="51"/>
  <c r="R67" i="51"/>
  <c r="S67" i="51"/>
  <c r="U67" i="51"/>
  <c r="W67" i="51"/>
  <c r="X67" i="51"/>
  <c r="X55" i="57"/>
  <c r="X54" i="57"/>
  <c r="Y54" i="57"/>
  <c r="Y55" i="57"/>
  <c r="W47" i="74"/>
  <c r="X47" i="74"/>
  <c r="N45" i="58"/>
  <c r="X53" i="57"/>
  <c r="R66" i="51"/>
  <c r="S66" i="51"/>
  <c r="U66" i="51"/>
  <c r="W66" i="51"/>
  <c r="X66" i="51"/>
  <c r="AS55" i="52"/>
  <c r="AS54" i="52"/>
  <c r="AS56" i="52"/>
  <c r="S75" i="53"/>
  <c r="T75" i="53"/>
  <c r="AH47" i="59"/>
  <c r="AI47" i="59"/>
  <c r="AB47" i="59"/>
  <c r="AA47" i="59"/>
  <c r="AH48" i="59"/>
  <c r="AI48" i="59"/>
  <c r="AB48" i="59"/>
  <c r="AA48" i="59"/>
  <c r="AH49" i="59"/>
  <c r="AB49" i="59"/>
  <c r="AA49" i="59"/>
  <c r="AB46" i="59"/>
  <c r="AA46" i="59"/>
  <c r="AH45" i="59"/>
  <c r="AI45" i="59"/>
  <c r="AB45" i="59"/>
  <c r="AA45" i="59"/>
  <c r="AH44" i="59"/>
  <c r="AB44" i="59"/>
  <c r="AA44" i="59"/>
  <c r="AH43" i="59"/>
  <c r="AI43" i="59"/>
  <c r="AJ43" i="59"/>
  <c r="AB43" i="59"/>
  <c r="AA43" i="59"/>
  <c r="AH42" i="59"/>
  <c r="AI42" i="59"/>
  <c r="AJ42" i="59"/>
  <c r="AB42" i="59"/>
  <c r="AA42" i="59"/>
  <c r="AH41" i="59"/>
  <c r="AI41" i="59"/>
  <c r="AB41" i="59"/>
  <c r="AA41" i="59"/>
  <c r="Y53" i="57"/>
  <c r="Y47" i="74"/>
  <c r="O45" i="58"/>
  <c r="AT56" i="52"/>
  <c r="AT55" i="52"/>
  <c r="AT54" i="52"/>
  <c r="AI49" i="59"/>
  <c r="AJ49" i="59"/>
  <c r="AI44" i="59"/>
  <c r="AJ44" i="59"/>
  <c r="W46" i="74"/>
  <c r="X46" i="74"/>
  <c r="W45" i="74"/>
  <c r="Y46" i="74"/>
  <c r="X45" i="74"/>
  <c r="Y45" i="74"/>
  <c r="R65" i="51"/>
  <c r="S65" i="51"/>
  <c r="U65" i="51"/>
  <c r="W65" i="51"/>
  <c r="X65" i="51"/>
  <c r="X52" i="57"/>
  <c r="O65" i="61"/>
  <c r="N44" i="58"/>
  <c r="O44" i="58"/>
  <c r="Y52" i="57"/>
  <c r="P65" i="61"/>
  <c r="N43" i="58"/>
  <c r="X51" i="57"/>
  <c r="O64" i="61"/>
  <c r="R64" i="51"/>
  <c r="S64" i="51"/>
  <c r="U64" i="51"/>
  <c r="W64" i="51"/>
  <c r="S56" i="53"/>
  <c r="T56" i="53"/>
  <c r="AA38" i="59"/>
  <c r="AB38" i="59"/>
  <c r="AA39" i="59"/>
  <c r="AB39" i="59"/>
  <c r="AA40" i="59"/>
  <c r="AB40" i="59"/>
  <c r="AH40" i="59"/>
  <c r="AI40" i="59"/>
  <c r="O43" i="58"/>
  <c r="P64" i="61"/>
  <c r="X64" i="51"/>
  <c r="Y51" i="57"/>
  <c r="AA35" i="59"/>
  <c r="AB35" i="59"/>
  <c r="AA36" i="59"/>
  <c r="AB36" i="59"/>
  <c r="AI36" i="59"/>
  <c r="AA37" i="59"/>
  <c r="AB37" i="59"/>
  <c r="AI37" i="59"/>
  <c r="AJ37" i="59"/>
  <c r="W44" i="74"/>
  <c r="X44" i="74"/>
  <c r="N42" i="58"/>
  <c r="X50" i="57"/>
  <c r="R62" i="51"/>
  <c r="S62" i="51"/>
  <c r="U62" i="51"/>
  <c r="W62" i="51"/>
  <c r="X62" i="51"/>
  <c r="R63" i="51"/>
  <c r="S63" i="51"/>
  <c r="U63" i="51"/>
  <c r="W63" i="51"/>
  <c r="X63" i="51"/>
  <c r="Y50" i="57"/>
  <c r="O42" i="58"/>
  <c r="O63" i="61"/>
  <c r="P63" i="61"/>
  <c r="Y44" i="74"/>
  <c r="O62" i="61"/>
  <c r="P62" i="61"/>
  <c r="X49" i="57"/>
  <c r="Y49" i="57"/>
  <c r="N41" i="58"/>
  <c r="O41" i="58"/>
  <c r="AS52" i="52"/>
  <c r="AT52" i="52"/>
  <c r="AS53" i="52"/>
  <c r="AT53" i="52"/>
  <c r="AS51" i="52"/>
  <c r="AT51" i="52"/>
  <c r="O60" i="61"/>
  <c r="P60" i="61"/>
  <c r="AA29" i="59"/>
  <c r="AB29" i="59"/>
  <c r="AA30" i="59"/>
  <c r="AB30" i="59"/>
  <c r="AA31" i="59"/>
  <c r="AB31" i="59"/>
  <c r="AA32" i="59"/>
  <c r="AB32" i="59"/>
  <c r="AA33" i="59"/>
  <c r="AB33" i="59"/>
  <c r="AA34" i="59"/>
  <c r="AB34" i="59"/>
  <c r="S47" i="53"/>
  <c r="T47" i="53"/>
  <c r="W41" i="74"/>
  <c r="X41" i="74"/>
  <c r="W42" i="74"/>
  <c r="X42" i="74"/>
  <c r="Y42" i="74"/>
  <c r="W43" i="74"/>
  <c r="X43" i="74"/>
  <c r="Y43" i="74"/>
  <c r="N39" i="58"/>
  <c r="O39" i="58"/>
  <c r="N40" i="58"/>
  <c r="X47" i="57"/>
  <c r="Y47" i="57"/>
  <c r="X48" i="57"/>
  <c r="R60" i="51"/>
  <c r="S60" i="51"/>
  <c r="U60" i="51"/>
  <c r="W60" i="51"/>
  <c r="X60" i="51"/>
  <c r="R61" i="51"/>
  <c r="S61" i="51"/>
  <c r="U61" i="51"/>
  <c r="W61" i="51"/>
  <c r="X61" i="51"/>
  <c r="Y48" i="57"/>
  <c r="O61" i="61"/>
  <c r="P61" i="61"/>
  <c r="Y41" i="74"/>
  <c r="O40" i="58"/>
  <c r="AS50" i="52"/>
  <c r="AS49" i="52"/>
  <c r="AT49" i="52"/>
  <c r="AS48" i="52"/>
  <c r="AT48" i="52"/>
  <c r="AT50" i="52"/>
  <c r="AA26" i="59"/>
  <c r="AB26" i="59"/>
  <c r="AA27" i="59"/>
  <c r="AB27" i="59"/>
  <c r="AA28" i="59"/>
  <c r="AB28" i="59"/>
  <c r="R59" i="51"/>
  <c r="S59" i="51"/>
  <c r="U59" i="51"/>
  <c r="W59" i="51"/>
  <c r="X59" i="51"/>
  <c r="N38" i="58"/>
  <c r="X46" i="57"/>
  <c r="Y46" i="57"/>
  <c r="O59" i="61"/>
  <c r="P59" i="61"/>
  <c r="O38" i="58"/>
  <c r="W39" i="74"/>
  <c r="X39" i="74"/>
  <c r="W40" i="74"/>
  <c r="X40" i="74"/>
  <c r="N37" i="58"/>
  <c r="X45" i="57"/>
  <c r="O58" i="61"/>
  <c r="P58" i="61"/>
  <c r="R58" i="51"/>
  <c r="S58" i="51"/>
  <c r="U58" i="51"/>
  <c r="W58" i="51"/>
  <c r="X58" i="51"/>
  <c r="O37" i="58"/>
  <c r="Y39" i="74"/>
  <c r="Y40" i="74"/>
  <c r="Y45" i="57"/>
  <c r="AA25" i="59"/>
  <c r="AB25" i="59"/>
  <c r="AA22" i="59"/>
  <c r="AB22" i="59"/>
  <c r="AA23" i="59"/>
  <c r="AB23" i="59"/>
  <c r="AA24" i="59"/>
  <c r="AB24" i="59"/>
  <c r="AA20" i="59"/>
  <c r="AB20" i="59"/>
  <c r="AA21" i="59"/>
  <c r="AB21" i="59"/>
  <c r="N36" i="58"/>
  <c r="O57" i="61"/>
  <c r="R57" i="51"/>
  <c r="S57" i="51"/>
  <c r="U57" i="51"/>
  <c r="W57" i="51"/>
  <c r="X57" i="51"/>
  <c r="X44" i="57"/>
  <c r="Y44" i="57"/>
  <c r="P57" i="61"/>
  <c r="O36" i="58"/>
  <c r="AS47" i="52"/>
  <c r="AT47" i="52"/>
  <c r="AS46" i="52"/>
  <c r="AT46" i="52"/>
  <c r="AS45" i="52"/>
  <c r="AT45" i="52"/>
  <c r="N35" i="58"/>
  <c r="O35" i="58"/>
  <c r="X43" i="57"/>
  <c r="O56" i="61"/>
  <c r="P56" i="61"/>
  <c r="R56" i="51"/>
  <c r="S56" i="51"/>
  <c r="U56" i="51"/>
  <c r="W56" i="51"/>
  <c r="W38" i="74"/>
  <c r="N34" i="58"/>
  <c r="O34" i="58"/>
  <c r="O55" i="61"/>
  <c r="P55" i="61"/>
  <c r="R55" i="51"/>
  <c r="S55" i="51"/>
  <c r="U55" i="51"/>
  <c r="W55" i="51"/>
  <c r="X55" i="51"/>
  <c r="X42" i="57"/>
  <c r="Y42" i="57"/>
  <c r="X38" i="74"/>
  <c r="Y38" i="74"/>
  <c r="Y43" i="57"/>
  <c r="N33" i="58"/>
  <c r="X41" i="57"/>
  <c r="O54" i="61"/>
  <c r="R54" i="51"/>
  <c r="S54" i="51"/>
  <c r="U54" i="51"/>
  <c r="W54" i="51"/>
  <c r="X54" i="51"/>
  <c r="AS42" i="52"/>
  <c r="AS43" i="52"/>
  <c r="AS44" i="52"/>
  <c r="Y41" i="57"/>
  <c r="P54" i="61"/>
  <c r="O33" i="58"/>
  <c r="AT44" i="52"/>
  <c r="AT43" i="52"/>
  <c r="AT42" i="52"/>
  <c r="N32" i="58"/>
  <c r="X40" i="57"/>
  <c r="O53" i="61"/>
  <c r="R53" i="51"/>
  <c r="S53" i="51"/>
  <c r="U53" i="51"/>
  <c r="W53" i="51"/>
  <c r="X53" i="51"/>
  <c r="Y40" i="57"/>
  <c r="P53" i="61"/>
  <c r="O32" i="58"/>
  <c r="O19" i="61"/>
  <c r="P19" i="61"/>
  <c r="X39" i="57"/>
  <c r="O52" i="61"/>
  <c r="P52" i="61"/>
  <c r="R52" i="51"/>
  <c r="S52" i="51"/>
  <c r="U52" i="51"/>
  <c r="Z67" i="51"/>
  <c r="N31" i="58"/>
  <c r="O31" i="58"/>
  <c r="Q38" i="58"/>
  <c r="Y39" i="57"/>
  <c r="W35" i="74"/>
  <c r="X35" i="74"/>
  <c r="W36" i="74"/>
  <c r="X36" i="74"/>
  <c r="Y36" i="74"/>
  <c r="Y35" i="74"/>
  <c r="N30" i="58"/>
  <c r="O30" i="58"/>
  <c r="X38" i="57"/>
  <c r="O51" i="61"/>
  <c r="P51" i="61"/>
  <c r="R51" i="51"/>
  <c r="S51" i="51"/>
  <c r="U51" i="51"/>
  <c r="W51" i="51"/>
  <c r="X51" i="51"/>
  <c r="AA17" i="59"/>
  <c r="AB17" i="59"/>
  <c r="W34" i="74"/>
  <c r="X34" i="74"/>
  <c r="Y34" i="74"/>
  <c r="AA16" i="59"/>
  <c r="AB16" i="59"/>
  <c r="W33" i="74"/>
  <c r="X33" i="74"/>
  <c r="W32" i="74"/>
  <c r="X32" i="74"/>
  <c r="Y32" i="74"/>
  <c r="O50" i="61"/>
  <c r="P50" i="61"/>
  <c r="N29" i="58"/>
  <c r="X37" i="57"/>
  <c r="R50" i="51"/>
  <c r="S50" i="51"/>
  <c r="U50" i="51"/>
  <c r="W50" i="51"/>
  <c r="X50" i="51"/>
  <c r="Y33" i="74"/>
  <c r="AS40" i="52"/>
  <c r="AT40" i="52"/>
  <c r="AS39" i="52"/>
  <c r="AT39" i="52"/>
  <c r="AS41" i="52"/>
  <c r="AT41" i="52"/>
  <c r="AS38" i="52"/>
  <c r="AT38" i="52"/>
  <c r="O29" i="58"/>
  <c r="O48" i="61"/>
  <c r="O49" i="61"/>
  <c r="X35" i="57"/>
  <c r="N27" i="58"/>
  <c r="N28" i="58"/>
  <c r="U48" i="51"/>
  <c r="U49" i="51"/>
  <c r="R48" i="51"/>
  <c r="S48" i="51"/>
  <c r="W48" i="51"/>
  <c r="X48" i="51"/>
  <c r="R49" i="51"/>
  <c r="S49" i="51"/>
  <c r="W49" i="51"/>
  <c r="X49" i="51"/>
  <c r="P48" i="61"/>
  <c r="P49" i="61"/>
  <c r="X36" i="57"/>
  <c r="O28" i="58"/>
  <c r="O27" i="58"/>
  <c r="K17" i="19"/>
  <c r="K8" i="19"/>
  <c r="N26" i="58"/>
  <c r="O26" i="58"/>
  <c r="X34" i="57"/>
  <c r="O47" i="61"/>
  <c r="P47" i="61"/>
  <c r="R47" i="51"/>
  <c r="S47" i="51"/>
  <c r="U47" i="51"/>
  <c r="W47" i="51"/>
  <c r="X47" i="51"/>
  <c r="AA15" i="59"/>
  <c r="AB15" i="59"/>
  <c r="AI15" i="59"/>
  <c r="AJ15" i="59"/>
  <c r="W7" i="74"/>
  <c r="W8" i="74"/>
  <c r="W9" i="74"/>
  <c r="W10" i="74"/>
  <c r="W11" i="74"/>
  <c r="W12" i="74"/>
  <c r="W13" i="74"/>
  <c r="W14" i="74"/>
  <c r="W15" i="74"/>
  <c r="W16" i="74"/>
  <c r="W17" i="74"/>
  <c r="W18" i="74"/>
  <c r="W19" i="74"/>
  <c r="W20" i="74"/>
  <c r="W21" i="74"/>
  <c r="W22" i="74"/>
  <c r="W23" i="74"/>
  <c r="W24" i="74"/>
  <c r="W25" i="74"/>
  <c r="W26" i="74"/>
  <c r="W27" i="74"/>
  <c r="W28" i="74"/>
  <c r="W29" i="74"/>
  <c r="W30" i="74"/>
  <c r="W31" i="74"/>
  <c r="W6" i="74"/>
  <c r="AA13" i="59"/>
  <c r="AB13" i="59"/>
  <c r="AA14" i="59"/>
  <c r="AB14" i="59"/>
  <c r="R46" i="51"/>
  <c r="S46" i="51"/>
  <c r="U46" i="51"/>
  <c r="W46" i="51"/>
  <c r="X33" i="57"/>
  <c r="O46" i="61"/>
  <c r="X31" i="74"/>
  <c r="Y31" i="74"/>
  <c r="N25" i="58"/>
  <c r="O25" i="58"/>
  <c r="P46" i="61"/>
  <c r="X30" i="74"/>
  <c r="Y30" i="74"/>
  <c r="X29" i="74"/>
  <c r="Y29" i="74"/>
  <c r="X27" i="74"/>
  <c r="X26" i="74"/>
  <c r="Y26" i="74"/>
  <c r="X24" i="74"/>
  <c r="X23" i="74"/>
  <c r="Y23" i="74"/>
  <c r="X20" i="74"/>
  <c r="X19" i="74"/>
  <c r="Y19" i="74"/>
  <c r="X18" i="74"/>
  <c r="Y18" i="74"/>
  <c r="X15" i="74"/>
  <c r="Y15" i="74"/>
  <c r="X13" i="74"/>
  <c r="X12" i="74"/>
  <c r="Y12" i="74"/>
  <c r="X11" i="74"/>
  <c r="Y11" i="74"/>
  <c r="X8" i="74"/>
  <c r="Y8" i="74"/>
  <c r="X7" i="74"/>
  <c r="Y7" i="74"/>
  <c r="X6" i="74"/>
  <c r="Y6" i="74"/>
  <c r="N24" i="58"/>
  <c r="X32" i="57"/>
  <c r="O45" i="61"/>
  <c r="P45" i="61"/>
  <c r="R45" i="51"/>
  <c r="S45" i="51"/>
  <c r="U45" i="51"/>
  <c r="W45" i="51"/>
  <c r="X45" i="51"/>
  <c r="Y13" i="74"/>
  <c r="Y20" i="74"/>
  <c r="X9" i="74"/>
  <c r="Y9" i="74"/>
  <c r="X16" i="74"/>
  <c r="Y16" i="74"/>
  <c r="X10" i="74"/>
  <c r="Y10" i="74"/>
  <c r="X14" i="74"/>
  <c r="Y14" i="74"/>
  <c r="X17" i="74"/>
  <c r="Y17" i="74"/>
  <c r="X22" i="74"/>
  <c r="Y22" i="74"/>
  <c r="X25" i="74"/>
  <c r="Y25" i="74"/>
  <c r="Y27" i="74"/>
  <c r="X21" i="74"/>
  <c r="Y21" i="74"/>
  <c r="Y24" i="74"/>
  <c r="X28" i="74"/>
  <c r="Y28" i="74"/>
  <c r="O24" i="58"/>
  <c r="AB38" i="54"/>
  <c r="AC38" i="54"/>
  <c r="AA11" i="59"/>
  <c r="AB11" i="59"/>
  <c r="AA12" i="59"/>
  <c r="AB12" i="59"/>
  <c r="AA10" i="59"/>
  <c r="AB10" i="59"/>
  <c r="O42" i="61"/>
  <c r="O44" i="61"/>
  <c r="P44" i="61"/>
  <c r="X31" i="57"/>
  <c r="R44" i="51"/>
  <c r="S44" i="51"/>
  <c r="U44" i="51"/>
  <c r="R43" i="51"/>
  <c r="S43" i="51"/>
  <c r="U43" i="51"/>
  <c r="W43" i="51"/>
  <c r="X43" i="51"/>
  <c r="X29" i="57"/>
  <c r="N21" i="58"/>
  <c r="AB37" i="54"/>
  <c r="AC37" i="54"/>
  <c r="N23" i="58"/>
  <c r="O23" i="58"/>
  <c r="O43" i="61"/>
  <c r="P43" i="61"/>
  <c r="P42" i="61"/>
  <c r="O21" i="58"/>
  <c r="X30" i="57"/>
  <c r="U27" i="49"/>
  <c r="V27" i="49"/>
  <c r="N22" i="58"/>
  <c r="O22" i="58"/>
  <c r="O18" i="61"/>
  <c r="O20" i="61"/>
  <c r="P20" i="61"/>
  <c r="S28" i="57"/>
  <c r="T28" i="57"/>
  <c r="U41" i="48"/>
  <c r="R41" i="51"/>
  <c r="S41" i="51"/>
  <c r="U41" i="51"/>
  <c r="R42" i="51"/>
  <c r="S42" i="51"/>
  <c r="U42" i="51"/>
  <c r="W42" i="51"/>
  <c r="X42" i="51"/>
  <c r="W41" i="51"/>
  <c r="X41" i="51"/>
  <c r="P18" i="61"/>
  <c r="X28" i="57"/>
  <c r="N20" i="58"/>
  <c r="O20" i="58"/>
  <c r="AB33" i="54"/>
  <c r="AC33" i="54"/>
  <c r="AD33" i="54"/>
  <c r="AB34" i="54"/>
  <c r="AC34" i="54"/>
  <c r="AB35" i="54"/>
  <c r="AC35" i="54"/>
  <c r="AB36" i="54"/>
  <c r="AB40" i="54"/>
  <c r="AB39" i="54"/>
  <c r="AC39" i="54"/>
  <c r="O17" i="61"/>
  <c r="P17" i="61"/>
  <c r="R34" i="48"/>
  <c r="U34" i="48"/>
  <c r="V34" i="48"/>
  <c r="W34" i="48"/>
  <c r="U35" i="48"/>
  <c r="V35" i="48"/>
  <c r="W35" i="48"/>
  <c r="U36" i="48"/>
  <c r="V36" i="48"/>
  <c r="W36" i="48"/>
  <c r="U37" i="48"/>
  <c r="V37" i="48"/>
  <c r="U38" i="48"/>
  <c r="U39" i="48"/>
  <c r="U40" i="48"/>
  <c r="N19" i="58"/>
  <c r="O19" i="58"/>
  <c r="S27" i="57"/>
  <c r="T27" i="57"/>
  <c r="X27" i="57"/>
  <c r="R40" i="51"/>
  <c r="S40" i="51"/>
  <c r="U40" i="51"/>
  <c r="W40" i="51"/>
  <c r="X40" i="51"/>
  <c r="W37" i="48"/>
  <c r="Z52" i="48"/>
  <c r="AC40" i="54"/>
  <c r="J27" i="19"/>
  <c r="K27" i="19"/>
  <c r="AD35" i="54"/>
  <c r="AD40" i="54"/>
  <c r="AB30" i="54"/>
  <c r="AC30" i="54"/>
  <c r="AB31" i="54"/>
  <c r="AB32" i="54"/>
  <c r="AC32" i="54"/>
  <c r="AC44" i="54"/>
  <c r="AD44" i="54"/>
  <c r="AC45" i="54"/>
  <c r="AC46" i="54"/>
  <c r="AC47" i="54"/>
  <c r="AD47" i="54"/>
  <c r="AB48" i="54"/>
  <c r="AB6" i="54"/>
  <c r="AB7" i="54"/>
  <c r="AB8" i="54"/>
  <c r="AB9" i="54"/>
  <c r="AB10" i="54"/>
  <c r="AB11" i="54"/>
  <c r="AB12" i="54"/>
  <c r="AB13" i="54"/>
  <c r="AB14" i="54"/>
  <c r="AB15" i="54"/>
  <c r="AB16" i="54"/>
  <c r="AB17" i="54"/>
  <c r="AB18" i="54"/>
  <c r="AB19" i="54"/>
  <c r="AB20" i="54"/>
  <c r="AB21" i="54"/>
  <c r="AB22" i="54"/>
  <c r="AB23" i="54"/>
  <c r="AB24" i="54"/>
  <c r="AB25" i="54"/>
  <c r="AB26" i="54"/>
  <c r="AB27" i="54"/>
  <c r="AB28" i="54"/>
  <c r="AB29" i="54"/>
  <c r="AB50" i="54"/>
  <c r="AB51" i="54"/>
  <c r="AB52" i="54"/>
  <c r="AB53" i="54"/>
  <c r="AB54" i="54"/>
  <c r="AG5" i="54"/>
  <c r="AC48" i="54"/>
  <c r="AD48" i="54"/>
  <c r="AC50" i="54"/>
  <c r="AC52" i="54"/>
  <c r="AD52" i="54"/>
  <c r="AC53" i="54"/>
  <c r="AD53" i="54"/>
  <c r="AC54" i="54"/>
  <c r="AD54" i="54"/>
  <c r="Y30" i="54"/>
  <c r="AC31" i="54"/>
  <c r="AD31" i="54"/>
  <c r="AC43" i="54"/>
  <c r="AD43" i="54"/>
  <c r="AD46" i="54"/>
  <c r="AD50" i="54"/>
  <c r="AD45" i="54"/>
  <c r="T26" i="57"/>
  <c r="S26" i="57"/>
  <c r="U39" i="51"/>
  <c r="S39" i="51"/>
  <c r="R39" i="51"/>
  <c r="X26" i="57"/>
  <c r="N18" i="58"/>
  <c r="O18" i="58"/>
  <c r="W39" i="51"/>
  <c r="X39" i="51"/>
  <c r="U29" i="49"/>
  <c r="U36" i="49"/>
  <c r="V36" i="49"/>
  <c r="U38" i="49"/>
  <c r="V38" i="49"/>
  <c r="W38" i="49"/>
  <c r="U40" i="49"/>
  <c r="V40" i="49"/>
  <c r="W40" i="49"/>
  <c r="U23" i="49"/>
  <c r="V23" i="49"/>
  <c r="W23" i="49"/>
  <c r="U31" i="49"/>
  <c r="V31" i="49"/>
  <c r="U33" i="49"/>
  <c r="V33" i="49"/>
  <c r="W33" i="49"/>
  <c r="U34" i="49"/>
  <c r="U35" i="49"/>
  <c r="V35" i="49"/>
  <c r="W35" i="49"/>
  <c r="U37" i="49"/>
  <c r="V37" i="49"/>
  <c r="U39" i="49"/>
  <c r="V39" i="49"/>
  <c r="U41" i="49"/>
  <c r="V41" i="49"/>
  <c r="U42" i="49"/>
  <c r="U43" i="49"/>
  <c r="V43" i="49"/>
  <c r="U32" i="49"/>
  <c r="V32" i="49"/>
  <c r="W32" i="49"/>
  <c r="AS67" i="52"/>
  <c r="AS68" i="52"/>
  <c r="AS69" i="52"/>
  <c r="AS70" i="52"/>
  <c r="AS71" i="52"/>
  <c r="AS72" i="52"/>
  <c r="AS73" i="52"/>
  <c r="AS74" i="52"/>
  <c r="AS75" i="52"/>
  <c r="AS79" i="52"/>
  <c r="AS80" i="52"/>
  <c r="AS81" i="52"/>
  <c r="AS82" i="52"/>
  <c r="AS83" i="52"/>
  <c r="AS84" i="52"/>
  <c r="AS85" i="52"/>
  <c r="AS86" i="52"/>
  <c r="AS87" i="52"/>
  <c r="AS88" i="52"/>
  <c r="AS89" i="52"/>
  <c r="AS90" i="52"/>
  <c r="AS91" i="52"/>
  <c r="AS92" i="52"/>
  <c r="AS93" i="52"/>
  <c r="AS94" i="52"/>
  <c r="AS95" i="52"/>
  <c r="AS96" i="52"/>
  <c r="AS97" i="52"/>
  <c r="AS98" i="52"/>
  <c r="AS99" i="52"/>
  <c r="AS100" i="52"/>
  <c r="AS101" i="52"/>
  <c r="AS102" i="52"/>
  <c r="AS103" i="52"/>
  <c r="AS104" i="52"/>
  <c r="AS105" i="52"/>
  <c r="AS106" i="52"/>
  <c r="AS26" i="52"/>
  <c r="AS27" i="52"/>
  <c r="AS28" i="52"/>
  <c r="AS29" i="52"/>
  <c r="AS30" i="52"/>
  <c r="AS31" i="52"/>
  <c r="AS32" i="52"/>
  <c r="AS33" i="52"/>
  <c r="AS34" i="52"/>
  <c r="AS35" i="52"/>
  <c r="AS36" i="52"/>
  <c r="AS37" i="52"/>
  <c r="AS61" i="52"/>
  <c r="AS63" i="52"/>
  <c r="T25" i="57"/>
  <c r="S25" i="57"/>
  <c r="N17" i="58"/>
  <c r="O17" i="58"/>
  <c r="X25" i="57"/>
  <c r="V13" i="48"/>
  <c r="W13" i="48"/>
  <c r="U13" i="48"/>
  <c r="V12" i="48"/>
  <c r="W12" i="48"/>
  <c r="X12" i="48"/>
  <c r="U12" i="48"/>
  <c r="U33" i="48"/>
  <c r="U19" i="51"/>
  <c r="U20" i="51"/>
  <c r="U21" i="51"/>
  <c r="U22" i="51"/>
  <c r="U23" i="51"/>
  <c r="U24" i="51"/>
  <c r="U25" i="51"/>
  <c r="U26" i="51"/>
  <c r="U27" i="51"/>
  <c r="U28" i="51"/>
  <c r="U29" i="51"/>
  <c r="U30" i="51"/>
  <c r="U31" i="51"/>
  <c r="U32" i="51"/>
  <c r="U33" i="51"/>
  <c r="U34" i="51"/>
  <c r="U35" i="51"/>
  <c r="U36" i="51"/>
  <c r="U37" i="51"/>
  <c r="U38" i="51"/>
  <c r="U85" i="51"/>
  <c r="U86" i="51"/>
  <c r="U87" i="51"/>
  <c r="U92" i="51"/>
  <c r="U93" i="51"/>
  <c r="U94" i="51"/>
  <c r="U95" i="51"/>
  <c r="U97" i="51"/>
  <c r="U98" i="51"/>
  <c r="U99" i="51"/>
  <c r="U100" i="51"/>
  <c r="W13" i="51"/>
  <c r="X13" i="51"/>
  <c r="W15" i="51"/>
  <c r="W17" i="51"/>
  <c r="X17" i="51"/>
  <c r="W19" i="51"/>
  <c r="X19" i="51"/>
  <c r="W21" i="51"/>
  <c r="X21" i="51"/>
  <c r="Z24" i="51"/>
  <c r="W25" i="51"/>
  <c r="X25" i="51"/>
  <c r="W28" i="51"/>
  <c r="W30" i="51"/>
  <c r="X30" i="51"/>
  <c r="W32" i="51"/>
  <c r="W34" i="51"/>
  <c r="X34" i="51"/>
  <c r="W36" i="51"/>
  <c r="Z51" i="51"/>
  <c r="V8" i="48"/>
  <c r="W8" i="48"/>
  <c r="X8" i="48"/>
  <c r="V9" i="48"/>
  <c r="W9" i="48"/>
  <c r="V10" i="48"/>
  <c r="W10" i="48"/>
  <c r="X10" i="48"/>
  <c r="V11" i="48"/>
  <c r="V14" i="48"/>
  <c r="W14" i="48"/>
  <c r="X14" i="48"/>
  <c r="V15" i="48"/>
  <c r="V16" i="48"/>
  <c r="W16" i="48"/>
  <c r="V17" i="48"/>
  <c r="V18" i="48"/>
  <c r="W18" i="48"/>
  <c r="X18" i="48"/>
  <c r="V19" i="48"/>
  <c r="W19" i="48"/>
  <c r="V20" i="48"/>
  <c r="W20" i="48"/>
  <c r="V21" i="48"/>
  <c r="V22" i="48"/>
  <c r="W22" i="48"/>
  <c r="V23" i="48"/>
  <c r="V24" i="48"/>
  <c r="W24" i="48"/>
  <c r="X24" i="48"/>
  <c r="V25" i="48"/>
  <c r="V26" i="48"/>
  <c r="W26" i="48"/>
  <c r="X26" i="48"/>
  <c r="V27" i="48"/>
  <c r="V28" i="48"/>
  <c r="W28" i="48"/>
  <c r="V29" i="48"/>
  <c r="V30" i="48"/>
  <c r="W30" i="48"/>
  <c r="X30" i="48"/>
  <c r="V31" i="48"/>
  <c r="W31" i="48"/>
  <c r="V32" i="48"/>
  <c r="W32" i="48"/>
  <c r="V33" i="48"/>
  <c r="V7" i="48"/>
  <c r="Z15" i="51"/>
  <c r="U25" i="49"/>
  <c r="V25" i="49"/>
  <c r="W25" i="49"/>
  <c r="U26" i="49"/>
  <c r="V26" i="49"/>
  <c r="U28" i="49"/>
  <c r="V28" i="49"/>
  <c r="W28" i="49"/>
  <c r="U24" i="49"/>
  <c r="V24" i="49"/>
  <c r="W24" i="49"/>
  <c r="AS9" i="52"/>
  <c r="AT9" i="52"/>
  <c r="AS10" i="52"/>
  <c r="AT10" i="52"/>
  <c r="AS11" i="52"/>
  <c r="AS12" i="52"/>
  <c r="AS13" i="52"/>
  <c r="AS14" i="52"/>
  <c r="AS15" i="52"/>
  <c r="AS16" i="52"/>
  <c r="AS17" i="52"/>
  <c r="AT17" i="52"/>
  <c r="AS20" i="52"/>
  <c r="AS19" i="52"/>
  <c r="AS8" i="52"/>
  <c r="AT8" i="52"/>
  <c r="AS7" i="52"/>
  <c r="AT7" i="52"/>
  <c r="AS6" i="52"/>
  <c r="AT6" i="52"/>
  <c r="AT16" i="52"/>
  <c r="AT15" i="52"/>
  <c r="AT14" i="52"/>
  <c r="AT13" i="52"/>
  <c r="AT12" i="52"/>
  <c r="AT11" i="52"/>
  <c r="W10" i="51"/>
  <c r="X10" i="51"/>
  <c r="W14" i="51"/>
  <c r="X14" i="51"/>
  <c r="S14" i="51"/>
  <c r="S15" i="51"/>
  <c r="S16" i="51"/>
  <c r="S17" i="51"/>
  <c r="S18" i="51"/>
  <c r="W18" i="51"/>
  <c r="W20" i="51"/>
  <c r="U10" i="51"/>
  <c r="U13" i="51"/>
  <c r="U14" i="51"/>
  <c r="U15" i="51"/>
  <c r="U16" i="51"/>
  <c r="U17" i="51"/>
  <c r="U18" i="51"/>
  <c r="U9" i="51"/>
  <c r="W9" i="51"/>
  <c r="X9" i="51"/>
  <c r="S9" i="51"/>
  <c r="AS18" i="52"/>
  <c r="AT18" i="52"/>
  <c r="AT20" i="52"/>
  <c r="AT19" i="52"/>
  <c r="R9" i="51"/>
  <c r="W16" i="51"/>
  <c r="X16" i="51"/>
  <c r="X20" i="51"/>
  <c r="X18" i="51"/>
  <c r="R19" i="48"/>
  <c r="U19" i="48"/>
  <c r="R20" i="48"/>
  <c r="U20" i="48"/>
  <c r="R21" i="48"/>
  <c r="U21" i="48"/>
  <c r="W21" i="48"/>
  <c r="X21" i="48"/>
  <c r="U18" i="48"/>
  <c r="R18" i="48"/>
  <c r="R22" i="48"/>
  <c r="U22" i="48"/>
  <c r="R23" i="48"/>
  <c r="U23" i="48"/>
  <c r="R24" i="48"/>
  <c r="U24" i="48"/>
  <c r="R25" i="48"/>
  <c r="U25" i="48"/>
  <c r="R26" i="48"/>
  <c r="U26" i="48"/>
  <c r="R27" i="48"/>
  <c r="U27" i="48"/>
  <c r="R28" i="48"/>
  <c r="U28" i="48"/>
  <c r="R29" i="48"/>
  <c r="U29" i="48"/>
  <c r="R30" i="48"/>
  <c r="U30" i="48"/>
  <c r="R31" i="48"/>
  <c r="U31" i="48"/>
  <c r="R32" i="48"/>
  <c r="U32" i="48"/>
  <c r="U8" i="48"/>
  <c r="U9" i="48"/>
  <c r="U10" i="48"/>
  <c r="U11" i="48"/>
  <c r="U14" i="48"/>
  <c r="U15" i="48"/>
  <c r="U16" i="48"/>
  <c r="U17" i="48"/>
  <c r="U7" i="48"/>
  <c r="R8" i="48"/>
  <c r="R9" i="48"/>
  <c r="R10" i="48"/>
  <c r="R11" i="48"/>
  <c r="R14" i="48"/>
  <c r="R15" i="48"/>
  <c r="R16" i="48"/>
  <c r="R17" i="48"/>
  <c r="R7" i="48"/>
  <c r="W29" i="48"/>
  <c r="X29" i="48"/>
  <c r="W17" i="48"/>
  <c r="X17" i="48"/>
  <c r="W23" i="48"/>
  <c r="Q22" i="49"/>
  <c r="R22" i="49"/>
  <c r="T22" i="49"/>
  <c r="Q24" i="49"/>
  <c r="R24" i="49"/>
  <c r="T24" i="49"/>
  <c r="Q25" i="49"/>
  <c r="R25" i="49"/>
  <c r="T25" i="49"/>
  <c r="Q26" i="49"/>
  <c r="R26" i="49"/>
  <c r="T26" i="49"/>
  <c r="Q28" i="49"/>
  <c r="R28" i="49"/>
  <c r="T28" i="49"/>
  <c r="Q32" i="49"/>
  <c r="R32" i="49"/>
  <c r="T32" i="49"/>
  <c r="Q12" i="49"/>
  <c r="R12" i="49"/>
  <c r="Q13" i="49"/>
  <c r="R13" i="49"/>
  <c r="Q14" i="49"/>
  <c r="R14" i="49"/>
  <c r="Q15" i="49"/>
  <c r="R15" i="49"/>
  <c r="Q16" i="49"/>
  <c r="R16" i="49"/>
  <c r="Q17" i="49"/>
  <c r="R17" i="49"/>
  <c r="Q18" i="49"/>
  <c r="R18" i="49"/>
  <c r="Q19" i="49"/>
  <c r="R19" i="49"/>
  <c r="Q20" i="49"/>
  <c r="R20" i="49"/>
  <c r="Q21" i="49"/>
  <c r="R21" i="49"/>
  <c r="T11" i="49"/>
  <c r="T12" i="49"/>
  <c r="T13" i="49"/>
  <c r="T14" i="49"/>
  <c r="T15" i="49"/>
  <c r="T16" i="49"/>
  <c r="T17" i="49"/>
  <c r="T18" i="49"/>
  <c r="T19" i="49"/>
  <c r="T20" i="49"/>
  <c r="T21" i="49"/>
  <c r="Q11" i="49"/>
  <c r="R11" i="49"/>
  <c r="T10" i="49"/>
  <c r="R10" i="49"/>
  <c r="T8" i="49"/>
  <c r="R8" i="49"/>
  <c r="Q9" i="49"/>
  <c r="R9" i="49"/>
  <c r="T9" i="49"/>
  <c r="T7" i="49"/>
  <c r="Q7" i="49"/>
  <c r="R7" i="49"/>
  <c r="T6" i="49"/>
  <c r="W11" i="48"/>
  <c r="X11" i="48"/>
  <c r="W25" i="48"/>
  <c r="X25" i="48"/>
  <c r="G13" i="19"/>
  <c r="K13" i="19"/>
  <c r="O109" i="61"/>
  <c r="P109" i="61"/>
  <c r="O105" i="61"/>
  <c r="P105" i="61"/>
  <c r="O104" i="61"/>
  <c r="P104" i="61"/>
  <c r="O103" i="61"/>
  <c r="P103" i="61"/>
  <c r="O102" i="61"/>
  <c r="P102" i="61"/>
  <c r="O98" i="61"/>
  <c r="P98" i="61"/>
  <c r="O97" i="61"/>
  <c r="P97" i="61"/>
  <c r="O96" i="61"/>
  <c r="P96" i="61"/>
  <c r="O95" i="61"/>
  <c r="P95" i="61"/>
  <c r="O94" i="61"/>
  <c r="P94" i="61"/>
  <c r="O93" i="61"/>
  <c r="P93" i="61"/>
  <c r="O89" i="61"/>
  <c r="P89" i="61"/>
  <c r="O88" i="61"/>
  <c r="P88" i="61"/>
  <c r="O87" i="61"/>
  <c r="P87" i="61"/>
  <c r="O86" i="61"/>
  <c r="P86" i="61"/>
  <c r="O85" i="61"/>
  <c r="P85" i="61"/>
  <c r="O84" i="61"/>
  <c r="P84" i="61"/>
  <c r="O83" i="61"/>
  <c r="P83" i="61"/>
  <c r="O82" i="61"/>
  <c r="P82" i="61"/>
  <c r="O16" i="61"/>
  <c r="P16" i="61"/>
  <c r="O15" i="61"/>
  <c r="P15" i="61"/>
  <c r="O14" i="61"/>
  <c r="P14" i="61"/>
  <c r="O13" i="61"/>
  <c r="P13" i="61"/>
  <c r="O12" i="61"/>
  <c r="P12" i="61"/>
  <c r="O11" i="61"/>
  <c r="P11" i="61"/>
  <c r="O10" i="61"/>
  <c r="P10" i="61"/>
  <c r="O9" i="61"/>
  <c r="P9" i="61"/>
  <c r="O8" i="61"/>
  <c r="P8" i="61"/>
  <c r="O7" i="61"/>
  <c r="P7" i="61"/>
  <c r="O6" i="61"/>
  <c r="P6" i="61"/>
  <c r="AB117" i="59"/>
  <c r="AA117" i="59"/>
  <c r="AB116" i="59"/>
  <c r="AA116" i="59"/>
  <c r="AB115" i="59"/>
  <c r="AA115" i="59"/>
  <c r="AB114" i="59"/>
  <c r="AA114" i="59"/>
  <c r="AB113" i="59"/>
  <c r="AA113" i="59"/>
  <c r="AB112" i="59"/>
  <c r="AA112" i="59"/>
  <c r="AB111" i="59"/>
  <c r="AA111" i="59"/>
  <c r="AB109" i="59"/>
  <c r="AA109" i="59"/>
  <c r="AB108" i="59"/>
  <c r="AA108" i="59"/>
  <c r="AB110" i="59"/>
  <c r="AA110" i="59"/>
  <c r="AB107" i="59"/>
  <c r="AA107" i="59"/>
  <c r="AB106" i="59"/>
  <c r="AA106" i="59"/>
  <c r="AB105" i="59"/>
  <c r="AA105" i="59"/>
  <c r="AB104" i="59"/>
  <c r="AA104" i="59"/>
  <c r="AB103" i="59"/>
  <c r="AA103" i="59"/>
  <c r="AB102" i="59"/>
  <c r="AA102" i="59"/>
  <c r="AB101" i="59"/>
  <c r="AA101" i="59"/>
  <c r="AB100" i="59"/>
  <c r="AA100" i="59"/>
  <c r="AB99" i="59"/>
  <c r="AA99" i="59"/>
  <c r="AB98" i="59"/>
  <c r="AA98" i="59"/>
  <c r="AB97" i="59"/>
  <c r="AA97" i="59"/>
  <c r="AB96" i="59"/>
  <c r="AA96" i="59"/>
  <c r="AI95" i="59"/>
  <c r="AB95" i="59"/>
  <c r="AA95" i="59"/>
  <c r="AB94" i="59"/>
  <c r="AA94" i="59"/>
  <c r="AB93" i="59"/>
  <c r="AA93" i="59"/>
  <c r="AB92" i="59"/>
  <c r="AA92" i="59"/>
  <c r="AI91" i="59"/>
  <c r="AB91" i="59"/>
  <c r="AA91" i="59"/>
  <c r="AB90" i="59"/>
  <c r="AA90" i="59"/>
  <c r="AB89" i="59"/>
  <c r="AA89" i="59"/>
  <c r="AB86" i="59"/>
  <c r="AA86" i="59"/>
  <c r="AI85" i="59"/>
  <c r="AB85" i="59"/>
  <c r="AA85" i="59"/>
  <c r="AB84" i="59"/>
  <c r="AA84" i="59"/>
  <c r="AB83" i="59"/>
  <c r="AA83" i="59"/>
  <c r="AB82" i="59"/>
  <c r="AA82" i="59"/>
  <c r="AI80" i="59"/>
  <c r="AB80" i="59"/>
  <c r="AA80" i="59"/>
  <c r="AB79" i="59"/>
  <c r="AA79" i="59"/>
  <c r="AB76" i="59"/>
  <c r="AA76" i="59"/>
  <c r="AB75" i="59"/>
  <c r="AA75" i="59"/>
  <c r="AI74" i="59"/>
  <c r="AB74" i="59"/>
  <c r="AA74" i="59"/>
  <c r="AB73" i="59"/>
  <c r="AA73" i="59"/>
  <c r="AB72" i="59"/>
  <c r="AA72" i="59"/>
  <c r="AB71" i="59"/>
  <c r="AA71" i="59"/>
  <c r="AI70" i="59"/>
  <c r="AB70" i="59"/>
  <c r="AA70" i="59"/>
  <c r="AB69" i="59"/>
  <c r="AA69" i="59"/>
  <c r="AB68" i="59"/>
  <c r="AA68" i="59"/>
  <c r="AB67" i="59"/>
  <c r="AA67" i="59"/>
  <c r="AI66" i="59"/>
  <c r="AB66" i="59"/>
  <c r="AA66" i="59"/>
  <c r="AB65" i="59"/>
  <c r="AA65" i="59"/>
  <c r="AB64" i="59"/>
  <c r="AA64" i="59"/>
  <c r="AI63" i="59"/>
  <c r="AB63" i="59"/>
  <c r="AA63" i="59"/>
  <c r="AI62" i="59"/>
  <c r="AJ62" i="59"/>
  <c r="AB62" i="59"/>
  <c r="AA62" i="59"/>
  <c r="AB61" i="59"/>
  <c r="AA61" i="59"/>
  <c r="AB60" i="59"/>
  <c r="AA60" i="59"/>
  <c r="AB19" i="59"/>
  <c r="AA19" i="59"/>
  <c r="AI18" i="59"/>
  <c r="AB18" i="59"/>
  <c r="AA18" i="59"/>
  <c r="AB9" i="59"/>
  <c r="AA9" i="59"/>
  <c r="AB8" i="59"/>
  <c r="AA8" i="59"/>
  <c r="AB7" i="59"/>
  <c r="AA7" i="59"/>
  <c r="AI6" i="59"/>
  <c r="AB6" i="59"/>
  <c r="AA6" i="59"/>
  <c r="N16" i="58"/>
  <c r="O16" i="58"/>
  <c r="N15" i="58"/>
  <c r="O15" i="58"/>
  <c r="N14" i="58"/>
  <c r="O14" i="58"/>
  <c r="N13" i="58"/>
  <c r="O13" i="58"/>
  <c r="N12" i="58"/>
  <c r="O12" i="58"/>
  <c r="N11" i="58"/>
  <c r="O11" i="58"/>
  <c r="N10" i="58"/>
  <c r="O10" i="58"/>
  <c r="N9" i="58"/>
  <c r="O9" i="58"/>
  <c r="N8" i="58"/>
  <c r="O8" i="58"/>
  <c r="N7" i="58"/>
  <c r="O7" i="58"/>
  <c r="N6" i="58"/>
  <c r="O6" i="58"/>
  <c r="X24" i="57"/>
  <c r="T24" i="57"/>
  <c r="S24" i="57"/>
  <c r="X23" i="57"/>
  <c r="Y23" i="57"/>
  <c r="T23" i="57"/>
  <c r="S23" i="57"/>
  <c r="X22" i="57"/>
  <c r="Y22" i="57"/>
  <c r="T22" i="57"/>
  <c r="S22" i="57"/>
  <c r="X21" i="57"/>
  <c r="Y21" i="57"/>
  <c r="T21" i="57"/>
  <c r="S21" i="57"/>
  <c r="X20" i="57"/>
  <c r="Y20" i="57"/>
  <c r="T20" i="57"/>
  <c r="S20" i="57"/>
  <c r="X19" i="57"/>
  <c r="Y19" i="57"/>
  <c r="T19" i="57"/>
  <c r="S19" i="57"/>
  <c r="X18" i="57"/>
  <c r="Y18" i="57"/>
  <c r="T18" i="57"/>
  <c r="S18" i="57"/>
  <c r="X17" i="57"/>
  <c r="Y17" i="57"/>
  <c r="T17" i="57"/>
  <c r="S17" i="57"/>
  <c r="X16" i="57"/>
  <c r="Y16" i="57"/>
  <c r="T16" i="57"/>
  <c r="S16" i="57"/>
  <c r="X15" i="57"/>
  <c r="Y15" i="57"/>
  <c r="T15" i="57"/>
  <c r="S15" i="57"/>
  <c r="X14" i="57"/>
  <c r="Y14" i="57"/>
  <c r="T14" i="57"/>
  <c r="S14" i="57"/>
  <c r="X13" i="57"/>
  <c r="Y13" i="57"/>
  <c r="T13" i="57"/>
  <c r="S13" i="57"/>
  <c r="X12" i="57"/>
  <c r="Y12" i="57"/>
  <c r="T12" i="57"/>
  <c r="S12" i="57"/>
  <c r="X11" i="57"/>
  <c r="Y11" i="57"/>
  <c r="T11" i="57"/>
  <c r="S11" i="57"/>
  <c r="X10" i="57"/>
  <c r="Y10" i="57"/>
  <c r="T10" i="57"/>
  <c r="S10" i="57"/>
  <c r="X9" i="57"/>
  <c r="Y9" i="57"/>
  <c r="T9" i="57"/>
  <c r="S9" i="57"/>
  <c r="X8" i="57"/>
  <c r="Y8" i="57"/>
  <c r="T8" i="57"/>
  <c r="S8" i="57"/>
  <c r="X7" i="57"/>
  <c r="Y7" i="57"/>
  <c r="T7" i="57"/>
  <c r="S7" i="57"/>
  <c r="X6" i="57"/>
  <c r="Y6" i="57"/>
  <c r="T6" i="57"/>
  <c r="S6" i="57"/>
  <c r="AC29" i="54"/>
  <c r="AD29" i="54"/>
  <c r="Y29" i="54"/>
  <c r="X29" i="54"/>
  <c r="AC28" i="54"/>
  <c r="AD28" i="54"/>
  <c r="Y28" i="54"/>
  <c r="X28" i="54"/>
  <c r="AC27" i="54"/>
  <c r="AD27" i="54"/>
  <c r="Y27" i="54"/>
  <c r="X27" i="54"/>
  <c r="AC26" i="54"/>
  <c r="AD26" i="54"/>
  <c r="Y26" i="54"/>
  <c r="X26" i="54"/>
  <c r="AC25" i="54"/>
  <c r="AD25" i="54"/>
  <c r="Y25" i="54"/>
  <c r="X25" i="54"/>
  <c r="AC24" i="54"/>
  <c r="AD24" i="54"/>
  <c r="Y24" i="54"/>
  <c r="X24" i="54"/>
  <c r="AC23" i="54"/>
  <c r="AD23" i="54"/>
  <c r="Y23" i="54"/>
  <c r="X23" i="54"/>
  <c r="AC22" i="54"/>
  <c r="AD22" i="54"/>
  <c r="Y22" i="54"/>
  <c r="X22" i="54"/>
  <c r="AC21" i="54"/>
  <c r="AD21" i="54"/>
  <c r="Y21" i="54"/>
  <c r="X21" i="54"/>
  <c r="AC20" i="54"/>
  <c r="AD20" i="54"/>
  <c r="Y20" i="54"/>
  <c r="X20" i="54"/>
  <c r="AC19" i="54"/>
  <c r="AD19" i="54"/>
  <c r="Y19" i="54"/>
  <c r="X19" i="54"/>
  <c r="AC18" i="54"/>
  <c r="AD18" i="54"/>
  <c r="Y18" i="54"/>
  <c r="X18" i="54"/>
  <c r="AC17" i="54"/>
  <c r="AD17" i="54"/>
  <c r="Y17" i="54"/>
  <c r="X17" i="54"/>
  <c r="AC14" i="54"/>
  <c r="AD14" i="54"/>
  <c r="Y14" i="54"/>
  <c r="X14" i="54"/>
  <c r="AC16" i="54"/>
  <c r="AD16" i="54"/>
  <c r="Y16" i="54"/>
  <c r="X16" i="54"/>
  <c r="AC15" i="54"/>
  <c r="AD15" i="54"/>
  <c r="Y15" i="54"/>
  <c r="X15" i="54"/>
  <c r="AC13" i="54"/>
  <c r="AD13" i="54"/>
  <c r="Y13" i="54"/>
  <c r="X13" i="54"/>
  <c r="AC12" i="54"/>
  <c r="AD12" i="54"/>
  <c r="Y12" i="54"/>
  <c r="X12" i="54"/>
  <c r="AC11" i="54"/>
  <c r="AD11" i="54"/>
  <c r="Y11" i="54"/>
  <c r="X11" i="54"/>
  <c r="AC10" i="54"/>
  <c r="AD10" i="54"/>
  <c r="Y10" i="54"/>
  <c r="X10" i="54"/>
  <c r="AC9" i="54"/>
  <c r="AD9" i="54"/>
  <c r="Y9" i="54"/>
  <c r="X9" i="54"/>
  <c r="AC8" i="54"/>
  <c r="AD8" i="54"/>
  <c r="Y8" i="54"/>
  <c r="X8" i="54"/>
  <c r="AC7" i="54"/>
  <c r="AD7" i="54"/>
  <c r="Y7" i="54"/>
  <c r="X7" i="54"/>
  <c r="AC6" i="54"/>
  <c r="AD6" i="54"/>
  <c r="Y6" i="54"/>
  <c r="X6" i="54"/>
  <c r="S105" i="53"/>
  <c r="S98" i="53"/>
  <c r="AT239" i="52"/>
  <c r="AT235" i="52"/>
  <c r="AT231" i="52"/>
  <c r="AT227" i="52"/>
  <c r="AT223" i="52"/>
  <c r="AT219" i="52"/>
  <c r="AT215" i="52"/>
  <c r="AT211" i="52"/>
  <c r="AT207" i="52"/>
  <c r="AT203" i="52"/>
  <c r="AT199" i="52"/>
  <c r="AT195" i="52"/>
  <c r="AT191" i="52"/>
  <c r="AT187" i="52"/>
  <c r="AT183" i="52"/>
  <c r="AT178" i="52"/>
  <c r="AT175" i="52"/>
  <c r="AT171" i="52"/>
  <c r="AT163" i="52"/>
  <c r="AT162" i="52"/>
  <c r="AT158" i="52"/>
  <c r="AT151" i="52"/>
  <c r="AT146" i="52"/>
  <c r="AT143" i="52"/>
  <c r="AT142" i="52"/>
  <c r="AT141" i="52"/>
  <c r="AT140" i="52"/>
  <c r="AT139" i="52"/>
  <c r="AT138" i="52"/>
  <c r="AT137" i="52"/>
  <c r="AT136" i="52"/>
  <c r="AT135" i="52"/>
  <c r="AT134" i="52"/>
  <c r="AT133" i="52"/>
  <c r="AT132" i="52"/>
  <c r="AT131" i="52"/>
  <c r="AT130" i="52"/>
  <c r="AT129" i="52"/>
  <c r="AT128" i="52"/>
  <c r="AT127" i="52"/>
  <c r="AT126" i="52"/>
  <c r="AT125" i="52"/>
  <c r="AT124" i="52"/>
  <c r="AT123" i="52"/>
  <c r="AT122" i="52"/>
  <c r="AT121" i="52"/>
  <c r="AT120" i="52"/>
  <c r="AT119" i="52"/>
  <c r="AT118" i="52"/>
  <c r="AT117" i="52"/>
  <c r="AT116" i="52"/>
  <c r="AT115" i="52"/>
  <c r="AT114" i="52"/>
  <c r="AT113" i="52"/>
  <c r="AT112" i="52"/>
  <c r="AT111" i="52"/>
  <c r="AT110" i="52"/>
  <c r="AT109" i="52"/>
  <c r="AT108" i="52"/>
  <c r="AT107" i="52"/>
  <c r="AT106" i="52"/>
  <c r="AT105" i="52"/>
  <c r="AT104" i="52"/>
  <c r="AT103" i="52"/>
  <c r="AT102" i="52"/>
  <c r="AT101" i="52"/>
  <c r="AT100" i="52"/>
  <c r="AT99" i="52"/>
  <c r="AT98" i="52"/>
  <c r="AT97" i="52"/>
  <c r="AT96" i="52"/>
  <c r="AT95" i="52"/>
  <c r="AT94" i="52"/>
  <c r="AT93" i="52"/>
  <c r="AT92" i="52"/>
  <c r="AT91" i="52"/>
  <c r="AT90" i="52"/>
  <c r="AT89" i="52"/>
  <c r="AT88" i="52"/>
  <c r="AT87" i="52"/>
  <c r="AT86" i="52"/>
  <c r="AT85" i="52"/>
  <c r="AT84" i="52"/>
  <c r="AT83" i="52"/>
  <c r="AT82" i="52"/>
  <c r="AT81" i="52"/>
  <c r="AT80" i="52"/>
  <c r="AT79" i="52"/>
  <c r="AT75" i="52"/>
  <c r="AT74" i="52"/>
  <c r="AT73" i="52"/>
  <c r="AT72" i="52"/>
  <c r="AT71" i="52"/>
  <c r="AT70" i="52"/>
  <c r="AT69" i="52"/>
  <c r="AT68" i="52"/>
  <c r="AT67" i="52"/>
  <c r="AT63" i="52"/>
  <c r="AT61" i="52"/>
  <c r="AT37" i="52"/>
  <c r="AT36" i="52"/>
  <c r="AT35" i="52"/>
  <c r="AT34" i="52"/>
  <c r="AT33" i="52"/>
  <c r="AT32" i="52"/>
  <c r="AT31" i="52"/>
  <c r="AT30" i="52"/>
  <c r="AT29" i="52"/>
  <c r="AT28" i="52"/>
  <c r="AT27" i="52"/>
  <c r="AT26" i="52"/>
  <c r="AS25" i="52"/>
  <c r="AT25" i="52"/>
  <c r="AS24" i="52"/>
  <c r="AT24" i="52"/>
  <c r="AS23" i="52"/>
  <c r="AT23" i="52"/>
  <c r="AS22" i="52"/>
  <c r="AT22" i="52"/>
  <c r="AS21" i="52"/>
  <c r="AT21" i="52"/>
  <c r="AS5" i="52"/>
  <c r="AT5" i="52"/>
  <c r="S122" i="51"/>
  <c r="R122" i="51"/>
  <c r="S121" i="51"/>
  <c r="R121" i="51"/>
  <c r="S120" i="51"/>
  <c r="R120" i="51"/>
  <c r="S119" i="51"/>
  <c r="R119" i="51"/>
  <c r="S118" i="51"/>
  <c r="R118" i="51"/>
  <c r="S117" i="51"/>
  <c r="R117" i="51"/>
  <c r="S116" i="51"/>
  <c r="R116" i="51"/>
  <c r="S115" i="51"/>
  <c r="R115" i="51"/>
  <c r="S114" i="51"/>
  <c r="R114" i="51"/>
  <c r="S112" i="51"/>
  <c r="R112" i="51"/>
  <c r="S109" i="51"/>
  <c r="R109" i="51"/>
  <c r="S105" i="51"/>
  <c r="R105" i="51"/>
  <c r="S104" i="51"/>
  <c r="R104" i="51"/>
  <c r="S100" i="51"/>
  <c r="R100" i="51"/>
  <c r="S99" i="51"/>
  <c r="R99" i="51"/>
  <c r="S98" i="51"/>
  <c r="R98" i="51"/>
  <c r="S97" i="51"/>
  <c r="R97" i="51"/>
  <c r="S95" i="51"/>
  <c r="R95" i="51"/>
  <c r="S94" i="51"/>
  <c r="R94" i="51"/>
  <c r="S93" i="51"/>
  <c r="R93" i="51"/>
  <c r="S92" i="51"/>
  <c r="R92" i="51"/>
  <c r="S87" i="51"/>
  <c r="R87" i="51"/>
  <c r="S86" i="51"/>
  <c r="R86" i="51"/>
  <c r="S85" i="51"/>
  <c r="R85" i="51"/>
  <c r="W38" i="51"/>
  <c r="S38" i="51"/>
  <c r="R38" i="51"/>
  <c r="W37" i="51"/>
  <c r="X37" i="51"/>
  <c r="S37" i="51"/>
  <c r="R37" i="51"/>
  <c r="S36" i="51"/>
  <c r="R36" i="51"/>
  <c r="W35" i="51"/>
  <c r="X35" i="51"/>
  <c r="S35" i="51"/>
  <c r="R35" i="51"/>
  <c r="S34" i="51"/>
  <c r="R34" i="51"/>
  <c r="W33" i="51"/>
  <c r="X33" i="51"/>
  <c r="S33" i="51"/>
  <c r="R33" i="51"/>
  <c r="S32" i="51"/>
  <c r="R32" i="51"/>
  <c r="W31" i="51"/>
  <c r="X31" i="51"/>
  <c r="S31" i="51"/>
  <c r="R31" i="51"/>
  <c r="S30" i="51"/>
  <c r="R30" i="51"/>
  <c r="W29" i="51"/>
  <c r="X29" i="51"/>
  <c r="S29" i="51"/>
  <c r="R29" i="51"/>
  <c r="S28" i="51"/>
  <c r="R28" i="51"/>
  <c r="W27" i="51"/>
  <c r="X27" i="51"/>
  <c r="S27" i="51"/>
  <c r="R27" i="51"/>
  <c r="W26" i="51"/>
  <c r="X26" i="51"/>
  <c r="S26" i="51"/>
  <c r="R26" i="51"/>
  <c r="S25" i="51"/>
  <c r="R25" i="51"/>
  <c r="W24" i="51"/>
  <c r="X24" i="51"/>
  <c r="S24" i="51"/>
  <c r="R24" i="51"/>
  <c r="S23" i="51"/>
  <c r="R23" i="51"/>
  <c r="W22" i="51"/>
  <c r="X22" i="51"/>
  <c r="S22" i="51"/>
  <c r="R22" i="51"/>
  <c r="S21" i="51"/>
  <c r="R21" i="51"/>
  <c r="S20" i="51"/>
  <c r="R20" i="51"/>
  <c r="S19" i="51"/>
  <c r="R19" i="51"/>
  <c r="R18" i="51"/>
  <c r="R17" i="51"/>
  <c r="R16" i="51"/>
  <c r="R15" i="51"/>
  <c r="R14" i="51"/>
  <c r="S13" i="51"/>
  <c r="R13" i="51"/>
  <c r="S10" i="51"/>
  <c r="R10" i="51"/>
  <c r="W8" i="51"/>
  <c r="X8" i="51"/>
  <c r="S8" i="51"/>
  <c r="R8" i="51"/>
  <c r="W7" i="51"/>
  <c r="X7" i="51"/>
  <c r="S7" i="51"/>
  <c r="R7" i="51"/>
  <c r="W6" i="51"/>
  <c r="X6" i="51"/>
  <c r="S6" i="51"/>
  <c r="R6" i="51"/>
  <c r="Q10" i="49"/>
  <c r="Q8" i="49"/>
  <c r="V6" i="49"/>
  <c r="W6" i="49"/>
  <c r="W33" i="48"/>
  <c r="X33" i="48"/>
  <c r="R33" i="48"/>
  <c r="W6" i="48"/>
  <c r="X6" i="48"/>
  <c r="J22" i="19"/>
  <c r="K22" i="19"/>
  <c r="AT147" i="52"/>
  <c r="AT149" i="52"/>
  <c r="AT155" i="52"/>
  <c r="AT159" i="52"/>
  <c r="AT161" i="52"/>
  <c r="AT167" i="52"/>
  <c r="AT177" i="52"/>
  <c r="AT179" i="52"/>
  <c r="AT181" i="52"/>
  <c r="AT145" i="52"/>
  <c r="AT174" i="52"/>
  <c r="AT148" i="52"/>
  <c r="AT154" i="52"/>
  <c r="AT156" i="52"/>
  <c r="AT166" i="52"/>
  <c r="AT168" i="52"/>
  <c r="AT180" i="52"/>
  <c r="AT184" i="52"/>
  <c r="AT188" i="52"/>
  <c r="AT192" i="52"/>
  <c r="AT196" i="52"/>
  <c r="AT200" i="52"/>
  <c r="AT204" i="52"/>
  <c r="AT208" i="52"/>
  <c r="AT212" i="52"/>
  <c r="AT216" i="52"/>
  <c r="AT220" i="52"/>
  <c r="AT224" i="52"/>
  <c r="AT228" i="52"/>
  <c r="AT232" i="52"/>
  <c r="AT236" i="52"/>
  <c r="AT240" i="52"/>
  <c r="AT144" i="52"/>
  <c r="AT176" i="52"/>
  <c r="AT150" i="52"/>
  <c r="AT152" i="52"/>
  <c r="AT164" i="52"/>
  <c r="AT165" i="52"/>
  <c r="AT170" i="52"/>
  <c r="AT172" i="52"/>
  <c r="AT182" i="52"/>
  <c r="AT186" i="52"/>
  <c r="AT190" i="52"/>
  <c r="AT194" i="52"/>
  <c r="AT198" i="52"/>
  <c r="AT202" i="52"/>
  <c r="AT206" i="52"/>
  <c r="AT210" i="52"/>
  <c r="AT214" i="52"/>
  <c r="AT218" i="52"/>
  <c r="AT222" i="52"/>
  <c r="AT226" i="52"/>
  <c r="AT230" i="52"/>
  <c r="AT234" i="52"/>
  <c r="AT238" i="52"/>
  <c r="AT160" i="52"/>
  <c r="AT185" i="52"/>
  <c r="AT189" i="52"/>
  <c r="AT193" i="52"/>
  <c r="AT197" i="52"/>
  <c r="AT201" i="52"/>
  <c r="AT205" i="52"/>
  <c r="AT209" i="52"/>
  <c r="AT213" i="52"/>
  <c r="AT217" i="52"/>
  <c r="AT221" i="52"/>
  <c r="AT225" i="52"/>
  <c r="AT229" i="52"/>
  <c r="AT233" i="52"/>
  <c r="AT237" i="52"/>
  <c r="AT241" i="52"/>
  <c r="K11" i="19"/>
  <c r="K26" i="19"/>
  <c r="AT153" i="52"/>
  <c r="AT169" i="52"/>
  <c r="J25" i="19"/>
  <c r="K25" i="19"/>
  <c r="AT157" i="52"/>
  <c r="AT173" i="52"/>
  <c r="AJ36" i="59"/>
  <c r="AA17" i="50"/>
  <c r="AI103" i="59"/>
  <c r="AJ103" i="59"/>
  <c r="AI11" i="59"/>
  <c r="AJ11" i="59"/>
  <c r="AJ27" i="59"/>
  <c r="AJ194" i="59"/>
  <c r="AJ181" i="59"/>
  <c r="AJ165" i="59"/>
  <c r="AJ150" i="59"/>
  <c r="AI195" i="59"/>
  <c r="AJ195" i="59"/>
  <c r="AJ170" i="59"/>
  <c r="AJ154" i="59"/>
  <c r="AJ31" i="59"/>
  <c r="AJ101" i="59"/>
  <c r="AJ131" i="59"/>
  <c r="AJ125" i="59"/>
  <c r="AJ132" i="59"/>
  <c r="AJ161" i="59"/>
  <c r="AJ202" i="59"/>
  <c r="AJ196" i="59"/>
  <c r="AJ115" i="59"/>
  <c r="AJ210" i="59"/>
  <c r="AJ120" i="59"/>
  <c r="AJ129" i="59"/>
  <c r="AJ176" i="59"/>
  <c r="AJ160" i="59"/>
  <c r="AJ105" i="59"/>
  <c r="AJ106" i="59"/>
  <c r="AJ95" i="59"/>
  <c r="AJ91" i="59"/>
  <c r="AJ85" i="59"/>
  <c r="AJ80" i="59"/>
  <c r="AJ74" i="59"/>
  <c r="AJ70" i="59"/>
  <c r="AJ66" i="59"/>
  <c r="AJ6" i="59"/>
  <c r="AJ18" i="59"/>
  <c r="AJ38" i="59"/>
  <c r="AJ112" i="59"/>
  <c r="AJ179" i="59"/>
  <c r="AJ224" i="59"/>
  <c r="AI205" i="59"/>
  <c r="AJ205" i="59"/>
  <c r="AJ188" i="59"/>
  <c r="AJ77" i="59"/>
  <c r="AJ78" i="59"/>
  <c r="AJ63" i="59"/>
  <c r="AJ171" i="59"/>
  <c r="AI141" i="59"/>
  <c r="AJ141" i="59"/>
  <c r="AA30" i="50"/>
  <c r="AA22" i="50"/>
  <c r="AA18" i="50"/>
  <c r="AA73" i="50"/>
  <c r="AA58" i="50"/>
  <c r="AA50" i="50"/>
  <c r="AA42" i="50"/>
  <c r="Z31" i="50"/>
  <c r="AA31" i="50"/>
  <c r="Z27" i="50"/>
  <c r="AA27" i="50"/>
  <c r="AA64" i="50"/>
  <c r="AA32" i="50"/>
  <c r="AA123" i="50"/>
  <c r="AA102" i="50"/>
  <c r="AA145" i="50"/>
  <c r="AA77" i="50"/>
  <c r="AA54" i="50"/>
  <c r="AA46" i="50"/>
  <c r="AA38" i="50"/>
  <c r="AA84" i="50"/>
  <c r="AA24" i="50"/>
  <c r="AA122" i="50"/>
  <c r="Z62" i="50"/>
  <c r="AA62" i="50"/>
  <c r="AA28" i="50"/>
  <c r="AA16" i="50"/>
  <c r="AA8" i="50"/>
  <c r="AJ100" i="59"/>
  <c r="AJ104" i="59"/>
  <c r="AJ110" i="59"/>
  <c r="AJ22" i="59"/>
  <c r="AJ30" i="59"/>
  <c r="AI34" i="59"/>
  <c r="AJ34" i="59"/>
  <c r="AJ41" i="59"/>
  <c r="AJ45" i="59"/>
  <c r="AJ48" i="59"/>
  <c r="AJ47" i="59"/>
  <c r="AJ52" i="59"/>
  <c r="AJ56" i="59"/>
  <c r="AJ81" i="59"/>
  <c r="AJ109" i="59"/>
  <c r="AJ116" i="59"/>
  <c r="AJ149" i="59"/>
  <c r="AJ168" i="59"/>
  <c r="AJ156" i="59"/>
  <c r="AI225" i="59"/>
  <c r="AJ225" i="59"/>
  <c r="AJ201" i="59"/>
  <c r="AJ118" i="59"/>
  <c r="AJ186" i="59"/>
  <c r="AJ142" i="59"/>
  <c r="AJ40" i="59"/>
  <c r="AJ55" i="59"/>
  <c r="AJ114" i="59"/>
  <c r="AJ152" i="59"/>
  <c r="AJ193" i="59"/>
  <c r="AJ172" i="59"/>
  <c r="AJ197" i="59"/>
  <c r="AJ221" i="59"/>
  <c r="AJ134" i="59"/>
  <c r="AJ136" i="59"/>
  <c r="AJ140" i="59"/>
  <c r="AJ180" i="59"/>
  <c r="X22" i="48"/>
  <c r="X104" i="48"/>
  <c r="T57" i="53"/>
  <c r="J23" i="19"/>
  <c r="K23" i="19"/>
  <c r="AM5" i="59"/>
  <c r="J24" i="19"/>
  <c r="K24" i="19"/>
  <c r="AA81" i="50"/>
  <c r="AA118" i="50"/>
  <c r="AA92" i="50"/>
  <c r="AA89" i="50"/>
  <c r="AA86" i="50"/>
  <c r="AA140" i="50"/>
  <c r="AA98" i="50"/>
  <c r="X37" i="48"/>
  <c r="X48" i="48"/>
  <c r="X109" i="48"/>
  <c r="X103" i="48"/>
  <c r="X96" i="48"/>
  <c r="W116" i="48"/>
  <c r="X116" i="48"/>
  <c r="H65" i="19"/>
  <c r="I65" i="19"/>
  <c r="H22" i="19"/>
  <c r="I22" i="19"/>
  <c r="H20" i="19"/>
  <c r="I20" i="19"/>
  <c r="H1" i="19"/>
  <c r="W78" i="51"/>
  <c r="X78" i="51"/>
  <c r="W101" i="51"/>
  <c r="X101" i="51"/>
  <c r="W97" i="51"/>
  <c r="X97" i="51"/>
  <c r="X28" i="51"/>
  <c r="X32" i="51"/>
  <c r="X36" i="51"/>
  <c r="X38" i="51"/>
  <c r="J15" i="19"/>
  <c r="K15" i="19"/>
  <c r="W44" i="51"/>
  <c r="X44" i="51"/>
  <c r="X46" i="51"/>
  <c r="X12" i="51"/>
  <c r="W76" i="51"/>
  <c r="X76" i="51"/>
  <c r="X86" i="51"/>
  <c r="W85" i="51"/>
  <c r="X85" i="51"/>
  <c r="W89" i="51"/>
  <c r="X89" i="51"/>
  <c r="W108" i="51"/>
  <c r="X108" i="51"/>
  <c r="W102" i="51"/>
  <c r="X102" i="51"/>
  <c r="W98" i="51"/>
  <c r="X98" i="51"/>
  <c r="X131" i="51"/>
  <c r="W52" i="51"/>
  <c r="X52" i="51"/>
  <c r="X56" i="51"/>
  <c r="Z77" i="51"/>
  <c r="X70" i="51"/>
  <c r="X79" i="51"/>
  <c r="X84" i="51"/>
  <c r="X92" i="51"/>
  <c r="X114" i="51"/>
  <c r="X109" i="51"/>
  <c r="X123" i="51"/>
  <c r="W125" i="51"/>
  <c r="X125" i="51"/>
  <c r="X128" i="51"/>
  <c r="X135" i="51"/>
  <c r="X141" i="51"/>
  <c r="X143" i="51"/>
  <c r="W23" i="51"/>
  <c r="X23" i="51"/>
  <c r="X15" i="51"/>
  <c r="W100" i="51"/>
  <c r="X100" i="51"/>
  <c r="W96" i="51"/>
  <c r="X96" i="51"/>
  <c r="W136" i="51"/>
  <c r="X136" i="51"/>
  <c r="X23" i="48"/>
  <c r="X19" i="48"/>
  <c r="X84" i="48"/>
  <c r="X44" i="48"/>
  <c r="X28" i="48"/>
  <c r="W15" i="48"/>
  <c r="X15" i="48"/>
  <c r="W27" i="48"/>
  <c r="X27" i="48"/>
  <c r="AA5" i="48"/>
  <c r="J18" i="19"/>
  <c r="K18" i="19"/>
  <c r="X64" i="48"/>
  <c r="X67" i="48"/>
  <c r="X75" i="48"/>
  <c r="X80" i="48"/>
  <c r="X81" i="48"/>
  <c r="X41" i="48"/>
  <c r="X88" i="48"/>
  <c r="X90" i="48"/>
  <c r="X113" i="48"/>
  <c r="X32" i="48"/>
  <c r="W66" i="48"/>
  <c r="X66" i="48"/>
  <c r="W117" i="48"/>
  <c r="X117" i="48"/>
  <c r="X34" i="48"/>
  <c r="X89" i="48"/>
  <c r="X62" i="48"/>
  <c r="W57" i="48"/>
  <c r="X57" i="48"/>
  <c r="W46" i="48"/>
  <c r="X46" i="48"/>
  <c r="W93" i="48"/>
  <c r="X93" i="48"/>
  <c r="X95" i="48"/>
  <c r="W105" i="48"/>
  <c r="X105" i="48"/>
  <c r="X106" i="48"/>
  <c r="X112" i="48"/>
  <c r="W114" i="48"/>
  <c r="X114" i="48"/>
  <c r="W119" i="48"/>
  <c r="X119" i="48"/>
  <c r="W126" i="48"/>
  <c r="X126" i="48"/>
  <c r="X73" i="48"/>
  <c r="X63" i="48"/>
  <c r="X123" i="48"/>
  <c r="X128" i="48"/>
  <c r="W127" i="48"/>
  <c r="X127" i="48"/>
  <c r="X16" i="48"/>
  <c r="X31" i="48"/>
  <c r="X9" i="48"/>
  <c r="X20" i="48"/>
  <c r="X13" i="48"/>
  <c r="X36" i="48"/>
  <c r="W7" i="48"/>
  <c r="X7" i="48"/>
  <c r="X35" i="48"/>
  <c r="X65" i="48"/>
  <c r="X68" i="48"/>
  <c r="X82" i="48"/>
  <c r="X85" i="48"/>
  <c r="W56" i="48"/>
  <c r="X56" i="48"/>
  <c r="X53" i="48"/>
  <c r="W50" i="48"/>
  <c r="X50" i="48"/>
  <c r="X40" i="48"/>
  <c r="X92" i="48"/>
  <c r="X94" i="48"/>
  <c r="X115" i="48"/>
  <c r="X110" i="48"/>
  <c r="X118" i="48"/>
  <c r="X133" i="48"/>
  <c r="X98" i="48"/>
  <c r="Y94" i="74"/>
  <c r="AA5" i="74"/>
  <c r="J20" i="19"/>
  <c r="K20" i="19"/>
  <c r="Y96" i="74"/>
  <c r="Y86" i="74"/>
  <c r="X88" i="74"/>
  <c r="Y88" i="74"/>
  <c r="H17" i="19"/>
  <c r="I17" i="19"/>
  <c r="H23" i="19"/>
  <c r="I23" i="19"/>
  <c r="H59" i="19"/>
  <c r="I59" i="19"/>
  <c r="H8" i="19"/>
  <c r="I8" i="19"/>
  <c r="AC51" i="54"/>
  <c r="AD51" i="54"/>
  <c r="AD30" i="54"/>
  <c r="AD34" i="54"/>
  <c r="AD39" i="54"/>
  <c r="AC36" i="54"/>
  <c r="AD36" i="54"/>
  <c r="AD37" i="54"/>
  <c r="AD38" i="54"/>
  <c r="AD42" i="54"/>
  <c r="AD32" i="54"/>
  <c r="H11" i="19"/>
  <c r="I11" i="19"/>
  <c r="H52" i="19"/>
  <c r="I52" i="19"/>
  <c r="H56" i="19"/>
  <c r="I56" i="19"/>
  <c r="H79" i="19"/>
  <c r="I79" i="19"/>
  <c r="H14" i="19"/>
  <c r="J14" i="19"/>
  <c r="K14" i="19"/>
  <c r="H53" i="19"/>
  <c r="I53" i="19"/>
  <c r="H67" i="19"/>
  <c r="I67" i="19"/>
  <c r="H57" i="19"/>
  <c r="I57" i="19"/>
  <c r="H19" i="19"/>
  <c r="I19" i="19"/>
  <c r="H38" i="19"/>
  <c r="I38" i="19"/>
  <c r="H47" i="19"/>
  <c r="I47" i="19"/>
  <c r="H73" i="19"/>
  <c r="I73" i="19"/>
  <c r="H45" i="19"/>
  <c r="I45" i="19"/>
  <c r="H60" i="19"/>
  <c r="I60" i="19"/>
  <c r="H70" i="19"/>
  <c r="I70" i="19"/>
  <c r="H49" i="19"/>
  <c r="I49" i="19"/>
  <c r="H80" i="19"/>
  <c r="I80" i="19"/>
  <c r="H62" i="19"/>
  <c r="I62" i="19"/>
  <c r="H71" i="19"/>
  <c r="I71" i="19"/>
  <c r="H44" i="19"/>
  <c r="I44" i="19"/>
  <c r="I51" i="19"/>
  <c r="H64" i="19"/>
  <c r="I64" i="19"/>
  <c r="H81" i="19"/>
  <c r="I81" i="19"/>
  <c r="H39" i="19"/>
  <c r="I39" i="19"/>
  <c r="H42" i="19"/>
  <c r="I42" i="19"/>
  <c r="H61" i="19"/>
  <c r="I61" i="19"/>
  <c r="H82" i="19"/>
  <c r="I82" i="19"/>
  <c r="H16" i="19"/>
  <c r="J16" i="19"/>
  <c r="K16" i="19"/>
  <c r="I24" i="19"/>
  <c r="H25" i="19"/>
  <c r="I25" i="19"/>
  <c r="H13" i="19"/>
  <c r="I13" i="19"/>
  <c r="I9" i="19"/>
  <c r="H46" i="19"/>
  <c r="I46" i="19"/>
  <c r="H33" i="19"/>
  <c r="I33" i="19"/>
  <c r="H34" i="19"/>
  <c r="I34" i="19"/>
  <c r="H32" i="19"/>
  <c r="I32" i="19"/>
  <c r="H50" i="19"/>
  <c r="I50" i="19"/>
  <c r="H37" i="19"/>
  <c r="I37" i="19"/>
  <c r="I18" i="19"/>
  <c r="I21" i="19"/>
  <c r="K12" i="19"/>
  <c r="I28" i="19"/>
  <c r="H10" i="19"/>
  <c r="I10" i="19"/>
  <c r="H75" i="19"/>
  <c r="I75" i="19"/>
  <c r="H30" i="19"/>
  <c r="I30" i="19"/>
  <c r="H72" i="19"/>
  <c r="I72" i="19"/>
  <c r="H58" i="19"/>
  <c r="I58" i="19"/>
  <c r="H76" i="19"/>
  <c r="I76" i="19"/>
  <c r="H83" i="19"/>
  <c r="I83" i="19"/>
  <c r="H48" i="19"/>
  <c r="I48" i="19"/>
  <c r="H31" i="19"/>
  <c r="I31" i="19"/>
  <c r="H26" i="19"/>
  <c r="I26" i="19"/>
  <c r="H54" i="19"/>
  <c r="I54" i="19"/>
  <c r="H66" i="19"/>
  <c r="I66" i="19"/>
  <c r="H55" i="19"/>
  <c r="I55" i="19"/>
  <c r="H77" i="19"/>
  <c r="I77" i="19"/>
  <c r="H74" i="19"/>
  <c r="I74" i="19"/>
  <c r="H40" i="19"/>
  <c r="I40" i="19"/>
  <c r="H41" i="19"/>
  <c r="I41" i="19"/>
  <c r="H36" i="19"/>
  <c r="I36" i="19"/>
  <c r="H43" i="19"/>
  <c r="I43" i="19"/>
  <c r="H35" i="19"/>
  <c r="I35" i="19"/>
  <c r="H78" i="19"/>
  <c r="I78" i="19"/>
  <c r="H68" i="19"/>
  <c r="I68" i="19"/>
  <c r="H69" i="19"/>
  <c r="I69" i="19"/>
  <c r="H63" i="19"/>
  <c r="I63" i="19"/>
  <c r="H27" i="19"/>
  <c r="I27" i="19"/>
  <c r="H29" i="19"/>
  <c r="I29" i="19"/>
  <c r="Y71" i="74"/>
  <c r="Y61" i="74"/>
  <c r="X59" i="74"/>
  <c r="Y59" i="74"/>
  <c r="N77" i="58"/>
  <c r="O77" i="58"/>
  <c r="T35" i="53"/>
  <c r="S317" i="53"/>
  <c r="T317" i="53"/>
  <c r="T139" i="53"/>
  <c r="T146" i="53"/>
  <c r="T154" i="53"/>
  <c r="T162" i="53"/>
  <c r="T205" i="53"/>
  <c r="T181" i="53"/>
  <c r="T287" i="53"/>
  <c r="T260" i="53"/>
  <c r="T68" i="53"/>
  <c r="T142" i="53"/>
  <c r="T308" i="53"/>
  <c r="T26" i="53"/>
  <c r="S106" i="53"/>
  <c r="T106" i="53"/>
  <c r="T262" i="53"/>
  <c r="T79" i="53"/>
  <c r="T10" i="53"/>
  <c r="T145" i="53"/>
  <c r="S280" i="53"/>
  <c r="T280" i="53"/>
  <c r="T122" i="53"/>
  <c r="S55" i="53"/>
  <c r="T55" i="53"/>
  <c r="T149" i="53"/>
  <c r="T204" i="53"/>
  <c r="T196" i="53"/>
  <c r="S286" i="53"/>
  <c r="T286" i="53"/>
  <c r="S290" i="53"/>
  <c r="T290" i="53"/>
  <c r="T248" i="53"/>
  <c r="T176" i="53"/>
  <c r="T67" i="53"/>
  <c r="T51" i="53"/>
  <c r="S291" i="53"/>
  <c r="T291" i="53"/>
  <c r="S278" i="53"/>
  <c r="T278" i="53"/>
  <c r="S271" i="53"/>
  <c r="T271" i="53"/>
  <c r="T265" i="53"/>
  <c r="T261" i="53"/>
  <c r="S257" i="53"/>
  <c r="T257" i="53"/>
  <c r="S224" i="53"/>
  <c r="T224" i="53"/>
  <c r="S211" i="53"/>
  <c r="T211" i="53"/>
  <c r="S201" i="53"/>
  <c r="T201" i="53"/>
  <c r="S193" i="53"/>
  <c r="T193" i="53"/>
  <c r="S177" i="53"/>
  <c r="T177" i="53"/>
  <c r="T173" i="53"/>
  <c r="S169" i="53"/>
  <c r="T169" i="53"/>
  <c r="S158" i="53"/>
  <c r="T158" i="53"/>
  <c r="S150" i="53"/>
  <c r="T150" i="53"/>
  <c r="T127" i="53"/>
  <c r="S111" i="53"/>
  <c r="T111" i="53"/>
  <c r="T96" i="53"/>
  <c r="S80" i="53"/>
  <c r="T80" i="53"/>
  <c r="S72" i="53"/>
  <c r="T72" i="53"/>
  <c r="S44" i="53"/>
  <c r="T44" i="53"/>
  <c r="T32" i="53"/>
  <c r="T22" i="53"/>
  <c r="T138" i="53"/>
  <c r="T141" i="53"/>
  <c r="T153" i="53"/>
  <c r="T161" i="53"/>
  <c r="T184" i="53"/>
  <c r="T172" i="53"/>
  <c r="T244" i="53"/>
  <c r="T282" i="53"/>
  <c r="T236" i="53"/>
  <c r="S239" i="53"/>
  <c r="T239" i="53"/>
  <c r="S216" i="53"/>
  <c r="T216" i="53"/>
  <c r="T276" i="53"/>
  <c r="T269" i="53"/>
  <c r="T222" i="53"/>
  <c r="T219" i="53"/>
  <c r="T215" i="53"/>
  <c r="T195" i="53"/>
  <c r="T183" i="53"/>
  <c r="T175" i="53"/>
  <c r="T125" i="53"/>
  <c r="T113" i="53"/>
  <c r="T105" i="53"/>
  <c r="T98" i="53"/>
  <c r="T38" i="53"/>
  <c r="T292" i="53"/>
  <c r="T229" i="53"/>
  <c r="T94" i="53"/>
  <c r="T21" i="53"/>
  <c r="T46" i="53"/>
  <c r="T62" i="53"/>
  <c r="S58" i="53"/>
  <c r="T58" i="53"/>
  <c r="T207" i="53"/>
  <c r="S109" i="53"/>
  <c r="T109" i="53"/>
  <c r="T293" i="53"/>
  <c r="S273" i="53"/>
  <c r="T273" i="53"/>
  <c r="T306" i="53"/>
  <c r="T255" i="53"/>
  <c r="T102" i="53"/>
  <c r="S25" i="53"/>
  <c r="T25" i="53"/>
  <c r="T29" i="53"/>
  <c r="T66" i="53"/>
  <c r="T70" i="53"/>
  <c r="T74" i="53"/>
  <c r="T82" i="53"/>
  <c r="T86" i="53"/>
  <c r="T129" i="53"/>
  <c r="T137" i="53"/>
  <c r="T148" i="53"/>
  <c r="T152" i="53"/>
  <c r="T156" i="53"/>
  <c r="T160" i="53"/>
  <c r="T191" i="53"/>
  <c r="T231" i="53"/>
  <c r="T254" i="53"/>
  <c r="T305" i="53"/>
  <c r="S309" i="53"/>
  <c r="T309" i="53"/>
  <c r="T251" i="53"/>
  <c r="T302" i="53"/>
  <c r="T37" i="53"/>
  <c r="T311" i="53"/>
  <c r="W51" i="49"/>
  <c r="V46" i="49"/>
  <c r="W46" i="49"/>
  <c r="V50" i="49"/>
  <c r="W50" i="49"/>
  <c r="W11" i="49"/>
  <c r="W30" i="49"/>
  <c r="W70" i="49"/>
  <c r="W82" i="49"/>
  <c r="W63" i="49"/>
  <c r="W37" i="49"/>
  <c r="W53" i="49"/>
  <c r="W12" i="49"/>
  <c r="W76" i="49"/>
  <c r="W73" i="49"/>
  <c r="V34" i="49"/>
  <c r="W34" i="49"/>
  <c r="V42" i="49"/>
  <c r="W42" i="49"/>
  <c r="W39" i="49"/>
  <c r="W27" i="49"/>
  <c r="W22" i="49"/>
  <c r="V80" i="49"/>
  <c r="W80" i="49"/>
  <c r="V77" i="49"/>
  <c r="W77" i="49"/>
  <c r="X129" i="48"/>
  <c r="X132" i="48"/>
  <c r="X130" i="48"/>
  <c r="X121" i="48"/>
  <c r="W125" i="48"/>
  <c r="X125" i="48"/>
  <c r="W26" i="49"/>
  <c r="Y5" i="49"/>
  <c r="J19" i="19"/>
  <c r="K19" i="19"/>
  <c r="W31" i="49"/>
  <c r="W41" i="49"/>
  <c r="W43" i="49"/>
  <c r="W59" i="49"/>
  <c r="V29" i="49"/>
  <c r="W29" i="49"/>
  <c r="W54" i="49"/>
  <c r="W9" i="49"/>
  <c r="W18" i="49"/>
  <c r="V74" i="49"/>
  <c r="W74" i="49"/>
  <c r="W36" i="49"/>
  <c r="W47" i="49"/>
  <c r="W7" i="49"/>
  <c r="W15" i="49"/>
  <c r="W20" i="49"/>
  <c r="W49" i="49"/>
  <c r="W56" i="49"/>
  <c r="W75" i="49"/>
  <c r="AA121" i="50"/>
  <c r="AA125" i="50"/>
  <c r="AA156" i="50"/>
  <c r="W67" i="49"/>
  <c r="AA155" i="50"/>
  <c r="AD39" i="85"/>
  <c r="AC20" i="85"/>
  <c r="AD20" i="85"/>
  <c r="AD52" i="85"/>
  <c r="AC23" i="85"/>
  <c r="AD23" i="85"/>
  <c r="AC37" i="85"/>
  <c r="AD37" i="85"/>
  <c r="AC32" i="85"/>
  <c r="AD32" i="85"/>
  <c r="AD24" i="85"/>
  <c r="AC49" i="85"/>
  <c r="AD49" i="85"/>
  <c r="AD33" i="85"/>
  <c r="AD27" i="85"/>
  <c r="AC16" i="85"/>
  <c r="AD16" i="85"/>
  <c r="AD51" i="85"/>
  <c r="AD12" i="85"/>
  <c r="AD8" i="85"/>
  <c r="AD15" i="85"/>
  <c r="AD45" i="85"/>
  <c r="Z153" i="50"/>
  <c r="AA153" i="50"/>
  <c r="AD7" i="50"/>
  <c r="J28" i="19"/>
  <c r="K28" i="19"/>
  <c r="AD41" i="85"/>
  <c r="AD40" i="85"/>
  <c r="AA150" i="50"/>
  <c r="AA148" i="50"/>
  <c r="Y101" i="74"/>
  <c r="I14" i="19"/>
  <c r="I16" i="19"/>
  <c r="I12" i="19"/>
  <c r="H2" i="19"/>
  <c r="J21" i="19"/>
  <c r="K21" i="19"/>
  <c r="AC7" i="85"/>
  <c r="AD7" i="85"/>
  <c r="AF5" i="85"/>
  <c r="H3" i="19"/>
  <c r="H4" i="19"/>
</calcChain>
</file>

<file path=xl/comments1.xml><?xml version="1.0" encoding="utf-8"?>
<comments xmlns="http://schemas.openxmlformats.org/spreadsheetml/2006/main">
  <authors>
    <author>sacook000</author>
  </authors>
  <commentList>
    <comment ref="E199" authorId="0">
      <text>
        <r>
          <rPr>
            <b/>
            <sz val="9"/>
            <color indexed="81"/>
            <rFont val="Tahoma"/>
            <family val="2"/>
          </rPr>
          <t>sacook000:</t>
        </r>
        <r>
          <rPr>
            <sz val="9"/>
            <color indexed="81"/>
            <rFont val="Tahoma"/>
            <family val="2"/>
          </rPr>
          <t xml:space="preserve">
Kyle Scott at kylescott1234@hotmail.com 403.391.3188</t>
        </r>
      </text>
    </comment>
    <comment ref="E219" authorId="0">
      <text>
        <r>
          <rPr>
            <b/>
            <sz val="9"/>
            <color indexed="81"/>
            <rFont val="Tahoma"/>
            <family val="2"/>
          </rPr>
          <t>sacook000:</t>
        </r>
        <r>
          <rPr>
            <sz val="9"/>
            <color indexed="81"/>
            <rFont val="Tahoma"/>
            <family val="2"/>
          </rPr>
          <t xml:space="preserve">
Kyle Scott at kylescott1234@hotmail.com 403.391.3188</t>
        </r>
      </text>
    </comment>
    <comment ref="E238" authorId="0">
      <text>
        <r>
          <rPr>
            <b/>
            <sz val="9"/>
            <color indexed="81"/>
            <rFont val="Tahoma"/>
            <family val="2"/>
          </rPr>
          <t>sacook000:</t>
        </r>
        <r>
          <rPr>
            <sz val="9"/>
            <color indexed="81"/>
            <rFont val="Tahoma"/>
            <family val="2"/>
          </rPr>
          <t xml:space="preserve">
Kyle Scott at kylescott1234@hotmail.com 403.391.3188</t>
        </r>
      </text>
    </comment>
  </commentList>
</comments>
</file>

<file path=xl/comments2.xml><?xml version="1.0" encoding="utf-8"?>
<comments xmlns="http://schemas.openxmlformats.org/spreadsheetml/2006/main">
  <authors>
    <author>sacookadmin</author>
  </authors>
  <commentList>
    <comment ref="B10" author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LEM Date Aug 10th
Charges for missed time during this time period.</t>
        </r>
      </text>
    </comment>
    <comment ref="G66" author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Jennifer Sprowl - 12 hrs @1 man Survey Crew
Daniel Colby - 9.5 hrs @1 man Survey Crew</t>
        </r>
      </text>
    </comment>
    <comment ref="C67" author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Bryce Lybert - 4hrs LEM#51</t>
        </r>
      </text>
    </comment>
    <comment ref="E67" author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Matthew Nelson Supervisor - 8hrs</t>
        </r>
      </text>
    </comment>
    <comment ref="F67" author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Jennifer Sprowl &amp; Layne Hunter 2 Man crew - 12 hrs
Ben Carrol &amp; Daniel Colby 2 Man survey crew - 12hrs
John Groves &amp; Scott Emerson 2 Man survey crew - 12hrs</t>
        </r>
      </text>
    </comment>
    <comment ref="C68" author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Bryce Lybert -12hrs LEM#52</t>
        </r>
      </text>
    </comment>
    <comment ref="D68" author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Scott McGaffin - 2 hrs</t>
        </r>
      </text>
    </comment>
    <comment ref="E68" author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Matthew Nelson - Survey Supervisor - 12 hrs - 280 kms</t>
        </r>
      </text>
    </comment>
    <comment ref="F68" author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Jennifer Sprowl &amp; Layne Hunter 2 Man crew - 12 hrs - 299 km
Ben Carrol &amp; Daniel Colby 2 Man survey crew - 13 hrs - 280 km
John Groves &amp; Scott Emerson 2 Man survey crew - 11.5 hrs - 180 km</t>
        </r>
      </text>
    </comment>
    <comment ref="D69" author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Scott McGaffin - .5 hrs
Scott McGaffin - .5 hrs</t>
        </r>
      </text>
    </comment>
    <comment ref="E69" author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Matthew Nelson - Survey Supervisor - 12 hrs - 210 kms</t>
        </r>
      </text>
    </comment>
    <comment ref="F69" author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Jennifer Sprowl &amp; Layne Hunter 2 Man crew - 12.5 hrs - 331 km
Ben Carrol &amp; Daniel Colby 2 Man survey crew - 12 hrs - 240 km
John Groves &amp; Scott Emerson 2 Man survey crew - 12 hrs - 190 km
Devin Nonay &amp; Mark Kelly 2 Man survey crew - 12 hrs - 223 km</t>
        </r>
      </text>
    </comment>
    <comment ref="I69" author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Bryce Lybert - 12 hrs</t>
        </r>
      </text>
    </comment>
    <comment ref="L69" author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Dean Reiter - 2.5 hrs</t>
        </r>
      </text>
    </comment>
    <comment ref="D71" author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Scott McGaffin - 3 hrs</t>
        </r>
      </text>
    </comment>
    <comment ref="E71" author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Matthew Nelson - Survey Supervisor - 12 hrs - 240 kms</t>
        </r>
      </text>
    </comment>
    <comment ref="F71" author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Devin Nonay &amp; Mark Kelly 2 Man Crew - 9.5 hrs
Jennifer Sprowl &amp; Layne Hunter 2 Man crew - 12 hrs
Ben Carrol &amp; Daniel Colby 2 Man survey crew - 12hrs
John Groves &amp; Scott Emerson 2 Man survey crew - 11hrs</t>
        </r>
      </text>
    </comment>
    <comment ref="I71" author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Bryce Lybert - 6 hrs</t>
        </r>
      </text>
    </comment>
    <comment ref="P71" author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Devin Nonay &amp; Mark Kelly 2 Man Crew - 9.5 hrs
Jennifer Sprowl &amp; Layne Hunter 2 Man crew - 12 hrs
Ben Carrol &amp; Daniel Colby 2 Man survey crew - 12hrs
John Groves &amp; Scott Emerson 2 Man survey crew - 11hrs</t>
        </r>
      </text>
    </comment>
  </commentList>
</comments>
</file>

<file path=xl/comments3.xml><?xml version="1.0" encoding="utf-8"?>
<comments xmlns="http://schemas.openxmlformats.org/spreadsheetml/2006/main">
  <authors>
    <author>sacookadmin</author>
    <author>sacook000</author>
  </authors>
  <commentList>
    <comment ref="J6" author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Shannon Budgell - No Charge due to 4 hydro vac on site.</t>
        </r>
      </text>
    </comment>
    <comment ref="J8" author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No Charge due to 4 Hydrovacs.</t>
        </r>
      </text>
    </comment>
    <comment ref="H104" author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Steven Jackson - 12 hrs</t>
        </r>
      </text>
    </comment>
    <comment ref="F105" author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Bryne Jones - Operator - 12 hrs
Mike Rawson - Helper - 12 hrs</t>
        </r>
      </text>
    </comment>
    <comment ref="M105" author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Mike Rawson - Helper - 12 hrs</t>
        </r>
      </text>
    </comment>
    <comment ref="F106" authorId="0">
      <text>
        <r>
          <rPr>
            <b/>
            <sz val="9"/>
            <color indexed="81"/>
            <rFont val="Tahoma"/>
            <family val="2"/>
          </rPr>
          <t xml:space="preserve">Lorraine Dunbar:
</t>
        </r>
        <r>
          <rPr>
            <sz val="9"/>
            <color indexed="81"/>
            <rFont val="Tahoma"/>
            <family val="2"/>
          </rPr>
          <t>Brent Pelleboes - Operator - 12 hrs
Tina Pelleboes - Helper - 12 hrs</t>
        </r>
      </text>
    </comment>
    <comment ref="M106" author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Tina Pelleboes - Helper - 12 hrs</t>
        </r>
      </text>
    </comment>
    <comment ref="F107" authorId="0">
      <text>
        <r>
          <rPr>
            <b/>
            <sz val="9"/>
            <color indexed="81"/>
            <rFont val="Tahoma"/>
            <family val="2"/>
          </rPr>
          <t xml:space="preserve">Lorraine Dunbar:
</t>
        </r>
        <r>
          <rPr>
            <sz val="9"/>
            <color indexed="81"/>
            <rFont val="Tahoma"/>
            <family val="2"/>
          </rPr>
          <t>Toby Brooks - Operator - 12 hrs
Jimmy Myers - Helper - 12 hrs</t>
        </r>
      </text>
    </comment>
    <comment ref="M107" authorId="0">
      <text>
        <r>
          <rPr>
            <b/>
            <sz val="9"/>
            <color indexed="81"/>
            <rFont val="Tahoma"/>
            <family val="2"/>
          </rPr>
          <t xml:space="preserve">Lorraine Dunbar:
</t>
        </r>
        <r>
          <rPr>
            <sz val="9"/>
            <color indexed="81"/>
            <rFont val="Tahoma"/>
            <family val="2"/>
          </rPr>
          <t xml:space="preserve">
Jimmy Myers - Helper - 12 hrs</t>
        </r>
      </text>
    </comment>
    <comment ref="F108" authorId="0">
      <text>
        <r>
          <rPr>
            <b/>
            <sz val="9"/>
            <color indexed="81"/>
            <rFont val="Tahoma"/>
            <family val="2"/>
          </rPr>
          <t xml:space="preserve">Lorraine Dunbar:
</t>
        </r>
        <r>
          <rPr>
            <sz val="9"/>
            <color indexed="81"/>
            <rFont val="Tahoma"/>
            <family val="2"/>
          </rPr>
          <t>Shane Parker - Operator - 6 hrs
Kyle Kruger - Helper - 6 hrs</t>
        </r>
      </text>
    </comment>
    <comment ref="M108" author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Kyle Kruger - Helper - 6 hrs</t>
        </r>
      </text>
    </comment>
    <comment ref="H109" author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Steven Jackson - 12 hrs</t>
        </r>
      </text>
    </comment>
    <comment ref="H110" author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Shannon Budgell - 12 hrs</t>
        </r>
      </text>
    </comment>
    <comment ref="D111" authorId="0">
      <text>
        <r>
          <rPr>
            <b/>
            <sz val="9"/>
            <color indexed="81"/>
            <rFont val="Tahoma"/>
            <family val="2"/>
          </rPr>
          <t xml:space="preserve">Lorraine Dunbar:
</t>
        </r>
        <r>
          <rPr>
            <sz val="9"/>
            <color indexed="81"/>
            <rFont val="Tahoma"/>
            <family val="2"/>
          </rPr>
          <t>Toby Brooks - Operator - 12 hrs
Jimmy Myers - Helper - 12 hrs</t>
        </r>
      </text>
    </comment>
    <comment ref="F111" authorId="0">
      <text>
        <r>
          <rPr>
            <b/>
            <sz val="9"/>
            <color indexed="81"/>
            <rFont val="Tahoma"/>
            <family val="2"/>
          </rPr>
          <t xml:space="preserve">Lorraine Dunbar:
</t>
        </r>
        <r>
          <rPr>
            <sz val="9"/>
            <color indexed="81"/>
            <rFont val="Tahoma"/>
            <family val="2"/>
          </rPr>
          <t>Toby Brooks - Operator - 12 hrs
Jimmy Myers - Helper - 12 hrs</t>
        </r>
      </text>
    </comment>
    <comment ref="M111" authorId="0">
      <text>
        <r>
          <rPr>
            <b/>
            <sz val="9"/>
            <color indexed="81"/>
            <rFont val="Tahoma"/>
            <family val="2"/>
          </rPr>
          <t xml:space="preserve">Lorraine Dunbar:
</t>
        </r>
        <r>
          <rPr>
            <sz val="9"/>
            <color indexed="81"/>
            <rFont val="Tahoma"/>
            <family val="2"/>
          </rPr>
          <t>Toby Brooks - Operator - 12 hrs
Jimmy Myers - Helper - 12 hrs</t>
        </r>
      </text>
    </comment>
    <comment ref="F112" authorId="0">
      <text>
        <r>
          <rPr>
            <b/>
            <sz val="9"/>
            <color indexed="81"/>
            <rFont val="Tahoma"/>
            <family val="2"/>
          </rPr>
          <t xml:space="preserve">Lorraine Dunbar:
</t>
        </r>
        <r>
          <rPr>
            <sz val="9"/>
            <color indexed="81"/>
            <rFont val="Tahoma"/>
            <family val="2"/>
          </rPr>
          <t>Brent Pelleboes - Operator - 12 hrs
Tina Pelleboes - Helper - 12 hrs</t>
        </r>
      </text>
    </comment>
    <comment ref="M112" author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Tina Pelleboes - Helper - 12 hrs</t>
        </r>
      </text>
    </comment>
    <comment ref="F113" author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Bryne Jones - Operator - 11.5 hrs
Mike Rawson - Helper - 12.5 hrs</t>
        </r>
      </text>
    </comment>
    <comment ref="M113" authorId="0">
      <text>
        <r>
          <rPr>
            <b/>
            <sz val="9"/>
            <color indexed="81"/>
            <rFont val="Tahoma"/>
            <family val="2"/>
          </rPr>
          <t>LDunbar:</t>
        </r>
        <r>
          <rPr>
            <sz val="9"/>
            <color indexed="81"/>
            <rFont val="Tahoma"/>
            <family val="2"/>
          </rPr>
          <t xml:space="preserve">
Mike Rawson - Helper - 12.5 hrs</t>
        </r>
      </text>
    </comment>
    <comment ref="H114" author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Steven Jackson - 12 hrs</t>
        </r>
      </text>
    </comment>
    <comment ref="K114" author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Steven Jackson - 1 Crew Van</t>
        </r>
      </text>
    </comment>
    <comment ref="H115" author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Shannon Budgell - 12 hrs</t>
        </r>
      </text>
    </comment>
    <comment ref="D116" authorId="0">
      <text>
        <r>
          <rPr>
            <b/>
            <sz val="9"/>
            <color indexed="81"/>
            <rFont val="Tahoma"/>
            <family val="2"/>
          </rPr>
          <t xml:space="preserve">Lorraine Dunbar:
</t>
        </r>
        <r>
          <rPr>
            <sz val="9"/>
            <color indexed="81"/>
            <rFont val="Tahoma"/>
            <family val="2"/>
          </rPr>
          <t>Toby Brooks - Operator - 12 hrs
Jimmy Myers - Helper - 12 hrs</t>
        </r>
      </text>
    </comment>
    <comment ref="M116" author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Jimmy Myers - Helper - 12 hrs</t>
        </r>
      </text>
    </comment>
    <comment ref="F117" author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Bryne Jones - Operator - 11 hrs
Mike Rawson - Helper - 12 hrs</t>
        </r>
      </text>
    </comment>
    <comment ref="M117" author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Mike Rawson - Helper - 12 hrs</t>
        </r>
      </text>
    </comment>
    <comment ref="F118" authorId="0">
      <text>
        <r>
          <rPr>
            <b/>
            <sz val="9"/>
            <color indexed="81"/>
            <rFont val="Tahoma"/>
            <family val="2"/>
          </rPr>
          <t xml:space="preserve">Lorraine Dunbar:
</t>
        </r>
        <r>
          <rPr>
            <sz val="9"/>
            <color indexed="81"/>
            <rFont val="Tahoma"/>
            <family val="2"/>
          </rPr>
          <t>Brent Pelleboes - Operator - 11 hrs
Tina Pelleboes - Helper - 12 hrs</t>
        </r>
      </text>
    </comment>
    <comment ref="M118" author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Tina Pelleboes - Helper - 12 hrs</t>
        </r>
      </text>
    </comment>
    <comment ref="F326" authorId="1">
      <text>
        <r>
          <rPr>
            <b/>
            <sz val="9"/>
            <color indexed="81"/>
            <rFont val="Tahoma"/>
            <family val="2"/>
          </rPr>
          <t>sacook000:</t>
        </r>
        <r>
          <rPr>
            <sz val="9"/>
            <color indexed="81"/>
            <rFont val="Tahoma"/>
            <family val="2"/>
          </rPr>
          <t xml:space="preserve">
Steamer </t>
        </r>
      </text>
    </comment>
  </commentList>
</comments>
</file>

<file path=xl/comments4.xml><?xml version="1.0" encoding="utf-8"?>
<comments xmlns="http://schemas.openxmlformats.org/spreadsheetml/2006/main">
  <authors>
    <author>sacookadmin</author>
  </authors>
  <commentList>
    <comment ref="C63" author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Tom Hudson
Jill Cullen</t>
        </r>
      </text>
    </comment>
    <comment ref="K63" author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Sean Smith
Derek Allan</t>
        </r>
      </text>
    </comment>
    <comment ref="Q64" author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Clint Bougeralle - 6 hrs Vac Truck Unit #791200
Clint Bougeralle - 8 hrs Pressure Truck Unit #790127</t>
        </r>
      </text>
    </comment>
    <comment ref="C66" author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Tom Hudson
Jill Cullen</t>
        </r>
      </text>
    </comment>
    <comment ref="K66" author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Sean Smith
Derek Allan</t>
        </r>
      </text>
    </comment>
    <comment ref="I67" author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Clint Bougerolle - 12 hrs</t>
        </r>
      </text>
    </comment>
    <comment ref="S68" author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Chris Mclean
Dave Mills</t>
        </r>
      </text>
    </comment>
    <comment ref="C69" author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Tom Hudson &amp; Jill Cullen Unit #791524 1 Day @ 2600/day
</t>
        </r>
      </text>
    </comment>
    <comment ref="K69" author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Sean Smith &amp; Derek Allen Unit#790218 1 Day @ 2600/day</t>
        </r>
      </text>
    </comment>
    <comment ref="G71" author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Chris Mclean &amp; Dave Mills Unit #79093 - 1 Day @ 2600.00/ day</t>
        </r>
      </text>
    </comment>
    <comment ref="C72" author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Tom Hudson &amp; Jill Cullen Unit #791524 1 Day @ 2600/day
</t>
        </r>
      </text>
    </comment>
    <comment ref="K72" author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Sean Smith &amp; Derek Allen Unit#790218 1 Day @ 2600/day</t>
        </r>
      </text>
    </comment>
    <comment ref="O73" author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Chris Mclean
Dave Mills</t>
        </r>
      </text>
    </comment>
    <comment ref="I74" author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Clint Bougerolle -Water Truck - 4 hrs</t>
        </r>
      </text>
    </comment>
    <comment ref="M74" author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Robert Buete - 8 hrs Vac Truck</t>
        </r>
      </text>
    </comment>
    <comment ref="W74" author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Clint Bougerolle - 8 hrs</t>
        </r>
      </text>
    </comment>
    <comment ref="I76" author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Unit  7910676 - 12 hrs</t>
        </r>
      </text>
    </comment>
    <comment ref="C77" authorId="0">
      <text>
        <r>
          <rPr>
            <b/>
            <sz val="9"/>
            <color indexed="81"/>
            <rFont val="Tahoma"/>
            <family val="2"/>
          </rPr>
          <t>Ldunbar:</t>
        </r>
        <r>
          <rPr>
            <sz val="9"/>
            <color indexed="81"/>
            <rFont val="Tahoma"/>
            <family val="2"/>
          </rPr>
          <t xml:space="preserve">
Unit 7910646 - 1 day</t>
        </r>
      </text>
    </comment>
    <comment ref="M78" authorId="0">
      <text>
        <r>
          <rPr>
            <b/>
            <sz val="9"/>
            <color indexed="81"/>
            <rFont val="Tahoma"/>
            <family val="2"/>
          </rPr>
          <t>LDunbar:</t>
        </r>
        <r>
          <rPr>
            <sz val="9"/>
            <color indexed="81"/>
            <rFont val="Tahoma"/>
            <family val="2"/>
          </rPr>
          <t xml:space="preserve">
Unit 010437 - 12 hrs</t>
        </r>
      </text>
    </comment>
    <comment ref="C82" author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Unit # 791524
Unit #7910646
</t>
        </r>
      </text>
    </comment>
    <comment ref="C85" authorId="0">
      <text>
        <r>
          <rPr>
            <b/>
            <sz val="9"/>
            <color indexed="81"/>
            <rFont val="Tahoma"/>
            <family val="2"/>
          </rPr>
          <t>LDunbar:</t>
        </r>
        <r>
          <rPr>
            <sz val="9"/>
            <color indexed="81"/>
            <rFont val="Tahoma"/>
            <family val="2"/>
          </rPr>
          <t xml:space="preserve">
Unit# 7910640 - 1 day
Unit# 790218 - 1 day</t>
        </r>
      </text>
    </comment>
    <comment ref="C86" author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Unit# 7911287 - 1 Day
</t>
        </r>
      </text>
    </comment>
    <comment ref="G94" authorId="0">
      <text>
        <r>
          <rPr>
            <b/>
            <sz val="9"/>
            <color indexed="81"/>
            <rFont val="Tahoma"/>
            <family val="2"/>
          </rPr>
          <t>LDunbar:</t>
        </r>
        <r>
          <rPr>
            <sz val="9"/>
            <color indexed="81"/>
            <rFont val="Tahoma"/>
            <family val="2"/>
          </rPr>
          <t xml:space="preserve">
Unit 701518 - 1 day
Unit 79095 - 1 day</t>
        </r>
      </text>
    </comment>
    <comment ref="G95" author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Unit 791420 - 1 day</t>
        </r>
      </text>
    </comment>
    <comment ref="I95" author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Unit 7910669 - 10 hrs
Unit 7910676 - Free WT</t>
        </r>
      </text>
    </comment>
    <comment ref="G96" authorId="0">
      <text>
        <r>
          <rPr>
            <b/>
            <sz val="9"/>
            <color indexed="81"/>
            <rFont val="Tahoma"/>
            <family val="2"/>
          </rPr>
          <t>LDunbar:</t>
        </r>
        <r>
          <rPr>
            <sz val="9"/>
            <color indexed="81"/>
            <rFont val="Tahoma"/>
            <family val="2"/>
          </rPr>
          <t xml:space="preserve">
Unit 79095 - 1 day</t>
        </r>
      </text>
    </comment>
    <comment ref="I97" authorId="0">
      <text>
        <r>
          <rPr>
            <b/>
            <sz val="9"/>
            <color indexed="81"/>
            <rFont val="Tahoma"/>
            <family val="2"/>
          </rPr>
          <t>LDunbar:</t>
        </r>
        <r>
          <rPr>
            <sz val="9"/>
            <color indexed="81"/>
            <rFont val="Tahoma"/>
            <family val="2"/>
          </rPr>
          <t xml:space="preserve">
Unit 7910669 - 12 hrs
Unit 7910676 - Free</t>
        </r>
      </text>
    </comment>
    <comment ref="K97" author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Unit 791518 - 1 day</t>
        </r>
      </text>
    </comment>
    <comment ref="C111" author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Unit 791518</t>
        </r>
      </text>
    </comment>
    <comment ref="C113" author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Unit 791518</t>
        </r>
      </text>
    </comment>
    <comment ref="C115" author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Unit 791518</t>
        </r>
      </text>
    </comment>
    <comment ref="C116" author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Unit 791518</t>
        </r>
      </text>
    </comment>
  </commentList>
</comments>
</file>

<file path=xl/comments5.xml><?xml version="1.0" encoding="utf-8"?>
<comments xmlns="http://schemas.openxmlformats.org/spreadsheetml/2006/main">
  <authors>
    <author>sacookadmin</author>
  </authors>
  <commentList>
    <comment ref="C61" author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Anna Weir - 8hrs 
1 Field Kit
172 kms</t>
        </r>
      </text>
    </comment>
    <comment ref="O61" author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Anna Weir - 8hrs 
1 Field Kit
172 kms</t>
        </r>
      </text>
    </comment>
    <comment ref="U61" author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Anna Weir - 8hrs 
1 Field Kit
172 kms</t>
        </r>
      </text>
    </comment>
    <comment ref="AG61" author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Anna Weir - 8hrs 
1 Field Kit
172 kms</t>
        </r>
      </text>
    </comment>
    <comment ref="C62" author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Anna Weir - 8hrs 
1 Field Kit
197 kms</t>
        </r>
      </text>
    </comment>
    <comment ref="O62" author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Anna Weir - 8hrs 
1 Field Kit
197 kms</t>
        </r>
      </text>
    </comment>
    <comment ref="U62" author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Anna Weir - 8hrs 
1 Field Kit
197 kms</t>
        </r>
      </text>
    </comment>
    <comment ref="AG62" author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Anna Weir - 8hrs 
1 Field Kit
197 kms</t>
        </r>
      </text>
    </comment>
    <comment ref="C63" author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Anna Weir - 8hrs 
1 Field Kit
208 kms</t>
        </r>
      </text>
    </comment>
    <comment ref="O63" author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Anna Weir - 8hrs 
1 Field Kit
208 kms</t>
        </r>
      </text>
    </comment>
    <comment ref="U63" author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Anna Weir - 8hrs 
1 Field Kit
208 kms</t>
        </r>
      </text>
    </comment>
    <comment ref="AG63" author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Anna Weir - 8hrs 
1 Field Kit
208 kms</t>
        </r>
      </text>
    </comment>
  </commentList>
</comments>
</file>

<file path=xl/comments6.xml><?xml version="1.0" encoding="utf-8"?>
<comments xmlns="http://schemas.openxmlformats.org/spreadsheetml/2006/main">
  <authors>
    <author>sacook000</author>
  </authors>
  <commentList>
    <comment ref="D4" authorId="0">
      <text>
        <r>
          <rPr>
            <b/>
            <sz val="9"/>
            <color indexed="81"/>
            <rFont val="Tahoma"/>
            <family val="2"/>
          </rPr>
          <t>sacook000:</t>
        </r>
        <r>
          <rPr>
            <sz val="9"/>
            <color indexed="81"/>
            <rFont val="Tahoma"/>
            <family val="2"/>
          </rPr>
          <t xml:space="preserve">
10hr day and overtime is same rate</t>
        </r>
      </text>
    </comment>
  </commentList>
</comments>
</file>

<file path=xl/comments7.xml><?xml version="1.0" encoding="utf-8"?>
<comments xmlns="http://schemas.openxmlformats.org/spreadsheetml/2006/main">
  <authors>
    <author>sacookadmin</author>
  </authors>
  <commentList>
    <comment ref="U3" authorId="0">
      <text>
        <r>
          <rPr>
            <b/>
            <sz val="9"/>
            <color indexed="81"/>
            <rFont val="Tahoma"/>
            <family val="2"/>
          </rPr>
          <t>sacookadmin</t>
        </r>
      </text>
    </comment>
  </commentList>
</comments>
</file>

<file path=xl/sharedStrings.xml><?xml version="1.0" encoding="utf-8"?>
<sst xmlns="http://schemas.openxmlformats.org/spreadsheetml/2006/main" count="2105" uniqueCount="1134">
  <si>
    <t>Date</t>
  </si>
  <si>
    <t>Sub Code</t>
  </si>
  <si>
    <t>PROJECT:</t>
  </si>
  <si>
    <t>A.F.E.#</t>
  </si>
  <si>
    <t>PROJECT #</t>
  </si>
  <si>
    <t>E.W.R. #</t>
  </si>
  <si>
    <t>Sub Description</t>
  </si>
  <si>
    <t>Approved By</t>
  </si>
  <si>
    <t xml:space="preserve"> LEM #</t>
  </si>
  <si>
    <t>LEM Amount</t>
  </si>
  <si>
    <t>PO number</t>
  </si>
  <si>
    <t>Manpower</t>
  </si>
  <si>
    <t>Km's Charged</t>
  </si>
  <si>
    <t>Subtotal</t>
  </si>
  <si>
    <t>GST</t>
  </si>
  <si>
    <t>Affiliating Invoice</t>
  </si>
  <si>
    <t>SUM OF ALL LEM'S (before GST)</t>
  </si>
  <si>
    <t>Total Hours Charged</t>
  </si>
  <si>
    <t>Straight Hours Charged (ea.)</t>
  </si>
  <si>
    <t>Overtime Hours Charged (ea.)</t>
  </si>
  <si>
    <t>Equipment Detail</t>
  </si>
  <si>
    <t xml:space="preserve"> Rate</t>
  </si>
  <si>
    <t>Labourer class</t>
  </si>
  <si>
    <t>Total Labour Rate per hr</t>
  </si>
  <si>
    <t>TOTAL PO. AMOUNT</t>
  </si>
  <si>
    <t>PO AMOUNT</t>
  </si>
  <si>
    <t>Rate</t>
  </si>
  <si>
    <t>PO AMOUNT (As of October 30th)</t>
  </si>
  <si>
    <t xml:space="preserve">INVOICED </t>
  </si>
  <si>
    <t>LEM TOTAL</t>
  </si>
  <si>
    <t>INVOICE #</t>
  </si>
  <si>
    <t>TYPE</t>
  </si>
  <si>
    <t>VENDOR #</t>
  </si>
  <si>
    <t>PREVIOUS PO SPEND</t>
  </si>
  <si>
    <t>N/A</t>
  </si>
  <si>
    <t>DATE ENTERED</t>
  </si>
  <si>
    <t>2015-047</t>
  </si>
  <si>
    <t>May 1-31</t>
  </si>
  <si>
    <t>km</t>
  </si>
  <si>
    <t>Safety Officer</t>
  </si>
  <si>
    <t>55J</t>
  </si>
  <si>
    <t>Apr 15-30</t>
  </si>
  <si>
    <t>56J</t>
  </si>
  <si>
    <t>Quad</t>
  </si>
  <si>
    <t>Km over 200</t>
  </si>
  <si>
    <t xml:space="preserve">Sub </t>
  </si>
  <si>
    <t>Lead</t>
  </si>
  <si>
    <t>KM</t>
  </si>
  <si>
    <t>Admin</t>
  </si>
  <si>
    <t xml:space="preserve">Build Spreadsheet </t>
  </si>
  <si>
    <t>Sub</t>
  </si>
  <si>
    <t>Field Supervisor</t>
  </si>
  <si>
    <t>2 Man Survey Crew</t>
  </si>
  <si>
    <t>ATV</t>
  </si>
  <si>
    <t>GPS</t>
  </si>
  <si>
    <t>Vehicle</t>
  </si>
  <si>
    <t>GIS Tech</t>
  </si>
  <si>
    <t>Project Manager</t>
  </si>
  <si>
    <t>May 1-15</t>
  </si>
  <si>
    <t>Pipeline Tech</t>
  </si>
  <si>
    <t xml:space="preserve">Additional Person </t>
  </si>
  <si>
    <t>May 20 to May 30</t>
  </si>
  <si>
    <t>CAD Tech</t>
  </si>
  <si>
    <t>Apr 16-30</t>
  </si>
  <si>
    <t>2015-10</t>
  </si>
  <si>
    <t>2015-12</t>
  </si>
  <si>
    <t>2015-14</t>
  </si>
  <si>
    <t>May 16-31</t>
  </si>
  <si>
    <t>Invoice from April 16-30</t>
  </si>
  <si>
    <t>Invoice from May 1-15</t>
  </si>
  <si>
    <t>Invoice from May 16-31</t>
  </si>
  <si>
    <t>without GST / Inv Amt.</t>
  </si>
  <si>
    <t>2</t>
  </si>
  <si>
    <t>1</t>
  </si>
  <si>
    <t>Rate $200</t>
  </si>
  <si>
    <t>Rate $150</t>
  </si>
  <si>
    <t>KM Over 180</t>
  </si>
  <si>
    <t>Rate $1.00</t>
  </si>
  <si>
    <t>June 1-15</t>
  </si>
  <si>
    <t>BG13003-1</t>
  </si>
  <si>
    <t xml:space="preserve">Km's </t>
  </si>
  <si>
    <t>Biologist Jason Lewis</t>
  </si>
  <si>
    <t>Biologist Tanya Debroux</t>
  </si>
  <si>
    <t>BG13003-2</t>
  </si>
  <si>
    <t>BG13003-3</t>
  </si>
  <si>
    <t xml:space="preserve">Field Kit GPS Kit, Camera, Binoculars, Latoptop </t>
  </si>
  <si>
    <t>BG13003-4</t>
  </si>
  <si>
    <t>BG13003-5</t>
  </si>
  <si>
    <t>BG13003-6</t>
  </si>
  <si>
    <t>Locate crew hours</t>
  </si>
  <si>
    <t>Locate crew</t>
  </si>
  <si>
    <t>3</t>
  </si>
  <si>
    <t>Locate crew and quad</t>
  </si>
  <si>
    <t>Digital map</t>
  </si>
  <si>
    <t>locate crew and dig maps</t>
  </si>
  <si>
    <t>Digital maps</t>
  </si>
  <si>
    <t>Labour</t>
  </si>
  <si>
    <t>Truck</t>
  </si>
  <si>
    <t>one man survey crew</t>
  </si>
  <si>
    <t>Locate crew and dig maps</t>
  </si>
  <si>
    <t>BG13003-9</t>
  </si>
  <si>
    <t>BG13003-7</t>
  </si>
  <si>
    <t>BG13003-8</t>
  </si>
  <si>
    <t xml:space="preserve">locate crew and dig map </t>
  </si>
  <si>
    <t>additional GPS</t>
  </si>
  <si>
    <t>KM's over 200</t>
  </si>
  <si>
    <t>BG13003-10</t>
  </si>
  <si>
    <t>BG13003-11</t>
  </si>
  <si>
    <t>BG13003-12</t>
  </si>
  <si>
    <t>BG13003-13</t>
  </si>
  <si>
    <t>BG13003-14</t>
  </si>
  <si>
    <t>BG13003-15</t>
  </si>
  <si>
    <t>Hybrid KM's</t>
  </si>
  <si>
    <t>Side by side</t>
  </si>
  <si>
    <t>150</t>
  </si>
  <si>
    <t>2015-048</t>
  </si>
  <si>
    <t>.5</t>
  </si>
  <si>
    <t>BG13003-16</t>
  </si>
  <si>
    <t>BG13003-17</t>
  </si>
  <si>
    <t>BG1300318</t>
  </si>
  <si>
    <t>2015-17</t>
  </si>
  <si>
    <t>2015-15</t>
  </si>
  <si>
    <t>June 16-30</t>
  </si>
  <si>
    <t>June 1-30</t>
  </si>
  <si>
    <t>BG1300319</t>
  </si>
  <si>
    <t>BG1300320</t>
  </si>
  <si>
    <t>BG1300321</t>
  </si>
  <si>
    <t>BG1300322</t>
  </si>
  <si>
    <t>BG1300323</t>
  </si>
  <si>
    <t>BG1300324</t>
  </si>
  <si>
    <t>Titles</t>
  </si>
  <si>
    <t>Unit # 791524</t>
  </si>
  <si>
    <t>Unit # 7911287</t>
  </si>
  <si>
    <t>Crew cab</t>
  </si>
  <si>
    <t>BG1300325</t>
  </si>
  <si>
    <t>BG1300326</t>
  </si>
  <si>
    <t>BG1300327</t>
  </si>
  <si>
    <t>Swoffer</t>
  </si>
  <si>
    <t>rate</t>
  </si>
  <si>
    <t>Tri-drive hydrovac Day Rate $215</t>
  </si>
  <si>
    <t>hrs</t>
  </si>
  <si>
    <t xml:space="preserve">Paul </t>
  </si>
  <si>
    <t>Vehicle $150</t>
  </si>
  <si>
    <t>Paul /Grant</t>
  </si>
  <si>
    <t>Paul</t>
  </si>
  <si>
    <t>Paul/Grant</t>
  </si>
  <si>
    <t>Paul /Gary</t>
  </si>
  <si>
    <t>Ticket Number</t>
  </si>
  <si>
    <t>Z387726</t>
  </si>
  <si>
    <t>Z433851</t>
  </si>
  <si>
    <t>LOA</t>
  </si>
  <si>
    <t>TDL#</t>
  </si>
  <si>
    <t>Gary</t>
  </si>
  <si>
    <t>BG13003-28</t>
  </si>
  <si>
    <t>BG13003-29</t>
  </si>
  <si>
    <t>BG13003-30</t>
  </si>
  <si>
    <t>Z433852</t>
  </si>
  <si>
    <t>Films</t>
  </si>
  <si>
    <t>Tri-axle water truck</t>
  </si>
  <si>
    <t>Unit # 7910676</t>
  </si>
  <si>
    <t>GH070815</t>
  </si>
  <si>
    <t>KM's</t>
  </si>
  <si>
    <t>GH070715</t>
  </si>
  <si>
    <t>16" 9.5</t>
  </si>
  <si>
    <t>16" 7.1</t>
  </si>
  <si>
    <t>24"  11.1</t>
  </si>
  <si>
    <t>BG13003-31</t>
  </si>
  <si>
    <t>BG13003-32</t>
  </si>
  <si>
    <t>BG13003-33</t>
  </si>
  <si>
    <t>Water quality probe</t>
  </si>
  <si>
    <t>Equipment package</t>
  </si>
  <si>
    <t>KM &gt;150</t>
  </si>
  <si>
    <t>Blair</t>
  </si>
  <si>
    <t>GH070915</t>
  </si>
  <si>
    <t>day Rate</t>
  </si>
  <si>
    <t xml:space="preserve"> Hr Rate</t>
  </si>
  <si>
    <t>Invoicing coordinator</t>
  </si>
  <si>
    <t>GH071015</t>
  </si>
  <si>
    <t xml:space="preserve">24"  11.1 </t>
  </si>
  <si>
    <t xml:space="preserve">Rate </t>
  </si>
  <si>
    <t xml:space="preserve"> </t>
  </si>
  <si>
    <t>BG13003-34</t>
  </si>
  <si>
    <t>BG13003-35</t>
  </si>
  <si>
    <t>BG13003-36</t>
  </si>
  <si>
    <t>BG13003-37</t>
  </si>
  <si>
    <t>Amphibian traps</t>
  </si>
  <si>
    <t>Unit # 790218</t>
  </si>
  <si>
    <t>GH071115</t>
  </si>
  <si>
    <t>GH071315</t>
  </si>
  <si>
    <t>GH071415</t>
  </si>
  <si>
    <t>2015-18</t>
  </si>
  <si>
    <t>July 1-15</t>
  </si>
  <si>
    <t>58J</t>
  </si>
  <si>
    <t>GH071515</t>
  </si>
  <si>
    <t>GH071615</t>
  </si>
  <si>
    <t>BG13003-38</t>
  </si>
  <si>
    <t>BG13003-39</t>
  </si>
  <si>
    <t>BG13003-40</t>
  </si>
  <si>
    <t>RD-071615</t>
  </si>
  <si>
    <t>TN-071616</t>
  </si>
  <si>
    <t>RD-071715</t>
  </si>
  <si>
    <t>TN-071715</t>
  </si>
  <si>
    <t>GH071715</t>
  </si>
  <si>
    <t>RD-071815</t>
  </si>
  <si>
    <t>TN-071815</t>
  </si>
  <si>
    <t>GH071815</t>
  </si>
  <si>
    <t>BG13003-41</t>
  </si>
  <si>
    <t>BG13003-42</t>
  </si>
  <si>
    <t>BG13003-43</t>
  </si>
  <si>
    <t>GH072015</t>
  </si>
  <si>
    <t>TN-072015</t>
  </si>
  <si>
    <t>Vac truck</t>
  </si>
  <si>
    <t>Unit # 791200</t>
  </si>
  <si>
    <t>Unit # 79093</t>
  </si>
  <si>
    <t>rate/day</t>
  </si>
  <si>
    <t>Trix axle hydro vac</t>
  </si>
  <si>
    <t>Hourly rate</t>
  </si>
  <si>
    <t>GH072115</t>
  </si>
  <si>
    <t>TN-072115</t>
  </si>
  <si>
    <t>2015-050</t>
  </si>
  <si>
    <t>TN-072215</t>
  </si>
  <si>
    <t>GH072215</t>
  </si>
  <si>
    <t>July1-15</t>
  </si>
  <si>
    <t>BG13003-44</t>
  </si>
  <si>
    <t>BG13003-45</t>
  </si>
  <si>
    <t>BG13003-46</t>
  </si>
  <si>
    <t>Unit # 792761A</t>
  </si>
  <si>
    <t xml:space="preserve">rate </t>
  </si>
  <si>
    <t>Unit # 791526</t>
  </si>
  <si>
    <t>GH072315</t>
  </si>
  <si>
    <t>TN-072315</t>
  </si>
  <si>
    <t>GH072415</t>
  </si>
  <si>
    <t>TN-072415</t>
  </si>
  <si>
    <t>BG13003-47</t>
  </si>
  <si>
    <t>BG13003-48</t>
  </si>
  <si>
    <t>BG13003-49</t>
  </si>
  <si>
    <t>RWG-072515</t>
  </si>
  <si>
    <t>GH072515</t>
  </si>
  <si>
    <t>TN-072515</t>
  </si>
  <si>
    <t>3 man crew</t>
  </si>
  <si>
    <t>3 man OT</t>
  </si>
  <si>
    <t>2 man OT</t>
  </si>
  <si>
    <t>day rate</t>
  </si>
  <si>
    <t>hr/rate</t>
  </si>
  <si>
    <t>day/rate</t>
  </si>
  <si>
    <t>June 15-30</t>
  </si>
  <si>
    <t>GH072715</t>
  </si>
  <si>
    <t>TN-072715</t>
  </si>
  <si>
    <t>RWG-072715</t>
  </si>
  <si>
    <t>GH072815</t>
  </si>
  <si>
    <t>TN-072815</t>
  </si>
  <si>
    <t>RWG-072815</t>
  </si>
  <si>
    <t>RD-072815</t>
  </si>
  <si>
    <t>GH072915</t>
  </si>
  <si>
    <t>TN-072915</t>
  </si>
  <si>
    <t>RWG-072915</t>
  </si>
  <si>
    <t>RD-072915</t>
  </si>
  <si>
    <t>GH073015</t>
  </si>
  <si>
    <t>TN-073015</t>
  </si>
  <si>
    <t>RWG-073015</t>
  </si>
  <si>
    <t>RD-073015</t>
  </si>
  <si>
    <t>Water truck hrs at No charge</t>
  </si>
  <si>
    <t>BG13003-50</t>
  </si>
  <si>
    <t>BG13003-51</t>
  </si>
  <si>
    <t>BG13003-52</t>
  </si>
  <si>
    <t>July 1-31</t>
  </si>
  <si>
    <t>July 16-31</t>
  </si>
  <si>
    <t>BG13003-53</t>
  </si>
  <si>
    <t>BG13003-54</t>
  </si>
  <si>
    <t>BG13003-55</t>
  </si>
  <si>
    <t>BG13003-56</t>
  </si>
  <si>
    <t>2015-19</t>
  </si>
  <si>
    <t>GH073115</t>
  </si>
  <si>
    <t>TN-073115</t>
  </si>
  <si>
    <t>RWG-073115</t>
  </si>
  <si>
    <t>RD-073115</t>
  </si>
  <si>
    <t>GH080115</t>
  </si>
  <si>
    <t>RWG-080115</t>
  </si>
  <si>
    <t>BG13003-57</t>
  </si>
  <si>
    <t>BG13003-58</t>
  </si>
  <si>
    <t>BG13003-59</t>
  </si>
  <si>
    <t>Paul/Gary</t>
  </si>
  <si>
    <t>stats</t>
  </si>
  <si>
    <t>Per Day</t>
  </si>
  <si>
    <t>RWG-080315</t>
  </si>
  <si>
    <t>RWG-080415</t>
  </si>
  <si>
    <t>017</t>
  </si>
  <si>
    <t>Per Hr</t>
  </si>
  <si>
    <t>Per Km</t>
  </si>
  <si>
    <t>RWG-080515</t>
  </si>
  <si>
    <t>Unit #790127</t>
  </si>
  <si>
    <t>RWG-080615</t>
  </si>
  <si>
    <t>RWG-080715</t>
  </si>
  <si>
    <t>BG13003-60</t>
  </si>
  <si>
    <t>BG13003-61</t>
  </si>
  <si>
    <t>BG13003-62</t>
  </si>
  <si>
    <t>RWG-080815</t>
  </si>
  <si>
    <t>Subsistance</t>
  </si>
  <si>
    <t>2015-052</t>
  </si>
  <si>
    <t>May 20 to June 30</t>
  </si>
  <si>
    <t>BG13003-63</t>
  </si>
  <si>
    <t>BG13003-64</t>
  </si>
  <si>
    <t>BG13003-65</t>
  </si>
  <si>
    <t>BG13003-66</t>
  </si>
  <si>
    <t>BG13003-67</t>
  </si>
  <si>
    <t>BG13003-68</t>
  </si>
  <si>
    <t>Lamotte Turbidity Meter/Day</t>
  </si>
  <si>
    <t>June 1 to June 7</t>
  </si>
  <si>
    <t>2015-20</t>
  </si>
  <si>
    <t>August 1-15</t>
  </si>
  <si>
    <t>DAY RATE</t>
  </si>
  <si>
    <t>Subsistence</t>
  </si>
  <si>
    <t>RATES</t>
  </si>
  <si>
    <t>Kms</t>
  </si>
  <si>
    <t>BG13003-70</t>
  </si>
  <si>
    <t>BG13003-71</t>
  </si>
  <si>
    <t>BG13003-72</t>
  </si>
  <si>
    <t>Day Off</t>
  </si>
  <si>
    <t>Not sure requested copy</t>
  </si>
  <si>
    <t>INVOICED</t>
  </si>
  <si>
    <t>BG13003-76</t>
  </si>
  <si>
    <t>YSI Turbidty Meter</t>
  </si>
  <si>
    <t>BG13003-77</t>
  </si>
  <si>
    <t>BG13003-78</t>
  </si>
  <si>
    <t>July 7-31</t>
  </si>
  <si>
    <t>Aug 1-15</t>
  </si>
  <si>
    <t>2015-051</t>
  </si>
  <si>
    <t>2015-053</t>
  </si>
  <si>
    <t>Over time hrs</t>
  </si>
  <si>
    <t>July 28-31</t>
  </si>
  <si>
    <t>Aug 1-14</t>
  </si>
  <si>
    <t>Aug 13-14</t>
  </si>
  <si>
    <t>Aug 10-12</t>
  </si>
  <si>
    <t>Aug 7-8</t>
  </si>
  <si>
    <t>Aug 3-6</t>
  </si>
  <si>
    <t>July 10-11</t>
  </si>
  <si>
    <t>July 14-20</t>
  </si>
  <si>
    <t>July 3-9</t>
  </si>
  <si>
    <t>June 29-July 2</t>
  </si>
  <si>
    <t>July 21-23</t>
  </si>
  <si>
    <t>Aug 5-7 3rd Party</t>
  </si>
  <si>
    <t>July 24-Aug 4 3rd Party</t>
  </si>
  <si>
    <t>June 30 - July 15</t>
  </si>
  <si>
    <t>July 3 - July 17 3rd Party</t>
  </si>
  <si>
    <t>Additional $567 added to LEM</t>
  </si>
  <si>
    <t>Additional $330 added to LEM</t>
  </si>
  <si>
    <t>Additional $519 added to LEM</t>
  </si>
  <si>
    <t>Additional $425.25 added to LEM</t>
  </si>
  <si>
    <t>Additional $135 added to LEM</t>
  </si>
  <si>
    <t>Additional $90 added to LEM</t>
  </si>
  <si>
    <t>Additioanl $630 added to LEM</t>
  </si>
  <si>
    <t>1232</t>
  </si>
  <si>
    <t>1204</t>
  </si>
  <si>
    <t>1205</t>
  </si>
  <si>
    <t>Pad Prep $105</t>
  </si>
  <si>
    <t>Land title spin $32</t>
  </si>
  <si>
    <t>Lem #</t>
  </si>
  <si>
    <t>BG13003.79</t>
  </si>
  <si>
    <t>BG13003-73</t>
  </si>
  <si>
    <t>BG13003.74</t>
  </si>
  <si>
    <t>Boreal Field Kit 78.5</t>
  </si>
  <si>
    <t>Fish Sampling Kit</t>
  </si>
  <si>
    <t>Minnow Traps</t>
  </si>
  <si>
    <t>Backpack Electrofisher</t>
  </si>
  <si>
    <t>BG13003-75</t>
  </si>
  <si>
    <t xml:space="preserve">Percent Spent </t>
  </si>
  <si>
    <t>soup and sandwich</t>
  </si>
  <si>
    <t>stake and lath</t>
  </si>
  <si>
    <t>BG13003-80</t>
  </si>
  <si>
    <t>Invoice#2015-21</t>
  </si>
  <si>
    <t>RATE</t>
  </si>
  <si>
    <t>PER DAY</t>
  </si>
  <si>
    <t>4X4 TRUCK</t>
  </si>
  <si>
    <t>TYPE A TEST STATION</t>
  </si>
  <si>
    <t>PER UNIT</t>
  </si>
  <si>
    <t>Invoice# HE-056 -15-PPL</t>
  </si>
  <si>
    <t>2-Revised</t>
  </si>
  <si>
    <t>3-Revised</t>
  </si>
  <si>
    <t>38 Revised</t>
  </si>
  <si>
    <t>39 Revised</t>
  </si>
  <si>
    <t xml:space="preserve">44 Revised </t>
  </si>
  <si>
    <t xml:space="preserve">45 Revised </t>
  </si>
  <si>
    <t>37 Revised</t>
  </si>
  <si>
    <t>30 Revised</t>
  </si>
  <si>
    <t>23 Revised</t>
  </si>
  <si>
    <t>29 Revised</t>
  </si>
  <si>
    <t>2015-21</t>
  </si>
  <si>
    <t>Invoice# HE-059 -15-PPL</t>
  </si>
  <si>
    <t>Aug 16- 31, 2015</t>
  </si>
  <si>
    <t>Aug 28 - 31</t>
  </si>
  <si>
    <t>Aug 25 - 28</t>
  </si>
  <si>
    <t>July 27 - Aug 1</t>
  </si>
  <si>
    <t>32</t>
  </si>
  <si>
    <t>Aug 30- Sept 2</t>
  </si>
  <si>
    <t xml:space="preserve">Invoice#16                                                                                                                                               </t>
  </si>
  <si>
    <t>Aug 1- 31, 2015</t>
  </si>
  <si>
    <t>51</t>
  </si>
  <si>
    <t>146060</t>
  </si>
  <si>
    <t>146059</t>
  </si>
  <si>
    <t>Water</t>
  </si>
  <si>
    <t>24 Revised</t>
  </si>
  <si>
    <t>48 Revised</t>
  </si>
  <si>
    <t>43 Revised</t>
  </si>
  <si>
    <t>41 Revised</t>
  </si>
  <si>
    <t>27 Revised</t>
  </si>
  <si>
    <t>Invoice 5502</t>
  </si>
  <si>
    <t>Invoice# HE-071 -15-PPL</t>
  </si>
  <si>
    <t>Sept 1-11, 2015</t>
  </si>
  <si>
    <t>May 15-30, 2015</t>
  </si>
  <si>
    <t>June 1-30, 2015</t>
  </si>
  <si>
    <t>July 1-31, 2015</t>
  </si>
  <si>
    <t>Invoice#2015-22</t>
  </si>
  <si>
    <t>Invoice#2015-20</t>
  </si>
  <si>
    <t>2015-22</t>
  </si>
  <si>
    <t>Sept 1-15, 2015</t>
  </si>
  <si>
    <t>2015-054</t>
  </si>
  <si>
    <t>Overtime</t>
  </si>
  <si>
    <t>30348</t>
  </si>
  <si>
    <t>30349</t>
  </si>
  <si>
    <t>30350</t>
  </si>
  <si>
    <t>29977</t>
  </si>
  <si>
    <t>29978</t>
  </si>
  <si>
    <t>29979</t>
  </si>
  <si>
    <t>29980</t>
  </si>
  <si>
    <t>29981</t>
  </si>
  <si>
    <t>29982</t>
  </si>
  <si>
    <t>29983</t>
  </si>
  <si>
    <t>29984</t>
  </si>
  <si>
    <t>Misc. Materials</t>
  </si>
  <si>
    <t>Continuity Test Bore 5</t>
  </si>
  <si>
    <t>Misc. Equipment</t>
  </si>
  <si>
    <t>29985</t>
  </si>
  <si>
    <t>29989</t>
  </si>
  <si>
    <t>29991</t>
  </si>
  <si>
    <t>29990</t>
  </si>
  <si>
    <t>29988</t>
  </si>
  <si>
    <t>29987</t>
  </si>
  <si>
    <t>29986</t>
  </si>
  <si>
    <t>29992</t>
  </si>
  <si>
    <t>29993</t>
  </si>
  <si>
    <t>29994</t>
  </si>
  <si>
    <t>29995</t>
  </si>
  <si>
    <t>29996</t>
  </si>
  <si>
    <t>29997</t>
  </si>
  <si>
    <t>29998</t>
  </si>
  <si>
    <t>29852</t>
  </si>
  <si>
    <t>29853</t>
  </si>
  <si>
    <t>29854</t>
  </si>
  <si>
    <t>29855</t>
  </si>
  <si>
    <t>29856</t>
  </si>
  <si>
    <t>29857</t>
  </si>
  <si>
    <t>29858</t>
  </si>
  <si>
    <t>29860</t>
  </si>
  <si>
    <t>ipads</t>
  </si>
  <si>
    <t>Expenses</t>
  </si>
  <si>
    <t>12868</t>
  </si>
  <si>
    <t>Sept</t>
  </si>
  <si>
    <t>33272</t>
  </si>
  <si>
    <t>Jul 1 - 31</t>
  </si>
  <si>
    <t>146226</t>
  </si>
  <si>
    <t>Sept 1 - 15</t>
  </si>
  <si>
    <t>2015-055</t>
  </si>
  <si>
    <t>Sep 1 - 15</t>
  </si>
  <si>
    <t>2015-059</t>
  </si>
  <si>
    <t>2015-062</t>
  </si>
  <si>
    <t>2015-065</t>
  </si>
  <si>
    <t>615329</t>
  </si>
  <si>
    <t>Hotel</t>
  </si>
  <si>
    <t>Meals</t>
  </si>
  <si>
    <t>Supervisor</t>
  </si>
  <si>
    <t>Supervisor OT</t>
  </si>
  <si>
    <t>GH080315</t>
  </si>
  <si>
    <t>GH080415</t>
  </si>
  <si>
    <t>Hotel Exp</t>
  </si>
  <si>
    <t>GH080515</t>
  </si>
  <si>
    <t>GH080615</t>
  </si>
  <si>
    <t>GH080715</t>
  </si>
  <si>
    <t>GH080815</t>
  </si>
  <si>
    <t>GH081015</t>
  </si>
  <si>
    <t>GH081115</t>
  </si>
  <si>
    <t>GH081215</t>
  </si>
  <si>
    <t>GH081315</t>
  </si>
  <si>
    <t>GH081415</t>
  </si>
  <si>
    <t>GH081515</t>
  </si>
  <si>
    <t>RWG081015-1</t>
  </si>
  <si>
    <t>RWG081115-1</t>
  </si>
  <si>
    <t>RWG081215-1</t>
  </si>
  <si>
    <t>RWG081315-1</t>
  </si>
  <si>
    <t>RWG081415-1</t>
  </si>
  <si>
    <t>RWG081515-1</t>
  </si>
  <si>
    <t>GMH081015</t>
  </si>
  <si>
    <t>GMH081115</t>
  </si>
  <si>
    <t>GMH081215</t>
  </si>
  <si>
    <t>GMH081315</t>
  </si>
  <si>
    <t>GMH081415</t>
  </si>
  <si>
    <t>GMH081515</t>
  </si>
  <si>
    <t>TN081015</t>
  </si>
  <si>
    <t>TN080115</t>
  </si>
  <si>
    <t>TN080315</t>
  </si>
  <si>
    <t>TN080415</t>
  </si>
  <si>
    <t>TN080515</t>
  </si>
  <si>
    <t>TN080615</t>
  </si>
  <si>
    <t>TN080715</t>
  </si>
  <si>
    <t>TN080815</t>
  </si>
  <si>
    <t>hr/day rate or 3 man crew</t>
  </si>
  <si>
    <t>GH081715</t>
  </si>
  <si>
    <t>GH081816</t>
  </si>
  <si>
    <t>GH081917</t>
  </si>
  <si>
    <t>GH082018</t>
  </si>
  <si>
    <t>GH082119</t>
  </si>
  <si>
    <t>GH082220</t>
  </si>
  <si>
    <t>RWG081715</t>
  </si>
  <si>
    <t>GMH081715</t>
  </si>
  <si>
    <t>TN081715</t>
  </si>
  <si>
    <t>29865</t>
  </si>
  <si>
    <t>29866</t>
  </si>
  <si>
    <t>29867</t>
  </si>
  <si>
    <t>615331</t>
  </si>
  <si>
    <t>615333</t>
  </si>
  <si>
    <t>615334</t>
  </si>
  <si>
    <t>615347</t>
  </si>
  <si>
    <t>615346</t>
  </si>
  <si>
    <t>615339</t>
  </si>
  <si>
    <t>615338</t>
  </si>
  <si>
    <t>615342</t>
  </si>
  <si>
    <t>615341</t>
  </si>
  <si>
    <t>615340</t>
  </si>
  <si>
    <t>615349</t>
  </si>
  <si>
    <t>615345</t>
  </si>
  <si>
    <t>615344</t>
  </si>
  <si>
    <t>615343</t>
  </si>
  <si>
    <t>615348</t>
  </si>
  <si>
    <t>GH092515</t>
  </si>
  <si>
    <t>RWG092515</t>
  </si>
  <si>
    <t>Butt Weld</t>
  </si>
  <si>
    <t>GH092415</t>
  </si>
  <si>
    <t>RWG092415</t>
  </si>
  <si>
    <t>GH092315</t>
  </si>
  <si>
    <t>TN092315</t>
  </si>
  <si>
    <t>RWG092315</t>
  </si>
  <si>
    <t>GH092215</t>
  </si>
  <si>
    <t>TN092215</t>
  </si>
  <si>
    <t>RWG092215</t>
  </si>
  <si>
    <t>Sep 1 - 30</t>
  </si>
  <si>
    <t>GH092915</t>
  </si>
  <si>
    <t>RWG092915</t>
  </si>
  <si>
    <t>12950</t>
  </si>
  <si>
    <t xml:space="preserve">Sep </t>
  </si>
  <si>
    <t>GH092815</t>
  </si>
  <si>
    <t>RWG092815</t>
  </si>
  <si>
    <t>2015-23</t>
  </si>
  <si>
    <t>Sep 16-30</t>
  </si>
  <si>
    <t>GH090315</t>
  </si>
  <si>
    <t>RWG090315</t>
  </si>
  <si>
    <t>GH100115</t>
  </si>
  <si>
    <t>RWG100115</t>
  </si>
  <si>
    <t>TN082415</t>
  </si>
  <si>
    <t>GH082515</t>
  </si>
  <si>
    <t>RWG082415</t>
  </si>
  <si>
    <t>GMH082415</t>
  </si>
  <si>
    <t>GMH082615</t>
  </si>
  <si>
    <t>GH083115</t>
  </si>
  <si>
    <t>GMH082515</t>
  </si>
  <si>
    <t>GMH082715</t>
  </si>
  <si>
    <t>GMH083115</t>
  </si>
  <si>
    <t>RWG082515</t>
  </si>
  <si>
    <t>RWG082615</t>
  </si>
  <si>
    <t>RWG082715</t>
  </si>
  <si>
    <t>RWG082815</t>
  </si>
  <si>
    <t>RWG082915</t>
  </si>
  <si>
    <t>RWG083115</t>
  </si>
  <si>
    <t>TN082515</t>
  </si>
  <si>
    <t>TN082615</t>
  </si>
  <si>
    <t>TN082715</t>
  </si>
  <si>
    <t>TN082815</t>
  </si>
  <si>
    <t>TN082915</t>
  </si>
  <si>
    <t>TN083115</t>
  </si>
  <si>
    <t>GH082615</t>
  </si>
  <si>
    <t>GH082715</t>
  </si>
  <si>
    <t>GH082815</t>
  </si>
  <si>
    <t>GH082915</t>
  </si>
  <si>
    <t>229624</t>
  </si>
  <si>
    <t>Aug 23-31</t>
  </si>
  <si>
    <t>GH090115</t>
  </si>
  <si>
    <t>GH090215</t>
  </si>
  <si>
    <t>TN090115</t>
  </si>
  <si>
    <t>TN090215</t>
  </si>
  <si>
    <t>TN090315</t>
  </si>
  <si>
    <t>RWG090115</t>
  </si>
  <si>
    <t>RWG090215</t>
  </si>
  <si>
    <t>GMH090115</t>
  </si>
  <si>
    <t>GMH090215</t>
  </si>
  <si>
    <t>GMH090315</t>
  </si>
  <si>
    <t>RD090115</t>
  </si>
  <si>
    <t>RD090215</t>
  </si>
  <si>
    <t>RD090315</t>
  </si>
  <si>
    <t>229626</t>
  </si>
  <si>
    <t>Sep 1-6</t>
  </si>
  <si>
    <t>GH090815</t>
  </si>
  <si>
    <t>GH090915</t>
  </si>
  <si>
    <t>GH091015</t>
  </si>
  <si>
    <t>GH091115</t>
  </si>
  <si>
    <t>GH091215</t>
  </si>
  <si>
    <t>GH091315</t>
  </si>
  <si>
    <t>RWG090815</t>
  </si>
  <si>
    <t>RWG090915</t>
  </si>
  <si>
    <t>RWG091015</t>
  </si>
  <si>
    <t>RWG091115</t>
  </si>
  <si>
    <t>RWG091215</t>
  </si>
  <si>
    <t>RWG091315</t>
  </si>
  <si>
    <t>GMH090815</t>
  </si>
  <si>
    <t>GMH090915</t>
  </si>
  <si>
    <t>GMH091015</t>
  </si>
  <si>
    <t>GMH091115</t>
  </si>
  <si>
    <t>GMH091215</t>
  </si>
  <si>
    <t>GMH091315</t>
  </si>
  <si>
    <t>229630</t>
  </si>
  <si>
    <t>Sep 7-13</t>
  </si>
  <si>
    <t>GH091415</t>
  </si>
  <si>
    <t>GH091515</t>
  </si>
  <si>
    <t>GH091615</t>
  </si>
  <si>
    <t>GH091715</t>
  </si>
  <si>
    <t>GH091815</t>
  </si>
  <si>
    <t>GH091915</t>
  </si>
  <si>
    <t>GMH091415</t>
  </si>
  <si>
    <t>GMH091515</t>
  </si>
  <si>
    <t>RD091415</t>
  </si>
  <si>
    <t>229632</t>
  </si>
  <si>
    <t>Sep 15-20</t>
  </si>
  <si>
    <t>29871</t>
  </si>
  <si>
    <t>614702</t>
  </si>
  <si>
    <t>614703</t>
  </si>
  <si>
    <t>614705</t>
  </si>
  <si>
    <t>614704</t>
  </si>
  <si>
    <t>614706</t>
  </si>
  <si>
    <t>Aug 1 - 31</t>
  </si>
  <si>
    <t>614707</t>
  </si>
  <si>
    <t>1212</t>
  </si>
  <si>
    <t>Sep 16 - 25</t>
  </si>
  <si>
    <t>GH100215</t>
  </si>
  <si>
    <t>RWG100215</t>
  </si>
  <si>
    <t>GH100315</t>
  </si>
  <si>
    <t>RWG100315</t>
  </si>
  <si>
    <t>GH100415</t>
  </si>
  <si>
    <t>RWG100415</t>
  </si>
  <si>
    <t>GH100515</t>
  </si>
  <si>
    <t>614708</t>
  </si>
  <si>
    <t>RWG100515</t>
  </si>
  <si>
    <t>RWG100615</t>
  </si>
  <si>
    <t>GH100715</t>
  </si>
  <si>
    <t>RWG100715</t>
  </si>
  <si>
    <t>RDM0038</t>
  </si>
  <si>
    <t>Sep 1-4</t>
  </si>
  <si>
    <t>Invoice 5582 29163.75</t>
  </si>
  <si>
    <t>5582</t>
  </si>
  <si>
    <t>Sep 1-30</t>
  </si>
  <si>
    <t>CDH2</t>
  </si>
  <si>
    <t>52</t>
  </si>
  <si>
    <t>GH101315</t>
  </si>
  <si>
    <t>RWG101315</t>
  </si>
  <si>
    <t>614709</t>
  </si>
  <si>
    <t>614711</t>
  </si>
  <si>
    <t>iPads</t>
  </si>
  <si>
    <t>2015-24</t>
  </si>
  <si>
    <t>Judy creek</t>
  </si>
  <si>
    <t>RWG-101415</t>
  </si>
  <si>
    <t>AJB-0032</t>
  </si>
  <si>
    <t>GH-101515</t>
  </si>
  <si>
    <t>RD-101515</t>
  </si>
  <si>
    <t>2 man crew BACK END TIE-IN</t>
  </si>
  <si>
    <t>2 man crew Mainline crawler</t>
  </si>
  <si>
    <t>RWG-101515</t>
  </si>
  <si>
    <t>614713</t>
  </si>
  <si>
    <t>614714</t>
  </si>
  <si>
    <t>614715</t>
  </si>
  <si>
    <t>RD-101615</t>
  </si>
  <si>
    <t>RWG-101615</t>
  </si>
  <si>
    <t>GH092615</t>
  </si>
  <si>
    <t>RWG092615</t>
  </si>
  <si>
    <t>614718</t>
  </si>
  <si>
    <t>614716</t>
  </si>
  <si>
    <t>GH-101715</t>
  </si>
  <si>
    <t>RD-101715-2</t>
  </si>
  <si>
    <t>RWG-101715</t>
  </si>
  <si>
    <t>RWG-101815</t>
  </si>
  <si>
    <t>RWG-101915</t>
  </si>
  <si>
    <t>Oct 1-15</t>
  </si>
  <si>
    <t>28385</t>
  </si>
  <si>
    <t>UT tech level 2</t>
  </si>
  <si>
    <t>rate /hour</t>
  </si>
  <si>
    <t>UT tech level 1</t>
  </si>
  <si>
    <t>rate/hour</t>
  </si>
  <si>
    <t>RWG-102015</t>
  </si>
  <si>
    <t>614720</t>
  </si>
  <si>
    <t>614721</t>
  </si>
  <si>
    <t xml:space="preserve">per hour </t>
  </si>
  <si>
    <t>GH-101815</t>
  </si>
  <si>
    <t>614722</t>
  </si>
  <si>
    <t>614553</t>
  </si>
  <si>
    <t>NC</t>
  </si>
  <si>
    <t>No Charge</t>
  </si>
  <si>
    <t>614556</t>
  </si>
  <si>
    <t>GH-102115</t>
  </si>
  <si>
    <t>RD-102115</t>
  </si>
  <si>
    <t>RWG-102115</t>
  </si>
  <si>
    <t>GH-102215</t>
  </si>
  <si>
    <t>RD-102215</t>
  </si>
  <si>
    <t>RWG-102215</t>
  </si>
  <si>
    <t>28764</t>
  </si>
  <si>
    <t>GH-102315</t>
  </si>
  <si>
    <t>RD-102315</t>
  </si>
  <si>
    <t>RWG-102315</t>
  </si>
  <si>
    <t>128</t>
  </si>
  <si>
    <t>GH-102415</t>
  </si>
  <si>
    <t>RWG-102415</t>
  </si>
  <si>
    <t>RD-102415</t>
  </si>
  <si>
    <t>GH-102515</t>
  </si>
  <si>
    <t>RWG-102515</t>
  </si>
  <si>
    <t>RD-102515</t>
  </si>
  <si>
    <t>146463</t>
  </si>
  <si>
    <t>146464</t>
  </si>
  <si>
    <t xml:space="preserve">TO DATE WITHOUT GST </t>
  </si>
  <si>
    <t xml:space="preserve">REMAINING WITHOUT GST </t>
  </si>
  <si>
    <t>129</t>
  </si>
  <si>
    <t>RD-102615</t>
  </si>
  <si>
    <t xml:space="preserve">LEM TOTAL </t>
  </si>
  <si>
    <t xml:space="preserve">PO amount remaining from LEM total  </t>
  </si>
  <si>
    <t>SUM OF ALL LEM'S (beforeGST)</t>
  </si>
  <si>
    <t>RWG-102715</t>
  </si>
  <si>
    <t>0001</t>
  </si>
  <si>
    <t>Principal Engineer</t>
  </si>
  <si>
    <t>Junior Tech.</t>
  </si>
  <si>
    <t>EIT Level 1</t>
  </si>
  <si>
    <t>Project       co-ordinator</t>
  </si>
  <si>
    <t>0002</t>
  </si>
  <si>
    <t>0003</t>
  </si>
  <si>
    <t>0004</t>
  </si>
  <si>
    <t>0005</t>
  </si>
  <si>
    <t>0007</t>
  </si>
  <si>
    <t>0006</t>
  </si>
  <si>
    <t>0008</t>
  </si>
  <si>
    <t>0009</t>
  </si>
  <si>
    <t>00010</t>
  </si>
  <si>
    <t>00011</t>
  </si>
  <si>
    <t>RD-102715-2&amp;1</t>
  </si>
  <si>
    <t>GH-102715</t>
  </si>
  <si>
    <t>RWG-102815</t>
  </si>
  <si>
    <t>RD-102815</t>
  </si>
  <si>
    <t>130</t>
  </si>
  <si>
    <t>131</t>
  </si>
  <si>
    <t>132</t>
  </si>
  <si>
    <t>106 rev 1</t>
  </si>
  <si>
    <t>RWG-102915</t>
  </si>
  <si>
    <t>RD-102915</t>
  </si>
  <si>
    <t>Pending corrections</t>
  </si>
  <si>
    <t>CDH-II</t>
  </si>
  <si>
    <t>\</t>
  </si>
  <si>
    <t>GH-103015</t>
  </si>
  <si>
    <t>RD-103015</t>
  </si>
  <si>
    <t>RWG-103015</t>
  </si>
  <si>
    <t>RWG-103115</t>
  </si>
  <si>
    <t>2015-26</t>
  </si>
  <si>
    <t>Oct 16-31</t>
  </si>
  <si>
    <t>133</t>
  </si>
  <si>
    <t>134</t>
  </si>
  <si>
    <t>PW2015-232</t>
  </si>
  <si>
    <t>349399</t>
  </si>
  <si>
    <t>102 rev 1</t>
  </si>
  <si>
    <t>Ipads</t>
  </si>
  <si>
    <t>registries</t>
  </si>
  <si>
    <t>135</t>
  </si>
  <si>
    <t>136</t>
  </si>
  <si>
    <t>RWG-110215</t>
  </si>
  <si>
    <t>AJB-0033</t>
  </si>
  <si>
    <t>1301</t>
  </si>
  <si>
    <t>137</t>
  </si>
  <si>
    <t>oct 1-31</t>
  </si>
  <si>
    <t>53</t>
  </si>
  <si>
    <t>CDH-2</t>
  </si>
  <si>
    <t>RWG-110315</t>
  </si>
  <si>
    <t>33794</t>
  </si>
  <si>
    <t>SEPTEMBER</t>
  </si>
  <si>
    <t>RWG-110415</t>
  </si>
  <si>
    <t>138</t>
  </si>
  <si>
    <t>RWG-110515</t>
  </si>
  <si>
    <t>retracted</t>
  </si>
  <si>
    <t>0401</t>
  </si>
  <si>
    <t>0402</t>
  </si>
  <si>
    <t>1235</t>
  </si>
  <si>
    <t>RWG-110615</t>
  </si>
  <si>
    <t>19</t>
  </si>
  <si>
    <t>october</t>
  </si>
  <si>
    <t>28249</t>
  </si>
  <si>
    <t>28274</t>
  </si>
  <si>
    <t>28185</t>
  </si>
  <si>
    <t>28169</t>
  </si>
  <si>
    <t>139</t>
  </si>
  <si>
    <t>140</t>
  </si>
  <si>
    <t>invoice not received in the field</t>
  </si>
  <si>
    <t>12830</t>
  </si>
  <si>
    <t>13024</t>
  </si>
  <si>
    <t>12376</t>
  </si>
  <si>
    <t>2015-071</t>
  </si>
  <si>
    <t>141</t>
  </si>
  <si>
    <t>October 16-31</t>
  </si>
  <si>
    <t>GH-110915</t>
  </si>
  <si>
    <t>RWG-110915</t>
  </si>
  <si>
    <t>146603</t>
  </si>
  <si>
    <t>GH-111015</t>
  </si>
  <si>
    <t>RWG-111015</t>
  </si>
  <si>
    <t>2015-075</t>
  </si>
  <si>
    <t>GH-111115</t>
  </si>
  <si>
    <t>1001154781</t>
  </si>
  <si>
    <t>142</t>
  </si>
  <si>
    <t>143</t>
  </si>
  <si>
    <t>144</t>
  </si>
  <si>
    <t>145</t>
  </si>
  <si>
    <t>26721</t>
  </si>
  <si>
    <t>26722</t>
  </si>
  <si>
    <t>26723</t>
  </si>
  <si>
    <t>30139</t>
  </si>
  <si>
    <t>30176</t>
  </si>
  <si>
    <t>Misc equipment</t>
  </si>
  <si>
    <t xml:space="preserve">Oct </t>
  </si>
  <si>
    <t>5687</t>
  </si>
  <si>
    <t>October</t>
  </si>
  <si>
    <t>30061</t>
  </si>
  <si>
    <t>none</t>
  </si>
  <si>
    <t>146</t>
  </si>
  <si>
    <t>147</t>
  </si>
  <si>
    <t>148</t>
  </si>
  <si>
    <t>149</t>
  </si>
  <si>
    <t>1001161064</t>
  </si>
  <si>
    <t>GH-102915</t>
  </si>
  <si>
    <t>498608</t>
  </si>
  <si>
    <t>498607</t>
  </si>
  <si>
    <t>498606</t>
  </si>
  <si>
    <t>EIT</t>
  </si>
  <si>
    <t>Operator</t>
  </si>
  <si>
    <t>146729</t>
  </si>
  <si>
    <t>nov 1-15</t>
  </si>
  <si>
    <t>oct 1-15</t>
  </si>
  <si>
    <t>GMH-080115</t>
  </si>
  <si>
    <t>GMH-080315</t>
  </si>
  <si>
    <t>GMH080415</t>
  </si>
  <si>
    <t>GMH-080515</t>
  </si>
  <si>
    <t>GMH080615</t>
  </si>
  <si>
    <t>GMH-080715</t>
  </si>
  <si>
    <t>GMH080815</t>
  </si>
  <si>
    <t>INVOICE TOTAL 122538.11</t>
  </si>
  <si>
    <t>Invoice total $18,320.00</t>
  </si>
  <si>
    <t>Invoice total 20706.67</t>
  </si>
  <si>
    <t>Invoice total $25,117</t>
  </si>
  <si>
    <t>RD-072719</t>
  </si>
  <si>
    <t>Invoice total $58,864.99</t>
  </si>
  <si>
    <t>missing 3 x 16" welds RWG-073115</t>
  </si>
  <si>
    <t>Invoice total $ 101,402.11</t>
  </si>
  <si>
    <t>TN081115</t>
  </si>
  <si>
    <t>TN081215</t>
  </si>
  <si>
    <t>TN081315</t>
  </si>
  <si>
    <t>TN081415</t>
  </si>
  <si>
    <t>TN081515</t>
  </si>
  <si>
    <t>Invoice total $86,628.01</t>
  </si>
  <si>
    <t>RWG081815</t>
  </si>
  <si>
    <t>RWG081915</t>
  </si>
  <si>
    <t>RWG082015</t>
  </si>
  <si>
    <t>RWG082115</t>
  </si>
  <si>
    <t>RWG082215</t>
  </si>
  <si>
    <t>GMH081815</t>
  </si>
  <si>
    <t>GMH081915</t>
  </si>
  <si>
    <t>GMH082015</t>
  </si>
  <si>
    <t>GMH082115</t>
  </si>
  <si>
    <t>GMH082215</t>
  </si>
  <si>
    <t>TN081815</t>
  </si>
  <si>
    <t>TN081915</t>
  </si>
  <si>
    <t>TN082015</t>
  </si>
  <si>
    <t>RD-082215</t>
  </si>
  <si>
    <t>RD-082115</t>
  </si>
  <si>
    <t>RD-082015</t>
  </si>
  <si>
    <t>RD-081915</t>
  </si>
  <si>
    <t>RD-081815</t>
  </si>
  <si>
    <t>RD-081715</t>
  </si>
  <si>
    <t>need credit OF $439.99</t>
  </si>
  <si>
    <t>need credit OF $615.99</t>
  </si>
  <si>
    <t>Needs credit of $176.94</t>
  </si>
  <si>
    <t>Invoice total of $ 79,215.97</t>
  </si>
  <si>
    <t>RD-081515</t>
  </si>
  <si>
    <t>RD-080115</t>
  </si>
  <si>
    <t>RD-080315</t>
  </si>
  <si>
    <t>RD-080415</t>
  </si>
  <si>
    <t>RD-080515</t>
  </si>
  <si>
    <t>RD-080615</t>
  </si>
  <si>
    <t>RD-080715</t>
  </si>
  <si>
    <t>RD-080815</t>
  </si>
  <si>
    <t>RD-081015</t>
  </si>
  <si>
    <t>RD-081115</t>
  </si>
  <si>
    <t>RD-081215</t>
  </si>
  <si>
    <t>RD-081315</t>
  </si>
  <si>
    <t>RD-081415</t>
  </si>
  <si>
    <t>RD-082415</t>
  </si>
  <si>
    <t>RD-082515</t>
  </si>
  <si>
    <t>RD-082615</t>
  </si>
  <si>
    <t>RD-082715</t>
  </si>
  <si>
    <t>RD-082815</t>
  </si>
  <si>
    <t>RD-082915</t>
  </si>
  <si>
    <t>RD-083115</t>
  </si>
  <si>
    <t>Need credit of $180.38</t>
  </si>
  <si>
    <t>Invoice total $ 36582.82</t>
  </si>
  <si>
    <t>Need credit of $74.37</t>
  </si>
  <si>
    <t>Invoice total $62,571.64</t>
  </si>
  <si>
    <t>RD-090815</t>
  </si>
  <si>
    <t>TN-090815</t>
  </si>
  <si>
    <t>TN-090915</t>
  </si>
  <si>
    <t>RD-090915</t>
  </si>
  <si>
    <t>TN-091015</t>
  </si>
  <si>
    <t>RD-091015</t>
  </si>
  <si>
    <t>TN-091115</t>
  </si>
  <si>
    <t>RD-091115</t>
  </si>
  <si>
    <t>TN-091215</t>
  </si>
  <si>
    <t>RD-091215</t>
  </si>
  <si>
    <t>RD-091315</t>
  </si>
  <si>
    <t>Need credit of $156.74</t>
  </si>
  <si>
    <t>Invoice total $42,190.69</t>
  </si>
  <si>
    <t>TN-091415</t>
  </si>
  <si>
    <t>RWG-091415</t>
  </si>
  <si>
    <t>RWG-091515</t>
  </si>
  <si>
    <t>TN-091615</t>
  </si>
  <si>
    <t>RWG091615</t>
  </si>
  <si>
    <t>TN-091715</t>
  </si>
  <si>
    <t>RWG-091715</t>
  </si>
  <si>
    <t>TN-091815</t>
  </si>
  <si>
    <t>RWG-091815</t>
  </si>
  <si>
    <t>TN-091915</t>
  </si>
  <si>
    <t>RWG-091915</t>
  </si>
  <si>
    <t>Need credit of $78.24</t>
  </si>
  <si>
    <t>TN-092115</t>
  </si>
  <si>
    <t>RWG-092115</t>
  </si>
  <si>
    <t>RWG-093015</t>
  </si>
  <si>
    <t>TOTAL $ 9,770.70</t>
  </si>
  <si>
    <t>Invoice total $91,426.44</t>
  </si>
  <si>
    <t>151</t>
  </si>
  <si>
    <t>152</t>
  </si>
  <si>
    <t>153</t>
  </si>
  <si>
    <t>154</t>
  </si>
  <si>
    <t>Lump sum</t>
  </si>
  <si>
    <t>Invoice total $18514.47</t>
  </si>
  <si>
    <t>Nov 1-15</t>
  </si>
  <si>
    <t>155</t>
  </si>
  <si>
    <t>156</t>
  </si>
  <si>
    <t>235529 rev 2</t>
  </si>
  <si>
    <t>Oct 13 - 31</t>
  </si>
  <si>
    <t>227912</t>
  </si>
  <si>
    <t>227911</t>
  </si>
  <si>
    <t>227914</t>
  </si>
  <si>
    <t>227913</t>
  </si>
  <si>
    <t>227915</t>
  </si>
  <si>
    <t>227916</t>
  </si>
  <si>
    <t>227917</t>
  </si>
  <si>
    <t>July 3-11</t>
  </si>
  <si>
    <t>July 12 - 18</t>
  </si>
  <si>
    <t>July 19-26</t>
  </si>
  <si>
    <t>July 26-31</t>
  </si>
  <si>
    <t>aug 1-8</t>
  </si>
  <si>
    <t>aug 9-16</t>
  </si>
  <si>
    <t>aug 16-22</t>
  </si>
  <si>
    <t>157</t>
  </si>
  <si>
    <t>158</t>
  </si>
  <si>
    <t>1001173212</t>
  </si>
  <si>
    <t>236395</t>
  </si>
  <si>
    <t>Nov 2-11</t>
  </si>
  <si>
    <t>TOTAL $29,450.30</t>
  </si>
  <si>
    <t>sep 21-27</t>
  </si>
  <si>
    <t>236335</t>
  </si>
  <si>
    <t>TOTAL $26,759.68</t>
  </si>
  <si>
    <t>Nov 16-nov 30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</si>
  <si>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</si>
  <si>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</si>
  <si>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</si>
  <si>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</si>
  <si>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</si>
  <si>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</si>
  <si>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</si>
  <si>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</si>
  <si>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</si>
  <si>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</si>
  <si>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</si>
  <si>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34210</t>
  </si>
  <si>
    <t>RWG - 081215</t>
  </si>
  <si>
    <t>oct 5 - oct 12</t>
  </si>
  <si>
    <t>232214</t>
  </si>
  <si>
    <t>2322195</t>
  </si>
  <si>
    <t>Sep 28- oct 4</t>
  </si>
  <si>
    <t>Credit</t>
  </si>
  <si>
    <t>31841</t>
  </si>
  <si>
    <t>31886</t>
  </si>
  <si>
    <t>Duplicate for 31841</t>
  </si>
  <si>
    <t>VOID</t>
  </si>
  <si>
    <t>170</t>
  </si>
  <si>
    <t>171</t>
  </si>
  <si>
    <t>172</t>
  </si>
  <si>
    <t>173</t>
  </si>
  <si>
    <t>174</t>
  </si>
  <si>
    <t>175</t>
  </si>
  <si>
    <t>176</t>
  </si>
  <si>
    <t>2015-081</t>
  </si>
  <si>
    <t>dec 1-15</t>
  </si>
  <si>
    <t>December</t>
  </si>
  <si>
    <t>57</t>
  </si>
  <si>
    <t>november</t>
  </si>
  <si>
    <t>55</t>
  </si>
  <si>
    <t>dec 16-31</t>
  </si>
  <si>
    <t>177</t>
  </si>
  <si>
    <t>178</t>
  </si>
  <si>
    <t>179</t>
  </si>
  <si>
    <t>equip op</t>
  </si>
  <si>
    <t>Third party rental</t>
  </si>
  <si>
    <t>switab</t>
  </si>
  <si>
    <t>2015-084</t>
  </si>
  <si>
    <t>30252</t>
  </si>
  <si>
    <t>Dec 18-15</t>
  </si>
  <si>
    <t>SWiTab</t>
  </si>
  <si>
    <t xml:space="preserve">august </t>
  </si>
  <si>
    <t>Jan 16-31</t>
  </si>
  <si>
    <t>jan 1-31</t>
  </si>
  <si>
    <t>180</t>
  </si>
  <si>
    <t>181</t>
  </si>
  <si>
    <t>Professional surveyor</t>
  </si>
  <si>
    <t>Per hr</t>
  </si>
  <si>
    <t>182</t>
  </si>
  <si>
    <t>Misc. materials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</si>
  <si>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</si>
  <si>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</si>
  <si>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</si>
  <si>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</si>
  <si>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</si>
  <si>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</si>
  <si>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</si>
  <si>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</si>
  <si>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</si>
  <si>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</si>
  <si>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</si>
  <si>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</si>
  <si>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</si>
  <si>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</si>
  <si>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</si>
  <si>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</si>
  <si>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</si>
  <si>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</si>
  <si>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</si>
  <si>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AB registeries</t>
  </si>
  <si>
    <t>202</t>
  </si>
  <si>
    <t>203</t>
  </si>
  <si>
    <t>204</t>
  </si>
  <si>
    <t>205</t>
  </si>
  <si>
    <t>206</t>
  </si>
  <si>
    <t xml:space="preserve">none 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</si>
  <si>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</si>
  <si>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</si>
  <si>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</si>
  <si>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</si>
  <si>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</si>
  <si>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</si>
  <si>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</si>
  <si>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</si>
  <si>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</si>
  <si>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</si>
  <si>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</si>
  <si>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</si>
  <si>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January</t>
  </si>
  <si>
    <t>February</t>
  </si>
  <si>
    <t>Vendor #1</t>
  </si>
  <si>
    <t>Vendor #2</t>
  </si>
  <si>
    <t>Vendor #3</t>
  </si>
  <si>
    <t>Vendor #4</t>
  </si>
  <si>
    <t>Code</t>
  </si>
  <si>
    <t>Vendor Name</t>
  </si>
  <si>
    <t>043-15</t>
  </si>
  <si>
    <t>043-16</t>
  </si>
  <si>
    <t>043-17</t>
  </si>
  <si>
    <t>043-18</t>
  </si>
  <si>
    <t>043-19</t>
  </si>
  <si>
    <t>31082015</t>
  </si>
  <si>
    <t>071 -15</t>
  </si>
  <si>
    <t>15092015</t>
  </si>
  <si>
    <t>30092015</t>
  </si>
  <si>
    <t>15102015</t>
  </si>
  <si>
    <t>30112015</t>
  </si>
  <si>
    <t>15122015</t>
  </si>
  <si>
    <t>31122015</t>
  </si>
  <si>
    <t>Vendor #5</t>
  </si>
  <si>
    <t>Vendor #6</t>
  </si>
  <si>
    <t>Vendor #7</t>
  </si>
  <si>
    <t>Vendor #8</t>
  </si>
  <si>
    <t>Vendor #9</t>
  </si>
  <si>
    <t>Vendor #10</t>
  </si>
  <si>
    <t>Vendor #11</t>
  </si>
  <si>
    <t>Vendor #12</t>
  </si>
  <si>
    <t>Vendor #13</t>
  </si>
  <si>
    <t>Vendor #17</t>
  </si>
  <si>
    <t>Vendor #18</t>
  </si>
  <si>
    <t>Vendor #19</t>
  </si>
  <si>
    <t>Vendor #20</t>
  </si>
  <si>
    <t>Vendor #21</t>
  </si>
  <si>
    <t>Vendor #23</t>
  </si>
  <si>
    <t>Technician</t>
  </si>
  <si>
    <t>Vendor #24</t>
  </si>
  <si>
    <t>Vendor #27</t>
  </si>
  <si>
    <t>Vendor #28</t>
  </si>
  <si>
    <t>Vendor #14-Survey</t>
  </si>
  <si>
    <t>Vendor #14- Survey</t>
  </si>
  <si>
    <t>044-16</t>
  </si>
  <si>
    <t>045-15</t>
  </si>
  <si>
    <t>056-15</t>
  </si>
  <si>
    <t>059-15</t>
  </si>
  <si>
    <t xml:space="preserve">Field Technician </t>
  </si>
  <si>
    <t xml:space="preserve">Wildlife Lead </t>
  </si>
  <si>
    <t>Field Technician</t>
  </si>
  <si>
    <t xml:space="preserve">Senior Soil Scientist </t>
  </si>
  <si>
    <t xml:space="preserve">? </t>
  </si>
  <si>
    <t xml:space="preserve">Robert </t>
  </si>
  <si>
    <t>Paul and or Gary</t>
  </si>
  <si>
    <t>crew 1</t>
  </si>
  <si>
    <t>George &amp; Tom</t>
  </si>
  <si>
    <t>George $ Scott</t>
  </si>
  <si>
    <t>Korry &amp; Greg</t>
  </si>
  <si>
    <t>Steve</t>
  </si>
  <si>
    <t>Brendan &amp; Mark</t>
  </si>
  <si>
    <t>0038</t>
  </si>
  <si>
    <t>0037</t>
  </si>
  <si>
    <t>0035</t>
  </si>
  <si>
    <t>0034</t>
  </si>
  <si>
    <t>0033</t>
  </si>
  <si>
    <t>0032</t>
  </si>
  <si>
    <t>Arete Design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</si>
</sst>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4" formatCode="_(&quot;$&quot;* #,##0.00_);_(&quot;$&quot;* \(#,##0.00\);_(&quot;$&quot;* &quot;-&quot;??_);_(@_)"/>
    <numFmt numFmtId="164" formatCode="&quot;$&quot;#,##0.00;[Red]\-&quot;$&quot;#,##0.00"/>
    <numFmt numFmtId="165" formatCode="_-&quot;$&quot;* #,##0.00_-;\-&quot;$&quot;* #,##0.00_-;_-&quot;$&quot;* &quot;-&quot;??_-;_-@_-"/>
    <numFmt numFmtId="166" formatCode="&quot;$&quot;#,##0.00"/>
    <numFmt numFmtId="167" formatCode="&quot;$&quot;#,##0"/>
    <numFmt numFmtId="168" formatCode="\3\600###"/>
    <numFmt numFmtId="169" formatCode="\3\700###"/>
    <numFmt numFmtId="170" formatCode="[$-409]d\-mmm\-yy;@"/>
    <numFmt numFmtId="171" formatCode="0.00;[Red]0.00"/>
    <numFmt numFmtId="172" formatCode="_(&quot;$&quot;* #,##0_);_(&quot;$&quot;* \(#,##0\);_(&quot;$&quot;* &quot;-&quot;??_);_(@_)"/>
    <numFmt numFmtId="173" formatCode="0;[Red]0"/>
    <numFmt numFmtId="174" formatCode="[$-409]dd/mmm/yy;@"/>
    <numFmt numFmtId="175" formatCode="&quot;$&quot;#,##0.00;[Red]&quot;$&quot;#,##0.00"/>
    <numFmt numFmtId="176" formatCode="[$-409]d/mmm/yy;@"/>
    <numFmt numFmtId="177" formatCode="#,##0.0"/>
  </numFmts>
  <fonts count="2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MS Sans Serif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9"/>
      <color rgb="FFFF0000"/>
      <name val="Arial"/>
      <family val="2"/>
    </font>
    <font>
      <sz val="8"/>
      <color indexed="8"/>
      <name val="Arial"/>
      <family val="2"/>
    </font>
    <font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i/>
      <sz val="10"/>
      <name val="Arial"/>
      <family val="2"/>
    </font>
    <font>
      <sz val="10"/>
      <color theme="1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1" fillId="0" borderId="0"/>
    <xf numFmtId="9" fontId="17" fillId="0" borderId="0" applyFont="0" applyFill="0" applyBorder="0" applyAlignment="0" applyProtection="0"/>
  </cellStyleXfs>
  <cellXfs count="1243">
    <xf numFmtId="0" fontId="0" fillId="0" borderId="0" xfId="0"/>
    <xf numFmtId="0" fontId="0" fillId="2" borderId="0" xfId="0" applyFill="1"/>
    <xf numFmtId="0" fontId="0" fillId="0" borderId="0" xfId="0" applyFill="1"/>
    <xf numFmtId="0" fontId="5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3" fillId="3" borderId="3" xfId="0" applyFont="1" applyFill="1" applyBorder="1"/>
    <xf numFmtId="0" fontId="5" fillId="3" borderId="4" xfId="0" applyFont="1" applyFill="1" applyBorder="1"/>
    <xf numFmtId="0" fontId="5" fillId="3" borderId="2" xfId="0" applyFont="1" applyFill="1" applyBorder="1"/>
    <xf numFmtId="0" fontId="5" fillId="3" borderId="5" xfId="0" applyFont="1" applyFill="1" applyBorder="1" applyAlignment="1">
      <alignment horizontal="center"/>
    </xf>
    <xf numFmtId="167" fontId="3" fillId="0" borderId="4" xfId="0" applyNumberFormat="1" applyFont="1" applyBorder="1"/>
    <xf numFmtId="0" fontId="2" fillId="2" borderId="0" xfId="0" applyFont="1" applyFill="1"/>
    <xf numFmtId="0" fontId="4" fillId="2" borderId="4" xfId="0" applyFont="1" applyFill="1" applyBorder="1" applyAlignment="1">
      <alignment horizontal="right"/>
    </xf>
    <xf numFmtId="0" fontId="2" fillId="2" borderId="4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right"/>
    </xf>
    <xf numFmtId="0" fontId="0" fillId="2" borderId="7" xfId="0" applyFill="1" applyBorder="1"/>
    <xf numFmtId="0" fontId="4" fillId="2" borderId="8" xfId="0" applyFont="1" applyFill="1" applyBorder="1" applyAlignment="1">
      <alignment horizontal="right"/>
    </xf>
    <xf numFmtId="0" fontId="4" fillId="2" borderId="3" xfId="0" applyFont="1" applyFill="1" applyBorder="1" applyAlignment="1">
      <alignment horizontal="right"/>
    </xf>
    <xf numFmtId="0" fontId="3" fillId="0" borderId="4" xfId="0" applyFont="1" applyBorder="1" applyProtection="1">
      <protection locked="0"/>
    </xf>
    <xf numFmtId="167" fontId="3" fillId="0" borderId="4" xfId="0" applyNumberFormat="1" applyFont="1" applyBorder="1" applyProtection="1">
      <protection locked="0"/>
    </xf>
    <xf numFmtId="0" fontId="3" fillId="0" borderId="1" xfId="0" applyFont="1" applyBorder="1" applyProtection="1">
      <protection locked="0"/>
    </xf>
    <xf numFmtId="0" fontId="3" fillId="3" borderId="6" xfId="0" applyFont="1" applyFill="1" applyBorder="1"/>
    <xf numFmtId="0" fontId="3" fillId="0" borderId="4" xfId="0" applyFont="1" applyFill="1" applyBorder="1"/>
    <xf numFmtId="169" fontId="3" fillId="0" borderId="4" xfId="0" applyNumberFormat="1" applyFont="1" applyFill="1" applyBorder="1" applyAlignment="1">
      <alignment horizontal="left"/>
    </xf>
    <xf numFmtId="169" fontId="3" fillId="0" borderId="2" xfId="0" applyNumberFormat="1" applyFont="1" applyFill="1" applyBorder="1" applyAlignment="1">
      <alignment horizontal="left"/>
    </xf>
    <xf numFmtId="170" fontId="0" fillId="0" borderId="0" xfId="0" applyNumberFormat="1" applyAlignment="1">
      <alignment horizontal="center"/>
    </xf>
    <xf numFmtId="44" fontId="0" fillId="0" borderId="0" xfId="1" applyFont="1" applyAlignment="1">
      <alignment horizontal="center"/>
    </xf>
    <xf numFmtId="170" fontId="0" fillId="0" borderId="4" xfId="0" applyNumberFormat="1" applyBorder="1" applyAlignment="1">
      <alignment horizontal="center"/>
    </xf>
    <xf numFmtId="44" fontId="0" fillId="0" borderId="4" xfId="1" applyFont="1" applyBorder="1" applyAlignment="1">
      <alignment horizontal="center"/>
    </xf>
    <xf numFmtId="39" fontId="0" fillId="0" borderId="0" xfId="1" applyNumberFormat="1" applyFont="1" applyAlignment="1">
      <alignment horizontal="center"/>
    </xf>
    <xf numFmtId="39" fontId="0" fillId="0" borderId="4" xfId="1" applyNumberFormat="1" applyFont="1" applyBorder="1" applyAlignment="1">
      <alignment horizontal="center"/>
    </xf>
    <xf numFmtId="0" fontId="0" fillId="0" borderId="0" xfId="1" applyNumberFormat="1" applyFont="1" applyAlignment="1">
      <alignment horizontal="center"/>
    </xf>
    <xf numFmtId="0" fontId="0" fillId="0" borderId="4" xfId="1" applyNumberFormat="1" applyFont="1" applyBorder="1" applyAlignment="1">
      <alignment horizontal="center"/>
    </xf>
    <xf numFmtId="0" fontId="3" fillId="0" borderId="4" xfId="0" applyFont="1" applyFill="1" applyBorder="1" applyProtection="1">
      <protection locked="0"/>
    </xf>
    <xf numFmtId="168" fontId="0" fillId="0" borderId="0" xfId="0" applyNumberFormat="1" applyFill="1" applyAlignment="1" applyProtection="1">
      <alignment horizontal="center"/>
      <protection locked="0"/>
    </xf>
    <xf numFmtId="170" fontId="1" fillId="0" borderId="4" xfId="0" applyNumberFormat="1" applyFont="1" applyBorder="1" applyAlignment="1">
      <alignment horizontal="center"/>
    </xf>
    <xf numFmtId="0" fontId="1" fillId="0" borderId="4" xfId="1" applyNumberFormat="1" applyFont="1" applyBorder="1" applyAlignment="1">
      <alignment horizontal="center"/>
    </xf>
    <xf numFmtId="170" fontId="1" fillId="6" borderId="4" xfId="0" applyNumberFormat="1" applyFont="1" applyFill="1" applyBorder="1" applyAlignment="1">
      <alignment horizontal="center" vertical="center" wrapText="1" shrinkToFit="1"/>
    </xf>
    <xf numFmtId="0" fontId="1" fillId="0" borderId="0" xfId="0" applyFont="1"/>
    <xf numFmtId="39" fontId="1" fillId="0" borderId="4" xfId="1" applyNumberFormat="1" applyFont="1" applyBorder="1" applyAlignment="1">
      <alignment horizontal="center"/>
    </xf>
    <xf numFmtId="170" fontId="10" fillId="5" borderId="4" xfId="0" applyNumberFormat="1" applyFont="1" applyFill="1" applyBorder="1" applyAlignment="1">
      <alignment horizontal="center"/>
    </xf>
    <xf numFmtId="44" fontId="1" fillId="6" borderId="4" xfId="1" applyFont="1" applyFill="1" applyBorder="1" applyAlignment="1">
      <alignment horizontal="center" vertical="center" wrapText="1" shrinkToFit="1"/>
    </xf>
    <xf numFmtId="0" fontId="1" fillId="6" borderId="4" xfId="1" applyNumberFormat="1" applyFont="1" applyFill="1" applyBorder="1" applyAlignment="1">
      <alignment horizontal="center" vertical="center" wrapText="1" shrinkToFit="1"/>
    </xf>
    <xf numFmtId="2" fontId="0" fillId="0" borderId="0" xfId="1" applyNumberFormat="1" applyFont="1" applyAlignment="1">
      <alignment horizontal="center"/>
    </xf>
    <xf numFmtId="2" fontId="1" fillId="6" borderId="4" xfId="1" applyNumberFormat="1" applyFont="1" applyFill="1" applyBorder="1" applyAlignment="1">
      <alignment horizontal="center" vertical="center" wrapText="1" shrinkToFit="1"/>
    </xf>
    <xf numFmtId="2" fontId="0" fillId="0" borderId="4" xfId="1" applyNumberFormat="1" applyFont="1" applyBorder="1" applyAlignment="1">
      <alignment horizontal="center"/>
    </xf>
    <xf numFmtId="39" fontId="1" fillId="6" borderId="4" xfId="1" applyNumberFormat="1" applyFont="1" applyFill="1" applyBorder="1" applyAlignment="1">
      <alignment horizontal="center" vertical="center" wrapText="1" shrinkToFit="1"/>
    </xf>
    <xf numFmtId="49" fontId="0" fillId="0" borderId="0" xfId="0" applyNumberFormat="1" applyAlignment="1">
      <alignment horizontal="center"/>
    </xf>
    <xf numFmtId="49" fontId="1" fillId="6" borderId="4" xfId="0" applyNumberFormat="1" applyFont="1" applyFill="1" applyBorder="1" applyAlignment="1">
      <alignment horizontal="center" vertical="center" wrapText="1" shrinkToFit="1"/>
    </xf>
    <xf numFmtId="49" fontId="1" fillId="0" borderId="4" xfId="0" applyNumberFormat="1" applyFon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44" fontId="1" fillId="0" borderId="4" xfId="1" applyFont="1" applyBorder="1" applyAlignment="1">
      <alignment horizontal="center"/>
    </xf>
    <xf numFmtId="0" fontId="3" fillId="0" borderId="4" xfId="0" applyFont="1" applyBorder="1"/>
    <xf numFmtId="2" fontId="0" fillId="0" borderId="4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0" fontId="1" fillId="6" borderId="4" xfId="0" applyFont="1" applyFill="1" applyBorder="1" applyAlignment="1">
      <alignment horizontal="center" vertical="center" wrapText="1" shrinkToFit="1"/>
    </xf>
    <xf numFmtId="0" fontId="1" fillId="6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/>
    </xf>
    <xf numFmtId="44" fontId="0" fillId="0" borderId="4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0" applyFont="1" applyAlignment="1">
      <alignment horizontal="center"/>
    </xf>
    <xf numFmtId="0" fontId="9" fillId="0" borderId="0" xfId="2" applyAlignment="1" applyProtection="1">
      <alignment horizontal="center"/>
    </xf>
    <xf numFmtId="0" fontId="12" fillId="0" borderId="4" xfId="0" applyFont="1" applyBorder="1" applyAlignment="1">
      <alignment horizontal="center"/>
    </xf>
    <xf numFmtId="44" fontId="2" fillId="0" borderId="0" xfId="0" applyNumberFormat="1" applyFont="1" applyBorder="1" applyAlignment="1">
      <alignment horizontal="center"/>
    </xf>
    <xf numFmtId="15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15" fontId="1" fillId="0" borderId="4" xfId="0" applyNumberFormat="1" applyFont="1" applyBorder="1" applyAlignment="1">
      <alignment horizontal="center"/>
    </xf>
    <xf numFmtId="44" fontId="0" fillId="0" borderId="0" xfId="0" applyNumberFormat="1"/>
    <xf numFmtId="171" fontId="1" fillId="0" borderId="4" xfId="0" applyNumberFormat="1" applyFont="1" applyBorder="1" applyAlignment="1">
      <alignment horizontal="center"/>
    </xf>
    <xf numFmtId="171" fontId="0" fillId="0" borderId="4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3" fillId="0" borderId="4" xfId="0" applyFont="1" applyBorder="1" applyProtection="1"/>
    <xf numFmtId="44" fontId="1" fillId="0" borderId="0" xfId="1" applyFont="1"/>
    <xf numFmtId="0" fontId="6" fillId="3" borderId="10" xfId="3" applyFont="1" applyFill="1" applyBorder="1" applyAlignment="1">
      <alignment horizontal="center"/>
    </xf>
    <xf numFmtId="169" fontId="13" fillId="0" borderId="4" xfId="3" applyNumberFormat="1" applyFont="1" applyFill="1" applyBorder="1" applyAlignment="1">
      <alignment horizontal="left"/>
    </xf>
    <xf numFmtId="0" fontId="14" fillId="0" borderId="0" xfId="0" applyFont="1"/>
    <xf numFmtId="44" fontId="5" fillId="3" borderId="11" xfId="1" applyFont="1" applyFill="1" applyBorder="1" applyAlignment="1">
      <alignment horizontal="center"/>
    </xf>
    <xf numFmtId="44" fontId="5" fillId="3" borderId="9" xfId="1" applyFont="1" applyFill="1" applyBorder="1" applyAlignment="1">
      <alignment horizontal="center"/>
    </xf>
    <xf numFmtId="44" fontId="3" fillId="0" borderId="2" xfId="1" applyFont="1" applyBorder="1"/>
    <xf numFmtId="44" fontId="3" fillId="0" borderId="2" xfId="1" applyFont="1" applyFill="1" applyBorder="1"/>
    <xf numFmtId="0" fontId="0" fillId="0" borderId="12" xfId="0" applyFill="1" applyBorder="1"/>
    <xf numFmtId="0" fontId="1" fillId="0" borderId="12" xfId="0" applyFont="1" applyFill="1" applyBorder="1"/>
    <xf numFmtId="44" fontId="2" fillId="0" borderId="12" xfId="1" applyFont="1" applyFill="1" applyBorder="1"/>
    <xf numFmtId="0" fontId="14" fillId="0" borderId="12" xfId="0" applyFont="1" applyFill="1" applyBorder="1"/>
    <xf numFmtId="44" fontId="2" fillId="0" borderId="12" xfId="0" applyNumberFormat="1" applyFont="1" applyFill="1" applyBorder="1"/>
    <xf numFmtId="0" fontId="0" fillId="0" borderId="0" xfId="0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3" fillId="0" borderId="4" xfId="0" applyFont="1" applyFill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center"/>
      <protection locked="0"/>
    </xf>
    <xf numFmtId="0" fontId="3" fillId="0" borderId="4" xfId="0" applyFont="1" applyBorder="1" applyAlignment="1">
      <alignment horizontal="center"/>
    </xf>
    <xf numFmtId="0" fontId="3" fillId="0" borderId="4" xfId="0" applyFont="1" applyBorder="1" applyAlignment="1" applyProtection="1">
      <alignment horizontal="center"/>
    </xf>
    <xf numFmtId="165" fontId="0" fillId="0" borderId="4" xfId="1" applyNumberFormat="1" applyFont="1" applyBorder="1" applyAlignment="1">
      <alignment horizontal="center"/>
    </xf>
    <xf numFmtId="170" fontId="10" fillId="5" borderId="4" xfId="0" applyNumberFormat="1" applyFont="1" applyFill="1" applyBorder="1" applyAlignment="1">
      <alignment horizontal="left"/>
    </xf>
    <xf numFmtId="170" fontId="1" fillId="0" borderId="0" xfId="0" applyNumberFormat="1" applyFont="1" applyAlignment="1">
      <alignment horizontal="center"/>
    </xf>
    <xf numFmtId="44" fontId="1" fillId="0" borderId="4" xfId="1" quotePrefix="1" applyFont="1" applyBorder="1" applyAlignment="1">
      <alignment horizontal="center"/>
    </xf>
    <xf numFmtId="44" fontId="0" fillId="0" borderId="4" xfId="1" quotePrefix="1" applyFont="1" applyBorder="1" applyAlignment="1">
      <alignment horizontal="center"/>
    </xf>
    <xf numFmtId="0" fontId="0" fillId="0" borderId="12" xfId="0" applyBorder="1" applyAlignment="1">
      <alignment horizontal="center"/>
    </xf>
    <xf numFmtId="44" fontId="0" fillId="0" borderId="12" xfId="0" applyNumberFormat="1" applyBorder="1" applyAlignment="1">
      <alignment horizontal="center"/>
    </xf>
    <xf numFmtId="0" fontId="1" fillId="0" borderId="4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4" xfId="1" quotePrefix="1" applyNumberFormat="1" applyFont="1" applyBorder="1" applyAlignment="1">
      <alignment horizontal="center"/>
    </xf>
    <xf numFmtId="0" fontId="0" fillId="0" borderId="4" xfId="0" applyFill="1" applyBorder="1"/>
    <xf numFmtId="44" fontId="3" fillId="0" borderId="4" xfId="0" applyNumberFormat="1" applyFont="1" applyFill="1" applyBorder="1"/>
    <xf numFmtId="0" fontId="0" fillId="0" borderId="4" xfId="1" quotePrefix="1" applyNumberFormat="1" applyFont="1" applyBorder="1" applyAlignment="1">
      <alignment horizontal="center"/>
    </xf>
    <xf numFmtId="0" fontId="0" fillId="0" borderId="0" xfId="0" applyAlignment="1">
      <alignment horizontal="center"/>
    </xf>
    <xf numFmtId="173" fontId="1" fillId="0" borderId="4" xfId="0" applyNumberFormat="1" applyFont="1" applyBorder="1" applyAlignment="1">
      <alignment horizontal="center"/>
    </xf>
    <xf numFmtId="173" fontId="0" fillId="0" borderId="4" xfId="0" applyNumberFormat="1" applyBorder="1" applyAlignment="1">
      <alignment horizontal="center"/>
    </xf>
    <xf numFmtId="44" fontId="3" fillId="0" borderId="4" xfId="1" applyFont="1" applyFill="1" applyBorder="1"/>
    <xf numFmtId="170" fontId="10" fillId="5" borderId="0" xfId="0" applyNumberFormat="1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8" borderId="0" xfId="0" applyFill="1"/>
    <xf numFmtId="0" fontId="0" fillId="0" borderId="0" xfId="0" applyAlignment="1">
      <alignment horizontal="center"/>
    </xf>
    <xf numFmtId="175" fontId="0" fillId="0" borderId="4" xfId="1" applyNumberFormat="1" applyFont="1" applyBorder="1" applyAlignment="1">
      <alignment horizontal="center"/>
    </xf>
    <xf numFmtId="0" fontId="1" fillId="11" borderId="4" xfId="1" applyNumberFormat="1" applyFont="1" applyFill="1" applyBorder="1" applyAlignment="1">
      <alignment horizontal="center"/>
    </xf>
    <xf numFmtId="44" fontId="0" fillId="11" borderId="4" xfId="1" applyFont="1" applyFill="1" applyBorder="1" applyAlignment="1">
      <alignment horizontal="center"/>
    </xf>
    <xf numFmtId="0" fontId="0" fillId="11" borderId="4" xfId="1" applyNumberFormat="1" applyFont="1" applyFill="1" applyBorder="1" applyAlignment="1">
      <alignment horizontal="center"/>
    </xf>
    <xf numFmtId="44" fontId="1" fillId="11" borderId="4" xfId="1" applyFont="1" applyFill="1" applyBorder="1" applyAlignment="1">
      <alignment horizontal="center"/>
    </xf>
    <xf numFmtId="0" fontId="0" fillId="0" borderId="0" xfId="0" applyAlignment="1">
      <alignment horizontal="center"/>
    </xf>
    <xf numFmtId="39" fontId="1" fillId="11" borderId="4" xfId="1" applyNumberFormat="1" applyFont="1" applyFill="1" applyBorder="1" applyAlignment="1">
      <alignment horizontal="center"/>
    </xf>
    <xf numFmtId="0" fontId="11" fillId="11" borderId="4" xfId="0" applyFont="1" applyFill="1" applyBorder="1" applyAlignment="1">
      <alignment horizontal="center"/>
    </xf>
    <xf numFmtId="170" fontId="1" fillId="12" borderId="4" xfId="0" applyNumberFormat="1" applyFont="1" applyFill="1" applyBorder="1" applyAlignment="1">
      <alignment horizontal="center"/>
    </xf>
    <xf numFmtId="2" fontId="0" fillId="12" borderId="4" xfId="1" applyNumberFormat="1" applyFont="1" applyFill="1" applyBorder="1" applyAlignment="1">
      <alignment horizontal="center"/>
    </xf>
    <xf numFmtId="0" fontId="1" fillId="12" borderId="4" xfId="1" applyNumberFormat="1" applyFont="1" applyFill="1" applyBorder="1" applyAlignment="1">
      <alignment horizontal="center"/>
    </xf>
    <xf numFmtId="44" fontId="0" fillId="12" borderId="4" xfId="1" applyFont="1" applyFill="1" applyBorder="1" applyAlignment="1">
      <alignment horizontal="center"/>
    </xf>
    <xf numFmtId="0" fontId="0" fillId="12" borderId="4" xfId="1" applyNumberFormat="1" applyFont="1" applyFill="1" applyBorder="1" applyAlignment="1">
      <alignment horizontal="center"/>
    </xf>
    <xf numFmtId="39" fontId="0" fillId="12" borderId="4" xfId="1" applyNumberFormat="1" applyFont="1" applyFill="1" applyBorder="1" applyAlignment="1">
      <alignment horizontal="center"/>
    </xf>
    <xf numFmtId="44" fontId="11" fillId="12" borderId="4" xfId="0" applyNumberFormat="1" applyFont="1" applyFill="1" applyBorder="1" applyAlignment="1">
      <alignment horizontal="center"/>
    </xf>
    <xf numFmtId="0" fontId="0" fillId="12" borderId="0" xfId="0" applyFill="1"/>
    <xf numFmtId="15" fontId="0" fillId="12" borderId="4" xfId="0" applyNumberFormat="1" applyFill="1" applyBorder="1" applyAlignment="1">
      <alignment horizontal="center"/>
    </xf>
    <xf numFmtId="2" fontId="0" fillId="12" borderId="4" xfId="0" applyNumberFormat="1" applyFill="1" applyBorder="1" applyAlignment="1">
      <alignment horizontal="center"/>
    </xf>
    <xf numFmtId="39" fontId="1" fillId="12" borderId="4" xfId="1" applyNumberFormat="1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1" fillId="12" borderId="4" xfId="0" applyFont="1" applyFill="1" applyBorder="1" applyAlignment="1">
      <alignment horizontal="center"/>
    </xf>
    <xf numFmtId="15" fontId="1" fillId="12" borderId="4" xfId="0" applyNumberFormat="1" applyFont="1" applyFill="1" applyBorder="1" applyAlignment="1">
      <alignment horizontal="center"/>
    </xf>
    <xf numFmtId="44" fontId="1" fillId="12" borderId="4" xfId="1" applyFont="1" applyFill="1" applyBorder="1" applyAlignment="1">
      <alignment horizontal="center"/>
    </xf>
    <xf numFmtId="0" fontId="1" fillId="12" borderId="4" xfId="0" applyFont="1" applyFill="1" applyBorder="1" applyAlignment="1">
      <alignment horizontal="center"/>
    </xf>
    <xf numFmtId="44" fontId="0" fillId="12" borderId="12" xfId="0" applyNumberFormat="1" applyFill="1" applyBorder="1" applyAlignment="1">
      <alignment horizontal="center"/>
    </xf>
    <xf numFmtId="0" fontId="1" fillId="12" borderId="0" xfId="0" applyFont="1" applyFill="1"/>
    <xf numFmtId="44" fontId="0" fillId="12" borderId="0" xfId="0" applyNumberFormat="1" applyFill="1"/>
    <xf numFmtId="0" fontId="0" fillId="12" borderId="0" xfId="0" applyFill="1" applyAlignment="1">
      <alignment horizontal="center"/>
    </xf>
    <xf numFmtId="44" fontId="3" fillId="0" borderId="4" xfId="0" applyNumberFormat="1" applyFont="1" applyBorder="1"/>
    <xf numFmtId="44" fontId="1" fillId="0" borderId="4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4" xfId="0" applyNumberFormat="1" applyBorder="1" applyAlignment="1">
      <alignment horizontal="center"/>
    </xf>
    <xf numFmtId="172" fontId="0" fillId="0" borderId="4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" fillId="12" borderId="4" xfId="1" quotePrefix="1" applyNumberFormat="1" applyFont="1" applyFill="1" applyBorder="1" applyAlignment="1">
      <alignment horizontal="center"/>
    </xf>
    <xf numFmtId="170" fontId="0" fillId="12" borderId="4" xfId="0" applyNumberFormat="1" applyFill="1" applyBorder="1" applyAlignment="1">
      <alignment horizontal="center"/>
    </xf>
    <xf numFmtId="2" fontId="0" fillId="8" borderId="4" xfId="0" applyNumberFormat="1" applyFill="1" applyBorder="1" applyAlignment="1">
      <alignment horizontal="center"/>
    </xf>
    <xf numFmtId="0" fontId="0" fillId="8" borderId="4" xfId="1" applyNumberFormat="1" applyFont="1" applyFill="1" applyBorder="1" applyAlignment="1">
      <alignment horizontal="center"/>
    </xf>
    <xf numFmtId="44" fontId="0" fillId="8" borderId="4" xfId="1" applyFont="1" applyFill="1" applyBorder="1" applyAlignment="1">
      <alignment horizontal="center"/>
    </xf>
    <xf numFmtId="39" fontId="1" fillId="8" borderId="4" xfId="1" applyNumberFormat="1" applyFont="1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11" fillId="8" borderId="4" xfId="0" applyFont="1" applyFill="1" applyBorder="1" applyAlignment="1">
      <alignment horizontal="center"/>
    </xf>
    <xf numFmtId="0" fontId="0" fillId="8" borderId="0" xfId="0" applyFill="1" applyAlignment="1">
      <alignment horizontal="center"/>
    </xf>
    <xf numFmtId="15" fontId="0" fillId="8" borderId="4" xfId="0" applyNumberForma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44" fontId="1" fillId="8" borderId="4" xfId="1" applyFont="1" applyFill="1" applyBorder="1" applyAlignment="1">
      <alignment horizontal="center"/>
    </xf>
    <xf numFmtId="44" fontId="0" fillId="12" borderId="11" xfId="0" applyNumberFormat="1" applyFill="1" applyBorder="1" applyAlignment="1">
      <alignment horizontal="center"/>
    </xf>
    <xf numFmtId="170" fontId="1" fillId="8" borderId="4" xfId="0" applyNumberFormat="1" applyFont="1" applyFill="1" applyBorder="1" applyAlignment="1">
      <alignment horizontal="center"/>
    </xf>
    <xf numFmtId="0" fontId="1" fillId="8" borderId="4" xfId="1" applyNumberFormat="1" applyFont="1" applyFill="1" applyBorder="1" applyAlignment="1">
      <alignment horizontal="center"/>
    </xf>
    <xf numFmtId="0" fontId="1" fillId="8" borderId="4" xfId="1" quotePrefix="1" applyNumberFormat="1" applyFont="1" applyFill="1" applyBorder="1" applyAlignment="1">
      <alignment horizontal="center"/>
    </xf>
    <xf numFmtId="0" fontId="12" fillId="12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70" fontId="0" fillId="13" borderId="4" xfId="0" applyNumberFormat="1" applyFill="1" applyBorder="1" applyAlignment="1">
      <alignment horizontal="center"/>
    </xf>
    <xf numFmtId="2" fontId="0" fillId="13" borderId="4" xfId="1" applyNumberFormat="1" applyFont="1" applyFill="1" applyBorder="1" applyAlignment="1">
      <alignment horizontal="center"/>
    </xf>
    <xf numFmtId="0" fontId="0" fillId="13" borderId="4" xfId="1" applyNumberFormat="1" applyFont="1" applyFill="1" applyBorder="1" applyAlignment="1">
      <alignment horizontal="center"/>
    </xf>
    <xf numFmtId="0" fontId="1" fillId="13" borderId="4" xfId="1" applyNumberFormat="1" applyFont="1" applyFill="1" applyBorder="1" applyAlignment="1">
      <alignment horizontal="center"/>
    </xf>
    <xf numFmtId="44" fontId="0" fillId="13" borderId="4" xfId="1" applyFont="1" applyFill="1" applyBorder="1" applyAlignment="1">
      <alignment horizontal="center"/>
    </xf>
    <xf numFmtId="39" fontId="1" fillId="13" borderId="4" xfId="1" applyNumberFormat="1" applyFont="1" applyFill="1" applyBorder="1" applyAlignment="1">
      <alignment horizontal="center"/>
    </xf>
    <xf numFmtId="0" fontId="11" fillId="13" borderId="4" xfId="0" applyFont="1" applyFill="1" applyBorder="1" applyAlignment="1">
      <alignment horizontal="center"/>
    </xf>
    <xf numFmtId="44" fontId="0" fillId="13" borderId="4" xfId="0" applyNumberFormat="1" applyFill="1" applyBorder="1" applyAlignment="1">
      <alignment horizontal="center"/>
    </xf>
    <xf numFmtId="0" fontId="0" fillId="13" borderId="0" xfId="0" applyFill="1"/>
    <xf numFmtId="0" fontId="0" fillId="13" borderId="0" xfId="0" applyFill="1" applyBorder="1" applyAlignment="1">
      <alignment horizontal="center"/>
    </xf>
    <xf numFmtId="0" fontId="0" fillId="13" borderId="0" xfId="0" applyFill="1" applyAlignment="1">
      <alignment horizontal="center"/>
    </xf>
    <xf numFmtId="44" fontId="1" fillId="13" borderId="4" xfId="1" applyFont="1" applyFill="1" applyBorder="1" applyAlignment="1">
      <alignment horizontal="center"/>
    </xf>
    <xf numFmtId="0" fontId="1" fillId="13" borderId="4" xfId="1" quotePrefix="1" applyNumberFormat="1" applyFont="1" applyFill="1" applyBorder="1" applyAlignment="1">
      <alignment horizontal="center"/>
    </xf>
    <xf numFmtId="15" fontId="0" fillId="13" borderId="4" xfId="0" applyNumberFormat="1" applyFill="1" applyBorder="1" applyAlignment="1">
      <alignment horizontal="center"/>
    </xf>
    <xf numFmtId="2" fontId="0" fillId="13" borderId="4" xfId="0" applyNumberFormat="1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0" fontId="1" fillId="13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15" fontId="1" fillId="13" borderId="4" xfId="0" applyNumberFormat="1" applyFont="1" applyFill="1" applyBorder="1" applyAlignment="1">
      <alignment horizontal="center"/>
    </xf>
    <xf numFmtId="44" fontId="11" fillId="13" borderId="4" xfId="0" applyNumberFormat="1" applyFont="1" applyFill="1" applyBorder="1" applyAlignment="1">
      <alignment horizontal="center"/>
    </xf>
    <xf numFmtId="39" fontId="0" fillId="13" borderId="4" xfId="1" applyNumberFormat="1" applyFont="1" applyFill="1" applyBorder="1" applyAlignment="1">
      <alignment horizontal="center"/>
    </xf>
    <xf numFmtId="0" fontId="1" fillId="1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4" fontId="0" fillId="12" borderId="4" xfId="0" applyNumberFormat="1" applyFill="1" applyBorder="1" applyAlignment="1">
      <alignment horizontal="center"/>
    </xf>
    <xf numFmtId="44" fontId="0" fillId="12" borderId="0" xfId="0" applyNumberFormat="1" applyFill="1" applyBorder="1" applyAlignment="1">
      <alignment horizontal="center"/>
    </xf>
    <xf numFmtId="0" fontId="0" fillId="12" borderId="0" xfId="0" applyFill="1" applyBorder="1"/>
    <xf numFmtId="0" fontId="0" fillId="12" borderId="0" xfId="0" applyFill="1" applyBorder="1" applyAlignment="1">
      <alignment horizontal="center"/>
    </xf>
    <xf numFmtId="0" fontId="0" fillId="13" borderId="0" xfId="0" applyFill="1" applyBorder="1"/>
    <xf numFmtId="174" fontId="0" fillId="13" borderId="4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3" fontId="1" fillId="0" borderId="4" xfId="1" applyNumberFormat="1" applyFont="1" applyBorder="1" applyAlignment="1">
      <alignment horizontal="center"/>
    </xf>
    <xf numFmtId="1" fontId="0" fillId="0" borderId="4" xfId="1" applyNumberFormat="1" applyFont="1" applyBorder="1" applyAlignment="1">
      <alignment horizontal="center"/>
    </xf>
    <xf numFmtId="1" fontId="0" fillId="0" borderId="4" xfId="1" quotePrefix="1" applyNumberFormat="1" applyFont="1" applyBorder="1" applyAlignment="1">
      <alignment horizontal="center"/>
    </xf>
    <xf numFmtId="1" fontId="1" fillId="0" borderId="4" xfId="1" applyNumberFormat="1" applyFont="1" applyBorder="1" applyAlignment="1">
      <alignment horizontal="center"/>
    </xf>
    <xf numFmtId="0" fontId="1" fillId="0" borderId="4" xfId="0" quotePrefix="1" applyNumberFormat="1" applyFont="1" applyBorder="1" applyAlignment="1">
      <alignment horizontal="center"/>
    </xf>
    <xf numFmtId="0" fontId="0" fillId="0" borderId="0" xfId="0" applyAlignment="1">
      <alignment horizontal="center"/>
    </xf>
    <xf numFmtId="170" fontId="1" fillId="6" borderId="14" xfId="0" applyNumberFormat="1" applyFont="1" applyFill="1" applyBorder="1" applyAlignment="1">
      <alignment horizontal="center" vertical="center" wrapText="1" shrinkToFit="1"/>
    </xf>
    <xf numFmtId="49" fontId="1" fillId="6" borderId="14" xfId="0" applyNumberFormat="1" applyFont="1" applyFill="1" applyBorder="1" applyAlignment="1">
      <alignment horizontal="center" vertical="center" wrapText="1" shrinkToFit="1"/>
    </xf>
    <xf numFmtId="0" fontId="1" fillId="6" borderId="14" xfId="1" applyNumberFormat="1" applyFont="1" applyFill="1" applyBorder="1" applyAlignment="1">
      <alignment horizontal="center" vertical="center" wrapText="1" shrinkToFit="1"/>
    </xf>
    <xf numFmtId="44" fontId="1" fillId="6" borderId="14" xfId="1" applyFont="1" applyFill="1" applyBorder="1" applyAlignment="1">
      <alignment horizontal="center" vertical="center" wrapText="1" shrinkToFit="1"/>
    </xf>
    <xf numFmtId="39" fontId="1" fillId="6" borderId="14" xfId="1" applyNumberFormat="1" applyFont="1" applyFill="1" applyBorder="1" applyAlignment="1">
      <alignment horizontal="center" vertical="center" wrapText="1" shrinkToFit="1"/>
    </xf>
    <xf numFmtId="0" fontId="1" fillId="6" borderId="14" xfId="0" applyFont="1" applyFill="1" applyBorder="1" applyAlignment="1">
      <alignment horizontal="center" vertical="center" wrapText="1" shrinkToFit="1"/>
    </xf>
    <xf numFmtId="0" fontId="1" fillId="6" borderId="14" xfId="0" applyFont="1" applyFill="1" applyBorder="1" applyAlignment="1">
      <alignment horizontal="center" vertical="center" wrapText="1"/>
    </xf>
    <xf numFmtId="44" fontId="0" fillId="0" borderId="14" xfId="1" applyFont="1" applyBorder="1" applyAlignment="1">
      <alignment horizontal="center"/>
    </xf>
    <xf numFmtId="0" fontId="0" fillId="0" borderId="14" xfId="1" applyNumberFormat="1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/>
    <xf numFmtId="0" fontId="11" fillId="0" borderId="0" xfId="0" applyFont="1" applyFill="1" applyBorder="1"/>
    <xf numFmtId="0" fontId="4" fillId="3" borderId="13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44" fontId="4" fillId="3" borderId="12" xfId="1" applyFont="1" applyFill="1" applyBorder="1" applyAlignment="1">
      <alignment horizontal="center"/>
    </xf>
    <xf numFmtId="170" fontId="1" fillId="0" borderId="14" xfId="0" applyNumberFormat="1" applyFont="1" applyFill="1" applyBorder="1" applyProtection="1">
      <protection locked="0"/>
    </xf>
    <xf numFmtId="0" fontId="1" fillId="0" borderId="14" xfId="0" applyFont="1" applyFill="1" applyBorder="1" applyAlignment="1" applyProtection="1">
      <alignment horizontal="center"/>
      <protection locked="0"/>
    </xf>
    <xf numFmtId="0" fontId="0" fillId="0" borderId="14" xfId="0" applyFill="1" applyBorder="1" applyAlignment="1" applyProtection="1">
      <alignment horizontal="center"/>
      <protection locked="0"/>
    </xf>
    <xf numFmtId="169" fontId="0" fillId="0" borderId="14" xfId="0" applyNumberFormat="1" applyFill="1" applyBorder="1" applyAlignment="1">
      <alignment horizontal="center"/>
    </xf>
    <xf numFmtId="44" fontId="1" fillId="0" borderId="14" xfId="1" applyFont="1" applyFill="1" applyBorder="1"/>
    <xf numFmtId="170" fontId="0" fillId="0" borderId="14" xfId="0" applyNumberFormat="1" applyFill="1" applyBorder="1" applyProtection="1">
      <protection locked="0"/>
    </xf>
    <xf numFmtId="0" fontId="8" fillId="0" borderId="14" xfId="0" applyFont="1" applyFill="1" applyBorder="1" applyAlignment="1" applyProtection="1">
      <alignment horizontal="center"/>
      <protection locked="0"/>
    </xf>
    <xf numFmtId="17" fontId="1" fillId="0" borderId="14" xfId="0" quotePrefix="1" applyNumberFormat="1" applyFont="1" applyFill="1" applyBorder="1" applyAlignment="1" applyProtection="1">
      <alignment horizontal="center"/>
      <protection locked="0"/>
    </xf>
    <xf numFmtId="0" fontId="1" fillId="0" borderId="14" xfId="0" quotePrefix="1" applyFont="1" applyFill="1" applyBorder="1" applyAlignment="1" applyProtection="1">
      <alignment horizontal="center"/>
      <protection locked="0"/>
    </xf>
    <xf numFmtId="169" fontId="14" fillId="0" borderId="14" xfId="0" applyNumberFormat="1" applyFont="1" applyFill="1" applyBorder="1" applyAlignment="1">
      <alignment horizontal="center"/>
    </xf>
    <xf numFmtId="169" fontId="1" fillId="8" borderId="14" xfId="0" applyNumberFormat="1" applyFont="1" applyFill="1" applyBorder="1" applyAlignment="1">
      <alignment horizontal="center"/>
    </xf>
    <xf numFmtId="49" fontId="1" fillId="0" borderId="14" xfId="0" applyNumberFormat="1" applyFont="1" applyFill="1" applyBorder="1" applyAlignment="1" applyProtection="1">
      <alignment horizontal="center"/>
      <protection locked="0"/>
    </xf>
    <xf numFmtId="0" fontId="1" fillId="0" borderId="14" xfId="0" applyNumberFormat="1" applyFont="1" applyFill="1" applyBorder="1" applyAlignment="1" applyProtection="1">
      <alignment horizontal="center"/>
      <protection locked="0"/>
    </xf>
    <xf numFmtId="1" fontId="0" fillId="0" borderId="14" xfId="1" applyNumberFormat="1" applyFont="1" applyBorder="1" applyAlignment="1">
      <alignment horizontal="center"/>
    </xf>
    <xf numFmtId="1" fontId="1" fillId="0" borderId="14" xfId="1" applyNumberFormat="1" applyFon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39" fontId="0" fillId="8" borderId="4" xfId="1" applyNumberFormat="1" applyFont="1" applyFill="1" applyBorder="1" applyAlignment="1">
      <alignment horizontal="center"/>
    </xf>
    <xf numFmtId="15" fontId="1" fillId="0" borderId="4" xfId="0" applyNumberFormat="1" applyFont="1" applyFill="1" applyBorder="1" applyAlignment="1">
      <alignment horizontal="center"/>
    </xf>
    <xf numFmtId="170" fontId="0" fillId="0" borderId="4" xfId="0" applyNumberFormat="1" applyFill="1" applyBorder="1" applyAlignment="1">
      <alignment horizontal="center"/>
    </xf>
    <xf numFmtId="173" fontId="1" fillId="0" borderId="4" xfId="0" applyNumberFormat="1" applyFont="1" applyFill="1" applyBorder="1" applyAlignment="1">
      <alignment horizontal="center"/>
    </xf>
    <xf numFmtId="1" fontId="1" fillId="0" borderId="4" xfId="0" applyNumberFormat="1" applyFont="1" applyFill="1" applyBorder="1" applyAlignment="1">
      <alignment horizontal="center"/>
    </xf>
    <xf numFmtId="2" fontId="0" fillId="0" borderId="4" xfId="0" applyNumberFormat="1" applyFill="1" applyBorder="1" applyAlignment="1">
      <alignment horizontal="center"/>
    </xf>
    <xf numFmtId="0" fontId="0" fillId="0" borderId="4" xfId="1" applyNumberFormat="1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44" fontId="0" fillId="0" borderId="4" xfId="1" applyFont="1" applyFill="1" applyBorder="1" applyAlignment="1">
      <alignment horizontal="center"/>
    </xf>
    <xf numFmtId="0" fontId="1" fillId="0" borderId="4" xfId="1" applyNumberFormat="1" applyFont="1" applyFill="1" applyBorder="1" applyAlignment="1">
      <alignment horizontal="center"/>
    </xf>
    <xf numFmtId="44" fontId="1" fillId="0" borderId="4" xfId="1" applyFont="1" applyFill="1" applyBorder="1" applyAlignment="1">
      <alignment horizontal="center"/>
    </xf>
    <xf numFmtId="39" fontId="1" fillId="0" borderId="4" xfId="1" applyNumberFormat="1" applyFon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37" fontId="0" fillId="0" borderId="4" xfId="1" applyNumberFormat="1" applyFont="1" applyBorder="1" applyAlignment="1">
      <alignment horizontal="center"/>
    </xf>
    <xf numFmtId="37" fontId="1" fillId="0" borderId="4" xfId="1" applyNumberFormat="1" applyFont="1" applyBorder="1" applyAlignment="1">
      <alignment horizontal="center"/>
    </xf>
    <xf numFmtId="166" fontId="0" fillId="0" borderId="14" xfId="1" applyNumberFormat="1" applyFont="1" applyBorder="1" applyAlignment="1">
      <alignment horizontal="center"/>
    </xf>
    <xf numFmtId="44" fontId="1" fillId="6" borderId="4" xfId="1" applyFont="1" applyFill="1" applyBorder="1" applyAlignment="1">
      <alignment horizontal="center" vertical="center"/>
    </xf>
    <xf numFmtId="44" fontId="0" fillId="8" borderId="14" xfId="1" applyFont="1" applyFill="1" applyBorder="1" applyAlignment="1">
      <alignment horizontal="center"/>
    </xf>
    <xf numFmtId="173" fontId="1" fillId="8" borderId="14" xfId="0" applyNumberFormat="1" applyFont="1" applyFill="1" applyBorder="1" applyAlignment="1">
      <alignment horizontal="center"/>
    </xf>
    <xf numFmtId="0" fontId="0" fillId="8" borderId="14" xfId="1" applyNumberFormat="1" applyFont="1" applyFill="1" applyBorder="1" applyAlignment="1">
      <alignment horizontal="center"/>
    </xf>
    <xf numFmtId="0" fontId="1" fillId="8" borderId="14" xfId="0" applyFont="1" applyFill="1" applyBorder="1" applyAlignment="1">
      <alignment horizontal="center"/>
    </xf>
    <xf numFmtId="0" fontId="1" fillId="8" borderId="14" xfId="1" quotePrefix="1" applyNumberFormat="1" applyFont="1" applyFill="1" applyBorder="1" applyAlignment="1">
      <alignment horizontal="center"/>
    </xf>
    <xf numFmtId="44" fontId="1" fillId="8" borderId="14" xfId="1" applyFont="1" applyFill="1" applyBorder="1" applyAlignment="1">
      <alignment horizontal="center"/>
    </xf>
    <xf numFmtId="1" fontId="1" fillId="8" borderId="14" xfId="1" applyNumberFormat="1" applyFont="1" applyFill="1" applyBorder="1" applyAlignment="1">
      <alignment horizontal="center"/>
    </xf>
    <xf numFmtId="0" fontId="0" fillId="8" borderId="14" xfId="1" quotePrefix="1" applyNumberFormat="1" applyFont="1" applyFill="1" applyBorder="1" applyAlignment="1">
      <alignment horizontal="center"/>
    </xf>
    <xf numFmtId="39" fontId="0" fillId="8" borderId="14" xfId="1" applyNumberFormat="1" applyFont="1" applyFill="1" applyBorder="1" applyAlignment="1">
      <alignment horizontal="center"/>
    </xf>
    <xf numFmtId="0" fontId="11" fillId="8" borderId="14" xfId="0" applyFont="1" applyFill="1" applyBorder="1" applyAlignment="1">
      <alignment horizontal="center"/>
    </xf>
    <xf numFmtId="44" fontId="0" fillId="8" borderId="14" xfId="0" applyNumberFormat="1" applyFill="1" applyBorder="1" applyAlignment="1">
      <alignment horizontal="center"/>
    </xf>
    <xf numFmtId="173" fontId="1" fillId="8" borderId="4" xfId="0" applyNumberFormat="1" applyFont="1" applyFill="1" applyBorder="1" applyAlignment="1">
      <alignment horizontal="center"/>
    </xf>
    <xf numFmtId="0" fontId="0" fillId="8" borderId="4" xfId="1" quotePrefix="1" applyNumberFormat="1" applyFont="1" applyFill="1" applyBorder="1" applyAlignment="1">
      <alignment horizontal="center"/>
    </xf>
    <xf numFmtId="1" fontId="1" fillId="8" borderId="4" xfId="1" applyNumberFormat="1" applyFont="1" applyFill="1" applyBorder="1" applyAlignment="1">
      <alignment horizontal="center"/>
    </xf>
    <xf numFmtId="44" fontId="0" fillId="8" borderId="4" xfId="1" quotePrefix="1" applyFont="1" applyFill="1" applyBorder="1" applyAlignment="1">
      <alignment horizontal="center"/>
    </xf>
    <xf numFmtId="44" fontId="0" fillId="8" borderId="4" xfId="0" applyNumberFormat="1" applyFill="1" applyBorder="1" applyAlignment="1">
      <alignment horizontal="center"/>
    </xf>
    <xf numFmtId="166" fontId="1" fillId="6" borderId="14" xfId="1" applyNumberFormat="1" applyFont="1" applyFill="1" applyBorder="1" applyAlignment="1">
      <alignment horizontal="center" vertical="center" wrapText="1" shrinkToFit="1"/>
    </xf>
    <xf numFmtId="0" fontId="0" fillId="0" borderId="0" xfId="0" applyAlignment="1">
      <alignment horizontal="center"/>
    </xf>
    <xf numFmtId="167" fontId="3" fillId="0" borderId="4" xfId="0" applyNumberFormat="1" applyFont="1" applyFill="1" applyBorder="1" applyProtection="1">
      <protection locked="0"/>
    </xf>
    <xf numFmtId="167" fontId="3" fillId="0" borderId="4" xfId="0" applyNumberFormat="1" applyFont="1" applyFill="1" applyBorder="1"/>
    <xf numFmtId="2" fontId="0" fillId="0" borderId="4" xfId="1" applyNumberFormat="1" applyFont="1" applyFill="1" applyBorder="1" applyAlignment="1">
      <alignment horizontal="center"/>
    </xf>
    <xf numFmtId="0" fontId="11" fillId="0" borderId="4" xfId="0" applyFont="1" applyFill="1" applyBorder="1" applyAlignment="1">
      <alignment horizontal="center"/>
    </xf>
    <xf numFmtId="44" fontId="0" fillId="0" borderId="4" xfId="0" applyNumberFormat="1" applyFill="1" applyBorder="1" applyAlignment="1">
      <alignment horizontal="center"/>
    </xf>
    <xf numFmtId="0" fontId="1" fillId="0" borderId="0" xfId="0" applyFont="1" applyFill="1"/>
    <xf numFmtId="39" fontId="0" fillId="0" borderId="4" xfId="1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44" fontId="11" fillId="0" borderId="4" xfId="0" applyNumberFormat="1" applyFont="1" applyFill="1" applyBorder="1" applyAlignment="1">
      <alignment horizontal="center"/>
    </xf>
    <xf numFmtId="44" fontId="0" fillId="14" borderId="4" xfId="1" applyFont="1" applyFill="1" applyBorder="1" applyAlignment="1">
      <alignment horizontal="center"/>
    </xf>
    <xf numFmtId="44" fontId="0" fillId="11" borderId="4" xfId="0" applyNumberFormat="1" applyFill="1" applyBorder="1" applyAlignment="1">
      <alignment horizontal="center"/>
    </xf>
    <xf numFmtId="170" fontId="2" fillId="11" borderId="4" xfId="0" applyNumberFormat="1" applyFont="1" applyFill="1" applyBorder="1" applyAlignment="1">
      <alignment horizontal="center"/>
    </xf>
    <xf numFmtId="44" fontId="1" fillId="6" borderId="4" xfId="1" applyFont="1" applyFill="1" applyBorder="1" applyAlignment="1">
      <alignment horizontal="center" vertical="top" wrapText="1" shrinkToFit="1"/>
    </xf>
    <xf numFmtId="0" fontId="0" fillId="0" borderId="4" xfId="0" applyNumberFormat="1" applyFill="1" applyBorder="1" applyAlignment="1">
      <alignment horizontal="center"/>
    </xf>
    <xf numFmtId="1" fontId="0" fillId="8" borderId="4" xfId="1" applyNumberFormat="1" applyFont="1" applyFill="1" applyBorder="1" applyAlignment="1">
      <alignment horizontal="center"/>
    </xf>
    <xf numFmtId="1" fontId="0" fillId="8" borderId="14" xfId="1" applyNumberFormat="1" applyFont="1" applyFill="1" applyBorder="1" applyAlignment="1">
      <alignment horizontal="center"/>
    </xf>
    <xf numFmtId="0" fontId="1" fillId="8" borderId="0" xfId="0" applyFont="1" applyFill="1"/>
    <xf numFmtId="44" fontId="0" fillId="8" borderId="0" xfId="0" applyNumberFormat="1" applyFill="1"/>
    <xf numFmtId="0" fontId="12" fillId="8" borderId="4" xfId="0" applyFont="1" applyFill="1" applyBorder="1" applyAlignment="1">
      <alignment horizontal="center"/>
    </xf>
    <xf numFmtId="0" fontId="1" fillId="2" borderId="6" xfId="0" applyFont="1" applyFill="1" applyBorder="1"/>
    <xf numFmtId="0" fontId="1" fillId="0" borderId="14" xfId="0" applyFont="1" applyFill="1" applyBorder="1" applyAlignment="1" applyProtection="1">
      <alignment horizontal="center"/>
      <protection locked="0"/>
    </xf>
    <xf numFmtId="0" fontId="1" fillId="0" borderId="0" xfId="0" applyFont="1" applyFill="1" applyAlignment="1">
      <alignment horizontal="right"/>
    </xf>
    <xf numFmtId="2" fontId="0" fillId="0" borderId="0" xfId="0" applyNumberFormat="1" applyFill="1" applyAlignment="1">
      <alignment horizontal="left"/>
    </xf>
    <xf numFmtId="44" fontId="0" fillId="0" borderId="14" xfId="1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170" fontId="1" fillId="0" borderId="4" xfId="0" applyNumberFormat="1" applyFont="1" applyFill="1" applyBorder="1" applyAlignment="1">
      <alignment horizontal="center"/>
    </xf>
    <xf numFmtId="15" fontId="0" fillId="0" borderId="4" xfId="0" applyNumberFormat="1" applyFill="1" applyBorder="1" applyAlignment="1">
      <alignment horizontal="center"/>
    </xf>
    <xf numFmtId="39" fontId="1" fillId="6" borderId="16" xfId="1" applyNumberFormat="1" applyFont="1" applyFill="1" applyBorder="1" applyAlignment="1">
      <alignment horizontal="center" vertical="center" wrapText="1" shrinkToFit="1"/>
    </xf>
    <xf numFmtId="0" fontId="1" fillId="0" borderId="16" xfId="1" applyNumberFormat="1" applyFont="1" applyBorder="1" applyAlignment="1">
      <alignment horizontal="center"/>
    </xf>
    <xf numFmtId="0" fontId="0" fillId="0" borderId="16" xfId="1" applyNumberFormat="1" applyFont="1" applyBorder="1" applyAlignment="1">
      <alignment horizontal="center"/>
    </xf>
    <xf numFmtId="37" fontId="0" fillId="0" borderId="16" xfId="1" applyNumberFormat="1" applyFont="1" applyBorder="1" applyAlignment="1">
      <alignment horizontal="center"/>
    </xf>
    <xf numFmtId="37" fontId="1" fillId="0" borderId="16" xfId="1" applyNumberFormat="1" applyFont="1" applyBorder="1" applyAlignment="1">
      <alignment horizontal="center"/>
    </xf>
    <xf numFmtId="39" fontId="0" fillId="0" borderId="16" xfId="1" applyNumberFormat="1" applyFont="1" applyBorder="1" applyAlignment="1">
      <alignment horizontal="center"/>
    </xf>
    <xf numFmtId="39" fontId="1" fillId="0" borderId="16" xfId="1" applyNumberFormat="1" applyFont="1" applyBorder="1" applyAlignment="1">
      <alignment horizontal="center"/>
    </xf>
    <xf numFmtId="1" fontId="0" fillId="0" borderId="4" xfId="0" applyNumberFormat="1" applyFill="1" applyBorder="1" applyAlignment="1">
      <alignment horizontal="center"/>
    </xf>
    <xf numFmtId="44" fontId="1" fillId="0" borderId="4" xfId="0" applyNumberFormat="1" applyFont="1" applyFill="1" applyBorder="1" applyAlignment="1">
      <alignment horizontal="center"/>
    </xf>
    <xf numFmtId="15" fontId="0" fillId="5" borderId="4" xfId="0" applyNumberFormat="1" applyFill="1" applyBorder="1" applyAlignment="1">
      <alignment horizontal="center"/>
    </xf>
    <xf numFmtId="44" fontId="1" fillId="6" borderId="16" xfId="1" applyFont="1" applyFill="1" applyBorder="1" applyAlignment="1">
      <alignment horizontal="center" vertical="center" wrapText="1" shrinkToFit="1"/>
    </xf>
    <xf numFmtId="44" fontId="0" fillId="0" borderId="16" xfId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12" borderId="16" xfId="0" applyFill="1" applyBorder="1" applyAlignment="1">
      <alignment horizontal="center"/>
    </xf>
    <xf numFmtId="0" fontId="11" fillId="0" borderId="16" xfId="0" applyFont="1" applyBorder="1" applyAlignment="1">
      <alignment horizontal="center"/>
    </xf>
    <xf numFmtId="44" fontId="1" fillId="0" borderId="16" xfId="1" applyFont="1" applyBorder="1" applyAlignment="1">
      <alignment horizontal="center"/>
    </xf>
    <xf numFmtId="0" fontId="1" fillId="0" borderId="4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44" fontId="0" fillId="0" borderId="0" xfId="0" applyNumberForma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1" fillId="8" borderId="4" xfId="0" applyFont="1" applyFill="1" applyBorder="1" applyAlignment="1">
      <alignment horizontal="left"/>
    </xf>
    <xf numFmtId="170" fontId="1" fillId="8" borderId="14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44" fontId="0" fillId="0" borderId="1" xfId="0" applyNumberFormat="1" applyBorder="1" applyAlignment="1">
      <alignment horizontal="center"/>
    </xf>
    <xf numFmtId="44" fontId="11" fillId="0" borderId="12" xfId="0" applyNumberFormat="1" applyFont="1" applyBorder="1" applyAlignment="1">
      <alignment horizontal="center"/>
    </xf>
    <xf numFmtId="170" fontId="1" fillId="6" borderId="16" xfId="0" applyNumberFormat="1" applyFont="1" applyFill="1" applyBorder="1" applyAlignment="1">
      <alignment horizontal="center" vertical="center" wrapText="1" shrinkToFit="1"/>
    </xf>
    <xf numFmtId="15" fontId="0" fillId="0" borderId="16" xfId="0" applyNumberFormat="1" applyBorder="1" applyAlignment="1">
      <alignment horizontal="center"/>
    </xf>
    <xf numFmtId="0" fontId="0" fillId="0" borderId="16" xfId="0" applyNumberFormat="1" applyBorder="1" applyAlignment="1">
      <alignment horizontal="center"/>
    </xf>
    <xf numFmtId="0" fontId="1" fillId="0" borderId="16" xfId="0" applyNumberFormat="1" applyFont="1" applyBorder="1" applyAlignment="1">
      <alignment horizontal="center"/>
    </xf>
    <xf numFmtId="0" fontId="0" fillId="0" borderId="16" xfId="0" applyNumberFormat="1" applyFill="1" applyBorder="1" applyAlignment="1">
      <alignment horizontal="center"/>
    </xf>
    <xf numFmtId="171" fontId="1" fillId="0" borderId="16" xfId="0" applyNumberFormat="1" applyFont="1" applyBorder="1" applyAlignment="1">
      <alignment horizontal="center"/>
    </xf>
    <xf numFmtId="166" fontId="0" fillId="0" borderId="16" xfId="1" applyNumberFormat="1" applyFont="1" applyBorder="1" applyAlignment="1">
      <alignment horizontal="center"/>
    </xf>
    <xf numFmtId="170" fontId="1" fillId="8" borderId="17" xfId="0" applyNumberFormat="1" applyFont="1" applyFill="1" applyBorder="1" applyAlignment="1">
      <alignment horizontal="center"/>
    </xf>
    <xf numFmtId="173" fontId="1" fillId="8" borderId="17" xfId="0" applyNumberFormat="1" applyFont="1" applyFill="1" applyBorder="1" applyAlignment="1">
      <alignment horizontal="center"/>
    </xf>
    <xf numFmtId="0" fontId="0" fillId="8" borderId="17" xfId="1" applyNumberFormat="1" applyFont="1" applyFill="1" applyBorder="1" applyAlignment="1">
      <alignment horizontal="center"/>
    </xf>
    <xf numFmtId="0" fontId="1" fillId="8" borderId="17" xfId="0" applyFont="1" applyFill="1" applyBorder="1" applyAlignment="1">
      <alignment horizontal="center"/>
    </xf>
    <xf numFmtId="0" fontId="1" fillId="8" borderId="17" xfId="1" quotePrefix="1" applyNumberFormat="1" applyFont="1" applyFill="1" applyBorder="1" applyAlignment="1">
      <alignment horizontal="center"/>
    </xf>
    <xf numFmtId="44" fontId="1" fillId="8" borderId="17" xfId="1" applyFont="1" applyFill="1" applyBorder="1" applyAlignment="1">
      <alignment horizontal="center"/>
    </xf>
    <xf numFmtId="1" fontId="1" fillId="8" borderId="17" xfId="1" applyNumberFormat="1" applyFont="1" applyFill="1" applyBorder="1" applyAlignment="1">
      <alignment horizontal="center"/>
    </xf>
    <xf numFmtId="44" fontId="0" fillId="8" borderId="17" xfId="1" applyFont="1" applyFill="1" applyBorder="1" applyAlignment="1">
      <alignment horizontal="center"/>
    </xf>
    <xf numFmtId="0" fontId="0" fillId="8" borderId="17" xfId="1" quotePrefix="1" applyNumberFormat="1" applyFont="1" applyFill="1" applyBorder="1" applyAlignment="1">
      <alignment horizontal="center"/>
    </xf>
    <xf numFmtId="39" fontId="0" fillId="8" borderId="17" xfId="1" applyNumberFormat="1" applyFont="1" applyFill="1" applyBorder="1" applyAlignment="1">
      <alignment horizontal="center"/>
    </xf>
    <xf numFmtId="44" fontId="0" fillId="8" borderId="17" xfId="0" applyNumberFormat="1" applyFill="1" applyBorder="1" applyAlignment="1">
      <alignment horizontal="center"/>
    </xf>
    <xf numFmtId="0" fontId="11" fillId="8" borderId="17" xfId="0" applyFont="1" applyFill="1" applyBorder="1" applyAlignment="1">
      <alignment horizontal="left"/>
    </xf>
    <xf numFmtId="44" fontId="1" fillId="6" borderId="17" xfId="1" applyFont="1" applyFill="1" applyBorder="1" applyAlignment="1">
      <alignment horizontal="center" vertical="center" wrapText="1" shrinkToFit="1"/>
    </xf>
    <xf numFmtId="44" fontId="0" fillId="0" borderId="17" xfId="1" applyFont="1" applyBorder="1" applyAlignment="1">
      <alignment horizontal="center"/>
    </xf>
    <xf numFmtId="0" fontId="1" fillId="6" borderId="17" xfId="1" applyNumberFormat="1" applyFont="1" applyFill="1" applyBorder="1" applyAlignment="1">
      <alignment horizontal="center" vertical="center" wrapText="1" shrinkToFit="1"/>
    </xf>
    <xf numFmtId="15" fontId="0" fillId="11" borderId="4" xfId="0" applyNumberFormat="1" applyFill="1" applyBorder="1" applyAlignment="1">
      <alignment horizontal="center"/>
    </xf>
    <xf numFmtId="2" fontId="0" fillId="11" borderId="4" xfId="0" applyNumberFormat="1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" fillId="11" borderId="4" xfId="1" quotePrefix="1" applyNumberFormat="1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1" borderId="0" xfId="0" applyFill="1"/>
    <xf numFmtId="39" fontId="0" fillId="11" borderId="4" xfId="1" applyNumberFormat="1" applyFont="1" applyFill="1" applyBorder="1" applyAlignment="1">
      <alignment horizontal="center"/>
    </xf>
    <xf numFmtId="15" fontId="0" fillId="7" borderId="4" xfId="0" applyNumberFormat="1" applyFill="1" applyBorder="1" applyAlignment="1">
      <alignment horizontal="center"/>
    </xf>
    <xf numFmtId="2" fontId="0" fillId="7" borderId="4" xfId="0" applyNumberFormat="1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44" fontId="0" fillId="7" borderId="4" xfId="1" applyFont="1" applyFill="1" applyBorder="1" applyAlignment="1">
      <alignment horizontal="center"/>
    </xf>
    <xf numFmtId="44" fontId="1" fillId="7" borderId="4" xfId="1" applyFont="1" applyFill="1" applyBorder="1" applyAlignment="1">
      <alignment horizontal="center"/>
    </xf>
    <xf numFmtId="0" fontId="1" fillId="7" borderId="4" xfId="1" quotePrefix="1" applyNumberFormat="1" applyFont="1" applyFill="1" applyBorder="1" applyAlignment="1">
      <alignment horizontal="center"/>
    </xf>
    <xf numFmtId="0" fontId="0" fillId="7" borderId="4" xfId="1" applyNumberFormat="1" applyFont="1" applyFill="1" applyBorder="1" applyAlignment="1">
      <alignment horizontal="center"/>
    </xf>
    <xf numFmtId="39" fontId="1" fillId="7" borderId="4" xfId="1" applyNumberFormat="1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1" fillId="7" borderId="4" xfId="0" applyFont="1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/>
    <xf numFmtId="44" fontId="11" fillId="7" borderId="4" xfId="0" applyNumberFormat="1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11" borderId="4" xfId="0" applyFont="1" applyFill="1" applyBorder="1" applyAlignment="1">
      <alignment horizontal="center"/>
    </xf>
    <xf numFmtId="44" fontId="11" fillId="11" borderId="4" xfId="0" applyNumberFormat="1" applyFont="1" applyFill="1" applyBorder="1" applyAlignment="1">
      <alignment horizontal="center"/>
    </xf>
    <xf numFmtId="170" fontId="1" fillId="7" borderId="4" xfId="0" applyNumberFormat="1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166" fontId="0" fillId="11" borderId="0" xfId="0" applyNumberFormat="1" applyFill="1" applyAlignment="1">
      <alignment horizontal="left"/>
    </xf>
    <xf numFmtId="0" fontId="0" fillId="0" borderId="17" xfId="1" applyNumberFormat="1" applyFont="1" applyBorder="1" applyAlignment="1">
      <alignment horizontal="center"/>
    </xf>
    <xf numFmtId="170" fontId="0" fillId="15" borderId="4" xfId="0" applyNumberFormat="1" applyFill="1" applyBorder="1" applyAlignment="1">
      <alignment horizontal="center"/>
    </xf>
    <xf numFmtId="170" fontId="1" fillId="15" borderId="4" xfId="0" applyNumberFormat="1" applyFont="1" applyFill="1" applyBorder="1" applyAlignment="1">
      <alignment horizontal="center"/>
    </xf>
    <xf numFmtId="0" fontId="1" fillId="15" borderId="4" xfId="0" applyNumberFormat="1" applyFont="1" applyFill="1" applyBorder="1" applyAlignment="1">
      <alignment horizontal="center"/>
    </xf>
    <xf numFmtId="172" fontId="1" fillId="15" borderId="4" xfId="0" applyNumberFormat="1" applyFont="1" applyFill="1" applyBorder="1" applyAlignment="1">
      <alignment horizontal="center"/>
    </xf>
    <xf numFmtId="0" fontId="1" fillId="15" borderId="4" xfId="1" applyNumberFormat="1" applyFont="1" applyFill="1" applyBorder="1" applyAlignment="1">
      <alignment horizontal="center"/>
    </xf>
    <xf numFmtId="44" fontId="0" fillId="15" borderId="4" xfId="1" applyFont="1" applyFill="1" applyBorder="1" applyAlignment="1">
      <alignment horizontal="center"/>
    </xf>
    <xf numFmtId="0" fontId="0" fillId="15" borderId="4" xfId="1" applyNumberFormat="1" applyFont="1" applyFill="1" applyBorder="1" applyAlignment="1">
      <alignment horizontal="center"/>
    </xf>
    <xf numFmtId="0" fontId="0" fillId="15" borderId="17" xfId="1" applyNumberFormat="1" applyFont="1" applyFill="1" applyBorder="1" applyAlignment="1">
      <alignment horizontal="center"/>
    </xf>
    <xf numFmtId="4" fontId="1" fillId="15" borderId="4" xfId="0" applyNumberFormat="1" applyFont="1" applyFill="1" applyBorder="1" applyAlignment="1">
      <alignment horizontal="center"/>
    </xf>
    <xf numFmtId="4" fontId="1" fillId="15" borderId="4" xfId="1" applyNumberFormat="1" applyFont="1" applyFill="1" applyBorder="1" applyAlignment="1">
      <alignment horizontal="center"/>
    </xf>
    <xf numFmtId="4" fontId="0" fillId="15" borderId="4" xfId="1" applyNumberFormat="1" applyFont="1" applyFill="1" applyBorder="1" applyAlignment="1">
      <alignment horizontal="center"/>
    </xf>
    <xf numFmtId="4" fontId="0" fillId="15" borderId="17" xfId="1" applyNumberFormat="1" applyFont="1" applyFill="1" applyBorder="1" applyAlignment="1">
      <alignment horizontal="center"/>
    </xf>
    <xf numFmtId="170" fontId="0" fillId="11" borderId="4" xfId="0" applyNumberFormat="1" applyFill="1" applyBorder="1" applyAlignment="1">
      <alignment horizontal="center"/>
    </xf>
    <xf numFmtId="0" fontId="0" fillId="11" borderId="16" xfId="0" applyNumberFormat="1" applyFill="1" applyBorder="1" applyAlignment="1">
      <alignment horizontal="center"/>
    </xf>
    <xf numFmtId="44" fontId="0" fillId="11" borderId="14" xfId="1" applyFont="1" applyFill="1" applyBorder="1" applyAlignment="1">
      <alignment horizontal="center"/>
    </xf>
    <xf numFmtId="164" fontId="0" fillId="11" borderId="0" xfId="0" applyNumberFormat="1" applyFill="1"/>
    <xf numFmtId="0" fontId="1" fillId="8" borderId="17" xfId="1" applyNumberFormat="1" applyFont="1" applyFill="1" applyBorder="1" applyAlignment="1">
      <alignment horizontal="center"/>
    </xf>
    <xf numFmtId="39" fontId="1" fillId="8" borderId="17" xfId="1" applyNumberFormat="1" applyFont="1" applyFill="1" applyBorder="1" applyAlignment="1">
      <alignment horizontal="center"/>
    </xf>
    <xf numFmtId="173" fontId="1" fillId="5" borderId="17" xfId="0" applyNumberFormat="1" applyFont="1" applyFill="1" applyBorder="1" applyAlignment="1">
      <alignment horizontal="center"/>
    </xf>
    <xf numFmtId="173" fontId="1" fillId="5" borderId="4" xfId="0" applyNumberFormat="1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39" fontId="0" fillId="7" borderId="4" xfId="1" applyNumberFormat="1" applyFont="1" applyFill="1" applyBorder="1" applyAlignment="1">
      <alignment horizontal="center"/>
    </xf>
    <xf numFmtId="0" fontId="1" fillId="11" borderId="0" xfId="0" applyFont="1" applyFill="1"/>
    <xf numFmtId="0" fontId="1" fillId="0" borderId="14" xfId="0" applyFont="1" applyFill="1" applyBorder="1" applyAlignment="1" applyProtection="1">
      <alignment horizontal="center"/>
      <protection locked="0"/>
    </xf>
    <xf numFmtId="0" fontId="0" fillId="0" borderId="14" xfId="0" applyFill="1" applyBorder="1" applyAlignment="1" applyProtection="1">
      <alignment horizontal="center"/>
      <protection locked="0"/>
    </xf>
    <xf numFmtId="0" fontId="1" fillId="0" borderId="14" xfId="0" applyFont="1" applyFill="1" applyBorder="1" applyAlignment="1" applyProtection="1">
      <protection locked="0"/>
    </xf>
    <xf numFmtId="0" fontId="0" fillId="0" borderId="14" xfId="0" applyFill="1" applyBorder="1" applyAlignment="1" applyProtection="1">
      <protection locked="0"/>
    </xf>
    <xf numFmtId="0" fontId="8" fillId="0" borderId="14" xfId="0" applyFont="1" applyFill="1" applyBorder="1" applyAlignment="1" applyProtection="1">
      <protection locked="0"/>
    </xf>
    <xf numFmtId="0" fontId="11" fillId="0" borderId="14" xfId="0" applyFont="1" applyFill="1" applyBorder="1" applyAlignment="1" applyProtection="1">
      <protection locked="0"/>
    </xf>
    <xf numFmtId="0" fontId="0" fillId="12" borderId="16" xfId="0" applyNumberFormat="1" applyFill="1" applyBorder="1" applyAlignment="1">
      <alignment horizontal="center"/>
    </xf>
    <xf numFmtId="44" fontId="0" fillId="12" borderId="14" xfId="1" applyFont="1" applyFill="1" applyBorder="1" applyAlignment="1">
      <alignment horizontal="center"/>
    </xf>
    <xf numFmtId="170" fontId="0" fillId="12" borderId="16" xfId="0" applyNumberFormat="1" applyFill="1" applyBorder="1" applyAlignment="1">
      <alignment horizontal="center"/>
    </xf>
    <xf numFmtId="0" fontId="11" fillId="12" borderId="16" xfId="0" applyFont="1" applyFill="1" applyBorder="1" applyAlignment="1">
      <alignment horizontal="center"/>
    </xf>
    <xf numFmtId="0" fontId="1" fillId="12" borderId="16" xfId="0" applyFont="1" applyFill="1" applyBorder="1" applyAlignment="1">
      <alignment horizontal="center"/>
    </xf>
    <xf numFmtId="44" fontId="0" fillId="12" borderId="16" xfId="1" applyFont="1" applyFill="1" applyBorder="1" applyAlignment="1">
      <alignment horizontal="center"/>
    </xf>
    <xf numFmtId="0" fontId="1" fillId="12" borderId="16" xfId="1" applyNumberFormat="1" applyFont="1" applyFill="1" applyBorder="1" applyAlignment="1">
      <alignment horizontal="center"/>
    </xf>
    <xf numFmtId="0" fontId="0" fillId="12" borderId="16" xfId="1" applyNumberFormat="1" applyFont="1" applyFill="1" applyBorder="1" applyAlignment="1">
      <alignment horizontal="center"/>
    </xf>
    <xf numFmtId="0" fontId="1" fillId="12" borderId="0" xfId="0" applyFont="1" applyFill="1" applyAlignment="1">
      <alignment horizontal="center"/>
    </xf>
    <xf numFmtId="166" fontId="0" fillId="12" borderId="0" xfId="0" applyNumberFormat="1" applyFill="1"/>
    <xf numFmtId="170" fontId="0" fillId="0" borderId="18" xfId="0" applyNumberFormat="1" applyFill="1" applyBorder="1" applyProtection="1">
      <protection locked="0"/>
    </xf>
    <xf numFmtId="0" fontId="0" fillId="0" borderId="18" xfId="0" applyFill="1" applyBorder="1" applyAlignment="1" applyProtection="1">
      <alignment horizontal="center"/>
      <protection locked="0"/>
    </xf>
    <xf numFmtId="0" fontId="1" fillId="0" borderId="18" xfId="0" applyFont="1" applyFill="1" applyBorder="1" applyAlignment="1" applyProtection="1">
      <protection locked="0"/>
    </xf>
    <xf numFmtId="0" fontId="0" fillId="0" borderId="18" xfId="0" applyFill="1" applyBorder="1" applyAlignment="1" applyProtection="1">
      <protection locked="0"/>
    </xf>
    <xf numFmtId="169" fontId="0" fillId="0" borderId="18" xfId="0" applyNumberFormat="1" applyFill="1" applyBorder="1" applyAlignment="1">
      <alignment horizontal="center"/>
    </xf>
    <xf numFmtId="44" fontId="1" fillId="0" borderId="18" xfId="1" applyFont="1" applyFill="1" applyBorder="1"/>
    <xf numFmtId="0" fontId="0" fillId="0" borderId="5" xfId="0" applyFill="1" applyBorder="1" applyAlignment="1" applyProtection="1">
      <alignment horizontal="center"/>
      <protection locked="0"/>
    </xf>
    <xf numFmtId="0" fontId="1" fillId="0" borderId="5" xfId="0" applyFont="1" applyFill="1" applyBorder="1" applyAlignment="1" applyProtection="1">
      <protection locked="0"/>
    </xf>
    <xf numFmtId="0" fontId="0" fillId="0" borderId="5" xfId="0" applyFill="1" applyBorder="1" applyAlignment="1" applyProtection="1">
      <protection locked="0"/>
    </xf>
    <xf numFmtId="44" fontId="1" fillId="0" borderId="5" xfId="1" applyFont="1" applyFill="1" applyBorder="1"/>
    <xf numFmtId="170" fontId="0" fillId="0" borderId="17" xfId="0" applyNumberFormat="1" applyFill="1" applyBorder="1" applyProtection="1">
      <protection locked="0"/>
    </xf>
    <xf numFmtId="0" fontId="0" fillId="0" borderId="17" xfId="0" applyFill="1" applyBorder="1" applyAlignment="1" applyProtection="1">
      <alignment horizontal="center"/>
      <protection locked="0"/>
    </xf>
    <xf numFmtId="0" fontId="1" fillId="0" borderId="17" xfId="0" applyFont="1" applyFill="1" applyBorder="1" applyAlignment="1" applyProtection="1">
      <protection locked="0"/>
    </xf>
    <xf numFmtId="0" fontId="0" fillId="0" borderId="17" xfId="0" applyFill="1" applyBorder="1" applyAlignment="1" applyProtection="1">
      <protection locked="0"/>
    </xf>
    <xf numFmtId="169" fontId="0" fillId="0" borderId="17" xfId="0" applyNumberFormat="1" applyFill="1" applyBorder="1" applyAlignment="1">
      <alignment horizontal="center"/>
    </xf>
    <xf numFmtId="44" fontId="1" fillId="0" borderId="17" xfId="1" applyFont="1" applyFill="1" applyBorder="1"/>
    <xf numFmtId="0" fontId="0" fillId="0" borderId="17" xfId="0" applyBorder="1"/>
    <xf numFmtId="44" fontId="1" fillId="0" borderId="17" xfId="1" applyFont="1" applyBorder="1"/>
    <xf numFmtId="49" fontId="0" fillId="5" borderId="0" xfId="0" applyNumberFormat="1" applyFill="1" applyAlignment="1">
      <alignment horizontal="center"/>
    </xf>
    <xf numFmtId="0" fontId="1" fillId="5" borderId="0" xfId="1" applyNumberFormat="1" applyFont="1" applyFill="1" applyAlignment="1">
      <alignment horizontal="left"/>
    </xf>
    <xf numFmtId="44" fontId="0" fillId="5" borderId="0" xfId="1" applyFont="1" applyFill="1" applyAlignment="1">
      <alignment horizontal="center"/>
    </xf>
    <xf numFmtId="0" fontId="0" fillId="16" borderId="0" xfId="0" applyFill="1" applyAlignment="1">
      <alignment horizontal="center"/>
    </xf>
    <xf numFmtId="2" fontId="0" fillId="16" borderId="0" xfId="0" applyNumberFormat="1" applyFill="1" applyAlignment="1">
      <alignment horizontal="center"/>
    </xf>
    <xf numFmtId="44" fontId="0" fillId="16" borderId="0" xfId="1" applyFont="1" applyFill="1" applyAlignment="1">
      <alignment horizontal="center"/>
    </xf>
    <xf numFmtId="39" fontId="0" fillId="16" borderId="0" xfId="1" applyNumberFormat="1" applyFont="1" applyFill="1" applyAlignment="1">
      <alignment horizontal="center"/>
    </xf>
    <xf numFmtId="0" fontId="11" fillId="16" borderId="0" xfId="0" applyFont="1" applyFill="1" applyAlignment="1">
      <alignment horizontal="center"/>
    </xf>
    <xf numFmtId="0" fontId="0" fillId="16" borderId="0" xfId="0" applyFill="1"/>
    <xf numFmtId="15" fontId="0" fillId="17" borderId="4" xfId="0" applyNumberFormat="1" applyFill="1" applyBorder="1" applyAlignment="1">
      <alignment horizontal="center"/>
    </xf>
    <xf numFmtId="2" fontId="0" fillId="17" borderId="4" xfId="0" applyNumberFormat="1" applyFill="1" applyBorder="1" applyAlignment="1">
      <alignment horizontal="center"/>
    </xf>
    <xf numFmtId="0" fontId="1" fillId="17" borderId="4" xfId="0" applyFont="1" applyFill="1" applyBorder="1" applyAlignment="1">
      <alignment horizontal="center"/>
    </xf>
    <xf numFmtId="44" fontId="0" fillId="17" borderId="4" xfId="1" applyFont="1" applyFill="1" applyBorder="1" applyAlignment="1">
      <alignment horizontal="center"/>
    </xf>
    <xf numFmtId="0" fontId="1" fillId="17" borderId="4" xfId="1" applyNumberFormat="1" applyFont="1" applyFill="1" applyBorder="1" applyAlignment="1">
      <alignment horizontal="center"/>
    </xf>
    <xf numFmtId="0" fontId="0" fillId="17" borderId="4" xfId="1" applyNumberFormat="1" applyFont="1" applyFill="1" applyBorder="1" applyAlignment="1">
      <alignment horizontal="center"/>
    </xf>
    <xf numFmtId="0" fontId="0" fillId="17" borderId="4" xfId="0" applyFill="1" applyBorder="1" applyAlignment="1">
      <alignment horizontal="center"/>
    </xf>
    <xf numFmtId="0" fontId="11" fillId="17" borderId="4" xfId="0" applyFont="1" applyFill="1" applyBorder="1" applyAlignment="1">
      <alignment horizontal="center"/>
    </xf>
    <xf numFmtId="0" fontId="0" fillId="17" borderId="0" xfId="0" applyFill="1" applyAlignment="1">
      <alignment horizontal="center"/>
    </xf>
    <xf numFmtId="0" fontId="0" fillId="17" borderId="0" xfId="0" applyFill="1"/>
    <xf numFmtId="0" fontId="1" fillId="17" borderId="0" xfId="0" applyFont="1" applyFill="1" applyAlignment="1">
      <alignment horizontal="center"/>
    </xf>
    <xf numFmtId="166" fontId="0" fillId="17" borderId="0" xfId="0" applyNumberFormat="1" applyFill="1"/>
    <xf numFmtId="0" fontId="0" fillId="5" borderId="4" xfId="0" applyFill="1" applyBorder="1" applyAlignment="1">
      <alignment horizontal="center"/>
    </xf>
    <xf numFmtId="0" fontId="0" fillId="11" borderId="4" xfId="0" applyNumberFormat="1" applyFill="1" applyBorder="1" applyAlignment="1">
      <alignment horizontal="center"/>
    </xf>
    <xf numFmtId="174" fontId="0" fillId="12" borderId="4" xfId="0" applyNumberFormat="1" applyFill="1" applyBorder="1" applyAlignment="1">
      <alignment horizontal="center"/>
    </xf>
    <xf numFmtId="0" fontId="1" fillId="7" borderId="4" xfId="1" applyNumberFormat="1" applyFont="1" applyFill="1" applyBorder="1" applyAlignment="1">
      <alignment horizontal="center"/>
    </xf>
    <xf numFmtId="1" fontId="11" fillId="0" borderId="4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169" fontId="1" fillId="0" borderId="14" xfId="0" applyNumberFormat="1" applyFont="1" applyFill="1" applyBorder="1" applyAlignment="1">
      <alignment horizontal="center"/>
    </xf>
    <xf numFmtId="170" fontId="0" fillId="0" borderId="19" xfId="0" applyNumberFormat="1" applyFill="1" applyBorder="1" applyProtection="1">
      <protection locked="0"/>
    </xf>
    <xf numFmtId="49" fontId="1" fillId="0" borderId="19" xfId="0" applyNumberFormat="1" applyFont="1" applyFill="1" applyBorder="1" applyAlignment="1" applyProtection="1">
      <alignment horizontal="center"/>
      <protection locked="0"/>
    </xf>
    <xf numFmtId="0" fontId="0" fillId="0" borderId="19" xfId="0" applyFill="1" applyBorder="1" applyAlignment="1" applyProtection="1">
      <alignment horizontal="center"/>
      <protection locked="0"/>
    </xf>
    <xf numFmtId="0" fontId="1" fillId="0" borderId="19" xfId="0" applyFont="1" applyFill="1" applyBorder="1" applyAlignment="1" applyProtection="1">
      <protection locked="0"/>
    </xf>
    <xf numFmtId="0" fontId="0" fillId="0" borderId="19" xfId="0" applyFill="1" applyBorder="1" applyAlignment="1" applyProtection="1">
      <protection locked="0"/>
    </xf>
    <xf numFmtId="44" fontId="1" fillId="0" borderId="19" xfId="1" applyFont="1" applyFill="1" applyBorder="1"/>
    <xf numFmtId="15" fontId="0" fillId="0" borderId="14" xfId="0" applyNumberFormat="1" applyBorder="1"/>
    <xf numFmtId="170" fontId="8" fillId="0" borderId="14" xfId="0" applyNumberFormat="1" applyFont="1" applyFill="1" applyBorder="1" applyProtection="1">
      <protection locked="0"/>
    </xf>
    <xf numFmtId="170" fontId="0" fillId="0" borderId="5" xfId="0" applyNumberFormat="1" applyFill="1" applyBorder="1" applyProtection="1">
      <protection locked="0"/>
    </xf>
    <xf numFmtId="0" fontId="8" fillId="0" borderId="17" xfId="0" applyFont="1" applyFill="1" applyBorder="1" applyAlignment="1" applyProtection="1">
      <alignment horizontal="center"/>
      <protection locked="0"/>
    </xf>
    <xf numFmtId="0" fontId="1" fillId="0" borderId="17" xfId="0" applyFont="1" applyFill="1" applyBorder="1" applyAlignment="1" applyProtection="1">
      <alignment horizontal="center"/>
      <protection locked="0"/>
    </xf>
    <xf numFmtId="0" fontId="0" fillId="0" borderId="14" xfId="0" applyBorder="1" applyAlignment="1">
      <alignment horizontal="center" vertical="center"/>
    </xf>
    <xf numFmtId="0" fontId="8" fillId="0" borderId="5" xfId="0" applyFont="1" applyFill="1" applyBorder="1" applyAlignment="1" applyProtection="1">
      <alignment horizontal="center"/>
      <protection locked="0"/>
    </xf>
    <xf numFmtId="0" fontId="8" fillId="0" borderId="18" xfId="0" applyFont="1" applyFill="1" applyBorder="1" applyAlignment="1" applyProtection="1">
      <alignment horizontal="center"/>
      <protection locked="0"/>
    </xf>
    <xf numFmtId="0" fontId="0" fillId="0" borderId="14" xfId="0" applyBorder="1"/>
    <xf numFmtId="0" fontId="8" fillId="0" borderId="17" xfId="0" applyFont="1" applyFill="1" applyBorder="1" applyAlignment="1" applyProtection="1">
      <protection locked="0"/>
    </xf>
    <xf numFmtId="169" fontId="1" fillId="8" borderId="17" xfId="0" applyNumberFormat="1" applyFont="1" applyFill="1" applyBorder="1" applyAlignment="1">
      <alignment horizontal="center"/>
    </xf>
    <xf numFmtId="169" fontId="0" fillId="0" borderId="5" xfId="0" applyNumberFormat="1" applyFill="1" applyBorder="1" applyAlignment="1">
      <alignment horizontal="center"/>
    </xf>
    <xf numFmtId="44" fontId="1" fillId="0" borderId="14" xfId="1" applyFont="1" applyBorder="1"/>
    <xf numFmtId="0" fontId="1" fillId="0" borderId="19" xfId="0" applyFont="1" applyFill="1" applyBorder="1" applyAlignment="1" applyProtection="1">
      <alignment horizontal="center"/>
      <protection locked="0"/>
    </xf>
    <xf numFmtId="169" fontId="0" fillId="0" borderId="19" xfId="0" applyNumberFormat="1" applyFill="1" applyBorder="1" applyAlignment="1">
      <alignment horizontal="center"/>
    </xf>
    <xf numFmtId="0" fontId="1" fillId="13" borderId="4" xfId="0" applyNumberFormat="1" applyFont="1" applyFill="1" applyBorder="1" applyAlignment="1">
      <alignment horizontal="center"/>
    </xf>
    <xf numFmtId="172" fontId="1" fillId="13" borderId="4" xfId="0" applyNumberFormat="1" applyFont="1" applyFill="1" applyBorder="1" applyAlignment="1">
      <alignment horizontal="center"/>
    </xf>
    <xf numFmtId="0" fontId="0" fillId="13" borderId="4" xfId="0" applyNumberFormat="1" applyFill="1" applyBorder="1" applyAlignment="1">
      <alignment horizontal="center"/>
    </xf>
    <xf numFmtId="166" fontId="0" fillId="13" borderId="0" xfId="0" applyNumberFormat="1" applyFill="1"/>
    <xf numFmtId="0" fontId="0" fillId="13" borderId="16" xfId="0" applyNumberFormat="1" applyFill="1" applyBorder="1" applyAlignment="1">
      <alignment horizontal="center"/>
    </xf>
    <xf numFmtId="44" fontId="0" fillId="13" borderId="14" xfId="1" applyFont="1" applyFill="1" applyBorder="1" applyAlignment="1">
      <alignment horizontal="center"/>
    </xf>
    <xf numFmtId="44" fontId="0" fillId="12" borderId="17" xfId="1" applyFont="1" applyFill="1" applyBorder="1" applyAlignment="1">
      <alignment horizontal="center"/>
    </xf>
    <xf numFmtId="49" fontId="1" fillId="12" borderId="4" xfId="0" applyNumberFormat="1" applyFont="1" applyFill="1" applyBorder="1" applyAlignment="1">
      <alignment horizontal="center"/>
    </xf>
    <xf numFmtId="44" fontId="0" fillId="0" borderId="20" xfId="1" applyFont="1" applyBorder="1" applyAlignment="1">
      <alignment horizontal="center"/>
    </xf>
    <xf numFmtId="0" fontId="0" fillId="0" borderId="20" xfId="1" applyNumberFormat="1" applyFont="1" applyBorder="1" applyAlignment="1">
      <alignment horizontal="center"/>
    </xf>
    <xf numFmtId="0" fontId="0" fillId="0" borderId="20" xfId="0" applyBorder="1" applyAlignment="1">
      <alignment horizontal="center"/>
    </xf>
    <xf numFmtId="166" fontId="0" fillId="7" borderId="0" xfId="0" applyNumberFormat="1" applyFill="1" applyAlignment="1">
      <alignment horizontal="left"/>
    </xf>
    <xf numFmtId="170" fontId="0" fillId="0" borderId="0" xfId="0" applyNumberFormat="1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0" fontId="1" fillId="0" borderId="0" xfId="1" applyNumberFormat="1" applyFont="1" applyFill="1" applyBorder="1" applyAlignment="1">
      <alignment horizontal="center"/>
    </xf>
    <xf numFmtId="0" fontId="0" fillId="0" borderId="0" xfId="1" applyNumberFormat="1" applyFont="1" applyFill="1" applyBorder="1" applyAlignment="1">
      <alignment horizontal="center"/>
    </xf>
    <xf numFmtId="39" fontId="1" fillId="0" borderId="0" xfId="1" applyNumberFormat="1" applyFont="1" applyFill="1" applyBorder="1" applyAlignment="1">
      <alignment horizontal="center"/>
    </xf>
    <xf numFmtId="44" fontId="0" fillId="0" borderId="0" xfId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44" fontId="0" fillId="5" borderId="4" xfId="1" applyFont="1" applyFill="1" applyBorder="1" applyAlignment="1">
      <alignment horizontal="center"/>
    </xf>
    <xf numFmtId="0" fontId="0" fillId="5" borderId="4" xfId="0" applyNumberFormat="1" applyFill="1" applyBorder="1" applyAlignment="1">
      <alignment horizontal="center"/>
    </xf>
    <xf numFmtId="0" fontId="0" fillId="5" borderId="4" xfId="1" applyNumberFormat="1" applyFont="1" applyFill="1" applyBorder="1" applyAlignment="1">
      <alignment horizontal="center"/>
    </xf>
    <xf numFmtId="0" fontId="11" fillId="5" borderId="4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1" fillId="5" borderId="4" xfId="1" applyNumberFormat="1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15" fontId="1" fillId="0" borderId="14" xfId="0" applyNumberFormat="1" applyFont="1" applyFill="1" applyBorder="1" applyAlignment="1" applyProtection="1">
      <alignment horizontal="center"/>
      <protection locked="0"/>
    </xf>
    <xf numFmtId="39" fontId="0" fillId="0" borderId="20" xfId="1" applyNumberFormat="1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44" fontId="1" fillId="6" borderId="20" xfId="1" applyFont="1" applyFill="1" applyBorder="1" applyAlignment="1">
      <alignment horizontal="center" vertical="center" wrapText="1" shrinkToFit="1"/>
    </xf>
    <xf numFmtId="44" fontId="0" fillId="0" borderId="20" xfId="1" applyFont="1" applyFill="1" applyBorder="1" applyAlignment="1">
      <alignment horizontal="center"/>
    </xf>
    <xf numFmtId="166" fontId="0" fillId="0" borderId="20" xfId="0" applyNumberFormat="1" applyBorder="1" applyAlignment="1">
      <alignment horizontal="center"/>
    </xf>
    <xf numFmtId="164" fontId="0" fillId="8" borderId="0" xfId="0" applyNumberFormat="1" applyFill="1" applyAlignment="1">
      <alignment horizontal="left"/>
    </xf>
    <xf numFmtId="0" fontId="1" fillId="0" borderId="0" xfId="0" applyFont="1" applyFill="1" applyAlignment="1">
      <alignment horizontal="center"/>
    </xf>
    <xf numFmtId="170" fontId="0" fillId="0" borderId="20" xfId="0" applyNumberFormat="1" applyBorder="1" applyAlignment="1">
      <alignment horizontal="center"/>
    </xf>
    <xf numFmtId="173" fontId="1" fillId="0" borderId="20" xfId="0" applyNumberFormat="1" applyFont="1" applyBorder="1" applyAlignment="1">
      <alignment horizontal="center"/>
    </xf>
    <xf numFmtId="1" fontId="0" fillId="0" borderId="20" xfId="1" applyNumberFormat="1" applyFont="1" applyBorder="1" applyAlignment="1">
      <alignment horizontal="center"/>
    </xf>
    <xf numFmtId="1" fontId="11" fillId="0" borderId="20" xfId="1" applyNumberFormat="1" applyFont="1" applyBorder="1" applyAlignment="1">
      <alignment horizontal="center"/>
    </xf>
    <xf numFmtId="44" fontId="0" fillId="0" borderId="20" xfId="0" applyNumberFormat="1" applyBorder="1" applyAlignment="1">
      <alignment horizontal="center"/>
    </xf>
    <xf numFmtId="15" fontId="0" fillId="18" borderId="4" xfId="0" applyNumberFormat="1" applyFill="1" applyBorder="1" applyAlignment="1">
      <alignment horizontal="center"/>
    </xf>
    <xf numFmtId="2" fontId="0" fillId="18" borderId="4" xfId="0" applyNumberFormat="1" applyFill="1" applyBorder="1" applyAlignment="1">
      <alignment horizontal="center"/>
    </xf>
    <xf numFmtId="0" fontId="0" fillId="18" borderId="4" xfId="0" applyFill="1" applyBorder="1" applyAlignment="1">
      <alignment horizontal="center"/>
    </xf>
    <xf numFmtId="44" fontId="0" fillId="18" borderId="4" xfId="1" applyFont="1" applyFill="1" applyBorder="1" applyAlignment="1">
      <alignment horizontal="center"/>
    </xf>
    <xf numFmtId="0" fontId="0" fillId="18" borderId="4" xfId="1" applyNumberFormat="1" applyFont="1" applyFill="1" applyBorder="1" applyAlignment="1">
      <alignment horizontal="center"/>
    </xf>
    <xf numFmtId="39" fontId="0" fillId="18" borderId="4" xfId="1" applyNumberFormat="1" applyFont="1" applyFill="1" applyBorder="1" applyAlignment="1">
      <alignment horizontal="center"/>
    </xf>
    <xf numFmtId="0" fontId="11" fillId="18" borderId="4" xfId="0" applyFont="1" applyFill="1" applyBorder="1" applyAlignment="1">
      <alignment horizontal="center"/>
    </xf>
    <xf numFmtId="0" fontId="1" fillId="18" borderId="4" xfId="1" applyNumberFormat="1" applyFont="1" applyFill="1" applyBorder="1" applyAlignment="1">
      <alignment horizontal="center"/>
    </xf>
    <xf numFmtId="170" fontId="1" fillId="8" borderId="14" xfId="0" applyNumberFormat="1" applyFont="1" applyFill="1" applyBorder="1" applyProtection="1">
      <protection locked="0"/>
    </xf>
    <xf numFmtId="49" fontId="1" fillId="8" borderId="14" xfId="0" applyNumberFormat="1" applyFont="1" applyFill="1" applyBorder="1" applyAlignment="1" applyProtection="1">
      <alignment horizontal="center"/>
      <protection locked="0"/>
    </xf>
    <xf numFmtId="0" fontId="1" fillId="8" borderId="14" xfId="0" applyFont="1" applyFill="1" applyBorder="1" applyAlignment="1" applyProtection="1">
      <alignment horizontal="center"/>
      <protection locked="0"/>
    </xf>
    <xf numFmtId="0" fontId="1" fillId="8" borderId="14" xfId="0" applyFont="1" applyFill="1" applyBorder="1" applyAlignment="1" applyProtection="1">
      <protection locked="0"/>
    </xf>
    <xf numFmtId="169" fontId="1" fillId="8" borderId="4" xfId="0" applyNumberFormat="1" applyFont="1" applyFill="1" applyBorder="1" applyAlignment="1">
      <alignment horizontal="center"/>
    </xf>
    <xf numFmtId="44" fontId="1" fillId="8" borderId="14" xfId="1" applyFont="1" applyFill="1" applyBorder="1"/>
    <xf numFmtId="0" fontId="1" fillId="8" borderId="12" xfId="0" applyFont="1" applyFill="1" applyBorder="1"/>
    <xf numFmtId="16" fontId="1" fillId="0" borderId="14" xfId="0" applyNumberFormat="1" applyFont="1" applyFill="1" applyBorder="1" applyAlignment="1" applyProtection="1">
      <alignment horizontal="center"/>
      <protection locked="0"/>
    </xf>
    <xf numFmtId="169" fontId="1" fillId="0" borderId="4" xfId="0" applyNumberFormat="1" applyFont="1" applyFill="1" applyBorder="1" applyAlignment="1">
      <alignment horizontal="center"/>
    </xf>
    <xf numFmtId="15" fontId="1" fillId="0" borderId="0" xfId="0" applyNumberFormat="1" applyFont="1" applyFill="1"/>
    <xf numFmtId="0" fontId="1" fillId="18" borderId="4" xfId="0" applyFont="1" applyFill="1" applyBorder="1" applyAlignment="1">
      <alignment horizontal="center"/>
    </xf>
    <xf numFmtId="0" fontId="0" fillId="12" borderId="20" xfId="1" applyNumberFormat="1" applyFont="1" applyFill="1" applyBorder="1" applyAlignment="1">
      <alignment horizontal="center"/>
    </xf>
    <xf numFmtId="49" fontId="0" fillId="12" borderId="4" xfId="0" applyNumberFormat="1" applyFill="1" applyBorder="1" applyAlignment="1">
      <alignment horizontal="center"/>
    </xf>
    <xf numFmtId="0" fontId="0" fillId="19" borderId="0" xfId="0" applyFill="1"/>
    <xf numFmtId="170" fontId="10" fillId="0" borderId="0" xfId="0" applyNumberFormat="1" applyFont="1" applyFill="1" applyBorder="1" applyAlignment="1">
      <alignment horizontal="left"/>
    </xf>
    <xf numFmtId="44" fontId="3" fillId="8" borderId="4" xfId="0" applyNumberFormat="1" applyFont="1" applyFill="1" applyBorder="1"/>
    <xf numFmtId="0" fontId="0" fillId="16" borderId="4" xfId="0" applyFill="1" applyBorder="1" applyAlignment="1">
      <alignment horizontal="center"/>
    </xf>
    <xf numFmtId="44" fontId="0" fillId="16" borderId="4" xfId="1" applyFont="1" applyFill="1" applyBorder="1" applyAlignment="1">
      <alignment horizontal="center"/>
    </xf>
    <xf numFmtId="0" fontId="0" fillId="16" borderId="4" xfId="1" applyNumberFormat="1" applyFont="1" applyFill="1" applyBorder="1" applyAlignment="1">
      <alignment horizontal="center"/>
    </xf>
    <xf numFmtId="39" fontId="0" fillId="16" borderId="4" xfId="1" applyNumberFormat="1" applyFont="1" applyFill="1" applyBorder="1" applyAlignment="1">
      <alignment horizontal="center"/>
    </xf>
    <xf numFmtId="0" fontId="11" fillId="16" borderId="4" xfId="0" applyFont="1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3" xfId="1" applyNumberFormat="1" applyFont="1" applyBorder="1" applyAlignment="1">
      <alignment horizontal="center"/>
    </xf>
    <xf numFmtId="0" fontId="0" fillId="0" borderId="0" xfId="1" applyNumberFormat="1" applyFont="1" applyFill="1" applyAlignment="1">
      <alignment horizontal="center"/>
    </xf>
    <xf numFmtId="44" fontId="0" fillId="0" borderId="0" xfId="1" applyFont="1" applyFill="1" applyAlignment="1">
      <alignment horizontal="center"/>
    </xf>
    <xf numFmtId="170" fontId="0" fillId="0" borderId="0" xfId="0" applyNumberFormat="1" applyFill="1" applyAlignment="1">
      <alignment horizontal="center"/>
    </xf>
    <xf numFmtId="170" fontId="1" fillId="0" borderId="4" xfId="0" applyNumberFormat="1" applyFont="1" applyFill="1" applyBorder="1" applyAlignment="1">
      <alignment horizontal="center" vertical="center" wrapText="1" shrinkToFit="1"/>
    </xf>
    <xf numFmtId="0" fontId="1" fillId="0" borderId="4" xfId="1" applyNumberFormat="1" applyFont="1" applyFill="1" applyBorder="1" applyAlignment="1">
      <alignment horizontal="center" vertical="center" wrapText="1" shrinkToFit="1"/>
    </xf>
    <xf numFmtId="44" fontId="1" fillId="0" borderId="4" xfId="1" applyFont="1" applyFill="1" applyBorder="1" applyAlignment="1">
      <alignment horizontal="center" vertical="center" wrapText="1" shrinkToFit="1"/>
    </xf>
    <xf numFmtId="44" fontId="9" fillId="0" borderId="4" xfId="2" applyNumberFormat="1" applyFill="1" applyBorder="1" applyAlignment="1" applyProtection="1">
      <alignment horizontal="center" vertical="center" wrapText="1" shrinkToFit="1"/>
    </xf>
    <xf numFmtId="44" fontId="1" fillId="0" borderId="20" xfId="1" applyFont="1" applyFill="1" applyBorder="1" applyAlignment="1">
      <alignment horizontal="center" vertical="center" wrapText="1" shrinkToFit="1"/>
    </xf>
    <xf numFmtId="44" fontId="1" fillId="0" borderId="13" xfId="1" applyFont="1" applyFill="1" applyBorder="1" applyAlignment="1">
      <alignment horizontal="center" vertical="center" wrapText="1" shrinkToFit="1"/>
    </xf>
    <xf numFmtId="44" fontId="0" fillId="0" borderId="4" xfId="1" applyNumberFormat="1" applyFont="1" applyFill="1" applyBorder="1" applyAlignment="1">
      <alignment horizontal="center"/>
    </xf>
    <xf numFmtId="0" fontId="0" fillId="0" borderId="20" xfId="1" applyNumberFormat="1" applyFont="1" applyFill="1" applyBorder="1" applyAlignment="1">
      <alignment horizontal="center"/>
    </xf>
    <xf numFmtId="170" fontId="0" fillId="0" borderId="21" xfId="0" applyNumberFormat="1" applyFill="1" applyBorder="1" applyAlignment="1">
      <alignment horizontal="center"/>
    </xf>
    <xf numFmtId="170" fontId="1" fillId="0" borderId="21" xfId="0" applyNumberFormat="1" applyFont="1" applyFill="1" applyBorder="1" applyAlignment="1">
      <alignment horizontal="center"/>
    </xf>
    <xf numFmtId="0" fontId="1" fillId="0" borderId="21" xfId="0" applyNumberFormat="1" applyFont="1" applyFill="1" applyBorder="1" applyAlignment="1">
      <alignment horizontal="center"/>
    </xf>
    <xf numFmtId="44" fontId="1" fillId="0" borderId="21" xfId="0" applyNumberFormat="1" applyFont="1" applyFill="1" applyBorder="1" applyAlignment="1">
      <alignment horizontal="center"/>
    </xf>
    <xf numFmtId="0" fontId="1" fillId="0" borderId="21" xfId="1" applyNumberFormat="1" applyFont="1" applyFill="1" applyBorder="1" applyAlignment="1">
      <alignment horizontal="center"/>
    </xf>
    <xf numFmtId="44" fontId="0" fillId="0" borderId="21" xfId="1" applyFont="1" applyFill="1" applyBorder="1" applyAlignment="1">
      <alignment horizontal="center"/>
    </xf>
    <xf numFmtId="0" fontId="0" fillId="0" borderId="21" xfId="1" applyNumberFormat="1" applyFont="1" applyFill="1" applyBorder="1" applyAlignment="1">
      <alignment horizontal="center"/>
    </xf>
    <xf numFmtId="44" fontId="1" fillId="0" borderId="21" xfId="1" applyFont="1" applyFill="1" applyBorder="1" applyAlignment="1">
      <alignment horizontal="center"/>
    </xf>
    <xf numFmtId="44" fontId="0" fillId="0" borderId="21" xfId="1" applyNumberFormat="1" applyFont="1" applyFill="1" applyBorder="1" applyAlignment="1">
      <alignment horizontal="center"/>
    </xf>
    <xf numFmtId="2" fontId="0" fillId="0" borderId="21" xfId="1" applyNumberFormat="1" applyFont="1" applyFill="1" applyBorder="1" applyAlignment="1">
      <alignment horizontal="center"/>
    </xf>
    <xf numFmtId="15" fontId="0" fillId="0" borderId="21" xfId="0" applyNumberFormat="1" applyFill="1" applyBorder="1" applyAlignment="1">
      <alignment horizontal="center"/>
    </xf>
    <xf numFmtId="0" fontId="1" fillId="0" borderId="21" xfId="0" applyFont="1" applyFill="1" applyBorder="1" applyAlignment="1">
      <alignment horizontal="center"/>
    </xf>
    <xf numFmtId="44" fontId="0" fillId="0" borderId="23" xfId="1" applyFont="1" applyFill="1" applyBorder="1" applyAlignment="1">
      <alignment horizontal="center"/>
    </xf>
    <xf numFmtId="0" fontId="0" fillId="0" borderId="23" xfId="1" applyNumberFormat="1" applyFont="1" applyFill="1" applyBorder="1" applyAlignment="1">
      <alignment horizontal="center"/>
    </xf>
    <xf numFmtId="169" fontId="1" fillId="0" borderId="17" xfId="0" applyNumberFormat="1" applyFont="1" applyFill="1" applyBorder="1" applyAlignment="1">
      <alignment horizontal="center"/>
    </xf>
    <xf numFmtId="44" fontId="0" fillId="7" borderId="17" xfId="1" applyFont="1" applyFill="1" applyBorder="1" applyAlignment="1">
      <alignment horizontal="center"/>
    </xf>
    <xf numFmtId="0" fontId="0" fillId="7" borderId="17" xfId="1" applyNumberFormat="1" applyFont="1" applyFill="1" applyBorder="1" applyAlignment="1">
      <alignment horizontal="center"/>
    </xf>
    <xf numFmtId="15" fontId="0" fillId="11" borderId="23" xfId="0" applyNumberFormat="1" applyFill="1" applyBorder="1" applyAlignment="1">
      <alignment horizontal="center"/>
    </xf>
    <xf numFmtId="0" fontId="1" fillId="11" borderId="23" xfId="0" applyFont="1" applyFill="1" applyBorder="1" applyAlignment="1">
      <alignment horizontal="center"/>
    </xf>
    <xf numFmtId="0" fontId="1" fillId="11" borderId="21" xfId="0" applyNumberFormat="1" applyFont="1" applyFill="1" applyBorder="1" applyAlignment="1">
      <alignment horizontal="center"/>
    </xf>
    <xf numFmtId="44" fontId="1" fillId="11" borderId="21" xfId="0" applyNumberFormat="1" applyFont="1" applyFill="1" applyBorder="1" applyAlignment="1">
      <alignment horizontal="center"/>
    </xf>
    <xf numFmtId="44" fontId="0" fillId="11" borderId="21" xfId="1" applyFont="1" applyFill="1" applyBorder="1" applyAlignment="1">
      <alignment horizontal="center"/>
    </xf>
    <xf numFmtId="44" fontId="1" fillId="11" borderId="21" xfId="1" applyFont="1" applyFill="1" applyBorder="1" applyAlignment="1">
      <alignment horizontal="center"/>
    </xf>
    <xf numFmtId="44" fontId="0" fillId="11" borderId="21" xfId="1" applyNumberFormat="1" applyFont="1" applyFill="1" applyBorder="1" applyAlignment="1">
      <alignment horizontal="center"/>
    </xf>
    <xf numFmtId="2" fontId="0" fillId="11" borderId="21" xfId="1" applyNumberFormat="1" applyFont="1" applyFill="1" applyBorder="1" applyAlignment="1">
      <alignment horizontal="center"/>
    </xf>
    <xf numFmtId="15" fontId="0" fillId="18" borderId="23" xfId="0" applyNumberFormat="1" applyFill="1" applyBorder="1" applyAlignment="1">
      <alignment horizontal="center"/>
    </xf>
    <xf numFmtId="0" fontId="1" fillId="18" borderId="23" xfId="0" applyFont="1" applyFill="1" applyBorder="1" applyAlignment="1">
      <alignment horizontal="center"/>
    </xf>
    <xf numFmtId="0" fontId="1" fillId="18" borderId="21" xfId="0" applyNumberFormat="1" applyFont="1" applyFill="1" applyBorder="1" applyAlignment="1">
      <alignment horizontal="center"/>
    </xf>
    <xf numFmtId="44" fontId="1" fillId="18" borderId="21" xfId="0" applyNumberFormat="1" applyFont="1" applyFill="1" applyBorder="1" applyAlignment="1">
      <alignment horizontal="center"/>
    </xf>
    <xf numFmtId="44" fontId="0" fillId="18" borderId="23" xfId="1" applyFont="1" applyFill="1" applyBorder="1" applyAlignment="1">
      <alignment horizontal="center"/>
    </xf>
    <xf numFmtId="0" fontId="0" fillId="18" borderId="21" xfId="1" applyNumberFormat="1" applyFont="1" applyFill="1" applyBorder="1" applyAlignment="1">
      <alignment horizontal="center"/>
    </xf>
    <xf numFmtId="44" fontId="0" fillId="18" borderId="21" xfId="1" applyFont="1" applyFill="1" applyBorder="1" applyAlignment="1">
      <alignment horizontal="center"/>
    </xf>
    <xf numFmtId="0" fontId="0" fillId="18" borderId="23" xfId="1" applyNumberFormat="1" applyFont="1" applyFill="1" applyBorder="1" applyAlignment="1">
      <alignment horizontal="center"/>
    </xf>
    <xf numFmtId="44" fontId="1" fillId="18" borderId="21" xfId="1" applyFont="1" applyFill="1" applyBorder="1" applyAlignment="1">
      <alignment horizontal="center"/>
    </xf>
    <xf numFmtId="44" fontId="0" fillId="18" borderId="21" xfId="1" applyNumberFormat="1" applyFont="1" applyFill="1" applyBorder="1" applyAlignment="1">
      <alignment horizontal="center"/>
    </xf>
    <xf numFmtId="2" fontId="0" fillId="18" borderId="21" xfId="1" applyNumberFormat="1" applyFont="1" applyFill="1" applyBorder="1" applyAlignment="1">
      <alignment horizontal="center"/>
    </xf>
    <xf numFmtId="0" fontId="0" fillId="18" borderId="0" xfId="0" applyFill="1" applyAlignment="1">
      <alignment horizontal="center"/>
    </xf>
    <xf numFmtId="0" fontId="0" fillId="18" borderId="0" xfId="0" applyFill="1"/>
    <xf numFmtId="15" fontId="0" fillId="19" borderId="23" xfId="0" applyNumberFormat="1" applyFill="1" applyBorder="1" applyAlignment="1">
      <alignment horizontal="center"/>
    </xf>
    <xf numFmtId="0" fontId="1" fillId="19" borderId="23" xfId="0" applyFont="1" applyFill="1" applyBorder="1" applyAlignment="1">
      <alignment horizontal="center"/>
    </xf>
    <xf numFmtId="0" fontId="1" fillId="19" borderId="21" xfId="0" applyNumberFormat="1" applyFont="1" applyFill="1" applyBorder="1" applyAlignment="1">
      <alignment horizontal="center"/>
    </xf>
    <xf numFmtId="44" fontId="1" fillId="19" borderId="21" xfId="0" applyNumberFormat="1" applyFont="1" applyFill="1" applyBorder="1" applyAlignment="1">
      <alignment horizontal="center"/>
    </xf>
    <xf numFmtId="44" fontId="0" fillId="19" borderId="21" xfId="1" applyFont="1" applyFill="1" applyBorder="1" applyAlignment="1">
      <alignment horizontal="center"/>
    </xf>
    <xf numFmtId="44" fontId="1" fillId="19" borderId="21" xfId="1" applyFont="1" applyFill="1" applyBorder="1" applyAlignment="1">
      <alignment horizontal="center"/>
    </xf>
    <xf numFmtId="44" fontId="0" fillId="19" borderId="21" xfId="1" applyNumberFormat="1" applyFont="1" applyFill="1" applyBorder="1" applyAlignment="1">
      <alignment horizontal="center"/>
    </xf>
    <xf numFmtId="2" fontId="0" fillId="19" borderId="21" xfId="1" applyNumberFormat="1" applyFont="1" applyFill="1" applyBorder="1" applyAlignment="1">
      <alignment horizontal="center"/>
    </xf>
    <xf numFmtId="0" fontId="0" fillId="19" borderId="0" xfId="0" applyFill="1" applyAlignment="1">
      <alignment horizontal="center"/>
    </xf>
    <xf numFmtId="49" fontId="0" fillId="18" borderId="4" xfId="0" applyNumberFormat="1" applyFill="1" applyBorder="1" applyAlignment="1">
      <alignment horizontal="center"/>
    </xf>
    <xf numFmtId="39" fontId="1" fillId="18" borderId="4" xfId="1" applyNumberFormat="1" applyFont="1" applyFill="1" applyBorder="1" applyAlignment="1">
      <alignment horizontal="center"/>
    </xf>
    <xf numFmtId="2" fontId="0" fillId="18" borderId="23" xfId="1" applyNumberFormat="1" applyFont="1" applyFill="1" applyBorder="1" applyAlignment="1">
      <alignment horizontal="center"/>
    </xf>
    <xf numFmtId="0" fontId="1" fillId="18" borderId="23" xfId="1" applyNumberFormat="1" applyFont="1" applyFill="1" applyBorder="1" applyAlignment="1">
      <alignment horizontal="center"/>
    </xf>
    <xf numFmtId="39" fontId="1" fillId="18" borderId="23" xfId="1" applyNumberFormat="1" applyFont="1" applyFill="1" applyBorder="1" applyAlignment="1">
      <alignment horizontal="center"/>
    </xf>
    <xf numFmtId="0" fontId="11" fillId="18" borderId="23" xfId="0" applyFont="1" applyFill="1" applyBorder="1" applyAlignment="1">
      <alignment horizontal="center"/>
    </xf>
    <xf numFmtId="0" fontId="1" fillId="18" borderId="0" xfId="0" applyFont="1" applyFill="1" applyAlignment="1">
      <alignment horizontal="center"/>
    </xf>
    <xf numFmtId="170" fontId="0" fillId="12" borderId="23" xfId="0" applyNumberFormat="1" applyFill="1" applyBorder="1" applyAlignment="1">
      <alignment horizontal="center"/>
    </xf>
    <xf numFmtId="0" fontId="0" fillId="12" borderId="23" xfId="1" applyNumberFormat="1" applyFont="1" applyFill="1" applyBorder="1" applyAlignment="1">
      <alignment horizontal="center"/>
    </xf>
    <xf numFmtId="44" fontId="0" fillId="12" borderId="23" xfId="1" applyFont="1" applyFill="1" applyBorder="1" applyAlignment="1">
      <alignment horizontal="center"/>
    </xf>
    <xf numFmtId="0" fontId="11" fillId="12" borderId="23" xfId="0" applyFont="1" applyFill="1" applyBorder="1" applyAlignment="1">
      <alignment horizontal="center"/>
    </xf>
    <xf numFmtId="17" fontId="1" fillId="0" borderId="14" xfId="0" applyNumberFormat="1" applyFont="1" applyFill="1" applyBorder="1" applyAlignment="1" applyProtection="1">
      <alignment horizontal="center"/>
      <protection locked="0"/>
    </xf>
    <xf numFmtId="0" fontId="1" fillId="0" borderId="18" xfId="0" applyFont="1" applyFill="1" applyBorder="1" applyAlignment="1" applyProtection="1">
      <alignment horizontal="center"/>
      <protection locked="0"/>
    </xf>
    <xf numFmtId="0" fontId="1" fillId="0" borderId="5" xfId="0" applyFont="1" applyFill="1" applyBorder="1" applyAlignment="1" applyProtection="1">
      <alignment horizontal="center"/>
      <protection locked="0"/>
    </xf>
    <xf numFmtId="0" fontId="1" fillId="0" borderId="2" xfId="0" applyFont="1" applyFill="1" applyBorder="1" applyAlignment="1" applyProtection="1">
      <protection locked="0"/>
    </xf>
    <xf numFmtId="0" fontId="1" fillId="0" borderId="6" xfId="0" applyFont="1" applyFill="1" applyBorder="1" applyAlignment="1" applyProtection="1">
      <protection locked="0"/>
    </xf>
    <xf numFmtId="0" fontId="1" fillId="0" borderId="3" xfId="0" applyFont="1" applyFill="1" applyBorder="1" applyAlignment="1" applyProtection="1">
      <protection locked="0"/>
    </xf>
    <xf numFmtId="16" fontId="1" fillId="0" borderId="19" xfId="0" applyNumberFormat="1" applyFont="1" applyFill="1" applyBorder="1" applyAlignment="1" applyProtection="1">
      <alignment horizontal="center"/>
      <protection locked="0"/>
    </xf>
    <xf numFmtId="174" fontId="0" fillId="20" borderId="4" xfId="0" applyNumberFormat="1" applyFill="1" applyBorder="1" applyAlignment="1">
      <alignment horizontal="center"/>
    </xf>
    <xf numFmtId="2" fontId="0" fillId="20" borderId="0" xfId="0" applyNumberFormat="1" applyFill="1" applyAlignment="1">
      <alignment horizontal="center"/>
    </xf>
    <xf numFmtId="0" fontId="0" fillId="20" borderId="21" xfId="0" applyFill="1" applyBorder="1" applyAlignment="1">
      <alignment horizontal="center"/>
    </xf>
    <xf numFmtId="44" fontId="0" fillId="20" borderId="21" xfId="1" applyFont="1" applyFill="1" applyBorder="1" applyAlignment="1">
      <alignment horizontal="center"/>
    </xf>
    <xf numFmtId="0" fontId="0" fillId="20" borderId="21" xfId="1" applyNumberFormat="1" applyFont="1" applyFill="1" applyBorder="1" applyAlignment="1">
      <alignment horizontal="center"/>
    </xf>
    <xf numFmtId="39" fontId="0" fillId="20" borderId="21" xfId="1" applyNumberFormat="1" applyFont="1" applyFill="1" applyBorder="1" applyAlignment="1">
      <alignment horizontal="center"/>
    </xf>
    <xf numFmtId="0" fontId="11" fillId="20" borderId="21" xfId="0" applyFont="1" applyFill="1" applyBorder="1" applyAlignment="1">
      <alignment horizontal="center"/>
    </xf>
    <xf numFmtId="0" fontId="0" fillId="20" borderId="0" xfId="0" applyFill="1" applyAlignment="1">
      <alignment horizontal="center"/>
    </xf>
    <xf numFmtId="0" fontId="1" fillId="20" borderId="0" xfId="0" applyFont="1" applyFill="1"/>
    <xf numFmtId="174" fontId="0" fillId="5" borderId="4" xfId="0" applyNumberFormat="1" applyFill="1" applyBorder="1" applyAlignment="1">
      <alignment horizontal="center"/>
    </xf>
    <xf numFmtId="2" fontId="0" fillId="5" borderId="4" xfId="0" applyNumberFormat="1" applyFill="1" applyBorder="1" applyAlignment="1">
      <alignment horizontal="center"/>
    </xf>
    <xf numFmtId="39" fontId="0" fillId="5" borderId="4" xfId="1" applyNumberFormat="1" applyFont="1" applyFill="1" applyBorder="1" applyAlignment="1">
      <alignment horizontal="center"/>
    </xf>
    <xf numFmtId="2" fontId="0" fillId="5" borderId="0" xfId="0" applyNumberFormat="1" applyFill="1" applyAlignment="1">
      <alignment horizontal="center"/>
    </xf>
    <xf numFmtId="0" fontId="11" fillId="5" borderId="17" xfId="0" applyFont="1" applyFill="1" applyBorder="1" applyAlignment="1">
      <alignment horizontal="center"/>
    </xf>
    <xf numFmtId="0" fontId="0" fillId="5" borderId="20" xfId="0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44" fontId="0" fillId="5" borderId="21" xfId="1" applyFont="1" applyFill="1" applyBorder="1" applyAlignment="1">
      <alignment horizontal="center"/>
    </xf>
    <xf numFmtId="0" fontId="0" fillId="5" borderId="21" xfId="1" applyNumberFormat="1" applyFont="1" applyFill="1" applyBorder="1" applyAlignment="1">
      <alignment horizontal="center"/>
    </xf>
    <xf numFmtId="39" fontId="0" fillId="5" borderId="21" xfId="1" applyNumberFormat="1" applyFont="1" applyFill="1" applyBorder="1" applyAlignment="1">
      <alignment horizontal="center"/>
    </xf>
    <xf numFmtId="0" fontId="11" fillId="5" borderId="21" xfId="0" applyFont="1" applyFill="1" applyBorder="1" applyAlignment="1">
      <alignment horizontal="center"/>
    </xf>
    <xf numFmtId="2" fontId="19" fillId="12" borderId="4" xfId="0" applyNumberFormat="1" applyFont="1" applyFill="1" applyBorder="1" applyAlignment="1">
      <alignment horizontal="center"/>
    </xf>
    <xf numFmtId="170" fontId="0" fillId="18" borderId="4" xfId="0" applyNumberFormat="1" applyFill="1" applyBorder="1" applyAlignment="1">
      <alignment horizontal="center"/>
    </xf>
    <xf numFmtId="0" fontId="0" fillId="12" borderId="4" xfId="0" applyNumberFormat="1" applyFill="1" applyBorder="1" applyAlignment="1">
      <alignment horizontal="center"/>
    </xf>
    <xf numFmtId="49" fontId="0" fillId="13" borderId="4" xfId="0" applyNumberFormat="1" applyFill="1" applyBorder="1" applyAlignment="1">
      <alignment horizontal="center"/>
    </xf>
    <xf numFmtId="173" fontId="0" fillId="13" borderId="4" xfId="0" applyNumberFormat="1" applyFill="1" applyBorder="1" applyAlignment="1">
      <alignment horizontal="center"/>
    </xf>
    <xf numFmtId="1" fontId="0" fillId="13" borderId="4" xfId="1" applyNumberFormat="1" applyFont="1" applyFill="1" applyBorder="1" applyAlignment="1">
      <alignment horizontal="center"/>
    </xf>
    <xf numFmtId="1" fontId="0" fillId="13" borderId="14" xfId="1" applyNumberFormat="1" applyFont="1" applyFill="1" applyBorder="1" applyAlignment="1">
      <alignment horizontal="center"/>
    </xf>
    <xf numFmtId="0" fontId="0" fillId="13" borderId="14" xfId="1" applyNumberFormat="1" applyFont="1" applyFill="1" applyBorder="1" applyAlignment="1">
      <alignment horizontal="center"/>
    </xf>
    <xf numFmtId="173" fontId="1" fillId="13" borderId="4" xfId="0" applyNumberFormat="1" applyFont="1" applyFill="1" applyBorder="1" applyAlignment="1">
      <alignment horizontal="center"/>
    </xf>
    <xf numFmtId="0" fontId="1" fillId="13" borderId="14" xfId="1" applyNumberFormat="1" applyFont="1" applyFill="1" applyBorder="1" applyAlignment="1">
      <alignment horizontal="center"/>
    </xf>
    <xf numFmtId="1" fontId="1" fillId="13" borderId="4" xfId="1" applyNumberFormat="1" applyFont="1" applyFill="1" applyBorder="1" applyAlignment="1">
      <alignment horizontal="center"/>
    </xf>
    <xf numFmtId="1" fontId="1" fillId="13" borderId="14" xfId="1" applyNumberFormat="1" applyFont="1" applyFill="1" applyBorder="1" applyAlignment="1">
      <alignment horizontal="center"/>
    </xf>
    <xf numFmtId="0" fontId="11" fillId="13" borderId="4" xfId="0" applyFont="1" applyFill="1" applyBorder="1" applyAlignment="1">
      <alignment horizontal="left"/>
    </xf>
    <xf numFmtId="170" fontId="0" fillId="13" borderId="23" xfId="0" applyNumberFormat="1" applyFill="1" applyBorder="1" applyAlignment="1">
      <alignment horizontal="center"/>
    </xf>
    <xf numFmtId="0" fontId="1" fillId="13" borderId="23" xfId="0" applyNumberFormat="1" applyFont="1" applyFill="1" applyBorder="1" applyAlignment="1">
      <alignment horizontal="center"/>
    </xf>
    <xf numFmtId="0" fontId="0" fillId="13" borderId="23" xfId="1" applyNumberFormat="1" applyFont="1" applyFill="1" applyBorder="1" applyAlignment="1">
      <alignment horizontal="center"/>
    </xf>
    <xf numFmtId="0" fontId="1" fillId="13" borderId="23" xfId="1" applyNumberFormat="1" applyFont="1" applyFill="1" applyBorder="1" applyAlignment="1">
      <alignment horizontal="center"/>
    </xf>
    <xf numFmtId="0" fontId="11" fillId="13" borderId="23" xfId="0" applyFont="1" applyFill="1" applyBorder="1" applyAlignment="1">
      <alignment horizontal="center"/>
    </xf>
    <xf numFmtId="44" fontId="0" fillId="13" borderId="23" xfId="0" applyNumberFormat="1" applyFill="1" applyBorder="1" applyAlignment="1">
      <alignment horizontal="center"/>
    </xf>
    <xf numFmtId="39" fontId="0" fillId="13" borderId="20" xfId="1" applyNumberFormat="1" applyFont="1" applyFill="1" applyBorder="1" applyAlignment="1">
      <alignment horizontal="center"/>
    </xf>
    <xf numFmtId="0" fontId="0" fillId="13" borderId="20" xfId="1" applyNumberFormat="1" applyFont="1" applyFill="1" applyBorder="1" applyAlignment="1">
      <alignment horizontal="center"/>
    </xf>
    <xf numFmtId="2" fontId="0" fillId="18" borderId="0" xfId="0" applyNumberFormat="1" applyFill="1" applyAlignment="1">
      <alignment horizontal="center"/>
    </xf>
    <xf numFmtId="44" fontId="1" fillId="0" borderId="23" xfId="1" applyFont="1" applyFill="1" applyBorder="1" applyAlignment="1">
      <alignment horizontal="center" vertical="center" wrapText="1" shrinkToFit="1"/>
    </xf>
    <xf numFmtId="44" fontId="0" fillId="11" borderId="23" xfId="1" applyFont="1" applyFill="1" applyBorder="1" applyAlignment="1">
      <alignment horizontal="center"/>
    </xf>
    <xf numFmtId="44" fontId="0" fillId="19" borderId="23" xfId="1" applyFont="1" applyFill="1" applyBorder="1" applyAlignment="1">
      <alignment horizontal="center"/>
    </xf>
    <xf numFmtId="0" fontId="1" fillId="0" borderId="23" xfId="1" applyNumberFormat="1" applyFont="1" applyFill="1" applyBorder="1" applyAlignment="1">
      <alignment horizontal="center" vertical="center" wrapText="1" shrinkToFit="1"/>
    </xf>
    <xf numFmtId="0" fontId="0" fillId="11" borderId="23" xfId="1" applyNumberFormat="1" applyFont="1" applyFill="1" applyBorder="1" applyAlignment="1">
      <alignment horizontal="center"/>
    </xf>
    <xf numFmtId="0" fontId="0" fillId="19" borderId="23" xfId="1" applyNumberFormat="1" applyFont="1" applyFill="1" applyBorder="1" applyAlignment="1">
      <alignment horizontal="center"/>
    </xf>
    <xf numFmtId="0" fontId="0" fillId="0" borderId="0" xfId="0" applyNumberFormat="1"/>
    <xf numFmtId="39" fontId="0" fillId="5" borderId="0" xfId="1" applyNumberFormat="1" applyFont="1" applyFill="1" applyAlignment="1">
      <alignment horizontal="center"/>
    </xf>
    <xf numFmtId="170" fontId="0" fillId="19" borderId="4" xfId="0" applyNumberFormat="1" applyFill="1" applyBorder="1" applyAlignment="1">
      <alignment horizontal="center"/>
    </xf>
    <xf numFmtId="170" fontId="1" fillId="19" borderId="4" xfId="0" applyNumberFormat="1" applyFont="1" applyFill="1" applyBorder="1" applyAlignment="1">
      <alignment horizontal="center"/>
    </xf>
    <xf numFmtId="0" fontId="1" fillId="19" borderId="4" xfId="0" applyNumberFormat="1" applyFont="1" applyFill="1" applyBorder="1" applyAlignment="1">
      <alignment horizontal="center"/>
    </xf>
    <xf numFmtId="44" fontId="1" fillId="19" borderId="4" xfId="0" applyNumberFormat="1" applyFont="1" applyFill="1" applyBorder="1" applyAlignment="1">
      <alignment horizontal="center"/>
    </xf>
    <xf numFmtId="0" fontId="1" fillId="19" borderId="4" xfId="1" applyNumberFormat="1" applyFont="1" applyFill="1" applyBorder="1" applyAlignment="1">
      <alignment horizontal="center"/>
    </xf>
    <xf numFmtId="44" fontId="0" fillId="19" borderId="4" xfId="1" applyFont="1" applyFill="1" applyBorder="1" applyAlignment="1">
      <alignment horizontal="center"/>
    </xf>
    <xf numFmtId="0" fontId="0" fillId="19" borderId="4" xfId="1" applyNumberFormat="1" applyFont="1" applyFill="1" applyBorder="1" applyAlignment="1">
      <alignment horizontal="center"/>
    </xf>
    <xf numFmtId="44" fontId="1" fillId="19" borderId="4" xfId="1" applyFont="1" applyFill="1" applyBorder="1" applyAlignment="1">
      <alignment horizontal="center"/>
    </xf>
    <xf numFmtId="44" fontId="0" fillId="19" borderId="4" xfId="1" applyNumberFormat="1" applyFont="1" applyFill="1" applyBorder="1" applyAlignment="1">
      <alignment horizontal="center"/>
    </xf>
    <xf numFmtId="0" fontId="0" fillId="19" borderId="20" xfId="1" applyNumberFormat="1" applyFont="1" applyFill="1" applyBorder="1" applyAlignment="1">
      <alignment horizontal="center"/>
    </xf>
    <xf numFmtId="170" fontId="0" fillId="19" borderId="22" xfId="0" applyNumberFormat="1" applyFill="1" applyBorder="1" applyAlignment="1">
      <alignment horizontal="center"/>
    </xf>
    <xf numFmtId="170" fontId="1" fillId="19" borderId="22" xfId="0" applyNumberFormat="1" applyFont="1" applyFill="1" applyBorder="1" applyAlignment="1">
      <alignment horizontal="center"/>
    </xf>
    <xf numFmtId="0" fontId="1" fillId="19" borderId="22" xfId="0" applyNumberFormat="1" applyFont="1" applyFill="1" applyBorder="1" applyAlignment="1">
      <alignment horizontal="center"/>
    </xf>
    <xf numFmtId="44" fontId="1" fillId="19" borderId="22" xfId="0" applyNumberFormat="1" applyFont="1" applyFill="1" applyBorder="1" applyAlignment="1">
      <alignment horizontal="center"/>
    </xf>
    <xf numFmtId="0" fontId="1" fillId="19" borderId="22" xfId="1" applyNumberFormat="1" applyFont="1" applyFill="1" applyBorder="1" applyAlignment="1">
      <alignment horizontal="center"/>
    </xf>
    <xf numFmtId="44" fontId="0" fillId="19" borderId="22" xfId="1" applyFont="1" applyFill="1" applyBorder="1" applyAlignment="1">
      <alignment horizontal="center"/>
    </xf>
    <xf numFmtId="0" fontId="0" fillId="19" borderId="22" xfId="1" applyNumberFormat="1" applyFont="1" applyFill="1" applyBorder="1" applyAlignment="1">
      <alignment horizontal="center"/>
    </xf>
    <xf numFmtId="0" fontId="0" fillId="19" borderId="24" xfId="1" applyNumberFormat="1" applyFont="1" applyFill="1" applyBorder="1" applyAlignment="1">
      <alignment horizontal="center"/>
    </xf>
    <xf numFmtId="44" fontId="0" fillId="19" borderId="24" xfId="1" applyFont="1" applyFill="1" applyBorder="1" applyAlignment="1">
      <alignment horizontal="center"/>
    </xf>
    <xf numFmtId="44" fontId="1" fillId="19" borderId="22" xfId="1" applyFont="1" applyFill="1" applyBorder="1" applyAlignment="1">
      <alignment horizontal="center"/>
    </xf>
    <xf numFmtId="44" fontId="0" fillId="19" borderId="22" xfId="1" applyNumberFormat="1" applyFont="1" applyFill="1" applyBorder="1" applyAlignment="1">
      <alignment horizontal="center"/>
    </xf>
    <xf numFmtId="170" fontId="0" fillId="19" borderId="21" xfId="0" applyNumberFormat="1" applyFill="1" applyBorder="1" applyAlignment="1">
      <alignment horizontal="center"/>
    </xf>
    <xf numFmtId="170" fontId="1" fillId="19" borderId="21" xfId="0" applyNumberFormat="1" applyFont="1" applyFill="1" applyBorder="1" applyAlignment="1">
      <alignment horizontal="center"/>
    </xf>
    <xf numFmtId="0" fontId="1" fillId="19" borderId="21" xfId="1" applyNumberFormat="1" applyFont="1" applyFill="1" applyBorder="1" applyAlignment="1">
      <alignment horizontal="center"/>
    </xf>
    <xf numFmtId="0" fontId="0" fillId="19" borderId="21" xfId="1" applyNumberFormat="1" applyFont="1" applyFill="1" applyBorder="1" applyAlignment="1">
      <alignment horizontal="center"/>
    </xf>
    <xf numFmtId="15" fontId="0" fillId="13" borderId="21" xfId="0" applyNumberFormat="1" applyFill="1" applyBorder="1" applyAlignment="1">
      <alignment horizontal="center"/>
    </xf>
    <xf numFmtId="170" fontId="1" fillId="13" borderId="21" xfId="0" applyNumberFormat="1" applyFont="1" applyFill="1" applyBorder="1" applyAlignment="1">
      <alignment horizontal="center"/>
    </xf>
    <xf numFmtId="0" fontId="1" fillId="13" borderId="21" xfId="0" applyNumberFormat="1" applyFont="1" applyFill="1" applyBorder="1" applyAlignment="1">
      <alignment horizontal="center"/>
    </xf>
    <xf numFmtId="44" fontId="1" fillId="13" borderId="21" xfId="0" applyNumberFormat="1" applyFont="1" applyFill="1" applyBorder="1" applyAlignment="1">
      <alignment horizontal="center"/>
    </xf>
    <xf numFmtId="44" fontId="0" fillId="13" borderId="21" xfId="1" applyFont="1" applyFill="1" applyBorder="1" applyAlignment="1">
      <alignment horizontal="center"/>
    </xf>
    <xf numFmtId="0" fontId="0" fillId="13" borderId="21" xfId="1" applyNumberFormat="1" applyFont="1" applyFill="1" applyBorder="1" applyAlignment="1">
      <alignment horizontal="center"/>
    </xf>
    <xf numFmtId="44" fontId="0" fillId="13" borderId="23" xfId="1" applyFont="1" applyFill="1" applyBorder="1" applyAlignment="1">
      <alignment horizontal="center"/>
    </xf>
    <xf numFmtId="44" fontId="1" fillId="13" borderId="21" xfId="1" applyFont="1" applyFill="1" applyBorder="1" applyAlignment="1">
      <alignment horizontal="center"/>
    </xf>
    <xf numFmtId="44" fontId="0" fillId="13" borderId="21" xfId="1" applyNumberFormat="1" applyFont="1" applyFill="1" applyBorder="1" applyAlignment="1">
      <alignment horizontal="center"/>
    </xf>
    <xf numFmtId="15" fontId="0" fillId="11" borderId="21" xfId="0" applyNumberFormat="1" applyFill="1" applyBorder="1" applyAlignment="1">
      <alignment horizontal="center"/>
    </xf>
    <xf numFmtId="170" fontId="1" fillId="11" borderId="21" xfId="0" applyNumberFormat="1" applyFont="1" applyFill="1" applyBorder="1" applyAlignment="1">
      <alignment horizontal="center"/>
    </xf>
    <xf numFmtId="0" fontId="0" fillId="11" borderId="21" xfId="1" applyNumberFormat="1" applyFont="1" applyFill="1" applyBorder="1" applyAlignment="1">
      <alignment horizontal="center"/>
    </xf>
    <xf numFmtId="0" fontId="1" fillId="11" borderId="21" xfId="0" applyFont="1" applyFill="1" applyBorder="1" applyAlignment="1">
      <alignment horizontal="center"/>
    </xf>
    <xf numFmtId="4" fontId="0" fillId="0" borderId="23" xfId="1" applyNumberFormat="1" applyFont="1" applyFill="1" applyBorder="1" applyAlignment="1">
      <alignment horizontal="center"/>
    </xf>
    <xf numFmtId="44" fontId="0" fillId="8" borderId="21" xfId="1" applyFont="1" applyFill="1" applyBorder="1" applyAlignment="1">
      <alignment horizontal="center"/>
    </xf>
    <xf numFmtId="0" fontId="0" fillId="7" borderId="4" xfId="0" applyNumberFormat="1" applyFill="1" applyBorder="1" applyAlignment="1">
      <alignment horizontal="center"/>
    </xf>
    <xf numFmtId="3" fontId="1" fillId="7" borderId="4" xfId="1" applyNumberFormat="1" applyFont="1" applyFill="1" applyBorder="1" applyAlignment="1">
      <alignment horizontal="center"/>
    </xf>
    <xf numFmtId="172" fontId="0" fillId="7" borderId="4" xfId="1" applyNumberFormat="1" applyFont="1" applyFill="1" applyBorder="1" applyAlignment="1">
      <alignment horizontal="center"/>
    </xf>
    <xf numFmtId="44" fontId="0" fillId="7" borderId="14" xfId="1" applyFont="1" applyFill="1" applyBorder="1" applyAlignment="1">
      <alignment horizontal="center"/>
    </xf>
    <xf numFmtId="0" fontId="0" fillId="7" borderId="20" xfId="0" applyNumberFormat="1" applyFill="1" applyBorder="1" applyAlignment="1">
      <alignment horizontal="center"/>
    </xf>
    <xf numFmtId="0" fontId="0" fillId="7" borderId="20" xfId="0" applyFill="1" applyBorder="1" applyAlignment="1">
      <alignment horizontal="center"/>
    </xf>
    <xf numFmtId="44" fontId="0" fillId="7" borderId="20" xfId="1" applyFont="1" applyFill="1" applyBorder="1" applyAlignment="1">
      <alignment horizontal="center"/>
    </xf>
    <xf numFmtId="0" fontId="0" fillId="7" borderId="20" xfId="1" applyNumberFormat="1" applyFont="1" applyFill="1" applyBorder="1" applyAlignment="1">
      <alignment horizontal="center"/>
    </xf>
    <xf numFmtId="3" fontId="1" fillId="7" borderId="20" xfId="1" applyNumberFormat="1" applyFont="1" applyFill="1" applyBorder="1" applyAlignment="1">
      <alignment horizontal="center"/>
    </xf>
    <xf numFmtId="15" fontId="1" fillId="7" borderId="4" xfId="0" applyNumberFormat="1" applyFont="1" applyFill="1" applyBorder="1" applyAlignment="1">
      <alignment horizontal="center"/>
    </xf>
    <xf numFmtId="177" fontId="1" fillId="7" borderId="4" xfId="1" applyNumberFormat="1" applyFont="1" applyFill="1" applyBorder="1" applyAlignment="1">
      <alignment horizontal="center"/>
    </xf>
    <xf numFmtId="49" fontId="1" fillId="7" borderId="4" xfId="0" applyNumberFormat="1" applyFont="1" applyFill="1" applyBorder="1" applyAlignment="1">
      <alignment horizontal="center"/>
    </xf>
    <xf numFmtId="166" fontId="0" fillId="7" borderId="20" xfId="0" applyNumberFormat="1" applyFill="1" applyBorder="1" applyAlignment="1">
      <alignment horizontal="center"/>
    </xf>
    <xf numFmtId="0" fontId="11" fillId="7" borderId="20" xfId="0" applyFont="1" applyFill="1" applyBorder="1" applyAlignment="1">
      <alignment horizontal="center"/>
    </xf>
    <xf numFmtId="0" fontId="0" fillId="7" borderId="23" xfId="0" applyNumberFormat="1" applyFill="1" applyBorder="1" applyAlignment="1">
      <alignment horizontal="center"/>
    </xf>
    <xf numFmtId="0" fontId="0" fillId="7" borderId="23" xfId="0" applyFill="1" applyBorder="1" applyAlignment="1">
      <alignment horizontal="center"/>
    </xf>
    <xf numFmtId="44" fontId="0" fillId="7" borderId="23" xfId="1" applyFont="1" applyFill="1" applyBorder="1" applyAlignment="1">
      <alignment horizontal="center"/>
    </xf>
    <xf numFmtId="0" fontId="0" fillId="7" borderId="23" xfId="1" applyNumberFormat="1" applyFont="1" applyFill="1" applyBorder="1" applyAlignment="1">
      <alignment horizontal="center"/>
    </xf>
    <xf numFmtId="177" fontId="1" fillId="7" borderId="23" xfId="1" applyNumberFormat="1" applyFont="1" applyFill="1" applyBorder="1" applyAlignment="1">
      <alignment horizontal="center"/>
    </xf>
    <xf numFmtId="172" fontId="0" fillId="7" borderId="23" xfId="1" applyNumberFormat="1" applyFont="1" applyFill="1" applyBorder="1" applyAlignment="1">
      <alignment horizontal="center"/>
    </xf>
    <xf numFmtId="44" fontId="0" fillId="0" borderId="23" xfId="1" applyFont="1" applyBorder="1" applyAlignment="1">
      <alignment horizontal="center"/>
    </xf>
    <xf numFmtId="39" fontId="0" fillId="0" borderId="23" xfId="1" applyNumberFormat="1" applyFont="1" applyBorder="1" applyAlignment="1">
      <alignment horizontal="center"/>
    </xf>
    <xf numFmtId="166" fontId="0" fillId="7" borderId="23" xfId="0" applyNumberFormat="1" applyFill="1" applyBorder="1" applyAlignment="1">
      <alignment horizontal="center"/>
    </xf>
    <xf numFmtId="0" fontId="11" fillId="7" borderId="23" xfId="0" applyFont="1" applyFill="1" applyBorder="1" applyAlignment="1">
      <alignment horizontal="center"/>
    </xf>
    <xf numFmtId="166" fontId="1" fillId="7" borderId="20" xfId="0" applyNumberFormat="1" applyFont="1" applyFill="1" applyBorder="1" applyAlignment="1">
      <alignment horizontal="center"/>
    </xf>
    <xf numFmtId="166" fontId="1" fillId="7" borderId="23" xfId="0" applyNumberFormat="1" applyFont="1" applyFill="1" applyBorder="1" applyAlignment="1">
      <alignment horizontal="center"/>
    </xf>
    <xf numFmtId="170" fontId="1" fillId="13" borderId="4" xfId="0" applyNumberFormat="1" applyFont="1" applyFill="1" applyBorder="1" applyAlignment="1">
      <alignment horizontal="center"/>
    </xf>
    <xf numFmtId="0" fontId="1" fillId="13" borderId="0" xfId="0" applyFont="1" applyFill="1"/>
    <xf numFmtId="44" fontId="0" fillId="19" borderId="25" xfId="1" applyFont="1" applyFill="1" applyBorder="1" applyAlignment="1">
      <alignment horizontal="center"/>
    </xf>
    <xf numFmtId="44" fontId="0" fillId="19" borderId="26" xfId="1" applyFont="1" applyFill="1" applyBorder="1" applyAlignment="1">
      <alignment horizontal="center"/>
    </xf>
    <xf numFmtId="44" fontId="0" fillId="0" borderId="26" xfId="1" applyFont="1" applyFill="1" applyBorder="1" applyAlignment="1">
      <alignment horizontal="center"/>
    </xf>
    <xf numFmtId="44" fontId="0" fillId="13" borderId="26" xfId="1" applyFont="1" applyFill="1" applyBorder="1" applyAlignment="1">
      <alignment horizontal="center"/>
    </xf>
    <xf numFmtId="44" fontId="0" fillId="11" borderId="26" xfId="1" applyFont="1" applyFill="1" applyBorder="1" applyAlignment="1">
      <alignment horizontal="center"/>
    </xf>
    <xf numFmtId="44" fontId="0" fillId="18" borderId="26" xfId="1" applyFont="1" applyFill="1" applyBorder="1" applyAlignment="1">
      <alignment horizontal="center"/>
    </xf>
    <xf numFmtId="44" fontId="1" fillId="0" borderId="26" xfId="1" applyFont="1" applyFill="1" applyBorder="1" applyAlignment="1">
      <alignment horizontal="center" vertical="center" wrapText="1" shrinkToFit="1"/>
    </xf>
    <xf numFmtId="170" fontId="1" fillId="6" borderId="26" xfId="0" applyNumberFormat="1" applyFont="1" applyFill="1" applyBorder="1" applyAlignment="1">
      <alignment horizontal="center" vertical="center" wrapText="1" shrinkToFit="1"/>
    </xf>
    <xf numFmtId="0" fontId="1" fillId="15" borderId="26" xfId="0" applyNumberFormat="1" applyFont="1" applyFill="1" applyBorder="1" applyAlignment="1">
      <alignment horizontal="center"/>
    </xf>
    <xf numFmtId="4" fontId="1" fillId="15" borderId="26" xfId="0" applyNumberFormat="1" applyFont="1" applyFill="1" applyBorder="1" applyAlignment="1">
      <alignment horizontal="center"/>
    </xf>
    <xf numFmtId="15" fontId="0" fillId="0" borderId="26" xfId="0" applyNumberFormat="1" applyFill="1" applyBorder="1" applyAlignment="1">
      <alignment horizontal="center"/>
    </xf>
    <xf numFmtId="44" fontId="0" fillId="0" borderId="26" xfId="1" applyFont="1" applyBorder="1" applyAlignment="1">
      <alignment horizontal="center"/>
    </xf>
    <xf numFmtId="0" fontId="0" fillId="0" borderId="26" xfId="1" applyNumberFormat="1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1" fillId="0" borderId="26" xfId="0" applyFont="1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169" fontId="3" fillId="8" borderId="4" xfId="0" applyNumberFormat="1" applyFont="1" applyFill="1" applyBorder="1" applyAlignment="1">
      <alignment horizontal="left"/>
    </xf>
    <xf numFmtId="0" fontId="3" fillId="8" borderId="4" xfId="0" applyFont="1" applyFill="1" applyBorder="1" applyProtection="1">
      <protection locked="0"/>
    </xf>
    <xf numFmtId="167" fontId="3" fillId="8" borderId="4" xfId="0" applyNumberFormat="1" applyFont="1" applyFill="1" applyBorder="1" applyProtection="1">
      <protection locked="0"/>
    </xf>
    <xf numFmtId="167" fontId="3" fillId="8" borderId="4" xfId="0" applyNumberFormat="1" applyFont="1" applyFill="1" applyBorder="1"/>
    <xf numFmtId="44" fontId="3" fillId="8" borderId="2" xfId="1" applyFont="1" applyFill="1" applyBorder="1"/>
    <xf numFmtId="15" fontId="0" fillId="7" borderId="26" xfId="0" applyNumberFormat="1" applyFill="1" applyBorder="1" applyAlignment="1">
      <alignment horizontal="center"/>
    </xf>
    <xf numFmtId="0" fontId="0" fillId="7" borderId="26" xfId="0" applyNumberFormat="1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44" fontId="0" fillId="7" borderId="26" xfId="1" applyFont="1" applyFill="1" applyBorder="1" applyAlignment="1">
      <alignment horizontal="center"/>
    </xf>
    <xf numFmtId="3" fontId="1" fillId="7" borderId="26" xfId="1" applyNumberFormat="1" applyFont="1" applyFill="1" applyBorder="1" applyAlignment="1">
      <alignment horizontal="center"/>
    </xf>
    <xf numFmtId="0" fontId="0" fillId="7" borderId="26" xfId="1" applyNumberFormat="1" applyFont="1" applyFill="1" applyBorder="1" applyAlignment="1">
      <alignment horizontal="center"/>
    </xf>
    <xf numFmtId="172" fontId="0" fillId="7" borderId="26" xfId="1" applyNumberFormat="1" applyFont="1" applyFill="1" applyBorder="1" applyAlignment="1">
      <alignment horizontal="center"/>
    </xf>
    <xf numFmtId="39" fontId="0" fillId="0" borderId="26" xfId="1" applyNumberFormat="1" applyFont="1" applyBorder="1" applyAlignment="1">
      <alignment horizontal="center"/>
    </xf>
    <xf numFmtId="0" fontId="11" fillId="7" borderId="26" xfId="0" applyFont="1" applyFill="1" applyBorder="1" applyAlignment="1">
      <alignment horizontal="center"/>
    </xf>
    <xf numFmtId="166" fontId="0" fillId="7" borderId="26" xfId="0" applyNumberFormat="1" applyFill="1" applyBorder="1" applyAlignment="1">
      <alignment horizontal="center"/>
    </xf>
    <xf numFmtId="0" fontId="1" fillId="13" borderId="26" xfId="0" applyNumberFormat="1" applyFont="1" applyFill="1" applyBorder="1" applyAlignment="1">
      <alignment horizontal="center"/>
    </xf>
    <xf numFmtId="0" fontId="0" fillId="13" borderId="17" xfId="1" applyNumberFormat="1" applyFont="1" applyFill="1" applyBorder="1" applyAlignment="1">
      <alignment horizontal="center"/>
    </xf>
    <xf numFmtId="0" fontId="1" fillId="13" borderId="14" xfId="0" applyNumberFormat="1" applyFont="1" applyFill="1" applyBorder="1" applyAlignment="1">
      <alignment horizontal="center"/>
    </xf>
    <xf numFmtId="0" fontId="0" fillId="13" borderId="26" xfId="0" applyNumberFormat="1" applyFill="1" applyBorder="1" applyAlignment="1">
      <alignment horizontal="center"/>
    </xf>
    <xf numFmtId="0" fontId="1" fillId="13" borderId="0" xfId="0" applyFont="1" applyFill="1" applyAlignment="1">
      <alignment horizontal="right"/>
    </xf>
    <xf numFmtId="2" fontId="0" fillId="13" borderId="0" xfId="0" applyNumberFormat="1" applyFill="1" applyAlignment="1">
      <alignment horizontal="left"/>
    </xf>
    <xf numFmtId="0" fontId="0" fillId="0" borderId="26" xfId="0" applyNumberFormat="1" applyBorder="1" applyAlignment="1">
      <alignment horizontal="center"/>
    </xf>
    <xf numFmtId="0" fontId="1" fillId="5" borderId="4" xfId="0" applyNumberFormat="1" applyFont="1" applyFill="1" applyBorder="1" applyAlignment="1">
      <alignment horizontal="center"/>
    </xf>
    <xf numFmtId="172" fontId="1" fillId="5" borderId="4" xfId="0" applyNumberFormat="1" applyFont="1" applyFill="1" applyBorder="1" applyAlignment="1">
      <alignment horizontal="center"/>
    </xf>
    <xf numFmtId="44" fontId="1" fillId="5" borderId="4" xfId="1" applyFont="1" applyFill="1" applyBorder="1" applyAlignment="1">
      <alignment horizontal="center"/>
    </xf>
    <xf numFmtId="0" fontId="1" fillId="11" borderId="23" xfId="0" applyNumberFormat="1" applyFont="1" applyFill="1" applyBorder="1" applyAlignment="1">
      <alignment horizontal="center"/>
    </xf>
    <xf numFmtId="0" fontId="1" fillId="12" borderId="21" xfId="0" applyFont="1" applyFill="1" applyBorder="1" applyAlignment="1">
      <alignment horizontal="center"/>
    </xf>
    <xf numFmtId="0" fontId="1" fillId="12" borderId="21" xfId="0" applyNumberFormat="1" applyFont="1" applyFill="1" applyBorder="1" applyAlignment="1">
      <alignment horizontal="center"/>
    </xf>
    <xf numFmtId="44" fontId="1" fillId="12" borderId="21" xfId="0" applyNumberFormat="1" applyFont="1" applyFill="1" applyBorder="1" applyAlignment="1">
      <alignment horizontal="center"/>
    </xf>
    <xf numFmtId="0" fontId="0" fillId="12" borderId="21" xfId="0" applyFill="1" applyBorder="1" applyAlignment="1">
      <alignment horizontal="center"/>
    </xf>
    <xf numFmtId="44" fontId="0" fillId="12" borderId="21" xfId="1" applyFont="1" applyFill="1" applyBorder="1" applyAlignment="1">
      <alignment horizontal="center"/>
    </xf>
    <xf numFmtId="0" fontId="0" fillId="12" borderId="21" xfId="1" applyNumberFormat="1" applyFont="1" applyFill="1" applyBorder="1" applyAlignment="1">
      <alignment horizontal="center"/>
    </xf>
    <xf numFmtId="44" fontId="0" fillId="12" borderId="26" xfId="1" applyFont="1" applyFill="1" applyBorder="1" applyAlignment="1">
      <alignment horizontal="center"/>
    </xf>
    <xf numFmtId="44" fontId="1" fillId="12" borderId="21" xfId="1" applyFont="1" applyFill="1" applyBorder="1" applyAlignment="1">
      <alignment horizontal="center"/>
    </xf>
    <xf numFmtId="44" fontId="0" fillId="12" borderId="21" xfId="1" applyNumberFormat="1" applyFont="1" applyFill="1" applyBorder="1" applyAlignment="1">
      <alignment horizontal="center"/>
    </xf>
    <xf numFmtId="2" fontId="0" fillId="12" borderId="21" xfId="1" applyNumberFormat="1" applyFont="1" applyFill="1" applyBorder="1" applyAlignment="1">
      <alignment horizontal="center"/>
    </xf>
    <xf numFmtId="0" fontId="11" fillId="11" borderId="0" xfId="0" applyFont="1" applyFill="1" applyAlignment="1">
      <alignment horizontal="center"/>
    </xf>
    <xf numFmtId="0" fontId="11" fillId="12" borderId="0" xfId="0" applyFont="1" applyFill="1" applyAlignment="1">
      <alignment horizontal="center"/>
    </xf>
    <xf numFmtId="15" fontId="0" fillId="19" borderId="4" xfId="0" applyNumberFormat="1" applyFill="1" applyBorder="1" applyAlignment="1">
      <alignment horizontal="center"/>
    </xf>
    <xf numFmtId="0" fontId="0" fillId="19" borderId="4" xfId="0" applyFill="1" applyBorder="1" applyAlignment="1">
      <alignment horizontal="center"/>
    </xf>
    <xf numFmtId="15" fontId="1" fillId="19" borderId="4" xfId="0" applyNumberFormat="1" applyFont="1" applyFill="1" applyBorder="1" applyAlignment="1">
      <alignment horizontal="center"/>
    </xf>
    <xf numFmtId="0" fontId="0" fillId="13" borderId="4" xfId="0" quotePrefix="1" applyNumberFormat="1" applyFill="1" applyBorder="1" applyAlignment="1">
      <alignment horizontal="center"/>
    </xf>
    <xf numFmtId="0" fontId="1" fillId="13" borderId="17" xfId="1" applyNumberFormat="1" applyFont="1" applyFill="1" applyBorder="1" applyAlignment="1">
      <alignment horizontal="center"/>
    </xf>
    <xf numFmtId="44" fontId="1" fillId="13" borderId="17" xfId="1" applyFont="1" applyFill="1" applyBorder="1" applyAlignment="1">
      <alignment horizontal="center"/>
    </xf>
    <xf numFmtId="0" fontId="1" fillId="13" borderId="4" xfId="0" quotePrefix="1" applyNumberFormat="1" applyFont="1" applyFill="1" applyBorder="1" applyAlignment="1">
      <alignment horizontal="center"/>
    </xf>
    <xf numFmtId="44" fontId="0" fillId="13" borderId="17" xfId="1" applyFont="1" applyFill="1" applyBorder="1" applyAlignment="1">
      <alignment horizontal="center"/>
    </xf>
    <xf numFmtId="15" fontId="0" fillId="13" borderId="26" xfId="0" applyNumberFormat="1" applyFill="1" applyBorder="1" applyAlignment="1">
      <alignment horizontal="center"/>
    </xf>
    <xf numFmtId="1" fontId="0" fillId="5" borderId="4" xfId="0" applyNumberFormat="1" applyFill="1" applyBorder="1" applyAlignment="1">
      <alignment horizontal="center"/>
    </xf>
    <xf numFmtId="39" fontId="1" fillId="5" borderId="4" xfId="1" applyNumberFormat="1" applyFont="1" applyFill="1" applyBorder="1" applyAlignment="1">
      <alignment horizontal="center"/>
    </xf>
    <xf numFmtId="2" fontId="0" fillId="19" borderId="4" xfId="0" applyNumberFormat="1" applyFill="1" applyBorder="1" applyAlignment="1">
      <alignment horizontal="center"/>
    </xf>
    <xf numFmtId="39" fontId="0" fillId="19" borderId="4" xfId="1" applyNumberFormat="1" applyFont="1" applyFill="1" applyBorder="1" applyAlignment="1">
      <alignment horizontal="center"/>
    </xf>
    <xf numFmtId="0" fontId="11" fillId="19" borderId="4" xfId="0" applyFont="1" applyFill="1" applyBorder="1" applyAlignment="1">
      <alignment horizontal="center"/>
    </xf>
    <xf numFmtId="0" fontId="1" fillId="19" borderId="4" xfId="0" applyFont="1" applyFill="1" applyBorder="1" applyAlignment="1">
      <alignment horizontal="center"/>
    </xf>
    <xf numFmtId="0" fontId="0" fillId="19" borderId="0" xfId="0" applyFill="1" applyBorder="1" applyAlignment="1">
      <alignment horizontal="center"/>
    </xf>
    <xf numFmtId="174" fontId="0" fillId="19" borderId="4" xfId="0" applyNumberFormat="1" applyFill="1" applyBorder="1" applyAlignment="1">
      <alignment horizontal="center"/>
    </xf>
    <xf numFmtId="2" fontId="0" fillId="19" borderId="0" xfId="0" applyNumberFormat="1" applyFill="1" applyAlignment="1">
      <alignment horizontal="center"/>
    </xf>
    <xf numFmtId="0" fontId="0" fillId="19" borderId="21" xfId="0" applyFill="1" applyBorder="1" applyAlignment="1">
      <alignment horizontal="center"/>
    </xf>
    <xf numFmtId="39" fontId="0" fillId="19" borderId="21" xfId="1" applyNumberFormat="1" applyFont="1" applyFill="1" applyBorder="1" applyAlignment="1">
      <alignment horizontal="center"/>
    </xf>
    <xf numFmtId="0" fontId="11" fillId="19" borderId="21" xfId="0" applyFont="1" applyFill="1" applyBorder="1" applyAlignment="1">
      <alignment horizontal="center"/>
    </xf>
    <xf numFmtId="0" fontId="1" fillId="19" borderId="0" xfId="0" applyFont="1" applyFill="1"/>
    <xf numFmtId="2" fontId="0" fillId="13" borderId="0" xfId="0" applyNumberFormat="1" applyFill="1" applyAlignment="1">
      <alignment horizontal="center"/>
    </xf>
    <xf numFmtId="0" fontId="11" fillId="13" borderId="0" xfId="0" applyFont="1" applyFill="1" applyAlignment="1">
      <alignment horizontal="center"/>
    </xf>
    <xf numFmtId="0" fontId="1" fillId="12" borderId="4" xfId="0" applyNumberFormat="1" applyFont="1" applyFill="1" applyBorder="1" applyAlignment="1">
      <alignment horizontal="center"/>
    </xf>
    <xf numFmtId="0" fontId="0" fillId="12" borderId="14" xfId="1" applyNumberFormat="1" applyFont="1" applyFill="1" applyBorder="1" applyAlignment="1">
      <alignment horizontal="center"/>
    </xf>
    <xf numFmtId="0" fontId="1" fillId="12" borderId="17" xfId="0" applyNumberFormat="1" applyFont="1" applyFill="1" applyBorder="1" applyAlignment="1">
      <alignment horizontal="center"/>
    </xf>
    <xf numFmtId="0" fontId="0" fillId="12" borderId="17" xfId="1" applyNumberFormat="1" applyFont="1" applyFill="1" applyBorder="1" applyAlignment="1">
      <alignment horizontal="center"/>
    </xf>
    <xf numFmtId="0" fontId="1" fillId="12" borderId="17" xfId="1" applyNumberFormat="1" applyFont="1" applyFill="1" applyBorder="1" applyAlignment="1">
      <alignment horizontal="center"/>
    </xf>
    <xf numFmtId="0" fontId="11" fillId="12" borderId="17" xfId="0" applyFont="1" applyFill="1" applyBorder="1" applyAlignment="1">
      <alignment horizontal="center"/>
    </xf>
    <xf numFmtId="44" fontId="0" fillId="12" borderId="17" xfId="0" applyNumberFormat="1" applyFill="1" applyBorder="1" applyAlignment="1">
      <alignment horizontal="center"/>
    </xf>
    <xf numFmtId="0" fontId="1" fillId="12" borderId="14" xfId="1" applyNumberFormat="1" applyFont="1" applyFill="1" applyBorder="1" applyAlignment="1">
      <alignment horizontal="center"/>
    </xf>
    <xf numFmtId="0" fontId="0" fillId="12" borderId="23" xfId="0" applyNumberFormat="1" applyFill="1" applyBorder="1" applyAlignment="1">
      <alignment horizontal="center"/>
    </xf>
    <xf numFmtId="44" fontId="0" fillId="12" borderId="23" xfId="0" applyNumberFormat="1" applyFill="1" applyBorder="1" applyAlignment="1">
      <alignment horizontal="center"/>
    </xf>
    <xf numFmtId="170" fontId="0" fillId="12" borderId="26" xfId="0" applyNumberFormat="1" applyFill="1" applyBorder="1" applyAlignment="1">
      <alignment horizontal="center"/>
    </xf>
    <xf numFmtId="0" fontId="0" fillId="12" borderId="26" xfId="0" applyNumberFormat="1" applyFill="1" applyBorder="1" applyAlignment="1">
      <alignment horizontal="center"/>
    </xf>
    <xf numFmtId="0" fontId="0" fillId="12" borderId="26" xfId="1" applyNumberFormat="1" applyFont="1" applyFill="1" applyBorder="1" applyAlignment="1">
      <alignment horizontal="center"/>
    </xf>
    <xf numFmtId="0" fontId="11" fillId="12" borderId="26" xfId="0" applyFont="1" applyFill="1" applyBorder="1" applyAlignment="1">
      <alignment horizontal="center"/>
    </xf>
    <xf numFmtId="44" fontId="0" fillId="12" borderId="26" xfId="0" applyNumberFormat="1" applyFill="1" applyBorder="1" applyAlignment="1">
      <alignment horizontal="center"/>
    </xf>
    <xf numFmtId="0" fontId="1" fillId="12" borderId="26" xfId="0" applyNumberFormat="1" applyFont="1" applyFill="1" applyBorder="1" applyAlignment="1">
      <alignment horizontal="center"/>
    </xf>
    <xf numFmtId="0" fontId="0" fillId="13" borderId="20" xfId="0" applyFill="1" applyBorder="1" applyAlignment="1">
      <alignment horizontal="center"/>
    </xf>
    <xf numFmtId="49" fontId="0" fillId="7" borderId="4" xfId="0" applyNumberFormat="1" applyFill="1" applyBorder="1" applyAlignment="1">
      <alignment horizontal="center"/>
    </xf>
    <xf numFmtId="49" fontId="1" fillId="13" borderId="4" xfId="0" applyNumberFormat="1" applyFont="1" applyFill="1" applyBorder="1" applyAlignment="1">
      <alignment horizontal="center"/>
    </xf>
    <xf numFmtId="44" fontId="0" fillId="13" borderId="12" xfId="0" applyNumberFormat="1" applyFill="1" applyBorder="1" applyAlignment="1">
      <alignment horizontal="center"/>
    </xf>
    <xf numFmtId="44" fontId="0" fillId="13" borderId="0" xfId="0" applyNumberFormat="1" applyFill="1"/>
    <xf numFmtId="2" fontId="0" fillId="12" borderId="0" xfId="0" applyNumberFormat="1" applyFill="1" applyAlignment="1">
      <alignment horizontal="center"/>
    </xf>
    <xf numFmtId="39" fontId="0" fillId="12" borderId="21" xfId="1" applyNumberFormat="1" applyFont="1" applyFill="1" applyBorder="1" applyAlignment="1">
      <alignment horizontal="center"/>
    </xf>
    <xf numFmtId="0" fontId="11" fillId="12" borderId="21" xfId="0" applyFont="1" applyFill="1" applyBorder="1" applyAlignment="1">
      <alignment horizontal="center"/>
    </xf>
    <xf numFmtId="0" fontId="0" fillId="20" borderId="0" xfId="0" applyFill="1"/>
    <xf numFmtId="0" fontId="0" fillId="0" borderId="4" xfId="0" quotePrefix="1" applyNumberFormat="1" applyBorder="1" applyAlignment="1">
      <alignment horizontal="center"/>
    </xf>
    <xf numFmtId="15" fontId="0" fillId="0" borderId="26" xfId="0" applyNumberFormat="1" applyBorder="1" applyAlignment="1">
      <alignment horizontal="center"/>
    </xf>
    <xf numFmtId="173" fontId="1" fillId="0" borderId="26" xfId="0" applyNumberFormat="1" applyFon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" fillId="0" borderId="26" xfId="0" applyFont="1" applyBorder="1" applyAlignment="1">
      <alignment horizontal="center"/>
    </xf>
    <xf numFmtId="39" fontId="1" fillId="0" borderId="26" xfId="1" applyNumberFormat="1" applyFont="1" applyBorder="1" applyAlignment="1">
      <alignment horizontal="center"/>
    </xf>
    <xf numFmtId="0" fontId="0" fillId="13" borderId="17" xfId="0" applyFill="1" applyBorder="1" applyAlignment="1">
      <alignment horizontal="center"/>
    </xf>
    <xf numFmtId="0" fontId="11" fillId="13" borderId="17" xfId="0" applyFont="1" applyFill="1" applyBorder="1" applyAlignment="1">
      <alignment horizontal="center"/>
    </xf>
    <xf numFmtId="44" fontId="0" fillId="19" borderId="17" xfId="1" applyFont="1" applyFill="1" applyBorder="1" applyAlignment="1">
      <alignment horizontal="center"/>
    </xf>
    <xf numFmtId="0" fontId="0" fillId="19" borderId="17" xfId="1" applyNumberFormat="1" applyFont="1" applyFill="1" applyBorder="1" applyAlignment="1">
      <alignment horizontal="center"/>
    </xf>
    <xf numFmtId="170" fontId="0" fillId="7" borderId="4" xfId="0" applyNumberFormat="1" applyFill="1" applyBorder="1" applyAlignment="1">
      <alignment horizontal="center"/>
    </xf>
    <xf numFmtId="173" fontId="1" fillId="7" borderId="4" xfId="0" applyNumberFormat="1" applyFont="1" applyFill="1" applyBorder="1" applyAlignment="1">
      <alignment horizontal="center"/>
    </xf>
    <xf numFmtId="0" fontId="9" fillId="13" borderId="0" xfId="2" applyFill="1" applyAlignment="1" applyProtection="1">
      <alignment horizontal="center"/>
    </xf>
    <xf numFmtId="44" fontId="0" fillId="7" borderId="0" xfId="0" applyNumberFormat="1" applyFill="1" applyBorder="1" applyAlignment="1">
      <alignment horizontal="center"/>
    </xf>
    <xf numFmtId="173" fontId="1" fillId="11" borderId="4" xfId="0" applyNumberFormat="1" applyFont="1" applyFill="1" applyBorder="1" applyAlignment="1">
      <alignment horizontal="center"/>
    </xf>
    <xf numFmtId="0" fontId="0" fillId="11" borderId="17" xfId="1" applyNumberFormat="1" applyFont="1" applyFill="1" applyBorder="1" applyAlignment="1">
      <alignment horizontal="center"/>
    </xf>
    <xf numFmtId="44" fontId="0" fillId="11" borderId="17" xfId="1" applyFont="1" applyFill="1" applyBorder="1" applyAlignment="1">
      <alignment horizontal="center"/>
    </xf>
    <xf numFmtId="173" fontId="1" fillId="19" borderId="4" xfId="0" applyNumberFormat="1" applyFont="1" applyFill="1" applyBorder="1" applyAlignment="1">
      <alignment horizontal="center"/>
    </xf>
    <xf numFmtId="44" fontId="0" fillId="13" borderId="0" xfId="0" applyNumberFormat="1" applyFill="1" applyBorder="1" applyAlignment="1">
      <alignment horizontal="center"/>
    </xf>
    <xf numFmtId="0" fontId="0" fillId="7" borderId="0" xfId="0" applyFill="1" applyAlignment="1">
      <alignment horizontal="right"/>
    </xf>
    <xf numFmtId="0" fontId="1" fillId="17" borderId="4" xfId="0" applyNumberFormat="1" applyFont="1" applyFill="1" applyBorder="1" applyAlignment="1">
      <alignment horizontal="center"/>
    </xf>
    <xf numFmtId="0" fontId="1" fillId="7" borderId="4" xfId="0" applyNumberFormat="1" applyFont="1" applyFill="1" applyBorder="1" applyAlignment="1">
      <alignment horizontal="center"/>
    </xf>
    <xf numFmtId="0" fontId="1" fillId="19" borderId="14" xfId="0" applyNumberFormat="1" applyFont="1" applyFill="1" applyBorder="1" applyAlignment="1">
      <alignment horizontal="center"/>
    </xf>
    <xf numFmtId="0" fontId="1" fillId="19" borderId="14" xfId="1" applyNumberFormat="1" applyFont="1" applyFill="1" applyBorder="1" applyAlignment="1">
      <alignment horizontal="center"/>
    </xf>
    <xf numFmtId="0" fontId="0" fillId="19" borderId="14" xfId="1" applyNumberFormat="1" applyFont="1" applyFill="1" applyBorder="1" applyAlignment="1">
      <alignment horizontal="center"/>
    </xf>
    <xf numFmtId="0" fontId="0" fillId="13" borderId="14" xfId="0" applyFill="1" applyBorder="1" applyAlignment="1">
      <alignment horizontal="center"/>
    </xf>
    <xf numFmtId="0" fontId="11" fillId="13" borderId="14" xfId="0" applyFont="1" applyFill="1" applyBorder="1" applyAlignment="1">
      <alignment horizontal="center"/>
    </xf>
    <xf numFmtId="176" fontId="0" fillId="13" borderId="4" xfId="0" applyNumberFormat="1" applyFill="1" applyBorder="1" applyAlignment="1">
      <alignment horizontal="center"/>
    </xf>
    <xf numFmtId="176" fontId="0" fillId="7" borderId="4" xfId="0" applyNumberFormat="1" applyFill="1" applyBorder="1" applyAlignment="1">
      <alignment horizontal="center"/>
    </xf>
    <xf numFmtId="174" fontId="0" fillId="7" borderId="4" xfId="0" applyNumberFormat="1" applyFill="1" applyBorder="1" applyAlignment="1">
      <alignment horizontal="center"/>
    </xf>
    <xf numFmtId="0" fontId="1" fillId="13" borderId="17" xfId="0" applyNumberFormat="1" applyFont="1" applyFill="1" applyBorder="1" applyAlignment="1">
      <alignment horizontal="center"/>
    </xf>
    <xf numFmtId="0" fontId="1" fillId="11" borderId="4" xfId="0" applyNumberFormat="1" applyFont="1" applyFill="1" applyBorder="1" applyAlignment="1">
      <alignment horizontal="center"/>
    </xf>
    <xf numFmtId="49" fontId="0" fillId="11" borderId="4" xfId="0" applyNumberFormat="1" applyFill="1" applyBorder="1" applyAlignment="1">
      <alignment horizontal="center"/>
    </xf>
    <xf numFmtId="49" fontId="1" fillId="11" borderId="4" xfId="0" applyNumberFormat="1" applyFont="1" applyFill="1" applyBorder="1" applyAlignment="1">
      <alignment horizontal="center"/>
    </xf>
    <xf numFmtId="15" fontId="1" fillId="11" borderId="4" xfId="0" applyNumberFormat="1" applyFont="1" applyFill="1" applyBorder="1" applyAlignment="1">
      <alignment horizontal="center"/>
    </xf>
    <xf numFmtId="49" fontId="0" fillId="19" borderId="4" xfId="0" applyNumberFormat="1" applyFill="1" applyBorder="1" applyAlignment="1">
      <alignment horizontal="center"/>
    </xf>
    <xf numFmtId="0" fontId="19" fillId="0" borderId="0" xfId="0" applyFont="1" applyFill="1"/>
    <xf numFmtId="0" fontId="3" fillId="12" borderId="0" xfId="0" applyFont="1" applyFill="1" applyAlignment="1">
      <alignment horizontal="center"/>
    </xf>
    <xf numFmtId="0" fontId="9" fillId="12" borderId="0" xfId="2" applyFill="1" applyAlignment="1" applyProtection="1">
      <alignment horizontal="center"/>
    </xf>
    <xf numFmtId="44" fontId="11" fillId="19" borderId="4" xfId="0" applyNumberFormat="1" applyFont="1" applyFill="1" applyBorder="1" applyAlignment="1">
      <alignment horizontal="center"/>
    </xf>
    <xf numFmtId="0" fontId="1" fillId="12" borderId="0" xfId="0" applyFont="1" applyFill="1" applyAlignment="1">
      <alignment horizontal="right"/>
    </xf>
    <xf numFmtId="2" fontId="0" fillId="12" borderId="0" xfId="0" applyNumberFormat="1" applyFill="1" applyAlignment="1">
      <alignment horizontal="left"/>
    </xf>
    <xf numFmtId="39" fontId="1" fillId="17" borderId="4" xfId="1" applyNumberFormat="1" applyFont="1" applyFill="1" applyBorder="1" applyAlignment="1">
      <alignment horizontal="center"/>
    </xf>
    <xf numFmtId="2" fontId="0" fillId="11" borderId="4" xfId="1" applyNumberFormat="1" applyFont="1" applyFill="1" applyBorder="1" applyAlignment="1">
      <alignment horizontal="center"/>
    </xf>
    <xf numFmtId="44" fontId="0" fillId="11" borderId="0" xfId="0" applyNumberFormat="1" applyFill="1"/>
    <xf numFmtId="39" fontId="1" fillId="19" borderId="4" xfId="1" applyNumberFormat="1" applyFont="1" applyFill="1" applyBorder="1" applyAlignment="1">
      <alignment horizontal="center"/>
    </xf>
    <xf numFmtId="0" fontId="12" fillId="13" borderId="4" xfId="0" applyFont="1" applyFill="1" applyBorder="1" applyAlignment="1">
      <alignment horizontal="center"/>
    </xf>
    <xf numFmtId="0" fontId="0" fillId="11" borderId="0" xfId="0" applyFill="1" applyBorder="1" applyAlignment="1">
      <alignment horizontal="center"/>
    </xf>
    <xf numFmtId="0" fontId="0" fillId="11" borderId="0" xfId="0" applyFill="1" applyBorder="1"/>
    <xf numFmtId="170" fontId="1" fillId="11" borderId="4" xfId="0" applyNumberFormat="1" applyFont="1" applyFill="1" applyBorder="1" applyAlignment="1">
      <alignment horizontal="center"/>
    </xf>
    <xf numFmtId="172" fontId="1" fillId="11" borderId="4" xfId="0" applyNumberFormat="1" applyFont="1" applyFill="1" applyBorder="1" applyAlignment="1">
      <alignment horizontal="center"/>
    </xf>
    <xf numFmtId="44" fontId="2" fillId="11" borderId="0" xfId="0" applyNumberFormat="1" applyFont="1" applyFill="1" applyBorder="1" applyAlignment="1">
      <alignment horizontal="center"/>
    </xf>
    <xf numFmtId="172" fontId="1" fillId="19" borderId="4" xfId="0" applyNumberFormat="1" applyFont="1" applyFill="1" applyBorder="1" applyAlignment="1">
      <alignment horizontal="center"/>
    </xf>
    <xf numFmtId="0" fontId="0" fillId="19" borderId="4" xfId="0" applyNumberFormat="1" applyFill="1" applyBorder="1" applyAlignment="1">
      <alignment horizontal="center"/>
    </xf>
    <xf numFmtId="15" fontId="0" fillId="19" borderId="14" xfId="0" applyNumberFormat="1" applyFill="1" applyBorder="1" applyAlignment="1">
      <alignment horizontal="center"/>
    </xf>
    <xf numFmtId="0" fontId="0" fillId="19" borderId="14" xfId="0" applyNumberFormat="1" applyFill="1" applyBorder="1" applyAlignment="1">
      <alignment horizontal="center"/>
    </xf>
    <xf numFmtId="0" fontId="1" fillId="19" borderId="0" xfId="0" applyFont="1" applyFill="1" applyAlignment="1">
      <alignment horizontal="right"/>
    </xf>
    <xf numFmtId="2" fontId="0" fillId="19" borderId="0" xfId="0" applyNumberFormat="1" applyFill="1" applyAlignment="1">
      <alignment horizontal="left"/>
    </xf>
    <xf numFmtId="172" fontId="1" fillId="12" borderId="4" xfId="0" applyNumberFormat="1" applyFont="1" applyFill="1" applyBorder="1" applyAlignment="1">
      <alignment horizontal="center"/>
    </xf>
    <xf numFmtId="0" fontId="18" fillId="12" borderId="0" xfId="0" applyFont="1" applyFill="1" applyAlignment="1">
      <alignment horizontal="center"/>
    </xf>
    <xf numFmtId="44" fontId="1" fillId="11" borderId="4" xfId="1" quotePrefix="1" applyFont="1" applyFill="1" applyBorder="1" applyAlignment="1">
      <alignment horizontal="center"/>
    </xf>
    <xf numFmtId="44" fontId="0" fillId="11" borderId="4" xfId="1" quotePrefix="1" applyFont="1" applyFill="1" applyBorder="1" applyAlignment="1">
      <alignment horizontal="center"/>
    </xf>
    <xf numFmtId="0" fontId="3" fillId="11" borderId="0" xfId="0" applyFont="1" applyFill="1" applyAlignment="1">
      <alignment horizontal="center"/>
    </xf>
    <xf numFmtId="0" fontId="9" fillId="11" borderId="0" xfId="2" applyFill="1" applyAlignment="1" applyProtection="1">
      <alignment horizontal="center"/>
    </xf>
    <xf numFmtId="44" fontId="12" fillId="11" borderId="4" xfId="0" applyNumberFormat="1" applyFont="1" applyFill="1" applyBorder="1" applyAlignment="1">
      <alignment horizontal="center"/>
    </xf>
    <xf numFmtId="15" fontId="1" fillId="17" borderId="4" xfId="0" applyNumberFormat="1" applyFont="1" applyFill="1" applyBorder="1" applyAlignment="1">
      <alignment horizontal="center"/>
    </xf>
    <xf numFmtId="0" fontId="11" fillId="19" borderId="4" xfId="0" applyFont="1" applyFill="1" applyBorder="1" applyAlignment="1">
      <alignment horizontal="left"/>
    </xf>
    <xf numFmtId="173" fontId="1" fillId="0" borderId="26" xfId="0" applyNumberFormat="1" applyFont="1" applyFill="1" applyBorder="1" applyAlignment="1">
      <alignment horizontal="center"/>
    </xf>
    <xf numFmtId="1" fontId="0" fillId="0" borderId="26" xfId="0" applyNumberFormat="1" applyFill="1" applyBorder="1" applyAlignment="1">
      <alignment horizontal="center"/>
    </xf>
    <xf numFmtId="0" fontId="0" fillId="0" borderId="26" xfId="1" applyNumberFormat="1" applyFont="1" applyFill="1" applyBorder="1" applyAlignment="1">
      <alignment horizontal="center"/>
    </xf>
    <xf numFmtId="39" fontId="1" fillId="0" borderId="26" xfId="1" applyNumberFormat="1" applyFont="1" applyFill="1" applyBorder="1" applyAlignment="1">
      <alignment horizontal="center"/>
    </xf>
    <xf numFmtId="49" fontId="1" fillId="0" borderId="4" xfId="0" applyNumberFormat="1" applyFont="1" applyFill="1" applyBorder="1" applyAlignment="1">
      <alignment horizontal="center"/>
    </xf>
    <xf numFmtId="0" fontId="0" fillId="0" borderId="17" xfId="1" applyNumberFormat="1" applyFont="1" applyFill="1" applyBorder="1" applyAlignment="1">
      <alignment horizontal="center"/>
    </xf>
    <xf numFmtId="44" fontId="0" fillId="0" borderId="17" xfId="1" applyFont="1" applyFill="1" applyBorder="1" applyAlignment="1">
      <alignment horizontal="center"/>
    </xf>
    <xf numFmtId="0" fontId="11" fillId="0" borderId="4" xfId="0" applyFont="1" applyFill="1" applyBorder="1" applyAlignment="1">
      <alignment horizontal="left"/>
    </xf>
    <xf numFmtId="44" fontId="1" fillId="6" borderId="27" xfId="1" applyFont="1" applyFill="1" applyBorder="1" applyAlignment="1">
      <alignment horizontal="center" vertical="center" wrapText="1" shrinkToFit="1"/>
    </xf>
    <xf numFmtId="44" fontId="0" fillId="0" borderId="27" xfId="1" applyFont="1" applyBorder="1" applyAlignment="1">
      <alignment horizontal="center"/>
    </xf>
    <xf numFmtId="44" fontId="0" fillId="7" borderId="27" xfId="1" applyFont="1" applyFill="1" applyBorder="1" applyAlignment="1">
      <alignment horizontal="center"/>
    </xf>
    <xf numFmtId="44" fontId="0" fillId="13" borderId="27" xfId="1" applyFont="1" applyFill="1" applyBorder="1" applyAlignment="1">
      <alignment horizontal="center"/>
    </xf>
    <xf numFmtId="44" fontId="0" fillId="19" borderId="27" xfId="1" applyFont="1" applyFill="1" applyBorder="1" applyAlignment="1">
      <alignment horizontal="center"/>
    </xf>
    <xf numFmtId="44" fontId="0" fillId="11" borderId="27" xfId="1" applyFont="1" applyFill="1" applyBorder="1" applyAlignment="1">
      <alignment horizontal="center"/>
    </xf>
    <xf numFmtId="44" fontId="0" fillId="12" borderId="27" xfId="1" applyFont="1" applyFill="1" applyBorder="1" applyAlignment="1">
      <alignment horizontal="center"/>
    </xf>
    <xf numFmtId="44" fontId="0" fillId="0" borderId="27" xfId="1" applyFont="1" applyFill="1" applyBorder="1" applyAlignment="1">
      <alignment horizontal="center"/>
    </xf>
    <xf numFmtId="15" fontId="0" fillId="11" borderId="27" xfId="0" applyNumberFormat="1" applyFill="1" applyBorder="1" applyAlignment="1">
      <alignment horizontal="center"/>
    </xf>
    <xf numFmtId="0" fontId="1" fillId="11" borderId="27" xfId="0" applyNumberFormat="1" applyFont="1" applyFill="1" applyBorder="1" applyAlignment="1">
      <alignment horizontal="center"/>
    </xf>
    <xf numFmtId="0" fontId="0" fillId="11" borderId="27" xfId="0" applyNumberFormat="1" applyFill="1" applyBorder="1" applyAlignment="1">
      <alignment horizontal="center"/>
    </xf>
    <xf numFmtId="0" fontId="1" fillId="11" borderId="27" xfId="1" applyNumberFormat="1" applyFont="1" applyFill="1" applyBorder="1" applyAlignment="1">
      <alignment horizontal="center"/>
    </xf>
    <xf numFmtId="0" fontId="0" fillId="11" borderId="27" xfId="1" applyNumberFormat="1" applyFont="1" applyFill="1" applyBorder="1" applyAlignment="1">
      <alignment horizontal="center"/>
    </xf>
    <xf numFmtId="0" fontId="1" fillId="0" borderId="4" xfId="0" quotePrefix="1" applyNumberFormat="1" applyFont="1" applyFill="1" applyBorder="1" applyAlignment="1">
      <alignment horizontal="center"/>
    </xf>
    <xf numFmtId="0" fontId="0" fillId="0" borderId="26" xfId="0" applyNumberFormat="1" applyFill="1" applyBorder="1" applyAlignment="1">
      <alignment horizontal="center"/>
    </xf>
    <xf numFmtId="0" fontId="1" fillId="0" borderId="17" xfId="1" applyNumberFormat="1" applyFont="1" applyFill="1" applyBorder="1" applyAlignment="1">
      <alignment horizontal="center"/>
    </xf>
    <xf numFmtId="44" fontId="1" fillId="0" borderId="17" xfId="1" applyFont="1" applyFill="1" applyBorder="1" applyAlignment="1">
      <alignment horizontal="center"/>
    </xf>
    <xf numFmtId="0" fontId="1" fillId="0" borderId="26" xfId="0" applyNumberFormat="1" applyFont="1" applyFill="1" applyBorder="1" applyAlignment="1">
      <alignment horizontal="center"/>
    </xf>
    <xf numFmtId="44" fontId="2" fillId="13" borderId="0" xfId="0" applyNumberFormat="1" applyFont="1" applyFill="1" applyBorder="1" applyAlignment="1">
      <alignment horizontal="center"/>
    </xf>
    <xf numFmtId="44" fontId="1" fillId="13" borderId="4" xfId="1" quotePrefix="1" applyFont="1" applyFill="1" applyBorder="1" applyAlignment="1">
      <alignment horizontal="center"/>
    </xf>
    <xf numFmtId="44" fontId="0" fillId="12" borderId="0" xfId="0" applyNumberFormat="1" applyFill="1" applyAlignment="1">
      <alignment horizontal="center"/>
    </xf>
    <xf numFmtId="15" fontId="0" fillId="16" borderId="21" xfId="0" applyNumberFormat="1" applyFill="1" applyBorder="1" applyAlignment="1">
      <alignment horizontal="center"/>
    </xf>
    <xf numFmtId="0" fontId="1" fillId="18" borderId="23" xfId="0" applyNumberFormat="1" applyFont="1" applyFill="1" applyBorder="1" applyAlignment="1">
      <alignment horizontal="center"/>
    </xf>
    <xf numFmtId="44" fontId="1" fillId="0" borderId="0" xfId="1" applyFont="1" applyFill="1" applyAlignment="1">
      <alignment horizontal="center"/>
    </xf>
    <xf numFmtId="0" fontId="0" fillId="16" borderId="21" xfId="1" applyNumberFormat="1" applyFont="1" applyFill="1" applyBorder="1" applyAlignment="1">
      <alignment horizontal="center"/>
    </xf>
    <xf numFmtId="0" fontId="1" fillId="0" borderId="0" xfId="0" applyFont="1" applyFill="1" applyAlignment="1">
      <alignment horizontal="left"/>
    </xf>
    <xf numFmtId="0" fontId="1" fillId="19" borderId="23" xfId="0" applyNumberFormat="1" applyFont="1" applyFill="1" applyBorder="1" applyAlignment="1">
      <alignment horizontal="center"/>
    </xf>
    <xf numFmtId="0" fontId="1" fillId="17" borderId="21" xfId="0" applyFont="1" applyFill="1" applyBorder="1" applyAlignment="1">
      <alignment horizontal="center"/>
    </xf>
    <xf numFmtId="0" fontId="1" fillId="17" borderId="21" xfId="0" applyNumberFormat="1" applyFont="1" applyFill="1" applyBorder="1" applyAlignment="1">
      <alignment horizontal="center"/>
    </xf>
    <xf numFmtId="44" fontId="1" fillId="17" borderId="21" xfId="0" applyNumberFormat="1" applyFont="1" applyFill="1" applyBorder="1" applyAlignment="1">
      <alignment horizontal="center"/>
    </xf>
    <xf numFmtId="44" fontId="0" fillId="17" borderId="21" xfId="1" applyFont="1" applyFill="1" applyBorder="1" applyAlignment="1">
      <alignment horizontal="center"/>
    </xf>
    <xf numFmtId="0" fontId="0" fillId="17" borderId="21" xfId="1" applyNumberFormat="1" applyFont="1" applyFill="1" applyBorder="1" applyAlignment="1">
      <alignment horizontal="center"/>
    </xf>
    <xf numFmtId="4" fontId="0" fillId="17" borderId="23" xfId="1" applyNumberFormat="1" applyFont="1" applyFill="1" applyBorder="1" applyAlignment="1">
      <alignment horizontal="center"/>
    </xf>
    <xf numFmtId="44" fontId="0" fillId="17" borderId="23" xfId="1" applyFont="1" applyFill="1" applyBorder="1" applyAlignment="1">
      <alignment horizontal="center"/>
    </xf>
    <xf numFmtId="44" fontId="0" fillId="17" borderId="26" xfId="1" applyFont="1" applyFill="1" applyBorder="1" applyAlignment="1">
      <alignment horizontal="center"/>
    </xf>
    <xf numFmtId="44" fontId="1" fillId="17" borderId="21" xfId="1" applyFont="1" applyFill="1" applyBorder="1" applyAlignment="1">
      <alignment horizontal="center"/>
    </xf>
    <xf numFmtId="44" fontId="0" fillId="17" borderId="21" xfId="1" applyNumberFormat="1" applyFont="1" applyFill="1" applyBorder="1" applyAlignment="1">
      <alignment horizontal="center"/>
    </xf>
    <xf numFmtId="2" fontId="0" fillId="17" borderId="21" xfId="1" applyNumberFormat="1" applyFont="1" applyFill="1" applyBorder="1" applyAlignment="1">
      <alignment horizontal="center"/>
    </xf>
    <xf numFmtId="0" fontId="1" fillId="17" borderId="26" xfId="0" applyFont="1" applyFill="1" applyBorder="1" applyAlignment="1">
      <alignment horizontal="center"/>
    </xf>
    <xf numFmtId="0" fontId="11" fillId="17" borderId="0" xfId="0" applyFont="1" applyFill="1" applyAlignment="1">
      <alignment horizontal="center"/>
    </xf>
    <xf numFmtId="0" fontId="1" fillId="17" borderId="0" xfId="0" applyFont="1" applyFill="1" applyAlignment="1">
      <alignment horizontal="left"/>
    </xf>
    <xf numFmtId="44" fontId="1" fillId="13" borderId="4" xfId="0" applyNumberFormat="1" applyFont="1" applyFill="1" applyBorder="1" applyAlignment="1">
      <alignment horizontal="center"/>
    </xf>
    <xf numFmtId="44" fontId="0" fillId="13" borderId="4" xfId="1" applyNumberFormat="1" applyFont="1" applyFill="1" applyBorder="1" applyAlignment="1">
      <alignment horizontal="center"/>
    </xf>
    <xf numFmtId="0" fontId="0" fillId="13" borderId="21" xfId="0" applyNumberFormat="1" applyFill="1" applyBorder="1" applyAlignment="1">
      <alignment horizontal="center"/>
    </xf>
    <xf numFmtId="0" fontId="0" fillId="11" borderId="21" xfId="0" applyNumberFormat="1" applyFill="1" applyBorder="1" applyAlignment="1">
      <alignment horizontal="center"/>
    </xf>
    <xf numFmtId="0" fontId="0" fillId="18" borderId="23" xfId="0" applyNumberFormat="1" applyFill="1" applyBorder="1" applyAlignment="1">
      <alignment horizontal="center"/>
    </xf>
    <xf numFmtId="0" fontId="0" fillId="11" borderId="23" xfId="0" applyNumberFormat="1" applyFill="1" applyBorder="1" applyAlignment="1">
      <alignment horizontal="center"/>
    </xf>
    <xf numFmtId="0" fontId="0" fillId="19" borderId="23" xfId="0" applyNumberFormat="1" applyFill="1" applyBorder="1" applyAlignment="1">
      <alignment horizontal="center"/>
    </xf>
    <xf numFmtId="0" fontId="0" fillId="12" borderId="21" xfId="0" applyNumberFormat="1" applyFill="1" applyBorder="1" applyAlignment="1">
      <alignment horizontal="center"/>
    </xf>
    <xf numFmtId="0" fontId="0" fillId="17" borderId="21" xfId="0" applyNumberFormat="1" applyFill="1" applyBorder="1" applyAlignment="1">
      <alignment horizontal="center"/>
    </xf>
    <xf numFmtId="0" fontId="0" fillId="0" borderId="21" xfId="0" applyNumberFormat="1" applyFill="1" applyBorder="1" applyAlignment="1">
      <alignment horizontal="center"/>
    </xf>
    <xf numFmtId="0" fontId="0" fillId="0" borderId="0" xfId="0" applyNumberFormat="1" applyFill="1" applyAlignment="1">
      <alignment horizontal="center"/>
    </xf>
    <xf numFmtId="0" fontId="1" fillId="13" borderId="0" xfId="0" applyFont="1" applyFill="1" applyAlignment="1">
      <alignment horizontal="left"/>
    </xf>
    <xf numFmtId="44" fontId="1" fillId="12" borderId="4" xfId="0" applyNumberFormat="1" applyFont="1" applyFill="1" applyBorder="1" applyAlignment="1">
      <alignment horizontal="center"/>
    </xf>
    <xf numFmtId="44" fontId="0" fillId="12" borderId="4" xfId="1" applyNumberFormat="1" applyFont="1" applyFill="1" applyBorder="1" applyAlignment="1">
      <alignment horizontal="center"/>
    </xf>
    <xf numFmtId="0" fontId="1" fillId="12" borderId="0" xfId="0" applyFont="1" applyFill="1" applyAlignment="1">
      <alignment horizontal="left"/>
    </xf>
    <xf numFmtId="0" fontId="1" fillId="19" borderId="0" xfId="0" applyFont="1" applyFill="1" applyAlignment="1">
      <alignment horizontal="left"/>
    </xf>
    <xf numFmtId="0" fontId="11" fillId="19" borderId="0" xfId="0" applyFont="1" applyFill="1" applyAlignment="1">
      <alignment horizontal="left"/>
    </xf>
    <xf numFmtId="0" fontId="11" fillId="0" borderId="0" xfId="0" applyFont="1" applyFill="1" applyAlignment="1">
      <alignment horizontal="left"/>
    </xf>
    <xf numFmtId="0" fontId="11" fillId="13" borderId="0" xfId="0" applyFont="1" applyFill="1" applyAlignment="1">
      <alignment horizontal="left"/>
    </xf>
    <xf numFmtId="0" fontId="1" fillId="11" borderId="0" xfId="0" applyFont="1" applyFill="1" applyAlignment="1">
      <alignment horizontal="left"/>
    </xf>
    <xf numFmtId="0" fontId="11" fillId="11" borderId="0" xfId="0" applyFont="1" applyFill="1" applyAlignment="1">
      <alignment horizontal="left"/>
    </xf>
    <xf numFmtId="0" fontId="1" fillId="18" borderId="0" xfId="0" applyFont="1" applyFill="1" applyAlignment="1">
      <alignment horizontal="left"/>
    </xf>
    <xf numFmtId="0" fontId="11" fillId="18" borderId="0" xfId="0" applyFont="1" applyFill="1" applyAlignment="1">
      <alignment horizontal="left"/>
    </xf>
    <xf numFmtId="0" fontId="1" fillId="11" borderId="27" xfId="0" applyFont="1" applyFill="1" applyBorder="1" applyAlignment="1">
      <alignment horizontal="center"/>
    </xf>
    <xf numFmtId="0" fontId="1" fillId="16" borderId="23" xfId="0" applyNumberFormat="1" applyFont="1" applyFill="1" applyBorder="1" applyAlignment="1">
      <alignment horizontal="center"/>
    </xf>
    <xf numFmtId="0" fontId="1" fillId="16" borderId="21" xfId="0" applyNumberFormat="1" applyFont="1" applyFill="1" applyBorder="1" applyAlignment="1">
      <alignment horizontal="center"/>
    </xf>
    <xf numFmtId="15" fontId="1" fillId="16" borderId="21" xfId="0" applyNumberFormat="1" applyFont="1" applyFill="1" applyBorder="1" applyAlignment="1">
      <alignment horizontal="center"/>
    </xf>
    <xf numFmtId="15" fontId="0" fillId="17" borderId="21" xfId="0" applyNumberFormat="1" applyFill="1" applyBorder="1" applyAlignment="1">
      <alignment horizontal="center"/>
    </xf>
    <xf numFmtId="0" fontId="1" fillId="19" borderId="26" xfId="0" applyNumberFormat="1" applyFont="1" applyFill="1" applyBorder="1" applyAlignment="1">
      <alignment horizontal="center"/>
    </xf>
    <xf numFmtId="2" fontId="1" fillId="19" borderId="4" xfId="1" applyNumberFormat="1" applyFont="1" applyFill="1" applyBorder="1" applyAlignment="1">
      <alignment horizontal="center"/>
    </xf>
    <xf numFmtId="170" fontId="0" fillId="19" borderId="26" xfId="0" applyNumberFormat="1" applyFill="1" applyBorder="1" applyAlignment="1">
      <alignment horizontal="center"/>
    </xf>
    <xf numFmtId="0" fontId="0" fillId="19" borderId="26" xfId="0" applyNumberFormat="1" applyFill="1" applyBorder="1" applyAlignment="1">
      <alignment horizontal="center"/>
    </xf>
    <xf numFmtId="172" fontId="1" fillId="19" borderId="26" xfId="0" applyNumberFormat="1" applyFont="1" applyFill="1" applyBorder="1" applyAlignment="1">
      <alignment horizontal="center"/>
    </xf>
    <xf numFmtId="0" fontId="1" fillId="19" borderId="26" xfId="1" applyNumberFormat="1" applyFont="1" applyFill="1" applyBorder="1" applyAlignment="1">
      <alignment horizontal="center"/>
    </xf>
    <xf numFmtId="0" fontId="0" fillId="19" borderId="26" xfId="1" applyNumberFormat="1" applyFont="1" applyFill="1" applyBorder="1" applyAlignment="1">
      <alignment horizontal="center"/>
    </xf>
    <xf numFmtId="0" fontId="1" fillId="13" borderId="21" xfId="0" applyFont="1" applyFill="1" applyBorder="1" applyAlignment="1">
      <alignment horizontal="center"/>
    </xf>
    <xf numFmtId="4" fontId="0" fillId="13" borderId="23" xfId="1" applyNumberFormat="1" applyFont="1" applyFill="1" applyBorder="1" applyAlignment="1">
      <alignment horizontal="center"/>
    </xf>
    <xf numFmtId="2" fontId="0" fillId="13" borderId="21" xfId="1" applyNumberFormat="1" applyFont="1" applyFill="1" applyBorder="1" applyAlignment="1">
      <alignment horizontal="center"/>
    </xf>
    <xf numFmtId="0" fontId="0" fillId="13" borderId="0" xfId="0" applyFill="1" applyAlignment="1">
      <alignment horizontal="left"/>
    </xf>
    <xf numFmtId="170" fontId="0" fillId="0" borderId="28" xfId="0" applyNumberFormat="1" applyFill="1" applyBorder="1" applyProtection="1">
      <protection locked="0"/>
    </xf>
    <xf numFmtId="49" fontId="1" fillId="0" borderId="28" xfId="0" applyNumberFormat="1" applyFont="1" applyFill="1" applyBorder="1" applyAlignment="1" applyProtection="1">
      <alignment horizontal="center"/>
      <protection locked="0"/>
    </xf>
    <xf numFmtId="0" fontId="1" fillId="0" borderId="28" xfId="0" applyFont="1" applyFill="1" applyBorder="1" applyAlignment="1" applyProtection="1">
      <alignment horizontal="center"/>
      <protection locked="0"/>
    </xf>
    <xf numFmtId="0" fontId="0" fillId="0" borderId="28" xfId="0" applyFill="1" applyBorder="1" applyAlignment="1" applyProtection="1">
      <alignment horizontal="center"/>
      <protection locked="0"/>
    </xf>
    <xf numFmtId="44" fontId="1" fillId="0" borderId="28" xfId="1" applyFont="1" applyFill="1" applyBorder="1"/>
    <xf numFmtId="3" fontId="1" fillId="13" borderId="4" xfId="1" applyNumberFormat="1" applyFont="1" applyFill="1" applyBorder="1" applyAlignment="1">
      <alignment horizontal="center"/>
    </xf>
    <xf numFmtId="172" fontId="0" fillId="13" borderId="4" xfId="1" applyNumberFormat="1" applyFont="1" applyFill="1" applyBorder="1" applyAlignment="1">
      <alignment horizontal="center"/>
    </xf>
    <xf numFmtId="166" fontId="0" fillId="13" borderId="20" xfId="0" applyNumberFormat="1" applyFill="1" applyBorder="1" applyAlignment="1">
      <alignment horizontal="center"/>
    </xf>
    <xf numFmtId="16" fontId="1" fillId="0" borderId="28" xfId="0" applyNumberFormat="1" applyFont="1" applyFill="1" applyBorder="1" applyAlignment="1" applyProtection="1">
      <alignment horizontal="center"/>
      <protection locked="0"/>
    </xf>
    <xf numFmtId="170" fontId="0" fillId="0" borderId="29" xfId="0" applyNumberFormat="1" applyFill="1" applyBorder="1" applyProtection="1">
      <protection locked="0"/>
    </xf>
    <xf numFmtId="49" fontId="1" fillId="0" borderId="29" xfId="0" applyNumberFormat="1" applyFont="1" applyFill="1" applyBorder="1" applyAlignment="1" applyProtection="1">
      <alignment horizontal="center"/>
      <protection locked="0"/>
    </xf>
    <xf numFmtId="0" fontId="1" fillId="0" borderId="29" xfId="0" applyFont="1" applyFill="1" applyBorder="1" applyAlignment="1" applyProtection="1">
      <alignment horizontal="center"/>
      <protection locked="0"/>
    </xf>
    <xf numFmtId="0" fontId="0" fillId="0" borderId="29" xfId="0" applyFill="1" applyBorder="1" applyAlignment="1" applyProtection="1">
      <alignment horizontal="center"/>
      <protection locked="0"/>
    </xf>
    <xf numFmtId="0" fontId="1" fillId="0" borderId="29" xfId="0" applyFont="1" applyFill="1" applyBorder="1" applyAlignment="1" applyProtection="1">
      <protection locked="0"/>
    </xf>
    <xf numFmtId="0" fontId="0" fillId="0" borderId="29" xfId="0" applyFill="1" applyBorder="1" applyAlignment="1" applyProtection="1">
      <protection locked="0"/>
    </xf>
    <xf numFmtId="169" fontId="1" fillId="0" borderId="29" xfId="0" applyNumberFormat="1" applyFont="1" applyFill="1" applyBorder="1" applyAlignment="1">
      <alignment horizontal="center"/>
    </xf>
    <xf numFmtId="44" fontId="1" fillId="0" borderId="29" xfId="1" applyFont="1" applyFill="1" applyBorder="1"/>
    <xf numFmtId="0" fontId="0" fillId="13" borderId="21" xfId="0" applyFill="1" applyBorder="1" applyAlignment="1">
      <alignment horizontal="center"/>
    </xf>
    <xf numFmtId="39" fontId="0" fillId="13" borderId="21" xfId="1" applyNumberFormat="1" applyFont="1" applyFill="1" applyBorder="1" applyAlignment="1">
      <alignment horizontal="center"/>
    </xf>
    <xf numFmtId="0" fontId="0" fillId="13" borderId="29" xfId="0" applyFill="1" applyBorder="1" applyAlignment="1">
      <alignment horizontal="center"/>
    </xf>
    <xf numFmtId="174" fontId="0" fillId="9" borderId="4" xfId="0" applyNumberFormat="1" applyFill="1" applyBorder="1" applyAlignment="1">
      <alignment horizontal="center"/>
    </xf>
    <xf numFmtId="2" fontId="0" fillId="9" borderId="0" xfId="0" applyNumberFormat="1" applyFill="1" applyAlignment="1">
      <alignment horizontal="center"/>
    </xf>
    <xf numFmtId="0" fontId="0" fillId="9" borderId="21" xfId="0" applyFill="1" applyBorder="1" applyAlignment="1">
      <alignment horizontal="center"/>
    </xf>
    <xf numFmtId="44" fontId="0" fillId="9" borderId="21" xfId="1" applyFont="1" applyFill="1" applyBorder="1" applyAlignment="1">
      <alignment horizontal="center"/>
    </xf>
    <xf numFmtId="0" fontId="0" fillId="9" borderId="21" xfId="1" applyNumberFormat="1" applyFont="1" applyFill="1" applyBorder="1" applyAlignment="1">
      <alignment horizontal="center"/>
    </xf>
    <xf numFmtId="39" fontId="0" fillId="9" borderId="21" xfId="1" applyNumberFormat="1" applyFont="1" applyFill="1" applyBorder="1" applyAlignment="1">
      <alignment horizontal="center"/>
    </xf>
    <xf numFmtId="0" fontId="0" fillId="9" borderId="0" xfId="0" applyFill="1" applyAlignment="1">
      <alignment horizontal="center"/>
    </xf>
    <xf numFmtId="0" fontId="11" fillId="9" borderId="0" xfId="0" applyFont="1" applyFill="1" applyAlignment="1">
      <alignment horizontal="center"/>
    </xf>
    <xf numFmtId="0" fontId="0" fillId="9" borderId="0" xfId="0" applyFill="1"/>
    <xf numFmtId="15" fontId="0" fillId="0" borderId="29" xfId="0" applyNumberFormat="1" applyFill="1" applyBorder="1" applyAlignment="1">
      <alignment horizontal="center"/>
    </xf>
    <xf numFmtId="0" fontId="1" fillId="0" borderId="29" xfId="0" applyNumberFormat="1" applyFont="1" applyFill="1" applyBorder="1" applyAlignment="1">
      <alignment horizontal="center"/>
    </xf>
    <xf numFmtId="2" fontId="0" fillId="0" borderId="29" xfId="0" applyNumberFormat="1" applyFill="1" applyBorder="1" applyAlignment="1">
      <alignment horizontal="center"/>
    </xf>
    <xf numFmtId="0" fontId="0" fillId="0" borderId="29" xfId="0" applyFill="1" applyBorder="1" applyAlignment="1">
      <alignment horizontal="center"/>
    </xf>
    <xf numFmtId="0" fontId="1" fillId="0" borderId="29" xfId="0" applyFont="1" applyFill="1" applyBorder="1" applyAlignment="1">
      <alignment horizontal="center"/>
    </xf>
    <xf numFmtId="44" fontId="0" fillId="0" borderId="29" xfId="1" applyFont="1" applyFill="1" applyBorder="1" applyAlignment="1">
      <alignment horizontal="center"/>
    </xf>
    <xf numFmtId="44" fontId="1" fillId="0" borderId="29" xfId="1" applyFont="1" applyFill="1" applyBorder="1" applyAlignment="1">
      <alignment horizontal="center"/>
    </xf>
    <xf numFmtId="0" fontId="1" fillId="0" borderId="29" xfId="1" applyNumberFormat="1" applyFont="1" applyFill="1" applyBorder="1" applyAlignment="1">
      <alignment horizontal="center"/>
    </xf>
    <xf numFmtId="0" fontId="0" fillId="0" borderId="29" xfId="1" applyNumberFormat="1" applyFont="1" applyFill="1" applyBorder="1" applyAlignment="1">
      <alignment horizontal="center"/>
    </xf>
    <xf numFmtId="0" fontId="11" fillId="0" borderId="29" xfId="0" applyFont="1" applyFill="1" applyBorder="1" applyAlignment="1">
      <alignment horizontal="center"/>
    </xf>
    <xf numFmtId="170" fontId="0" fillId="13" borderId="29" xfId="0" applyNumberFormat="1" applyFill="1" applyBorder="1" applyAlignment="1">
      <alignment horizontal="center"/>
    </xf>
    <xf numFmtId="49" fontId="0" fillId="13" borderId="29" xfId="0" applyNumberFormat="1" applyFill="1" applyBorder="1" applyAlignment="1">
      <alignment horizontal="center"/>
    </xf>
    <xf numFmtId="0" fontId="0" fillId="13" borderId="29" xfId="1" applyNumberFormat="1" applyFont="1" applyFill="1" applyBorder="1" applyAlignment="1">
      <alignment horizontal="center"/>
    </xf>
    <xf numFmtId="44" fontId="0" fillId="13" borderId="29" xfId="1" applyFont="1" applyFill="1" applyBorder="1" applyAlignment="1">
      <alignment horizontal="center"/>
    </xf>
    <xf numFmtId="39" fontId="0" fillId="13" borderId="29" xfId="1" applyNumberFormat="1" applyFont="1" applyFill="1" applyBorder="1" applyAlignment="1">
      <alignment horizontal="center"/>
    </xf>
    <xf numFmtId="0" fontId="11" fillId="13" borderId="29" xfId="0" applyFont="1" applyFill="1" applyBorder="1" applyAlignment="1">
      <alignment horizontal="center"/>
    </xf>
    <xf numFmtId="44" fontId="0" fillId="13" borderId="29" xfId="0" applyNumberFormat="1" applyFill="1" applyBorder="1" applyAlignment="1">
      <alignment horizontal="center"/>
    </xf>
    <xf numFmtId="49" fontId="1" fillId="19" borderId="4" xfId="0" applyNumberFormat="1" applyFont="1" applyFill="1" applyBorder="1" applyAlignment="1">
      <alignment horizontal="center"/>
    </xf>
    <xf numFmtId="3" fontId="1" fillId="19" borderId="4" xfId="1" applyNumberFormat="1" applyFont="1" applyFill="1" applyBorder="1" applyAlignment="1">
      <alignment horizontal="center"/>
    </xf>
    <xf numFmtId="172" fontId="0" fillId="19" borderId="4" xfId="1" applyNumberFormat="1" applyFont="1" applyFill="1" applyBorder="1" applyAlignment="1">
      <alignment horizontal="center"/>
    </xf>
    <xf numFmtId="44" fontId="0" fillId="19" borderId="14" xfId="1" applyFont="1" applyFill="1" applyBorder="1" applyAlignment="1">
      <alignment horizontal="center"/>
    </xf>
    <xf numFmtId="0" fontId="0" fillId="19" borderId="20" xfId="0" applyFill="1" applyBorder="1" applyAlignment="1">
      <alignment horizontal="center"/>
    </xf>
    <xf numFmtId="166" fontId="0" fillId="19" borderId="20" xfId="0" applyNumberFormat="1" applyFill="1" applyBorder="1" applyAlignment="1">
      <alignment horizontal="center"/>
    </xf>
    <xf numFmtId="0" fontId="11" fillId="7" borderId="4" xfId="0" applyFont="1" applyFill="1" applyBorder="1" applyAlignment="1">
      <alignment horizontal="left"/>
    </xf>
    <xf numFmtId="15" fontId="0" fillId="9" borderId="4" xfId="0" applyNumberFormat="1" applyFill="1" applyBorder="1" applyAlignment="1">
      <alignment horizontal="center"/>
    </xf>
    <xf numFmtId="49" fontId="1" fillId="9" borderId="4" xfId="0" applyNumberFormat="1" applyFont="1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44" fontId="1" fillId="9" borderId="4" xfId="1" applyFont="1" applyFill="1" applyBorder="1" applyAlignment="1">
      <alignment horizontal="center"/>
    </xf>
    <xf numFmtId="0" fontId="1" fillId="9" borderId="4" xfId="1" applyNumberFormat="1" applyFont="1" applyFill="1" applyBorder="1" applyAlignment="1">
      <alignment horizontal="center"/>
    </xf>
    <xf numFmtId="44" fontId="0" fillId="9" borderId="4" xfId="1" applyFont="1" applyFill="1" applyBorder="1" applyAlignment="1">
      <alignment horizontal="center"/>
    </xf>
    <xf numFmtId="0" fontId="0" fillId="9" borderId="4" xfId="1" applyNumberFormat="1" applyFont="1" applyFill="1" applyBorder="1" applyAlignment="1">
      <alignment horizontal="center"/>
    </xf>
    <xf numFmtId="0" fontId="0" fillId="9" borderId="17" xfId="1" applyNumberFormat="1" applyFont="1" applyFill="1" applyBorder="1" applyAlignment="1">
      <alignment horizontal="center"/>
    </xf>
    <xf numFmtId="44" fontId="0" fillId="9" borderId="17" xfId="1" applyFont="1" applyFill="1" applyBorder="1" applyAlignment="1">
      <alignment horizontal="center"/>
    </xf>
    <xf numFmtId="44" fontId="0" fillId="9" borderId="27" xfId="1" applyFont="1" applyFill="1" applyBorder="1" applyAlignment="1">
      <alignment horizontal="center"/>
    </xf>
    <xf numFmtId="0" fontId="11" fillId="9" borderId="4" xfId="0" applyFont="1" applyFill="1" applyBorder="1" applyAlignment="1">
      <alignment horizontal="left"/>
    </xf>
    <xf numFmtId="0" fontId="11" fillId="11" borderId="4" xfId="0" applyFont="1" applyFill="1" applyBorder="1" applyAlignment="1">
      <alignment horizontal="left"/>
    </xf>
    <xf numFmtId="0" fontId="11" fillId="12" borderId="4" xfId="0" applyFont="1" applyFill="1" applyBorder="1" applyAlignment="1">
      <alignment horizontal="left"/>
    </xf>
    <xf numFmtId="15" fontId="0" fillId="0" borderId="29" xfId="0" applyNumberFormat="1" applyBorder="1" applyAlignment="1">
      <alignment horizontal="center"/>
    </xf>
    <xf numFmtId="0" fontId="0" fillId="0" borderId="29" xfId="0" quotePrefix="1" applyNumberFormat="1" applyBorder="1" applyAlignment="1">
      <alignment horizontal="center"/>
    </xf>
    <xf numFmtId="0" fontId="0" fillId="0" borderId="29" xfId="0" applyNumberFormat="1" applyBorder="1" applyAlignment="1">
      <alignment horizontal="center"/>
    </xf>
    <xf numFmtId="0" fontId="0" fillId="0" borderId="29" xfId="1" applyNumberFormat="1" applyFont="1" applyBorder="1" applyAlignment="1">
      <alignment horizontal="center"/>
    </xf>
    <xf numFmtId="44" fontId="0" fillId="0" borderId="29" xfId="1" applyFont="1" applyBorder="1" applyAlignment="1">
      <alignment horizontal="center"/>
    </xf>
    <xf numFmtId="15" fontId="11" fillId="0" borderId="29" xfId="0" applyNumberFormat="1" applyFont="1" applyBorder="1" applyAlignment="1">
      <alignment horizontal="left"/>
    </xf>
    <xf numFmtId="44" fontId="0" fillId="5" borderId="17" xfId="1" applyFont="1" applyFill="1" applyBorder="1" applyAlignment="1">
      <alignment horizontal="center"/>
    </xf>
    <xf numFmtId="44" fontId="0" fillId="18" borderId="14" xfId="1" applyFont="1" applyFill="1" applyBorder="1" applyAlignment="1">
      <alignment horizontal="center"/>
    </xf>
    <xf numFmtId="0" fontId="0" fillId="18" borderId="14" xfId="1" applyNumberFormat="1" applyFont="1" applyFill="1" applyBorder="1" applyAlignment="1">
      <alignment horizontal="center"/>
    </xf>
    <xf numFmtId="44" fontId="0" fillId="18" borderId="4" xfId="0" applyNumberFormat="1" applyFill="1" applyBorder="1" applyAlignment="1">
      <alignment horizontal="center"/>
    </xf>
    <xf numFmtId="49" fontId="1" fillId="18" borderId="4" xfId="0" applyNumberFormat="1" applyFont="1" applyFill="1" applyBorder="1" applyAlignment="1">
      <alignment horizontal="center"/>
    </xf>
    <xf numFmtId="170" fontId="0" fillId="18" borderId="29" xfId="0" applyNumberFormat="1" applyFill="1" applyBorder="1" applyAlignment="1">
      <alignment horizontal="center"/>
    </xf>
    <xf numFmtId="49" fontId="0" fillId="18" borderId="29" xfId="0" applyNumberFormat="1" applyFill="1" applyBorder="1" applyAlignment="1">
      <alignment horizontal="center"/>
    </xf>
    <xf numFmtId="0" fontId="0" fillId="18" borderId="29" xfId="1" applyNumberFormat="1" applyFont="1" applyFill="1" applyBorder="1" applyAlignment="1">
      <alignment horizontal="center"/>
    </xf>
    <xf numFmtId="44" fontId="0" fillId="18" borderId="29" xfId="1" applyFont="1" applyFill="1" applyBorder="1" applyAlignment="1">
      <alignment horizontal="center"/>
    </xf>
    <xf numFmtId="39" fontId="0" fillId="18" borderId="29" xfId="1" applyNumberFormat="1" applyFont="1" applyFill="1" applyBorder="1" applyAlignment="1">
      <alignment horizontal="center"/>
    </xf>
    <xf numFmtId="0" fontId="11" fillId="18" borderId="29" xfId="0" applyFont="1" applyFill="1" applyBorder="1" applyAlignment="1">
      <alignment horizontal="center"/>
    </xf>
    <xf numFmtId="44" fontId="0" fillId="18" borderId="29" xfId="0" applyNumberFormat="1" applyFill="1" applyBorder="1" applyAlignment="1">
      <alignment horizontal="center"/>
    </xf>
    <xf numFmtId="16" fontId="0" fillId="0" borderId="29" xfId="0" applyNumberFormat="1" applyBorder="1"/>
    <xf numFmtId="0" fontId="0" fillId="0" borderId="29" xfId="0" applyBorder="1" applyAlignment="1">
      <alignment horizontal="center"/>
    </xf>
    <xf numFmtId="16" fontId="0" fillId="0" borderId="29" xfId="0" applyNumberFormat="1" applyBorder="1" applyAlignment="1">
      <alignment horizontal="center"/>
    </xf>
    <xf numFmtId="0" fontId="0" fillId="0" borderId="29" xfId="0" applyBorder="1"/>
    <xf numFmtId="44" fontId="1" fillId="0" borderId="29" xfId="1" applyFont="1" applyBorder="1"/>
    <xf numFmtId="168" fontId="0" fillId="0" borderId="29" xfId="0" applyNumberFormat="1" applyFill="1" applyBorder="1" applyAlignment="1" applyProtection="1">
      <alignment horizontal="center"/>
      <protection locked="0"/>
    </xf>
    <xf numFmtId="169" fontId="0" fillId="0" borderId="29" xfId="0" applyNumberFormat="1" applyFill="1" applyBorder="1" applyAlignment="1">
      <alignment horizontal="center"/>
    </xf>
    <xf numFmtId="0" fontId="1" fillId="0" borderId="29" xfId="0" applyFont="1" applyFill="1" applyBorder="1" applyAlignment="1" applyProtection="1">
      <alignment horizontal="left"/>
      <protection locked="0"/>
    </xf>
    <xf numFmtId="0" fontId="0" fillId="0" borderId="29" xfId="0" applyBorder="1" applyAlignment="1">
      <alignment horizontal="left"/>
    </xf>
    <xf numFmtId="0" fontId="0" fillId="0" borderId="0" xfId="0" applyAlignment="1">
      <alignment horizontal="left"/>
    </xf>
    <xf numFmtId="173" fontId="0" fillId="11" borderId="4" xfId="0" applyNumberFormat="1" applyFill="1" applyBorder="1" applyAlignment="1">
      <alignment horizontal="center"/>
    </xf>
    <xf numFmtId="172" fontId="0" fillId="11" borderId="4" xfId="1" applyNumberFormat="1" applyFont="1" applyFill="1" applyBorder="1" applyAlignment="1">
      <alignment horizontal="center"/>
    </xf>
    <xf numFmtId="0" fontId="0" fillId="11" borderId="14" xfId="1" applyNumberFormat="1" applyFont="1" applyFill="1" applyBorder="1" applyAlignment="1">
      <alignment horizontal="center"/>
    </xf>
    <xf numFmtId="44" fontId="0" fillId="11" borderId="20" xfId="1" applyFont="1" applyFill="1" applyBorder="1" applyAlignment="1">
      <alignment horizontal="center"/>
    </xf>
    <xf numFmtId="0" fontId="0" fillId="11" borderId="20" xfId="0" applyFill="1" applyBorder="1" applyAlignment="1">
      <alignment horizontal="center"/>
    </xf>
    <xf numFmtId="3" fontId="0" fillId="11" borderId="4" xfId="1" applyNumberFormat="1" applyFont="1" applyFill="1" applyBorder="1" applyAlignment="1">
      <alignment horizontal="center"/>
    </xf>
    <xf numFmtId="3" fontId="1" fillId="11" borderId="4" xfId="1" applyNumberFormat="1" applyFont="1" applyFill="1" applyBorder="1" applyAlignment="1">
      <alignment horizontal="center"/>
    </xf>
    <xf numFmtId="173" fontId="1" fillId="11" borderId="14" xfId="0" applyNumberFormat="1" applyFont="1" applyFill="1" applyBorder="1" applyAlignment="1">
      <alignment horizontal="center"/>
    </xf>
    <xf numFmtId="0" fontId="0" fillId="11" borderId="14" xfId="0" applyFill="1" applyBorder="1" applyAlignment="1">
      <alignment horizontal="center"/>
    </xf>
    <xf numFmtId="3" fontId="1" fillId="11" borderId="14" xfId="1" applyNumberFormat="1" applyFont="1" applyFill="1" applyBorder="1" applyAlignment="1">
      <alignment horizontal="center"/>
    </xf>
    <xf numFmtId="0" fontId="11" fillId="11" borderId="14" xfId="0" applyFont="1" applyFill="1" applyBorder="1" applyAlignment="1">
      <alignment horizontal="center"/>
    </xf>
    <xf numFmtId="15" fontId="0" fillId="11" borderId="29" xfId="0" applyNumberFormat="1" applyFill="1" applyBorder="1" applyAlignment="1">
      <alignment horizontal="center"/>
    </xf>
    <xf numFmtId="173" fontId="1" fillId="11" borderId="29" xfId="0" applyNumberFormat="1" applyFont="1" applyFill="1" applyBorder="1" applyAlignment="1">
      <alignment horizontal="center"/>
    </xf>
    <xf numFmtId="0" fontId="1" fillId="11" borderId="29" xfId="0" applyFont="1" applyFill="1" applyBorder="1" applyAlignment="1">
      <alignment horizontal="center"/>
    </xf>
    <xf numFmtId="0" fontId="11" fillId="11" borderId="29" xfId="0" applyFont="1" applyFill="1" applyBorder="1" applyAlignment="1">
      <alignment horizontal="center"/>
    </xf>
    <xf numFmtId="15" fontId="1" fillId="0" borderId="4" xfId="0" applyNumberFormat="1" applyFont="1" applyBorder="1" applyAlignment="1">
      <alignment horizontal="left"/>
    </xf>
    <xf numFmtId="2" fontId="0" fillId="0" borderId="12" xfId="0" applyNumberFormat="1" applyFill="1" applyBorder="1"/>
    <xf numFmtId="44" fontId="0" fillId="19" borderId="4" xfId="0" applyNumberFormat="1" applyFill="1" applyBorder="1" applyAlignment="1">
      <alignment horizontal="center"/>
    </xf>
    <xf numFmtId="44" fontId="0" fillId="19" borderId="29" xfId="1" applyFont="1" applyFill="1" applyBorder="1" applyAlignment="1">
      <alignment horizontal="center"/>
    </xf>
    <xf numFmtId="0" fontId="0" fillId="19" borderId="29" xfId="0" applyFill="1" applyBorder="1" applyAlignment="1">
      <alignment horizontal="center"/>
    </xf>
    <xf numFmtId="170" fontId="0" fillId="19" borderId="25" xfId="0" applyNumberFormat="1" applyFill="1" applyBorder="1" applyAlignment="1">
      <alignment horizontal="center"/>
    </xf>
    <xf numFmtId="49" fontId="0" fillId="19" borderId="25" xfId="0" applyNumberFormat="1" applyFill="1" applyBorder="1" applyAlignment="1">
      <alignment horizontal="center"/>
    </xf>
    <xf numFmtId="0" fontId="0" fillId="19" borderId="25" xfId="1" applyNumberFormat="1" applyFont="1" applyFill="1" applyBorder="1" applyAlignment="1">
      <alignment horizontal="center"/>
    </xf>
    <xf numFmtId="39" fontId="0" fillId="19" borderId="25" xfId="1" applyNumberFormat="1" applyFont="1" applyFill="1" applyBorder="1" applyAlignment="1">
      <alignment horizontal="center"/>
    </xf>
    <xf numFmtId="0" fontId="0" fillId="19" borderId="25" xfId="0" applyFill="1" applyBorder="1" applyAlignment="1">
      <alignment horizontal="center"/>
    </xf>
    <xf numFmtId="0" fontId="11" fillId="19" borderId="25" xfId="0" applyFont="1" applyFill="1" applyBorder="1" applyAlignment="1">
      <alignment horizontal="center"/>
    </xf>
    <xf numFmtId="44" fontId="0" fillId="19" borderId="25" xfId="0" applyNumberFormat="1" applyFill="1" applyBorder="1" applyAlignment="1">
      <alignment horizontal="center"/>
    </xf>
    <xf numFmtId="49" fontId="0" fillId="19" borderId="29" xfId="0" applyNumberFormat="1" applyFill="1" applyBorder="1" applyAlignment="1">
      <alignment horizontal="center"/>
    </xf>
    <xf numFmtId="39" fontId="0" fillId="19" borderId="29" xfId="1" applyNumberFormat="1" applyFont="1" applyFill="1" applyBorder="1" applyAlignment="1">
      <alignment horizontal="center"/>
    </xf>
    <xf numFmtId="0" fontId="11" fillId="19" borderId="29" xfId="0" applyFont="1" applyFill="1" applyBorder="1" applyAlignment="1">
      <alignment horizontal="center"/>
    </xf>
    <xf numFmtId="0" fontId="0" fillId="19" borderId="29" xfId="0" applyFill="1" applyBorder="1"/>
    <xf numFmtId="170" fontId="0" fillId="16" borderId="4" xfId="0" applyNumberFormat="1" applyFill="1" applyBorder="1" applyAlignment="1">
      <alignment horizontal="center"/>
    </xf>
    <xf numFmtId="49" fontId="0" fillId="16" borderId="4" xfId="0" applyNumberFormat="1" applyFill="1" applyBorder="1" applyAlignment="1">
      <alignment horizontal="center"/>
    </xf>
    <xf numFmtId="44" fontId="0" fillId="16" borderId="14" xfId="1" applyFont="1" applyFill="1" applyBorder="1" applyAlignment="1">
      <alignment horizontal="center"/>
    </xf>
    <xf numFmtId="0" fontId="0" fillId="16" borderId="14" xfId="1" applyNumberFormat="1" applyFont="1" applyFill="1" applyBorder="1" applyAlignment="1">
      <alignment horizontal="center"/>
    </xf>
    <xf numFmtId="44" fontId="0" fillId="16" borderId="4" xfId="0" applyNumberFormat="1" applyFill="1" applyBorder="1" applyAlignment="1">
      <alignment horizontal="center"/>
    </xf>
    <xf numFmtId="170" fontId="0" fillId="13" borderId="5" xfId="0" applyNumberFormat="1" applyFill="1" applyBorder="1" applyAlignment="1">
      <alignment horizontal="center"/>
    </xf>
    <xf numFmtId="0" fontId="0" fillId="13" borderId="29" xfId="0" applyFill="1" applyBorder="1"/>
    <xf numFmtId="49" fontId="0" fillId="13" borderId="5" xfId="0" applyNumberFormat="1" applyFill="1" applyBorder="1" applyAlignment="1">
      <alignment horizontal="center"/>
    </xf>
    <xf numFmtId="0" fontId="0" fillId="13" borderId="5" xfId="1" applyNumberFormat="1" applyFont="1" applyFill="1" applyBorder="1" applyAlignment="1">
      <alignment horizontal="center"/>
    </xf>
    <xf numFmtId="44" fontId="0" fillId="13" borderId="5" xfId="1" applyFont="1" applyFill="1" applyBorder="1" applyAlignment="1">
      <alignment horizontal="center"/>
    </xf>
    <xf numFmtId="39" fontId="0" fillId="13" borderId="5" xfId="1" applyNumberFormat="1" applyFont="1" applyFill="1" applyBorder="1" applyAlignment="1">
      <alignment horizontal="center"/>
    </xf>
    <xf numFmtId="0" fontId="11" fillId="13" borderId="5" xfId="0" applyFont="1" applyFill="1" applyBorder="1" applyAlignment="1">
      <alignment horizontal="center"/>
    </xf>
    <xf numFmtId="44" fontId="0" fillId="13" borderId="5" xfId="0" applyNumberFormat="1" applyFill="1" applyBorder="1" applyAlignment="1">
      <alignment horizontal="center"/>
    </xf>
    <xf numFmtId="166" fontId="3" fillId="0" borderId="4" xfId="0" applyNumberFormat="1" applyFont="1" applyFill="1" applyBorder="1"/>
    <xf numFmtId="166" fontId="3" fillId="0" borderId="4" xfId="0" applyNumberFormat="1" applyFont="1" applyFill="1" applyBorder="1" applyProtection="1">
      <protection locked="0"/>
    </xf>
    <xf numFmtId="0" fontId="0" fillId="6" borderId="4" xfId="1" applyNumberFormat="1" applyFont="1" applyFill="1" applyBorder="1" applyAlignment="1">
      <alignment horizontal="center" vertical="center" wrapText="1" shrinkToFit="1"/>
    </xf>
    <xf numFmtId="0" fontId="0" fillId="0" borderId="19" xfId="0" applyFont="1" applyFill="1" applyBorder="1" applyAlignment="1" applyProtection="1">
      <protection locked="0"/>
    </xf>
    <xf numFmtId="0" fontId="0" fillId="0" borderId="14" xfId="0" applyFont="1" applyFill="1" applyBorder="1" applyAlignment="1" applyProtection="1">
      <alignment horizontal="center"/>
      <protection locked="0"/>
    </xf>
    <xf numFmtId="49" fontId="0" fillId="0" borderId="14" xfId="0" applyNumberFormat="1" applyFont="1" applyFill="1" applyBorder="1" applyAlignment="1" applyProtection="1">
      <alignment horizontal="center"/>
      <protection locked="0"/>
    </xf>
    <xf numFmtId="49" fontId="0" fillId="0" borderId="19" xfId="0" applyNumberFormat="1" applyFont="1" applyFill="1" applyBorder="1" applyAlignment="1" applyProtection="1">
      <alignment horizontal="center"/>
      <protection locked="0"/>
    </xf>
    <xf numFmtId="49" fontId="0" fillId="0" borderId="29" xfId="0" applyNumberFormat="1" applyFont="1" applyFill="1" applyBorder="1" applyAlignment="1" applyProtection="1">
      <alignment horizontal="center"/>
      <protection locked="0"/>
    </xf>
    <xf numFmtId="170" fontId="0" fillId="6" borderId="4" xfId="0" applyNumberFormat="1" applyFont="1" applyFill="1" applyBorder="1" applyAlignment="1">
      <alignment horizontal="center" vertical="center" wrapText="1" shrinkToFit="1"/>
    </xf>
    <xf numFmtId="44" fontId="0" fillId="6" borderId="4" xfId="1" applyFont="1" applyFill="1" applyBorder="1" applyAlignment="1">
      <alignment horizontal="center" vertical="center" wrapText="1" shrinkToFit="1"/>
    </xf>
    <xf numFmtId="170" fontId="1" fillId="6" borderId="29" xfId="0" applyNumberFormat="1" applyFont="1" applyFill="1" applyBorder="1" applyAlignment="1">
      <alignment horizontal="center" vertical="center" wrapText="1" shrinkToFit="1"/>
    </xf>
    <xf numFmtId="2" fontId="1" fillId="6" borderId="29" xfId="1" applyNumberFormat="1" applyFont="1" applyFill="1" applyBorder="1" applyAlignment="1">
      <alignment horizontal="center" vertical="center" wrapText="1" shrinkToFit="1"/>
    </xf>
    <xf numFmtId="0" fontId="0" fillId="6" borderId="29" xfId="1" applyNumberFormat="1" applyFont="1" applyFill="1" applyBorder="1" applyAlignment="1">
      <alignment horizontal="center" vertical="center" wrapText="1" shrinkToFit="1"/>
    </xf>
    <xf numFmtId="44" fontId="1" fillId="6" borderId="29" xfId="1" applyFont="1" applyFill="1" applyBorder="1" applyAlignment="1">
      <alignment horizontal="center" vertical="center" wrapText="1" shrinkToFit="1"/>
    </xf>
    <xf numFmtId="0" fontId="1" fillId="6" borderId="29" xfId="0" applyFont="1" applyFill="1" applyBorder="1" applyAlignment="1">
      <alignment horizontal="center" vertical="center" wrapText="1" shrinkToFit="1"/>
    </xf>
    <xf numFmtId="170" fontId="1" fillId="12" borderId="29" xfId="0" applyNumberFormat="1" applyFont="1" applyFill="1" applyBorder="1" applyAlignment="1">
      <alignment horizontal="center" vertical="center" wrapText="1" shrinkToFit="1"/>
    </xf>
    <xf numFmtId="2" fontId="1" fillId="12" borderId="29" xfId="1" applyNumberFormat="1" applyFont="1" applyFill="1" applyBorder="1" applyAlignment="1">
      <alignment horizontal="center" vertical="center" wrapText="1" shrinkToFit="1"/>
    </xf>
    <xf numFmtId="0" fontId="0" fillId="12" borderId="29" xfId="1" applyNumberFormat="1" applyFont="1" applyFill="1" applyBorder="1" applyAlignment="1">
      <alignment horizontal="center" vertical="center" wrapText="1" shrinkToFit="1"/>
    </xf>
    <xf numFmtId="44" fontId="1" fillId="12" borderId="29" xfId="1" applyFont="1" applyFill="1" applyBorder="1" applyAlignment="1">
      <alignment horizontal="center" vertical="center" wrapText="1" shrinkToFit="1"/>
    </xf>
    <xf numFmtId="0" fontId="1" fillId="12" borderId="29" xfId="0" applyFont="1" applyFill="1" applyBorder="1" applyAlignment="1">
      <alignment horizontal="center" vertical="center" wrapText="1" shrinkToFit="1"/>
    </xf>
    <xf numFmtId="49" fontId="1" fillId="12" borderId="4" xfId="1" applyNumberFormat="1" applyFont="1" applyFill="1" applyBorder="1" applyAlignment="1">
      <alignment horizontal="center"/>
    </xf>
    <xf numFmtId="49" fontId="0" fillId="17" borderId="4" xfId="0" applyNumberFormat="1" applyFill="1" applyBorder="1" applyAlignment="1">
      <alignment horizontal="center"/>
    </xf>
    <xf numFmtId="49" fontId="0" fillId="11" borderId="4" xfId="0" applyNumberFormat="1" applyFont="1" applyFill="1" applyBorder="1" applyAlignment="1">
      <alignment horizontal="center"/>
    </xf>
    <xf numFmtId="49" fontId="0" fillId="13" borderId="4" xfId="1" applyNumberFormat="1" applyFont="1" applyFill="1" applyBorder="1" applyAlignment="1">
      <alignment horizontal="center"/>
    </xf>
    <xf numFmtId="170" fontId="0" fillId="12" borderId="29" xfId="0" applyNumberFormat="1" applyFill="1" applyBorder="1" applyAlignment="1">
      <alignment horizontal="center"/>
    </xf>
    <xf numFmtId="2" fontId="0" fillId="12" borderId="29" xfId="1" applyNumberFormat="1" applyFont="1" applyFill="1" applyBorder="1" applyAlignment="1">
      <alignment horizontal="center"/>
    </xf>
    <xf numFmtId="0" fontId="1" fillId="12" borderId="29" xfId="1" applyNumberFormat="1" applyFont="1" applyFill="1" applyBorder="1" applyAlignment="1">
      <alignment horizontal="center"/>
    </xf>
    <xf numFmtId="44" fontId="0" fillId="12" borderId="29" xfId="1" applyFont="1" applyFill="1" applyBorder="1" applyAlignment="1">
      <alignment horizontal="center"/>
    </xf>
    <xf numFmtId="0" fontId="0" fillId="12" borderId="29" xfId="1" applyNumberFormat="1" applyFont="1" applyFill="1" applyBorder="1" applyAlignment="1">
      <alignment horizontal="center"/>
    </xf>
    <xf numFmtId="49" fontId="0" fillId="12" borderId="29" xfId="1" applyNumberFormat="1" applyFont="1" applyFill="1" applyBorder="1" applyAlignment="1">
      <alignment horizontal="center"/>
    </xf>
    <xf numFmtId="0" fontId="11" fillId="12" borderId="29" xfId="0" applyFont="1" applyFill="1" applyBorder="1" applyAlignment="1">
      <alignment horizontal="center"/>
    </xf>
    <xf numFmtId="170" fontId="10" fillId="0" borderId="4" xfId="0" applyNumberFormat="1" applyFont="1" applyFill="1" applyBorder="1" applyAlignment="1">
      <alignment horizontal="left"/>
    </xf>
    <xf numFmtId="0" fontId="1" fillId="6" borderId="29" xfId="1" applyNumberFormat="1" applyFont="1" applyFill="1" applyBorder="1" applyAlignment="1">
      <alignment horizontal="center" vertical="center" wrapText="1" shrinkToFit="1"/>
    </xf>
    <xf numFmtId="39" fontId="1" fillId="6" borderId="29" xfId="1" applyNumberFormat="1" applyFont="1" applyFill="1" applyBorder="1" applyAlignment="1">
      <alignment horizontal="center" vertical="center" wrapText="1" shrinkToFit="1"/>
    </xf>
    <xf numFmtId="170" fontId="1" fillId="13" borderId="29" xfId="0" applyNumberFormat="1" applyFont="1" applyFill="1" applyBorder="1" applyAlignment="1">
      <alignment horizontal="center" vertical="center" wrapText="1" shrinkToFit="1"/>
    </xf>
    <xf numFmtId="2" fontId="1" fillId="13" borderId="29" xfId="1" applyNumberFormat="1" applyFont="1" applyFill="1" applyBorder="1" applyAlignment="1">
      <alignment horizontal="center" vertical="center" wrapText="1" shrinkToFit="1"/>
    </xf>
    <xf numFmtId="0" fontId="0" fillId="13" borderId="29" xfId="1" applyNumberFormat="1" applyFont="1" applyFill="1" applyBorder="1" applyAlignment="1">
      <alignment horizontal="center" vertical="center" wrapText="1" shrinkToFit="1"/>
    </xf>
    <xf numFmtId="44" fontId="1" fillId="13" borderId="29" xfId="1" applyFont="1" applyFill="1" applyBorder="1" applyAlignment="1">
      <alignment horizontal="center" vertical="center" wrapText="1" shrinkToFit="1"/>
    </xf>
    <xf numFmtId="0" fontId="1" fillId="13" borderId="29" xfId="1" applyNumberFormat="1" applyFont="1" applyFill="1" applyBorder="1" applyAlignment="1">
      <alignment horizontal="center" vertical="center" wrapText="1" shrinkToFit="1"/>
    </xf>
    <xf numFmtId="39" fontId="1" fillId="13" borderId="29" xfId="1" applyNumberFormat="1" applyFont="1" applyFill="1" applyBorder="1" applyAlignment="1">
      <alignment horizontal="center" vertical="center" wrapText="1" shrinkToFit="1"/>
    </xf>
    <xf numFmtId="0" fontId="1" fillId="13" borderId="29" xfId="0" applyFont="1" applyFill="1" applyBorder="1" applyAlignment="1">
      <alignment horizontal="center" vertical="center" wrapText="1" shrinkToFit="1"/>
    </xf>
    <xf numFmtId="49" fontId="1" fillId="6" borderId="29" xfId="0" applyNumberFormat="1" applyFont="1" applyFill="1" applyBorder="1" applyAlignment="1">
      <alignment horizontal="center" vertical="center" wrapText="1" shrinkToFit="1"/>
    </xf>
    <xf numFmtId="170" fontId="0" fillId="6" borderId="29" xfId="0" applyNumberFormat="1" applyFont="1" applyFill="1" applyBorder="1" applyAlignment="1">
      <alignment horizontal="center" vertical="center" wrapText="1" shrinkToFit="1"/>
    </xf>
    <xf numFmtId="166" fontId="1" fillId="6" borderId="29" xfId="1" applyNumberFormat="1" applyFont="1" applyFill="1" applyBorder="1" applyAlignment="1">
      <alignment horizontal="center" vertical="center" wrapText="1" shrinkToFit="1"/>
    </xf>
    <xf numFmtId="44" fontId="0" fillId="0" borderId="29" xfId="0" applyNumberFormat="1" applyBorder="1" applyAlignment="1">
      <alignment horizontal="center"/>
    </xf>
    <xf numFmtId="44" fontId="0" fillId="11" borderId="0" xfId="0" applyNumberFormat="1" applyFill="1" applyBorder="1" applyAlignment="1">
      <alignment horizontal="center"/>
    </xf>
    <xf numFmtId="44" fontId="1" fillId="0" borderId="29" xfId="1" applyFont="1" applyFill="1" applyBorder="1" applyAlignment="1">
      <alignment horizontal="center" vertical="center" wrapText="1" shrinkToFit="1"/>
    </xf>
    <xf numFmtId="0" fontId="1" fillId="0" borderId="29" xfId="1" applyNumberFormat="1" applyFont="1" applyFill="1" applyBorder="1" applyAlignment="1">
      <alignment horizontal="center" vertical="center" wrapText="1" shrinkToFit="1"/>
    </xf>
    <xf numFmtId="0" fontId="1" fillId="0" borderId="29" xfId="0" applyFont="1" applyFill="1" applyBorder="1" applyAlignment="1">
      <alignment horizontal="center" vertical="center" wrapText="1" shrinkToFit="1"/>
    </xf>
    <xf numFmtId="170" fontId="1" fillId="0" borderId="29" xfId="0" applyNumberFormat="1" applyFont="1" applyFill="1" applyBorder="1" applyAlignment="1">
      <alignment horizontal="center" vertical="center" wrapText="1" shrinkToFit="1"/>
    </xf>
    <xf numFmtId="49" fontId="1" fillId="0" borderId="29" xfId="0" applyNumberFormat="1" applyFont="1" applyFill="1" applyBorder="1" applyAlignment="1">
      <alignment horizontal="center" vertical="center" wrapText="1" shrinkToFit="1"/>
    </xf>
    <xf numFmtId="2" fontId="1" fillId="0" borderId="29" xfId="1" applyNumberFormat="1" applyFont="1" applyFill="1" applyBorder="1" applyAlignment="1">
      <alignment horizontal="center" vertical="center" wrapText="1" shrinkToFit="1"/>
    </xf>
    <xf numFmtId="39" fontId="1" fillId="0" borderId="29" xfId="1" applyNumberFormat="1" applyFont="1" applyFill="1" applyBorder="1" applyAlignment="1">
      <alignment horizontal="center" vertical="center" wrapText="1" shrinkToFit="1"/>
    </xf>
    <xf numFmtId="44" fontId="1" fillId="6" borderId="29" xfId="1" applyFont="1" applyFill="1" applyBorder="1" applyAlignment="1">
      <alignment horizontal="center" vertical="center"/>
    </xf>
    <xf numFmtId="44" fontId="9" fillId="0" borderId="29" xfId="2" applyNumberFormat="1" applyFill="1" applyBorder="1" applyAlignment="1" applyProtection="1">
      <alignment horizontal="center" vertical="center" wrapText="1" shrinkToFit="1"/>
    </xf>
    <xf numFmtId="170" fontId="10" fillId="5" borderId="2" xfId="0" applyNumberFormat="1" applyFont="1" applyFill="1" applyBorder="1" applyAlignment="1">
      <alignment horizontal="left"/>
    </xf>
    <xf numFmtId="2" fontId="0" fillId="0" borderId="6" xfId="1" applyNumberFormat="1" applyFont="1" applyBorder="1" applyAlignment="1">
      <alignment horizontal="center"/>
    </xf>
    <xf numFmtId="0" fontId="0" fillId="5" borderId="3" xfId="1" applyNumberFormat="1" applyFont="1" applyFill="1" applyBorder="1" applyAlignment="1">
      <alignment horizontal="center"/>
    </xf>
    <xf numFmtId="44" fontId="5" fillId="10" borderId="4" xfId="0" applyNumberFormat="1" applyFont="1" applyFill="1" applyBorder="1" applyAlignment="1">
      <alignment horizontal="center" wrapText="1"/>
    </xf>
    <xf numFmtId="0" fontId="5" fillId="10" borderId="1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left"/>
    </xf>
    <xf numFmtId="0" fontId="5" fillId="0" borderId="6" xfId="0" applyFont="1" applyFill="1" applyBorder="1" applyAlignment="1">
      <alignment horizontal="left"/>
    </xf>
    <xf numFmtId="0" fontId="5" fillId="0" borderId="3" xfId="0" applyFont="1" applyFill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4" borderId="2" xfId="0" applyFont="1" applyFill="1" applyBorder="1" applyAlignment="1" applyProtection="1">
      <alignment horizontal="center"/>
      <protection locked="0"/>
    </xf>
    <xf numFmtId="0" fontId="2" fillId="4" borderId="6" xfId="0" applyFont="1" applyFill="1" applyBorder="1" applyAlignment="1" applyProtection="1">
      <alignment horizontal="center"/>
      <protection locked="0"/>
    </xf>
    <xf numFmtId="0" fontId="2" fillId="4" borderId="3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>
      <alignment horizontal="right"/>
    </xf>
    <xf numFmtId="0" fontId="2" fillId="2" borderId="6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9" fontId="2" fillId="9" borderId="2" xfId="5" applyFont="1" applyFill="1" applyBorder="1" applyAlignment="1">
      <alignment horizontal="center" vertical="center"/>
    </xf>
    <xf numFmtId="9" fontId="2" fillId="9" borderId="3" xfId="5" applyFont="1" applyFill="1" applyBorder="1" applyAlignment="1">
      <alignment horizontal="center" vertical="center"/>
    </xf>
    <xf numFmtId="0" fontId="5" fillId="0" borderId="2" xfId="0" applyFont="1" applyFill="1" applyBorder="1" applyAlignment="1"/>
    <xf numFmtId="0" fontId="5" fillId="0" borderId="6" xfId="0" applyFont="1" applyFill="1" applyBorder="1" applyAlignment="1"/>
    <xf numFmtId="0" fontId="5" fillId="0" borderId="3" xfId="0" applyFont="1" applyFill="1" applyBorder="1" applyAlignment="1"/>
    <xf numFmtId="166" fontId="2" fillId="4" borderId="4" xfId="0" applyNumberFormat="1" applyFont="1" applyFill="1" applyBorder="1" applyAlignment="1"/>
    <xf numFmtId="166" fontId="2" fillId="4" borderId="2" xfId="0" applyNumberFormat="1" applyFont="1" applyFill="1" applyBorder="1" applyAlignment="1"/>
    <xf numFmtId="166" fontId="2" fillId="4" borderId="3" xfId="0" applyNumberFormat="1" applyFont="1" applyFill="1" applyBorder="1" applyAlignment="1"/>
    <xf numFmtId="44" fontId="2" fillId="9" borderId="2" xfId="0" applyNumberFormat="1" applyFont="1" applyFill="1" applyBorder="1" applyAlignment="1">
      <alignment horizontal="center" vertical="center"/>
    </xf>
    <xf numFmtId="44" fontId="2" fillId="9" borderId="3" xfId="0" applyNumberFormat="1" applyFont="1" applyFill="1" applyBorder="1" applyAlignment="1">
      <alignment horizontal="center" vertical="center"/>
    </xf>
  </cellXfs>
  <cellStyles count="6">
    <cellStyle name="Currency" xfId="1" builtinId="4"/>
    <cellStyle name="Hyperlink" xfId="2" builtinId="8"/>
    <cellStyle name="Normal" xfId="0" builtinId="0"/>
    <cellStyle name="Normal 3" xfId="4"/>
    <cellStyle name="Normal_Sheet2" xfId="3"/>
    <cellStyle name="Percent" xfId="5" builtinId="5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B3B3"/>
      <color rgb="FFFFFF99"/>
      <color rgb="FFFFFF66"/>
      <color rgb="FFFFFF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20" Type="http://schemas.openxmlformats.org/officeDocument/2006/relationships/sharedStrings" Target="sharedStrings.xml"/><Relationship Id="rId21" Type="http://schemas.openxmlformats.org/officeDocument/2006/relationships/calcChain" Target="calcChain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66675</xdr:colOff>
      <xdr:row>0</xdr:row>
      <xdr:rowOff>76200</xdr:rowOff>
    </xdr:from>
    <xdr:to>
      <xdr:col>9</xdr:col>
      <xdr:colOff>1295400</xdr:colOff>
      <xdr:row>4</xdr:row>
      <xdr:rowOff>44219</xdr:rowOff>
    </xdr:to>
    <xdr:pic>
      <xdr:nvPicPr>
        <xdr:cNvPr id="1025" name="Picture 1" descr="http://thepipeline.pembina.net/Utilities/Assets/Handler/Asset.ashx?asset=251376&amp;size=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210925" y="76200"/>
          <a:ext cx="1228725" cy="615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Relationship Id="rId2" Type="http://schemas.openxmlformats.org/officeDocument/2006/relationships/comments" Target="../comments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.vml"/><Relationship Id="rId2" Type="http://schemas.openxmlformats.org/officeDocument/2006/relationships/comments" Target="../comments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.vml"/><Relationship Id="rId2" Type="http://schemas.openxmlformats.org/officeDocument/2006/relationships/comments" Target="../comments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 enableFormatConditionsCalculation="0">
    <tabColor theme="0"/>
    <pageSetUpPr fitToPage="1"/>
  </sheetPr>
  <dimension ref="A1:L350"/>
  <sheetViews>
    <sheetView tabSelected="1" zoomScale="90" zoomScaleNormal="90" zoomScalePageLayoutView="90" workbookViewId="0">
      <selection activeCell="F12" sqref="F12"/>
    </sheetView>
  </sheetViews>
  <sheetFormatPr baseColWidth="10" defaultColWidth="8.83203125" defaultRowHeight="12" x14ac:dyDescent="0"/>
  <cols>
    <col min="1" max="1" width="17.33203125" bestFit="1" customWidth="1"/>
    <col min="2" max="2" width="19.1640625" customWidth="1"/>
    <col min="3" max="3" width="23.83203125" customWidth="1"/>
    <col min="4" max="4" width="11" customWidth="1"/>
    <col min="5" max="5" width="23.1640625" style="86" customWidth="1"/>
    <col min="6" max="6" width="19.5" customWidth="1"/>
    <col min="7" max="7" width="18.5" customWidth="1"/>
    <col min="8" max="8" width="19" customWidth="1"/>
    <col min="9" max="9" width="19.6640625" style="73" customWidth="1"/>
    <col min="10" max="10" width="17.1640625" style="81" customWidth="1"/>
    <col min="11" max="11" width="16.33203125" customWidth="1"/>
  </cols>
  <sheetData>
    <row r="1" spans="1:12">
      <c r="A1" s="11" t="s">
        <v>2</v>
      </c>
      <c r="B1" s="1227"/>
      <c r="C1" s="1228"/>
      <c r="D1" s="1229"/>
      <c r="E1" s="87"/>
      <c r="F1" s="14"/>
      <c r="G1" s="15" t="s">
        <v>24</v>
      </c>
      <c r="H1" s="1238">
        <f>SUM(G8:G82)</f>
        <v>7007813.8399999999</v>
      </c>
      <c r="I1" s="1238"/>
    </row>
    <row r="2" spans="1:12">
      <c r="A2" s="12" t="s">
        <v>3</v>
      </c>
      <c r="B2" s="1227"/>
      <c r="C2" s="1228"/>
      <c r="D2" s="1229"/>
      <c r="E2" s="88"/>
      <c r="F2" s="14"/>
      <c r="G2" s="15" t="s">
        <v>28</v>
      </c>
      <c r="H2" s="1238">
        <f ca="1">SUM(H8:H37)</f>
        <v>5460281.0219047619</v>
      </c>
      <c r="I2" s="1238"/>
      <c r="J2" s="82"/>
    </row>
    <row r="3" spans="1:12">
      <c r="A3" s="13" t="s">
        <v>4</v>
      </c>
      <c r="B3" s="1227"/>
      <c r="C3" s="1228"/>
      <c r="D3" s="1229"/>
      <c r="E3" s="89"/>
      <c r="F3" s="311"/>
      <c r="G3" s="16" t="s">
        <v>29</v>
      </c>
      <c r="H3" s="1239">
        <f ca="1">SUM(J8:J37)</f>
        <v>4886664.1231847601</v>
      </c>
      <c r="I3" s="1240"/>
      <c r="J3" s="83"/>
    </row>
    <row r="4" spans="1:12">
      <c r="A4" s="12" t="s">
        <v>5</v>
      </c>
      <c r="B4" s="1227"/>
      <c r="C4" s="1228"/>
      <c r="D4" s="1229"/>
      <c r="E4" s="1230" t="s">
        <v>365</v>
      </c>
      <c r="F4" s="1231"/>
      <c r="G4" s="1232"/>
      <c r="H4" s="1233">
        <f ca="1">H3/H1</f>
        <v>0.69731648624740872</v>
      </c>
      <c r="I4" s="1234"/>
    </row>
    <row r="5" spans="1:12">
      <c r="A5" s="12"/>
      <c r="B5" s="1227"/>
      <c r="C5" s="1228"/>
      <c r="D5" s="1229"/>
      <c r="E5" s="1230"/>
      <c r="F5" s="1231"/>
      <c r="G5" s="1232"/>
      <c r="H5" s="1241"/>
      <c r="I5" s="1242"/>
      <c r="K5" s="85"/>
    </row>
    <row r="6" spans="1:12">
      <c r="A6" s="10"/>
      <c r="B6" s="1"/>
      <c r="C6" s="1"/>
      <c r="D6" s="1"/>
      <c r="E6" s="90"/>
      <c r="F6" s="1"/>
      <c r="G6" s="1"/>
      <c r="H6" s="3" t="s">
        <v>319</v>
      </c>
      <c r="I6" s="77" t="s">
        <v>25</v>
      </c>
      <c r="J6" s="1218" t="s">
        <v>725</v>
      </c>
      <c r="K6" s="1217" t="s">
        <v>726</v>
      </c>
    </row>
    <row r="7" spans="1:12">
      <c r="A7" s="74" t="s">
        <v>1</v>
      </c>
      <c r="B7" s="20"/>
      <c r="C7" s="4" t="s">
        <v>6</v>
      </c>
      <c r="D7" s="5"/>
      <c r="E7" s="91" t="s">
        <v>10</v>
      </c>
      <c r="F7" s="6" t="s">
        <v>1074</v>
      </c>
      <c r="G7" s="7" t="s">
        <v>27</v>
      </c>
      <c r="H7" s="8" t="s">
        <v>721</v>
      </c>
      <c r="I7" s="78" t="s">
        <v>722</v>
      </c>
      <c r="J7" s="1219"/>
      <c r="K7" s="1217"/>
    </row>
    <row r="8" spans="1:12">
      <c r="A8" s="75">
        <v>100</v>
      </c>
      <c r="B8" s="1235" t="s">
        <v>1070</v>
      </c>
      <c r="C8" s="1236"/>
      <c r="D8" s="1237"/>
      <c r="E8" s="92">
        <v>4500000000</v>
      </c>
      <c r="F8" s="21"/>
      <c r="G8" s="18">
        <v>0</v>
      </c>
      <c r="H8" s="9">
        <f ca="1">SUMIF(H$86:I$227,A8,I$86:I$227)</f>
        <v>0</v>
      </c>
      <c r="I8" s="79">
        <f ca="1">G8-H8</f>
        <v>0</v>
      </c>
      <c r="J8" s="110"/>
      <c r="K8" s="149">
        <f>G8-J8</f>
        <v>0</v>
      </c>
    </row>
    <row r="9" spans="1:12" s="119" customFormat="1">
      <c r="A9" s="779">
        <v>103</v>
      </c>
      <c r="B9" s="1235" t="s">
        <v>1133</v>
      </c>
      <c r="C9" s="1236"/>
      <c r="D9" s="1237"/>
      <c r="E9" s="92">
        <v>4500091323</v>
      </c>
      <c r="F9" s="780"/>
      <c r="G9" s="781">
        <v>90000</v>
      </c>
      <c r="H9" s="782">
        <f ca="1">SUMIF(H$86:I$281,A9,I$86:I$281)</f>
        <v>87775</v>
      </c>
      <c r="I9" s="783">
        <f t="shared" ref="I9:I63" ca="1" si="0">G9-H9</f>
        <v>2225</v>
      </c>
      <c r="J9" s="561">
        <f>SUM('Arete Design Solutions'!R5)</f>
        <v>87775</v>
      </c>
      <c r="K9" s="110">
        <f>G9-J9</f>
        <v>2225</v>
      </c>
      <c r="L9" s="308"/>
    </row>
    <row r="10" spans="1:12" s="119" customFormat="1">
      <c r="A10" s="779">
        <v>104</v>
      </c>
      <c r="B10" s="1235" t="s">
        <v>1072</v>
      </c>
      <c r="C10" s="1236"/>
      <c r="D10" s="1237"/>
      <c r="E10" s="92">
        <v>4500000002</v>
      </c>
      <c r="F10" s="780"/>
      <c r="G10" s="781">
        <v>70000</v>
      </c>
      <c r="H10" s="782">
        <f ca="1">SUMIF(H$86:I$281,A10,I$86:I$281)</f>
        <v>36050</v>
      </c>
      <c r="I10" s="783">
        <f t="shared" ca="1" si="0"/>
        <v>33950</v>
      </c>
      <c r="J10" s="561">
        <f>'Vendor #3'!AA5</f>
        <v>36050</v>
      </c>
      <c r="K10" s="561">
        <f t="shared" ref="K10:K27" si="1">G10-J10</f>
        <v>33950</v>
      </c>
      <c r="L10" s="308"/>
    </row>
    <row r="11" spans="1:12" s="119" customFormat="1">
      <c r="A11" s="779">
        <v>105</v>
      </c>
      <c r="B11" s="1235" t="s">
        <v>1073</v>
      </c>
      <c r="C11" s="1236"/>
      <c r="D11" s="1237"/>
      <c r="E11" s="92">
        <v>4500000003</v>
      </c>
      <c r="F11" s="780"/>
      <c r="G11" s="781">
        <v>120000</v>
      </c>
      <c r="H11" s="782">
        <f ca="1">SUMIF(H$86:I$281,A11,I$86:I$281)</f>
        <v>119300</v>
      </c>
      <c r="I11" s="783">
        <f t="shared" ca="1" si="0"/>
        <v>700</v>
      </c>
      <c r="J11" s="561">
        <f>SUM('Vendor #4'!AB5)</f>
        <v>116350</v>
      </c>
      <c r="K11" s="561">
        <f t="shared" si="1"/>
        <v>3650</v>
      </c>
    </row>
    <row r="12" spans="1:12" s="2" customFormat="1">
      <c r="A12" s="22">
        <v>106</v>
      </c>
      <c r="B12" s="1235" t="s">
        <v>1089</v>
      </c>
      <c r="C12" s="1236"/>
      <c r="D12" s="1237"/>
      <c r="E12" s="92">
        <v>4500000004</v>
      </c>
      <c r="F12" s="32"/>
      <c r="G12" s="292">
        <v>25000</v>
      </c>
      <c r="H12" s="293">
        <f ca="1">SUMIF(H$86:I$227,A12,I$86:I$227)</f>
        <v>15645.95238095238</v>
      </c>
      <c r="I12" s="80">
        <f t="shared" ca="1" si="0"/>
        <v>9354.0476190476202</v>
      </c>
      <c r="J12" s="293">
        <f ca="1">H12</f>
        <v>15645.95238095238</v>
      </c>
      <c r="K12" s="110">
        <f t="shared" ca="1" si="1"/>
        <v>9354.0476190476202</v>
      </c>
      <c r="L12" s="297"/>
    </row>
    <row r="13" spans="1:12" s="2" customFormat="1">
      <c r="A13" s="22">
        <v>107</v>
      </c>
      <c r="B13" s="1235" t="s">
        <v>1090</v>
      </c>
      <c r="C13" s="1236"/>
      <c r="D13" s="1237"/>
      <c r="E13" s="92">
        <v>4500000005</v>
      </c>
      <c r="F13" s="32"/>
      <c r="G13" s="292">
        <f>(74000+14800)</f>
        <v>88800</v>
      </c>
      <c r="H13" s="293">
        <f ca="1">SUMIF(H$86:I$227,A13,I$86:I$227)</f>
        <v>0</v>
      </c>
      <c r="I13" s="80">
        <f t="shared" ca="1" si="0"/>
        <v>88800</v>
      </c>
      <c r="J13" s="1159"/>
      <c r="K13" s="110">
        <f t="shared" si="1"/>
        <v>88800</v>
      </c>
      <c r="L13" s="297"/>
    </row>
    <row r="14" spans="1:12" s="2" customFormat="1">
      <c r="A14" s="22">
        <v>108</v>
      </c>
      <c r="B14" s="1235" t="s">
        <v>1091</v>
      </c>
      <c r="C14" s="1236"/>
      <c r="D14" s="1237"/>
      <c r="E14" s="92">
        <v>4500000006</v>
      </c>
      <c r="F14" s="32"/>
      <c r="G14" s="292">
        <v>32500</v>
      </c>
      <c r="H14" s="293">
        <f ca="1">SUMIF(H$86:I$227,A14,I$86:I$227)</f>
        <v>9675.2380952380954</v>
      </c>
      <c r="I14" s="80">
        <f t="shared" ca="1" si="0"/>
        <v>22824.761904761905</v>
      </c>
      <c r="J14" s="293">
        <f ca="1">H14</f>
        <v>9675.2380952380954</v>
      </c>
      <c r="K14" s="110">
        <f t="shared" ca="1" si="1"/>
        <v>22824.761904761905</v>
      </c>
      <c r="L14" s="297"/>
    </row>
    <row r="15" spans="1:12" s="2" customFormat="1">
      <c r="A15" s="22">
        <v>109</v>
      </c>
      <c r="B15" s="1235" t="s">
        <v>1092</v>
      </c>
      <c r="C15" s="1236"/>
      <c r="D15" s="1237"/>
      <c r="E15" s="92">
        <v>4500000007</v>
      </c>
      <c r="F15" s="32"/>
      <c r="G15" s="292">
        <v>210000</v>
      </c>
      <c r="H15" s="293">
        <f ca="1">SUMIF(H$86:H$575,A15,I$86:I$294)</f>
        <v>193842</v>
      </c>
      <c r="I15" s="80">
        <f ca="1">G15-H15</f>
        <v>16158</v>
      </c>
      <c r="J15" s="110">
        <f>SUM('Vendor #8'!AA5)</f>
        <v>193842</v>
      </c>
      <c r="K15" s="110">
        <f t="shared" si="1"/>
        <v>16158</v>
      </c>
      <c r="L15" s="297"/>
    </row>
    <row r="16" spans="1:12" s="2" customFormat="1">
      <c r="A16" s="22">
        <v>110</v>
      </c>
      <c r="B16" s="1235" t="s">
        <v>1093</v>
      </c>
      <c r="C16" s="1236"/>
      <c r="D16" s="1237"/>
      <c r="E16" s="92">
        <v>4500000008</v>
      </c>
      <c r="F16" s="32"/>
      <c r="G16" s="292">
        <v>12075</v>
      </c>
      <c r="H16" s="293">
        <f ca="1">SUMIF(H$86:I$227,A16,I$86:I$227)</f>
        <v>9528.5714285714275</v>
      </c>
      <c r="I16" s="80">
        <f t="shared" ca="1" si="0"/>
        <v>2546.4285714285725</v>
      </c>
      <c r="J16" s="293">
        <f ca="1">H16</f>
        <v>9528.5714285714275</v>
      </c>
      <c r="K16" s="110">
        <f t="shared" ca="1" si="1"/>
        <v>2546.4285714285725</v>
      </c>
      <c r="L16" s="297"/>
    </row>
    <row r="17" spans="1:12" s="2" customFormat="1">
      <c r="A17" s="22">
        <v>111</v>
      </c>
      <c r="B17" s="1235" t="s">
        <v>1094</v>
      </c>
      <c r="C17" s="1236"/>
      <c r="D17" s="1237"/>
      <c r="E17" s="92">
        <v>4500000009</v>
      </c>
      <c r="F17" s="32"/>
      <c r="G17" s="292">
        <v>74347.94</v>
      </c>
      <c r="H17" s="293">
        <f ca="1">SUMIF(H$86:I$227,A17,I$86:I$227)</f>
        <v>0</v>
      </c>
      <c r="I17" s="80">
        <f t="shared" ca="1" si="0"/>
        <v>74347.94</v>
      </c>
      <c r="J17" s="21"/>
      <c r="K17" s="110">
        <f t="shared" si="1"/>
        <v>74347.94</v>
      </c>
      <c r="L17" s="297"/>
    </row>
    <row r="18" spans="1:12" s="2" customFormat="1">
      <c r="A18" s="22">
        <v>113</v>
      </c>
      <c r="B18" s="1235" t="s">
        <v>1095</v>
      </c>
      <c r="C18" s="1236"/>
      <c r="D18" s="1237"/>
      <c r="E18" s="92">
        <v>4500000010</v>
      </c>
      <c r="F18" s="32"/>
      <c r="G18" s="292">
        <v>200000</v>
      </c>
      <c r="H18" s="293">
        <f ca="1">SUMIF(H$86:I$347,A18,I$86:I$354)</f>
        <v>195250</v>
      </c>
      <c r="I18" s="80">
        <f t="shared" ca="1" si="0"/>
        <v>4750</v>
      </c>
      <c r="J18" s="110">
        <f>SUM('Vendor #11'!AA5)</f>
        <v>195250</v>
      </c>
      <c r="K18" s="110">
        <f t="shared" si="1"/>
        <v>4750</v>
      </c>
    </row>
    <row r="19" spans="1:12" s="2" customFormat="1">
      <c r="A19" s="22">
        <v>114</v>
      </c>
      <c r="B19" s="1235" t="s">
        <v>1096</v>
      </c>
      <c r="C19" s="1236"/>
      <c r="D19" s="1237"/>
      <c r="E19" s="92">
        <v>4500000011</v>
      </c>
      <c r="F19" s="32"/>
      <c r="G19" s="292">
        <v>66300</v>
      </c>
      <c r="H19" s="293">
        <f ca="1">SUMIF(H$86:I$227,A19,I$86:I$227)</f>
        <v>18245.5</v>
      </c>
      <c r="I19" s="80">
        <f t="shared" ca="1" si="0"/>
        <v>48054.5</v>
      </c>
      <c r="J19" s="110">
        <f>'Vendor #12'!Y5</f>
        <v>18298</v>
      </c>
      <c r="K19" s="110">
        <f t="shared" si="1"/>
        <v>48002</v>
      </c>
      <c r="L19" s="297"/>
    </row>
    <row r="20" spans="1:12" s="2" customFormat="1">
      <c r="A20" s="22">
        <v>115</v>
      </c>
      <c r="B20" s="1235" t="s">
        <v>1097</v>
      </c>
      <c r="C20" s="1236"/>
      <c r="D20" s="1237"/>
      <c r="E20" s="92">
        <v>4500000012</v>
      </c>
      <c r="F20" s="32"/>
      <c r="G20" s="292">
        <v>140239</v>
      </c>
      <c r="H20" s="293">
        <f ca="1">SUMIF(H$86:I$289,A20,I$86:I$227)</f>
        <v>131560.70000000001</v>
      </c>
      <c r="I20" s="80">
        <f t="shared" ca="1" si="0"/>
        <v>8678.2999999999884</v>
      </c>
      <c r="J20" s="110">
        <f>SUM('Vendor #13'!AA5)</f>
        <v>131560.70000000001</v>
      </c>
      <c r="K20" s="110">
        <f t="shared" si="1"/>
        <v>8678.2999999999884</v>
      </c>
      <c r="L20" s="297"/>
    </row>
    <row r="21" spans="1:12" s="2" customFormat="1">
      <c r="A21" s="22">
        <v>116</v>
      </c>
      <c r="B21" s="1235" t="s">
        <v>1109</v>
      </c>
      <c r="C21" s="1236"/>
      <c r="D21" s="1237"/>
      <c r="E21" s="92">
        <v>4500000013</v>
      </c>
      <c r="F21" s="32"/>
      <c r="G21" s="292">
        <v>1374812</v>
      </c>
      <c r="H21" s="293">
        <f ca="1">SUMIF(H$86:I$343,A21,I$86:I$343)</f>
        <v>1224133.5200000003</v>
      </c>
      <c r="I21" s="80">
        <f ca="1">G21-H21</f>
        <v>150678.47999999975</v>
      </c>
      <c r="J21" s="110">
        <f>SUM('Vendor #14'!AD7)</f>
        <v>1224133.5050000001</v>
      </c>
      <c r="K21" s="110">
        <f t="shared" si="1"/>
        <v>150678.49499999988</v>
      </c>
      <c r="L21" s="297"/>
    </row>
    <row r="22" spans="1:12" s="2" customFormat="1">
      <c r="A22" s="22">
        <v>120</v>
      </c>
      <c r="B22" s="1235" t="s">
        <v>1098</v>
      </c>
      <c r="C22" s="1236"/>
      <c r="D22" s="1237"/>
      <c r="E22" s="92">
        <v>4500000014</v>
      </c>
      <c r="F22" s="32"/>
      <c r="G22" s="292">
        <v>94050</v>
      </c>
      <c r="H22" s="293">
        <f ca="1">SUMIF(H$86:I$302,A22,I$86:I$227)</f>
        <v>85981</v>
      </c>
      <c r="I22" s="80">
        <f t="shared" ca="1" si="0"/>
        <v>8069</v>
      </c>
      <c r="J22" s="110">
        <f>SUM('Vendor #17'!AG5)</f>
        <v>89327</v>
      </c>
      <c r="K22" s="110">
        <f t="shared" si="1"/>
        <v>4723</v>
      </c>
      <c r="L22" s="297"/>
    </row>
    <row r="23" spans="1:12" s="2" customFormat="1">
      <c r="A23" s="22">
        <v>121</v>
      </c>
      <c r="B23" s="1235" t="s">
        <v>1099</v>
      </c>
      <c r="C23" s="1236"/>
      <c r="D23" s="1237"/>
      <c r="E23" s="92">
        <v>4500000015</v>
      </c>
      <c r="F23" s="32"/>
      <c r="G23" s="292">
        <v>950000</v>
      </c>
      <c r="H23" s="293">
        <f ca="1">SUMIF(H$86:I$281,A23,I$86:I$281)</f>
        <v>848982.64</v>
      </c>
      <c r="I23" s="80">
        <f ca="1">G23-H23</f>
        <v>101017.35999999999</v>
      </c>
      <c r="J23" s="110">
        <f>SUM('Vendor #18'!W5)</f>
        <v>850360.14</v>
      </c>
      <c r="K23" s="110">
        <f t="shared" si="1"/>
        <v>99639.859999999986</v>
      </c>
      <c r="L23" s="297"/>
    </row>
    <row r="24" spans="1:12" s="2" customFormat="1">
      <c r="A24" s="22">
        <v>122</v>
      </c>
      <c r="B24" s="1235" t="s">
        <v>1100</v>
      </c>
      <c r="C24" s="1236"/>
      <c r="D24" s="1237"/>
      <c r="E24" s="92">
        <v>4500000016</v>
      </c>
      <c r="F24" s="32"/>
      <c r="G24" s="292">
        <v>650000</v>
      </c>
      <c r="H24" s="293">
        <f ca="1">SUMIF(H$86:I$282,A24,I$86:I$282)</f>
        <v>615159.5</v>
      </c>
      <c r="I24" s="80">
        <f t="shared" ca="1" si="0"/>
        <v>34840.5</v>
      </c>
      <c r="J24" s="110">
        <f>SUM('Vendor #19'!AM5)</f>
        <v>615159.5</v>
      </c>
      <c r="K24" s="110">
        <f t="shared" si="1"/>
        <v>34840.5</v>
      </c>
      <c r="L24" s="297"/>
    </row>
    <row r="25" spans="1:12" s="2" customFormat="1">
      <c r="A25" s="22">
        <v>123</v>
      </c>
      <c r="B25" s="1235" t="s">
        <v>1101</v>
      </c>
      <c r="C25" s="1236"/>
      <c r="D25" s="1237"/>
      <c r="E25" s="92">
        <v>4500000017</v>
      </c>
      <c r="F25" s="32"/>
      <c r="G25" s="292">
        <v>688004</v>
      </c>
      <c r="H25" s="293">
        <f ca="1">SUMIF(H$86:I$227,A25,I$86:I$227)</f>
        <v>0</v>
      </c>
      <c r="I25" s="80">
        <f t="shared" ca="1" si="0"/>
        <v>688004</v>
      </c>
      <c r="J25" s="110">
        <f>SUM('Vendor #20'!AW5)</f>
        <v>228259.49999999991</v>
      </c>
      <c r="K25" s="110">
        <f t="shared" si="1"/>
        <v>459744.50000000012</v>
      </c>
      <c r="L25" s="297"/>
    </row>
    <row r="26" spans="1:12" s="2" customFormat="1">
      <c r="A26" s="22">
        <v>125</v>
      </c>
      <c r="B26" s="1235" t="s">
        <v>1102</v>
      </c>
      <c r="C26" s="1236"/>
      <c r="D26" s="1237"/>
      <c r="E26" s="92">
        <v>4500000018</v>
      </c>
      <c r="F26" s="32"/>
      <c r="G26" s="292">
        <v>117000</v>
      </c>
      <c r="H26" s="293">
        <f ca="1">SUMIF(H$86:I$227,A26,I$86:I$227)</f>
        <v>117000</v>
      </c>
      <c r="I26" s="80">
        <f t="shared" ca="1" si="0"/>
        <v>0</v>
      </c>
      <c r="J26" s="110">
        <v>117000</v>
      </c>
      <c r="K26" s="110">
        <f t="shared" si="1"/>
        <v>0</v>
      </c>
      <c r="L26" s="297"/>
    </row>
    <row r="27" spans="1:12" s="2" customFormat="1">
      <c r="A27" s="22">
        <v>127</v>
      </c>
      <c r="B27" s="1235" t="s">
        <v>1103</v>
      </c>
      <c r="C27" s="1236"/>
      <c r="D27" s="1237"/>
      <c r="E27" s="92">
        <v>4500000019</v>
      </c>
      <c r="F27" s="32"/>
      <c r="G27" s="292">
        <v>133650</v>
      </c>
      <c r="H27" s="293">
        <f ca="1">SUMIF(H$86:I$227,A27,I$86:I$227)</f>
        <v>116045</v>
      </c>
      <c r="I27" s="80">
        <f t="shared" ca="1" si="0"/>
        <v>17605</v>
      </c>
      <c r="J27" s="115">
        <f>'Vendor #23'!S5</f>
        <v>116045</v>
      </c>
      <c r="K27" s="110">
        <f t="shared" si="1"/>
        <v>17605</v>
      </c>
      <c r="L27" s="902"/>
    </row>
    <row r="28" spans="1:12" s="2" customFormat="1">
      <c r="A28" s="22">
        <v>128</v>
      </c>
      <c r="B28" s="1235" t="s">
        <v>1105</v>
      </c>
      <c r="C28" s="1236"/>
      <c r="D28" s="1237"/>
      <c r="E28" s="92">
        <v>4500000020</v>
      </c>
      <c r="F28" s="32"/>
      <c r="G28" s="292">
        <v>871045</v>
      </c>
      <c r="H28" s="293">
        <f ca="1">SUMIF(H$86:I$268,A28,I$86:I$262)</f>
        <v>832506.39999999991</v>
      </c>
      <c r="I28" s="80">
        <f t="shared" ca="1" si="0"/>
        <v>38538.600000000093</v>
      </c>
      <c r="J28" s="115">
        <f>'Vendor #24'!AJ4</f>
        <v>832404.01627999789</v>
      </c>
      <c r="K28" s="110">
        <f>G28-J28</f>
        <v>38640.983720002114</v>
      </c>
      <c r="L28" s="297"/>
    </row>
    <row r="29" spans="1:12" s="2" customFormat="1">
      <c r="A29" s="22">
        <v>131</v>
      </c>
      <c r="B29" s="1235" t="s">
        <v>1106</v>
      </c>
      <c r="C29" s="1236"/>
      <c r="D29" s="1237"/>
      <c r="E29" s="92">
        <v>4500000021</v>
      </c>
      <c r="F29" s="32"/>
      <c r="G29" s="1160">
        <v>19990.900000000001</v>
      </c>
      <c r="H29" s="293">
        <f t="shared" ref="H29:H56" ca="1" si="2">SUMIF(H$86:I$227,A29,I$86:I$227)</f>
        <v>0</v>
      </c>
      <c r="I29" s="80">
        <f ca="1">G29-H29</f>
        <v>19990.900000000001</v>
      </c>
      <c r="J29" s="1159">
        <f>'Vendor #27'!AF7</f>
        <v>0</v>
      </c>
      <c r="K29" s="110">
        <f>G29-J29</f>
        <v>19990.900000000001</v>
      </c>
      <c r="L29" s="297"/>
    </row>
    <row r="30" spans="1:12" s="2" customFormat="1">
      <c r="A30" s="22">
        <v>132</v>
      </c>
      <c r="B30" s="1235" t="s">
        <v>1107</v>
      </c>
      <c r="C30" s="1236"/>
      <c r="D30" s="1237"/>
      <c r="E30" s="92">
        <v>4500000022</v>
      </c>
      <c r="F30" s="32"/>
      <c r="G30" s="292">
        <v>980000</v>
      </c>
      <c r="H30" s="293">
        <f t="shared" ca="1" si="2"/>
        <v>803600</v>
      </c>
      <c r="I30" s="80">
        <f t="shared" ca="1" si="0"/>
        <v>176400</v>
      </c>
      <c r="J30" s="115"/>
      <c r="K30" s="110"/>
      <c r="L30" s="297"/>
    </row>
    <row r="31" spans="1:12" s="2" customFormat="1">
      <c r="A31" s="22"/>
      <c r="B31" s="1235"/>
      <c r="C31" s="1236"/>
      <c r="D31" s="1237"/>
      <c r="E31" s="93"/>
      <c r="F31" s="32"/>
      <c r="G31" s="292"/>
      <c r="H31" s="293">
        <f t="shared" ca="1" si="2"/>
        <v>0</v>
      </c>
      <c r="I31" s="80">
        <f t="shared" ca="1" si="0"/>
        <v>0</v>
      </c>
      <c r="J31" s="115"/>
      <c r="K31" s="110"/>
      <c r="L31" s="297"/>
    </row>
    <row r="32" spans="1:12" s="2" customFormat="1">
      <c r="A32" s="22"/>
      <c r="B32" s="1235"/>
      <c r="C32" s="1236"/>
      <c r="D32" s="1237"/>
      <c r="E32" s="93"/>
      <c r="F32" s="32"/>
      <c r="G32" s="292"/>
      <c r="H32" s="293">
        <f t="shared" ca="1" si="2"/>
        <v>0</v>
      </c>
      <c r="I32" s="80">
        <f t="shared" ca="1" si="0"/>
        <v>0</v>
      </c>
      <c r="J32" s="115"/>
      <c r="K32" s="110"/>
      <c r="L32" s="297"/>
    </row>
    <row r="33" spans="1:12" s="2" customFormat="1">
      <c r="A33" s="22"/>
      <c r="B33" s="1235"/>
      <c r="C33" s="1236"/>
      <c r="D33" s="1237"/>
      <c r="E33" s="93"/>
      <c r="F33" s="32"/>
      <c r="G33" s="292"/>
      <c r="H33" s="293">
        <f t="shared" ca="1" si="2"/>
        <v>0</v>
      </c>
      <c r="I33" s="80">
        <f t="shared" ca="1" si="0"/>
        <v>0</v>
      </c>
      <c r="J33" s="115"/>
      <c r="K33" s="110"/>
      <c r="L33" s="297"/>
    </row>
    <row r="34" spans="1:12" hidden="1">
      <c r="A34" s="22">
        <v>136</v>
      </c>
      <c r="B34" s="1223"/>
      <c r="C34" s="1224"/>
      <c r="D34" s="1225"/>
      <c r="E34" s="94"/>
      <c r="F34" s="17"/>
      <c r="G34" s="18">
        <v>0</v>
      </c>
      <c r="H34" s="9">
        <f t="shared" ca="1" si="2"/>
        <v>0</v>
      </c>
      <c r="I34" s="79">
        <f ca="1">G34-H34</f>
        <v>0</v>
      </c>
      <c r="J34" s="115"/>
      <c r="K34" s="149"/>
    </row>
    <row r="35" spans="1:12" hidden="1">
      <c r="A35" s="22">
        <v>137</v>
      </c>
      <c r="B35" s="1223"/>
      <c r="C35" s="1224"/>
      <c r="D35" s="1225"/>
      <c r="E35" s="94"/>
      <c r="F35" s="17"/>
      <c r="G35" s="18">
        <v>0</v>
      </c>
      <c r="H35" s="9">
        <f t="shared" ca="1" si="2"/>
        <v>0</v>
      </c>
      <c r="I35" s="79">
        <f t="shared" ca="1" si="0"/>
        <v>0</v>
      </c>
      <c r="J35" s="115"/>
      <c r="K35" s="149"/>
    </row>
    <row r="36" spans="1:12" hidden="1">
      <c r="A36" s="22">
        <v>138</v>
      </c>
      <c r="B36" s="1223"/>
      <c r="C36" s="1224"/>
      <c r="D36" s="1225"/>
      <c r="E36" s="94"/>
      <c r="F36" s="17"/>
      <c r="G36" s="18">
        <v>0</v>
      </c>
      <c r="H36" s="9">
        <f t="shared" ca="1" si="2"/>
        <v>0</v>
      </c>
      <c r="I36" s="79">
        <f t="shared" ca="1" si="0"/>
        <v>0</v>
      </c>
      <c r="J36" s="115"/>
      <c r="K36" s="149"/>
    </row>
    <row r="37" spans="1:12" hidden="1">
      <c r="A37" s="22">
        <v>139</v>
      </c>
      <c r="B37" s="1223"/>
      <c r="C37" s="1224"/>
      <c r="D37" s="1225"/>
      <c r="E37" s="94"/>
      <c r="F37" s="17"/>
      <c r="G37" s="18">
        <v>0</v>
      </c>
      <c r="H37" s="9">
        <f t="shared" ca="1" si="2"/>
        <v>0</v>
      </c>
      <c r="I37" s="79">
        <f t="shared" ca="1" si="0"/>
        <v>0</v>
      </c>
      <c r="J37" s="115"/>
      <c r="K37" s="149"/>
    </row>
    <row r="38" spans="1:12" hidden="1">
      <c r="A38" s="22">
        <v>140</v>
      </c>
      <c r="B38" s="1223"/>
      <c r="C38" s="1224"/>
      <c r="D38" s="1225"/>
      <c r="E38" s="94"/>
      <c r="F38" s="17"/>
      <c r="G38" s="18">
        <v>0</v>
      </c>
      <c r="H38" s="9">
        <f t="shared" ca="1" si="2"/>
        <v>0</v>
      </c>
      <c r="I38" s="79">
        <f t="shared" ca="1" si="0"/>
        <v>0</v>
      </c>
      <c r="J38" s="109"/>
    </row>
    <row r="39" spans="1:12" hidden="1">
      <c r="A39" s="22">
        <v>141</v>
      </c>
      <c r="B39" s="1223"/>
      <c r="C39" s="1224"/>
      <c r="D39" s="1225"/>
      <c r="E39" s="94"/>
      <c r="F39" s="17"/>
      <c r="G39" s="18">
        <v>0</v>
      </c>
      <c r="H39" s="9">
        <f t="shared" ca="1" si="2"/>
        <v>0</v>
      </c>
      <c r="I39" s="80">
        <f t="shared" ca="1" si="0"/>
        <v>0</v>
      </c>
      <c r="J39" s="109"/>
    </row>
    <row r="40" spans="1:12" hidden="1">
      <c r="A40" s="22">
        <v>142</v>
      </c>
      <c r="B40" s="1223"/>
      <c r="C40" s="1224"/>
      <c r="D40" s="1225"/>
      <c r="E40" s="94"/>
      <c r="F40" s="17"/>
      <c r="G40" s="18">
        <v>0</v>
      </c>
      <c r="H40" s="9">
        <f t="shared" ca="1" si="2"/>
        <v>0</v>
      </c>
      <c r="I40" s="79">
        <f t="shared" ca="1" si="0"/>
        <v>0</v>
      </c>
      <c r="J40" s="109"/>
    </row>
    <row r="41" spans="1:12" hidden="1">
      <c r="A41" s="22">
        <v>143</v>
      </c>
      <c r="B41" s="1223"/>
      <c r="C41" s="1224"/>
      <c r="D41" s="1225"/>
      <c r="E41" s="94"/>
      <c r="F41" s="17"/>
      <c r="G41" s="18">
        <v>0</v>
      </c>
      <c r="H41" s="9">
        <f t="shared" ca="1" si="2"/>
        <v>0</v>
      </c>
      <c r="I41" s="79">
        <f t="shared" ca="1" si="0"/>
        <v>0</v>
      </c>
      <c r="J41" s="109"/>
    </row>
    <row r="42" spans="1:12" hidden="1">
      <c r="A42" s="22">
        <v>144</v>
      </c>
      <c r="B42" s="1223"/>
      <c r="C42" s="1224"/>
      <c r="D42" s="1225"/>
      <c r="E42" s="94"/>
      <c r="F42" s="17"/>
      <c r="G42" s="18">
        <v>0</v>
      </c>
      <c r="H42" s="9">
        <f t="shared" ca="1" si="2"/>
        <v>0</v>
      </c>
      <c r="I42" s="79">
        <f t="shared" ca="1" si="0"/>
        <v>0</v>
      </c>
      <c r="J42" s="109"/>
    </row>
    <row r="43" spans="1:12" hidden="1">
      <c r="A43" s="22">
        <v>145</v>
      </c>
      <c r="B43" s="1223"/>
      <c r="C43" s="1224"/>
      <c r="D43" s="1225"/>
      <c r="E43" s="94"/>
      <c r="F43" s="17"/>
      <c r="G43" s="18">
        <v>0</v>
      </c>
      <c r="H43" s="9">
        <f t="shared" ca="1" si="2"/>
        <v>0</v>
      </c>
      <c r="I43" s="79">
        <f t="shared" ca="1" si="0"/>
        <v>0</v>
      </c>
      <c r="J43" s="109"/>
    </row>
    <row r="44" spans="1:12" hidden="1">
      <c r="A44" s="22">
        <v>146</v>
      </c>
      <c r="B44" s="1223"/>
      <c r="C44" s="1224"/>
      <c r="D44" s="1225"/>
      <c r="E44" s="94"/>
      <c r="F44" s="17"/>
      <c r="G44" s="18">
        <v>0</v>
      </c>
      <c r="H44" s="9">
        <f t="shared" ca="1" si="2"/>
        <v>0</v>
      </c>
      <c r="I44" s="79">
        <f t="shared" ca="1" si="0"/>
        <v>0</v>
      </c>
      <c r="J44" s="109"/>
    </row>
    <row r="45" spans="1:12" hidden="1">
      <c r="A45" s="22">
        <v>147</v>
      </c>
      <c r="B45" s="1223"/>
      <c r="C45" s="1224"/>
      <c r="D45" s="1225"/>
      <c r="E45" s="94"/>
      <c r="F45" s="17"/>
      <c r="G45" s="18">
        <v>0</v>
      </c>
      <c r="H45" s="9">
        <f t="shared" ca="1" si="2"/>
        <v>0</v>
      </c>
      <c r="I45" s="79">
        <f t="shared" ca="1" si="0"/>
        <v>0</v>
      </c>
      <c r="J45" s="109"/>
    </row>
    <row r="46" spans="1:12" hidden="1">
      <c r="A46" s="22">
        <v>148</v>
      </c>
      <c r="B46" s="1223"/>
      <c r="C46" s="1224"/>
      <c r="D46" s="1225"/>
      <c r="E46" s="93"/>
      <c r="F46" s="17"/>
      <c r="G46" s="18">
        <v>0</v>
      </c>
      <c r="H46" s="9">
        <f t="shared" ca="1" si="2"/>
        <v>0</v>
      </c>
      <c r="I46" s="79">
        <f t="shared" ca="1" si="0"/>
        <v>0</v>
      </c>
      <c r="J46" s="109"/>
    </row>
    <row r="47" spans="1:12" hidden="1">
      <c r="A47" s="22">
        <v>149</v>
      </c>
      <c r="B47" s="1223"/>
      <c r="C47" s="1224"/>
      <c r="D47" s="1225"/>
      <c r="E47" s="93"/>
      <c r="F47" s="17"/>
      <c r="G47" s="18">
        <v>0</v>
      </c>
      <c r="H47" s="9">
        <f t="shared" ca="1" si="2"/>
        <v>0</v>
      </c>
      <c r="I47" s="79">
        <f t="shared" ca="1" si="0"/>
        <v>0</v>
      </c>
      <c r="J47" s="109"/>
    </row>
    <row r="48" spans="1:12" hidden="1">
      <c r="A48" s="22">
        <v>150</v>
      </c>
      <c r="B48" s="1223"/>
      <c r="C48" s="1224"/>
      <c r="D48" s="1225"/>
      <c r="E48" s="93"/>
      <c r="F48" s="17"/>
      <c r="G48" s="18">
        <v>0</v>
      </c>
      <c r="H48" s="9">
        <f t="shared" ca="1" si="2"/>
        <v>0</v>
      </c>
      <c r="I48" s="79">
        <f t="shared" ca="1" si="0"/>
        <v>0</v>
      </c>
      <c r="J48" s="109"/>
    </row>
    <row r="49" spans="1:10" hidden="1">
      <c r="A49" s="22">
        <v>151</v>
      </c>
      <c r="B49" s="1223"/>
      <c r="C49" s="1224"/>
      <c r="D49" s="1225"/>
      <c r="E49" s="94"/>
      <c r="F49" s="17"/>
      <c r="G49" s="18">
        <v>0</v>
      </c>
      <c r="H49" s="9">
        <f t="shared" ca="1" si="2"/>
        <v>0</v>
      </c>
      <c r="I49" s="79">
        <f t="shared" ca="1" si="0"/>
        <v>0</v>
      </c>
      <c r="J49" s="109"/>
    </row>
    <row r="50" spans="1:10" hidden="1">
      <c r="A50" s="22">
        <v>152</v>
      </c>
      <c r="B50" s="1223"/>
      <c r="C50" s="1224"/>
      <c r="D50" s="1225"/>
      <c r="E50" s="95"/>
      <c r="F50" s="19"/>
      <c r="G50" s="18">
        <v>0</v>
      </c>
      <c r="H50" s="9">
        <f t="shared" ca="1" si="2"/>
        <v>0</v>
      </c>
      <c r="I50" s="79">
        <f t="shared" ca="1" si="0"/>
        <v>0</v>
      </c>
      <c r="J50" s="109"/>
    </row>
    <row r="51" spans="1:10" hidden="1">
      <c r="A51" s="23">
        <v>153</v>
      </c>
      <c r="B51" s="1223"/>
      <c r="C51" s="1224"/>
      <c r="D51" s="1225"/>
      <c r="E51" s="96"/>
      <c r="F51" s="17"/>
      <c r="G51" s="18">
        <v>0</v>
      </c>
      <c r="H51" s="9">
        <f t="shared" ca="1" si="2"/>
        <v>0</v>
      </c>
      <c r="I51" s="79">
        <f t="shared" ca="1" si="0"/>
        <v>0</v>
      </c>
      <c r="J51" s="109"/>
    </row>
    <row r="52" spans="1:10" hidden="1">
      <c r="A52" s="23">
        <v>154</v>
      </c>
      <c r="B52" s="1223"/>
      <c r="C52" s="1224"/>
      <c r="D52" s="1225"/>
      <c r="E52" s="96"/>
      <c r="F52" s="17"/>
      <c r="G52" s="18">
        <v>0</v>
      </c>
      <c r="H52" s="9">
        <f t="shared" ca="1" si="2"/>
        <v>0</v>
      </c>
      <c r="I52" s="79">
        <f t="shared" ca="1" si="0"/>
        <v>0</v>
      </c>
      <c r="J52" s="109"/>
    </row>
    <row r="53" spans="1:10" hidden="1">
      <c r="A53" s="23">
        <v>155</v>
      </c>
      <c r="B53" s="1223"/>
      <c r="C53" s="1224"/>
      <c r="D53" s="1225"/>
      <c r="E53" s="96"/>
      <c r="F53" s="17"/>
      <c r="G53" s="18">
        <v>0</v>
      </c>
      <c r="H53" s="9">
        <f t="shared" ca="1" si="2"/>
        <v>0</v>
      </c>
      <c r="I53" s="79">
        <f t="shared" ca="1" si="0"/>
        <v>0</v>
      </c>
      <c r="J53" s="109"/>
    </row>
    <row r="54" spans="1:10" hidden="1">
      <c r="A54" s="23">
        <v>156</v>
      </c>
      <c r="B54" s="1223"/>
      <c r="C54" s="1224"/>
      <c r="D54" s="1225"/>
      <c r="E54" s="96"/>
      <c r="F54" s="17"/>
      <c r="G54" s="18">
        <v>0</v>
      </c>
      <c r="H54" s="9">
        <f t="shared" ca="1" si="2"/>
        <v>0</v>
      </c>
      <c r="I54" s="79">
        <f t="shared" ca="1" si="0"/>
        <v>0</v>
      </c>
      <c r="J54" s="109"/>
    </row>
    <row r="55" spans="1:10" hidden="1">
      <c r="A55" s="23">
        <v>157</v>
      </c>
      <c r="B55" s="1223"/>
      <c r="C55" s="1224"/>
      <c r="D55" s="1225"/>
      <c r="E55" s="96"/>
      <c r="F55" s="17"/>
      <c r="G55" s="18">
        <v>0</v>
      </c>
      <c r="H55" s="9">
        <f t="shared" ca="1" si="2"/>
        <v>0</v>
      </c>
      <c r="I55" s="79">
        <f t="shared" ca="1" si="0"/>
        <v>0</v>
      </c>
      <c r="J55" s="109"/>
    </row>
    <row r="56" spans="1:10" hidden="1">
      <c r="A56" s="23">
        <v>158</v>
      </c>
      <c r="B56" s="1223"/>
      <c r="C56" s="1224"/>
      <c r="D56" s="1225"/>
      <c r="E56" s="96"/>
      <c r="F56" s="17"/>
      <c r="G56" s="18">
        <v>0</v>
      </c>
      <c r="H56" s="9">
        <f t="shared" ca="1" si="2"/>
        <v>0</v>
      </c>
      <c r="I56" s="79">
        <f t="shared" ca="1" si="0"/>
        <v>0</v>
      </c>
      <c r="J56" s="109"/>
    </row>
    <row r="57" spans="1:10" hidden="1">
      <c r="A57" s="23">
        <v>159</v>
      </c>
      <c r="B57" s="1223"/>
      <c r="C57" s="1224"/>
      <c r="D57" s="1225"/>
      <c r="E57" s="96"/>
      <c r="F57" s="17"/>
      <c r="G57" s="18">
        <v>0</v>
      </c>
      <c r="H57" s="9">
        <f t="shared" ref="H57:H83" ca="1" si="3">SUMIF(H$86:I$227,A57,I$86:I$227)</f>
        <v>0</v>
      </c>
      <c r="I57" s="79">
        <f t="shared" ca="1" si="0"/>
        <v>0</v>
      </c>
      <c r="J57" s="109"/>
    </row>
    <row r="58" spans="1:10" hidden="1">
      <c r="A58" s="23">
        <v>160</v>
      </c>
      <c r="B58" s="1223"/>
      <c r="C58" s="1224"/>
      <c r="D58" s="1225"/>
      <c r="E58" s="96"/>
      <c r="F58" s="17"/>
      <c r="G58" s="18">
        <v>0</v>
      </c>
      <c r="H58" s="9">
        <f t="shared" ca="1" si="3"/>
        <v>0</v>
      </c>
      <c r="I58" s="79">
        <f t="shared" ca="1" si="0"/>
        <v>0</v>
      </c>
      <c r="J58" s="109"/>
    </row>
    <row r="59" spans="1:10" hidden="1">
      <c r="A59" s="23">
        <v>161</v>
      </c>
      <c r="B59" s="1223"/>
      <c r="C59" s="1224"/>
      <c r="D59" s="1225"/>
      <c r="E59" s="96"/>
      <c r="F59" s="17"/>
      <c r="G59" s="18">
        <v>0</v>
      </c>
      <c r="H59" s="9">
        <f t="shared" ca="1" si="3"/>
        <v>0</v>
      </c>
      <c r="I59" s="79">
        <f t="shared" ca="1" si="0"/>
        <v>0</v>
      </c>
      <c r="J59" s="109"/>
    </row>
    <row r="60" spans="1:10" hidden="1">
      <c r="A60" s="23">
        <v>162</v>
      </c>
      <c r="B60" s="1223"/>
      <c r="C60" s="1224"/>
      <c r="D60" s="1225"/>
      <c r="E60" s="96"/>
      <c r="F60" s="17"/>
      <c r="G60" s="18">
        <v>0</v>
      </c>
      <c r="H60" s="9">
        <f t="shared" ca="1" si="3"/>
        <v>0</v>
      </c>
      <c r="I60" s="79">
        <f t="shared" ca="1" si="0"/>
        <v>0</v>
      </c>
      <c r="J60" s="109"/>
    </row>
    <row r="61" spans="1:10" hidden="1">
      <c r="A61" s="23">
        <v>163</v>
      </c>
      <c r="B61" s="1223"/>
      <c r="C61" s="1224"/>
      <c r="D61" s="1225"/>
      <c r="E61" s="96"/>
      <c r="F61" s="17"/>
      <c r="G61" s="18">
        <v>0</v>
      </c>
      <c r="H61" s="9">
        <f t="shared" ca="1" si="3"/>
        <v>0</v>
      </c>
      <c r="I61" s="79">
        <f t="shared" ca="1" si="0"/>
        <v>0</v>
      </c>
      <c r="J61" s="109"/>
    </row>
    <row r="62" spans="1:10" hidden="1">
      <c r="A62" s="23">
        <v>164</v>
      </c>
      <c r="B62" s="1223"/>
      <c r="C62" s="1224"/>
      <c r="D62" s="1225"/>
      <c r="E62" s="96"/>
      <c r="F62" s="17"/>
      <c r="G62" s="18">
        <v>0</v>
      </c>
      <c r="H62" s="9">
        <f t="shared" ca="1" si="3"/>
        <v>0</v>
      </c>
      <c r="I62" s="79">
        <f t="shared" ca="1" si="0"/>
        <v>0</v>
      </c>
      <c r="J62" s="109"/>
    </row>
    <row r="63" spans="1:10" hidden="1">
      <c r="A63" s="23">
        <v>165</v>
      </c>
      <c r="B63" s="1223"/>
      <c r="C63" s="1224"/>
      <c r="D63" s="1225"/>
      <c r="E63" s="96"/>
      <c r="F63" s="17"/>
      <c r="G63" s="18">
        <v>0</v>
      </c>
      <c r="H63" s="9">
        <f t="shared" ca="1" si="3"/>
        <v>0</v>
      </c>
      <c r="I63" s="79">
        <f t="shared" ca="1" si="0"/>
        <v>0</v>
      </c>
      <c r="J63" s="109"/>
    </row>
    <row r="64" spans="1:10" hidden="1">
      <c r="A64" s="23">
        <v>166</v>
      </c>
      <c r="B64" s="1223"/>
      <c r="C64" s="1224"/>
      <c r="D64" s="1225"/>
      <c r="E64" s="96"/>
      <c r="F64" s="17"/>
      <c r="G64" s="18">
        <v>0</v>
      </c>
      <c r="H64" s="9">
        <f t="shared" ca="1" si="3"/>
        <v>0</v>
      </c>
      <c r="I64" s="79">
        <f t="shared" ref="I64:I83" ca="1" si="4">G64-H64</f>
        <v>0</v>
      </c>
      <c r="J64" s="109"/>
    </row>
    <row r="65" spans="1:10" hidden="1">
      <c r="A65" s="23">
        <v>167</v>
      </c>
      <c r="B65" s="1223"/>
      <c r="C65" s="1224"/>
      <c r="D65" s="1225"/>
      <c r="E65" s="96"/>
      <c r="F65" s="17"/>
      <c r="G65" s="18">
        <v>0</v>
      </c>
      <c r="H65" s="9">
        <f t="shared" ca="1" si="3"/>
        <v>0</v>
      </c>
      <c r="I65" s="79">
        <f t="shared" ca="1" si="4"/>
        <v>0</v>
      </c>
      <c r="J65" s="109"/>
    </row>
    <row r="66" spans="1:10" hidden="1">
      <c r="A66" s="23">
        <v>168</v>
      </c>
      <c r="B66" s="1223"/>
      <c r="C66" s="1224"/>
      <c r="D66" s="1225"/>
      <c r="E66" s="96"/>
      <c r="F66" s="17"/>
      <c r="G66" s="18">
        <v>0</v>
      </c>
      <c r="H66" s="9">
        <f t="shared" ca="1" si="3"/>
        <v>0</v>
      </c>
      <c r="I66" s="79">
        <f t="shared" ca="1" si="4"/>
        <v>0</v>
      </c>
      <c r="J66" s="109"/>
    </row>
    <row r="67" spans="1:10" hidden="1">
      <c r="A67" s="23">
        <v>169</v>
      </c>
      <c r="B67" s="1223"/>
      <c r="C67" s="1224"/>
      <c r="D67" s="1225"/>
      <c r="E67" s="96"/>
      <c r="F67" s="17"/>
      <c r="G67" s="18">
        <v>0</v>
      </c>
      <c r="H67" s="9">
        <f t="shared" ca="1" si="3"/>
        <v>0</v>
      </c>
      <c r="I67" s="79">
        <f t="shared" ca="1" si="4"/>
        <v>0</v>
      </c>
      <c r="J67" s="109"/>
    </row>
    <row r="68" spans="1:10" hidden="1">
      <c r="A68" s="23">
        <v>170</v>
      </c>
      <c r="B68" s="1223"/>
      <c r="C68" s="1224"/>
      <c r="D68" s="1225"/>
      <c r="E68" s="96"/>
      <c r="F68" s="17"/>
      <c r="G68" s="18">
        <v>0</v>
      </c>
      <c r="H68" s="9">
        <f t="shared" ca="1" si="3"/>
        <v>0</v>
      </c>
      <c r="I68" s="79">
        <f t="shared" ca="1" si="4"/>
        <v>0</v>
      </c>
      <c r="J68" s="109"/>
    </row>
    <row r="69" spans="1:10" hidden="1">
      <c r="A69" s="23">
        <v>171</v>
      </c>
      <c r="B69" s="1223"/>
      <c r="C69" s="1224"/>
      <c r="D69" s="1225"/>
      <c r="E69" s="96"/>
      <c r="F69" s="17"/>
      <c r="G69" s="18">
        <v>0</v>
      </c>
      <c r="H69" s="9">
        <f t="shared" ca="1" si="3"/>
        <v>0</v>
      </c>
      <c r="I69" s="79">
        <f t="shared" ca="1" si="4"/>
        <v>0</v>
      </c>
      <c r="J69" s="109"/>
    </row>
    <row r="70" spans="1:10" hidden="1">
      <c r="A70" s="23">
        <v>172</v>
      </c>
      <c r="B70" s="1223"/>
      <c r="C70" s="1224"/>
      <c r="D70" s="1225"/>
      <c r="E70" s="96"/>
      <c r="F70" s="17"/>
      <c r="G70" s="18">
        <v>0</v>
      </c>
      <c r="H70" s="9">
        <f t="shared" ca="1" si="3"/>
        <v>0</v>
      </c>
      <c r="I70" s="79">
        <f t="shared" ca="1" si="4"/>
        <v>0</v>
      </c>
      <c r="J70" s="109"/>
    </row>
    <row r="71" spans="1:10" hidden="1">
      <c r="A71" s="23">
        <v>173</v>
      </c>
      <c r="B71" s="1223"/>
      <c r="C71" s="1224"/>
      <c r="D71" s="1225"/>
      <c r="E71" s="96"/>
      <c r="F71" s="17"/>
      <c r="G71" s="18">
        <v>0</v>
      </c>
      <c r="H71" s="9">
        <f t="shared" ca="1" si="3"/>
        <v>0</v>
      </c>
      <c r="I71" s="79">
        <f t="shared" ca="1" si="4"/>
        <v>0</v>
      </c>
      <c r="J71" s="109"/>
    </row>
    <row r="72" spans="1:10" hidden="1">
      <c r="A72" s="23">
        <v>174</v>
      </c>
      <c r="B72" s="1223"/>
      <c r="C72" s="1224"/>
      <c r="D72" s="1225"/>
      <c r="E72" s="96"/>
      <c r="F72" s="17"/>
      <c r="G72" s="18">
        <v>0</v>
      </c>
      <c r="H72" s="9">
        <f t="shared" ca="1" si="3"/>
        <v>0</v>
      </c>
      <c r="I72" s="79">
        <f t="shared" ca="1" si="4"/>
        <v>0</v>
      </c>
      <c r="J72" s="109"/>
    </row>
    <row r="73" spans="1:10" hidden="1">
      <c r="A73" s="23">
        <v>175</v>
      </c>
      <c r="B73" s="1223"/>
      <c r="C73" s="1224"/>
      <c r="D73" s="1225"/>
      <c r="E73" s="96"/>
      <c r="F73" s="17"/>
      <c r="G73" s="18">
        <v>0</v>
      </c>
      <c r="H73" s="9">
        <f t="shared" ca="1" si="3"/>
        <v>0</v>
      </c>
      <c r="I73" s="79">
        <f t="shared" ca="1" si="4"/>
        <v>0</v>
      </c>
      <c r="J73" s="109"/>
    </row>
    <row r="74" spans="1:10" hidden="1">
      <c r="A74" s="23">
        <v>176</v>
      </c>
      <c r="B74" s="1226"/>
      <c r="C74" s="1226"/>
      <c r="D74" s="1226"/>
      <c r="E74" s="96"/>
      <c r="F74" s="17"/>
      <c r="G74" s="18">
        <v>0</v>
      </c>
      <c r="H74" s="9">
        <f t="shared" ca="1" si="3"/>
        <v>0</v>
      </c>
      <c r="I74" s="79">
        <f t="shared" ca="1" si="4"/>
        <v>0</v>
      </c>
      <c r="J74" s="109"/>
    </row>
    <row r="75" spans="1:10" hidden="1">
      <c r="A75" s="23">
        <v>177</v>
      </c>
      <c r="B75" s="1223"/>
      <c r="C75" s="1224"/>
      <c r="D75" s="1225"/>
      <c r="E75" s="96"/>
      <c r="F75" s="17"/>
      <c r="G75" s="18">
        <v>0</v>
      </c>
      <c r="H75" s="9">
        <f t="shared" ca="1" si="3"/>
        <v>0</v>
      </c>
      <c r="I75" s="79">
        <f t="shared" ca="1" si="4"/>
        <v>0</v>
      </c>
      <c r="J75" s="109"/>
    </row>
    <row r="76" spans="1:10" hidden="1">
      <c r="A76" s="23">
        <v>178</v>
      </c>
      <c r="B76" s="1223"/>
      <c r="C76" s="1224"/>
      <c r="D76" s="1225"/>
      <c r="E76" s="96"/>
      <c r="F76" s="17"/>
      <c r="G76" s="18">
        <v>0</v>
      </c>
      <c r="H76" s="9">
        <f t="shared" ca="1" si="3"/>
        <v>0</v>
      </c>
      <c r="I76" s="79">
        <f t="shared" ca="1" si="4"/>
        <v>0</v>
      </c>
      <c r="J76" s="109"/>
    </row>
    <row r="77" spans="1:10" hidden="1">
      <c r="A77" s="23">
        <v>179</v>
      </c>
      <c r="B77" s="1223"/>
      <c r="C77" s="1224"/>
      <c r="D77" s="1225"/>
      <c r="E77" s="96"/>
      <c r="F77" s="17"/>
      <c r="G77" s="18">
        <v>0</v>
      </c>
      <c r="H77" s="9">
        <f t="shared" ca="1" si="3"/>
        <v>0</v>
      </c>
      <c r="I77" s="79">
        <f t="shared" ca="1" si="4"/>
        <v>0</v>
      </c>
      <c r="J77" s="109"/>
    </row>
    <row r="78" spans="1:10" hidden="1">
      <c r="A78" s="23">
        <v>180</v>
      </c>
      <c r="B78" s="1223"/>
      <c r="C78" s="1224"/>
      <c r="D78" s="1225"/>
      <c r="E78" s="96"/>
      <c r="F78" s="17"/>
      <c r="G78" s="18">
        <v>0</v>
      </c>
      <c r="H78" s="9">
        <f t="shared" ca="1" si="3"/>
        <v>0</v>
      </c>
      <c r="I78" s="79">
        <f t="shared" ca="1" si="4"/>
        <v>0</v>
      </c>
      <c r="J78" s="109"/>
    </row>
    <row r="79" spans="1:10" hidden="1">
      <c r="A79" s="23">
        <v>181</v>
      </c>
      <c r="B79" s="1223"/>
      <c r="C79" s="1224"/>
      <c r="D79" s="1225"/>
      <c r="E79" s="96"/>
      <c r="F79" s="17"/>
      <c r="G79" s="18">
        <v>0</v>
      </c>
      <c r="H79" s="9">
        <f t="shared" ca="1" si="3"/>
        <v>0</v>
      </c>
      <c r="I79" s="79">
        <f t="shared" ca="1" si="4"/>
        <v>0</v>
      </c>
      <c r="J79" s="109"/>
    </row>
    <row r="80" spans="1:10" hidden="1">
      <c r="A80" s="22">
        <v>182</v>
      </c>
      <c r="B80" s="1223"/>
      <c r="C80" s="1224"/>
      <c r="D80" s="1225"/>
      <c r="E80" s="94"/>
      <c r="F80" s="17"/>
      <c r="G80" s="18">
        <v>0</v>
      </c>
      <c r="H80" s="9">
        <f t="shared" ca="1" si="3"/>
        <v>0</v>
      </c>
      <c r="I80" s="79">
        <f t="shared" ca="1" si="4"/>
        <v>0</v>
      </c>
      <c r="J80" s="109"/>
    </row>
    <row r="81" spans="1:10" hidden="1">
      <c r="A81" s="22">
        <v>183</v>
      </c>
      <c r="B81" s="1223"/>
      <c r="C81" s="1224"/>
      <c r="D81" s="1225"/>
      <c r="E81" s="94"/>
      <c r="F81" s="17"/>
      <c r="G81" s="18">
        <v>0</v>
      </c>
      <c r="H81" s="9">
        <f t="shared" ca="1" si="3"/>
        <v>0</v>
      </c>
      <c r="I81" s="79">
        <f t="shared" ca="1" si="4"/>
        <v>0</v>
      </c>
      <c r="J81" s="109"/>
    </row>
    <row r="82" spans="1:10" hidden="1">
      <c r="A82" s="22">
        <v>184</v>
      </c>
      <c r="B82" s="1223"/>
      <c r="C82" s="1224"/>
      <c r="D82" s="1225"/>
      <c r="E82" s="94"/>
      <c r="F82" s="17"/>
      <c r="G82" s="18">
        <v>0</v>
      </c>
      <c r="H82" s="9">
        <f t="shared" ca="1" si="3"/>
        <v>0</v>
      </c>
      <c r="I82" s="79">
        <f t="shared" ca="1" si="4"/>
        <v>0</v>
      </c>
      <c r="J82" s="109"/>
    </row>
    <row r="83" spans="1:10" hidden="1">
      <c r="A83" s="22">
        <v>185</v>
      </c>
      <c r="B83" s="1223"/>
      <c r="C83" s="1224"/>
      <c r="D83" s="1225"/>
      <c r="E83" s="97"/>
      <c r="F83" s="51"/>
      <c r="G83" s="18">
        <v>0</v>
      </c>
      <c r="H83" s="9">
        <f t="shared" ca="1" si="3"/>
        <v>0</v>
      </c>
      <c r="I83" s="79">
        <f t="shared" ca="1" si="4"/>
        <v>0</v>
      </c>
      <c r="J83" s="109"/>
    </row>
    <row r="84" spans="1:10" ht="19.5" customHeight="1">
      <c r="A84" s="22"/>
      <c r="B84" s="1223"/>
      <c r="C84" s="1224"/>
      <c r="D84" s="1225"/>
      <c r="E84" s="98"/>
      <c r="F84" s="72"/>
      <c r="G84" s="18"/>
      <c r="H84" s="9"/>
      <c r="I84" s="79"/>
      <c r="J84" s="109"/>
    </row>
    <row r="85" spans="1:10" s="76" customFormat="1" ht="12.75" customHeight="1">
      <c r="A85" s="237" t="s">
        <v>35</v>
      </c>
      <c r="B85" s="237" t="s">
        <v>30</v>
      </c>
      <c r="C85" s="237" t="s">
        <v>31</v>
      </c>
      <c r="D85" s="238" t="s">
        <v>32</v>
      </c>
      <c r="E85" s="1220" t="s">
        <v>1075</v>
      </c>
      <c r="F85" s="1221"/>
      <c r="G85" s="1222"/>
      <c r="H85" s="239" t="s">
        <v>1</v>
      </c>
      <c r="I85" s="240" t="s">
        <v>71</v>
      </c>
      <c r="J85" s="84"/>
    </row>
    <row r="86" spans="1:10">
      <c r="A86" s="246">
        <v>42124</v>
      </c>
      <c r="B86" s="248" t="s">
        <v>64</v>
      </c>
      <c r="C86" s="416" t="s">
        <v>63</v>
      </c>
      <c r="D86" s="243">
        <v>11117</v>
      </c>
      <c r="E86" s="641"/>
      <c r="F86" s="642"/>
      <c r="G86" s="643"/>
      <c r="H86" s="244">
        <v>109</v>
      </c>
      <c r="I86" s="245">
        <v>1360</v>
      </c>
      <c r="J86" s="235"/>
    </row>
    <row r="87" spans="1:10">
      <c r="A87" s="246">
        <v>42139</v>
      </c>
      <c r="B87" s="249" t="s">
        <v>65</v>
      </c>
      <c r="C87" s="416" t="s">
        <v>58</v>
      </c>
      <c r="D87" s="243">
        <v>11117</v>
      </c>
      <c r="E87" s="418"/>
      <c r="F87" s="419"/>
      <c r="G87" s="419"/>
      <c r="H87" s="244">
        <v>109</v>
      </c>
      <c r="I87" s="245">
        <v>2980</v>
      </c>
      <c r="J87" s="235"/>
    </row>
    <row r="88" spans="1:10">
      <c r="A88" s="246">
        <v>42155</v>
      </c>
      <c r="B88" s="249" t="s">
        <v>66</v>
      </c>
      <c r="C88" s="416" t="s">
        <v>67</v>
      </c>
      <c r="D88" s="243">
        <v>11117</v>
      </c>
      <c r="E88" s="418"/>
      <c r="F88" s="419"/>
      <c r="G88" s="419"/>
      <c r="H88" s="244">
        <v>109</v>
      </c>
      <c r="I88" s="245">
        <v>9400</v>
      </c>
      <c r="J88" s="235"/>
    </row>
    <row r="89" spans="1:10">
      <c r="A89" s="246">
        <v>42179</v>
      </c>
      <c r="B89" s="417" t="s">
        <v>121</v>
      </c>
      <c r="C89" s="416" t="s">
        <v>78</v>
      </c>
      <c r="D89" s="243">
        <v>11117</v>
      </c>
      <c r="E89" s="418"/>
      <c r="F89" s="419"/>
      <c r="G89" s="419"/>
      <c r="H89" s="477">
        <v>109</v>
      </c>
      <c r="I89" s="245">
        <v>14300</v>
      </c>
      <c r="J89" s="235"/>
    </row>
    <row r="90" spans="1:10">
      <c r="A90" s="246">
        <v>42186</v>
      </c>
      <c r="B90" s="243" t="s">
        <v>120</v>
      </c>
      <c r="C90" s="416" t="s">
        <v>122</v>
      </c>
      <c r="D90" s="243">
        <v>11117</v>
      </c>
      <c r="E90" s="418"/>
      <c r="F90" s="419"/>
      <c r="G90" s="419"/>
      <c r="H90" s="477">
        <v>109</v>
      </c>
      <c r="I90" s="245">
        <v>19050</v>
      </c>
      <c r="J90" s="235"/>
    </row>
    <row r="91" spans="1:10">
      <c r="A91" s="246">
        <v>42201</v>
      </c>
      <c r="B91" s="416" t="s">
        <v>190</v>
      </c>
      <c r="C91" s="416" t="s">
        <v>191</v>
      </c>
      <c r="D91" s="243">
        <v>11117</v>
      </c>
      <c r="E91" s="418"/>
      <c r="F91" s="419"/>
      <c r="G91" s="419"/>
      <c r="H91" s="477">
        <v>109</v>
      </c>
      <c r="I91" s="245">
        <v>19900</v>
      </c>
      <c r="J91" s="235"/>
    </row>
    <row r="92" spans="1:10">
      <c r="A92" s="246">
        <v>42219</v>
      </c>
      <c r="B92" s="416" t="s">
        <v>271</v>
      </c>
      <c r="C92" s="416" t="s">
        <v>266</v>
      </c>
      <c r="D92" s="243">
        <v>11117</v>
      </c>
      <c r="E92" s="418"/>
      <c r="F92" s="419"/>
      <c r="G92" s="419"/>
      <c r="H92" s="477">
        <v>109</v>
      </c>
      <c r="I92" s="245">
        <v>22700</v>
      </c>
      <c r="J92" s="235"/>
    </row>
    <row r="93" spans="1:10">
      <c r="A93" s="246">
        <v>42232</v>
      </c>
      <c r="B93" s="242" t="s">
        <v>308</v>
      </c>
      <c r="C93" s="416" t="s">
        <v>309</v>
      </c>
      <c r="D93" s="417">
        <v>11117</v>
      </c>
      <c r="E93" s="418"/>
      <c r="F93" s="419"/>
      <c r="G93" s="419"/>
      <c r="H93" s="477">
        <v>109</v>
      </c>
      <c r="I93" s="245">
        <v>13700</v>
      </c>
      <c r="J93" s="235"/>
    </row>
    <row r="94" spans="1:10">
      <c r="A94" s="246">
        <v>42255</v>
      </c>
      <c r="B94" s="416" t="s">
        <v>386</v>
      </c>
      <c r="C94" s="525" t="s">
        <v>388</v>
      </c>
      <c r="D94" s="417">
        <v>11117</v>
      </c>
      <c r="E94" s="418"/>
      <c r="F94" s="419"/>
      <c r="G94" s="419"/>
      <c r="H94" s="477">
        <v>109</v>
      </c>
      <c r="I94" s="245">
        <v>20100</v>
      </c>
      <c r="J94" s="235"/>
    </row>
    <row r="95" spans="1:10">
      <c r="A95" s="246">
        <v>42230</v>
      </c>
      <c r="B95" s="247">
        <v>1219</v>
      </c>
      <c r="C95" s="416" t="s">
        <v>324</v>
      </c>
      <c r="D95" s="243"/>
      <c r="E95" s="418"/>
      <c r="F95" s="419"/>
      <c r="G95" s="419"/>
      <c r="H95" s="244">
        <v>114</v>
      </c>
      <c r="I95" s="245">
        <v>1372</v>
      </c>
      <c r="J95" s="235"/>
    </row>
    <row r="96" spans="1:10">
      <c r="A96" s="246">
        <v>42243</v>
      </c>
      <c r="B96" s="252" t="s">
        <v>351</v>
      </c>
      <c r="C96" s="553">
        <v>42242</v>
      </c>
      <c r="D96" s="243"/>
      <c r="E96" s="418"/>
      <c r="F96" s="419"/>
      <c r="G96" s="419"/>
      <c r="H96" s="244">
        <v>114</v>
      </c>
      <c r="I96" s="245">
        <v>2794</v>
      </c>
      <c r="J96" s="235"/>
    </row>
    <row r="97" spans="1:10">
      <c r="A97" s="246">
        <v>42243</v>
      </c>
      <c r="B97" s="252" t="s">
        <v>352</v>
      </c>
      <c r="C97" s="553">
        <v>42193</v>
      </c>
      <c r="D97" s="243"/>
      <c r="E97" s="418"/>
      <c r="F97" s="419"/>
      <c r="G97" s="419"/>
      <c r="H97" s="244">
        <v>114</v>
      </c>
      <c r="I97" s="245">
        <v>1490</v>
      </c>
      <c r="J97" s="235"/>
    </row>
    <row r="98" spans="1:10">
      <c r="A98" s="246">
        <v>42243</v>
      </c>
      <c r="B98" s="252" t="s">
        <v>353</v>
      </c>
      <c r="C98" s="553">
        <v>42208</v>
      </c>
      <c r="D98" s="243"/>
      <c r="E98" s="418"/>
      <c r="F98" s="420"/>
      <c r="G98" s="420"/>
      <c r="H98" s="244">
        <v>114</v>
      </c>
      <c r="I98" s="245">
        <v>3360.5</v>
      </c>
      <c r="J98" s="235"/>
    </row>
    <row r="99" spans="1:10">
      <c r="A99" s="246">
        <v>42243</v>
      </c>
      <c r="B99" s="253">
        <v>1209</v>
      </c>
      <c r="C99" s="553">
        <v>42208</v>
      </c>
      <c r="D99" s="243"/>
      <c r="E99" s="418"/>
      <c r="F99" s="419"/>
      <c r="G99" s="419"/>
      <c r="H99" s="244">
        <v>114</v>
      </c>
      <c r="I99" s="245">
        <v>150</v>
      </c>
      <c r="J99" s="235"/>
    </row>
    <row r="100" spans="1:10">
      <c r="A100" s="246">
        <v>42243</v>
      </c>
      <c r="B100" s="253">
        <v>1192</v>
      </c>
      <c r="C100" s="553">
        <v>42172</v>
      </c>
      <c r="D100" s="243"/>
      <c r="E100" s="418"/>
      <c r="F100" s="419"/>
      <c r="G100" s="419"/>
      <c r="H100" s="244">
        <v>114</v>
      </c>
      <c r="I100" s="245">
        <v>6237</v>
      </c>
      <c r="J100" s="235"/>
    </row>
    <row r="101" spans="1:10">
      <c r="A101" s="246">
        <v>42243</v>
      </c>
      <c r="B101" s="253">
        <v>1194</v>
      </c>
      <c r="C101" s="553">
        <v>42179</v>
      </c>
      <c r="D101" s="417"/>
      <c r="E101" s="418"/>
      <c r="F101" s="419"/>
      <c r="G101" s="419"/>
      <c r="H101" s="244">
        <v>114</v>
      </c>
      <c r="I101" s="245">
        <v>825</v>
      </c>
      <c r="J101" s="235"/>
    </row>
    <row r="102" spans="1:10">
      <c r="A102" s="246">
        <v>42158</v>
      </c>
      <c r="B102" s="416" t="s">
        <v>34</v>
      </c>
      <c r="C102" s="416" t="s">
        <v>33</v>
      </c>
      <c r="D102" s="243">
        <v>112431</v>
      </c>
      <c r="E102" s="418"/>
      <c r="F102" s="419"/>
      <c r="G102" s="419"/>
      <c r="H102" s="244">
        <v>110</v>
      </c>
      <c r="I102" s="245">
        <f>10005/1.05</f>
        <v>9528.5714285714275</v>
      </c>
      <c r="J102" s="235"/>
    </row>
    <row r="103" spans="1:10">
      <c r="A103" s="246">
        <v>42216</v>
      </c>
      <c r="B103" s="242">
        <v>1001037136</v>
      </c>
      <c r="C103" s="416" t="s">
        <v>265</v>
      </c>
      <c r="D103" s="243"/>
      <c r="E103" s="418"/>
      <c r="F103" s="420"/>
      <c r="G103" s="420"/>
      <c r="H103" s="244">
        <v>122</v>
      </c>
      <c r="I103" s="245">
        <v>191330</v>
      </c>
      <c r="J103" s="235"/>
    </row>
    <row r="104" spans="1:10">
      <c r="A104" s="246">
        <v>42212</v>
      </c>
      <c r="B104" s="247">
        <v>145167</v>
      </c>
      <c r="C104" s="416" t="s">
        <v>78</v>
      </c>
      <c r="D104" s="243"/>
      <c r="E104" s="418"/>
      <c r="F104" s="419"/>
      <c r="G104" s="419"/>
      <c r="H104" s="251">
        <v>124</v>
      </c>
      <c r="I104" s="245">
        <v>1575</v>
      </c>
      <c r="J104" s="235"/>
    </row>
    <row r="105" spans="1:10">
      <c r="A105" s="246">
        <v>42227</v>
      </c>
      <c r="B105" s="416">
        <v>145750</v>
      </c>
      <c r="C105" s="553">
        <v>42204</v>
      </c>
      <c r="D105" s="243"/>
      <c r="E105" s="418"/>
      <c r="F105" s="419"/>
      <c r="G105" s="419"/>
      <c r="H105" s="251">
        <v>124</v>
      </c>
      <c r="I105" s="245">
        <v>1050</v>
      </c>
      <c r="J105" s="235"/>
    </row>
    <row r="106" spans="1:10">
      <c r="A106" s="246">
        <v>42235</v>
      </c>
      <c r="B106" s="247">
        <v>145931</v>
      </c>
      <c r="C106" s="416" t="s">
        <v>329</v>
      </c>
      <c r="D106" s="243"/>
      <c r="E106" s="418"/>
      <c r="F106" s="419"/>
      <c r="G106" s="420"/>
      <c r="H106" s="244">
        <v>124</v>
      </c>
      <c r="I106" s="245">
        <v>16210</v>
      </c>
      <c r="J106" s="235"/>
    </row>
    <row r="107" spans="1:10">
      <c r="A107" s="246">
        <v>42235</v>
      </c>
      <c r="B107" s="247">
        <v>145932</v>
      </c>
      <c r="C107" s="416" t="s">
        <v>330</v>
      </c>
      <c r="D107" s="243"/>
      <c r="E107" s="418"/>
      <c r="F107" s="420"/>
      <c r="G107" s="419"/>
      <c r="H107" s="244">
        <v>124</v>
      </c>
      <c r="I107" s="245">
        <v>5260</v>
      </c>
      <c r="J107" s="235"/>
    </row>
    <row r="108" spans="1:10">
      <c r="A108" s="246">
        <v>42257</v>
      </c>
      <c r="B108" s="252" t="s">
        <v>398</v>
      </c>
      <c r="C108" s="525" t="s">
        <v>388</v>
      </c>
      <c r="D108" s="243"/>
      <c r="E108" s="418"/>
      <c r="F108" s="419"/>
      <c r="G108" s="420"/>
      <c r="H108" s="477">
        <v>124</v>
      </c>
      <c r="I108" s="245">
        <v>8404</v>
      </c>
      <c r="J108" s="235"/>
    </row>
    <row r="109" spans="1:10">
      <c r="A109" s="246">
        <v>42257</v>
      </c>
      <c r="B109" s="252" t="s">
        <v>397</v>
      </c>
      <c r="C109" s="525" t="s">
        <v>388</v>
      </c>
      <c r="D109" s="243"/>
      <c r="E109" s="418"/>
      <c r="F109" s="419"/>
      <c r="G109" s="420"/>
      <c r="H109" s="477">
        <v>124</v>
      </c>
      <c r="I109" s="245">
        <v>9831</v>
      </c>
      <c r="J109" s="235"/>
    </row>
    <row r="110" spans="1:10">
      <c r="A110" s="246">
        <v>42233</v>
      </c>
      <c r="B110" s="247">
        <v>31</v>
      </c>
      <c r="C110" s="416" t="s">
        <v>309</v>
      </c>
      <c r="D110" s="243">
        <v>110011</v>
      </c>
      <c r="E110" s="418"/>
      <c r="F110" s="419"/>
      <c r="G110" s="419"/>
      <c r="H110" s="244">
        <v>104</v>
      </c>
      <c r="I110" s="245">
        <v>10475</v>
      </c>
      <c r="J110" s="235"/>
    </row>
    <row r="111" spans="1:10">
      <c r="A111" s="246">
        <v>42256</v>
      </c>
      <c r="B111" s="252" t="s">
        <v>392</v>
      </c>
      <c r="C111" s="525" t="s">
        <v>388</v>
      </c>
      <c r="D111" s="417"/>
      <c r="E111" s="418"/>
      <c r="F111" s="419"/>
      <c r="G111" s="419"/>
      <c r="H111" s="477">
        <v>104</v>
      </c>
      <c r="I111" s="245">
        <v>19700</v>
      </c>
      <c r="J111" s="235"/>
    </row>
    <row r="112" spans="1:10">
      <c r="A112" s="246">
        <v>42166</v>
      </c>
      <c r="B112" s="247">
        <v>48</v>
      </c>
      <c r="C112" s="416" t="s">
        <v>37</v>
      </c>
      <c r="D112" s="243"/>
      <c r="E112" s="418"/>
      <c r="F112" s="419"/>
      <c r="G112" s="419"/>
      <c r="H112" s="244">
        <v>113</v>
      </c>
      <c r="I112" s="245">
        <v>11250</v>
      </c>
      <c r="J112" s="235"/>
    </row>
    <row r="113" spans="1:10">
      <c r="A113" s="246">
        <v>42186</v>
      </c>
      <c r="B113" s="417">
        <v>49</v>
      </c>
      <c r="C113" s="416" t="s">
        <v>123</v>
      </c>
      <c r="D113" s="243"/>
      <c r="E113" s="418"/>
      <c r="F113" s="419"/>
      <c r="G113" s="419"/>
      <c r="H113" s="477">
        <v>113</v>
      </c>
      <c r="I113" s="245">
        <v>38000</v>
      </c>
      <c r="J113" s="235"/>
    </row>
    <row r="114" spans="1:10">
      <c r="A114" s="246">
        <v>42237</v>
      </c>
      <c r="B114" s="247">
        <v>50</v>
      </c>
      <c r="C114" s="416" t="s">
        <v>265</v>
      </c>
      <c r="D114" s="243"/>
      <c r="E114" s="418"/>
      <c r="F114" s="419"/>
      <c r="G114" s="419"/>
      <c r="H114" s="250">
        <v>113</v>
      </c>
      <c r="I114" s="245">
        <v>37225</v>
      </c>
      <c r="J114" s="235"/>
    </row>
    <row r="115" spans="1:10">
      <c r="A115" s="246">
        <v>42257</v>
      </c>
      <c r="B115" s="252" t="s">
        <v>396</v>
      </c>
      <c r="C115" s="525" t="s">
        <v>395</v>
      </c>
      <c r="D115" s="243"/>
      <c r="E115" s="418"/>
      <c r="F115" s="419"/>
      <c r="G115" s="419"/>
      <c r="H115" s="477">
        <v>113</v>
      </c>
      <c r="I115" s="245">
        <v>32450</v>
      </c>
      <c r="J115" s="235"/>
    </row>
    <row r="116" spans="1:10">
      <c r="A116" s="246">
        <v>42163</v>
      </c>
      <c r="B116" s="416" t="s">
        <v>36</v>
      </c>
      <c r="C116" s="416" t="s">
        <v>37</v>
      </c>
      <c r="D116" s="243"/>
      <c r="E116" s="418"/>
      <c r="F116" s="419"/>
      <c r="G116" s="419"/>
      <c r="H116" s="244">
        <v>119</v>
      </c>
      <c r="I116" s="245">
        <v>13200</v>
      </c>
      <c r="J116" s="235"/>
    </row>
    <row r="117" spans="1:10">
      <c r="A117" s="246">
        <v>42178</v>
      </c>
      <c r="B117" s="242" t="s">
        <v>115</v>
      </c>
      <c r="C117" s="416" t="s">
        <v>78</v>
      </c>
      <c r="D117" s="243"/>
      <c r="E117" s="418"/>
      <c r="F117" s="419"/>
      <c r="G117" s="419"/>
      <c r="H117" s="477">
        <v>119</v>
      </c>
      <c r="I117" s="245">
        <v>27371</v>
      </c>
      <c r="J117" s="235"/>
    </row>
    <row r="118" spans="1:10">
      <c r="A118" s="246">
        <v>42207</v>
      </c>
      <c r="B118" s="416" t="s">
        <v>219</v>
      </c>
      <c r="C118" s="416" t="s">
        <v>122</v>
      </c>
      <c r="D118" s="243"/>
      <c r="E118" s="418"/>
      <c r="F118" s="419"/>
      <c r="G118" s="419"/>
      <c r="H118" s="477">
        <v>119</v>
      </c>
      <c r="I118" s="245">
        <v>76910</v>
      </c>
      <c r="J118" s="235"/>
    </row>
    <row r="119" spans="1:10">
      <c r="A119" s="246">
        <v>42229</v>
      </c>
      <c r="B119" s="242" t="s">
        <v>298</v>
      </c>
      <c r="C119" s="416" t="s">
        <v>266</v>
      </c>
      <c r="D119" s="243"/>
      <c r="E119" s="418"/>
      <c r="F119" s="419"/>
      <c r="G119" s="419"/>
      <c r="H119" s="477">
        <v>119</v>
      </c>
      <c r="I119" s="245">
        <v>222638</v>
      </c>
      <c r="J119" s="235"/>
    </row>
    <row r="120" spans="1:10">
      <c r="A120" s="246">
        <v>42200</v>
      </c>
      <c r="B120" s="242" t="s">
        <v>326</v>
      </c>
      <c r="C120" s="416" t="s">
        <v>191</v>
      </c>
      <c r="D120" s="243"/>
      <c r="E120" s="418"/>
      <c r="F120" s="419"/>
      <c r="G120" s="419"/>
      <c r="H120" s="244">
        <v>119</v>
      </c>
      <c r="I120" s="245">
        <v>151394</v>
      </c>
      <c r="J120" s="235"/>
    </row>
    <row r="121" spans="1:10">
      <c r="A121" s="241">
        <v>42241</v>
      </c>
      <c r="B121" s="242" t="s">
        <v>327</v>
      </c>
      <c r="C121" s="416" t="s">
        <v>325</v>
      </c>
      <c r="D121" s="243"/>
      <c r="E121" s="418"/>
      <c r="F121" s="419"/>
      <c r="G121" s="419"/>
      <c r="H121" s="244">
        <v>119</v>
      </c>
      <c r="I121" s="245">
        <v>287577</v>
      </c>
      <c r="J121" s="235"/>
    </row>
    <row r="122" spans="1:10">
      <c r="A122" s="246">
        <v>42185</v>
      </c>
      <c r="B122" s="1163" t="s">
        <v>1076</v>
      </c>
      <c r="C122" s="416" t="s">
        <v>122</v>
      </c>
      <c r="D122" s="243"/>
      <c r="E122" s="418"/>
      <c r="F122" s="419"/>
      <c r="G122" s="419"/>
      <c r="H122" s="477">
        <v>127</v>
      </c>
      <c r="I122" s="245">
        <v>20415</v>
      </c>
      <c r="J122" s="235"/>
    </row>
    <row r="123" spans="1:10">
      <c r="A123" s="246">
        <v>42202</v>
      </c>
      <c r="B123" s="1163" t="s">
        <v>1077</v>
      </c>
      <c r="C123" s="416" t="s">
        <v>191</v>
      </c>
      <c r="D123" s="243"/>
      <c r="E123" s="418"/>
      <c r="F123" s="419"/>
      <c r="G123" s="419"/>
      <c r="H123" s="477">
        <v>127</v>
      </c>
      <c r="I123" s="245">
        <v>23210</v>
      </c>
      <c r="J123" s="235"/>
    </row>
    <row r="124" spans="1:10">
      <c r="A124" s="246">
        <v>42241</v>
      </c>
      <c r="B124" s="1163" t="s">
        <v>1078</v>
      </c>
      <c r="C124" s="416" t="s">
        <v>266</v>
      </c>
      <c r="D124" s="243"/>
      <c r="E124" s="418"/>
      <c r="F124" s="419"/>
      <c r="G124" s="419"/>
      <c r="H124" s="244">
        <v>127</v>
      </c>
      <c r="I124" s="245">
        <v>23260</v>
      </c>
      <c r="J124" s="236"/>
    </row>
    <row r="125" spans="1:10">
      <c r="A125" s="246">
        <v>42241</v>
      </c>
      <c r="B125" s="1163" t="s">
        <v>1079</v>
      </c>
      <c r="C125" s="416" t="s">
        <v>325</v>
      </c>
      <c r="D125" s="243"/>
      <c r="E125" s="418"/>
      <c r="F125" s="419"/>
      <c r="G125" s="419"/>
      <c r="H125" s="244">
        <v>127</v>
      </c>
      <c r="I125" s="245">
        <v>18950</v>
      </c>
      <c r="J125" s="235"/>
    </row>
    <row r="126" spans="1:10">
      <c r="A126" s="246">
        <v>42256</v>
      </c>
      <c r="B126" s="1163" t="s">
        <v>1080</v>
      </c>
      <c r="C126" s="525" t="s">
        <v>388</v>
      </c>
      <c r="D126" s="243"/>
      <c r="E126" s="418"/>
      <c r="F126" s="419"/>
      <c r="G126" s="419"/>
      <c r="H126" s="477">
        <v>127</v>
      </c>
      <c r="I126" s="245">
        <v>21110</v>
      </c>
      <c r="J126" s="235"/>
    </row>
    <row r="127" spans="1:10">
      <c r="A127" s="241">
        <v>42158</v>
      </c>
      <c r="B127" s="312" t="s">
        <v>34</v>
      </c>
      <c r="C127" s="416" t="s">
        <v>33</v>
      </c>
      <c r="D127" s="243">
        <v>112406</v>
      </c>
      <c r="E127" s="418"/>
      <c r="F127" s="419"/>
      <c r="G127" s="419"/>
      <c r="H127" s="244">
        <v>108</v>
      </c>
      <c r="I127" s="245">
        <f>(10159/1.05)</f>
        <v>9675.2380952380954</v>
      </c>
      <c r="J127" s="235"/>
    </row>
    <row r="128" spans="1:10">
      <c r="A128" s="241">
        <v>42222</v>
      </c>
      <c r="B128" s="416">
        <v>12416</v>
      </c>
      <c r="C128" s="416" t="s">
        <v>391</v>
      </c>
      <c r="D128" s="243"/>
      <c r="E128" s="418"/>
      <c r="F128" s="419"/>
      <c r="G128" s="419"/>
      <c r="H128" s="251">
        <v>121</v>
      </c>
      <c r="I128" s="245">
        <v>80657.5</v>
      </c>
      <c r="J128" s="235"/>
    </row>
    <row r="129" spans="1:10">
      <c r="A129" s="246">
        <v>42241</v>
      </c>
      <c r="B129" s="247">
        <v>12574</v>
      </c>
      <c r="C129" s="416" t="s">
        <v>331</v>
      </c>
      <c r="D129" s="243"/>
      <c r="E129" s="418"/>
      <c r="F129" s="419"/>
      <c r="G129" s="419"/>
      <c r="H129" s="244">
        <v>121</v>
      </c>
      <c r="I129" s="245">
        <v>30742.5</v>
      </c>
      <c r="J129" s="235"/>
    </row>
    <row r="130" spans="1:10">
      <c r="A130" s="246">
        <v>42241</v>
      </c>
      <c r="B130" s="247">
        <v>12545</v>
      </c>
      <c r="C130" s="416" t="s">
        <v>332</v>
      </c>
      <c r="D130" s="243"/>
      <c r="E130" s="418"/>
      <c r="F130" s="419"/>
      <c r="G130" s="419"/>
      <c r="H130" s="244">
        <v>121</v>
      </c>
      <c r="I130" s="245">
        <v>37785</v>
      </c>
      <c r="J130" s="235"/>
    </row>
    <row r="131" spans="1:10">
      <c r="A131" s="246">
        <v>42241</v>
      </c>
      <c r="B131" s="417">
        <v>12503</v>
      </c>
      <c r="C131" s="416" t="s">
        <v>333</v>
      </c>
      <c r="D131" s="243"/>
      <c r="E131" s="418"/>
      <c r="F131" s="419"/>
      <c r="G131" s="419"/>
      <c r="H131" s="244">
        <v>121</v>
      </c>
      <c r="I131" s="245">
        <v>25822.5</v>
      </c>
      <c r="J131" s="235"/>
    </row>
    <row r="132" spans="1:10">
      <c r="A132" s="246">
        <v>42241</v>
      </c>
      <c r="B132" s="247">
        <v>12502</v>
      </c>
      <c r="C132" s="416" t="s">
        <v>334</v>
      </c>
      <c r="D132" s="243"/>
      <c r="E132" s="418"/>
      <c r="F132" s="419"/>
      <c r="G132" s="419"/>
      <c r="H132" s="244">
        <v>121</v>
      </c>
      <c r="I132" s="245">
        <v>48297.5</v>
      </c>
      <c r="J132" s="235"/>
    </row>
    <row r="133" spans="1:10">
      <c r="A133" s="246">
        <v>42241</v>
      </c>
      <c r="B133" s="247">
        <v>12343</v>
      </c>
      <c r="C133" s="553">
        <v>42206</v>
      </c>
      <c r="D133" s="243"/>
      <c r="E133" s="418"/>
      <c r="F133" s="419"/>
      <c r="G133" s="419"/>
      <c r="H133" s="244">
        <v>121</v>
      </c>
      <c r="I133" s="245">
        <v>1860</v>
      </c>
      <c r="J133" s="235"/>
    </row>
    <row r="134" spans="1:10">
      <c r="A134" s="246">
        <v>42241</v>
      </c>
      <c r="B134" s="247">
        <v>12339</v>
      </c>
      <c r="C134" s="553">
        <v>42204</v>
      </c>
      <c r="D134" s="243"/>
      <c r="E134" s="418"/>
      <c r="F134" s="419"/>
      <c r="G134" s="419"/>
      <c r="H134" s="244">
        <v>121</v>
      </c>
      <c r="I134" s="245">
        <v>3085</v>
      </c>
      <c r="J134" s="235"/>
    </row>
    <row r="135" spans="1:10">
      <c r="A135" s="246">
        <v>42241</v>
      </c>
      <c r="B135" s="247">
        <v>12266</v>
      </c>
      <c r="C135" s="416" t="s">
        <v>335</v>
      </c>
      <c r="D135" s="243"/>
      <c r="E135" s="418"/>
      <c r="F135" s="420"/>
      <c r="G135" s="420"/>
      <c r="H135" s="244">
        <v>121</v>
      </c>
      <c r="I135" s="245">
        <v>9955</v>
      </c>
      <c r="J135" s="235"/>
    </row>
    <row r="136" spans="1:10">
      <c r="A136" s="246">
        <v>42241</v>
      </c>
      <c r="B136" s="247">
        <v>12299</v>
      </c>
      <c r="C136" s="416" t="s">
        <v>336</v>
      </c>
      <c r="D136" s="243"/>
      <c r="E136" s="418"/>
      <c r="F136" s="419"/>
      <c r="G136" s="419"/>
      <c r="H136" s="244">
        <v>121</v>
      </c>
      <c r="I136" s="245">
        <v>18770</v>
      </c>
      <c r="J136" s="235"/>
    </row>
    <row r="137" spans="1:10">
      <c r="A137" s="246">
        <v>42241</v>
      </c>
      <c r="B137" s="247">
        <v>12194</v>
      </c>
      <c r="C137" s="416" t="s">
        <v>337</v>
      </c>
      <c r="D137" s="243"/>
      <c r="E137" s="418"/>
      <c r="F137" s="419"/>
      <c r="G137" s="419"/>
      <c r="H137" s="244">
        <v>121</v>
      </c>
      <c r="I137" s="245">
        <v>42420</v>
      </c>
      <c r="J137" s="235"/>
    </row>
    <row r="138" spans="1:10">
      <c r="A138" s="246">
        <v>42241</v>
      </c>
      <c r="B138" s="247">
        <v>12147</v>
      </c>
      <c r="C138" s="416" t="s">
        <v>338</v>
      </c>
      <c r="D138" s="243"/>
      <c r="E138" s="418"/>
      <c r="F138" s="419"/>
      <c r="G138" s="419"/>
      <c r="H138" s="244">
        <v>121</v>
      </c>
      <c r="I138" s="245">
        <v>13330</v>
      </c>
      <c r="J138" s="235"/>
    </row>
    <row r="139" spans="1:10">
      <c r="A139" s="246">
        <v>42241</v>
      </c>
      <c r="B139" s="247">
        <v>12360</v>
      </c>
      <c r="C139" s="416" t="s">
        <v>339</v>
      </c>
      <c r="D139" s="243"/>
      <c r="E139" s="418"/>
      <c r="F139" s="419"/>
      <c r="G139" s="419"/>
      <c r="H139" s="244">
        <v>121</v>
      </c>
      <c r="I139" s="245">
        <v>28412.5</v>
      </c>
      <c r="J139" s="235"/>
    </row>
    <row r="140" spans="1:10">
      <c r="A140" s="246">
        <v>42243</v>
      </c>
      <c r="B140" s="253">
        <v>12639</v>
      </c>
      <c r="C140" s="553">
        <v>42243</v>
      </c>
      <c r="D140" s="417"/>
      <c r="E140" s="418"/>
      <c r="F140" s="419"/>
      <c r="G140" s="419"/>
      <c r="H140" s="244">
        <v>121</v>
      </c>
      <c r="I140" s="245">
        <v>111182.5</v>
      </c>
      <c r="J140" s="235"/>
    </row>
    <row r="141" spans="1:10">
      <c r="A141" s="484">
        <v>42255</v>
      </c>
      <c r="B141" s="253">
        <v>12739</v>
      </c>
      <c r="C141" s="416" t="s">
        <v>389</v>
      </c>
      <c r="D141" s="492"/>
      <c r="E141" s="418"/>
      <c r="F141" s="492"/>
      <c r="G141" s="492"/>
      <c r="H141" s="244">
        <v>121</v>
      </c>
      <c r="I141" s="496">
        <v>47665</v>
      </c>
      <c r="J141" s="235"/>
    </row>
    <row r="142" spans="1:10">
      <c r="A142" s="484">
        <v>42255</v>
      </c>
      <c r="B142" s="253">
        <v>12699</v>
      </c>
      <c r="C142" s="416" t="s">
        <v>390</v>
      </c>
      <c r="D142" s="492"/>
      <c r="E142" s="418"/>
      <c r="F142" s="492"/>
      <c r="G142" s="492"/>
      <c r="H142" s="244">
        <v>121</v>
      </c>
      <c r="I142" s="496">
        <v>54645</v>
      </c>
      <c r="J142" s="235"/>
    </row>
    <row r="143" spans="1:10">
      <c r="A143" s="484">
        <v>42256</v>
      </c>
      <c r="B143" s="489">
        <v>12773</v>
      </c>
      <c r="C143" s="233" t="s">
        <v>393</v>
      </c>
      <c r="D143" s="492"/>
      <c r="E143" s="418"/>
      <c r="F143" s="492"/>
      <c r="G143" s="492"/>
      <c r="H143" s="244">
        <v>121</v>
      </c>
      <c r="I143" s="496">
        <v>34810</v>
      </c>
      <c r="J143" s="235"/>
    </row>
    <row r="144" spans="1:10">
      <c r="A144" s="246">
        <v>42241</v>
      </c>
      <c r="B144" s="247">
        <v>33041</v>
      </c>
      <c r="C144" s="638">
        <v>42156</v>
      </c>
      <c r="D144" s="243"/>
      <c r="E144" s="418"/>
      <c r="F144" s="421"/>
      <c r="G144" s="421"/>
      <c r="H144" s="244">
        <v>116</v>
      </c>
      <c r="I144" s="245">
        <v>202826.7</v>
      </c>
      <c r="J144" s="235"/>
    </row>
    <row r="145" spans="1:10">
      <c r="A145" s="246">
        <v>42199</v>
      </c>
      <c r="B145" s="416">
        <v>5420</v>
      </c>
      <c r="C145" s="416" t="s">
        <v>123</v>
      </c>
      <c r="D145" s="416"/>
      <c r="E145" s="418"/>
      <c r="F145" s="418"/>
      <c r="G145" s="418"/>
      <c r="H145" s="251">
        <v>115</v>
      </c>
      <c r="I145" s="245">
        <v>22468.5</v>
      </c>
      <c r="J145" s="235"/>
    </row>
    <row r="146" spans="1:10">
      <c r="A146" s="246">
        <v>42230</v>
      </c>
      <c r="B146" s="247">
        <v>5459</v>
      </c>
      <c r="C146" s="416" t="s">
        <v>265</v>
      </c>
      <c r="D146" s="243"/>
      <c r="E146" s="418"/>
      <c r="F146" s="419"/>
      <c r="G146" s="419"/>
      <c r="H146" s="477">
        <v>115</v>
      </c>
      <c r="I146" s="245">
        <v>36213.300000000003</v>
      </c>
      <c r="J146" s="235"/>
    </row>
    <row r="147" spans="1:10">
      <c r="A147" s="246">
        <v>42158</v>
      </c>
      <c r="B147" s="416" t="s">
        <v>34</v>
      </c>
      <c r="C147" s="416" t="s">
        <v>33</v>
      </c>
      <c r="D147" s="243">
        <v>109296</v>
      </c>
      <c r="E147" s="418"/>
      <c r="F147" s="419"/>
      <c r="G147" s="419"/>
      <c r="H147" s="244">
        <v>106</v>
      </c>
      <c r="I147" s="245">
        <f>16428.25/1.05</f>
        <v>15645.95238095238</v>
      </c>
      <c r="J147" s="235"/>
    </row>
    <row r="148" spans="1:10">
      <c r="A148" s="246">
        <v>42186</v>
      </c>
      <c r="B148" s="416">
        <v>32</v>
      </c>
      <c r="C148" s="416" t="s">
        <v>122</v>
      </c>
      <c r="D148" s="243">
        <v>109998</v>
      </c>
      <c r="E148" s="418"/>
      <c r="F148" s="419"/>
      <c r="G148" s="419"/>
      <c r="H148" s="477">
        <v>103</v>
      </c>
      <c r="I148" s="245">
        <v>13600</v>
      </c>
      <c r="J148" s="235"/>
    </row>
    <row r="149" spans="1:10">
      <c r="A149" s="246">
        <v>42201</v>
      </c>
      <c r="B149" s="416">
        <v>32</v>
      </c>
      <c r="C149" s="416" t="s">
        <v>222</v>
      </c>
      <c r="D149" s="243"/>
      <c r="E149" s="418"/>
      <c r="F149" s="419"/>
      <c r="G149" s="419"/>
      <c r="H149" s="477">
        <v>103</v>
      </c>
      <c r="I149" s="245">
        <v>18225</v>
      </c>
      <c r="J149" s="235"/>
    </row>
    <row r="150" spans="1:10">
      <c r="A150" s="246">
        <v>42219</v>
      </c>
      <c r="B150" s="416">
        <v>32</v>
      </c>
      <c r="C150" s="416" t="s">
        <v>266</v>
      </c>
      <c r="D150" s="243"/>
      <c r="E150" s="418"/>
      <c r="F150" s="419"/>
      <c r="G150" s="419"/>
      <c r="H150" s="477">
        <v>103</v>
      </c>
      <c r="I150" s="245">
        <v>18400</v>
      </c>
      <c r="J150" s="236"/>
    </row>
    <row r="151" spans="1:10">
      <c r="A151" s="241">
        <v>42240</v>
      </c>
      <c r="B151" s="416">
        <v>32</v>
      </c>
      <c r="C151" s="416" t="s">
        <v>325</v>
      </c>
      <c r="D151" s="243"/>
      <c r="E151" s="418"/>
      <c r="F151" s="419"/>
      <c r="G151" s="419"/>
      <c r="H151" s="244">
        <v>103</v>
      </c>
      <c r="I151" s="245">
        <v>19525</v>
      </c>
      <c r="J151" s="235"/>
    </row>
    <row r="152" spans="1:10">
      <c r="A152" s="246">
        <v>42256</v>
      </c>
      <c r="B152" s="416">
        <v>32</v>
      </c>
      <c r="C152" s="525" t="s">
        <v>388</v>
      </c>
      <c r="D152" s="243"/>
      <c r="E152" s="418"/>
      <c r="F152" s="419"/>
      <c r="G152" s="419"/>
      <c r="H152" s="477">
        <v>103</v>
      </c>
      <c r="I152" s="245">
        <v>12150</v>
      </c>
      <c r="J152" s="235"/>
    </row>
    <row r="153" spans="1:10">
      <c r="A153" s="246">
        <v>42156</v>
      </c>
      <c r="B153" s="417">
        <v>31052015</v>
      </c>
      <c r="C153" s="416" t="s">
        <v>37</v>
      </c>
      <c r="D153" s="243"/>
      <c r="E153" s="418"/>
      <c r="F153" s="419"/>
      <c r="G153" s="419"/>
      <c r="H153" s="244">
        <v>117</v>
      </c>
      <c r="I153" s="245">
        <v>2575</v>
      </c>
      <c r="J153" s="235"/>
    </row>
    <row r="154" spans="1:10">
      <c r="A154" s="246">
        <v>42170</v>
      </c>
      <c r="B154" s="417">
        <v>15062015</v>
      </c>
      <c r="C154" s="416" t="s">
        <v>78</v>
      </c>
      <c r="D154" s="243"/>
      <c r="E154" s="418"/>
      <c r="F154" s="419"/>
      <c r="G154" s="419"/>
      <c r="H154" s="244">
        <v>117</v>
      </c>
      <c r="I154" s="245">
        <v>13049.9</v>
      </c>
      <c r="J154" s="235"/>
    </row>
    <row r="155" spans="1:10">
      <c r="A155" s="246">
        <v>42185</v>
      </c>
      <c r="B155" s="417">
        <v>30062015</v>
      </c>
      <c r="C155" s="416" t="s">
        <v>122</v>
      </c>
      <c r="D155" s="243"/>
      <c r="E155" s="418"/>
      <c r="F155" s="419"/>
      <c r="G155" s="419"/>
      <c r="H155" s="477">
        <v>117</v>
      </c>
      <c r="I155" s="245">
        <v>13025</v>
      </c>
      <c r="J155" s="235"/>
    </row>
    <row r="156" spans="1:10">
      <c r="A156" s="246">
        <v>42203</v>
      </c>
      <c r="B156" s="416">
        <v>15072015</v>
      </c>
      <c r="C156" s="416" t="s">
        <v>191</v>
      </c>
      <c r="D156" s="243"/>
      <c r="E156" s="418"/>
      <c r="F156" s="419"/>
      <c r="G156" s="419"/>
      <c r="H156" s="477">
        <v>117</v>
      </c>
      <c r="I156" s="245">
        <v>17275</v>
      </c>
      <c r="J156" s="235"/>
    </row>
    <row r="157" spans="1:10">
      <c r="A157" s="246">
        <v>42219</v>
      </c>
      <c r="B157" s="416">
        <v>31072015</v>
      </c>
      <c r="C157" s="416" t="s">
        <v>266</v>
      </c>
      <c r="D157" s="243"/>
      <c r="E157" s="418"/>
      <c r="F157" s="419"/>
      <c r="G157" s="419"/>
      <c r="H157" s="477">
        <v>117</v>
      </c>
      <c r="I157" s="245">
        <v>14800</v>
      </c>
      <c r="J157" s="235"/>
    </row>
    <row r="158" spans="1:10">
      <c r="A158" s="246">
        <v>42234</v>
      </c>
      <c r="B158" s="416">
        <v>15082015</v>
      </c>
      <c r="C158" s="416" t="s">
        <v>309</v>
      </c>
      <c r="D158" s="243"/>
      <c r="E158" s="418"/>
      <c r="F158" s="419"/>
      <c r="G158" s="419"/>
      <c r="H158" s="244">
        <v>117</v>
      </c>
      <c r="I158" s="245">
        <v>25298.84</v>
      </c>
      <c r="J158" s="235"/>
    </row>
    <row r="159" spans="1:10">
      <c r="A159" s="485">
        <v>42249</v>
      </c>
      <c r="B159" s="1164" t="s">
        <v>1081</v>
      </c>
      <c r="C159" s="525" t="s">
        <v>388</v>
      </c>
      <c r="D159" s="417"/>
      <c r="E159" s="418"/>
      <c r="F159" s="419"/>
      <c r="G159" s="419"/>
      <c r="H159" s="477">
        <v>117</v>
      </c>
      <c r="I159" s="245">
        <v>27200</v>
      </c>
      <c r="J159" s="235"/>
    </row>
    <row r="160" spans="1:10">
      <c r="A160" s="246"/>
      <c r="B160" s="416" t="s">
        <v>318</v>
      </c>
      <c r="C160" s="416"/>
      <c r="D160" s="243"/>
      <c r="E160" s="418"/>
      <c r="F160" s="419"/>
      <c r="G160" s="419"/>
      <c r="H160" s="244">
        <v>125</v>
      </c>
      <c r="I160" s="245">
        <v>117000</v>
      </c>
      <c r="J160" s="235"/>
    </row>
    <row r="161" spans="1:10">
      <c r="A161" s="246">
        <v>42241</v>
      </c>
      <c r="B161" s="247">
        <v>1156</v>
      </c>
      <c r="C161" s="416" t="s">
        <v>325</v>
      </c>
      <c r="D161" s="243"/>
      <c r="E161" s="418"/>
      <c r="F161" s="419"/>
      <c r="G161" s="419"/>
      <c r="H161" s="244">
        <v>126</v>
      </c>
      <c r="I161" s="245">
        <v>20412.5</v>
      </c>
      <c r="J161" s="235"/>
    </row>
    <row r="162" spans="1:10">
      <c r="A162" s="432">
        <v>42241</v>
      </c>
      <c r="B162" s="491">
        <v>1164</v>
      </c>
      <c r="C162" s="639" t="s">
        <v>340</v>
      </c>
      <c r="D162" s="433"/>
      <c r="E162" s="434"/>
      <c r="F162" s="435"/>
      <c r="G162" s="435"/>
      <c r="H162" s="436">
        <v>126</v>
      </c>
      <c r="I162" s="437">
        <v>14383.44</v>
      </c>
      <c r="J162" s="235"/>
    </row>
    <row r="163" spans="1:10">
      <c r="A163" s="442">
        <v>42241</v>
      </c>
      <c r="B163" s="487">
        <v>1151</v>
      </c>
      <c r="C163" s="488" t="s">
        <v>266</v>
      </c>
      <c r="D163" s="443"/>
      <c r="E163" s="444"/>
      <c r="F163" s="493"/>
      <c r="G163" s="493"/>
      <c r="H163" s="446">
        <v>126</v>
      </c>
      <c r="I163" s="447">
        <v>19793.75</v>
      </c>
      <c r="J163" s="235"/>
    </row>
    <row r="164" spans="1:10">
      <c r="A164" s="486">
        <v>42241</v>
      </c>
      <c r="B164" s="490">
        <v>1143</v>
      </c>
      <c r="C164" s="640" t="s">
        <v>341</v>
      </c>
      <c r="D164" s="438"/>
      <c r="E164" s="439"/>
      <c r="F164" s="440"/>
      <c r="G164" s="440"/>
      <c r="H164" s="495">
        <v>126</v>
      </c>
      <c r="I164" s="441">
        <v>5636.06</v>
      </c>
      <c r="J164" s="235"/>
    </row>
    <row r="165" spans="1:10">
      <c r="A165" s="246">
        <v>42241</v>
      </c>
      <c r="B165" s="247">
        <v>1131</v>
      </c>
      <c r="C165" s="416" t="s">
        <v>342</v>
      </c>
      <c r="D165" s="243"/>
      <c r="E165" s="418"/>
      <c r="F165" s="419"/>
      <c r="G165" s="419"/>
      <c r="H165" s="244">
        <v>126</v>
      </c>
      <c r="I165" s="245">
        <v>12850</v>
      </c>
      <c r="J165" s="235"/>
    </row>
    <row r="166" spans="1:10">
      <c r="A166" s="246">
        <v>42241</v>
      </c>
      <c r="B166" s="253">
        <v>1130</v>
      </c>
      <c r="C166" s="416" t="s">
        <v>343</v>
      </c>
      <c r="D166" s="243"/>
      <c r="E166" s="418"/>
      <c r="F166" s="419"/>
      <c r="G166" s="419"/>
      <c r="H166" s="244">
        <v>126</v>
      </c>
      <c r="I166" s="245">
        <v>5620.46</v>
      </c>
      <c r="J166" s="235"/>
    </row>
    <row r="167" spans="1:10">
      <c r="A167" s="246">
        <v>42256</v>
      </c>
      <c r="B167" s="253">
        <v>1171</v>
      </c>
      <c r="C167" s="525" t="s">
        <v>388</v>
      </c>
      <c r="D167" s="243"/>
      <c r="E167" s="418"/>
      <c r="F167" s="419"/>
      <c r="G167" s="419"/>
      <c r="H167" s="477">
        <v>126</v>
      </c>
      <c r="I167" s="245">
        <v>32877.75</v>
      </c>
      <c r="J167" s="235"/>
    </row>
    <row r="168" spans="1:10">
      <c r="A168" s="246">
        <v>42186</v>
      </c>
      <c r="B168" s="417">
        <v>13</v>
      </c>
      <c r="C168" s="416" t="s">
        <v>408</v>
      </c>
      <c r="D168" s="417">
        <v>1114382</v>
      </c>
      <c r="E168" s="418"/>
      <c r="F168" s="419"/>
      <c r="G168" s="419"/>
      <c r="H168" s="477">
        <v>105</v>
      </c>
      <c r="I168" s="245">
        <v>7525</v>
      </c>
    </row>
    <row r="169" spans="1:10">
      <c r="A169" s="241">
        <v>42186</v>
      </c>
      <c r="B169" s="417">
        <v>14</v>
      </c>
      <c r="C169" s="416" t="s">
        <v>409</v>
      </c>
      <c r="D169" s="417">
        <v>1114382</v>
      </c>
      <c r="E169" s="418"/>
      <c r="F169" s="419"/>
      <c r="G169" s="419"/>
      <c r="H169" s="477">
        <v>105</v>
      </c>
      <c r="I169" s="245">
        <v>19175</v>
      </c>
    </row>
    <row r="170" spans="1:10">
      <c r="A170" s="246">
        <v>42219</v>
      </c>
      <c r="B170" s="417">
        <v>15</v>
      </c>
      <c r="C170" s="416" t="s">
        <v>410</v>
      </c>
      <c r="D170" s="417"/>
      <c r="E170" s="418"/>
      <c r="F170" s="419"/>
      <c r="G170" s="419"/>
      <c r="H170" s="477">
        <v>105</v>
      </c>
      <c r="I170" s="245">
        <v>34025</v>
      </c>
    </row>
    <row r="171" spans="1:10">
      <c r="A171" s="246">
        <v>42256</v>
      </c>
      <c r="B171" s="253">
        <v>16</v>
      </c>
      <c r="C171" s="525" t="s">
        <v>395</v>
      </c>
      <c r="D171" s="417"/>
      <c r="E171" s="418"/>
      <c r="F171" s="419"/>
      <c r="G171" s="419"/>
      <c r="H171" s="477">
        <v>105</v>
      </c>
      <c r="I171" s="245">
        <v>39225</v>
      </c>
    </row>
    <row r="172" spans="1:10">
      <c r="A172" s="246">
        <v>42165</v>
      </c>
      <c r="B172" s="417" t="s">
        <v>40</v>
      </c>
      <c r="C172" s="416" t="s">
        <v>41</v>
      </c>
      <c r="D172" s="417">
        <v>107289</v>
      </c>
      <c r="E172" s="418"/>
      <c r="F172" s="419"/>
      <c r="G172" s="419"/>
      <c r="H172" s="477">
        <v>118</v>
      </c>
      <c r="I172" s="245">
        <v>2200</v>
      </c>
    </row>
    <row r="173" spans="1:10">
      <c r="A173" s="246">
        <v>42165</v>
      </c>
      <c r="B173" s="416" t="s">
        <v>42</v>
      </c>
      <c r="C173" s="416" t="s">
        <v>58</v>
      </c>
      <c r="D173" s="417">
        <v>107289</v>
      </c>
      <c r="E173" s="418"/>
      <c r="F173" s="419"/>
      <c r="G173" s="419"/>
      <c r="H173" s="477">
        <v>118</v>
      </c>
      <c r="I173" s="245">
        <v>4089</v>
      </c>
    </row>
    <row r="174" spans="1:10">
      <c r="A174" s="442">
        <v>42170</v>
      </c>
      <c r="B174" s="488" t="s">
        <v>192</v>
      </c>
      <c r="C174" s="488" t="s">
        <v>78</v>
      </c>
      <c r="D174" s="443"/>
      <c r="E174" s="444"/>
      <c r="F174" s="445"/>
      <c r="G174" s="445"/>
      <c r="H174" s="594">
        <v>118</v>
      </c>
      <c r="I174" s="447">
        <v>12019</v>
      </c>
    </row>
    <row r="175" spans="1:10">
      <c r="A175" s="442">
        <v>42212</v>
      </c>
      <c r="B175" s="443">
        <v>28029</v>
      </c>
      <c r="C175" s="488" t="s">
        <v>191</v>
      </c>
      <c r="D175" s="443"/>
      <c r="E175" s="444"/>
      <c r="F175" s="445"/>
      <c r="G175" s="445"/>
      <c r="H175" s="494">
        <v>120</v>
      </c>
      <c r="I175" s="447">
        <f>17199-819</f>
        <v>16380</v>
      </c>
    </row>
    <row r="176" spans="1:10">
      <c r="A176" s="442">
        <v>42212</v>
      </c>
      <c r="B176" s="443">
        <v>27913</v>
      </c>
      <c r="C176" s="488" t="s">
        <v>245</v>
      </c>
      <c r="D176" s="443"/>
      <c r="E176" s="444"/>
      <c r="F176" s="445"/>
      <c r="G176" s="445"/>
      <c r="H176" s="494">
        <v>120</v>
      </c>
      <c r="I176" s="447">
        <f>60543-2883</f>
        <v>57660</v>
      </c>
    </row>
    <row r="177" spans="1:10">
      <c r="A177" s="246">
        <v>42263</v>
      </c>
      <c r="B177" s="413">
        <v>5502</v>
      </c>
      <c r="C177" s="525" t="s">
        <v>395</v>
      </c>
      <c r="D177" s="448"/>
      <c r="E177" s="418"/>
      <c r="F177" s="419"/>
      <c r="G177" s="417"/>
      <c r="H177" s="477">
        <v>115</v>
      </c>
      <c r="I177" s="449">
        <v>8199.9</v>
      </c>
    </row>
    <row r="178" spans="1:10">
      <c r="A178" s="246">
        <v>42259</v>
      </c>
      <c r="B178" s="1164" t="s">
        <v>1082</v>
      </c>
      <c r="C178" s="416" t="s">
        <v>407</v>
      </c>
      <c r="D178" s="417"/>
      <c r="E178" s="418"/>
      <c r="F178" s="419"/>
      <c r="G178" s="419"/>
      <c r="H178" s="477">
        <v>127</v>
      </c>
      <c r="I178" s="245">
        <v>9100</v>
      </c>
    </row>
    <row r="179" spans="1:10">
      <c r="A179" s="246">
        <v>42263</v>
      </c>
      <c r="B179" s="416" t="s">
        <v>413</v>
      </c>
      <c r="C179" s="416" t="s">
        <v>414</v>
      </c>
      <c r="D179" s="417">
        <v>11117</v>
      </c>
      <c r="E179" s="418"/>
      <c r="F179" s="419"/>
      <c r="G179" s="419"/>
      <c r="H179" s="477">
        <v>109</v>
      </c>
      <c r="I179" s="245">
        <v>13850</v>
      </c>
    </row>
    <row r="180" spans="1:10">
      <c r="A180" s="246">
        <v>42264</v>
      </c>
      <c r="B180" s="416" t="s">
        <v>415</v>
      </c>
      <c r="C180" s="416" t="s">
        <v>388</v>
      </c>
      <c r="D180" s="417"/>
      <c r="E180" s="418"/>
      <c r="F180" s="419"/>
      <c r="G180" s="419"/>
      <c r="H180" s="477">
        <v>119</v>
      </c>
      <c r="I180" s="245">
        <v>276996</v>
      </c>
    </row>
    <row r="181" spans="1:10">
      <c r="A181" s="246">
        <v>42264</v>
      </c>
      <c r="B181" s="253">
        <v>12816</v>
      </c>
      <c r="C181" s="525">
        <v>42263</v>
      </c>
      <c r="D181" s="417"/>
      <c r="E181" s="418"/>
      <c r="F181" s="492"/>
      <c r="G181" s="492"/>
      <c r="H181" s="477">
        <v>121</v>
      </c>
      <c r="I181" s="245">
        <v>56107.5</v>
      </c>
    </row>
    <row r="182" spans="1:10">
      <c r="A182" s="246">
        <v>42264</v>
      </c>
      <c r="B182" s="1164" t="s">
        <v>1083</v>
      </c>
      <c r="C182" s="416" t="s">
        <v>414</v>
      </c>
      <c r="D182" s="417"/>
      <c r="E182" s="418"/>
      <c r="F182" s="419"/>
      <c r="G182" s="419"/>
      <c r="H182" s="477">
        <v>117</v>
      </c>
      <c r="I182" s="245">
        <v>24100</v>
      </c>
    </row>
    <row r="183" spans="1:10">
      <c r="A183" s="246">
        <v>42264</v>
      </c>
      <c r="B183" s="247">
        <v>33</v>
      </c>
      <c r="C183" s="416" t="s">
        <v>414</v>
      </c>
      <c r="D183" s="417">
        <v>110011</v>
      </c>
      <c r="E183" s="418"/>
      <c r="F183" s="419"/>
      <c r="G183" s="419"/>
      <c r="H183" s="477">
        <v>104</v>
      </c>
      <c r="I183" s="245">
        <v>5875</v>
      </c>
    </row>
    <row r="184" spans="1:10">
      <c r="A184" s="246">
        <v>42265</v>
      </c>
      <c r="B184" s="247">
        <v>1193</v>
      </c>
      <c r="C184" s="416" t="s">
        <v>414</v>
      </c>
      <c r="D184" s="417"/>
      <c r="E184" s="418"/>
      <c r="F184" s="419"/>
      <c r="G184" s="419"/>
      <c r="H184" s="477">
        <v>126</v>
      </c>
      <c r="I184" s="245">
        <v>65908.5</v>
      </c>
    </row>
    <row r="185" spans="1:10">
      <c r="A185" s="246">
        <v>42265</v>
      </c>
      <c r="B185" s="253">
        <v>12826</v>
      </c>
      <c r="C185" s="525">
        <v>42264</v>
      </c>
      <c r="D185" s="417"/>
      <c r="E185" s="418"/>
      <c r="F185" s="492"/>
      <c r="G185" s="492"/>
      <c r="H185" s="477">
        <v>121</v>
      </c>
      <c r="I185" s="245">
        <v>13230</v>
      </c>
    </row>
    <row r="186" spans="1:10">
      <c r="A186" s="555">
        <v>42251</v>
      </c>
      <c r="B186" s="252" t="s">
        <v>951</v>
      </c>
      <c r="C186" s="416" t="s">
        <v>959</v>
      </c>
      <c r="D186" s="416"/>
      <c r="E186" s="418"/>
      <c r="F186" s="418"/>
      <c r="G186" s="418"/>
      <c r="H186" s="554">
        <v>128</v>
      </c>
      <c r="I186" s="245">
        <v>20706.669999999998</v>
      </c>
      <c r="J186" s="82"/>
    </row>
    <row r="187" spans="1:10" s="2" customFormat="1">
      <c r="A187" s="241">
        <v>42251</v>
      </c>
      <c r="B187" s="252" t="s">
        <v>952</v>
      </c>
      <c r="C187" s="416" t="s">
        <v>958</v>
      </c>
      <c r="D187" s="416"/>
      <c r="E187" s="418"/>
      <c r="F187" s="418"/>
      <c r="G187" s="418"/>
      <c r="H187" s="554">
        <v>128</v>
      </c>
      <c r="I187" s="245">
        <v>18320</v>
      </c>
      <c r="J187" s="82"/>
    </row>
    <row r="188" spans="1:10">
      <c r="A188" s="241">
        <v>42251</v>
      </c>
      <c r="B188" s="252" t="s">
        <v>953</v>
      </c>
      <c r="C188" s="416" t="s">
        <v>961</v>
      </c>
      <c r="D188" s="416"/>
      <c r="E188" s="418"/>
      <c r="F188" s="418"/>
      <c r="G188" s="418"/>
      <c r="H188" s="554">
        <v>128</v>
      </c>
      <c r="I188" s="245">
        <v>58864.99</v>
      </c>
      <c r="J188" s="82"/>
    </row>
    <row r="189" spans="1:10">
      <c r="A189" s="241">
        <v>42251</v>
      </c>
      <c r="B189" s="252" t="s">
        <v>954</v>
      </c>
      <c r="C189" s="416" t="s">
        <v>960</v>
      </c>
      <c r="D189" s="416"/>
      <c r="E189" s="418"/>
      <c r="F189" s="418"/>
      <c r="G189" s="418"/>
      <c r="H189" s="554">
        <v>128</v>
      </c>
      <c r="I189" s="245">
        <v>25117</v>
      </c>
      <c r="J189" s="82"/>
    </row>
    <row r="190" spans="1:10" s="2" customFormat="1">
      <c r="A190" s="241">
        <v>42251</v>
      </c>
      <c r="B190" s="252" t="s">
        <v>955</v>
      </c>
      <c r="C190" s="416" t="s">
        <v>962</v>
      </c>
      <c r="D190" s="416"/>
      <c r="E190" s="418"/>
      <c r="F190" s="418"/>
      <c r="G190" s="418"/>
      <c r="H190" s="554">
        <v>128</v>
      </c>
      <c r="I190" s="245">
        <v>122538.11</v>
      </c>
      <c r="J190" s="82"/>
    </row>
    <row r="191" spans="1:10" s="119" customFormat="1">
      <c r="A191" s="546">
        <v>42251</v>
      </c>
      <c r="B191" s="547" t="s">
        <v>956</v>
      </c>
      <c r="C191" s="548" t="s">
        <v>963</v>
      </c>
      <c r="D191" s="548"/>
      <c r="E191" s="549"/>
      <c r="F191" s="549"/>
      <c r="G191" s="549"/>
      <c r="H191" s="550">
        <v>128</v>
      </c>
      <c r="I191" s="551">
        <v>101402.11</v>
      </c>
      <c r="J191" s="552"/>
    </row>
    <row r="192" spans="1:10">
      <c r="A192" s="241">
        <v>42251</v>
      </c>
      <c r="B192" s="252" t="s">
        <v>957</v>
      </c>
      <c r="C192" s="553" t="s">
        <v>964</v>
      </c>
      <c r="D192" s="416"/>
      <c r="E192" s="418"/>
      <c r="F192" s="418"/>
      <c r="G192" s="418"/>
      <c r="H192" s="554">
        <v>128</v>
      </c>
      <c r="I192" s="245">
        <v>86628.01</v>
      </c>
      <c r="J192" s="82"/>
    </row>
    <row r="193" spans="1:9">
      <c r="A193" s="246">
        <v>42271</v>
      </c>
      <c r="B193" s="252" t="s">
        <v>455</v>
      </c>
      <c r="C193" s="416" t="s">
        <v>456</v>
      </c>
      <c r="D193" s="417"/>
      <c r="E193" s="418"/>
      <c r="F193" s="419"/>
      <c r="G193" s="419"/>
      <c r="H193" s="554">
        <v>121</v>
      </c>
      <c r="I193" s="245">
        <v>36910</v>
      </c>
    </row>
    <row r="194" spans="1:9">
      <c r="A194" s="246">
        <v>42271</v>
      </c>
      <c r="B194" s="252" t="s">
        <v>457</v>
      </c>
      <c r="C194" s="416" t="s">
        <v>458</v>
      </c>
      <c r="D194" s="417"/>
      <c r="E194" s="418"/>
      <c r="F194" s="419"/>
      <c r="G194" s="419"/>
      <c r="H194" s="554">
        <v>116</v>
      </c>
      <c r="I194" s="245">
        <v>232485.45</v>
      </c>
    </row>
    <row r="195" spans="1:9">
      <c r="A195" s="246">
        <v>42262</v>
      </c>
      <c r="B195" s="252" t="s">
        <v>459</v>
      </c>
      <c r="C195" s="416" t="s">
        <v>460</v>
      </c>
      <c r="D195" s="417"/>
      <c r="E195" s="418"/>
      <c r="F195" s="419"/>
      <c r="G195" s="419"/>
      <c r="H195" s="554">
        <v>124</v>
      </c>
      <c r="I195" s="245">
        <v>10554</v>
      </c>
    </row>
    <row r="196" spans="1:9">
      <c r="A196" s="246">
        <v>42272</v>
      </c>
      <c r="B196" s="252" t="s">
        <v>461</v>
      </c>
      <c r="C196" s="416" t="s">
        <v>462</v>
      </c>
      <c r="D196" s="417"/>
      <c r="E196" s="418"/>
      <c r="F196" s="419"/>
      <c r="G196" s="419"/>
      <c r="H196" s="554">
        <v>119</v>
      </c>
      <c r="I196" s="245">
        <v>189128</v>
      </c>
    </row>
    <row r="197" spans="1:9">
      <c r="A197" s="246">
        <v>42277</v>
      </c>
      <c r="B197" s="252" t="s">
        <v>286</v>
      </c>
      <c r="C197" s="416" t="s">
        <v>543</v>
      </c>
      <c r="D197" s="417"/>
      <c r="E197" s="418"/>
      <c r="F197" s="419"/>
      <c r="G197" s="419"/>
      <c r="H197" s="554">
        <v>105</v>
      </c>
      <c r="I197" s="245">
        <v>16400</v>
      </c>
    </row>
    <row r="198" spans="1:9">
      <c r="A198" s="246">
        <v>42278</v>
      </c>
      <c r="B198" s="252" t="s">
        <v>546</v>
      </c>
      <c r="C198" s="416" t="s">
        <v>547</v>
      </c>
      <c r="D198" s="417"/>
      <c r="E198" s="418"/>
      <c r="F198" s="419"/>
      <c r="G198" s="419"/>
      <c r="H198" s="554">
        <v>121</v>
      </c>
      <c r="I198" s="245">
        <v>75200</v>
      </c>
    </row>
    <row r="199" spans="1:9">
      <c r="A199" s="246">
        <v>42278</v>
      </c>
      <c r="B199" s="252" t="s">
        <v>550</v>
      </c>
      <c r="C199" s="416" t="s">
        <v>551</v>
      </c>
      <c r="D199" s="417">
        <v>11117</v>
      </c>
      <c r="E199" s="418"/>
      <c r="F199" s="419"/>
      <c r="G199" s="419"/>
      <c r="H199" s="554">
        <v>109</v>
      </c>
      <c r="I199" s="245">
        <v>18200</v>
      </c>
    </row>
    <row r="200" spans="1:9">
      <c r="A200" s="246">
        <v>42279</v>
      </c>
      <c r="B200" s="1164" t="s">
        <v>1084</v>
      </c>
      <c r="C200" s="416" t="s">
        <v>551</v>
      </c>
      <c r="D200" s="417"/>
      <c r="E200" s="418"/>
      <c r="F200" s="419"/>
      <c r="G200" s="419"/>
      <c r="H200" s="244">
        <v>117</v>
      </c>
      <c r="I200" s="245">
        <v>26050</v>
      </c>
    </row>
    <row r="201" spans="1:9">
      <c r="A201" s="246">
        <v>42272</v>
      </c>
      <c r="B201" s="252" t="s">
        <v>581</v>
      </c>
      <c r="C201" s="416" t="s">
        <v>582</v>
      </c>
      <c r="D201" s="417"/>
      <c r="E201" s="418"/>
      <c r="F201" s="419"/>
      <c r="G201" s="419"/>
      <c r="H201" s="554">
        <v>128</v>
      </c>
      <c r="I201" s="245">
        <v>79215.97</v>
      </c>
    </row>
    <row r="202" spans="1:9">
      <c r="A202" s="246">
        <v>42272</v>
      </c>
      <c r="B202" s="252" t="s">
        <v>596</v>
      </c>
      <c r="C202" s="416" t="s">
        <v>597</v>
      </c>
      <c r="D202" s="417"/>
      <c r="E202" s="418"/>
      <c r="F202" s="419"/>
      <c r="G202" s="419"/>
      <c r="H202" s="554">
        <v>128</v>
      </c>
      <c r="I202" s="245">
        <v>36582.82</v>
      </c>
    </row>
    <row r="203" spans="1:9">
      <c r="A203" s="246">
        <v>42273</v>
      </c>
      <c r="B203" s="252" t="s">
        <v>616</v>
      </c>
      <c r="C203" s="416" t="s">
        <v>617</v>
      </c>
      <c r="D203" s="417"/>
      <c r="E203" s="418"/>
      <c r="F203" s="419"/>
      <c r="G203" s="419"/>
      <c r="H203" s="554">
        <v>128</v>
      </c>
      <c r="I203" s="245">
        <v>62571.64</v>
      </c>
    </row>
    <row r="204" spans="1:9">
      <c r="A204" s="246">
        <v>42274</v>
      </c>
      <c r="B204" s="252" t="s">
        <v>627</v>
      </c>
      <c r="C204" s="416" t="s">
        <v>628</v>
      </c>
      <c r="D204" s="417"/>
      <c r="E204" s="418"/>
      <c r="F204" s="419"/>
      <c r="G204" s="419"/>
      <c r="H204" s="554">
        <v>128</v>
      </c>
      <c r="I204" s="245">
        <v>42190.69</v>
      </c>
    </row>
    <row r="205" spans="1:9">
      <c r="A205" s="246">
        <v>42276</v>
      </c>
      <c r="B205" s="416">
        <v>1271</v>
      </c>
      <c r="C205" s="525">
        <v>42264</v>
      </c>
      <c r="D205" s="417"/>
      <c r="E205" s="418"/>
      <c r="F205" s="419"/>
      <c r="G205" s="419"/>
      <c r="H205" s="244">
        <v>114</v>
      </c>
      <c r="I205" s="245">
        <v>105</v>
      </c>
    </row>
    <row r="206" spans="1:9">
      <c r="A206" s="246">
        <v>42282</v>
      </c>
      <c r="B206" s="252" t="s">
        <v>832</v>
      </c>
      <c r="C206" s="416" t="s">
        <v>635</v>
      </c>
      <c r="D206" s="417"/>
      <c r="E206" s="418"/>
      <c r="F206" s="419"/>
      <c r="G206" s="419"/>
      <c r="H206" s="244">
        <v>122</v>
      </c>
      <c r="I206" s="245">
        <f>231581.39-13211.39</f>
        <v>218370</v>
      </c>
    </row>
    <row r="207" spans="1:9">
      <c r="A207" s="478">
        <v>42283</v>
      </c>
      <c r="B207" s="479" t="s">
        <v>637</v>
      </c>
      <c r="C207" s="497" t="s">
        <v>638</v>
      </c>
      <c r="D207" s="480"/>
      <c r="E207" s="481"/>
      <c r="F207" s="482"/>
      <c r="G207" s="482"/>
      <c r="H207" s="554">
        <v>126</v>
      </c>
      <c r="I207" s="483">
        <v>45083.75</v>
      </c>
    </row>
    <row r="208" spans="1:9">
      <c r="A208" s="478">
        <v>42290</v>
      </c>
      <c r="B208" s="479" t="s">
        <v>651</v>
      </c>
      <c r="C208" s="497" t="s">
        <v>652</v>
      </c>
      <c r="D208" s="480"/>
      <c r="E208" s="1162" t="s">
        <v>1071</v>
      </c>
      <c r="F208" s="482"/>
      <c r="G208" s="482"/>
      <c r="H208" s="554">
        <v>103</v>
      </c>
      <c r="I208" s="483">
        <v>5875</v>
      </c>
    </row>
    <row r="209" spans="1:9">
      <c r="A209" s="478">
        <v>42290</v>
      </c>
      <c r="B209" s="479" t="s">
        <v>654</v>
      </c>
      <c r="C209" s="644" t="s">
        <v>655</v>
      </c>
      <c r="D209" s="480"/>
      <c r="E209" s="481"/>
      <c r="F209" s="482"/>
      <c r="G209" s="482"/>
      <c r="H209" s="554">
        <v>115</v>
      </c>
      <c r="I209" s="483">
        <v>27775</v>
      </c>
    </row>
    <row r="210" spans="1:9">
      <c r="A210" s="478">
        <v>42267</v>
      </c>
      <c r="B210" s="479" t="s">
        <v>657</v>
      </c>
      <c r="C210" s="497" t="s">
        <v>655</v>
      </c>
      <c r="D210" s="480"/>
      <c r="E210" s="481"/>
      <c r="F210" s="482"/>
      <c r="G210" s="482"/>
      <c r="H210" s="554">
        <v>113</v>
      </c>
      <c r="I210" s="483">
        <v>32450</v>
      </c>
    </row>
    <row r="211" spans="1:9">
      <c r="A211" s="478">
        <v>42267</v>
      </c>
      <c r="B211" s="479" t="s">
        <v>463</v>
      </c>
      <c r="C211" s="497" t="s">
        <v>551</v>
      </c>
      <c r="D211" s="480"/>
      <c r="E211" s="481"/>
      <c r="F211" s="482"/>
      <c r="G211" s="482"/>
      <c r="H211" s="477">
        <v>119</v>
      </c>
      <c r="I211" s="483">
        <v>200508</v>
      </c>
    </row>
    <row r="212" spans="1:9">
      <c r="A212" s="478">
        <v>42297</v>
      </c>
      <c r="B212" s="1165" t="s">
        <v>1085</v>
      </c>
      <c r="C212" s="497" t="s">
        <v>686</v>
      </c>
      <c r="D212" s="480"/>
      <c r="E212" s="418"/>
      <c r="F212" s="482"/>
      <c r="G212" s="482"/>
      <c r="H212" s="244">
        <v>117</v>
      </c>
      <c r="I212" s="483">
        <v>22050</v>
      </c>
    </row>
    <row r="213" spans="1:9">
      <c r="A213" s="478">
        <v>42297</v>
      </c>
      <c r="B213" s="479" t="s">
        <v>812</v>
      </c>
      <c r="C213" s="497" t="s">
        <v>655</v>
      </c>
      <c r="D213" s="480"/>
      <c r="E213" s="418"/>
      <c r="F213" s="482"/>
      <c r="G213" s="482"/>
      <c r="H213" s="244">
        <v>122</v>
      </c>
      <c r="I213" s="483">
        <v>167169.5</v>
      </c>
    </row>
    <row r="214" spans="1:9">
      <c r="A214" s="478">
        <v>42297</v>
      </c>
      <c r="B214" s="479" t="s">
        <v>687</v>
      </c>
      <c r="C214" s="497" t="s">
        <v>390</v>
      </c>
      <c r="D214" s="480"/>
      <c r="E214" s="444"/>
      <c r="F214" s="445"/>
      <c r="G214" s="445"/>
      <c r="H214" s="494">
        <v>120</v>
      </c>
      <c r="I214" s="483">
        <f>3629.85-172.85</f>
        <v>3457</v>
      </c>
    </row>
    <row r="215" spans="1:9">
      <c r="A215" s="478">
        <v>42300</v>
      </c>
      <c r="B215" s="479" t="s">
        <v>464</v>
      </c>
      <c r="C215" s="497" t="s">
        <v>686</v>
      </c>
      <c r="D215" s="480"/>
      <c r="E215" s="481"/>
      <c r="F215" s="482"/>
      <c r="G215" s="482"/>
      <c r="H215" s="477">
        <v>119</v>
      </c>
      <c r="I215" s="483">
        <v>131669</v>
      </c>
    </row>
    <row r="216" spans="1:9">
      <c r="A216" s="478">
        <v>42300</v>
      </c>
      <c r="B216" s="479" t="s">
        <v>708</v>
      </c>
      <c r="C216" s="644">
        <v>42279</v>
      </c>
      <c r="D216" s="480"/>
      <c r="E216" s="444"/>
      <c r="F216" s="445"/>
      <c r="G216" s="445"/>
      <c r="H216" s="494">
        <v>120</v>
      </c>
      <c r="I216" s="483">
        <f>1572.9-74.9</f>
        <v>1498</v>
      </c>
    </row>
    <row r="217" spans="1:9">
      <c r="A217" s="478">
        <v>42303</v>
      </c>
      <c r="B217" s="479" t="s">
        <v>719</v>
      </c>
      <c r="C217" s="497" t="s">
        <v>551</v>
      </c>
      <c r="D217" s="480"/>
      <c r="E217" s="418"/>
      <c r="F217" s="419"/>
      <c r="G217" s="419"/>
      <c r="H217" s="554">
        <v>124</v>
      </c>
      <c r="I217" s="483">
        <v>13580</v>
      </c>
    </row>
    <row r="218" spans="1:9">
      <c r="A218" s="478">
        <v>42303</v>
      </c>
      <c r="B218" s="479" t="s">
        <v>720</v>
      </c>
      <c r="C218" s="497" t="s">
        <v>686</v>
      </c>
      <c r="D218" s="480"/>
      <c r="E218" s="418"/>
      <c r="F218" s="419"/>
      <c r="G218" s="419"/>
      <c r="H218" s="554">
        <v>124</v>
      </c>
      <c r="I218" s="483">
        <v>14010</v>
      </c>
    </row>
    <row r="219" spans="1:9">
      <c r="A219" s="478">
        <v>42310</v>
      </c>
      <c r="B219" s="479" t="s">
        <v>761</v>
      </c>
      <c r="C219" s="497" t="s">
        <v>762</v>
      </c>
      <c r="D219" s="417">
        <v>11117</v>
      </c>
      <c r="E219" s="418"/>
      <c r="F219" s="419"/>
      <c r="G219" s="419"/>
      <c r="H219" s="554">
        <v>109</v>
      </c>
      <c r="I219" s="483">
        <v>19695</v>
      </c>
    </row>
    <row r="220" spans="1:9">
      <c r="A220" s="478">
        <v>42310</v>
      </c>
      <c r="B220" s="479" t="s">
        <v>765</v>
      </c>
      <c r="C220" s="644">
        <v>42308</v>
      </c>
      <c r="D220" s="480"/>
      <c r="E220" s="481"/>
      <c r="F220" s="482"/>
      <c r="G220" s="482"/>
      <c r="H220" s="498">
        <v>132</v>
      </c>
      <c r="I220" s="483">
        <v>803600</v>
      </c>
    </row>
    <row r="221" spans="1:9">
      <c r="A221" s="478">
        <v>42311</v>
      </c>
      <c r="B221" s="479" t="s">
        <v>766</v>
      </c>
      <c r="C221" s="644">
        <v>42307</v>
      </c>
      <c r="D221" s="480"/>
      <c r="E221" s="481"/>
      <c r="F221" s="482"/>
      <c r="G221" s="482"/>
      <c r="H221" s="498">
        <v>129</v>
      </c>
      <c r="I221" s="483">
        <v>183409.04</v>
      </c>
    </row>
    <row r="222" spans="1:9">
      <c r="A222" s="478">
        <v>42312</v>
      </c>
      <c r="B222" s="479" t="s">
        <v>774</v>
      </c>
      <c r="C222" s="644">
        <v>42312</v>
      </c>
      <c r="D222" s="480"/>
      <c r="E222" s="418"/>
      <c r="F222" s="419"/>
      <c r="G222" s="419"/>
      <c r="H222" s="244">
        <v>114</v>
      </c>
      <c r="I222" s="483">
        <v>675</v>
      </c>
    </row>
    <row r="223" spans="1:9">
      <c r="A223" s="478">
        <v>42312</v>
      </c>
      <c r="B223" s="479" t="s">
        <v>777</v>
      </c>
      <c r="C223" s="497" t="s">
        <v>776</v>
      </c>
      <c r="D223" s="480"/>
      <c r="E223" s="418"/>
      <c r="F223" s="419"/>
      <c r="G223" s="419"/>
      <c r="H223" s="244">
        <v>113</v>
      </c>
      <c r="I223" s="483">
        <v>10325</v>
      </c>
    </row>
    <row r="224" spans="1:9">
      <c r="A224" s="478">
        <v>42312</v>
      </c>
      <c r="B224" s="479" t="s">
        <v>780</v>
      </c>
      <c r="C224" s="497" t="s">
        <v>781</v>
      </c>
      <c r="D224" s="480"/>
      <c r="E224" s="418"/>
      <c r="F224" s="419"/>
      <c r="G224" s="419"/>
      <c r="H224" s="554">
        <v>116</v>
      </c>
      <c r="I224" s="483">
        <v>207511.78</v>
      </c>
    </row>
    <row r="225" spans="1:10">
      <c r="A225" s="478">
        <v>42314</v>
      </c>
      <c r="B225" s="479" t="s">
        <v>788</v>
      </c>
      <c r="C225" s="644">
        <v>42247</v>
      </c>
      <c r="D225" s="480"/>
      <c r="E225" s="418"/>
      <c r="F225" s="419"/>
      <c r="G225" s="419"/>
      <c r="H225" s="244">
        <v>114</v>
      </c>
      <c r="I225" s="483">
        <v>1237</v>
      </c>
    </row>
    <row r="226" spans="1:10">
      <c r="A226" s="478">
        <v>42315</v>
      </c>
      <c r="B226" s="479" t="s">
        <v>790</v>
      </c>
      <c r="C226" s="497" t="s">
        <v>791</v>
      </c>
      <c r="D226" s="480"/>
      <c r="E226" s="418"/>
      <c r="F226" s="419"/>
      <c r="G226" s="419"/>
      <c r="H226" s="554">
        <v>105</v>
      </c>
      <c r="I226" s="483">
        <v>2950</v>
      </c>
    </row>
    <row r="227" spans="1:10">
      <c r="A227" s="478">
        <v>42315</v>
      </c>
      <c r="B227" s="479" t="s">
        <v>792</v>
      </c>
      <c r="C227" s="644">
        <v>42234</v>
      </c>
      <c r="D227" s="480"/>
      <c r="E227" s="444"/>
      <c r="F227" s="445"/>
      <c r="G227" s="445"/>
      <c r="H227" s="494">
        <v>120</v>
      </c>
      <c r="I227" s="483">
        <f>2572.5-122.5</f>
        <v>2450</v>
      </c>
    </row>
    <row r="228" spans="1:10">
      <c r="A228" s="478">
        <v>42315</v>
      </c>
      <c r="B228" s="479" t="s">
        <v>793</v>
      </c>
      <c r="C228" s="644">
        <v>42240</v>
      </c>
      <c r="D228" s="480"/>
      <c r="E228" s="444"/>
      <c r="F228" s="445"/>
      <c r="G228" s="445"/>
      <c r="H228" s="494">
        <v>120</v>
      </c>
      <c r="I228" s="483">
        <f>1999.2-95.2</f>
        <v>1904</v>
      </c>
    </row>
    <row r="229" spans="1:10">
      <c r="A229" s="478">
        <v>42315</v>
      </c>
      <c r="B229" s="479" t="s">
        <v>794</v>
      </c>
      <c r="C229" s="644">
        <v>42228</v>
      </c>
      <c r="D229" s="480"/>
      <c r="E229" s="444"/>
      <c r="F229" s="445"/>
      <c r="G229" s="445"/>
      <c r="H229" s="494">
        <v>120</v>
      </c>
      <c r="I229" s="483">
        <f>1764-84</f>
        <v>1680</v>
      </c>
    </row>
    <row r="230" spans="1:10">
      <c r="A230" s="478">
        <v>42315</v>
      </c>
      <c r="B230" s="479" t="s">
        <v>795</v>
      </c>
      <c r="C230" s="644">
        <v>42228</v>
      </c>
      <c r="D230" s="480"/>
      <c r="E230" s="444"/>
      <c r="F230" s="445"/>
      <c r="G230" s="445"/>
      <c r="H230" s="494">
        <v>120</v>
      </c>
      <c r="I230" s="483">
        <f>999.6-47.6</f>
        <v>952</v>
      </c>
    </row>
    <row r="231" spans="1:10">
      <c r="A231" s="478">
        <v>42317</v>
      </c>
      <c r="B231" s="479" t="s">
        <v>799</v>
      </c>
      <c r="C231" s="644">
        <v>42268</v>
      </c>
      <c r="D231" s="480"/>
      <c r="E231" s="418"/>
      <c r="F231" s="492"/>
      <c r="G231" s="492"/>
      <c r="H231" s="244">
        <v>121</v>
      </c>
      <c r="I231" s="483">
        <v>27225</v>
      </c>
    </row>
    <row r="232" spans="1:10">
      <c r="A232" s="478">
        <v>42317</v>
      </c>
      <c r="B232" s="479" t="s">
        <v>800</v>
      </c>
      <c r="C232" s="644">
        <v>42284</v>
      </c>
      <c r="D232" s="480"/>
      <c r="E232" s="418"/>
      <c r="F232" s="492"/>
      <c r="G232" s="492"/>
      <c r="H232" s="244">
        <v>121</v>
      </c>
      <c r="I232" s="483">
        <v>4675</v>
      </c>
    </row>
    <row r="233" spans="1:10">
      <c r="A233" s="478">
        <v>42317</v>
      </c>
      <c r="B233" s="479" t="s">
        <v>801</v>
      </c>
      <c r="C233" s="644">
        <v>42215</v>
      </c>
      <c r="D233" s="480"/>
      <c r="E233" s="418"/>
      <c r="F233" s="492"/>
      <c r="G233" s="492"/>
      <c r="H233" s="244">
        <v>121</v>
      </c>
      <c r="I233" s="483">
        <v>28020</v>
      </c>
    </row>
    <row r="234" spans="1:10">
      <c r="A234" s="478">
        <v>42317</v>
      </c>
      <c r="B234" s="479" t="s">
        <v>465</v>
      </c>
      <c r="C234" s="497" t="s">
        <v>804</v>
      </c>
      <c r="D234" s="480"/>
      <c r="E234" s="418"/>
      <c r="F234" s="419"/>
      <c r="G234" s="419"/>
      <c r="H234" s="554">
        <v>119</v>
      </c>
      <c r="I234" s="483">
        <v>42550</v>
      </c>
      <c r="J234" s="1131"/>
    </row>
    <row r="235" spans="1:10">
      <c r="A235" s="478">
        <v>42318</v>
      </c>
      <c r="B235" s="479" t="s">
        <v>807</v>
      </c>
      <c r="C235" s="497" t="s">
        <v>762</v>
      </c>
      <c r="D235" s="480"/>
      <c r="E235" s="418"/>
      <c r="F235" s="419"/>
      <c r="G235" s="419"/>
      <c r="H235" s="554">
        <v>124</v>
      </c>
      <c r="I235" s="483">
        <v>21040</v>
      </c>
    </row>
    <row r="236" spans="1:10">
      <c r="A236" s="478">
        <v>42326</v>
      </c>
      <c r="B236" s="479" t="s">
        <v>824</v>
      </c>
      <c r="C236" s="497" t="s">
        <v>825</v>
      </c>
      <c r="D236" s="480"/>
      <c r="E236" s="481"/>
      <c r="F236" s="482"/>
      <c r="G236" s="482"/>
      <c r="H236" s="554">
        <v>115</v>
      </c>
      <c r="I236" s="483">
        <v>36904</v>
      </c>
    </row>
    <row r="237" spans="1:10">
      <c r="A237" s="478">
        <v>42323</v>
      </c>
      <c r="B237" s="479" t="s">
        <v>839</v>
      </c>
      <c r="C237" s="644" t="s">
        <v>840</v>
      </c>
      <c r="D237" s="480"/>
      <c r="E237" s="418"/>
      <c r="F237" s="419"/>
      <c r="G237" s="419"/>
      <c r="H237" s="554">
        <v>124</v>
      </c>
      <c r="I237" s="483">
        <v>1630</v>
      </c>
    </row>
    <row r="238" spans="1:10">
      <c r="A238" s="478">
        <v>42331</v>
      </c>
      <c r="B238" s="479" t="s">
        <v>663</v>
      </c>
      <c r="C238" s="497" t="s">
        <v>841</v>
      </c>
      <c r="D238" s="417">
        <v>11117</v>
      </c>
      <c r="E238" s="418"/>
      <c r="F238" s="482"/>
      <c r="G238" s="482"/>
      <c r="H238" s="554">
        <v>109</v>
      </c>
      <c r="I238" s="483">
        <v>18607</v>
      </c>
    </row>
    <row r="239" spans="1:10">
      <c r="A239" s="1021">
        <v>42334</v>
      </c>
      <c r="B239" s="1022" t="s">
        <v>802</v>
      </c>
      <c r="C239" s="1023" t="s">
        <v>946</v>
      </c>
      <c r="D239" s="1024"/>
      <c r="E239" s="418"/>
      <c r="F239" s="419"/>
      <c r="G239" s="419"/>
      <c r="H239" s="554">
        <v>119</v>
      </c>
      <c r="I239" s="1025">
        <v>120196</v>
      </c>
    </row>
    <row r="240" spans="1:10">
      <c r="A240" s="1021">
        <v>42334</v>
      </c>
      <c r="B240" s="1022" t="s">
        <v>949</v>
      </c>
      <c r="C240" s="1023" t="s">
        <v>950</v>
      </c>
      <c r="D240" s="1024"/>
      <c r="E240" s="418"/>
      <c r="F240" s="419"/>
      <c r="G240" s="419"/>
      <c r="H240" s="554">
        <v>128</v>
      </c>
      <c r="I240" s="1025">
        <v>91426.45</v>
      </c>
    </row>
    <row r="241" spans="1:9">
      <c r="A241" s="1021">
        <v>42338</v>
      </c>
      <c r="B241" s="1022" t="s">
        <v>967</v>
      </c>
      <c r="C241" s="1029">
        <v>42310</v>
      </c>
      <c r="D241" s="1024"/>
      <c r="E241" s="418"/>
      <c r="F241" s="419"/>
      <c r="G241" s="419"/>
      <c r="H241" s="244">
        <v>122</v>
      </c>
      <c r="I241" s="1025">
        <v>5200</v>
      </c>
    </row>
    <row r="242" spans="1:9">
      <c r="A242" s="1021">
        <v>42341</v>
      </c>
      <c r="B242" s="1022" t="s">
        <v>968</v>
      </c>
      <c r="C242" s="1023" t="s">
        <v>969</v>
      </c>
      <c r="D242" s="1024"/>
      <c r="E242" s="418"/>
      <c r="F242" s="419"/>
      <c r="G242" s="419"/>
      <c r="H242" s="554">
        <v>128</v>
      </c>
      <c r="I242" s="1025">
        <v>18514.47</v>
      </c>
    </row>
    <row r="243" spans="1:9">
      <c r="A243" s="1030">
        <v>42341</v>
      </c>
      <c r="B243" s="1031" t="s">
        <v>972</v>
      </c>
      <c r="C243" s="1032" t="s">
        <v>971</v>
      </c>
      <c r="D243" s="1033"/>
      <c r="E243" s="418"/>
      <c r="F243" s="419"/>
      <c r="G243" s="419"/>
      <c r="H243" s="554">
        <v>128</v>
      </c>
      <c r="I243" s="1037">
        <v>29450.3</v>
      </c>
    </row>
    <row r="244" spans="1:9">
      <c r="A244" s="1030">
        <v>42341</v>
      </c>
      <c r="B244" s="1166" t="s">
        <v>1086</v>
      </c>
      <c r="C244" s="1032" t="s">
        <v>974</v>
      </c>
      <c r="D244" s="1033"/>
      <c r="E244" s="418"/>
      <c r="F244" s="482"/>
      <c r="G244" s="482"/>
      <c r="H244" s="244">
        <v>117</v>
      </c>
      <c r="I244" s="1037">
        <v>13025</v>
      </c>
    </row>
    <row r="245" spans="1:9">
      <c r="A245" s="1030">
        <v>42348</v>
      </c>
      <c r="B245" s="1031" t="s">
        <v>986</v>
      </c>
      <c r="C245" s="1032" t="s">
        <v>825</v>
      </c>
      <c r="D245" s="1033"/>
      <c r="E245" s="1034"/>
      <c r="F245" s="1035"/>
      <c r="G245" s="1035"/>
      <c r="H245" s="1036">
        <v>116</v>
      </c>
      <c r="I245" s="1037">
        <v>128606.05</v>
      </c>
    </row>
    <row r="246" spans="1:9">
      <c r="A246" s="1030">
        <v>42352</v>
      </c>
      <c r="B246" s="1031" t="s">
        <v>810</v>
      </c>
      <c r="C246" s="1032" t="s">
        <v>974</v>
      </c>
      <c r="D246" s="1033"/>
      <c r="E246" s="1034"/>
      <c r="F246" s="1035"/>
      <c r="G246" s="1035"/>
      <c r="H246" s="1036">
        <v>119</v>
      </c>
      <c r="I246" s="1037">
        <v>82438</v>
      </c>
    </row>
    <row r="247" spans="1:9">
      <c r="A247" s="1030">
        <v>42341</v>
      </c>
      <c r="B247" s="1031" t="s">
        <v>989</v>
      </c>
      <c r="C247" s="1032" t="s">
        <v>988</v>
      </c>
      <c r="D247" s="1033"/>
      <c r="E247" s="1034"/>
      <c r="F247" s="1035"/>
      <c r="G247" s="1035"/>
      <c r="H247" s="1036">
        <v>128</v>
      </c>
      <c r="I247" s="1037">
        <v>9797.64</v>
      </c>
    </row>
    <row r="248" spans="1:9">
      <c r="A248" s="1030">
        <v>42341</v>
      </c>
      <c r="B248" s="1031" t="s">
        <v>990</v>
      </c>
      <c r="C248" s="1032" t="s">
        <v>991</v>
      </c>
      <c r="D248" s="1033"/>
      <c r="E248" s="1034"/>
      <c r="F248" s="1035"/>
      <c r="G248" s="1035"/>
      <c r="H248" s="1036">
        <v>128</v>
      </c>
      <c r="I248" s="1037">
        <v>26834.58</v>
      </c>
    </row>
    <row r="249" spans="1:9">
      <c r="A249" s="1030">
        <v>42374</v>
      </c>
      <c r="B249" s="1031" t="s">
        <v>1004</v>
      </c>
      <c r="C249" s="1032" t="s">
        <v>1005</v>
      </c>
      <c r="D249" s="1033"/>
      <c r="E249" s="418"/>
      <c r="F249" s="1035"/>
      <c r="G249" s="1035"/>
      <c r="H249" s="1036">
        <v>119</v>
      </c>
      <c r="I249" s="1037">
        <v>56325</v>
      </c>
    </row>
    <row r="250" spans="1:9" ht="12" customHeight="1">
      <c r="A250" s="1021">
        <v>42374</v>
      </c>
      <c r="B250" s="1022" t="s">
        <v>1007</v>
      </c>
      <c r="C250" s="1023" t="s">
        <v>1006</v>
      </c>
      <c r="D250" s="1024"/>
      <c r="E250" s="418"/>
      <c r="F250" s="419"/>
      <c r="G250" s="419"/>
      <c r="H250" s="477">
        <v>113</v>
      </c>
      <c r="I250" s="1025">
        <v>8475</v>
      </c>
    </row>
    <row r="251" spans="1:9">
      <c r="A251" s="478">
        <v>42374</v>
      </c>
      <c r="B251" s="479" t="s">
        <v>1009</v>
      </c>
      <c r="C251" s="497" t="s">
        <v>1008</v>
      </c>
      <c r="D251" s="480"/>
      <c r="E251" s="481"/>
      <c r="F251" s="482"/>
      <c r="G251" s="482"/>
      <c r="H251" s="498">
        <v>113</v>
      </c>
      <c r="I251" s="483">
        <v>25075</v>
      </c>
    </row>
    <row r="252" spans="1:9">
      <c r="A252" s="1105">
        <v>42374</v>
      </c>
      <c r="B252" s="1106">
        <v>13739</v>
      </c>
      <c r="C252" s="1107">
        <v>42725</v>
      </c>
      <c r="D252" s="1108"/>
      <c r="E252" s="1112"/>
      <c r="F252" s="1035"/>
      <c r="G252" s="1035"/>
      <c r="H252" s="1036">
        <v>121</v>
      </c>
      <c r="I252" s="1109">
        <v>4794</v>
      </c>
    </row>
    <row r="253" spans="1:9">
      <c r="A253" s="1105">
        <v>42374</v>
      </c>
      <c r="B253" s="1106">
        <v>13377</v>
      </c>
      <c r="C253" s="1107">
        <v>42684</v>
      </c>
      <c r="D253" s="1108"/>
      <c r="E253" s="1113"/>
      <c r="F253" s="1108"/>
      <c r="G253" s="1108"/>
      <c r="H253" s="1036">
        <v>121</v>
      </c>
      <c r="I253" s="1109">
        <v>7545</v>
      </c>
    </row>
    <row r="254" spans="1:9">
      <c r="A254" s="1105">
        <v>42374</v>
      </c>
      <c r="B254" s="1106">
        <v>13395</v>
      </c>
      <c r="C254" s="1107">
        <v>42684</v>
      </c>
      <c r="D254" s="1108"/>
      <c r="E254" s="1113"/>
      <c r="F254" s="1108"/>
      <c r="G254" s="1108"/>
      <c r="H254" s="1036">
        <v>121</v>
      </c>
      <c r="I254" s="1109">
        <v>3516.14</v>
      </c>
    </row>
    <row r="255" spans="1:9">
      <c r="A255" s="1105">
        <v>42374</v>
      </c>
      <c r="B255" s="1106">
        <v>13527</v>
      </c>
      <c r="C255" s="1107">
        <v>42699</v>
      </c>
      <c r="D255" s="1108"/>
      <c r="E255" s="1113"/>
      <c r="F255" s="1108"/>
      <c r="G255" s="1108"/>
      <c r="H255" s="1036">
        <v>121</v>
      </c>
      <c r="I255" s="1109">
        <v>2320</v>
      </c>
    </row>
    <row r="256" spans="1:9">
      <c r="A256" s="1105">
        <v>42374</v>
      </c>
      <c r="B256" s="1166" t="s">
        <v>1087</v>
      </c>
      <c r="C256" s="1032" t="s">
        <v>1005</v>
      </c>
      <c r="D256" s="1108"/>
      <c r="E256" s="1112"/>
      <c r="F256" s="1035"/>
      <c r="G256" s="1035"/>
      <c r="H256" s="1111">
        <v>117</v>
      </c>
      <c r="I256" s="1109">
        <v>11523</v>
      </c>
    </row>
    <row r="257" spans="1:9">
      <c r="A257" s="1105">
        <v>42374</v>
      </c>
      <c r="B257" s="1166" t="s">
        <v>1088</v>
      </c>
      <c r="C257" s="1032" t="s">
        <v>1010</v>
      </c>
      <c r="D257" s="1108"/>
      <c r="E257" s="1112"/>
      <c r="F257" s="1035"/>
      <c r="G257" s="1035"/>
      <c r="H257" s="1111">
        <v>117</v>
      </c>
      <c r="I257" s="1109">
        <v>800</v>
      </c>
    </row>
    <row r="258" spans="1:9">
      <c r="A258" s="1105">
        <v>42374</v>
      </c>
      <c r="B258" s="1106">
        <v>237756</v>
      </c>
      <c r="C258" s="1107">
        <v>42712</v>
      </c>
      <c r="D258" s="1108"/>
      <c r="E258" s="1112"/>
      <c r="F258" s="1035"/>
      <c r="G258" s="1035"/>
      <c r="H258" s="1036">
        <v>128</v>
      </c>
      <c r="I258" s="1109">
        <v>2344.9499999999998</v>
      </c>
    </row>
    <row r="259" spans="1:9">
      <c r="A259" s="1105">
        <v>42381</v>
      </c>
      <c r="B259" s="1106">
        <v>34605</v>
      </c>
      <c r="C259" s="1106" t="s">
        <v>1008</v>
      </c>
      <c r="D259" s="1108"/>
      <c r="E259" s="1113"/>
      <c r="F259" s="1108"/>
      <c r="G259" s="1108"/>
      <c r="H259" s="1036">
        <v>116</v>
      </c>
      <c r="I259" s="1109">
        <v>67920.350000000006</v>
      </c>
    </row>
    <row r="260" spans="1:9">
      <c r="A260" s="1105">
        <v>42387</v>
      </c>
      <c r="B260" s="1106" t="s">
        <v>1017</v>
      </c>
      <c r="C260" s="1106" t="s">
        <v>1010</v>
      </c>
      <c r="D260" s="1108"/>
      <c r="E260" s="1113"/>
      <c r="F260" s="1108"/>
      <c r="G260" s="1108"/>
      <c r="H260" s="554">
        <v>119</v>
      </c>
      <c r="I260" s="1109">
        <v>23309</v>
      </c>
    </row>
    <row r="261" spans="1:9">
      <c r="A261" s="1105">
        <v>42394</v>
      </c>
      <c r="B261" s="1106">
        <v>1001231770</v>
      </c>
      <c r="C261" s="1106" t="s">
        <v>791</v>
      </c>
      <c r="D261" s="1108"/>
      <c r="E261" s="1113"/>
      <c r="F261" s="1108"/>
      <c r="G261" s="1108"/>
      <c r="H261" s="244">
        <v>122</v>
      </c>
      <c r="I261" s="1109">
        <v>33090</v>
      </c>
    </row>
    <row r="262" spans="1:9">
      <c r="A262" s="1105">
        <v>42415</v>
      </c>
      <c r="B262" s="1106">
        <v>34968</v>
      </c>
      <c r="C262" s="1106" t="s">
        <v>1006</v>
      </c>
      <c r="D262" s="1108"/>
      <c r="E262" s="1113"/>
      <c r="F262" s="1108"/>
      <c r="G262" s="1108"/>
      <c r="H262" s="1036">
        <v>116</v>
      </c>
      <c r="I262" s="1109">
        <v>29717.88</v>
      </c>
    </row>
    <row r="263" spans="1:9">
      <c r="A263" s="1105">
        <v>42438</v>
      </c>
      <c r="B263" s="1106">
        <v>33529</v>
      </c>
      <c r="C263" s="1106" t="s">
        <v>1021</v>
      </c>
      <c r="D263" s="1108"/>
      <c r="E263" s="1113"/>
      <c r="F263" s="1108"/>
      <c r="G263" s="1108"/>
      <c r="H263" s="1036">
        <v>116</v>
      </c>
      <c r="I263" s="1109">
        <v>311342.96000000002</v>
      </c>
    </row>
    <row r="264" spans="1:9">
      <c r="A264" s="1105">
        <v>42438</v>
      </c>
      <c r="B264" s="1106">
        <v>31012016</v>
      </c>
      <c r="C264" s="1106" t="s">
        <v>1022</v>
      </c>
      <c r="D264" s="1108"/>
      <c r="E264" s="1112"/>
      <c r="F264" s="1108"/>
      <c r="G264" s="1108"/>
      <c r="H264" s="1111">
        <v>117</v>
      </c>
      <c r="I264" s="1109">
        <v>1600</v>
      </c>
    </row>
    <row r="265" spans="1:9">
      <c r="A265" s="1108"/>
      <c r="B265" s="1106">
        <v>15012016</v>
      </c>
      <c r="C265" s="1106" t="s">
        <v>1023</v>
      </c>
      <c r="D265" s="1108"/>
      <c r="E265" s="1112"/>
      <c r="F265" s="1108"/>
      <c r="G265" s="1108"/>
      <c r="H265" s="1111">
        <v>117</v>
      </c>
      <c r="I265" s="1109">
        <v>4000</v>
      </c>
    </row>
    <row r="266" spans="1:9">
      <c r="A266" s="1105">
        <v>42473</v>
      </c>
      <c r="B266" s="1106">
        <v>35396</v>
      </c>
      <c r="C266" s="1106" t="s">
        <v>1068</v>
      </c>
      <c r="D266" s="1108"/>
      <c r="E266" s="1113"/>
      <c r="F266" s="1108"/>
      <c r="G266" s="1108"/>
      <c r="H266" s="1036">
        <v>116</v>
      </c>
      <c r="I266" s="1109">
        <v>31062.35</v>
      </c>
    </row>
    <row r="267" spans="1:9">
      <c r="A267" s="1105">
        <v>42473</v>
      </c>
      <c r="B267" s="1106">
        <v>35403</v>
      </c>
      <c r="C267" s="1106" t="s">
        <v>1069</v>
      </c>
      <c r="D267" s="1108"/>
      <c r="E267" s="1113"/>
      <c r="F267" s="1108"/>
      <c r="G267" s="1108"/>
      <c r="H267" s="1036">
        <v>116</v>
      </c>
      <c r="I267" s="1109">
        <v>12660</v>
      </c>
    </row>
    <row r="268" spans="1:9">
      <c r="A268" s="1108"/>
      <c r="B268" s="1106"/>
      <c r="C268" s="1106"/>
      <c r="D268" s="1108"/>
      <c r="E268" s="1113"/>
      <c r="F268" s="1108"/>
      <c r="G268" s="1108"/>
      <c r="H268" s="1110"/>
      <c r="I268" s="1109"/>
    </row>
    <row r="269" spans="1:9">
      <c r="A269" s="1108"/>
      <c r="B269" s="1106"/>
      <c r="C269" s="1106"/>
      <c r="D269" s="1108"/>
      <c r="E269" s="1113"/>
      <c r="F269" s="1108"/>
      <c r="G269" s="1108"/>
      <c r="H269" s="1110"/>
      <c r="I269" s="1109"/>
    </row>
    <row r="270" spans="1:9">
      <c r="A270" s="1108"/>
      <c r="B270" s="1106"/>
      <c r="C270" s="1106"/>
      <c r="D270" s="1108"/>
      <c r="E270" s="1113"/>
      <c r="F270" s="1108"/>
      <c r="G270" s="1108"/>
      <c r="H270" s="1110"/>
      <c r="I270" s="1109"/>
    </row>
    <row r="271" spans="1:9">
      <c r="A271" s="1108"/>
      <c r="B271" s="1106"/>
      <c r="C271" s="1106"/>
      <c r="D271" s="1108"/>
      <c r="E271" s="1113"/>
      <c r="F271" s="1108"/>
      <c r="G271" s="1108"/>
      <c r="H271" s="1110"/>
      <c r="I271" s="1109"/>
    </row>
    <row r="272" spans="1:9">
      <c r="A272" s="1108"/>
      <c r="B272" s="1106"/>
      <c r="C272" s="1106"/>
      <c r="D272" s="1108"/>
      <c r="E272" s="1113"/>
      <c r="F272" s="1108"/>
      <c r="G272" s="1108"/>
      <c r="H272" s="1110"/>
      <c r="I272" s="1109"/>
    </row>
    <row r="273" spans="1:9">
      <c r="A273" s="1108"/>
      <c r="B273" s="1106"/>
      <c r="C273" s="1106"/>
      <c r="D273" s="1108"/>
      <c r="E273" s="1113"/>
      <c r="F273" s="1108"/>
      <c r="G273" s="1108"/>
      <c r="H273" s="1110"/>
      <c r="I273" s="1109"/>
    </row>
    <row r="274" spans="1:9">
      <c r="A274" s="1108"/>
      <c r="B274" s="1106"/>
      <c r="C274" s="1106"/>
      <c r="D274" s="1108"/>
      <c r="E274" s="1113"/>
      <c r="F274" s="1108"/>
      <c r="G274" s="1108"/>
      <c r="H274" s="1110"/>
      <c r="I274" s="1109"/>
    </row>
    <row r="275" spans="1:9">
      <c r="A275" s="1108"/>
      <c r="B275" s="1106"/>
      <c r="C275" s="1106"/>
      <c r="D275" s="1108"/>
      <c r="E275" s="1113"/>
      <c r="F275" s="1108"/>
      <c r="G275" s="1108"/>
      <c r="H275" s="1110"/>
      <c r="I275" s="1109"/>
    </row>
    <row r="276" spans="1:9">
      <c r="A276" s="1108"/>
      <c r="B276" s="1106"/>
      <c r="C276" s="1106"/>
      <c r="D276" s="1108"/>
      <c r="E276" s="1113"/>
      <c r="F276" s="1108"/>
      <c r="G276" s="1108"/>
      <c r="H276" s="1110"/>
      <c r="I276" s="1109"/>
    </row>
    <row r="277" spans="1:9">
      <c r="A277" s="1108"/>
      <c r="B277" s="1106"/>
      <c r="C277" s="1106"/>
      <c r="D277" s="1108"/>
      <c r="E277" s="1113"/>
      <c r="F277" s="1108"/>
      <c r="G277" s="1108"/>
      <c r="H277" s="1110"/>
      <c r="I277" s="1109"/>
    </row>
    <row r="278" spans="1:9">
      <c r="A278" s="1108"/>
      <c r="B278" s="1106"/>
      <c r="C278" s="1106"/>
      <c r="D278" s="1108"/>
      <c r="E278" s="1113"/>
      <c r="F278" s="1108"/>
      <c r="G278" s="1108"/>
      <c r="H278" s="1110"/>
      <c r="I278" s="1109"/>
    </row>
    <row r="279" spans="1:9">
      <c r="A279" s="1108"/>
      <c r="B279" s="1106"/>
      <c r="C279" s="1106"/>
      <c r="D279" s="1108"/>
      <c r="E279" s="1113"/>
      <c r="F279" s="1108"/>
      <c r="G279" s="1108"/>
      <c r="H279" s="1110"/>
      <c r="I279" s="1109"/>
    </row>
    <row r="280" spans="1:9">
      <c r="A280" s="1108"/>
      <c r="B280" s="1106"/>
      <c r="C280" s="1106"/>
      <c r="D280" s="1108"/>
      <c r="E280" s="1113"/>
      <c r="F280" s="1108"/>
      <c r="G280" s="1108"/>
      <c r="H280" s="1110"/>
      <c r="I280" s="1109"/>
    </row>
    <row r="281" spans="1:9">
      <c r="A281" s="1108"/>
      <c r="B281" s="1106"/>
      <c r="C281" s="1106"/>
      <c r="D281" s="1108"/>
      <c r="E281" s="1113"/>
      <c r="F281" s="1108"/>
      <c r="G281" s="1108"/>
      <c r="H281" s="1110"/>
      <c r="I281" s="1109"/>
    </row>
    <row r="282" spans="1:9">
      <c r="A282" s="1108"/>
      <c r="B282" s="1106"/>
      <c r="C282" s="1106"/>
      <c r="D282" s="1108"/>
      <c r="E282" s="1113"/>
      <c r="F282" s="1108"/>
      <c r="G282" s="1108"/>
      <c r="H282" s="1110"/>
      <c r="I282" s="1109"/>
    </row>
    <row r="283" spans="1:9">
      <c r="A283" s="1108"/>
      <c r="B283" s="1106"/>
      <c r="C283" s="1106"/>
      <c r="D283" s="1108"/>
      <c r="E283" s="1113"/>
      <c r="F283" s="1108"/>
      <c r="G283" s="1108"/>
      <c r="H283" s="1110"/>
      <c r="I283" s="1109"/>
    </row>
    <row r="284" spans="1:9">
      <c r="A284" s="1108"/>
      <c r="B284" s="1106"/>
      <c r="C284" s="1106"/>
      <c r="D284" s="1108"/>
      <c r="E284" s="1113"/>
      <c r="F284" s="1108"/>
      <c r="G284" s="1108"/>
      <c r="H284" s="1110"/>
      <c r="I284" s="1109"/>
    </row>
    <row r="285" spans="1:9">
      <c r="A285" s="1108"/>
      <c r="B285" s="1106"/>
      <c r="C285" s="1106"/>
      <c r="D285" s="1108"/>
      <c r="E285" s="1113"/>
      <c r="F285" s="1108"/>
      <c r="G285" s="1108"/>
      <c r="H285" s="1110"/>
      <c r="I285" s="1109"/>
    </row>
    <row r="286" spans="1:9">
      <c r="A286" s="1108"/>
      <c r="B286" s="1106"/>
      <c r="C286" s="1106"/>
      <c r="D286" s="1108"/>
      <c r="E286" s="1113"/>
      <c r="F286" s="1108"/>
      <c r="G286" s="1108"/>
      <c r="H286" s="1110"/>
      <c r="I286" s="1109"/>
    </row>
    <row r="287" spans="1:9">
      <c r="A287" s="1108"/>
      <c r="B287" s="1106"/>
      <c r="C287" s="1106"/>
      <c r="D287" s="1108"/>
      <c r="E287" s="1113"/>
      <c r="F287" s="1108"/>
      <c r="G287" s="1108"/>
      <c r="H287" s="1110"/>
      <c r="I287" s="1109"/>
    </row>
    <row r="288" spans="1:9">
      <c r="A288" s="1108"/>
      <c r="B288" s="1106"/>
      <c r="C288" s="1106"/>
      <c r="D288" s="1108"/>
      <c r="E288" s="1113"/>
      <c r="F288" s="1108"/>
      <c r="G288" s="1108"/>
      <c r="H288" s="1110"/>
      <c r="I288" s="1109"/>
    </row>
    <row r="289" spans="1:9">
      <c r="A289" s="1108"/>
      <c r="B289" s="1106"/>
      <c r="C289" s="1106"/>
      <c r="D289" s="1108"/>
      <c r="E289" s="1113"/>
      <c r="F289" s="1108"/>
      <c r="G289" s="1108"/>
      <c r="H289" s="1110"/>
      <c r="I289" s="1109"/>
    </row>
    <row r="290" spans="1:9">
      <c r="A290" s="1108"/>
      <c r="B290" s="1106"/>
      <c r="C290" s="1106"/>
      <c r="D290" s="1108"/>
      <c r="E290" s="1113"/>
      <c r="F290" s="1108"/>
      <c r="G290" s="1108"/>
      <c r="H290" s="1110"/>
      <c r="I290" s="1109"/>
    </row>
    <row r="291" spans="1:9">
      <c r="A291" s="1108"/>
      <c r="B291" s="1106"/>
      <c r="C291" s="1106"/>
      <c r="D291" s="1108"/>
      <c r="E291" s="1113"/>
      <c r="F291" s="1108"/>
      <c r="G291" s="1108"/>
      <c r="H291" s="1110"/>
      <c r="I291" s="1109"/>
    </row>
    <row r="292" spans="1:9">
      <c r="A292" s="1108"/>
      <c r="B292" s="1106"/>
      <c r="C292" s="1106"/>
      <c r="D292" s="1108"/>
      <c r="E292" s="1113"/>
      <c r="F292" s="1108"/>
      <c r="G292" s="1108"/>
      <c r="H292" s="1110"/>
      <c r="I292" s="1109"/>
    </row>
    <row r="293" spans="1:9">
      <c r="A293" s="1108"/>
      <c r="B293" s="1106"/>
      <c r="C293" s="1106"/>
      <c r="D293" s="1108"/>
      <c r="E293" s="1113"/>
      <c r="F293" s="1108"/>
      <c r="G293" s="1108"/>
      <c r="H293" s="1110"/>
      <c r="I293" s="1109"/>
    </row>
    <row r="294" spans="1:9">
      <c r="A294" s="1108"/>
      <c r="B294" s="1106"/>
      <c r="C294" s="1106"/>
      <c r="D294" s="1108"/>
      <c r="E294" s="1113"/>
      <c r="F294" s="1108"/>
      <c r="G294" s="1108"/>
      <c r="H294" s="1110"/>
      <c r="I294" s="1109"/>
    </row>
    <row r="295" spans="1:9">
      <c r="A295" s="1108"/>
      <c r="B295" s="1106"/>
      <c r="C295" s="1106"/>
      <c r="D295" s="1108"/>
      <c r="E295" s="1113"/>
      <c r="F295" s="1108"/>
      <c r="G295" s="1108"/>
      <c r="H295" s="1110"/>
      <c r="I295" s="1109"/>
    </row>
    <row r="296" spans="1:9">
      <c r="A296" s="1108"/>
      <c r="B296" s="1106"/>
      <c r="C296" s="1106"/>
      <c r="D296" s="1108"/>
      <c r="E296" s="1113"/>
      <c r="F296" s="1108"/>
      <c r="G296" s="1108"/>
      <c r="H296" s="1110"/>
      <c r="I296" s="1109"/>
    </row>
    <row r="297" spans="1:9">
      <c r="A297" s="1108"/>
      <c r="B297" s="1106"/>
      <c r="C297" s="1106"/>
      <c r="D297" s="1108"/>
      <c r="E297" s="1113"/>
      <c r="F297" s="1108"/>
      <c r="G297" s="1108"/>
      <c r="H297" s="1110"/>
      <c r="I297" s="1109"/>
    </row>
    <row r="298" spans="1:9">
      <c r="A298" s="1108"/>
      <c r="B298" s="1106"/>
      <c r="C298" s="1106"/>
      <c r="D298" s="1108"/>
      <c r="E298" s="1113"/>
      <c r="F298" s="1108"/>
      <c r="G298" s="1108"/>
      <c r="H298" s="1110"/>
      <c r="I298" s="1109"/>
    </row>
    <row r="299" spans="1:9">
      <c r="A299" s="1108"/>
      <c r="B299" s="1106"/>
      <c r="C299" s="1106"/>
      <c r="D299" s="1108"/>
      <c r="E299" s="1113"/>
      <c r="F299" s="1108"/>
      <c r="G299" s="1108"/>
      <c r="H299" s="1110"/>
      <c r="I299" s="1109"/>
    </row>
    <row r="300" spans="1:9">
      <c r="A300" s="1108"/>
      <c r="B300" s="1106"/>
      <c r="C300" s="1106"/>
      <c r="D300" s="1108"/>
      <c r="E300" s="1113"/>
      <c r="F300" s="1108"/>
      <c r="G300" s="1108"/>
      <c r="H300" s="1110"/>
      <c r="I300" s="1109"/>
    </row>
    <row r="301" spans="1:9">
      <c r="A301" s="1108"/>
      <c r="B301" s="1106"/>
      <c r="C301" s="1106"/>
      <c r="D301" s="1108"/>
      <c r="E301" s="1113"/>
      <c r="F301" s="1108"/>
      <c r="G301" s="1108"/>
      <c r="H301" s="1110"/>
      <c r="I301" s="1109"/>
    </row>
    <row r="302" spans="1:9">
      <c r="A302" s="1108"/>
      <c r="B302" s="1106"/>
      <c r="C302" s="1106"/>
      <c r="D302" s="1108"/>
      <c r="E302" s="1113"/>
      <c r="F302" s="1108"/>
      <c r="G302" s="1108"/>
      <c r="H302" s="1110"/>
      <c r="I302" s="1109"/>
    </row>
    <row r="303" spans="1:9">
      <c r="A303" s="1108"/>
      <c r="B303" s="1106"/>
      <c r="C303" s="1106"/>
      <c r="D303" s="1108"/>
      <c r="E303" s="1113"/>
      <c r="F303" s="1108"/>
      <c r="G303" s="1108"/>
      <c r="H303" s="1110"/>
      <c r="I303" s="1109"/>
    </row>
    <row r="304" spans="1:9">
      <c r="A304" s="1108"/>
      <c r="B304" s="1106"/>
      <c r="C304" s="1106"/>
      <c r="D304" s="1108"/>
      <c r="E304" s="1113"/>
      <c r="F304" s="1108"/>
      <c r="G304" s="1108"/>
      <c r="H304" s="1110"/>
      <c r="I304" s="1109"/>
    </row>
    <row r="305" spans="1:9">
      <c r="A305" s="1108"/>
      <c r="B305" s="1106"/>
      <c r="C305" s="1106"/>
      <c r="D305" s="1108"/>
      <c r="E305" s="1113"/>
      <c r="F305" s="1108"/>
      <c r="G305" s="1108"/>
      <c r="H305" s="1110"/>
      <c r="I305" s="1109"/>
    </row>
    <row r="306" spans="1:9">
      <c r="A306" s="1108"/>
      <c r="B306" s="1106"/>
      <c r="C306" s="1106"/>
      <c r="D306" s="1108"/>
      <c r="E306" s="1113"/>
      <c r="F306" s="1108"/>
      <c r="G306" s="1108"/>
      <c r="H306" s="1110"/>
      <c r="I306" s="1109"/>
    </row>
    <row r="307" spans="1:9">
      <c r="B307" s="341"/>
      <c r="C307" s="341"/>
      <c r="E307" s="1114"/>
      <c r="H307" s="33"/>
    </row>
    <row r="308" spans="1:9">
      <c r="B308" s="341"/>
      <c r="C308" s="341"/>
      <c r="E308" s="1114"/>
      <c r="H308" s="33"/>
    </row>
    <row r="309" spans="1:9">
      <c r="B309" s="341"/>
      <c r="C309" s="341"/>
      <c r="E309" s="1114"/>
      <c r="H309" s="33"/>
    </row>
    <row r="310" spans="1:9">
      <c r="B310" s="341"/>
      <c r="C310" s="341"/>
      <c r="E310" s="1114"/>
      <c r="H310" s="33"/>
    </row>
    <row r="311" spans="1:9">
      <c r="B311" s="341"/>
      <c r="C311" s="341"/>
      <c r="E311" s="1114"/>
      <c r="H311" s="33"/>
    </row>
    <row r="312" spans="1:9">
      <c r="B312" s="341"/>
      <c r="C312" s="341"/>
      <c r="E312" s="1114"/>
      <c r="H312" s="33"/>
    </row>
    <row r="313" spans="1:9">
      <c r="B313" s="341"/>
      <c r="C313" s="341"/>
      <c r="E313" s="1114"/>
      <c r="H313" s="33"/>
    </row>
    <row r="314" spans="1:9">
      <c r="B314" s="341"/>
      <c r="C314" s="341"/>
      <c r="E314" s="1114"/>
      <c r="H314" s="33"/>
    </row>
    <row r="315" spans="1:9">
      <c r="B315" s="341"/>
      <c r="C315" s="341"/>
      <c r="E315" s="1114"/>
      <c r="H315" s="33"/>
    </row>
    <row r="316" spans="1:9">
      <c r="B316" s="341"/>
      <c r="C316" s="341"/>
      <c r="E316" s="1114"/>
      <c r="H316" s="33"/>
    </row>
    <row r="317" spans="1:9">
      <c r="B317" s="341"/>
      <c r="C317" s="341"/>
      <c r="E317" s="1114"/>
      <c r="H317" s="33"/>
    </row>
    <row r="318" spans="1:9">
      <c r="B318" s="341"/>
      <c r="C318" s="341"/>
      <c r="E318" s="1114"/>
      <c r="H318" s="33"/>
    </row>
    <row r="319" spans="1:9">
      <c r="B319" s="341"/>
      <c r="C319" s="341"/>
      <c r="E319" s="1114"/>
      <c r="H319" s="33"/>
    </row>
    <row r="320" spans="1:9">
      <c r="B320" s="341"/>
      <c r="C320" s="341"/>
      <c r="E320" s="1114"/>
      <c r="H320" s="33"/>
    </row>
    <row r="321" spans="2:8">
      <c r="B321" s="341"/>
      <c r="C321" s="341"/>
      <c r="E321" s="1114"/>
      <c r="H321" s="33"/>
    </row>
    <row r="322" spans="2:8">
      <c r="B322" s="341"/>
      <c r="C322" s="341"/>
      <c r="E322" s="1114"/>
      <c r="H322" s="33"/>
    </row>
    <row r="323" spans="2:8">
      <c r="B323" s="341"/>
      <c r="C323" s="341"/>
      <c r="E323" s="1114"/>
      <c r="H323" s="33"/>
    </row>
    <row r="324" spans="2:8">
      <c r="B324" s="341"/>
      <c r="C324" s="341"/>
      <c r="E324" s="1114"/>
      <c r="H324" s="33"/>
    </row>
    <row r="325" spans="2:8">
      <c r="B325" s="341"/>
      <c r="C325" s="341"/>
      <c r="E325" s="1114"/>
      <c r="H325" s="33"/>
    </row>
    <row r="326" spans="2:8">
      <c r="B326" s="341"/>
      <c r="C326" s="341"/>
      <c r="E326" s="1114"/>
      <c r="H326" s="33"/>
    </row>
    <row r="327" spans="2:8">
      <c r="B327" s="341"/>
      <c r="C327" s="341"/>
      <c r="E327" s="1114"/>
      <c r="H327" s="33"/>
    </row>
    <row r="328" spans="2:8">
      <c r="B328" s="341"/>
      <c r="C328" s="341"/>
      <c r="E328" s="1114"/>
      <c r="H328" s="33"/>
    </row>
    <row r="329" spans="2:8">
      <c r="B329" s="341"/>
      <c r="C329" s="341"/>
      <c r="E329" s="1114"/>
      <c r="H329" s="33"/>
    </row>
    <row r="330" spans="2:8">
      <c r="B330" s="341"/>
      <c r="C330" s="341"/>
      <c r="E330" s="1114"/>
      <c r="H330" s="33"/>
    </row>
    <row r="331" spans="2:8">
      <c r="B331" s="341"/>
      <c r="C331" s="341"/>
      <c r="E331" s="1114"/>
      <c r="H331" s="33"/>
    </row>
    <row r="332" spans="2:8">
      <c r="B332" s="341"/>
      <c r="C332" s="341"/>
      <c r="E332" s="1114"/>
      <c r="H332" s="33"/>
    </row>
    <row r="333" spans="2:8">
      <c r="B333" s="341"/>
      <c r="C333" s="341"/>
      <c r="E333" s="1114"/>
      <c r="H333" s="33"/>
    </row>
    <row r="334" spans="2:8">
      <c r="B334" s="341"/>
      <c r="C334" s="341"/>
      <c r="E334" s="1114"/>
      <c r="H334" s="33"/>
    </row>
    <row r="335" spans="2:8">
      <c r="B335" s="341"/>
      <c r="C335" s="341"/>
      <c r="E335" s="1114"/>
      <c r="H335" s="33"/>
    </row>
    <row r="336" spans="2:8">
      <c r="B336" s="341"/>
      <c r="C336" s="341"/>
      <c r="E336" s="1114"/>
      <c r="H336" s="33"/>
    </row>
    <row r="337" spans="2:8">
      <c r="B337" s="341"/>
      <c r="C337" s="341"/>
      <c r="E337" s="1114"/>
      <c r="H337" s="33"/>
    </row>
    <row r="338" spans="2:8">
      <c r="B338" s="341"/>
      <c r="C338" s="341"/>
      <c r="E338" s="1114"/>
      <c r="H338" s="33"/>
    </row>
    <row r="339" spans="2:8">
      <c r="B339" s="341"/>
      <c r="C339" s="341"/>
      <c r="E339" s="1114"/>
      <c r="H339" s="33"/>
    </row>
    <row r="340" spans="2:8">
      <c r="B340" s="341"/>
      <c r="C340" s="341"/>
      <c r="E340" s="1114"/>
      <c r="H340" s="33"/>
    </row>
    <row r="341" spans="2:8">
      <c r="B341" s="341"/>
      <c r="C341" s="341"/>
      <c r="E341" s="1114"/>
      <c r="H341" s="33"/>
    </row>
    <row r="342" spans="2:8">
      <c r="B342" s="341"/>
      <c r="C342" s="341"/>
      <c r="E342" s="1114"/>
      <c r="H342" s="33"/>
    </row>
    <row r="343" spans="2:8">
      <c r="B343" s="341"/>
      <c r="C343" s="341"/>
      <c r="E343" s="1114"/>
      <c r="H343" s="33"/>
    </row>
    <row r="344" spans="2:8">
      <c r="B344" s="341"/>
      <c r="C344" s="341"/>
      <c r="E344" s="1114"/>
      <c r="H344" s="33"/>
    </row>
    <row r="345" spans="2:8">
      <c r="B345" s="341"/>
      <c r="C345" s="341"/>
      <c r="E345" s="1114"/>
      <c r="H345" s="33"/>
    </row>
    <row r="346" spans="2:8">
      <c r="B346" s="341"/>
      <c r="C346" s="341"/>
      <c r="E346" s="1114"/>
      <c r="H346" s="33"/>
    </row>
    <row r="347" spans="2:8">
      <c r="B347" s="341"/>
      <c r="H347" s="33"/>
    </row>
    <row r="348" spans="2:8">
      <c r="B348" s="341"/>
      <c r="H348" s="33"/>
    </row>
    <row r="349" spans="2:8">
      <c r="B349" s="341"/>
      <c r="H349" s="33"/>
    </row>
    <row r="350" spans="2:8">
      <c r="H350" s="33"/>
    </row>
  </sheetData>
  <autoFilter ref="A85:I267"/>
  <sortState ref="A95:I200">
    <sortCondition ref="E95:E200"/>
  </sortState>
  <mergeCells count="92">
    <mergeCell ref="B16:D16"/>
    <mergeCell ref="B17:D17"/>
    <mergeCell ref="B22:D22"/>
    <mergeCell ref="B29:D29"/>
    <mergeCell ref="B28:D28"/>
    <mergeCell ref="B27:D27"/>
    <mergeCell ref="B26:D26"/>
    <mergeCell ref="B25:D25"/>
    <mergeCell ref="B24:D24"/>
    <mergeCell ref="B23:D23"/>
    <mergeCell ref="B18:D18"/>
    <mergeCell ref="B19:D19"/>
    <mergeCell ref="B20:D20"/>
    <mergeCell ref="B21:D21"/>
    <mergeCell ref="B8:D8"/>
    <mergeCell ref="B9:D9"/>
    <mergeCell ref="B10:D10"/>
    <mergeCell ref="B11:D11"/>
    <mergeCell ref="B15:D15"/>
    <mergeCell ref="B12:D12"/>
    <mergeCell ref="B13:D13"/>
    <mergeCell ref="B14:D14"/>
    <mergeCell ref="E5:G5"/>
    <mergeCell ref="H5:I5"/>
    <mergeCell ref="B5:D5"/>
    <mergeCell ref="B79:D79"/>
    <mergeCell ref="B80:D80"/>
    <mergeCell ref="B46:D46"/>
    <mergeCell ref="B47:D47"/>
    <mergeCell ref="B48:D48"/>
    <mergeCell ref="B51:D51"/>
    <mergeCell ref="B52:D52"/>
    <mergeCell ref="B53:D53"/>
    <mergeCell ref="B56:D56"/>
    <mergeCell ref="B57:D57"/>
    <mergeCell ref="B58:D58"/>
    <mergeCell ref="B59:D59"/>
    <mergeCell ref="B60:D60"/>
    <mergeCell ref="B37:D37"/>
    <mergeCell ref="B40:D40"/>
    <mergeCell ref="B41:D41"/>
    <mergeCell ref="B42:D42"/>
    <mergeCell ref="B45:D45"/>
    <mergeCell ref="B1:D1"/>
    <mergeCell ref="H1:I1"/>
    <mergeCell ref="B2:D2"/>
    <mergeCell ref="H2:I2"/>
    <mergeCell ref="B3:D3"/>
    <mergeCell ref="H3:I3"/>
    <mergeCell ref="B4:D4"/>
    <mergeCell ref="E4:G4"/>
    <mergeCell ref="H4:I4"/>
    <mergeCell ref="B49:D49"/>
    <mergeCell ref="B50:D50"/>
    <mergeCell ref="B43:D43"/>
    <mergeCell ref="B44:D44"/>
    <mergeCell ref="B30:D30"/>
    <mergeCell ref="B31:D31"/>
    <mergeCell ref="B32:D32"/>
    <mergeCell ref="B33:D33"/>
    <mergeCell ref="B34:D34"/>
    <mergeCell ref="B35:D35"/>
    <mergeCell ref="B38:D38"/>
    <mergeCell ref="B39:D39"/>
    <mergeCell ref="B36:D36"/>
    <mergeCell ref="B61:D61"/>
    <mergeCell ref="B54:D54"/>
    <mergeCell ref="B55:D55"/>
    <mergeCell ref="B62:D62"/>
    <mergeCell ref="B65:D65"/>
    <mergeCell ref="B82:D82"/>
    <mergeCell ref="B66:D66"/>
    <mergeCell ref="B63:D63"/>
    <mergeCell ref="B64:D64"/>
    <mergeCell ref="B67:D67"/>
    <mergeCell ref="B69:D69"/>
    <mergeCell ref="K6:K7"/>
    <mergeCell ref="J6:J7"/>
    <mergeCell ref="E85:G85"/>
    <mergeCell ref="B84:D84"/>
    <mergeCell ref="B73:D73"/>
    <mergeCell ref="B75:D75"/>
    <mergeCell ref="B74:D74"/>
    <mergeCell ref="B76:D76"/>
    <mergeCell ref="B77:D77"/>
    <mergeCell ref="B78:D78"/>
    <mergeCell ref="B70:D70"/>
    <mergeCell ref="B71:D71"/>
    <mergeCell ref="B72:D72"/>
    <mergeCell ref="B68:D68"/>
    <mergeCell ref="B83:D83"/>
    <mergeCell ref="B81:D81"/>
  </mergeCells>
  <phoneticPr fontId="3" type="noConversion"/>
  <conditionalFormatting sqref="I8:I84">
    <cfRule type="cellIs" dxfId="0" priority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scale="41" fitToHeight="0" orientation="portrait"/>
  <colBreaks count="1" manualBreakCount="1">
    <brk id="1" max="1048575" man="1"/>
  </colBreaks>
  <drawing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0"/>
  </sheetPr>
  <dimension ref="A1:S85"/>
  <sheetViews>
    <sheetView workbookViewId="0">
      <pane ySplit="4" topLeftCell="A5" activePane="bottomLeft" state="frozen"/>
      <selection pane="bottomLeft" activeCell="G3" sqref="G3"/>
    </sheetView>
  </sheetViews>
  <sheetFormatPr baseColWidth="10" defaultColWidth="8.83203125" defaultRowHeight="12" x14ac:dyDescent="0"/>
  <cols>
    <col min="1" max="1" width="11.6640625" style="71" bestFit="1" customWidth="1"/>
    <col min="2" max="2" width="11.83203125" style="53" hidden="1" customWidth="1"/>
    <col min="3" max="3" width="8.83203125" style="71"/>
    <col min="4" max="4" width="10.33203125" style="25" bestFit="1" customWidth="1"/>
    <col min="5" max="5" width="8.83203125" style="25"/>
    <col min="6" max="6" width="10.33203125" style="25" bestFit="1" customWidth="1"/>
    <col min="7" max="12" width="8.83203125" style="25"/>
    <col min="13" max="13" width="11.33203125" style="71" bestFit="1" customWidth="1"/>
    <col min="14" max="14" width="10.33203125" style="71" bestFit="1" customWidth="1"/>
    <col min="15" max="15" width="12" style="71" customWidth="1"/>
    <col min="16" max="16" width="11.33203125" style="71" customWidth="1"/>
    <col min="17" max="17" width="14.33203125" style="65" bestFit="1" customWidth="1"/>
    <col min="18" max="18" width="17.5" style="71" customWidth="1"/>
    <col min="19" max="19" width="11.33203125" bestFit="1" customWidth="1"/>
  </cols>
  <sheetData>
    <row r="1" spans="1:18">
      <c r="A1" s="24"/>
      <c r="B1" s="42"/>
      <c r="C1" s="30"/>
      <c r="M1" s="25"/>
      <c r="N1" s="25"/>
      <c r="O1" s="25"/>
      <c r="P1" s="25"/>
    </row>
    <row r="2" spans="1:18">
      <c r="A2" s="1214" t="s">
        <v>1133</v>
      </c>
      <c r="B2" s="1215"/>
      <c r="C2" s="1216"/>
      <c r="M2" s="25"/>
      <c r="N2" s="25"/>
      <c r="O2" s="25"/>
      <c r="P2" s="25"/>
    </row>
    <row r="3" spans="1:18">
      <c r="A3" s="24"/>
      <c r="B3" s="42"/>
      <c r="C3" s="30"/>
      <c r="M3" s="25"/>
      <c r="N3" s="25"/>
      <c r="O3" s="25"/>
      <c r="P3" s="25"/>
    </row>
    <row r="4" spans="1:18" ht="51.75" customHeight="1">
      <c r="A4" s="36" t="s">
        <v>0</v>
      </c>
      <c r="B4" s="43" t="s">
        <v>18</v>
      </c>
      <c r="C4" s="1161" t="s">
        <v>1119</v>
      </c>
      <c r="D4" s="40" t="s">
        <v>21</v>
      </c>
      <c r="E4" s="40" t="s">
        <v>97</v>
      </c>
      <c r="F4" s="40" t="s">
        <v>21</v>
      </c>
      <c r="G4" s="40" t="s">
        <v>50</v>
      </c>
      <c r="H4" s="40" t="s">
        <v>21</v>
      </c>
      <c r="I4" s="40" t="s">
        <v>105</v>
      </c>
      <c r="J4" s="40" t="s">
        <v>26</v>
      </c>
      <c r="K4" s="40" t="s">
        <v>43</v>
      </c>
      <c r="L4" s="40" t="s">
        <v>26</v>
      </c>
      <c r="M4" s="40" t="s">
        <v>13</v>
      </c>
      <c r="N4" s="40" t="s">
        <v>14</v>
      </c>
      <c r="O4" s="40" t="s">
        <v>9</v>
      </c>
      <c r="P4" s="40" t="s">
        <v>15</v>
      </c>
      <c r="Q4" s="54" t="s">
        <v>7</v>
      </c>
      <c r="R4" s="55" t="s">
        <v>16</v>
      </c>
    </row>
    <row r="5" spans="1:18" s="136" customFormat="1">
      <c r="A5" s="1174"/>
      <c r="B5" s="1175"/>
      <c r="C5" s="1176"/>
      <c r="D5" s="1177"/>
      <c r="E5" s="1177"/>
      <c r="F5" s="1177"/>
      <c r="G5" s="1177"/>
      <c r="H5" s="1177"/>
      <c r="I5" s="1177"/>
      <c r="J5" s="1177"/>
      <c r="K5" s="1177"/>
      <c r="L5" s="1177"/>
      <c r="M5" s="1177"/>
      <c r="N5" s="1177"/>
      <c r="O5" s="1177"/>
      <c r="P5" s="1177"/>
      <c r="Q5" s="1178"/>
      <c r="R5" s="210">
        <f>SUM(M6:M156)</f>
        <v>87775</v>
      </c>
    </row>
    <row r="6" spans="1:18" s="136" customFormat="1">
      <c r="A6" s="1183">
        <v>42176</v>
      </c>
      <c r="B6" s="1184"/>
      <c r="C6" s="1185">
        <v>1</v>
      </c>
      <c r="D6" s="1186">
        <v>1100</v>
      </c>
      <c r="E6" s="1185">
        <v>1</v>
      </c>
      <c r="F6" s="1186">
        <v>200</v>
      </c>
      <c r="G6" s="1187">
        <v>1</v>
      </c>
      <c r="H6" s="1186">
        <v>175</v>
      </c>
      <c r="I6" s="1186">
        <v>150</v>
      </c>
      <c r="J6" s="1186">
        <v>1</v>
      </c>
      <c r="K6" s="1186"/>
      <c r="L6" s="1186">
        <v>150</v>
      </c>
      <c r="M6" s="1186">
        <f t="shared" ref="M6:M16" si="0">(C6*D6)+(E6*F6)+(G6*H6)+(I6*J6)+(K6*L6)</f>
        <v>1625</v>
      </c>
      <c r="N6" s="1186">
        <f t="shared" ref="N6:N16" si="1">(M6*5%)</f>
        <v>81.25</v>
      </c>
      <c r="O6" s="1186">
        <f t="shared" ref="O6:O16" si="2">SUM(M6+N6)</f>
        <v>1706.25</v>
      </c>
      <c r="P6" s="1188" t="s">
        <v>1132</v>
      </c>
      <c r="Q6" s="1189"/>
      <c r="R6" s="213"/>
    </row>
    <row r="7" spans="1:18" s="136" customFormat="1">
      <c r="A7" s="157">
        <v>42177</v>
      </c>
      <c r="B7" s="130"/>
      <c r="C7" s="131">
        <v>1</v>
      </c>
      <c r="D7" s="132">
        <v>1100</v>
      </c>
      <c r="E7" s="131">
        <v>1</v>
      </c>
      <c r="F7" s="132">
        <v>200</v>
      </c>
      <c r="G7" s="133">
        <v>1</v>
      </c>
      <c r="H7" s="132">
        <v>175</v>
      </c>
      <c r="I7" s="132"/>
      <c r="J7" s="132">
        <v>1</v>
      </c>
      <c r="K7" s="132"/>
      <c r="L7" s="132">
        <v>150</v>
      </c>
      <c r="M7" s="132">
        <f t="shared" si="0"/>
        <v>1475</v>
      </c>
      <c r="N7" s="132">
        <f t="shared" si="1"/>
        <v>73.75</v>
      </c>
      <c r="O7" s="132">
        <f t="shared" si="2"/>
        <v>1548.75</v>
      </c>
      <c r="P7" s="1179" t="s">
        <v>1132</v>
      </c>
      <c r="Q7" s="141"/>
      <c r="R7" s="148"/>
    </row>
    <row r="8" spans="1:18" s="136" customFormat="1">
      <c r="A8" s="129">
        <v>42178</v>
      </c>
      <c r="B8" s="130"/>
      <c r="C8" s="131">
        <v>1</v>
      </c>
      <c r="D8" s="132">
        <v>1100</v>
      </c>
      <c r="E8" s="131">
        <v>1</v>
      </c>
      <c r="F8" s="132">
        <v>200</v>
      </c>
      <c r="G8" s="133">
        <v>1</v>
      </c>
      <c r="H8" s="132">
        <v>175</v>
      </c>
      <c r="I8" s="132"/>
      <c r="J8" s="132">
        <v>1</v>
      </c>
      <c r="K8" s="132"/>
      <c r="L8" s="132">
        <v>150</v>
      </c>
      <c r="M8" s="132">
        <f t="shared" si="0"/>
        <v>1475</v>
      </c>
      <c r="N8" s="132">
        <f t="shared" si="1"/>
        <v>73.75</v>
      </c>
      <c r="O8" s="132">
        <f t="shared" si="2"/>
        <v>1548.75</v>
      </c>
      <c r="P8" s="1179" t="s">
        <v>1132</v>
      </c>
      <c r="Q8" s="141"/>
      <c r="R8" s="903"/>
    </row>
    <row r="9" spans="1:18" s="136" customFormat="1">
      <c r="A9" s="129">
        <v>42179</v>
      </c>
      <c r="B9" s="130"/>
      <c r="C9" s="131">
        <v>1</v>
      </c>
      <c r="D9" s="132">
        <v>1100</v>
      </c>
      <c r="E9" s="131">
        <v>1</v>
      </c>
      <c r="F9" s="132">
        <v>200</v>
      </c>
      <c r="G9" s="133">
        <v>1</v>
      </c>
      <c r="H9" s="132">
        <v>175</v>
      </c>
      <c r="I9" s="132"/>
      <c r="J9" s="132">
        <v>1</v>
      </c>
      <c r="K9" s="132"/>
      <c r="L9" s="132">
        <v>150</v>
      </c>
      <c r="M9" s="132">
        <f t="shared" si="0"/>
        <v>1475</v>
      </c>
      <c r="N9" s="132">
        <f t="shared" si="1"/>
        <v>73.75</v>
      </c>
      <c r="O9" s="132">
        <f t="shared" si="2"/>
        <v>1548.75</v>
      </c>
      <c r="P9" s="1179" t="s">
        <v>1132</v>
      </c>
      <c r="Q9" s="141"/>
      <c r="R9" s="904"/>
    </row>
    <row r="10" spans="1:18" s="136" customFormat="1">
      <c r="A10" s="129">
        <v>42180</v>
      </c>
      <c r="B10" s="130"/>
      <c r="C10" s="131">
        <v>1</v>
      </c>
      <c r="D10" s="132">
        <v>1100</v>
      </c>
      <c r="E10" s="131">
        <v>1</v>
      </c>
      <c r="F10" s="132">
        <v>200</v>
      </c>
      <c r="G10" s="133">
        <v>1</v>
      </c>
      <c r="H10" s="132">
        <v>175</v>
      </c>
      <c r="I10" s="132"/>
      <c r="J10" s="132">
        <v>1</v>
      </c>
      <c r="K10" s="132"/>
      <c r="L10" s="132">
        <v>150</v>
      </c>
      <c r="M10" s="132">
        <f t="shared" si="0"/>
        <v>1475</v>
      </c>
      <c r="N10" s="132">
        <f t="shared" si="1"/>
        <v>73.75</v>
      </c>
      <c r="O10" s="132">
        <f t="shared" si="2"/>
        <v>1548.75</v>
      </c>
      <c r="P10" s="1179" t="s">
        <v>1132</v>
      </c>
      <c r="Q10" s="141"/>
      <c r="R10" s="148"/>
    </row>
    <row r="11" spans="1:18" s="136" customFormat="1" ht="14.25" customHeight="1">
      <c r="A11" s="129">
        <v>42181</v>
      </c>
      <c r="B11" s="130"/>
      <c r="C11" s="131">
        <v>1</v>
      </c>
      <c r="D11" s="132">
        <v>1100</v>
      </c>
      <c r="E11" s="131">
        <v>1</v>
      </c>
      <c r="F11" s="132">
        <v>200</v>
      </c>
      <c r="G11" s="133">
        <v>1</v>
      </c>
      <c r="H11" s="132">
        <v>175</v>
      </c>
      <c r="I11" s="132"/>
      <c r="J11" s="132">
        <v>1</v>
      </c>
      <c r="K11" s="132"/>
      <c r="L11" s="132">
        <v>150</v>
      </c>
      <c r="M11" s="132">
        <f t="shared" si="0"/>
        <v>1475</v>
      </c>
      <c r="N11" s="132">
        <f t="shared" si="1"/>
        <v>73.75</v>
      </c>
      <c r="O11" s="132">
        <f t="shared" si="2"/>
        <v>1548.75</v>
      </c>
      <c r="P11" s="1179" t="s">
        <v>1132</v>
      </c>
      <c r="Q11" s="141"/>
      <c r="R11" s="148"/>
    </row>
    <row r="12" spans="1:18" s="136" customFormat="1">
      <c r="A12" s="129">
        <v>42182</v>
      </c>
      <c r="B12" s="130"/>
      <c r="C12" s="131">
        <v>1</v>
      </c>
      <c r="D12" s="132">
        <v>1100</v>
      </c>
      <c r="E12" s="131">
        <v>1</v>
      </c>
      <c r="F12" s="132">
        <v>200</v>
      </c>
      <c r="G12" s="133">
        <v>1</v>
      </c>
      <c r="H12" s="132">
        <v>175</v>
      </c>
      <c r="I12" s="132"/>
      <c r="J12" s="132">
        <v>1</v>
      </c>
      <c r="K12" s="132"/>
      <c r="L12" s="132">
        <v>150</v>
      </c>
      <c r="M12" s="132">
        <f t="shared" si="0"/>
        <v>1475</v>
      </c>
      <c r="N12" s="132">
        <f t="shared" si="1"/>
        <v>73.75</v>
      </c>
      <c r="O12" s="132">
        <f t="shared" si="2"/>
        <v>1548.75</v>
      </c>
      <c r="P12" s="1179" t="s">
        <v>1132</v>
      </c>
      <c r="Q12" s="141"/>
      <c r="R12" s="148"/>
    </row>
    <row r="13" spans="1:18" s="136" customFormat="1">
      <c r="A13" s="129">
        <v>42183</v>
      </c>
      <c r="B13" s="130"/>
      <c r="C13" s="131"/>
      <c r="D13" s="132">
        <v>1100</v>
      </c>
      <c r="E13" s="143"/>
      <c r="F13" s="132">
        <v>200</v>
      </c>
      <c r="G13" s="133">
        <v>1</v>
      </c>
      <c r="H13" s="132">
        <v>175</v>
      </c>
      <c r="I13" s="132"/>
      <c r="J13" s="132">
        <v>1</v>
      </c>
      <c r="K13" s="132"/>
      <c r="L13" s="132">
        <v>150</v>
      </c>
      <c r="M13" s="132">
        <f t="shared" si="0"/>
        <v>175</v>
      </c>
      <c r="N13" s="132">
        <f t="shared" si="1"/>
        <v>8.75</v>
      </c>
      <c r="O13" s="132">
        <f t="shared" si="2"/>
        <v>183.75</v>
      </c>
      <c r="P13" s="1179" t="s">
        <v>1132</v>
      </c>
      <c r="Q13" s="141"/>
      <c r="R13" s="148"/>
    </row>
    <row r="14" spans="1:18" s="136" customFormat="1">
      <c r="A14" s="129">
        <v>42184</v>
      </c>
      <c r="B14" s="130"/>
      <c r="C14" s="131">
        <v>1</v>
      </c>
      <c r="D14" s="132">
        <v>1100</v>
      </c>
      <c r="E14" s="156" t="s">
        <v>73</v>
      </c>
      <c r="F14" s="132">
        <v>200</v>
      </c>
      <c r="G14" s="133">
        <v>1</v>
      </c>
      <c r="H14" s="132">
        <v>175</v>
      </c>
      <c r="I14" s="132"/>
      <c r="J14" s="132">
        <v>1</v>
      </c>
      <c r="K14" s="132"/>
      <c r="L14" s="132">
        <v>150</v>
      </c>
      <c r="M14" s="132">
        <f t="shared" si="0"/>
        <v>1475</v>
      </c>
      <c r="N14" s="132">
        <f t="shared" si="1"/>
        <v>73.75</v>
      </c>
      <c r="O14" s="132">
        <f t="shared" si="2"/>
        <v>1548.75</v>
      </c>
      <c r="P14" s="1179" t="s">
        <v>1132</v>
      </c>
      <c r="Q14" s="141"/>
      <c r="R14" s="148"/>
    </row>
    <row r="15" spans="1:18" s="192" customFormat="1">
      <c r="A15" s="129">
        <v>42185</v>
      </c>
      <c r="B15" s="130"/>
      <c r="C15" s="131">
        <v>1</v>
      </c>
      <c r="D15" s="132">
        <v>1100</v>
      </c>
      <c r="E15" s="156">
        <v>1</v>
      </c>
      <c r="F15" s="132">
        <v>200</v>
      </c>
      <c r="G15" s="133">
        <v>1</v>
      </c>
      <c r="H15" s="132">
        <v>175</v>
      </c>
      <c r="I15" s="132"/>
      <c r="J15" s="132">
        <v>1</v>
      </c>
      <c r="K15" s="132"/>
      <c r="L15" s="132">
        <v>150</v>
      </c>
      <c r="M15" s="132">
        <f t="shared" si="0"/>
        <v>1475</v>
      </c>
      <c r="N15" s="132">
        <f t="shared" si="1"/>
        <v>73.75</v>
      </c>
      <c r="O15" s="132">
        <f t="shared" si="2"/>
        <v>1548.75</v>
      </c>
      <c r="P15" s="1179" t="s">
        <v>1132</v>
      </c>
      <c r="Q15" s="141"/>
      <c r="R15" s="194"/>
    </row>
    <row r="16" spans="1:18" s="192" customFormat="1">
      <c r="A16" s="761">
        <v>42186</v>
      </c>
      <c r="B16" s="185"/>
      <c r="C16" s="187">
        <v>1</v>
      </c>
      <c r="D16" s="188">
        <v>1100</v>
      </c>
      <c r="E16" s="196">
        <v>1</v>
      </c>
      <c r="F16" s="188">
        <v>200</v>
      </c>
      <c r="G16" s="186">
        <v>1</v>
      </c>
      <c r="H16" s="188">
        <v>175</v>
      </c>
      <c r="I16" s="188"/>
      <c r="J16" s="188">
        <v>1</v>
      </c>
      <c r="K16" s="188"/>
      <c r="L16" s="188">
        <v>150</v>
      </c>
      <c r="M16" s="188">
        <f t="shared" si="0"/>
        <v>1475</v>
      </c>
      <c r="N16" s="188">
        <f t="shared" si="1"/>
        <v>73.75</v>
      </c>
      <c r="O16" s="188">
        <f t="shared" si="2"/>
        <v>1548.75</v>
      </c>
      <c r="P16" s="1182" t="s">
        <v>1131</v>
      </c>
      <c r="Q16" s="190"/>
      <c r="R16" s="194"/>
    </row>
    <row r="17" spans="1:18" s="192" customFormat="1">
      <c r="A17" s="761">
        <v>42187</v>
      </c>
      <c r="B17" s="185"/>
      <c r="C17" s="187">
        <v>1</v>
      </c>
      <c r="D17" s="188">
        <v>1100</v>
      </c>
      <c r="E17" s="196">
        <v>1</v>
      </c>
      <c r="F17" s="188">
        <v>200</v>
      </c>
      <c r="G17" s="186">
        <v>1</v>
      </c>
      <c r="H17" s="188">
        <v>175</v>
      </c>
      <c r="I17" s="188"/>
      <c r="J17" s="188">
        <v>1</v>
      </c>
      <c r="K17" s="188"/>
      <c r="L17" s="188">
        <v>150</v>
      </c>
      <c r="M17" s="188">
        <f t="shared" ref="M17:M22" si="3">(C17*D17)+(E17*F17)+(G17*H17)+(I17*J17)+(K17*L17)</f>
        <v>1475</v>
      </c>
      <c r="N17" s="188">
        <f t="shared" ref="N17:N63" si="4">(M17*5%)</f>
        <v>73.75</v>
      </c>
      <c r="O17" s="188">
        <f t="shared" ref="O17:O63" si="5">SUM(M17+N17)</f>
        <v>1548.75</v>
      </c>
      <c r="P17" s="1182" t="s">
        <v>1131</v>
      </c>
      <c r="Q17" s="190"/>
      <c r="R17" s="194"/>
    </row>
    <row r="18" spans="1:18" s="192" customFormat="1">
      <c r="A18" s="761">
        <v>42188</v>
      </c>
      <c r="B18" s="185"/>
      <c r="C18" s="187">
        <v>1</v>
      </c>
      <c r="D18" s="188">
        <v>1100</v>
      </c>
      <c r="E18" s="196">
        <v>1</v>
      </c>
      <c r="F18" s="188">
        <v>200</v>
      </c>
      <c r="G18" s="186">
        <v>1</v>
      </c>
      <c r="H18" s="188">
        <v>175</v>
      </c>
      <c r="I18" s="188"/>
      <c r="J18" s="188">
        <v>1</v>
      </c>
      <c r="K18" s="188"/>
      <c r="L18" s="188">
        <v>150</v>
      </c>
      <c r="M18" s="188">
        <f t="shared" si="3"/>
        <v>1475</v>
      </c>
      <c r="N18" s="188">
        <f t="shared" si="4"/>
        <v>73.75</v>
      </c>
      <c r="O18" s="188">
        <f t="shared" si="5"/>
        <v>1548.75</v>
      </c>
      <c r="P18" s="1182" t="s">
        <v>1131</v>
      </c>
      <c r="Q18" s="190"/>
      <c r="R18" s="194"/>
    </row>
    <row r="19" spans="1:18" s="192" customFormat="1" ht="13.5" customHeight="1">
      <c r="A19" s="761">
        <v>42189</v>
      </c>
      <c r="B19" s="185"/>
      <c r="C19" s="187">
        <v>1</v>
      </c>
      <c r="D19" s="188">
        <v>1100</v>
      </c>
      <c r="E19" s="196">
        <v>1</v>
      </c>
      <c r="F19" s="188">
        <v>200</v>
      </c>
      <c r="G19" s="186">
        <v>1</v>
      </c>
      <c r="H19" s="188">
        <v>175</v>
      </c>
      <c r="I19" s="188"/>
      <c r="J19" s="188">
        <v>1</v>
      </c>
      <c r="K19" s="188"/>
      <c r="L19" s="188">
        <v>150</v>
      </c>
      <c r="M19" s="188">
        <f t="shared" si="3"/>
        <v>1475</v>
      </c>
      <c r="N19" s="188">
        <f t="shared" si="4"/>
        <v>73.75</v>
      </c>
      <c r="O19" s="188">
        <f t="shared" si="5"/>
        <v>1548.75</v>
      </c>
      <c r="P19" s="1182" t="s">
        <v>1131</v>
      </c>
      <c r="Q19" s="190"/>
      <c r="R19" s="194"/>
    </row>
    <row r="20" spans="1:18" s="192" customFormat="1" ht="12" customHeight="1">
      <c r="A20" s="202">
        <v>42190</v>
      </c>
      <c r="B20" s="198"/>
      <c r="C20" s="200"/>
      <c r="D20" s="188"/>
      <c r="E20" s="195"/>
      <c r="F20" s="188"/>
      <c r="G20" s="186">
        <v>1</v>
      </c>
      <c r="H20" s="188">
        <v>175</v>
      </c>
      <c r="I20" s="188"/>
      <c r="J20" s="188">
        <v>1</v>
      </c>
      <c r="K20" s="188"/>
      <c r="L20" s="188">
        <v>150</v>
      </c>
      <c r="M20" s="188">
        <f t="shared" si="3"/>
        <v>175</v>
      </c>
      <c r="N20" s="188">
        <f t="shared" si="4"/>
        <v>8.75</v>
      </c>
      <c r="O20" s="188">
        <f t="shared" si="5"/>
        <v>183.75</v>
      </c>
      <c r="P20" s="1182" t="s">
        <v>1131</v>
      </c>
      <c r="Q20" s="190"/>
      <c r="R20" s="194"/>
    </row>
    <row r="21" spans="1:18" s="192" customFormat="1">
      <c r="A21" s="197">
        <v>42191</v>
      </c>
      <c r="B21" s="198"/>
      <c r="C21" s="200">
        <v>1</v>
      </c>
      <c r="D21" s="188">
        <v>1100</v>
      </c>
      <c r="E21" s="195">
        <v>1</v>
      </c>
      <c r="F21" s="188">
        <v>200</v>
      </c>
      <c r="G21" s="186">
        <v>1</v>
      </c>
      <c r="H21" s="188">
        <v>175</v>
      </c>
      <c r="I21" s="188"/>
      <c r="J21" s="188">
        <v>1</v>
      </c>
      <c r="K21" s="188"/>
      <c r="L21" s="188">
        <v>150</v>
      </c>
      <c r="M21" s="188">
        <f t="shared" si="3"/>
        <v>1475</v>
      </c>
      <c r="N21" s="188">
        <f t="shared" si="4"/>
        <v>73.75</v>
      </c>
      <c r="O21" s="188">
        <f t="shared" si="5"/>
        <v>1548.75</v>
      </c>
      <c r="P21" s="1182" t="s">
        <v>1131</v>
      </c>
      <c r="Q21" s="190"/>
      <c r="R21" s="194"/>
    </row>
    <row r="22" spans="1:18" s="192" customFormat="1">
      <c r="A22" s="197">
        <v>42192</v>
      </c>
      <c r="B22" s="198"/>
      <c r="C22" s="200">
        <v>1</v>
      </c>
      <c r="D22" s="188">
        <v>1100</v>
      </c>
      <c r="E22" s="195">
        <v>1</v>
      </c>
      <c r="F22" s="188">
        <v>200</v>
      </c>
      <c r="G22" s="186">
        <v>1</v>
      </c>
      <c r="H22" s="188">
        <v>175</v>
      </c>
      <c r="I22" s="188"/>
      <c r="J22" s="188">
        <v>1</v>
      </c>
      <c r="K22" s="188"/>
      <c r="L22" s="188">
        <v>150</v>
      </c>
      <c r="M22" s="188">
        <f t="shared" si="3"/>
        <v>1475</v>
      </c>
      <c r="N22" s="188">
        <f t="shared" si="4"/>
        <v>73.75</v>
      </c>
      <c r="O22" s="188">
        <f t="shared" si="5"/>
        <v>1548.75</v>
      </c>
      <c r="P22" s="1182" t="s">
        <v>1131</v>
      </c>
      <c r="Q22" s="190"/>
      <c r="R22" s="194"/>
    </row>
    <row r="23" spans="1:18" s="192" customFormat="1">
      <c r="A23" s="197">
        <v>42193</v>
      </c>
      <c r="B23" s="198"/>
      <c r="C23" s="200">
        <v>1</v>
      </c>
      <c r="D23" s="188">
        <v>1100</v>
      </c>
      <c r="E23" s="195">
        <v>1</v>
      </c>
      <c r="F23" s="188">
        <v>200</v>
      </c>
      <c r="G23" s="186">
        <v>1</v>
      </c>
      <c r="H23" s="188">
        <v>175</v>
      </c>
      <c r="I23" s="188"/>
      <c r="J23" s="188">
        <v>1</v>
      </c>
      <c r="K23" s="188"/>
      <c r="L23" s="188">
        <v>150</v>
      </c>
      <c r="M23" s="188">
        <f t="shared" ref="M23:M63" si="6">(C23*D23)+(E23*F23)+(G23*H23)+(I23*J23)+(K23*L23)</f>
        <v>1475</v>
      </c>
      <c r="N23" s="188">
        <f t="shared" si="4"/>
        <v>73.75</v>
      </c>
      <c r="O23" s="188">
        <f t="shared" si="5"/>
        <v>1548.75</v>
      </c>
      <c r="P23" s="1182" t="s">
        <v>1131</v>
      </c>
      <c r="Q23" s="190"/>
      <c r="R23" s="194"/>
    </row>
    <row r="24" spans="1:18" s="192" customFormat="1">
      <c r="A24" s="197">
        <v>42194</v>
      </c>
      <c r="B24" s="198"/>
      <c r="C24" s="200">
        <v>1</v>
      </c>
      <c r="D24" s="188">
        <v>1100</v>
      </c>
      <c r="E24" s="195">
        <v>1</v>
      </c>
      <c r="F24" s="188">
        <v>200</v>
      </c>
      <c r="G24" s="186">
        <v>1</v>
      </c>
      <c r="H24" s="188">
        <v>175</v>
      </c>
      <c r="I24" s="188"/>
      <c r="J24" s="188">
        <v>1</v>
      </c>
      <c r="K24" s="188"/>
      <c r="L24" s="188">
        <v>150</v>
      </c>
      <c r="M24" s="188">
        <f t="shared" si="6"/>
        <v>1475</v>
      </c>
      <c r="N24" s="188">
        <f t="shared" si="4"/>
        <v>73.75</v>
      </c>
      <c r="O24" s="188">
        <f t="shared" si="5"/>
        <v>1548.75</v>
      </c>
      <c r="P24" s="1182" t="s">
        <v>1131</v>
      </c>
      <c r="Q24" s="190"/>
      <c r="R24" s="194"/>
    </row>
    <row r="25" spans="1:18" s="192" customFormat="1">
      <c r="A25" s="197">
        <v>42195</v>
      </c>
      <c r="B25" s="198"/>
      <c r="C25" s="200">
        <v>1</v>
      </c>
      <c r="D25" s="188">
        <v>1100</v>
      </c>
      <c r="E25" s="195">
        <v>1</v>
      </c>
      <c r="F25" s="188">
        <v>200</v>
      </c>
      <c r="G25" s="186">
        <v>1</v>
      </c>
      <c r="H25" s="188">
        <v>175</v>
      </c>
      <c r="I25" s="188"/>
      <c r="J25" s="188">
        <v>1</v>
      </c>
      <c r="K25" s="188"/>
      <c r="L25" s="188">
        <v>150</v>
      </c>
      <c r="M25" s="188">
        <f t="shared" si="6"/>
        <v>1475</v>
      </c>
      <c r="N25" s="188">
        <f t="shared" si="4"/>
        <v>73.75</v>
      </c>
      <c r="O25" s="188">
        <f t="shared" si="5"/>
        <v>1548.75</v>
      </c>
      <c r="P25" s="1182" t="s">
        <v>1131</v>
      </c>
      <c r="Q25" s="190"/>
      <c r="R25" s="194"/>
    </row>
    <row r="26" spans="1:18" s="192" customFormat="1">
      <c r="A26" s="197">
        <v>42196</v>
      </c>
      <c r="B26" s="198"/>
      <c r="C26" s="200">
        <v>1</v>
      </c>
      <c r="D26" s="188">
        <v>1100</v>
      </c>
      <c r="E26" s="195">
        <v>1</v>
      </c>
      <c r="F26" s="188">
        <v>200</v>
      </c>
      <c r="G26" s="186">
        <v>1</v>
      </c>
      <c r="H26" s="188">
        <v>175</v>
      </c>
      <c r="I26" s="188"/>
      <c r="J26" s="188">
        <v>1</v>
      </c>
      <c r="K26" s="188"/>
      <c r="L26" s="188">
        <v>150</v>
      </c>
      <c r="M26" s="188">
        <f t="shared" si="6"/>
        <v>1475</v>
      </c>
      <c r="N26" s="188">
        <f t="shared" si="4"/>
        <v>73.75</v>
      </c>
      <c r="O26" s="188">
        <f t="shared" si="5"/>
        <v>1548.75</v>
      </c>
      <c r="P26" s="1182" t="s">
        <v>1131</v>
      </c>
      <c r="Q26" s="190"/>
      <c r="R26" s="194"/>
    </row>
    <row r="27" spans="1:18" s="192" customFormat="1">
      <c r="A27" s="197">
        <v>42197</v>
      </c>
      <c r="B27" s="198"/>
      <c r="C27" s="200"/>
      <c r="D27" s="188">
        <v>1100</v>
      </c>
      <c r="E27" s="195"/>
      <c r="F27" s="188">
        <v>200</v>
      </c>
      <c r="G27" s="186">
        <v>1</v>
      </c>
      <c r="H27" s="188">
        <v>175</v>
      </c>
      <c r="I27" s="188"/>
      <c r="J27" s="188">
        <v>1</v>
      </c>
      <c r="K27" s="188"/>
      <c r="L27" s="188">
        <v>150</v>
      </c>
      <c r="M27" s="188">
        <f t="shared" si="6"/>
        <v>175</v>
      </c>
      <c r="N27" s="188">
        <f t="shared" si="4"/>
        <v>8.75</v>
      </c>
      <c r="O27" s="188">
        <f t="shared" si="5"/>
        <v>183.75</v>
      </c>
      <c r="P27" s="1182" t="s">
        <v>1131</v>
      </c>
      <c r="Q27" s="190"/>
      <c r="R27" s="194"/>
    </row>
    <row r="28" spans="1:18" s="192" customFormat="1">
      <c r="A28" s="197">
        <v>42198</v>
      </c>
      <c r="B28" s="198"/>
      <c r="C28" s="200"/>
      <c r="D28" s="188">
        <v>1100</v>
      </c>
      <c r="E28" s="195"/>
      <c r="F28" s="188">
        <v>200</v>
      </c>
      <c r="G28" s="186">
        <v>1</v>
      </c>
      <c r="H28" s="188">
        <v>175</v>
      </c>
      <c r="I28" s="188"/>
      <c r="J28" s="188">
        <v>1</v>
      </c>
      <c r="K28" s="188"/>
      <c r="L28" s="188">
        <v>150</v>
      </c>
      <c r="M28" s="188">
        <f t="shared" si="6"/>
        <v>175</v>
      </c>
      <c r="N28" s="188">
        <f t="shared" si="4"/>
        <v>8.75</v>
      </c>
      <c r="O28" s="188">
        <f t="shared" si="5"/>
        <v>183.75</v>
      </c>
      <c r="P28" s="1182" t="s">
        <v>1131</v>
      </c>
      <c r="Q28" s="190"/>
      <c r="R28" s="194"/>
    </row>
    <row r="29" spans="1:18" s="192" customFormat="1">
      <c r="A29" s="197">
        <v>42199</v>
      </c>
      <c r="B29" s="198"/>
      <c r="C29" s="200">
        <v>1</v>
      </c>
      <c r="D29" s="188">
        <v>1100</v>
      </c>
      <c r="E29" s="195">
        <v>1</v>
      </c>
      <c r="F29" s="188">
        <v>200</v>
      </c>
      <c r="G29" s="186">
        <v>1</v>
      </c>
      <c r="H29" s="188">
        <v>175</v>
      </c>
      <c r="I29" s="188"/>
      <c r="J29" s="188">
        <v>1</v>
      </c>
      <c r="K29" s="188"/>
      <c r="L29" s="188">
        <v>150</v>
      </c>
      <c r="M29" s="188">
        <f t="shared" si="6"/>
        <v>1475</v>
      </c>
      <c r="N29" s="188">
        <f t="shared" si="4"/>
        <v>73.75</v>
      </c>
      <c r="O29" s="188">
        <f t="shared" si="5"/>
        <v>1548.75</v>
      </c>
      <c r="P29" s="1182" t="s">
        <v>1131</v>
      </c>
      <c r="Q29" s="190"/>
      <c r="R29" s="194"/>
    </row>
    <row r="30" spans="1:18" s="559" customFormat="1">
      <c r="A30" s="197">
        <v>42200</v>
      </c>
      <c r="B30" s="198"/>
      <c r="C30" s="200">
        <v>1</v>
      </c>
      <c r="D30" s="188">
        <v>1100</v>
      </c>
      <c r="E30" s="187">
        <v>1</v>
      </c>
      <c r="F30" s="188">
        <v>200</v>
      </c>
      <c r="G30" s="186">
        <v>1</v>
      </c>
      <c r="H30" s="188">
        <v>175</v>
      </c>
      <c r="I30" s="188"/>
      <c r="J30" s="188">
        <v>1</v>
      </c>
      <c r="K30" s="188"/>
      <c r="L30" s="188">
        <v>150</v>
      </c>
      <c r="M30" s="188">
        <f t="shared" si="6"/>
        <v>1475</v>
      </c>
      <c r="N30" s="188">
        <f t="shared" si="4"/>
        <v>73.75</v>
      </c>
      <c r="O30" s="188">
        <f t="shared" si="5"/>
        <v>1548.75</v>
      </c>
      <c r="P30" s="1182" t="s">
        <v>1131</v>
      </c>
      <c r="Q30" s="190"/>
      <c r="R30" s="626"/>
    </row>
    <row r="31" spans="1:18" s="559" customFormat="1">
      <c r="A31" s="817">
        <v>42201</v>
      </c>
      <c r="B31" s="828"/>
      <c r="C31" s="831">
        <v>1</v>
      </c>
      <c r="D31" s="700">
        <v>1100</v>
      </c>
      <c r="E31" s="699">
        <v>1</v>
      </c>
      <c r="F31" s="700">
        <v>200</v>
      </c>
      <c r="G31" s="701">
        <v>1</v>
      </c>
      <c r="H31" s="700">
        <v>175</v>
      </c>
      <c r="I31" s="700"/>
      <c r="J31" s="700">
        <v>1</v>
      </c>
      <c r="K31" s="700"/>
      <c r="L31" s="700">
        <v>150</v>
      </c>
      <c r="M31" s="700">
        <f t="shared" si="6"/>
        <v>1475</v>
      </c>
      <c r="N31" s="700">
        <f t="shared" si="4"/>
        <v>73.75</v>
      </c>
      <c r="O31" s="700">
        <f t="shared" si="5"/>
        <v>1548.75</v>
      </c>
      <c r="P31" s="901" t="s">
        <v>1130</v>
      </c>
      <c r="Q31" s="830"/>
      <c r="R31" s="626"/>
    </row>
    <row r="32" spans="1:18" s="559" customFormat="1">
      <c r="A32" s="817">
        <v>42202</v>
      </c>
      <c r="B32" s="828"/>
      <c r="C32" s="831"/>
      <c r="D32" s="700">
        <v>1100</v>
      </c>
      <c r="E32" s="699"/>
      <c r="F32" s="700">
        <v>200</v>
      </c>
      <c r="G32" s="701">
        <v>1</v>
      </c>
      <c r="H32" s="700">
        <v>175</v>
      </c>
      <c r="I32" s="700"/>
      <c r="J32" s="700">
        <v>1</v>
      </c>
      <c r="K32" s="700"/>
      <c r="L32" s="700">
        <v>150</v>
      </c>
      <c r="M32" s="700">
        <f t="shared" si="6"/>
        <v>175</v>
      </c>
      <c r="N32" s="700">
        <f t="shared" si="4"/>
        <v>8.75</v>
      </c>
      <c r="O32" s="700">
        <f t="shared" si="5"/>
        <v>183.75</v>
      </c>
      <c r="P32" s="901" t="s">
        <v>1130</v>
      </c>
      <c r="Q32" s="830"/>
      <c r="R32" s="626"/>
    </row>
    <row r="33" spans="1:18" s="559" customFormat="1">
      <c r="A33" s="817">
        <v>42203</v>
      </c>
      <c r="B33" s="828"/>
      <c r="C33" s="831"/>
      <c r="D33" s="700">
        <v>1100</v>
      </c>
      <c r="E33" s="699"/>
      <c r="F33" s="700">
        <v>200</v>
      </c>
      <c r="G33" s="701">
        <v>1</v>
      </c>
      <c r="H33" s="700">
        <v>175</v>
      </c>
      <c r="I33" s="700"/>
      <c r="J33" s="700">
        <v>1</v>
      </c>
      <c r="K33" s="700"/>
      <c r="L33" s="700">
        <v>150</v>
      </c>
      <c r="M33" s="700">
        <f t="shared" si="6"/>
        <v>175</v>
      </c>
      <c r="N33" s="700">
        <f t="shared" si="4"/>
        <v>8.75</v>
      </c>
      <c r="O33" s="700">
        <f t="shared" si="5"/>
        <v>183.75</v>
      </c>
      <c r="P33" s="901" t="s">
        <v>1130</v>
      </c>
      <c r="Q33" s="830"/>
      <c r="R33" s="626"/>
    </row>
    <row r="34" spans="1:18" s="559" customFormat="1">
      <c r="A34" s="817">
        <v>42204</v>
      </c>
      <c r="B34" s="828"/>
      <c r="C34" s="831"/>
      <c r="D34" s="700">
        <v>1100</v>
      </c>
      <c r="E34" s="699"/>
      <c r="F34" s="700">
        <v>200</v>
      </c>
      <c r="G34" s="701">
        <v>1</v>
      </c>
      <c r="H34" s="700">
        <v>175</v>
      </c>
      <c r="I34" s="700"/>
      <c r="J34" s="700">
        <v>1</v>
      </c>
      <c r="K34" s="700"/>
      <c r="L34" s="700">
        <v>150</v>
      </c>
      <c r="M34" s="700">
        <f t="shared" si="6"/>
        <v>175</v>
      </c>
      <c r="N34" s="700">
        <f t="shared" si="4"/>
        <v>8.75</v>
      </c>
      <c r="O34" s="700">
        <f t="shared" si="5"/>
        <v>183.75</v>
      </c>
      <c r="P34" s="901" t="s">
        <v>1130</v>
      </c>
      <c r="Q34" s="830"/>
      <c r="R34" s="626"/>
    </row>
    <row r="35" spans="1:18" s="559" customFormat="1">
      <c r="A35" s="817">
        <v>42205</v>
      </c>
      <c r="B35" s="828"/>
      <c r="C35" s="831">
        <v>1</v>
      </c>
      <c r="D35" s="700">
        <v>1100</v>
      </c>
      <c r="E35" s="699">
        <v>1</v>
      </c>
      <c r="F35" s="700">
        <v>200</v>
      </c>
      <c r="G35" s="701">
        <v>1</v>
      </c>
      <c r="H35" s="700">
        <v>175</v>
      </c>
      <c r="I35" s="700"/>
      <c r="J35" s="700">
        <v>1</v>
      </c>
      <c r="K35" s="700"/>
      <c r="L35" s="700">
        <v>150</v>
      </c>
      <c r="M35" s="700">
        <f t="shared" si="6"/>
        <v>1475</v>
      </c>
      <c r="N35" s="700">
        <f t="shared" si="4"/>
        <v>73.75</v>
      </c>
      <c r="O35" s="700">
        <f t="shared" si="5"/>
        <v>1548.75</v>
      </c>
      <c r="P35" s="901" t="s">
        <v>1130</v>
      </c>
      <c r="Q35" s="830"/>
      <c r="R35" s="626"/>
    </row>
    <row r="36" spans="1:18" s="559" customFormat="1">
      <c r="A36" s="817">
        <v>42206</v>
      </c>
      <c r="B36" s="828"/>
      <c r="C36" s="831">
        <v>1</v>
      </c>
      <c r="D36" s="700">
        <v>1100</v>
      </c>
      <c r="E36" s="699">
        <v>1</v>
      </c>
      <c r="F36" s="700">
        <v>200</v>
      </c>
      <c r="G36" s="701">
        <v>1</v>
      </c>
      <c r="H36" s="700">
        <v>175</v>
      </c>
      <c r="I36" s="700"/>
      <c r="J36" s="700">
        <v>1</v>
      </c>
      <c r="K36" s="700"/>
      <c r="L36" s="700">
        <v>150</v>
      </c>
      <c r="M36" s="700">
        <f t="shared" si="6"/>
        <v>1475</v>
      </c>
      <c r="N36" s="700">
        <f t="shared" si="4"/>
        <v>73.75</v>
      </c>
      <c r="O36" s="700">
        <f t="shared" si="5"/>
        <v>1548.75</v>
      </c>
      <c r="P36" s="901" t="s">
        <v>1130</v>
      </c>
      <c r="Q36" s="830"/>
      <c r="R36" s="626"/>
    </row>
    <row r="37" spans="1:18" s="559" customFormat="1">
      <c r="A37" s="817">
        <v>42207</v>
      </c>
      <c r="B37" s="828"/>
      <c r="C37" s="831">
        <v>1</v>
      </c>
      <c r="D37" s="700">
        <v>1100</v>
      </c>
      <c r="E37" s="699">
        <v>1</v>
      </c>
      <c r="F37" s="700">
        <v>200</v>
      </c>
      <c r="G37" s="701">
        <v>1</v>
      </c>
      <c r="H37" s="700">
        <v>175</v>
      </c>
      <c r="I37" s="700"/>
      <c r="J37" s="700">
        <v>1</v>
      </c>
      <c r="K37" s="700"/>
      <c r="L37" s="700">
        <v>150</v>
      </c>
      <c r="M37" s="700">
        <f t="shared" si="6"/>
        <v>1475</v>
      </c>
      <c r="N37" s="700">
        <f t="shared" si="4"/>
        <v>73.75</v>
      </c>
      <c r="O37" s="700">
        <f t="shared" si="5"/>
        <v>1548.75</v>
      </c>
      <c r="P37" s="901" t="s">
        <v>1130</v>
      </c>
      <c r="Q37" s="830"/>
      <c r="R37" s="626"/>
    </row>
    <row r="38" spans="1:18" s="559" customFormat="1">
      <c r="A38" s="817">
        <v>42208</v>
      </c>
      <c r="B38" s="828"/>
      <c r="C38" s="831">
        <v>1</v>
      </c>
      <c r="D38" s="700">
        <v>1100</v>
      </c>
      <c r="E38" s="699">
        <v>1</v>
      </c>
      <c r="F38" s="700">
        <v>200</v>
      </c>
      <c r="G38" s="701">
        <v>1</v>
      </c>
      <c r="H38" s="700">
        <v>175</v>
      </c>
      <c r="I38" s="700"/>
      <c r="J38" s="700">
        <v>1</v>
      </c>
      <c r="K38" s="700"/>
      <c r="L38" s="700">
        <v>150</v>
      </c>
      <c r="M38" s="700">
        <f t="shared" si="6"/>
        <v>1475</v>
      </c>
      <c r="N38" s="700">
        <f t="shared" si="4"/>
        <v>73.75</v>
      </c>
      <c r="O38" s="700">
        <f t="shared" si="5"/>
        <v>1548.75</v>
      </c>
      <c r="P38" s="901" t="s">
        <v>1130</v>
      </c>
      <c r="Q38" s="905">
        <f>SUM(M31:M46)</f>
        <v>18400</v>
      </c>
      <c r="R38" s="626"/>
    </row>
    <row r="39" spans="1:18" s="559" customFormat="1">
      <c r="A39" s="817">
        <v>42209</v>
      </c>
      <c r="B39" s="828"/>
      <c r="C39" s="831">
        <v>1</v>
      </c>
      <c r="D39" s="700">
        <v>1100</v>
      </c>
      <c r="E39" s="699">
        <v>1</v>
      </c>
      <c r="F39" s="700">
        <v>200</v>
      </c>
      <c r="G39" s="701">
        <v>1</v>
      </c>
      <c r="H39" s="700">
        <v>175</v>
      </c>
      <c r="I39" s="700"/>
      <c r="J39" s="700">
        <v>1</v>
      </c>
      <c r="K39" s="700"/>
      <c r="L39" s="700">
        <v>150</v>
      </c>
      <c r="M39" s="700">
        <f t="shared" si="6"/>
        <v>1475</v>
      </c>
      <c r="N39" s="700">
        <f t="shared" si="4"/>
        <v>73.75</v>
      </c>
      <c r="O39" s="700">
        <f t="shared" si="5"/>
        <v>1548.75</v>
      </c>
      <c r="P39" s="901" t="s">
        <v>1130</v>
      </c>
      <c r="Q39" s="830"/>
      <c r="R39" s="626"/>
    </row>
    <row r="40" spans="1:18" s="559" customFormat="1">
      <c r="A40" s="817">
        <v>42210</v>
      </c>
      <c r="B40" s="828"/>
      <c r="C40" s="831">
        <v>1</v>
      </c>
      <c r="D40" s="700">
        <v>1100</v>
      </c>
      <c r="E40" s="699">
        <v>1</v>
      </c>
      <c r="F40" s="700">
        <v>200</v>
      </c>
      <c r="G40" s="701">
        <v>1</v>
      </c>
      <c r="H40" s="700">
        <v>175</v>
      </c>
      <c r="I40" s="700"/>
      <c r="J40" s="700">
        <v>1</v>
      </c>
      <c r="K40" s="700"/>
      <c r="L40" s="700">
        <v>150</v>
      </c>
      <c r="M40" s="700">
        <f t="shared" si="6"/>
        <v>1475</v>
      </c>
      <c r="N40" s="700">
        <f t="shared" si="4"/>
        <v>73.75</v>
      </c>
      <c r="O40" s="700">
        <f t="shared" si="5"/>
        <v>1548.75</v>
      </c>
      <c r="P40" s="901" t="s">
        <v>1130</v>
      </c>
      <c r="Q40" s="830"/>
      <c r="R40" s="626"/>
    </row>
    <row r="41" spans="1:18" s="559" customFormat="1">
      <c r="A41" s="817">
        <v>42211</v>
      </c>
      <c r="B41" s="828"/>
      <c r="C41" s="831"/>
      <c r="D41" s="700">
        <v>1100</v>
      </c>
      <c r="E41" s="699"/>
      <c r="F41" s="700">
        <v>200</v>
      </c>
      <c r="G41" s="701">
        <v>1</v>
      </c>
      <c r="H41" s="700">
        <v>175</v>
      </c>
      <c r="I41" s="700"/>
      <c r="J41" s="700">
        <v>1</v>
      </c>
      <c r="K41" s="700"/>
      <c r="L41" s="700">
        <v>150</v>
      </c>
      <c r="M41" s="700">
        <f t="shared" si="6"/>
        <v>175</v>
      </c>
      <c r="N41" s="700">
        <f t="shared" si="4"/>
        <v>8.75</v>
      </c>
      <c r="O41" s="700">
        <f t="shared" si="5"/>
        <v>183.75</v>
      </c>
      <c r="P41" s="901" t="s">
        <v>1130</v>
      </c>
      <c r="Q41" s="830"/>
      <c r="R41" s="626"/>
    </row>
    <row r="42" spans="1:18" s="559" customFormat="1">
      <c r="A42" s="817">
        <v>42212</v>
      </c>
      <c r="B42" s="828"/>
      <c r="C42" s="831">
        <v>1</v>
      </c>
      <c r="D42" s="700">
        <v>1100</v>
      </c>
      <c r="E42" s="699">
        <v>1</v>
      </c>
      <c r="F42" s="700">
        <v>200</v>
      </c>
      <c r="G42" s="701">
        <v>1</v>
      </c>
      <c r="H42" s="700">
        <v>175</v>
      </c>
      <c r="I42" s="700"/>
      <c r="J42" s="700">
        <v>1</v>
      </c>
      <c r="K42" s="700"/>
      <c r="L42" s="700">
        <v>150</v>
      </c>
      <c r="M42" s="700">
        <f t="shared" si="6"/>
        <v>1475</v>
      </c>
      <c r="N42" s="700">
        <f t="shared" si="4"/>
        <v>73.75</v>
      </c>
      <c r="O42" s="700">
        <f t="shared" si="5"/>
        <v>1548.75</v>
      </c>
      <c r="P42" s="901" t="s">
        <v>1130</v>
      </c>
      <c r="Q42" s="830"/>
      <c r="R42" s="626"/>
    </row>
    <row r="43" spans="1:18" s="559" customFormat="1">
      <c r="A43" s="817">
        <v>42213</v>
      </c>
      <c r="B43" s="828"/>
      <c r="C43" s="831">
        <v>1</v>
      </c>
      <c r="D43" s="700">
        <v>1100</v>
      </c>
      <c r="E43" s="699">
        <v>1</v>
      </c>
      <c r="F43" s="700">
        <v>200</v>
      </c>
      <c r="G43" s="701">
        <v>1</v>
      </c>
      <c r="H43" s="700">
        <v>175</v>
      </c>
      <c r="I43" s="700"/>
      <c r="J43" s="700">
        <v>1</v>
      </c>
      <c r="K43" s="700"/>
      <c r="L43" s="700">
        <v>150</v>
      </c>
      <c r="M43" s="700">
        <f t="shared" si="6"/>
        <v>1475</v>
      </c>
      <c r="N43" s="700">
        <f t="shared" si="4"/>
        <v>73.75</v>
      </c>
      <c r="O43" s="700">
        <f t="shared" si="5"/>
        <v>1548.75</v>
      </c>
      <c r="P43" s="901" t="s">
        <v>1130</v>
      </c>
      <c r="Q43" s="830"/>
      <c r="R43" s="626"/>
    </row>
    <row r="44" spans="1:18" s="559" customFormat="1">
      <c r="A44" s="817">
        <v>42214</v>
      </c>
      <c r="B44" s="828"/>
      <c r="C44" s="831">
        <v>1</v>
      </c>
      <c r="D44" s="700">
        <v>1100</v>
      </c>
      <c r="E44" s="699">
        <v>1</v>
      </c>
      <c r="F44" s="700">
        <v>200</v>
      </c>
      <c r="G44" s="701">
        <v>1</v>
      </c>
      <c r="H44" s="700">
        <v>175</v>
      </c>
      <c r="I44" s="700"/>
      <c r="J44" s="700">
        <v>1</v>
      </c>
      <c r="K44" s="700"/>
      <c r="L44" s="700">
        <v>150</v>
      </c>
      <c r="M44" s="700">
        <f t="shared" si="6"/>
        <v>1475</v>
      </c>
      <c r="N44" s="700">
        <f t="shared" si="4"/>
        <v>73.75</v>
      </c>
      <c r="O44" s="700">
        <f t="shared" si="5"/>
        <v>1548.75</v>
      </c>
      <c r="P44" s="901" t="s">
        <v>1130</v>
      </c>
      <c r="Q44" s="830"/>
      <c r="R44" s="626"/>
    </row>
    <row r="45" spans="1:18" s="559" customFormat="1">
      <c r="A45" s="817">
        <v>42215</v>
      </c>
      <c r="B45" s="828"/>
      <c r="C45" s="831">
        <v>1</v>
      </c>
      <c r="D45" s="700">
        <v>1100</v>
      </c>
      <c r="E45" s="699">
        <v>1</v>
      </c>
      <c r="F45" s="700">
        <v>200</v>
      </c>
      <c r="G45" s="701">
        <v>1</v>
      </c>
      <c r="H45" s="700">
        <v>175</v>
      </c>
      <c r="I45" s="700"/>
      <c r="J45" s="700">
        <v>1</v>
      </c>
      <c r="K45" s="700"/>
      <c r="L45" s="700">
        <v>150</v>
      </c>
      <c r="M45" s="700">
        <f t="shared" si="6"/>
        <v>1475</v>
      </c>
      <c r="N45" s="700">
        <f t="shared" si="4"/>
        <v>73.75</v>
      </c>
      <c r="O45" s="700">
        <f t="shared" si="5"/>
        <v>1548.75</v>
      </c>
      <c r="P45" s="901" t="s">
        <v>1130</v>
      </c>
      <c r="Q45" s="830"/>
      <c r="R45" s="626"/>
    </row>
    <row r="46" spans="1:18" s="468" customFormat="1">
      <c r="A46" s="817">
        <v>42216</v>
      </c>
      <c r="B46" s="828"/>
      <c r="C46" s="831">
        <v>1</v>
      </c>
      <c r="D46" s="700">
        <v>1100</v>
      </c>
      <c r="E46" s="699">
        <v>1</v>
      </c>
      <c r="F46" s="700">
        <v>200</v>
      </c>
      <c r="G46" s="701">
        <v>1</v>
      </c>
      <c r="H46" s="700">
        <v>175</v>
      </c>
      <c r="I46" s="700"/>
      <c r="J46" s="700">
        <v>1</v>
      </c>
      <c r="K46" s="700"/>
      <c r="L46" s="700">
        <v>150</v>
      </c>
      <c r="M46" s="700">
        <f t="shared" si="6"/>
        <v>1475</v>
      </c>
      <c r="N46" s="700">
        <f t="shared" si="4"/>
        <v>73.75</v>
      </c>
      <c r="O46" s="700">
        <f t="shared" si="5"/>
        <v>1548.75</v>
      </c>
      <c r="P46" s="901" t="s">
        <v>1130</v>
      </c>
      <c r="Q46" s="830"/>
      <c r="R46" s="467"/>
    </row>
    <row r="47" spans="1:18" s="468" customFormat="1">
      <c r="A47" s="459">
        <v>42217</v>
      </c>
      <c r="B47" s="460"/>
      <c r="C47" s="461">
        <v>1</v>
      </c>
      <c r="D47" s="462">
        <v>1100</v>
      </c>
      <c r="E47" s="463">
        <v>1</v>
      </c>
      <c r="F47" s="462">
        <v>200</v>
      </c>
      <c r="G47" s="464">
        <v>1</v>
      </c>
      <c r="H47" s="462">
        <v>175</v>
      </c>
      <c r="I47" s="462"/>
      <c r="J47" s="462">
        <v>1</v>
      </c>
      <c r="K47" s="462"/>
      <c r="L47" s="462">
        <v>150</v>
      </c>
      <c r="M47" s="462">
        <f t="shared" si="6"/>
        <v>1475</v>
      </c>
      <c r="N47" s="462">
        <f t="shared" si="4"/>
        <v>73.75</v>
      </c>
      <c r="O47" s="462">
        <f t="shared" si="5"/>
        <v>1548.75</v>
      </c>
      <c r="P47" s="1180" t="s">
        <v>1129</v>
      </c>
      <c r="Q47" s="466"/>
      <c r="R47" s="467"/>
    </row>
    <row r="48" spans="1:18" s="468" customFormat="1">
      <c r="A48" s="459">
        <v>42218</v>
      </c>
      <c r="B48" s="460"/>
      <c r="C48" s="461"/>
      <c r="D48" s="462">
        <v>1100</v>
      </c>
      <c r="E48" s="463"/>
      <c r="F48" s="462">
        <v>200</v>
      </c>
      <c r="G48" s="464">
        <v>1</v>
      </c>
      <c r="H48" s="462">
        <v>175</v>
      </c>
      <c r="I48" s="462"/>
      <c r="J48" s="462">
        <v>1</v>
      </c>
      <c r="K48" s="462"/>
      <c r="L48" s="462">
        <v>150</v>
      </c>
      <c r="M48" s="462">
        <f t="shared" si="6"/>
        <v>175</v>
      </c>
      <c r="N48" s="462">
        <f t="shared" si="4"/>
        <v>8.75</v>
      </c>
      <c r="O48" s="462">
        <f t="shared" si="5"/>
        <v>183.75</v>
      </c>
      <c r="P48" s="1180" t="s">
        <v>1129</v>
      </c>
      <c r="Q48" s="466"/>
      <c r="R48" s="467"/>
    </row>
    <row r="49" spans="1:19" s="468" customFormat="1">
      <c r="A49" s="459">
        <v>42219</v>
      </c>
      <c r="B49" s="460"/>
      <c r="C49" s="461">
        <v>1</v>
      </c>
      <c r="D49" s="462">
        <v>1100</v>
      </c>
      <c r="E49" s="463">
        <v>1</v>
      </c>
      <c r="F49" s="462">
        <v>200</v>
      </c>
      <c r="G49" s="464">
        <v>1</v>
      </c>
      <c r="H49" s="462">
        <v>175</v>
      </c>
      <c r="I49" s="462"/>
      <c r="J49" s="462">
        <v>1</v>
      </c>
      <c r="K49" s="462"/>
      <c r="L49" s="462">
        <v>150</v>
      </c>
      <c r="M49" s="462">
        <f t="shared" si="6"/>
        <v>1475</v>
      </c>
      <c r="N49" s="462">
        <f t="shared" si="4"/>
        <v>73.75</v>
      </c>
      <c r="O49" s="462">
        <f t="shared" si="5"/>
        <v>1548.75</v>
      </c>
      <c r="P49" s="1180" t="s">
        <v>1129</v>
      </c>
      <c r="Q49" s="466"/>
      <c r="R49" s="467"/>
    </row>
    <row r="50" spans="1:19" s="468" customFormat="1">
      <c r="A50" s="459">
        <v>42220</v>
      </c>
      <c r="B50" s="460"/>
      <c r="C50" s="461">
        <v>1</v>
      </c>
      <c r="D50" s="462">
        <v>1100</v>
      </c>
      <c r="E50" s="463">
        <v>1</v>
      </c>
      <c r="F50" s="462">
        <v>200</v>
      </c>
      <c r="G50" s="464">
        <v>1</v>
      </c>
      <c r="H50" s="462">
        <v>175</v>
      </c>
      <c r="I50" s="462"/>
      <c r="J50" s="462">
        <v>1</v>
      </c>
      <c r="K50" s="462"/>
      <c r="L50" s="462">
        <v>150</v>
      </c>
      <c r="M50" s="462">
        <f t="shared" si="6"/>
        <v>1475</v>
      </c>
      <c r="N50" s="462">
        <f t="shared" si="4"/>
        <v>73.75</v>
      </c>
      <c r="O50" s="462">
        <f t="shared" si="5"/>
        <v>1548.75</v>
      </c>
      <c r="P50" s="1180" t="s">
        <v>1129</v>
      </c>
      <c r="Q50" s="466"/>
      <c r="R50" s="467"/>
    </row>
    <row r="51" spans="1:19" s="468" customFormat="1">
      <c r="A51" s="459">
        <v>42221</v>
      </c>
      <c r="B51" s="460"/>
      <c r="C51" s="461">
        <v>1</v>
      </c>
      <c r="D51" s="462">
        <v>1100</v>
      </c>
      <c r="E51" s="463">
        <v>1</v>
      </c>
      <c r="F51" s="462">
        <v>200</v>
      </c>
      <c r="G51" s="464">
        <v>1</v>
      </c>
      <c r="H51" s="462">
        <v>175</v>
      </c>
      <c r="I51" s="462"/>
      <c r="J51" s="462">
        <v>1</v>
      </c>
      <c r="K51" s="462"/>
      <c r="L51" s="462">
        <v>150</v>
      </c>
      <c r="M51" s="462">
        <f t="shared" si="6"/>
        <v>1475</v>
      </c>
      <c r="N51" s="462">
        <f t="shared" si="4"/>
        <v>73.75</v>
      </c>
      <c r="O51" s="462">
        <f t="shared" si="5"/>
        <v>1548.75</v>
      </c>
      <c r="P51" s="1180" t="s">
        <v>1129</v>
      </c>
      <c r="Q51" s="466"/>
      <c r="R51" s="467"/>
    </row>
    <row r="52" spans="1:19" s="468" customFormat="1">
      <c r="A52" s="459">
        <v>42222</v>
      </c>
      <c r="B52" s="460"/>
      <c r="C52" s="461">
        <v>1</v>
      </c>
      <c r="D52" s="462">
        <v>1100</v>
      </c>
      <c r="E52" s="463">
        <v>1</v>
      </c>
      <c r="F52" s="462">
        <v>200</v>
      </c>
      <c r="G52" s="464">
        <v>1</v>
      </c>
      <c r="H52" s="462">
        <v>175</v>
      </c>
      <c r="I52" s="462"/>
      <c r="J52" s="462">
        <v>1</v>
      </c>
      <c r="K52" s="462"/>
      <c r="L52" s="462">
        <v>150</v>
      </c>
      <c r="M52" s="462">
        <f t="shared" si="6"/>
        <v>1475</v>
      </c>
      <c r="N52" s="462">
        <f t="shared" si="4"/>
        <v>73.75</v>
      </c>
      <c r="O52" s="462">
        <f t="shared" si="5"/>
        <v>1548.75</v>
      </c>
      <c r="P52" s="1180" t="s">
        <v>1129</v>
      </c>
      <c r="Q52" s="466"/>
      <c r="R52" s="467"/>
    </row>
    <row r="53" spans="1:19" s="468" customFormat="1">
      <c r="A53" s="459">
        <v>42223</v>
      </c>
      <c r="B53" s="460"/>
      <c r="C53" s="461">
        <v>1</v>
      </c>
      <c r="D53" s="462">
        <v>1100</v>
      </c>
      <c r="E53" s="463">
        <v>1</v>
      </c>
      <c r="F53" s="462">
        <v>200</v>
      </c>
      <c r="G53" s="464">
        <v>1</v>
      </c>
      <c r="H53" s="462">
        <v>175</v>
      </c>
      <c r="I53" s="462"/>
      <c r="J53" s="462">
        <v>1</v>
      </c>
      <c r="K53" s="462"/>
      <c r="L53" s="462">
        <v>150</v>
      </c>
      <c r="M53" s="462">
        <f t="shared" si="6"/>
        <v>1475</v>
      </c>
      <c r="N53" s="462">
        <f t="shared" si="4"/>
        <v>73.75</v>
      </c>
      <c r="O53" s="462">
        <f t="shared" si="5"/>
        <v>1548.75</v>
      </c>
      <c r="P53" s="1180" t="s">
        <v>1129</v>
      </c>
      <c r="Q53" s="466"/>
      <c r="R53" s="467"/>
    </row>
    <row r="54" spans="1:19" s="468" customFormat="1">
      <c r="A54" s="459">
        <v>42224</v>
      </c>
      <c r="B54" s="460"/>
      <c r="C54" s="461">
        <v>1</v>
      </c>
      <c r="D54" s="462">
        <v>1100</v>
      </c>
      <c r="E54" s="463">
        <v>1</v>
      </c>
      <c r="F54" s="462">
        <v>200</v>
      </c>
      <c r="G54" s="464">
        <v>1</v>
      </c>
      <c r="H54" s="462">
        <v>175</v>
      </c>
      <c r="I54" s="462"/>
      <c r="J54" s="462">
        <v>1</v>
      </c>
      <c r="K54" s="462"/>
      <c r="L54" s="462">
        <v>150</v>
      </c>
      <c r="M54" s="462">
        <f t="shared" si="6"/>
        <v>1475</v>
      </c>
      <c r="N54" s="462">
        <f t="shared" si="4"/>
        <v>73.75</v>
      </c>
      <c r="O54" s="462">
        <f t="shared" si="5"/>
        <v>1548.75</v>
      </c>
      <c r="P54" s="1180" t="s">
        <v>1129</v>
      </c>
      <c r="Q54" s="466"/>
      <c r="R54" s="467"/>
    </row>
    <row r="55" spans="1:19" s="468" customFormat="1">
      <c r="A55" s="459">
        <v>42225</v>
      </c>
      <c r="B55" s="460"/>
      <c r="C55" s="461"/>
      <c r="D55" s="462">
        <v>1100</v>
      </c>
      <c r="E55" s="463"/>
      <c r="F55" s="462">
        <v>200</v>
      </c>
      <c r="G55" s="464">
        <v>1</v>
      </c>
      <c r="H55" s="462">
        <v>175</v>
      </c>
      <c r="I55" s="462"/>
      <c r="J55" s="462">
        <v>1</v>
      </c>
      <c r="K55" s="462"/>
      <c r="L55" s="462">
        <v>150</v>
      </c>
      <c r="M55" s="462">
        <f t="shared" si="6"/>
        <v>175</v>
      </c>
      <c r="N55" s="462">
        <f t="shared" si="4"/>
        <v>8.75</v>
      </c>
      <c r="O55" s="462">
        <f t="shared" si="5"/>
        <v>183.75</v>
      </c>
      <c r="P55" s="1180" t="s">
        <v>1129</v>
      </c>
      <c r="Q55" s="466"/>
      <c r="R55" s="467"/>
    </row>
    <row r="56" spans="1:19" s="468" customFormat="1">
      <c r="A56" s="459">
        <v>42226</v>
      </c>
      <c r="B56" s="460"/>
      <c r="C56" s="461">
        <v>1</v>
      </c>
      <c r="D56" s="462">
        <v>1100</v>
      </c>
      <c r="E56" s="463">
        <v>1</v>
      </c>
      <c r="F56" s="462">
        <v>200</v>
      </c>
      <c r="G56" s="464">
        <v>1</v>
      </c>
      <c r="H56" s="462">
        <v>175</v>
      </c>
      <c r="I56" s="462"/>
      <c r="J56" s="462">
        <v>1</v>
      </c>
      <c r="K56" s="462"/>
      <c r="L56" s="462">
        <v>150</v>
      </c>
      <c r="M56" s="462">
        <f t="shared" si="6"/>
        <v>1475</v>
      </c>
      <c r="N56" s="462">
        <f t="shared" si="4"/>
        <v>73.75</v>
      </c>
      <c r="O56" s="462">
        <f t="shared" si="5"/>
        <v>1548.75</v>
      </c>
      <c r="P56" s="1180" t="s">
        <v>1129</v>
      </c>
      <c r="Q56" s="466"/>
      <c r="R56" s="467"/>
    </row>
    <row r="57" spans="1:19" s="468" customFormat="1">
      <c r="A57" s="459">
        <v>42227</v>
      </c>
      <c r="B57" s="460"/>
      <c r="C57" s="461">
        <v>1</v>
      </c>
      <c r="D57" s="462">
        <v>1100</v>
      </c>
      <c r="E57" s="463">
        <v>1</v>
      </c>
      <c r="F57" s="462">
        <v>200</v>
      </c>
      <c r="G57" s="464">
        <v>1</v>
      </c>
      <c r="H57" s="462">
        <v>175</v>
      </c>
      <c r="I57" s="462"/>
      <c r="J57" s="462">
        <v>1</v>
      </c>
      <c r="K57" s="462"/>
      <c r="L57" s="462">
        <v>150</v>
      </c>
      <c r="M57" s="462">
        <f t="shared" si="6"/>
        <v>1475</v>
      </c>
      <c r="N57" s="462">
        <f t="shared" si="4"/>
        <v>73.75</v>
      </c>
      <c r="O57" s="462">
        <f t="shared" si="5"/>
        <v>1548.75</v>
      </c>
      <c r="P57" s="1180" t="s">
        <v>1129</v>
      </c>
      <c r="Q57" s="466"/>
      <c r="R57" s="467"/>
    </row>
    <row r="58" spans="1:19" s="468" customFormat="1">
      <c r="A58" s="459">
        <v>42228</v>
      </c>
      <c r="B58" s="460"/>
      <c r="C58" s="461">
        <v>1</v>
      </c>
      <c r="D58" s="462">
        <v>1100</v>
      </c>
      <c r="E58" s="463">
        <v>1</v>
      </c>
      <c r="F58" s="462">
        <v>200</v>
      </c>
      <c r="G58" s="464">
        <v>1</v>
      </c>
      <c r="H58" s="462">
        <v>175</v>
      </c>
      <c r="I58" s="462"/>
      <c r="J58" s="462">
        <v>1</v>
      </c>
      <c r="K58" s="462"/>
      <c r="L58" s="462">
        <v>150</v>
      </c>
      <c r="M58" s="462">
        <f t="shared" si="6"/>
        <v>1475</v>
      </c>
      <c r="N58" s="462">
        <f t="shared" si="4"/>
        <v>73.75</v>
      </c>
      <c r="O58" s="462">
        <f t="shared" si="5"/>
        <v>1548.75</v>
      </c>
      <c r="P58" s="1180" t="s">
        <v>1129</v>
      </c>
      <c r="Q58" s="466"/>
      <c r="R58" s="467"/>
    </row>
    <row r="59" spans="1:19" s="468" customFormat="1">
      <c r="A59" s="459">
        <v>42229</v>
      </c>
      <c r="B59" s="460"/>
      <c r="C59" s="461">
        <v>1</v>
      </c>
      <c r="D59" s="462">
        <v>1100</v>
      </c>
      <c r="E59" s="463">
        <v>1</v>
      </c>
      <c r="F59" s="462">
        <v>200</v>
      </c>
      <c r="G59" s="464">
        <v>1</v>
      </c>
      <c r="H59" s="462">
        <v>175</v>
      </c>
      <c r="I59" s="462"/>
      <c r="J59" s="462">
        <v>1</v>
      </c>
      <c r="K59" s="462"/>
      <c r="L59" s="462">
        <v>150</v>
      </c>
      <c r="M59" s="462">
        <f t="shared" si="6"/>
        <v>1475</v>
      </c>
      <c r="N59" s="462">
        <f t="shared" si="4"/>
        <v>73.75</v>
      </c>
      <c r="O59" s="462">
        <f t="shared" si="5"/>
        <v>1548.75</v>
      </c>
      <c r="P59" s="1180" t="s">
        <v>1129</v>
      </c>
      <c r="Q59" s="466"/>
      <c r="R59" s="467"/>
    </row>
    <row r="60" spans="1:19" s="468" customFormat="1">
      <c r="A60" s="459">
        <v>42230</v>
      </c>
      <c r="B60" s="460"/>
      <c r="C60" s="461">
        <v>1</v>
      </c>
      <c r="D60" s="462">
        <v>1100</v>
      </c>
      <c r="E60" s="463">
        <v>1</v>
      </c>
      <c r="F60" s="462">
        <v>200</v>
      </c>
      <c r="G60" s="464">
        <v>1</v>
      </c>
      <c r="H60" s="462">
        <v>175</v>
      </c>
      <c r="I60" s="462"/>
      <c r="J60" s="462">
        <v>1</v>
      </c>
      <c r="K60" s="462"/>
      <c r="L60" s="462">
        <v>150</v>
      </c>
      <c r="M60" s="462">
        <f t="shared" si="6"/>
        <v>1475</v>
      </c>
      <c r="N60" s="462">
        <f t="shared" si="4"/>
        <v>73.75</v>
      </c>
      <c r="O60" s="462">
        <f t="shared" si="5"/>
        <v>1548.75</v>
      </c>
      <c r="P60" s="1180" t="s">
        <v>1129</v>
      </c>
      <c r="Q60" s="466"/>
      <c r="R60" s="469"/>
      <c r="S60" s="470"/>
    </row>
    <row r="61" spans="1:19" s="371" customFormat="1">
      <c r="A61" s="459">
        <v>42231</v>
      </c>
      <c r="B61" s="460"/>
      <c r="C61" s="461">
        <v>1</v>
      </c>
      <c r="D61" s="462">
        <v>1100</v>
      </c>
      <c r="E61" s="463">
        <v>1</v>
      </c>
      <c r="F61" s="462">
        <v>200</v>
      </c>
      <c r="G61" s="464">
        <v>1</v>
      </c>
      <c r="H61" s="462">
        <v>175</v>
      </c>
      <c r="I61" s="462"/>
      <c r="J61" s="462">
        <v>1</v>
      </c>
      <c r="K61" s="462"/>
      <c r="L61" s="462">
        <v>150</v>
      </c>
      <c r="M61" s="462">
        <f t="shared" si="6"/>
        <v>1475</v>
      </c>
      <c r="N61" s="462">
        <f t="shared" si="4"/>
        <v>73.75</v>
      </c>
      <c r="O61" s="462">
        <f t="shared" si="5"/>
        <v>1548.75</v>
      </c>
      <c r="P61" s="1180" t="s">
        <v>1129</v>
      </c>
      <c r="Q61" s="466"/>
      <c r="R61" s="370"/>
    </row>
    <row r="62" spans="1:19" s="371" customFormat="1">
      <c r="A62" s="366">
        <v>42232</v>
      </c>
      <c r="B62" s="367"/>
      <c r="C62" s="387"/>
      <c r="D62" s="123">
        <v>1100</v>
      </c>
      <c r="E62" s="122"/>
      <c r="F62" s="123">
        <v>200</v>
      </c>
      <c r="G62" s="124">
        <v>1</v>
      </c>
      <c r="H62" s="123">
        <v>175</v>
      </c>
      <c r="I62" s="123"/>
      <c r="J62" s="123">
        <v>1</v>
      </c>
      <c r="K62" s="123"/>
      <c r="L62" s="123">
        <v>150</v>
      </c>
      <c r="M62" s="123">
        <f t="shared" si="6"/>
        <v>175</v>
      </c>
      <c r="N62" s="123">
        <f t="shared" si="4"/>
        <v>8.75</v>
      </c>
      <c r="O62" s="123">
        <f t="shared" si="5"/>
        <v>183.75</v>
      </c>
      <c r="P62" s="1181" t="s">
        <v>1128</v>
      </c>
      <c r="Q62" s="128"/>
      <c r="R62" s="370"/>
    </row>
    <row r="63" spans="1:19" s="371" customFormat="1">
      <c r="A63" s="366">
        <v>42233</v>
      </c>
      <c r="B63" s="367"/>
      <c r="C63" s="387">
        <v>1</v>
      </c>
      <c r="D63" s="123">
        <v>1100</v>
      </c>
      <c r="E63" s="122">
        <v>1</v>
      </c>
      <c r="F63" s="123">
        <v>200</v>
      </c>
      <c r="G63" s="124">
        <v>1</v>
      </c>
      <c r="H63" s="123">
        <v>175</v>
      </c>
      <c r="I63" s="123"/>
      <c r="J63" s="123">
        <v>1</v>
      </c>
      <c r="K63" s="123"/>
      <c r="L63" s="123">
        <v>150</v>
      </c>
      <c r="M63" s="123">
        <f t="shared" si="6"/>
        <v>1475</v>
      </c>
      <c r="N63" s="123">
        <f t="shared" si="4"/>
        <v>73.75</v>
      </c>
      <c r="O63" s="123">
        <f t="shared" si="5"/>
        <v>1548.75</v>
      </c>
      <c r="P63" s="1181" t="s">
        <v>1128</v>
      </c>
      <c r="Q63" s="128"/>
      <c r="R63" s="370"/>
    </row>
    <row r="64" spans="1:19" s="371" customFormat="1">
      <c r="A64" s="366">
        <v>42234</v>
      </c>
      <c r="B64" s="367"/>
      <c r="C64" s="387">
        <v>1</v>
      </c>
      <c r="D64" s="123">
        <v>1100</v>
      </c>
      <c r="E64" s="122">
        <v>1</v>
      </c>
      <c r="F64" s="123">
        <v>200</v>
      </c>
      <c r="G64" s="124">
        <v>1</v>
      </c>
      <c r="H64" s="123">
        <v>175</v>
      </c>
      <c r="I64" s="123"/>
      <c r="J64" s="123">
        <v>1</v>
      </c>
      <c r="K64" s="123"/>
      <c r="L64" s="123">
        <v>150</v>
      </c>
      <c r="M64" s="123">
        <f t="shared" ref="M64:M77" si="7">(C64*D64)+(E64*F64)+(G64*H64)+(I64*J64)+(K64*L64)</f>
        <v>1475</v>
      </c>
      <c r="N64" s="123">
        <f t="shared" ref="N64:N77" si="8">(M64*5%)</f>
        <v>73.75</v>
      </c>
      <c r="O64" s="123">
        <f t="shared" ref="O64:O77" si="9">SUM(M64+N64)</f>
        <v>1548.75</v>
      </c>
      <c r="P64" s="1181" t="s">
        <v>1128</v>
      </c>
      <c r="Q64" s="128"/>
      <c r="R64" s="370"/>
    </row>
    <row r="65" spans="1:18" s="371" customFormat="1">
      <c r="A65" s="366">
        <v>42235</v>
      </c>
      <c r="B65" s="367"/>
      <c r="C65" s="387"/>
      <c r="D65" s="123">
        <v>1100</v>
      </c>
      <c r="E65" s="122"/>
      <c r="F65" s="123">
        <v>200</v>
      </c>
      <c r="G65" s="124"/>
      <c r="H65" s="123">
        <v>175</v>
      </c>
      <c r="I65" s="123"/>
      <c r="J65" s="123">
        <v>1</v>
      </c>
      <c r="K65" s="123"/>
      <c r="L65" s="123">
        <v>150</v>
      </c>
      <c r="M65" s="123">
        <f t="shared" si="7"/>
        <v>0</v>
      </c>
      <c r="N65" s="123">
        <f t="shared" si="8"/>
        <v>0</v>
      </c>
      <c r="O65" s="123">
        <f t="shared" si="9"/>
        <v>0</v>
      </c>
      <c r="P65" s="1181" t="s">
        <v>1128</v>
      </c>
      <c r="Q65" s="128"/>
      <c r="R65" s="370"/>
    </row>
    <row r="66" spans="1:18" s="371" customFormat="1">
      <c r="A66" s="366">
        <v>42240</v>
      </c>
      <c r="B66" s="367"/>
      <c r="C66" s="387">
        <v>0</v>
      </c>
      <c r="D66" s="123">
        <v>1100</v>
      </c>
      <c r="E66" s="122"/>
      <c r="F66" s="123">
        <v>200</v>
      </c>
      <c r="G66" s="124"/>
      <c r="H66" s="123">
        <v>175</v>
      </c>
      <c r="I66" s="123"/>
      <c r="J66" s="123">
        <v>1</v>
      </c>
      <c r="K66" s="123"/>
      <c r="L66" s="123">
        <v>150</v>
      </c>
      <c r="M66" s="123">
        <f t="shared" si="7"/>
        <v>0</v>
      </c>
      <c r="N66" s="123">
        <f t="shared" si="8"/>
        <v>0</v>
      </c>
      <c r="O66" s="123">
        <f t="shared" si="9"/>
        <v>0</v>
      </c>
      <c r="P66" s="1181" t="s">
        <v>1128</v>
      </c>
      <c r="Q66" s="128"/>
      <c r="R66" s="370"/>
    </row>
    <row r="67" spans="1:18" s="371" customFormat="1">
      <c r="A67" s="366">
        <v>42241</v>
      </c>
      <c r="B67" s="367"/>
      <c r="C67" s="368">
        <v>1</v>
      </c>
      <c r="D67" s="123">
        <v>1100</v>
      </c>
      <c r="E67" s="124">
        <v>1</v>
      </c>
      <c r="F67" s="123">
        <v>200</v>
      </c>
      <c r="G67" s="124">
        <v>1</v>
      </c>
      <c r="H67" s="123">
        <v>175</v>
      </c>
      <c r="I67" s="123"/>
      <c r="J67" s="123">
        <v>1</v>
      </c>
      <c r="K67" s="123"/>
      <c r="L67" s="123">
        <v>150</v>
      </c>
      <c r="M67" s="123">
        <f t="shared" si="7"/>
        <v>1475</v>
      </c>
      <c r="N67" s="123">
        <f t="shared" si="8"/>
        <v>73.75</v>
      </c>
      <c r="O67" s="123">
        <f t="shared" si="9"/>
        <v>1548.75</v>
      </c>
      <c r="P67" s="1181" t="s">
        <v>1128</v>
      </c>
      <c r="Q67" s="128"/>
      <c r="R67" s="370"/>
    </row>
    <row r="68" spans="1:18" s="371" customFormat="1">
      <c r="A68" s="366">
        <v>42242</v>
      </c>
      <c r="B68" s="367"/>
      <c r="C68" s="368">
        <v>1</v>
      </c>
      <c r="D68" s="123">
        <v>1100</v>
      </c>
      <c r="E68" s="124">
        <v>1</v>
      </c>
      <c r="F68" s="123">
        <v>200</v>
      </c>
      <c r="G68" s="124">
        <v>1</v>
      </c>
      <c r="H68" s="123">
        <v>175</v>
      </c>
      <c r="I68" s="123"/>
      <c r="J68" s="123">
        <v>1</v>
      </c>
      <c r="K68" s="123"/>
      <c r="L68" s="123">
        <v>150</v>
      </c>
      <c r="M68" s="123">
        <f t="shared" si="7"/>
        <v>1475</v>
      </c>
      <c r="N68" s="123">
        <f t="shared" si="8"/>
        <v>73.75</v>
      </c>
      <c r="O68" s="123">
        <f t="shared" si="9"/>
        <v>1548.75</v>
      </c>
      <c r="P68" s="1181" t="s">
        <v>1128</v>
      </c>
      <c r="Q68" s="128"/>
      <c r="R68" s="370"/>
    </row>
    <row r="69" spans="1:18" s="371" customFormat="1">
      <c r="A69" s="366">
        <v>42243</v>
      </c>
      <c r="B69" s="367"/>
      <c r="C69" s="368">
        <v>1</v>
      </c>
      <c r="D69" s="123">
        <v>1100</v>
      </c>
      <c r="E69" s="124">
        <v>1</v>
      </c>
      <c r="F69" s="123">
        <v>200</v>
      </c>
      <c r="G69" s="124">
        <v>1</v>
      </c>
      <c r="H69" s="123">
        <v>175</v>
      </c>
      <c r="I69" s="123"/>
      <c r="J69" s="123">
        <v>1</v>
      </c>
      <c r="K69" s="123"/>
      <c r="L69" s="123">
        <v>150</v>
      </c>
      <c r="M69" s="123">
        <f t="shared" si="7"/>
        <v>1475</v>
      </c>
      <c r="N69" s="123">
        <f t="shared" si="8"/>
        <v>73.75</v>
      </c>
      <c r="O69" s="123">
        <f t="shared" si="9"/>
        <v>1548.75</v>
      </c>
      <c r="P69" s="1181" t="s">
        <v>1128</v>
      </c>
      <c r="Q69" s="128"/>
      <c r="R69" s="370"/>
    </row>
    <row r="70" spans="1:18" s="371" customFormat="1">
      <c r="A70" s="366">
        <v>42244</v>
      </c>
      <c r="B70" s="367"/>
      <c r="C70" s="368">
        <v>1</v>
      </c>
      <c r="D70" s="123">
        <v>1100</v>
      </c>
      <c r="E70" s="124">
        <v>1</v>
      </c>
      <c r="F70" s="123">
        <v>200</v>
      </c>
      <c r="G70" s="124">
        <v>1</v>
      </c>
      <c r="H70" s="123">
        <v>175</v>
      </c>
      <c r="I70" s="123"/>
      <c r="J70" s="123">
        <v>1</v>
      </c>
      <c r="K70" s="123"/>
      <c r="L70" s="123">
        <v>150</v>
      </c>
      <c r="M70" s="123">
        <f t="shared" si="7"/>
        <v>1475</v>
      </c>
      <c r="N70" s="123">
        <f t="shared" si="8"/>
        <v>73.75</v>
      </c>
      <c r="O70" s="123">
        <f t="shared" si="9"/>
        <v>1548.75</v>
      </c>
      <c r="P70" s="1181" t="s">
        <v>1128</v>
      </c>
      <c r="Q70" s="128"/>
      <c r="R70" s="370"/>
    </row>
    <row r="71" spans="1:18" s="371" customFormat="1">
      <c r="A71" s="366">
        <v>42245</v>
      </c>
      <c r="B71" s="367"/>
      <c r="C71" s="368">
        <v>1</v>
      </c>
      <c r="D71" s="123">
        <v>1100</v>
      </c>
      <c r="E71" s="124">
        <v>1</v>
      </c>
      <c r="F71" s="123">
        <v>200</v>
      </c>
      <c r="G71" s="124">
        <v>1</v>
      </c>
      <c r="H71" s="123">
        <v>175</v>
      </c>
      <c r="I71" s="123"/>
      <c r="J71" s="123">
        <v>1</v>
      </c>
      <c r="K71" s="123"/>
      <c r="L71" s="123">
        <v>150</v>
      </c>
      <c r="M71" s="123">
        <f t="shared" si="7"/>
        <v>1475</v>
      </c>
      <c r="N71" s="123">
        <f t="shared" si="8"/>
        <v>73.75</v>
      </c>
      <c r="O71" s="123">
        <f t="shared" si="9"/>
        <v>1548.75</v>
      </c>
      <c r="P71" s="1181" t="s">
        <v>1128</v>
      </c>
      <c r="Q71" s="128"/>
      <c r="R71" s="370"/>
    </row>
    <row r="72" spans="1:18" s="371" customFormat="1">
      <c r="A72" s="366">
        <v>42246</v>
      </c>
      <c r="B72" s="367"/>
      <c r="C72" s="368"/>
      <c r="D72" s="123">
        <v>1100</v>
      </c>
      <c r="E72" s="124"/>
      <c r="F72" s="123">
        <v>200</v>
      </c>
      <c r="G72" s="124">
        <v>1</v>
      </c>
      <c r="H72" s="123">
        <v>175</v>
      </c>
      <c r="I72" s="123"/>
      <c r="J72" s="123">
        <v>1</v>
      </c>
      <c r="K72" s="123"/>
      <c r="L72" s="123">
        <v>150</v>
      </c>
      <c r="M72" s="123">
        <f t="shared" si="7"/>
        <v>175</v>
      </c>
      <c r="N72" s="123">
        <f t="shared" si="8"/>
        <v>8.75</v>
      </c>
      <c r="O72" s="123">
        <f t="shared" si="9"/>
        <v>183.75</v>
      </c>
      <c r="P72" s="1181" t="s">
        <v>1128</v>
      </c>
      <c r="Q72" s="128"/>
      <c r="R72" s="370"/>
    </row>
    <row r="73" spans="1:18" s="384" customFormat="1">
      <c r="A73" s="366">
        <v>42247</v>
      </c>
      <c r="B73" s="367"/>
      <c r="C73" s="368">
        <v>1</v>
      </c>
      <c r="D73" s="123">
        <v>1100</v>
      </c>
      <c r="E73" s="124">
        <v>1</v>
      </c>
      <c r="F73" s="123">
        <v>200</v>
      </c>
      <c r="G73" s="124">
        <v>1</v>
      </c>
      <c r="H73" s="123">
        <v>175</v>
      </c>
      <c r="I73" s="123"/>
      <c r="J73" s="123">
        <v>1</v>
      </c>
      <c r="K73" s="123"/>
      <c r="L73" s="123">
        <v>150</v>
      </c>
      <c r="M73" s="123">
        <f t="shared" si="7"/>
        <v>1475</v>
      </c>
      <c r="N73" s="123">
        <f t="shared" si="8"/>
        <v>73.75</v>
      </c>
      <c r="O73" s="123">
        <f t="shared" si="9"/>
        <v>1548.75</v>
      </c>
      <c r="P73" s="1181" t="s">
        <v>1128</v>
      </c>
      <c r="Q73" s="128"/>
      <c r="R73" s="383"/>
    </row>
    <row r="74" spans="1:18" s="384" customFormat="1">
      <c r="A74" s="373">
        <v>42248</v>
      </c>
      <c r="B74" s="374"/>
      <c r="C74" s="375">
        <v>1</v>
      </c>
      <c r="D74" s="376">
        <v>1100</v>
      </c>
      <c r="E74" s="379">
        <v>1</v>
      </c>
      <c r="F74" s="376">
        <v>200</v>
      </c>
      <c r="G74" s="379">
        <v>1</v>
      </c>
      <c r="H74" s="376">
        <v>175</v>
      </c>
      <c r="I74" s="376"/>
      <c r="J74" s="376">
        <v>1</v>
      </c>
      <c r="K74" s="376"/>
      <c r="L74" s="376">
        <v>150</v>
      </c>
      <c r="M74" s="376">
        <f t="shared" si="7"/>
        <v>1475</v>
      </c>
      <c r="N74" s="376">
        <f t="shared" si="8"/>
        <v>73.75</v>
      </c>
      <c r="O74" s="376">
        <f t="shared" si="9"/>
        <v>1548.75</v>
      </c>
      <c r="P74" s="858" t="s">
        <v>1127</v>
      </c>
      <c r="Q74" s="382"/>
      <c r="R74" s="383"/>
    </row>
    <row r="75" spans="1:18" s="384" customFormat="1">
      <c r="A75" s="373">
        <v>42249</v>
      </c>
      <c r="B75" s="374"/>
      <c r="C75" s="375">
        <v>1</v>
      </c>
      <c r="D75" s="376">
        <v>1100</v>
      </c>
      <c r="E75" s="379">
        <v>1</v>
      </c>
      <c r="F75" s="376">
        <v>200</v>
      </c>
      <c r="G75" s="379">
        <v>1</v>
      </c>
      <c r="H75" s="376">
        <v>175</v>
      </c>
      <c r="I75" s="376"/>
      <c r="J75" s="376">
        <v>1</v>
      </c>
      <c r="K75" s="376"/>
      <c r="L75" s="376">
        <v>150</v>
      </c>
      <c r="M75" s="376">
        <f t="shared" si="7"/>
        <v>1475</v>
      </c>
      <c r="N75" s="376">
        <f t="shared" si="8"/>
        <v>73.75</v>
      </c>
      <c r="O75" s="376">
        <f t="shared" si="9"/>
        <v>1548.75</v>
      </c>
      <c r="P75" s="858" t="s">
        <v>1127</v>
      </c>
      <c r="Q75" s="382"/>
      <c r="R75" s="383"/>
    </row>
    <row r="76" spans="1:18" s="384" customFormat="1">
      <c r="A76" s="373">
        <v>42250</v>
      </c>
      <c r="B76" s="374"/>
      <c r="C76" s="375">
        <v>1</v>
      </c>
      <c r="D76" s="376">
        <v>1100</v>
      </c>
      <c r="E76" s="379">
        <v>1</v>
      </c>
      <c r="F76" s="376">
        <v>200</v>
      </c>
      <c r="G76" s="379">
        <v>1</v>
      </c>
      <c r="H76" s="376">
        <v>175</v>
      </c>
      <c r="I76" s="376"/>
      <c r="J76" s="376">
        <v>1</v>
      </c>
      <c r="K76" s="376"/>
      <c r="L76" s="376">
        <v>150</v>
      </c>
      <c r="M76" s="376">
        <f t="shared" si="7"/>
        <v>1475</v>
      </c>
      <c r="N76" s="376">
        <f t="shared" si="8"/>
        <v>73.75</v>
      </c>
      <c r="O76" s="376">
        <f t="shared" si="9"/>
        <v>1548.75</v>
      </c>
      <c r="P76" s="858" t="s">
        <v>1127</v>
      </c>
      <c r="Q76" s="382"/>
      <c r="R76" s="383"/>
    </row>
    <row r="77" spans="1:18">
      <c r="A77" s="373">
        <v>42251</v>
      </c>
      <c r="B77" s="374"/>
      <c r="C77" s="375">
        <v>1</v>
      </c>
      <c r="D77" s="376">
        <v>1100</v>
      </c>
      <c r="E77" s="379">
        <v>1</v>
      </c>
      <c r="F77" s="376">
        <v>200</v>
      </c>
      <c r="G77" s="379"/>
      <c r="H77" s="376">
        <v>175</v>
      </c>
      <c r="I77" s="376">
        <v>150</v>
      </c>
      <c r="J77" s="376">
        <v>1</v>
      </c>
      <c r="K77" s="376"/>
      <c r="L77" s="376">
        <v>150</v>
      </c>
      <c r="M77" s="376">
        <f t="shared" si="7"/>
        <v>1450</v>
      </c>
      <c r="N77" s="376">
        <f t="shared" si="8"/>
        <v>72.5</v>
      </c>
      <c r="O77" s="376">
        <f t="shared" si="9"/>
        <v>1522.5</v>
      </c>
      <c r="P77" s="858" t="s">
        <v>1127</v>
      </c>
      <c r="Q77" s="382"/>
    </row>
    <row r="78" spans="1:18">
      <c r="P78" s="46"/>
    </row>
    <row r="79" spans="1:18">
      <c r="P79" s="46"/>
    </row>
    <row r="80" spans="1:18">
      <c r="P80" s="46"/>
    </row>
    <row r="81" spans="16:16">
      <c r="P81" s="46"/>
    </row>
    <row r="82" spans="16:16">
      <c r="P82" s="46"/>
    </row>
    <row r="83" spans="16:16">
      <c r="P83" s="46"/>
    </row>
    <row r="84" spans="16:16">
      <c r="P84" s="46"/>
    </row>
    <row r="85" spans="16:16">
      <c r="P85" s="46"/>
    </row>
  </sheetData>
  <autoFilter ref="A4:S4"/>
  <phoneticPr fontId="3" type="noConversion"/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0"/>
  </sheetPr>
  <dimension ref="A1:AC1048212"/>
  <sheetViews>
    <sheetView workbookViewId="0">
      <pane ySplit="5" topLeftCell="A6" activePane="bottomLeft" state="frozen"/>
      <selection activeCell="K94" sqref="K94"/>
      <selection pane="bottomLeft" activeCell="A9" sqref="A9"/>
    </sheetView>
  </sheetViews>
  <sheetFormatPr baseColWidth="10" defaultColWidth="8.83203125" defaultRowHeight="12" x14ac:dyDescent="0.75"/>
  <cols>
    <col min="1" max="1" width="11.6640625" style="291" bestFit="1" customWidth="1"/>
    <col min="2" max="3" width="11.83203125" style="53" hidden="1" customWidth="1"/>
    <col min="4" max="4" width="8.83203125" style="291"/>
    <col min="5" max="5" width="10.33203125" style="25" bestFit="1" customWidth="1"/>
    <col min="6" max="6" width="8.83203125" style="25"/>
    <col min="7" max="7" width="11.1640625" style="25" customWidth="1"/>
    <col min="8" max="8" width="8.83203125" style="25"/>
    <col min="9" max="9" width="11" style="25" hidden="1" customWidth="1"/>
    <col min="10" max="17" width="9.1640625" style="25" hidden="1" customWidth="1"/>
    <col min="18" max="18" width="12.5" style="25" hidden="1" customWidth="1"/>
    <col min="19" max="19" width="9.1640625" style="291" customWidth="1"/>
    <col min="20" max="20" width="15" style="28" customWidth="1"/>
    <col min="21" max="21" width="8.83203125" style="291"/>
    <col min="22" max="22" width="11.33203125" style="291" customWidth="1"/>
    <col min="23" max="23" width="10.33203125" style="291" bestFit="1" customWidth="1"/>
    <col min="24" max="24" width="12.83203125" style="291" customWidth="1"/>
    <col min="25" max="25" width="8.83203125" style="291"/>
    <col min="26" max="26" width="14.33203125" style="65" bestFit="1" customWidth="1"/>
    <col min="27" max="27" width="11" style="291" customWidth="1"/>
    <col min="28" max="28" width="12.5" customWidth="1"/>
  </cols>
  <sheetData>
    <row r="1" spans="1:29">
      <c r="A1" s="24"/>
      <c r="B1" s="42"/>
      <c r="C1" s="42"/>
      <c r="D1" s="30"/>
      <c r="S1" s="30"/>
      <c r="U1" s="25"/>
      <c r="V1" s="25"/>
      <c r="W1" s="25"/>
      <c r="X1" s="25"/>
      <c r="Y1" s="25"/>
    </row>
    <row r="2" spans="1:29">
      <c r="A2" s="100" t="s">
        <v>1072</v>
      </c>
      <c r="B2" s="42"/>
      <c r="C2" s="42"/>
      <c r="D2" s="30"/>
      <c r="S2" s="30"/>
      <c r="U2" s="25"/>
      <c r="V2" s="25"/>
      <c r="W2" s="25"/>
      <c r="X2" s="25"/>
      <c r="Y2" s="25"/>
    </row>
    <row r="3" spans="1:29">
      <c r="A3" s="24"/>
      <c r="B3" s="42"/>
      <c r="C3" s="42"/>
      <c r="D3" s="30"/>
      <c r="S3" s="30"/>
      <c r="U3" s="25"/>
      <c r="V3" s="25"/>
      <c r="W3" s="25"/>
      <c r="X3" s="25"/>
      <c r="Y3" s="25"/>
    </row>
    <row r="4" spans="1:29" ht="51.75" customHeight="1">
      <c r="A4" s="36" t="s">
        <v>0</v>
      </c>
      <c r="B4" s="43" t="s">
        <v>18</v>
      </c>
      <c r="C4" s="43" t="s">
        <v>19</v>
      </c>
      <c r="D4" s="1161" t="s">
        <v>1072</v>
      </c>
      <c r="E4" s="40" t="s">
        <v>310</v>
      </c>
      <c r="F4" s="40" t="s">
        <v>97</v>
      </c>
      <c r="G4" s="304" t="s">
        <v>311</v>
      </c>
      <c r="H4" s="40" t="s">
        <v>313</v>
      </c>
      <c r="I4" s="40"/>
      <c r="J4" s="40"/>
      <c r="K4" s="40"/>
      <c r="L4" s="40"/>
      <c r="M4" s="40"/>
      <c r="N4" s="40"/>
      <c r="O4" s="40"/>
      <c r="P4" s="40"/>
      <c r="Q4" s="40"/>
      <c r="R4" s="40"/>
      <c r="S4" s="41" t="s">
        <v>17</v>
      </c>
      <c r="T4" s="45" t="s">
        <v>20</v>
      </c>
      <c r="U4" s="40" t="s">
        <v>12</v>
      </c>
      <c r="V4" s="40" t="s">
        <v>13</v>
      </c>
      <c r="W4" s="40" t="s">
        <v>14</v>
      </c>
      <c r="X4" s="40" t="s">
        <v>9</v>
      </c>
      <c r="Y4" s="40" t="s">
        <v>15</v>
      </c>
      <c r="Z4" s="54" t="s">
        <v>7</v>
      </c>
      <c r="AA4" s="55" t="s">
        <v>16</v>
      </c>
    </row>
    <row r="5" spans="1:29" s="2" customFormat="1">
      <c r="A5" s="303" t="s">
        <v>312</v>
      </c>
      <c r="B5" s="294"/>
      <c r="C5" s="294"/>
      <c r="D5" s="122"/>
      <c r="E5" s="123">
        <v>1100</v>
      </c>
      <c r="F5" s="125">
        <v>200</v>
      </c>
      <c r="G5" s="123">
        <v>1</v>
      </c>
      <c r="H5" s="123">
        <v>1</v>
      </c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4"/>
      <c r="T5" s="127"/>
      <c r="U5" s="123"/>
      <c r="V5" s="301"/>
      <c r="W5" s="301"/>
      <c r="X5" s="301"/>
      <c r="Y5" s="124"/>
      <c r="Z5" s="128"/>
      <c r="AA5" s="302">
        <f>SUM(V5:V133)</f>
        <v>36050</v>
      </c>
    </row>
    <row r="6" spans="1:29" s="136" customFormat="1">
      <c r="A6" s="157">
        <v>42225</v>
      </c>
      <c r="B6" s="130"/>
      <c r="C6" s="130"/>
      <c r="D6" s="131">
        <v>1</v>
      </c>
      <c r="E6" s="133">
        <v>1</v>
      </c>
      <c r="F6" s="131">
        <v>1</v>
      </c>
      <c r="G6" s="133">
        <v>175</v>
      </c>
      <c r="H6" s="131">
        <v>150</v>
      </c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9"/>
      <c r="U6" s="132"/>
      <c r="V6" s="132">
        <f t="shared" ref="V6:V23" si="0">SUM(E6*$E$5+F6*$F$5+G6*$G$5+H6*$H$5+I6*$I$5+J6*$J$5+K6*$K$5)</f>
        <v>1625</v>
      </c>
      <c r="W6" s="132">
        <f t="shared" ref="W6:W23" si="1">(V6*5%)</f>
        <v>81.25</v>
      </c>
      <c r="X6" s="132">
        <f>SUM(V6+W6)</f>
        <v>1706.25</v>
      </c>
      <c r="Y6" s="133">
        <v>31</v>
      </c>
      <c r="Z6" s="141"/>
      <c r="AA6" s="145"/>
    </row>
    <row r="7" spans="1:29" s="136" customFormat="1">
      <c r="A7" s="157">
        <v>42226</v>
      </c>
      <c r="B7" s="130"/>
      <c r="C7" s="130"/>
      <c r="D7" s="131">
        <v>1</v>
      </c>
      <c r="E7" s="133">
        <v>1</v>
      </c>
      <c r="F7" s="131">
        <v>1</v>
      </c>
      <c r="G7" s="133">
        <v>175</v>
      </c>
      <c r="H7" s="131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9"/>
      <c r="U7" s="132"/>
      <c r="V7" s="132">
        <f t="shared" si="0"/>
        <v>1475</v>
      </c>
      <c r="W7" s="132">
        <f t="shared" si="1"/>
        <v>73.75</v>
      </c>
      <c r="X7" s="132">
        <f>SUM(V7+W7)</f>
        <v>1548.75</v>
      </c>
      <c r="Y7" s="133">
        <v>31</v>
      </c>
      <c r="Z7" s="141"/>
      <c r="AA7" s="145"/>
    </row>
    <row r="8" spans="1:29" s="136" customFormat="1">
      <c r="A8" s="157">
        <v>42227</v>
      </c>
      <c r="B8" s="130"/>
      <c r="C8" s="130"/>
      <c r="D8" s="131">
        <v>1</v>
      </c>
      <c r="E8" s="133">
        <v>1</v>
      </c>
      <c r="F8" s="131">
        <v>1</v>
      </c>
      <c r="G8" s="133">
        <v>175</v>
      </c>
      <c r="H8" s="131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9"/>
      <c r="U8" s="132"/>
      <c r="V8" s="132">
        <f t="shared" si="0"/>
        <v>1475</v>
      </c>
      <c r="W8" s="132">
        <f t="shared" si="1"/>
        <v>73.75</v>
      </c>
      <c r="X8" s="132">
        <f>SUM(V8+W8)</f>
        <v>1548.75</v>
      </c>
      <c r="Y8" s="133">
        <v>31</v>
      </c>
      <c r="Z8" s="141"/>
      <c r="AA8" s="145"/>
    </row>
    <row r="9" spans="1:29" s="136" customFormat="1">
      <c r="A9" s="157">
        <v>42228</v>
      </c>
      <c r="B9" s="130"/>
      <c r="C9" s="130"/>
      <c r="D9" s="131">
        <v>1</v>
      </c>
      <c r="E9" s="133">
        <v>1</v>
      </c>
      <c r="F9" s="131">
        <v>1</v>
      </c>
      <c r="G9" s="133">
        <v>175</v>
      </c>
      <c r="H9" s="131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9"/>
      <c r="U9" s="132"/>
      <c r="V9" s="132">
        <f t="shared" si="0"/>
        <v>1475</v>
      </c>
      <c r="W9" s="132">
        <f t="shared" si="1"/>
        <v>73.75</v>
      </c>
      <c r="X9" s="132">
        <f t="shared" ref="X9:X23" si="2">SUM(V9+W9)</f>
        <v>1548.75</v>
      </c>
      <c r="Y9" s="133">
        <v>31</v>
      </c>
      <c r="Z9" s="141"/>
      <c r="AA9" s="145"/>
    </row>
    <row r="10" spans="1:29" s="136" customFormat="1">
      <c r="A10" s="157">
        <v>42229</v>
      </c>
      <c r="B10" s="130"/>
      <c r="C10" s="130"/>
      <c r="D10" s="131">
        <v>1</v>
      </c>
      <c r="E10" s="133">
        <v>1</v>
      </c>
      <c r="F10" s="131">
        <v>1</v>
      </c>
      <c r="G10" s="133">
        <v>175</v>
      </c>
      <c r="H10" s="131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9"/>
      <c r="U10" s="132"/>
      <c r="V10" s="132">
        <f t="shared" si="0"/>
        <v>1475</v>
      </c>
      <c r="W10" s="132">
        <f t="shared" si="1"/>
        <v>73.75</v>
      </c>
      <c r="X10" s="132">
        <f t="shared" si="2"/>
        <v>1548.75</v>
      </c>
      <c r="Y10" s="133">
        <v>31</v>
      </c>
      <c r="Z10" s="141"/>
      <c r="AA10" s="145"/>
      <c r="AB10" s="147"/>
    </row>
    <row r="11" spans="1:29" s="136" customFormat="1">
      <c r="A11" s="157">
        <v>42230</v>
      </c>
      <c r="B11" s="130"/>
      <c r="C11" s="130"/>
      <c r="D11" s="131">
        <v>1</v>
      </c>
      <c r="E11" s="133">
        <v>1</v>
      </c>
      <c r="F11" s="131">
        <v>1</v>
      </c>
      <c r="G11" s="133">
        <v>175</v>
      </c>
      <c r="H11" s="131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9"/>
      <c r="U11" s="132"/>
      <c r="V11" s="132">
        <f t="shared" si="0"/>
        <v>1475</v>
      </c>
      <c r="W11" s="132">
        <f t="shared" si="1"/>
        <v>73.75</v>
      </c>
      <c r="X11" s="132">
        <f t="shared" si="2"/>
        <v>1548.75</v>
      </c>
      <c r="Y11" s="133">
        <v>31</v>
      </c>
      <c r="Z11" s="141"/>
      <c r="AA11" s="145"/>
    </row>
    <row r="12" spans="1:29" s="136" customFormat="1">
      <c r="A12" s="157">
        <v>42231</v>
      </c>
      <c r="B12" s="130"/>
      <c r="C12" s="130"/>
      <c r="D12" s="131">
        <v>1</v>
      </c>
      <c r="E12" s="133">
        <v>1</v>
      </c>
      <c r="F12" s="131">
        <v>1</v>
      </c>
      <c r="G12" s="133">
        <v>175</v>
      </c>
      <c r="H12" s="131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9"/>
      <c r="U12" s="132"/>
      <c r="V12" s="132">
        <f t="shared" si="0"/>
        <v>1475</v>
      </c>
      <c r="W12" s="132">
        <f t="shared" si="1"/>
        <v>73.75</v>
      </c>
      <c r="X12" s="132">
        <f t="shared" si="2"/>
        <v>1548.75</v>
      </c>
      <c r="Y12" s="133">
        <v>31</v>
      </c>
      <c r="Z12" s="141"/>
      <c r="AA12" s="145"/>
      <c r="AB12" s="906"/>
      <c r="AC12" s="907"/>
    </row>
    <row r="13" spans="1:29" s="192" customFormat="1">
      <c r="A13" s="184">
        <v>42232</v>
      </c>
      <c r="B13" s="185"/>
      <c r="C13" s="185"/>
      <c r="D13" s="187">
        <v>0</v>
      </c>
      <c r="E13" s="186">
        <v>0</v>
      </c>
      <c r="F13" s="187">
        <v>0</v>
      </c>
      <c r="G13" s="186">
        <v>175</v>
      </c>
      <c r="H13" s="187"/>
      <c r="I13" s="186"/>
      <c r="J13" s="186"/>
      <c r="K13" s="186"/>
      <c r="L13" s="186"/>
      <c r="M13" s="186"/>
      <c r="N13" s="186"/>
      <c r="O13" s="186"/>
      <c r="P13" s="186"/>
      <c r="Q13" s="186"/>
      <c r="R13" s="186"/>
      <c r="S13" s="186"/>
      <c r="T13" s="189"/>
      <c r="U13" s="188"/>
      <c r="V13" s="188">
        <f t="shared" si="0"/>
        <v>175</v>
      </c>
      <c r="W13" s="188">
        <f t="shared" si="1"/>
        <v>8.75</v>
      </c>
      <c r="X13" s="188">
        <f t="shared" si="2"/>
        <v>183.75</v>
      </c>
      <c r="Y13" s="186">
        <v>32</v>
      </c>
      <c r="Z13" s="190"/>
      <c r="AA13" s="860"/>
    </row>
    <row r="14" spans="1:29" s="192" customFormat="1">
      <c r="A14" s="184">
        <v>42233</v>
      </c>
      <c r="B14" s="185"/>
      <c r="C14" s="185"/>
      <c r="D14" s="187">
        <v>1</v>
      </c>
      <c r="E14" s="186">
        <v>1</v>
      </c>
      <c r="F14" s="187">
        <v>1</v>
      </c>
      <c r="G14" s="186">
        <v>175</v>
      </c>
      <c r="H14" s="187"/>
      <c r="I14" s="186"/>
      <c r="J14" s="186"/>
      <c r="K14" s="186"/>
      <c r="L14" s="186"/>
      <c r="M14" s="186"/>
      <c r="N14" s="186"/>
      <c r="O14" s="186"/>
      <c r="P14" s="186"/>
      <c r="Q14" s="186"/>
      <c r="R14" s="186"/>
      <c r="S14" s="186"/>
      <c r="T14" s="189"/>
      <c r="U14" s="188"/>
      <c r="V14" s="188">
        <f t="shared" si="0"/>
        <v>1475</v>
      </c>
      <c r="W14" s="188">
        <f t="shared" si="1"/>
        <v>73.75</v>
      </c>
      <c r="X14" s="188">
        <f t="shared" si="2"/>
        <v>1548.75</v>
      </c>
      <c r="Y14" s="186">
        <v>32</v>
      </c>
      <c r="Z14" s="190"/>
      <c r="AA14" s="860"/>
      <c r="AB14" s="762"/>
    </row>
    <row r="15" spans="1:29" s="192" customFormat="1">
      <c r="A15" s="184">
        <v>42234</v>
      </c>
      <c r="B15" s="185"/>
      <c r="C15" s="185"/>
      <c r="D15" s="187">
        <v>1</v>
      </c>
      <c r="E15" s="186">
        <v>1</v>
      </c>
      <c r="F15" s="187">
        <v>1</v>
      </c>
      <c r="G15" s="186">
        <v>175</v>
      </c>
      <c r="H15" s="186"/>
      <c r="I15" s="186"/>
      <c r="J15" s="186"/>
      <c r="K15" s="186"/>
      <c r="L15" s="186"/>
      <c r="M15" s="186"/>
      <c r="N15" s="186"/>
      <c r="O15" s="186"/>
      <c r="P15" s="186"/>
      <c r="Q15" s="186"/>
      <c r="R15" s="186"/>
      <c r="S15" s="186"/>
      <c r="T15" s="189"/>
      <c r="U15" s="188"/>
      <c r="V15" s="188">
        <f t="shared" si="0"/>
        <v>1475</v>
      </c>
      <c r="W15" s="188">
        <f t="shared" si="1"/>
        <v>73.75</v>
      </c>
      <c r="X15" s="188">
        <f t="shared" si="2"/>
        <v>1548.75</v>
      </c>
      <c r="Y15" s="186">
        <v>32</v>
      </c>
      <c r="Z15" s="912"/>
      <c r="AA15" s="860"/>
    </row>
    <row r="16" spans="1:29" s="192" customFormat="1">
      <c r="A16" s="184">
        <v>42235</v>
      </c>
      <c r="B16" s="185"/>
      <c r="C16" s="185"/>
      <c r="D16" s="187">
        <v>1</v>
      </c>
      <c r="E16" s="186">
        <v>1</v>
      </c>
      <c r="F16" s="187">
        <v>1</v>
      </c>
      <c r="G16" s="186">
        <v>175</v>
      </c>
      <c r="H16" s="186"/>
      <c r="I16" s="186"/>
      <c r="J16" s="186"/>
      <c r="K16" s="186"/>
      <c r="L16" s="186"/>
      <c r="M16" s="186"/>
      <c r="N16" s="186"/>
      <c r="O16" s="186"/>
      <c r="P16" s="186"/>
      <c r="Q16" s="186"/>
      <c r="R16" s="186"/>
      <c r="S16" s="186"/>
      <c r="T16" s="189"/>
      <c r="U16" s="188"/>
      <c r="V16" s="188">
        <f t="shared" si="0"/>
        <v>1475</v>
      </c>
      <c r="W16" s="188">
        <f t="shared" si="1"/>
        <v>73.75</v>
      </c>
      <c r="X16" s="188">
        <f t="shared" si="2"/>
        <v>1548.75</v>
      </c>
      <c r="Y16" s="186">
        <v>32</v>
      </c>
      <c r="Z16" s="190"/>
      <c r="AA16" s="860"/>
      <c r="AB16" s="861"/>
    </row>
    <row r="17" spans="1:27" s="192" customFormat="1">
      <c r="A17" s="184">
        <v>42236</v>
      </c>
      <c r="B17" s="185"/>
      <c r="C17" s="198"/>
      <c r="D17" s="187">
        <v>1</v>
      </c>
      <c r="E17" s="186">
        <v>1</v>
      </c>
      <c r="F17" s="187">
        <v>1</v>
      </c>
      <c r="G17" s="186">
        <v>175</v>
      </c>
      <c r="H17" s="187"/>
      <c r="I17" s="186"/>
      <c r="J17" s="186"/>
      <c r="K17" s="186"/>
      <c r="L17" s="186"/>
      <c r="M17" s="186"/>
      <c r="N17" s="186"/>
      <c r="O17" s="186"/>
      <c r="P17" s="186"/>
      <c r="Q17" s="186"/>
      <c r="R17" s="186"/>
      <c r="S17" s="186"/>
      <c r="T17" s="189"/>
      <c r="U17" s="188"/>
      <c r="V17" s="188">
        <f t="shared" si="0"/>
        <v>1475</v>
      </c>
      <c r="W17" s="188">
        <f t="shared" si="1"/>
        <v>73.75</v>
      </c>
      <c r="X17" s="188">
        <f t="shared" si="2"/>
        <v>1548.75</v>
      </c>
      <c r="Y17" s="186">
        <v>32</v>
      </c>
      <c r="Z17" s="190"/>
      <c r="AA17" s="860"/>
    </row>
    <row r="18" spans="1:27" s="192" customFormat="1">
      <c r="A18" s="184">
        <v>42237</v>
      </c>
      <c r="B18" s="185"/>
      <c r="C18" s="198"/>
      <c r="D18" s="187">
        <v>1</v>
      </c>
      <c r="E18" s="186">
        <v>1</v>
      </c>
      <c r="F18" s="187">
        <v>1</v>
      </c>
      <c r="G18" s="186">
        <v>175</v>
      </c>
      <c r="H18" s="187"/>
      <c r="I18" s="186"/>
      <c r="J18" s="186"/>
      <c r="K18" s="186"/>
      <c r="L18" s="186"/>
      <c r="M18" s="186"/>
      <c r="N18" s="186"/>
      <c r="O18" s="186"/>
      <c r="P18" s="186"/>
      <c r="Q18" s="186"/>
      <c r="R18" s="186"/>
      <c r="S18" s="186"/>
      <c r="T18" s="189"/>
      <c r="U18" s="188"/>
      <c r="V18" s="188">
        <f t="shared" si="0"/>
        <v>1475</v>
      </c>
      <c r="W18" s="188">
        <f t="shared" si="1"/>
        <v>73.75</v>
      </c>
      <c r="X18" s="188">
        <f t="shared" si="2"/>
        <v>1548.75</v>
      </c>
      <c r="Y18" s="186">
        <v>32</v>
      </c>
      <c r="Z18" s="190"/>
      <c r="AA18" s="860"/>
    </row>
    <row r="19" spans="1:27" s="192" customFormat="1">
      <c r="A19" s="184">
        <v>42238</v>
      </c>
      <c r="B19" s="185"/>
      <c r="C19" s="198"/>
      <c r="D19" s="187">
        <v>1</v>
      </c>
      <c r="E19" s="186">
        <v>1</v>
      </c>
      <c r="F19" s="187">
        <v>1</v>
      </c>
      <c r="G19" s="186">
        <v>175</v>
      </c>
      <c r="H19" s="187"/>
      <c r="I19" s="186"/>
      <c r="J19" s="186"/>
      <c r="K19" s="186"/>
      <c r="L19" s="186"/>
      <c r="M19" s="186"/>
      <c r="N19" s="186"/>
      <c r="O19" s="186"/>
      <c r="P19" s="186"/>
      <c r="Q19" s="186"/>
      <c r="R19" s="186"/>
      <c r="S19" s="186"/>
      <c r="T19" s="189"/>
      <c r="U19" s="188"/>
      <c r="V19" s="188">
        <f>SUM(E19*$E$5+F19*$F$5+G19*$G$5+H19*$H$5+I19*$I$5+J19*$J$5+K19*$K$5)</f>
        <v>1475</v>
      </c>
      <c r="W19" s="188">
        <f>(V19*5%)</f>
        <v>73.75</v>
      </c>
      <c r="X19" s="188">
        <f>SUM(V19+W19)</f>
        <v>1548.75</v>
      </c>
      <c r="Y19" s="186">
        <v>32</v>
      </c>
      <c r="Z19" s="190"/>
      <c r="AA19" s="860"/>
    </row>
    <row r="20" spans="1:27" s="192" customFormat="1">
      <c r="A20" s="184">
        <v>42239</v>
      </c>
      <c r="B20" s="185"/>
      <c r="C20" s="198"/>
      <c r="D20" s="187">
        <v>0</v>
      </c>
      <c r="E20" s="186">
        <v>0</v>
      </c>
      <c r="F20" s="187">
        <v>0</v>
      </c>
      <c r="G20" s="186">
        <v>175</v>
      </c>
      <c r="H20" s="187"/>
      <c r="I20" s="186"/>
      <c r="J20" s="186"/>
      <c r="K20" s="186"/>
      <c r="L20" s="186"/>
      <c r="M20" s="186"/>
      <c r="N20" s="186"/>
      <c r="O20" s="186"/>
      <c r="P20" s="186"/>
      <c r="Q20" s="186"/>
      <c r="R20" s="186"/>
      <c r="S20" s="186"/>
      <c r="T20" s="189"/>
      <c r="U20" s="188"/>
      <c r="V20" s="188">
        <f>SUM(E20*$E$5+F20*$F$5+G20*$G$5+H20*$H$5+I20*$I$5+J20*$J$5+K20*$K$5)</f>
        <v>175</v>
      </c>
      <c r="W20" s="188">
        <f>(V20*5%)</f>
        <v>8.75</v>
      </c>
      <c r="X20" s="188">
        <f>SUM(V20+W20)</f>
        <v>183.75</v>
      </c>
      <c r="Y20" s="186">
        <v>32</v>
      </c>
      <c r="Z20" s="190"/>
      <c r="AA20" s="860"/>
    </row>
    <row r="21" spans="1:27" s="192" customFormat="1">
      <c r="A21" s="184">
        <v>42240</v>
      </c>
      <c r="B21" s="185"/>
      <c r="C21" s="185"/>
      <c r="D21" s="187">
        <v>1</v>
      </c>
      <c r="E21" s="186">
        <v>1</v>
      </c>
      <c r="F21" s="187">
        <v>1</v>
      </c>
      <c r="G21" s="186">
        <v>175</v>
      </c>
      <c r="H21" s="187"/>
      <c r="I21" s="186"/>
      <c r="J21" s="186"/>
      <c r="K21" s="186"/>
      <c r="L21" s="186"/>
      <c r="M21" s="186"/>
      <c r="N21" s="186"/>
      <c r="O21" s="186"/>
      <c r="P21" s="186"/>
      <c r="Q21" s="186"/>
      <c r="R21" s="186"/>
      <c r="S21" s="186"/>
      <c r="T21" s="189"/>
      <c r="U21" s="188"/>
      <c r="V21" s="188">
        <f>SUM(E21*$E$5+F21*$F$5+G21*$G$5+H21*$H$5+I21*$I$5+J21*$J$5+K21*$K$5)</f>
        <v>1475</v>
      </c>
      <c r="W21" s="188">
        <f>(V21*5%)</f>
        <v>73.75</v>
      </c>
      <c r="X21" s="188">
        <f>SUM(V21+W21)</f>
        <v>1548.75</v>
      </c>
      <c r="Y21" s="186">
        <v>32</v>
      </c>
      <c r="Z21" s="190"/>
      <c r="AA21" s="860"/>
    </row>
    <row r="22" spans="1:27" s="192" customFormat="1">
      <c r="A22" s="184">
        <v>42241</v>
      </c>
      <c r="B22" s="185"/>
      <c r="C22" s="185"/>
      <c r="D22" s="187">
        <v>1</v>
      </c>
      <c r="E22" s="186">
        <v>1</v>
      </c>
      <c r="F22" s="187">
        <v>1</v>
      </c>
      <c r="G22" s="186">
        <v>175</v>
      </c>
      <c r="H22" s="186"/>
      <c r="I22" s="186"/>
      <c r="J22" s="186"/>
      <c r="K22" s="186"/>
      <c r="L22" s="186"/>
      <c r="M22" s="186"/>
      <c r="N22" s="186"/>
      <c r="O22" s="186"/>
      <c r="P22" s="186"/>
      <c r="Q22" s="186"/>
      <c r="R22" s="186"/>
      <c r="S22" s="186"/>
      <c r="T22" s="189"/>
      <c r="U22" s="188"/>
      <c r="V22" s="188">
        <f t="shared" si="0"/>
        <v>1475</v>
      </c>
      <c r="W22" s="188">
        <f t="shared" si="1"/>
        <v>73.75</v>
      </c>
      <c r="X22" s="188">
        <f t="shared" si="2"/>
        <v>1548.75</v>
      </c>
      <c r="Y22" s="186">
        <v>32</v>
      </c>
      <c r="Z22" s="190"/>
      <c r="AA22" s="860"/>
    </row>
    <row r="23" spans="1:27" s="192" customFormat="1">
      <c r="A23" s="184">
        <v>42242</v>
      </c>
      <c r="B23" s="185"/>
      <c r="C23" s="185"/>
      <c r="D23" s="187">
        <v>1</v>
      </c>
      <c r="E23" s="186">
        <v>1</v>
      </c>
      <c r="F23" s="187">
        <v>1</v>
      </c>
      <c r="G23" s="186">
        <v>175</v>
      </c>
      <c r="H23" s="186"/>
      <c r="I23" s="186"/>
      <c r="J23" s="186"/>
      <c r="K23" s="186"/>
      <c r="L23" s="186"/>
      <c r="M23" s="186"/>
      <c r="N23" s="186"/>
      <c r="O23" s="186"/>
      <c r="P23" s="186"/>
      <c r="Q23" s="186"/>
      <c r="R23" s="186"/>
      <c r="S23" s="186"/>
      <c r="T23" s="189"/>
      <c r="U23" s="188"/>
      <c r="V23" s="188">
        <f t="shared" si="0"/>
        <v>1475</v>
      </c>
      <c r="W23" s="188">
        <f t="shared" si="1"/>
        <v>73.75</v>
      </c>
      <c r="X23" s="188">
        <f t="shared" si="2"/>
        <v>1548.75</v>
      </c>
      <c r="Y23" s="186">
        <v>32</v>
      </c>
      <c r="Z23" s="190"/>
      <c r="AA23" s="884"/>
    </row>
    <row r="24" spans="1:27" s="192" customFormat="1">
      <c r="A24" s="184">
        <v>42243</v>
      </c>
      <c r="B24" s="198"/>
      <c r="C24" s="198"/>
      <c r="D24" s="187">
        <v>1</v>
      </c>
      <c r="E24" s="186">
        <v>1</v>
      </c>
      <c r="F24" s="187">
        <v>1</v>
      </c>
      <c r="G24" s="186">
        <v>175</v>
      </c>
      <c r="H24" s="186"/>
      <c r="I24" s="186"/>
      <c r="J24" s="186"/>
      <c r="K24" s="186"/>
      <c r="L24" s="186"/>
      <c r="M24" s="186"/>
      <c r="N24" s="186"/>
      <c r="O24" s="186"/>
      <c r="P24" s="186"/>
      <c r="Q24" s="186"/>
      <c r="R24" s="186"/>
      <c r="S24" s="186"/>
      <c r="T24" s="189"/>
      <c r="U24" s="188"/>
      <c r="V24" s="188">
        <f t="shared" ref="V24:V32" si="3">SUM(E24*$E$5+F24*$F$5+G24*$G$5+H24*$H$5+I24*$I$5+J24*$J$5+K24*$K$5)</f>
        <v>1475</v>
      </c>
      <c r="W24" s="188">
        <f t="shared" ref="W24:W32" si="4">(V24*5%)</f>
        <v>73.75</v>
      </c>
      <c r="X24" s="188">
        <f t="shared" ref="X24:X32" si="5">SUM(V24+W24)</f>
        <v>1548.75</v>
      </c>
      <c r="Y24" s="186">
        <v>32</v>
      </c>
      <c r="Z24" s="190"/>
      <c r="AA24" s="884"/>
    </row>
    <row r="25" spans="1:27" s="214" customFormat="1">
      <c r="A25" s="184">
        <v>42244</v>
      </c>
      <c r="B25" s="198"/>
      <c r="C25" s="198"/>
      <c r="D25" s="187">
        <v>1</v>
      </c>
      <c r="E25" s="186">
        <v>1</v>
      </c>
      <c r="F25" s="187">
        <v>1</v>
      </c>
      <c r="G25" s="186">
        <v>175</v>
      </c>
      <c r="H25" s="186"/>
      <c r="I25" s="186"/>
      <c r="J25" s="186"/>
      <c r="K25" s="186"/>
      <c r="L25" s="186"/>
      <c r="M25" s="186"/>
      <c r="N25" s="186"/>
      <c r="O25" s="186"/>
      <c r="P25" s="186"/>
      <c r="Q25" s="186"/>
      <c r="R25" s="186"/>
      <c r="S25" s="186"/>
      <c r="T25" s="189"/>
      <c r="U25" s="188"/>
      <c r="V25" s="188">
        <f t="shared" si="3"/>
        <v>1475</v>
      </c>
      <c r="W25" s="188">
        <f t="shared" si="4"/>
        <v>73.75</v>
      </c>
      <c r="X25" s="188">
        <f t="shared" si="5"/>
        <v>1548.75</v>
      </c>
      <c r="Y25" s="186">
        <v>32</v>
      </c>
      <c r="Z25" s="190"/>
      <c r="AA25" s="884"/>
    </row>
    <row r="26" spans="1:27" s="214" customFormat="1">
      <c r="A26" s="184">
        <v>42245</v>
      </c>
      <c r="B26" s="198"/>
      <c r="C26" s="198"/>
      <c r="D26" s="187">
        <v>1</v>
      </c>
      <c r="E26" s="186">
        <v>1</v>
      </c>
      <c r="F26" s="187">
        <v>1</v>
      </c>
      <c r="G26" s="186">
        <v>175</v>
      </c>
      <c r="H26" s="186"/>
      <c r="I26" s="186"/>
      <c r="J26" s="186"/>
      <c r="K26" s="186"/>
      <c r="L26" s="186"/>
      <c r="M26" s="186"/>
      <c r="N26" s="186"/>
      <c r="O26" s="186"/>
      <c r="P26" s="186"/>
      <c r="Q26" s="186"/>
      <c r="R26" s="186"/>
      <c r="S26" s="186"/>
      <c r="T26" s="189"/>
      <c r="U26" s="188"/>
      <c r="V26" s="188">
        <f t="shared" si="3"/>
        <v>1475</v>
      </c>
      <c r="W26" s="188">
        <f t="shared" si="4"/>
        <v>73.75</v>
      </c>
      <c r="X26" s="188">
        <f t="shared" si="5"/>
        <v>1548.75</v>
      </c>
      <c r="Y26" s="186">
        <v>32</v>
      </c>
      <c r="Z26" s="190"/>
      <c r="AA26" s="193"/>
    </row>
    <row r="27" spans="1:27" s="214" customFormat="1">
      <c r="A27" s="184">
        <v>42246</v>
      </c>
      <c r="B27" s="198"/>
      <c r="C27" s="198"/>
      <c r="D27" s="187"/>
      <c r="E27" s="186"/>
      <c r="F27" s="187"/>
      <c r="G27" s="186">
        <v>175</v>
      </c>
      <c r="H27" s="186"/>
      <c r="I27" s="186"/>
      <c r="J27" s="186"/>
      <c r="K27" s="186"/>
      <c r="L27" s="186"/>
      <c r="M27" s="186"/>
      <c r="N27" s="186"/>
      <c r="O27" s="186"/>
      <c r="P27" s="186"/>
      <c r="Q27" s="186"/>
      <c r="R27" s="186"/>
      <c r="S27" s="186"/>
      <c r="T27" s="189"/>
      <c r="U27" s="188"/>
      <c r="V27" s="188">
        <f t="shared" si="3"/>
        <v>175</v>
      </c>
      <c r="W27" s="188">
        <f t="shared" si="4"/>
        <v>8.75</v>
      </c>
      <c r="X27" s="188">
        <f t="shared" si="5"/>
        <v>183.75</v>
      </c>
      <c r="Y27" s="186">
        <v>32</v>
      </c>
      <c r="Z27" s="190"/>
      <c r="AA27" s="193"/>
    </row>
    <row r="28" spans="1:27" s="214" customFormat="1">
      <c r="A28" s="184">
        <v>42247</v>
      </c>
      <c r="B28" s="198"/>
      <c r="C28" s="198"/>
      <c r="D28" s="187">
        <v>1</v>
      </c>
      <c r="E28" s="186">
        <v>1</v>
      </c>
      <c r="F28" s="187">
        <v>1</v>
      </c>
      <c r="G28" s="186">
        <v>175</v>
      </c>
      <c r="H28" s="186"/>
      <c r="I28" s="186"/>
      <c r="J28" s="186"/>
      <c r="K28" s="186"/>
      <c r="L28" s="186"/>
      <c r="M28" s="186"/>
      <c r="N28" s="186"/>
      <c r="O28" s="186"/>
      <c r="P28" s="186"/>
      <c r="Q28" s="186"/>
      <c r="R28" s="186"/>
      <c r="S28" s="186"/>
      <c r="T28" s="189"/>
      <c r="U28" s="188"/>
      <c r="V28" s="188">
        <f t="shared" si="3"/>
        <v>1475</v>
      </c>
      <c r="W28" s="188">
        <f t="shared" si="4"/>
        <v>73.75</v>
      </c>
      <c r="X28" s="188">
        <f t="shared" si="5"/>
        <v>1548.75</v>
      </c>
      <c r="Y28" s="186">
        <v>32</v>
      </c>
      <c r="Z28" s="190"/>
      <c r="AA28" s="193"/>
    </row>
    <row r="29" spans="1:27" s="914" customFormat="1">
      <c r="A29" s="405">
        <v>42248</v>
      </c>
      <c r="B29" s="367"/>
      <c r="C29" s="367"/>
      <c r="D29" s="122">
        <v>1</v>
      </c>
      <c r="E29" s="124">
        <v>1</v>
      </c>
      <c r="F29" s="122">
        <v>1</v>
      </c>
      <c r="G29" s="124">
        <v>175</v>
      </c>
      <c r="H29" s="124"/>
      <c r="I29" s="124"/>
      <c r="J29" s="124"/>
      <c r="K29" s="124"/>
      <c r="L29" s="124"/>
      <c r="M29" s="124"/>
      <c r="N29" s="124"/>
      <c r="O29" s="124"/>
      <c r="P29" s="124"/>
      <c r="Q29" s="124"/>
      <c r="R29" s="124"/>
      <c r="S29" s="124"/>
      <c r="T29" s="127"/>
      <c r="U29" s="123"/>
      <c r="V29" s="123">
        <f t="shared" si="3"/>
        <v>1475</v>
      </c>
      <c r="W29" s="123">
        <f t="shared" si="4"/>
        <v>73.75</v>
      </c>
      <c r="X29" s="123">
        <f t="shared" si="5"/>
        <v>1548.75</v>
      </c>
      <c r="Y29" s="124">
        <v>33</v>
      </c>
      <c r="Z29" s="128"/>
      <c r="AA29" s="913"/>
    </row>
    <row r="30" spans="1:27" s="914" customFormat="1">
      <c r="A30" s="405">
        <v>42249</v>
      </c>
      <c r="B30" s="367"/>
      <c r="C30" s="367"/>
      <c r="D30" s="122">
        <v>1</v>
      </c>
      <c r="E30" s="124">
        <v>1</v>
      </c>
      <c r="F30" s="122">
        <v>1</v>
      </c>
      <c r="G30" s="124">
        <v>175</v>
      </c>
      <c r="H30" s="124"/>
      <c r="I30" s="124"/>
      <c r="J30" s="124"/>
      <c r="K30" s="124"/>
      <c r="L30" s="124"/>
      <c r="M30" s="124"/>
      <c r="N30" s="124"/>
      <c r="O30" s="124"/>
      <c r="P30" s="124"/>
      <c r="Q30" s="124"/>
      <c r="R30" s="124"/>
      <c r="S30" s="124"/>
      <c r="T30" s="127"/>
      <c r="U30" s="123"/>
      <c r="V30" s="123">
        <f t="shared" si="3"/>
        <v>1475</v>
      </c>
      <c r="W30" s="123">
        <f t="shared" si="4"/>
        <v>73.75</v>
      </c>
      <c r="X30" s="123">
        <f t="shared" si="5"/>
        <v>1548.75</v>
      </c>
      <c r="Y30" s="124">
        <v>33</v>
      </c>
      <c r="Z30" s="128"/>
      <c r="AA30" s="913"/>
    </row>
    <row r="31" spans="1:27" s="914" customFormat="1">
      <c r="A31" s="405">
        <v>42250</v>
      </c>
      <c r="B31" s="367"/>
      <c r="C31" s="367"/>
      <c r="D31" s="122">
        <v>1</v>
      </c>
      <c r="E31" s="124">
        <v>1</v>
      </c>
      <c r="F31" s="122">
        <v>1</v>
      </c>
      <c r="G31" s="124">
        <v>175</v>
      </c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24"/>
      <c r="T31" s="127"/>
      <c r="U31" s="123"/>
      <c r="V31" s="123">
        <f t="shared" si="3"/>
        <v>1475</v>
      </c>
      <c r="W31" s="123">
        <f t="shared" si="4"/>
        <v>73.75</v>
      </c>
      <c r="X31" s="123">
        <f t="shared" si="5"/>
        <v>1548.75</v>
      </c>
      <c r="Y31" s="124">
        <v>33</v>
      </c>
      <c r="Z31" s="128"/>
      <c r="AA31" s="913"/>
    </row>
    <row r="32" spans="1:27" s="914" customFormat="1" ht="13.5" customHeight="1">
      <c r="A32" s="405">
        <v>42251</v>
      </c>
      <c r="B32" s="367"/>
      <c r="C32" s="367"/>
      <c r="D32" s="122">
        <v>1</v>
      </c>
      <c r="E32" s="124">
        <v>1</v>
      </c>
      <c r="F32" s="122">
        <v>1</v>
      </c>
      <c r="G32" s="124"/>
      <c r="H32" s="124">
        <v>150</v>
      </c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7"/>
      <c r="U32" s="123"/>
      <c r="V32" s="123">
        <f t="shared" si="3"/>
        <v>1450</v>
      </c>
      <c r="W32" s="123">
        <f t="shared" si="4"/>
        <v>72.5</v>
      </c>
      <c r="X32" s="123">
        <f t="shared" si="5"/>
        <v>1522.5</v>
      </c>
      <c r="Y32" s="124">
        <v>33</v>
      </c>
      <c r="Z32" s="128"/>
      <c r="AA32" s="913"/>
    </row>
    <row r="33" spans="1:27" s="235" customFormat="1" ht="13.5" customHeight="1">
      <c r="A33" s="511"/>
      <c r="B33" s="512"/>
      <c r="C33" s="512"/>
      <c r="D33" s="513"/>
      <c r="E33" s="514"/>
      <c r="F33" s="513"/>
      <c r="G33" s="514"/>
      <c r="H33" s="514"/>
      <c r="I33" s="514"/>
      <c r="J33" s="514"/>
      <c r="K33" s="514"/>
      <c r="L33" s="514"/>
      <c r="M33" s="514"/>
      <c r="N33" s="514"/>
      <c r="O33" s="514"/>
      <c r="P33" s="514"/>
      <c r="Q33" s="514"/>
      <c r="R33" s="514"/>
      <c r="S33" s="514"/>
      <c r="T33" s="515"/>
      <c r="U33" s="516"/>
      <c r="V33" s="516"/>
      <c r="W33" s="516"/>
      <c r="X33" s="516"/>
      <c r="Y33" s="514"/>
      <c r="Z33" s="517"/>
      <c r="AA33" s="299"/>
    </row>
    <row r="34" spans="1:27" s="458" customFormat="1">
      <c r="A34" s="453"/>
      <c r="B34" s="454"/>
      <c r="C34" s="454"/>
      <c r="D34" s="453"/>
      <c r="E34" s="455"/>
      <c r="F34" s="455"/>
      <c r="G34" s="455"/>
      <c r="H34" s="455"/>
      <c r="I34" s="455"/>
      <c r="J34" s="455"/>
      <c r="K34" s="455"/>
      <c r="L34" s="455"/>
      <c r="M34" s="455"/>
      <c r="N34" s="455"/>
      <c r="O34" s="455"/>
      <c r="P34" s="455"/>
      <c r="Q34" s="455"/>
      <c r="R34" s="455"/>
      <c r="S34" s="453"/>
      <c r="T34" s="456"/>
      <c r="U34" s="453"/>
      <c r="V34" s="453"/>
      <c r="W34" s="453"/>
      <c r="X34" s="453"/>
      <c r="Y34" s="453"/>
      <c r="Z34" s="457"/>
      <c r="AA34" s="453"/>
    </row>
    <row r="1048212" spans="20:20">
      <c r="T1048212" s="38"/>
    </row>
  </sheetData>
  <autoFilter ref="A4:AB32"/>
  <phoneticPr fontId="3" type="noConversion"/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0"/>
  </sheetPr>
  <dimension ref="A1:AC1048335"/>
  <sheetViews>
    <sheetView workbookViewId="0">
      <pane ySplit="5" topLeftCell="A6" activePane="bottomLeft" state="frozen"/>
      <selection pane="bottomLeft" activeCell="A6" sqref="A6:XFD6"/>
    </sheetView>
  </sheetViews>
  <sheetFormatPr baseColWidth="10" defaultColWidth="8.83203125" defaultRowHeight="12" x14ac:dyDescent="0.75"/>
  <cols>
    <col min="1" max="1" width="11.6640625" style="71" bestFit="1" customWidth="1"/>
    <col min="2" max="3" width="11.83203125" style="53" hidden="1" customWidth="1"/>
    <col min="4" max="4" width="11.33203125" style="71" customWidth="1"/>
    <col min="5" max="5" width="0" style="71" hidden="1" customWidth="1"/>
    <col min="6" max="6" width="10.33203125" style="25" bestFit="1" customWidth="1"/>
    <col min="7" max="7" width="8.83203125" style="25"/>
    <col min="8" max="8" width="10.33203125" style="25" bestFit="1" customWidth="1"/>
    <col min="9" max="14" width="8.83203125" style="25"/>
    <col min="15" max="18" width="0" style="25" hidden="1" customWidth="1"/>
    <col min="19" max="19" width="12.5" style="25" hidden="1" customWidth="1"/>
    <col min="20" max="20" width="0" style="71" hidden="1" customWidth="1"/>
    <col min="21" max="21" width="38" style="28" hidden="1" customWidth="1"/>
    <col min="22" max="22" width="8.83203125" style="71"/>
    <col min="23" max="23" width="11.33203125" style="71" bestFit="1" customWidth="1"/>
    <col min="24" max="25" width="10.33203125" style="71" bestFit="1" customWidth="1"/>
    <col min="26" max="26" width="8.83203125" style="71"/>
    <col min="27" max="27" width="14.33203125" style="65" bestFit="1" customWidth="1"/>
    <col min="28" max="28" width="16.33203125" style="71" customWidth="1"/>
    <col min="29" max="29" width="11.33203125" bestFit="1" customWidth="1"/>
  </cols>
  <sheetData>
    <row r="1" spans="1:28">
      <c r="A1" s="24"/>
      <c r="B1" s="42"/>
      <c r="C1" s="42"/>
      <c r="D1" s="30"/>
      <c r="E1" s="30"/>
      <c r="T1" s="30"/>
      <c r="V1" s="25"/>
      <c r="W1" s="25"/>
      <c r="X1" s="25"/>
      <c r="Y1" s="25"/>
      <c r="Z1" s="25"/>
    </row>
    <row r="2" spans="1:28">
      <c r="A2" s="39" t="s">
        <v>1073</v>
      </c>
      <c r="B2" s="42"/>
      <c r="C2" s="42"/>
      <c r="D2" s="30"/>
      <c r="E2" s="30"/>
      <c r="T2" s="30"/>
      <c r="V2" s="25"/>
      <c r="W2" s="25"/>
      <c r="X2" s="25"/>
      <c r="Y2" s="25"/>
      <c r="Z2" s="25"/>
    </row>
    <row r="3" spans="1:28">
      <c r="A3" s="24"/>
      <c r="B3" s="42"/>
      <c r="C3" s="42"/>
      <c r="D3" s="30"/>
      <c r="E3" s="30"/>
      <c r="T3" s="30"/>
      <c r="V3" s="25"/>
      <c r="W3" s="25"/>
      <c r="X3" s="25"/>
      <c r="Y3" s="25"/>
      <c r="Z3" s="25"/>
    </row>
    <row r="4" spans="1:28" ht="51.75" customHeight="1">
      <c r="A4" s="36" t="s">
        <v>0</v>
      </c>
      <c r="B4" s="43" t="s">
        <v>18</v>
      </c>
      <c r="C4" s="43" t="s">
        <v>19</v>
      </c>
      <c r="D4" s="1161" t="s">
        <v>1073</v>
      </c>
      <c r="E4" s="41" t="s">
        <v>22</v>
      </c>
      <c r="F4" s="40" t="s">
        <v>21</v>
      </c>
      <c r="G4" s="40" t="s">
        <v>97</v>
      </c>
      <c r="H4" s="40" t="s">
        <v>21</v>
      </c>
      <c r="I4" s="40" t="s">
        <v>50</v>
      </c>
      <c r="J4" s="40" t="s">
        <v>21</v>
      </c>
      <c r="K4" s="40" t="s">
        <v>105</v>
      </c>
      <c r="L4" s="40" t="s">
        <v>26</v>
      </c>
      <c r="M4" s="40" t="s">
        <v>43</v>
      </c>
      <c r="N4" s="40" t="s">
        <v>26</v>
      </c>
      <c r="O4" s="40" t="s">
        <v>22</v>
      </c>
      <c r="P4" s="40" t="s">
        <v>26</v>
      </c>
      <c r="Q4" s="40" t="s">
        <v>22</v>
      </c>
      <c r="R4" s="40" t="s">
        <v>26</v>
      </c>
      <c r="S4" s="40" t="s">
        <v>23</v>
      </c>
      <c r="T4" s="41" t="s">
        <v>17</v>
      </c>
      <c r="U4" s="45" t="s">
        <v>20</v>
      </c>
      <c r="V4" s="40" t="s">
        <v>12</v>
      </c>
      <c r="W4" s="40" t="s">
        <v>13</v>
      </c>
      <c r="X4" s="40" t="s">
        <v>14</v>
      </c>
      <c r="Y4" s="40" t="s">
        <v>9</v>
      </c>
      <c r="Z4" s="40" t="s">
        <v>15</v>
      </c>
      <c r="AA4" s="54" t="s">
        <v>7</v>
      </c>
      <c r="AB4" s="55" t="s">
        <v>727</v>
      </c>
    </row>
    <row r="5" spans="1:28">
      <c r="A5" s="1169"/>
      <c r="B5" s="1170"/>
      <c r="C5" s="1170"/>
      <c r="D5" s="1171"/>
      <c r="E5" s="1191"/>
      <c r="F5" s="1172"/>
      <c r="G5" s="1172"/>
      <c r="H5" s="1172"/>
      <c r="I5" s="1172"/>
      <c r="J5" s="1172"/>
      <c r="K5" s="1172"/>
      <c r="L5" s="1172"/>
      <c r="M5" s="1172"/>
      <c r="N5" s="1172"/>
      <c r="O5" s="1172"/>
      <c r="P5" s="1172"/>
      <c r="Q5" s="1172"/>
      <c r="R5" s="1172"/>
      <c r="S5" s="1172"/>
      <c r="T5" s="1191"/>
      <c r="U5" s="1192"/>
      <c r="V5" s="1172"/>
      <c r="W5" s="1172"/>
      <c r="X5" s="1172"/>
      <c r="Y5" s="1172"/>
      <c r="Z5" s="1172"/>
      <c r="AA5" s="1173"/>
      <c r="AB5" s="57">
        <f>SUM(W6:W112)</f>
        <v>116350</v>
      </c>
    </row>
    <row r="6" spans="1:28">
      <c r="A6" s="26">
        <v>42149</v>
      </c>
      <c r="B6" s="44"/>
      <c r="C6" s="44"/>
      <c r="D6" s="31">
        <v>1</v>
      </c>
      <c r="E6" s="35"/>
      <c r="F6" s="27">
        <v>1100</v>
      </c>
      <c r="G6" s="35">
        <v>1</v>
      </c>
      <c r="H6" s="27">
        <v>200</v>
      </c>
      <c r="I6" s="31">
        <v>1</v>
      </c>
      <c r="J6" s="27">
        <v>175</v>
      </c>
      <c r="K6" s="102" t="s">
        <v>114</v>
      </c>
      <c r="L6" s="27">
        <v>1</v>
      </c>
      <c r="M6" s="27"/>
      <c r="N6" s="27">
        <v>150</v>
      </c>
      <c r="O6" s="27"/>
      <c r="P6" s="27">
        <v>0</v>
      </c>
      <c r="Q6" s="27"/>
      <c r="R6" s="27">
        <v>0</v>
      </c>
      <c r="S6" s="27">
        <f t="shared" ref="S6:S24" si="0">SUM(L6,J6,H6,F6)</f>
        <v>1476</v>
      </c>
      <c r="T6" s="31">
        <f t="shared" ref="T6:T24" si="1">(B6+C6)*D6</f>
        <v>0</v>
      </c>
      <c r="U6" s="38"/>
      <c r="V6" s="27"/>
      <c r="W6" s="27">
        <f>(D6*F6)+(G6*H6)+(I6*J6)+(K6*L6)+(M6*N6)</f>
        <v>1625</v>
      </c>
      <c r="X6" s="27">
        <f t="shared" ref="X6:X24" si="2">(W6*5%)</f>
        <v>81.25</v>
      </c>
      <c r="Y6" s="27">
        <f t="shared" ref="Y6:Y23" si="3">SUM(W6+X6)</f>
        <v>1706.25</v>
      </c>
      <c r="Z6" s="31">
        <v>13</v>
      </c>
      <c r="AA6" s="56"/>
      <c r="AB6" s="58"/>
    </row>
    <row r="7" spans="1:28">
      <c r="A7" s="26">
        <v>42150</v>
      </c>
      <c r="B7" s="44"/>
      <c r="C7" s="44"/>
      <c r="D7" s="31">
        <v>1</v>
      </c>
      <c r="E7" s="35"/>
      <c r="F7" s="27">
        <v>1100</v>
      </c>
      <c r="G7" s="35">
        <v>1</v>
      </c>
      <c r="H7" s="27">
        <v>200</v>
      </c>
      <c r="I7" s="31">
        <v>1</v>
      </c>
      <c r="J7" s="27">
        <v>175</v>
      </c>
      <c r="K7" s="27"/>
      <c r="L7" s="27">
        <v>1</v>
      </c>
      <c r="M7" s="27"/>
      <c r="N7" s="27">
        <v>150</v>
      </c>
      <c r="O7" s="27"/>
      <c r="P7" s="27">
        <v>0</v>
      </c>
      <c r="Q7" s="27"/>
      <c r="R7" s="27">
        <v>0</v>
      </c>
      <c r="S7" s="27">
        <f t="shared" si="0"/>
        <v>1476</v>
      </c>
      <c r="T7" s="31">
        <f t="shared" si="1"/>
        <v>0</v>
      </c>
      <c r="U7" s="38"/>
      <c r="V7" s="27"/>
      <c r="W7" s="27">
        <f t="shared" ref="W7:W24" si="4">(D7*F7)+(G7*H7)+(I7*J7)+(K7*L7)+(M7*N7)</f>
        <v>1475</v>
      </c>
      <c r="X7" s="27">
        <f t="shared" si="2"/>
        <v>73.75</v>
      </c>
      <c r="Y7" s="27">
        <f t="shared" si="3"/>
        <v>1548.75</v>
      </c>
      <c r="Z7" s="31">
        <v>13</v>
      </c>
      <c r="AA7" s="56"/>
    </row>
    <row r="8" spans="1:28">
      <c r="A8" s="34">
        <v>42151</v>
      </c>
      <c r="B8" s="44"/>
      <c r="C8" s="44"/>
      <c r="D8" s="31">
        <v>1</v>
      </c>
      <c r="E8" s="35"/>
      <c r="F8" s="27">
        <v>1100</v>
      </c>
      <c r="G8" s="35">
        <v>1</v>
      </c>
      <c r="H8" s="27">
        <v>200</v>
      </c>
      <c r="I8" s="31">
        <v>1</v>
      </c>
      <c r="J8" s="27">
        <v>175</v>
      </c>
      <c r="K8" s="27"/>
      <c r="L8" s="27">
        <v>1</v>
      </c>
      <c r="M8" s="27"/>
      <c r="N8" s="27">
        <v>150</v>
      </c>
      <c r="O8" s="27"/>
      <c r="P8" s="27">
        <v>0</v>
      </c>
      <c r="Q8" s="27"/>
      <c r="R8" s="27">
        <v>0</v>
      </c>
      <c r="S8" s="27">
        <f t="shared" si="0"/>
        <v>1476</v>
      </c>
      <c r="T8" s="31">
        <f t="shared" si="1"/>
        <v>0</v>
      </c>
      <c r="U8" s="38"/>
      <c r="V8" s="27"/>
      <c r="W8" s="27">
        <f t="shared" si="4"/>
        <v>1475</v>
      </c>
      <c r="X8" s="27">
        <f t="shared" si="2"/>
        <v>73.75</v>
      </c>
      <c r="Y8" s="27">
        <f t="shared" si="3"/>
        <v>1548.75</v>
      </c>
      <c r="Z8" s="31">
        <v>13</v>
      </c>
      <c r="AA8" s="56"/>
      <c r="AB8" s="59"/>
    </row>
    <row r="9" spans="1:28">
      <c r="A9" s="34">
        <v>42152</v>
      </c>
      <c r="B9" s="44"/>
      <c r="C9" s="44"/>
      <c r="D9" s="31">
        <v>1</v>
      </c>
      <c r="E9" s="35"/>
      <c r="F9" s="27">
        <v>1100</v>
      </c>
      <c r="G9" s="35">
        <v>1</v>
      </c>
      <c r="H9" s="27">
        <v>200</v>
      </c>
      <c r="I9" s="31">
        <v>1</v>
      </c>
      <c r="J9" s="27">
        <v>175</v>
      </c>
      <c r="K9" s="27"/>
      <c r="L9" s="27">
        <v>1</v>
      </c>
      <c r="M9" s="27"/>
      <c r="N9" s="27">
        <v>150</v>
      </c>
      <c r="O9" s="27"/>
      <c r="P9" s="27">
        <v>0</v>
      </c>
      <c r="Q9" s="27"/>
      <c r="R9" s="27">
        <v>0</v>
      </c>
      <c r="S9" s="27">
        <f t="shared" si="0"/>
        <v>1476</v>
      </c>
      <c r="T9" s="31">
        <f t="shared" si="1"/>
        <v>0</v>
      </c>
      <c r="U9" s="38"/>
      <c r="V9" s="27"/>
      <c r="W9" s="27">
        <f t="shared" si="4"/>
        <v>1475</v>
      </c>
      <c r="X9" s="27">
        <f t="shared" si="2"/>
        <v>73.75</v>
      </c>
      <c r="Y9" s="27">
        <f t="shared" si="3"/>
        <v>1548.75</v>
      </c>
      <c r="Z9" s="31">
        <v>13</v>
      </c>
      <c r="AA9" s="56"/>
      <c r="AB9" s="60"/>
    </row>
    <row r="10" spans="1:28">
      <c r="A10" s="26">
        <v>42153</v>
      </c>
      <c r="B10" s="44"/>
      <c r="C10" s="44"/>
      <c r="D10" s="31">
        <v>1</v>
      </c>
      <c r="E10" s="35"/>
      <c r="F10" s="27">
        <v>1100</v>
      </c>
      <c r="G10" s="35">
        <v>1</v>
      </c>
      <c r="H10" s="27">
        <v>200</v>
      </c>
      <c r="I10" s="31">
        <v>1</v>
      </c>
      <c r="J10" s="27">
        <v>175</v>
      </c>
      <c r="K10" s="27"/>
      <c r="L10" s="27">
        <v>1</v>
      </c>
      <c r="M10" s="27"/>
      <c r="N10" s="27">
        <v>150</v>
      </c>
      <c r="O10" s="27"/>
      <c r="P10" s="27">
        <v>0</v>
      </c>
      <c r="Q10" s="27"/>
      <c r="R10" s="27">
        <v>0</v>
      </c>
      <c r="S10" s="27">
        <f t="shared" si="0"/>
        <v>1476</v>
      </c>
      <c r="T10" s="31">
        <f t="shared" si="1"/>
        <v>0</v>
      </c>
      <c r="U10" s="38"/>
      <c r="V10" s="27"/>
      <c r="W10" s="27">
        <f t="shared" si="4"/>
        <v>1475</v>
      </c>
      <c r="X10" s="27">
        <f t="shared" si="2"/>
        <v>73.75</v>
      </c>
      <c r="Y10" s="27">
        <f t="shared" si="3"/>
        <v>1548.75</v>
      </c>
      <c r="Z10" s="31">
        <v>13</v>
      </c>
      <c r="AA10" s="56"/>
    </row>
    <row r="11" spans="1:28">
      <c r="A11" s="26">
        <v>42156</v>
      </c>
      <c r="B11" s="44"/>
      <c r="C11" s="44"/>
      <c r="D11" s="31">
        <v>1</v>
      </c>
      <c r="E11" s="35"/>
      <c r="F11" s="27">
        <v>1100</v>
      </c>
      <c r="G11" s="35">
        <v>1</v>
      </c>
      <c r="H11" s="27">
        <v>200</v>
      </c>
      <c r="I11" s="31">
        <v>1</v>
      </c>
      <c r="J11" s="27">
        <v>175</v>
      </c>
      <c r="K11" s="27"/>
      <c r="L11" s="27">
        <v>1</v>
      </c>
      <c r="M11" s="27"/>
      <c r="N11" s="27">
        <v>150</v>
      </c>
      <c r="O11" s="27"/>
      <c r="P11" s="27">
        <v>0</v>
      </c>
      <c r="Q11" s="27"/>
      <c r="R11" s="27">
        <v>0</v>
      </c>
      <c r="S11" s="27">
        <f t="shared" si="0"/>
        <v>1476</v>
      </c>
      <c r="T11" s="31">
        <f t="shared" si="1"/>
        <v>0</v>
      </c>
      <c r="U11" s="38"/>
      <c r="V11" s="27"/>
      <c r="W11" s="27">
        <f t="shared" si="4"/>
        <v>1475</v>
      </c>
      <c r="X11" s="27">
        <f t="shared" si="2"/>
        <v>73.75</v>
      </c>
      <c r="Y11" s="27">
        <f t="shared" si="3"/>
        <v>1548.75</v>
      </c>
      <c r="Z11" s="31">
        <v>14</v>
      </c>
      <c r="AA11" s="56"/>
    </row>
    <row r="12" spans="1:28">
      <c r="A12" s="26">
        <v>42157</v>
      </c>
      <c r="B12" s="44"/>
      <c r="C12" s="44"/>
      <c r="D12" s="31">
        <v>1</v>
      </c>
      <c r="E12" s="35"/>
      <c r="F12" s="27">
        <v>1100</v>
      </c>
      <c r="G12" s="35">
        <v>1</v>
      </c>
      <c r="H12" s="27">
        <v>200</v>
      </c>
      <c r="I12" s="31">
        <v>1</v>
      </c>
      <c r="J12" s="27">
        <v>175</v>
      </c>
      <c r="K12" s="27"/>
      <c r="L12" s="27">
        <v>1</v>
      </c>
      <c r="M12" s="27"/>
      <c r="N12" s="27">
        <v>150</v>
      </c>
      <c r="O12" s="27"/>
      <c r="P12" s="27">
        <v>0</v>
      </c>
      <c r="Q12" s="27"/>
      <c r="R12" s="27">
        <v>0</v>
      </c>
      <c r="S12" s="27">
        <f t="shared" si="0"/>
        <v>1476</v>
      </c>
      <c r="T12" s="31">
        <f t="shared" si="1"/>
        <v>0</v>
      </c>
      <c r="U12" s="38"/>
      <c r="V12" s="27"/>
      <c r="W12" s="27">
        <f t="shared" si="4"/>
        <v>1475</v>
      </c>
      <c r="X12" s="27">
        <f t="shared" si="2"/>
        <v>73.75</v>
      </c>
      <c r="Y12" s="27">
        <f t="shared" si="3"/>
        <v>1548.75</v>
      </c>
      <c r="Z12" s="31">
        <v>14</v>
      </c>
      <c r="AA12" s="56"/>
    </row>
    <row r="13" spans="1:28">
      <c r="A13" s="26">
        <v>42158</v>
      </c>
      <c r="B13" s="44"/>
      <c r="C13" s="44"/>
      <c r="D13" s="31">
        <v>1</v>
      </c>
      <c r="E13" s="35"/>
      <c r="F13" s="27">
        <v>1100</v>
      </c>
      <c r="G13" s="35">
        <v>1</v>
      </c>
      <c r="H13" s="27">
        <v>200</v>
      </c>
      <c r="I13" s="31">
        <v>1</v>
      </c>
      <c r="J13" s="27">
        <v>175</v>
      </c>
      <c r="K13" s="27"/>
      <c r="L13" s="27">
        <v>1</v>
      </c>
      <c r="M13" s="27"/>
      <c r="N13" s="27">
        <v>150</v>
      </c>
      <c r="O13" s="27"/>
      <c r="P13" s="27">
        <v>0</v>
      </c>
      <c r="Q13" s="27"/>
      <c r="R13" s="27">
        <v>0</v>
      </c>
      <c r="S13" s="27">
        <f t="shared" si="0"/>
        <v>1476</v>
      </c>
      <c r="T13" s="31">
        <f t="shared" si="1"/>
        <v>0</v>
      </c>
      <c r="U13" s="38"/>
      <c r="V13" s="27"/>
      <c r="W13" s="27">
        <f t="shared" si="4"/>
        <v>1475</v>
      </c>
      <c r="X13" s="27">
        <f t="shared" si="2"/>
        <v>73.75</v>
      </c>
      <c r="Y13" s="27">
        <f t="shared" si="3"/>
        <v>1548.75</v>
      </c>
      <c r="Z13" s="31">
        <v>14</v>
      </c>
      <c r="AA13" s="56"/>
    </row>
    <row r="14" spans="1:28">
      <c r="A14" s="26">
        <v>42159</v>
      </c>
      <c r="B14" s="44"/>
      <c r="C14" s="44"/>
      <c r="D14" s="31">
        <v>1</v>
      </c>
      <c r="E14" s="35"/>
      <c r="F14" s="27">
        <v>1100</v>
      </c>
      <c r="G14" s="35">
        <v>1</v>
      </c>
      <c r="H14" s="27">
        <v>200</v>
      </c>
      <c r="I14" s="31">
        <v>1</v>
      </c>
      <c r="J14" s="27">
        <v>175</v>
      </c>
      <c r="K14" s="27"/>
      <c r="L14" s="27">
        <v>1</v>
      </c>
      <c r="M14" s="27"/>
      <c r="N14" s="27">
        <v>150</v>
      </c>
      <c r="O14" s="27"/>
      <c r="P14" s="27">
        <v>0</v>
      </c>
      <c r="Q14" s="27"/>
      <c r="R14" s="27">
        <v>0</v>
      </c>
      <c r="S14" s="27">
        <f t="shared" si="0"/>
        <v>1476</v>
      </c>
      <c r="T14" s="31">
        <f t="shared" si="1"/>
        <v>0</v>
      </c>
      <c r="U14" s="38"/>
      <c r="V14" s="27"/>
      <c r="W14" s="27">
        <f t="shared" si="4"/>
        <v>1475</v>
      </c>
      <c r="X14" s="27">
        <f t="shared" si="2"/>
        <v>73.75</v>
      </c>
      <c r="Y14" s="27">
        <f t="shared" si="3"/>
        <v>1548.75</v>
      </c>
      <c r="Z14" s="31">
        <v>14</v>
      </c>
      <c r="AA14" s="56"/>
    </row>
    <row r="15" spans="1:28">
      <c r="A15" s="26">
        <v>42160</v>
      </c>
      <c r="B15" s="44"/>
      <c r="C15" s="44"/>
      <c r="D15" s="31">
        <v>1</v>
      </c>
      <c r="E15" s="35"/>
      <c r="F15" s="27">
        <v>1100</v>
      </c>
      <c r="G15" s="35">
        <v>1</v>
      </c>
      <c r="H15" s="27">
        <v>200</v>
      </c>
      <c r="I15" s="31">
        <v>1</v>
      </c>
      <c r="J15" s="27">
        <v>175</v>
      </c>
      <c r="K15" s="27"/>
      <c r="L15" s="27">
        <v>1</v>
      </c>
      <c r="M15" s="27"/>
      <c r="N15" s="27">
        <v>150</v>
      </c>
      <c r="O15" s="27"/>
      <c r="P15" s="27">
        <v>0</v>
      </c>
      <c r="Q15" s="27"/>
      <c r="R15" s="27">
        <v>0</v>
      </c>
      <c r="S15" s="27">
        <f t="shared" si="0"/>
        <v>1476</v>
      </c>
      <c r="T15" s="31">
        <f t="shared" si="1"/>
        <v>0</v>
      </c>
      <c r="U15" s="38"/>
      <c r="V15" s="27"/>
      <c r="W15" s="27">
        <f t="shared" si="4"/>
        <v>1475</v>
      </c>
      <c r="X15" s="27">
        <f t="shared" si="2"/>
        <v>73.75</v>
      </c>
      <c r="Y15" s="27">
        <f t="shared" si="3"/>
        <v>1548.75</v>
      </c>
      <c r="Z15" s="31">
        <v>14</v>
      </c>
      <c r="AA15" s="56"/>
    </row>
    <row r="16" spans="1:28">
      <c r="A16" s="26">
        <v>42172</v>
      </c>
      <c r="B16" s="44"/>
      <c r="C16" s="44"/>
      <c r="D16" s="31">
        <v>1</v>
      </c>
      <c r="E16" s="35"/>
      <c r="F16" s="27">
        <v>1100</v>
      </c>
      <c r="G16" s="35">
        <v>1</v>
      </c>
      <c r="H16" s="27">
        <v>200</v>
      </c>
      <c r="I16" s="31">
        <v>1</v>
      </c>
      <c r="J16" s="27">
        <v>175</v>
      </c>
      <c r="K16" s="27"/>
      <c r="L16" s="27">
        <v>1</v>
      </c>
      <c r="M16" s="27"/>
      <c r="N16" s="27">
        <v>150</v>
      </c>
      <c r="O16" s="27"/>
      <c r="P16" s="27">
        <v>0</v>
      </c>
      <c r="Q16" s="27"/>
      <c r="R16" s="27">
        <v>0</v>
      </c>
      <c r="S16" s="27">
        <f t="shared" si="0"/>
        <v>1476</v>
      </c>
      <c r="T16" s="31">
        <f t="shared" si="1"/>
        <v>0</v>
      </c>
      <c r="U16" s="38"/>
      <c r="V16" s="27"/>
      <c r="W16" s="27">
        <f t="shared" si="4"/>
        <v>1475</v>
      </c>
      <c r="X16" s="27">
        <f t="shared" si="2"/>
        <v>73.75</v>
      </c>
      <c r="Y16" s="27">
        <f t="shared" si="3"/>
        <v>1548.75</v>
      </c>
      <c r="Z16" s="31">
        <v>14</v>
      </c>
      <c r="AA16" s="56"/>
    </row>
    <row r="17" spans="1:29">
      <c r="A17" s="26">
        <v>42173</v>
      </c>
      <c r="B17" s="44"/>
      <c r="C17" s="44"/>
      <c r="D17" s="31">
        <v>1</v>
      </c>
      <c r="E17" s="35"/>
      <c r="F17" s="27">
        <v>1100</v>
      </c>
      <c r="G17" s="35">
        <v>1</v>
      </c>
      <c r="H17" s="27">
        <v>200</v>
      </c>
      <c r="I17" s="31">
        <v>1</v>
      </c>
      <c r="J17" s="27">
        <v>175</v>
      </c>
      <c r="K17" s="27"/>
      <c r="L17" s="27">
        <v>1</v>
      </c>
      <c r="M17" s="27"/>
      <c r="N17" s="27">
        <v>150</v>
      </c>
      <c r="O17" s="27"/>
      <c r="P17" s="27">
        <v>0</v>
      </c>
      <c r="Q17" s="27"/>
      <c r="R17" s="27">
        <v>0</v>
      </c>
      <c r="S17" s="27">
        <f t="shared" si="0"/>
        <v>1476</v>
      </c>
      <c r="T17" s="31">
        <f t="shared" si="1"/>
        <v>0</v>
      </c>
      <c r="U17" s="38"/>
      <c r="V17" s="27"/>
      <c r="W17" s="27">
        <f t="shared" si="4"/>
        <v>1475</v>
      </c>
      <c r="X17" s="27">
        <f t="shared" si="2"/>
        <v>73.75</v>
      </c>
      <c r="Y17" s="27">
        <f t="shared" si="3"/>
        <v>1548.75</v>
      </c>
      <c r="Z17" s="31">
        <v>14</v>
      </c>
      <c r="AA17" s="56"/>
      <c r="AC17" s="37"/>
    </row>
    <row r="18" spans="1:29">
      <c r="A18" s="26">
        <v>42176</v>
      </c>
      <c r="B18" s="44"/>
      <c r="C18" s="44"/>
      <c r="D18" s="31">
        <v>1</v>
      </c>
      <c r="E18" s="35"/>
      <c r="F18" s="27">
        <v>1100</v>
      </c>
      <c r="G18" s="35">
        <v>1</v>
      </c>
      <c r="H18" s="27">
        <v>200</v>
      </c>
      <c r="I18" s="31">
        <v>1</v>
      </c>
      <c r="J18" s="27">
        <v>175</v>
      </c>
      <c r="K18" s="27"/>
      <c r="L18" s="27">
        <v>1</v>
      </c>
      <c r="M18" s="27"/>
      <c r="N18" s="27">
        <v>150</v>
      </c>
      <c r="O18" s="27"/>
      <c r="P18" s="27">
        <v>0</v>
      </c>
      <c r="Q18" s="27"/>
      <c r="R18" s="27">
        <v>0</v>
      </c>
      <c r="S18" s="27">
        <f t="shared" si="0"/>
        <v>1476</v>
      </c>
      <c r="T18" s="31">
        <f t="shared" si="1"/>
        <v>0</v>
      </c>
      <c r="U18" s="38"/>
      <c r="V18" s="27"/>
      <c r="W18" s="27">
        <f t="shared" si="4"/>
        <v>1475</v>
      </c>
      <c r="X18" s="27">
        <f t="shared" si="2"/>
        <v>73.75</v>
      </c>
      <c r="Y18" s="27">
        <f t="shared" si="3"/>
        <v>1548.75</v>
      </c>
      <c r="Z18" s="31">
        <v>14</v>
      </c>
      <c r="AA18" s="56"/>
      <c r="AC18" s="68"/>
    </row>
    <row r="19" spans="1:29">
      <c r="A19" s="26">
        <v>42177</v>
      </c>
      <c r="B19" s="44"/>
      <c r="C19" s="44"/>
      <c r="D19" s="31">
        <v>1</v>
      </c>
      <c r="E19" s="35"/>
      <c r="F19" s="27">
        <v>1100</v>
      </c>
      <c r="G19" s="35">
        <v>1</v>
      </c>
      <c r="H19" s="27">
        <v>200</v>
      </c>
      <c r="I19" s="31">
        <v>1</v>
      </c>
      <c r="J19" s="27">
        <v>175</v>
      </c>
      <c r="K19" s="27"/>
      <c r="L19" s="27">
        <v>1</v>
      </c>
      <c r="M19" s="27"/>
      <c r="N19" s="27">
        <v>150</v>
      </c>
      <c r="O19" s="27"/>
      <c r="P19" s="27">
        <v>0</v>
      </c>
      <c r="Q19" s="27"/>
      <c r="R19" s="27">
        <v>0</v>
      </c>
      <c r="S19" s="27">
        <f t="shared" si="0"/>
        <v>1476</v>
      </c>
      <c r="T19" s="31">
        <f t="shared" si="1"/>
        <v>0</v>
      </c>
      <c r="U19" s="38"/>
      <c r="V19" s="27"/>
      <c r="W19" s="27">
        <f t="shared" si="4"/>
        <v>1475</v>
      </c>
      <c r="X19" s="27">
        <f t="shared" si="2"/>
        <v>73.75</v>
      </c>
      <c r="Y19" s="27">
        <f t="shared" si="3"/>
        <v>1548.75</v>
      </c>
      <c r="Z19" s="31">
        <v>14</v>
      </c>
      <c r="AA19" s="56"/>
    </row>
    <row r="20" spans="1:29">
      <c r="A20" s="26">
        <v>42178</v>
      </c>
      <c r="B20" s="44"/>
      <c r="C20" s="44"/>
      <c r="D20" s="31">
        <v>1</v>
      </c>
      <c r="E20" s="35"/>
      <c r="F20" s="27">
        <v>1100</v>
      </c>
      <c r="G20" s="35">
        <v>1</v>
      </c>
      <c r="H20" s="27">
        <v>200</v>
      </c>
      <c r="I20" s="31">
        <v>1</v>
      </c>
      <c r="J20" s="27">
        <v>175</v>
      </c>
      <c r="K20" s="27"/>
      <c r="L20" s="27">
        <v>1</v>
      </c>
      <c r="M20" s="27"/>
      <c r="N20" s="27">
        <v>150</v>
      </c>
      <c r="O20" s="27"/>
      <c r="P20" s="27">
        <v>0</v>
      </c>
      <c r="Q20" s="27"/>
      <c r="R20" s="27">
        <v>0</v>
      </c>
      <c r="S20" s="27">
        <f t="shared" si="0"/>
        <v>1476</v>
      </c>
      <c r="T20" s="31">
        <f t="shared" si="1"/>
        <v>0</v>
      </c>
      <c r="U20" s="38"/>
      <c r="V20" s="27"/>
      <c r="W20" s="27">
        <f t="shared" si="4"/>
        <v>1475</v>
      </c>
      <c r="X20" s="27">
        <f t="shared" si="2"/>
        <v>73.75</v>
      </c>
      <c r="Y20" s="27">
        <f t="shared" si="3"/>
        <v>1548.75</v>
      </c>
      <c r="Z20" s="31">
        <v>14</v>
      </c>
      <c r="AA20" s="56"/>
    </row>
    <row r="21" spans="1:29">
      <c r="A21" s="26">
        <v>42179</v>
      </c>
      <c r="B21" s="44"/>
      <c r="C21" s="44"/>
      <c r="D21" s="31">
        <v>1</v>
      </c>
      <c r="E21" s="35"/>
      <c r="F21" s="27">
        <v>1100</v>
      </c>
      <c r="G21" s="35">
        <v>1</v>
      </c>
      <c r="H21" s="27">
        <v>200</v>
      </c>
      <c r="I21" s="31">
        <v>1</v>
      </c>
      <c r="J21" s="27">
        <v>175</v>
      </c>
      <c r="K21" s="27"/>
      <c r="L21" s="27">
        <v>1</v>
      </c>
      <c r="M21" s="27"/>
      <c r="N21" s="27">
        <v>150</v>
      </c>
      <c r="O21" s="27"/>
      <c r="P21" s="27">
        <v>0</v>
      </c>
      <c r="Q21" s="27"/>
      <c r="R21" s="27">
        <v>0</v>
      </c>
      <c r="S21" s="27">
        <f t="shared" si="0"/>
        <v>1476</v>
      </c>
      <c r="T21" s="31">
        <f t="shared" si="1"/>
        <v>0</v>
      </c>
      <c r="U21" s="38"/>
      <c r="V21" s="27"/>
      <c r="W21" s="27">
        <f t="shared" si="4"/>
        <v>1475</v>
      </c>
      <c r="X21" s="27">
        <f t="shared" si="2"/>
        <v>73.75</v>
      </c>
      <c r="Y21" s="27">
        <f t="shared" si="3"/>
        <v>1548.75</v>
      </c>
      <c r="Z21" s="31">
        <v>14</v>
      </c>
      <c r="AA21" s="56"/>
    </row>
    <row r="22" spans="1:29">
      <c r="A22" s="26">
        <v>42180</v>
      </c>
      <c r="B22" s="44"/>
      <c r="C22" s="44"/>
      <c r="D22" s="31">
        <v>1</v>
      </c>
      <c r="E22" s="35"/>
      <c r="F22" s="27">
        <v>1100</v>
      </c>
      <c r="G22" s="35">
        <v>1</v>
      </c>
      <c r="H22" s="27">
        <v>200</v>
      </c>
      <c r="I22" s="31">
        <v>1</v>
      </c>
      <c r="J22" s="27">
        <v>175</v>
      </c>
      <c r="K22" s="27"/>
      <c r="L22" s="27">
        <v>1</v>
      </c>
      <c r="M22" s="27"/>
      <c r="N22" s="27">
        <v>150</v>
      </c>
      <c r="O22" s="27"/>
      <c r="P22" s="27">
        <v>0</v>
      </c>
      <c r="Q22" s="27"/>
      <c r="R22" s="27">
        <v>0</v>
      </c>
      <c r="S22" s="27">
        <f t="shared" si="0"/>
        <v>1476</v>
      </c>
      <c r="T22" s="31">
        <f t="shared" si="1"/>
        <v>0</v>
      </c>
      <c r="U22" s="38"/>
      <c r="V22" s="27"/>
      <c r="W22" s="27">
        <f t="shared" si="4"/>
        <v>1475</v>
      </c>
      <c r="X22" s="27">
        <f t="shared" si="2"/>
        <v>73.75</v>
      </c>
      <c r="Y22" s="27">
        <f t="shared" si="3"/>
        <v>1548.75</v>
      </c>
      <c r="Z22" s="31">
        <v>14</v>
      </c>
      <c r="AA22" s="56"/>
      <c r="AC22" s="37"/>
    </row>
    <row r="23" spans="1:29" s="2" customFormat="1">
      <c r="A23" s="26">
        <v>42181</v>
      </c>
      <c r="B23" s="44"/>
      <c r="C23" s="44"/>
      <c r="D23" s="31">
        <v>1</v>
      </c>
      <c r="E23" s="35"/>
      <c r="F23" s="27">
        <v>1100</v>
      </c>
      <c r="G23" s="35">
        <v>1</v>
      </c>
      <c r="H23" s="27">
        <v>200</v>
      </c>
      <c r="I23" s="31">
        <v>1</v>
      </c>
      <c r="J23" s="27">
        <v>175</v>
      </c>
      <c r="K23" s="27"/>
      <c r="L23" s="27">
        <v>1</v>
      </c>
      <c r="M23" s="27"/>
      <c r="N23" s="27">
        <v>150</v>
      </c>
      <c r="O23" s="27"/>
      <c r="P23" s="27">
        <v>0</v>
      </c>
      <c r="Q23" s="27"/>
      <c r="R23" s="27">
        <v>0</v>
      </c>
      <c r="S23" s="27">
        <f t="shared" si="0"/>
        <v>1476</v>
      </c>
      <c r="T23" s="31">
        <f t="shared" si="1"/>
        <v>0</v>
      </c>
      <c r="U23" s="38"/>
      <c r="V23" s="27"/>
      <c r="W23" s="27">
        <f t="shared" si="4"/>
        <v>1475</v>
      </c>
      <c r="X23" s="27">
        <f t="shared" si="2"/>
        <v>73.75</v>
      </c>
      <c r="Y23" s="27">
        <f t="shared" si="3"/>
        <v>1548.75</v>
      </c>
      <c r="Z23" s="31">
        <v>14</v>
      </c>
      <c r="AA23" s="56"/>
      <c r="AB23" s="316"/>
    </row>
    <row r="24" spans="1:29" s="2" customFormat="1">
      <c r="A24" s="318">
        <v>42186</v>
      </c>
      <c r="B24" s="262"/>
      <c r="C24" s="262"/>
      <c r="D24" s="269"/>
      <c r="E24" s="263"/>
      <c r="F24" s="265">
        <v>1100</v>
      </c>
      <c r="G24" s="265"/>
      <c r="H24" s="265">
        <v>200</v>
      </c>
      <c r="I24" s="263">
        <v>1</v>
      </c>
      <c r="J24" s="265">
        <v>175</v>
      </c>
      <c r="K24" s="265"/>
      <c r="L24" s="265">
        <v>1</v>
      </c>
      <c r="M24" s="265"/>
      <c r="N24" s="265">
        <v>150</v>
      </c>
      <c r="O24" s="265"/>
      <c r="P24" s="265">
        <v>0</v>
      </c>
      <c r="Q24" s="265"/>
      <c r="R24" s="265">
        <v>0</v>
      </c>
      <c r="S24" s="265">
        <f t="shared" si="0"/>
        <v>1476</v>
      </c>
      <c r="T24" s="263">
        <f t="shared" si="1"/>
        <v>0</v>
      </c>
      <c r="U24" s="268"/>
      <c r="V24" s="269"/>
      <c r="W24" s="265">
        <f t="shared" si="4"/>
        <v>175</v>
      </c>
      <c r="X24" s="265">
        <f t="shared" si="2"/>
        <v>8.75</v>
      </c>
      <c r="Y24" s="265" t="s">
        <v>190</v>
      </c>
      <c r="Z24" s="263">
        <v>15</v>
      </c>
      <c r="AA24" s="295"/>
      <c r="AB24" s="316"/>
    </row>
    <row r="25" spans="1:29" s="2" customFormat="1">
      <c r="A25" s="259">
        <v>42187</v>
      </c>
      <c r="B25" s="294"/>
      <c r="C25" s="294"/>
      <c r="D25" s="263">
        <v>1</v>
      </c>
      <c r="E25" s="266"/>
      <c r="F25" s="265">
        <v>1100</v>
      </c>
      <c r="G25" s="266">
        <v>1</v>
      </c>
      <c r="H25" s="265">
        <v>200</v>
      </c>
      <c r="I25" s="263">
        <v>1</v>
      </c>
      <c r="J25" s="265">
        <v>175</v>
      </c>
      <c r="K25" s="265"/>
      <c r="L25" s="265">
        <v>1</v>
      </c>
      <c r="M25" s="265"/>
      <c r="N25" s="265">
        <v>150</v>
      </c>
      <c r="O25" s="265"/>
      <c r="P25" s="265">
        <v>0</v>
      </c>
      <c r="Q25" s="265"/>
      <c r="R25" s="265">
        <v>0</v>
      </c>
      <c r="S25" s="265">
        <f>SUM(L25,J25,H25,F25)</f>
        <v>1476</v>
      </c>
      <c r="T25" s="263">
        <f>(B25+C25)*D25</f>
        <v>0</v>
      </c>
      <c r="U25" s="268"/>
      <c r="V25" s="265"/>
      <c r="W25" s="265">
        <f t="shared" ref="W25:W56" si="5">(D25*F25)+(G25*H25)+(I25*J25)+(K25*L25)+(M25*N25)</f>
        <v>1475</v>
      </c>
      <c r="X25" s="265">
        <f t="shared" ref="X25:X56" si="6">(W25*5%)</f>
        <v>73.75</v>
      </c>
      <c r="Y25" s="265" t="s">
        <v>190</v>
      </c>
      <c r="Z25" s="263">
        <v>15</v>
      </c>
      <c r="AA25" s="295"/>
      <c r="AB25" s="316"/>
    </row>
    <row r="26" spans="1:29" s="2" customFormat="1">
      <c r="A26" s="259">
        <v>42188</v>
      </c>
      <c r="B26" s="294"/>
      <c r="C26" s="294"/>
      <c r="D26" s="263">
        <v>1</v>
      </c>
      <c r="E26" s="266"/>
      <c r="F26" s="265">
        <v>1100</v>
      </c>
      <c r="G26" s="266">
        <v>1</v>
      </c>
      <c r="H26" s="265">
        <v>200</v>
      </c>
      <c r="I26" s="263">
        <v>1</v>
      </c>
      <c r="J26" s="265">
        <v>175</v>
      </c>
      <c r="K26" s="265"/>
      <c r="L26" s="265">
        <v>1</v>
      </c>
      <c r="M26" s="265"/>
      <c r="N26" s="265">
        <v>150</v>
      </c>
      <c r="O26" s="265"/>
      <c r="P26" s="265">
        <v>0</v>
      </c>
      <c r="Q26" s="265"/>
      <c r="R26" s="265">
        <v>0</v>
      </c>
      <c r="S26" s="265">
        <f>SUM(L26,J26,H26,F26)</f>
        <v>1476</v>
      </c>
      <c r="T26" s="263">
        <f>(B26+C26)*D26</f>
        <v>0</v>
      </c>
      <c r="U26" s="268"/>
      <c r="V26" s="265"/>
      <c r="W26" s="265">
        <f t="shared" si="5"/>
        <v>1475</v>
      </c>
      <c r="X26" s="265">
        <f t="shared" si="6"/>
        <v>73.75</v>
      </c>
      <c r="Y26" s="265" t="s">
        <v>190</v>
      </c>
      <c r="Z26" s="263">
        <v>15</v>
      </c>
      <c r="AA26" s="295"/>
      <c r="AB26" s="316"/>
    </row>
    <row r="27" spans="1:29" s="2" customFormat="1" ht="13.5" customHeight="1">
      <c r="A27" s="259">
        <v>42189</v>
      </c>
      <c r="B27" s="294"/>
      <c r="C27" s="294"/>
      <c r="D27" s="263">
        <v>1</v>
      </c>
      <c r="E27" s="266"/>
      <c r="F27" s="265">
        <v>1100</v>
      </c>
      <c r="G27" s="266">
        <v>1</v>
      </c>
      <c r="H27" s="265">
        <v>200</v>
      </c>
      <c r="I27" s="263">
        <v>1</v>
      </c>
      <c r="J27" s="265">
        <v>175</v>
      </c>
      <c r="K27" s="265"/>
      <c r="L27" s="265">
        <v>1</v>
      </c>
      <c r="M27" s="265"/>
      <c r="N27" s="265">
        <v>150</v>
      </c>
      <c r="O27" s="265"/>
      <c r="P27" s="265">
        <v>0</v>
      </c>
      <c r="Q27" s="265"/>
      <c r="R27" s="265">
        <v>0</v>
      </c>
      <c r="S27" s="265">
        <f>SUM(L27,J27,H27,F27)</f>
        <v>1476</v>
      </c>
      <c r="T27" s="263">
        <f>(B27+C27)*D27</f>
        <v>0</v>
      </c>
      <c r="U27" s="268"/>
      <c r="V27" s="265"/>
      <c r="W27" s="265">
        <f t="shared" si="5"/>
        <v>1475</v>
      </c>
      <c r="X27" s="265">
        <f t="shared" si="6"/>
        <v>73.75</v>
      </c>
      <c r="Y27" s="265" t="s">
        <v>190</v>
      </c>
      <c r="Z27" s="263">
        <v>15</v>
      </c>
      <c r="AA27" s="295"/>
      <c r="AB27" s="316"/>
    </row>
    <row r="28" spans="1:29" s="2" customFormat="1" ht="14.25" customHeight="1">
      <c r="A28" s="258">
        <v>42190</v>
      </c>
      <c r="B28" s="262"/>
      <c r="C28" s="262"/>
      <c r="D28" s="269"/>
      <c r="E28" s="264"/>
      <c r="F28" s="265">
        <v>1100</v>
      </c>
      <c r="G28" s="267"/>
      <c r="H28" s="265">
        <v>200</v>
      </c>
      <c r="I28" s="263">
        <v>1</v>
      </c>
      <c r="J28" s="265">
        <v>175</v>
      </c>
      <c r="K28" s="265"/>
      <c r="L28" s="265">
        <v>1</v>
      </c>
      <c r="M28" s="265"/>
      <c r="N28" s="265">
        <v>150</v>
      </c>
      <c r="O28" s="265"/>
      <c r="P28" s="265">
        <v>0</v>
      </c>
      <c r="Q28" s="265"/>
      <c r="R28" s="265">
        <v>0</v>
      </c>
      <c r="S28" s="265">
        <f>SUM(L28,J28,H28,F28)</f>
        <v>1476</v>
      </c>
      <c r="T28" s="263">
        <f>(B28+C28)*D28</f>
        <v>0</v>
      </c>
      <c r="U28" s="268"/>
      <c r="V28" s="265"/>
      <c r="W28" s="265">
        <f t="shared" si="5"/>
        <v>175</v>
      </c>
      <c r="X28" s="265">
        <f t="shared" si="6"/>
        <v>8.75</v>
      </c>
      <c r="Y28" s="265" t="s">
        <v>190</v>
      </c>
      <c r="Z28" s="263">
        <v>15</v>
      </c>
      <c r="AA28" s="295"/>
      <c r="AB28" s="316"/>
    </row>
    <row r="29" spans="1:29" s="2" customFormat="1">
      <c r="A29" s="318">
        <v>42191</v>
      </c>
      <c r="B29" s="262"/>
      <c r="C29" s="262"/>
      <c r="D29" s="269">
        <v>1</v>
      </c>
      <c r="E29" s="264"/>
      <c r="F29" s="265">
        <v>1100</v>
      </c>
      <c r="G29" s="266">
        <v>1</v>
      </c>
      <c r="H29" s="265">
        <v>200</v>
      </c>
      <c r="I29" s="263">
        <v>1</v>
      </c>
      <c r="J29" s="265">
        <v>175</v>
      </c>
      <c r="K29" s="265"/>
      <c r="L29" s="265">
        <v>1</v>
      </c>
      <c r="M29" s="265"/>
      <c r="N29" s="265">
        <v>150</v>
      </c>
      <c r="O29" s="265"/>
      <c r="P29" s="265"/>
      <c r="Q29" s="265"/>
      <c r="R29" s="265"/>
      <c r="S29" s="265"/>
      <c r="T29" s="263"/>
      <c r="U29" s="268"/>
      <c r="V29" s="269"/>
      <c r="W29" s="265">
        <f t="shared" si="5"/>
        <v>1475</v>
      </c>
      <c r="X29" s="265">
        <f t="shared" si="6"/>
        <v>73.75</v>
      </c>
      <c r="Y29" s="265" t="s">
        <v>190</v>
      </c>
      <c r="Z29" s="263">
        <v>15</v>
      </c>
      <c r="AA29" s="295"/>
      <c r="AB29" s="316"/>
    </row>
    <row r="30" spans="1:29" s="2" customFormat="1">
      <c r="A30" s="318">
        <v>42192</v>
      </c>
      <c r="B30" s="262"/>
      <c r="C30" s="262"/>
      <c r="D30" s="269">
        <v>1</v>
      </c>
      <c r="E30" s="264"/>
      <c r="F30" s="265">
        <v>1100</v>
      </c>
      <c r="G30" s="266">
        <v>1</v>
      </c>
      <c r="H30" s="265">
        <v>200</v>
      </c>
      <c r="I30" s="263">
        <v>1</v>
      </c>
      <c r="J30" s="265">
        <v>175</v>
      </c>
      <c r="K30" s="265"/>
      <c r="L30" s="265">
        <v>1</v>
      </c>
      <c r="M30" s="265"/>
      <c r="N30" s="265">
        <v>150</v>
      </c>
      <c r="O30" s="265"/>
      <c r="P30" s="265"/>
      <c r="Q30" s="265"/>
      <c r="R30" s="265"/>
      <c r="S30" s="265"/>
      <c r="T30" s="263"/>
      <c r="U30" s="268"/>
      <c r="V30" s="269"/>
      <c r="W30" s="265">
        <f t="shared" si="5"/>
        <v>1475</v>
      </c>
      <c r="X30" s="265">
        <f t="shared" si="6"/>
        <v>73.75</v>
      </c>
      <c r="Y30" s="265" t="s">
        <v>190</v>
      </c>
      <c r="Z30" s="263">
        <v>15</v>
      </c>
      <c r="AA30" s="295"/>
      <c r="AB30" s="316"/>
    </row>
    <row r="31" spans="1:29" s="2" customFormat="1">
      <c r="A31" s="318">
        <v>42193</v>
      </c>
      <c r="B31" s="262"/>
      <c r="C31" s="262"/>
      <c r="D31" s="269">
        <v>1</v>
      </c>
      <c r="E31" s="264"/>
      <c r="F31" s="265">
        <v>1100</v>
      </c>
      <c r="G31" s="266">
        <v>1</v>
      </c>
      <c r="H31" s="265">
        <v>200</v>
      </c>
      <c r="I31" s="263">
        <v>1</v>
      </c>
      <c r="J31" s="265">
        <v>175</v>
      </c>
      <c r="K31" s="265"/>
      <c r="L31" s="265">
        <v>1</v>
      </c>
      <c r="M31" s="265"/>
      <c r="N31" s="265">
        <v>150</v>
      </c>
      <c r="O31" s="265"/>
      <c r="P31" s="265"/>
      <c r="Q31" s="265"/>
      <c r="R31" s="265"/>
      <c r="S31" s="265"/>
      <c r="T31" s="263"/>
      <c r="U31" s="268"/>
      <c r="V31" s="269"/>
      <c r="W31" s="265">
        <f t="shared" si="5"/>
        <v>1475</v>
      </c>
      <c r="X31" s="265">
        <f t="shared" si="6"/>
        <v>73.75</v>
      </c>
      <c r="Y31" s="265" t="s">
        <v>190</v>
      </c>
      <c r="Z31" s="263">
        <v>15</v>
      </c>
      <c r="AA31" s="295"/>
      <c r="AB31" s="316"/>
    </row>
    <row r="32" spans="1:29" s="2" customFormat="1">
      <c r="A32" s="318">
        <v>42194</v>
      </c>
      <c r="B32" s="262"/>
      <c r="C32" s="262"/>
      <c r="D32" s="269">
        <v>1</v>
      </c>
      <c r="E32" s="264"/>
      <c r="F32" s="265">
        <v>1100</v>
      </c>
      <c r="G32" s="266">
        <v>1</v>
      </c>
      <c r="H32" s="265">
        <v>200</v>
      </c>
      <c r="I32" s="263">
        <v>1</v>
      </c>
      <c r="J32" s="265">
        <v>175</v>
      </c>
      <c r="K32" s="265"/>
      <c r="L32" s="265">
        <v>1</v>
      </c>
      <c r="M32" s="265"/>
      <c r="N32" s="265">
        <v>150</v>
      </c>
      <c r="O32" s="265"/>
      <c r="P32" s="265"/>
      <c r="Q32" s="265"/>
      <c r="R32" s="265"/>
      <c r="S32" s="265"/>
      <c r="T32" s="263"/>
      <c r="U32" s="268"/>
      <c r="V32" s="269"/>
      <c r="W32" s="265">
        <f t="shared" si="5"/>
        <v>1475</v>
      </c>
      <c r="X32" s="265">
        <f t="shared" si="6"/>
        <v>73.75</v>
      </c>
      <c r="Y32" s="265" t="s">
        <v>190</v>
      </c>
      <c r="Z32" s="263">
        <v>15</v>
      </c>
      <c r="AA32" s="295"/>
      <c r="AB32" s="316"/>
    </row>
    <row r="33" spans="1:28" s="2" customFormat="1">
      <c r="A33" s="318">
        <v>42195</v>
      </c>
      <c r="B33" s="262"/>
      <c r="C33" s="262"/>
      <c r="D33" s="269">
        <v>1</v>
      </c>
      <c r="E33" s="264"/>
      <c r="F33" s="265">
        <v>1100</v>
      </c>
      <c r="G33" s="266">
        <v>1</v>
      </c>
      <c r="H33" s="265">
        <v>200</v>
      </c>
      <c r="I33" s="263">
        <v>1</v>
      </c>
      <c r="J33" s="265">
        <v>175</v>
      </c>
      <c r="K33" s="265"/>
      <c r="L33" s="265">
        <v>1</v>
      </c>
      <c r="M33" s="265"/>
      <c r="N33" s="265">
        <v>150</v>
      </c>
      <c r="O33" s="265"/>
      <c r="P33" s="265"/>
      <c r="Q33" s="265"/>
      <c r="R33" s="265"/>
      <c r="S33" s="265"/>
      <c r="T33" s="263"/>
      <c r="U33" s="268"/>
      <c r="V33" s="269"/>
      <c r="W33" s="265">
        <f t="shared" si="5"/>
        <v>1475</v>
      </c>
      <c r="X33" s="265">
        <f t="shared" si="6"/>
        <v>73.75</v>
      </c>
      <c r="Y33" s="265" t="s">
        <v>190</v>
      </c>
      <c r="Z33" s="263">
        <v>15</v>
      </c>
      <c r="AA33" s="295"/>
      <c r="AB33" s="316"/>
    </row>
    <row r="34" spans="1:28" s="2" customFormat="1">
      <c r="A34" s="318">
        <v>42196</v>
      </c>
      <c r="B34" s="262"/>
      <c r="C34" s="262"/>
      <c r="D34" s="269">
        <v>1</v>
      </c>
      <c r="E34" s="264"/>
      <c r="F34" s="265">
        <v>1100</v>
      </c>
      <c r="G34" s="266">
        <v>1</v>
      </c>
      <c r="H34" s="265">
        <v>200</v>
      </c>
      <c r="I34" s="263">
        <v>1</v>
      </c>
      <c r="J34" s="265">
        <v>175</v>
      </c>
      <c r="K34" s="265"/>
      <c r="L34" s="265">
        <v>1</v>
      </c>
      <c r="M34" s="265"/>
      <c r="N34" s="265">
        <v>150</v>
      </c>
      <c r="O34" s="265"/>
      <c r="P34" s="265"/>
      <c r="Q34" s="265"/>
      <c r="R34" s="265"/>
      <c r="S34" s="265"/>
      <c r="T34" s="263"/>
      <c r="U34" s="268"/>
      <c r="V34" s="269"/>
      <c r="W34" s="265">
        <f t="shared" si="5"/>
        <v>1475</v>
      </c>
      <c r="X34" s="265">
        <f t="shared" si="6"/>
        <v>73.75</v>
      </c>
      <c r="Y34" s="265" t="s">
        <v>190</v>
      </c>
      <c r="Z34" s="263">
        <v>15</v>
      </c>
      <c r="AA34" s="295"/>
      <c r="AB34" s="316"/>
    </row>
    <row r="35" spans="1:28" s="2" customFormat="1">
      <c r="A35" s="318">
        <v>42197</v>
      </c>
      <c r="B35" s="262"/>
      <c r="C35" s="262"/>
      <c r="D35" s="269"/>
      <c r="E35" s="264"/>
      <c r="F35" s="265">
        <v>1100</v>
      </c>
      <c r="G35" s="267"/>
      <c r="H35" s="265">
        <v>200</v>
      </c>
      <c r="I35" s="263">
        <v>1</v>
      </c>
      <c r="J35" s="265">
        <v>175</v>
      </c>
      <c r="K35" s="265"/>
      <c r="L35" s="265">
        <v>1</v>
      </c>
      <c r="M35" s="265"/>
      <c r="N35" s="265">
        <v>150</v>
      </c>
      <c r="O35" s="265"/>
      <c r="P35" s="265"/>
      <c r="Q35" s="265"/>
      <c r="R35" s="265"/>
      <c r="S35" s="265"/>
      <c r="T35" s="263"/>
      <c r="U35" s="268"/>
      <c r="V35" s="269"/>
      <c r="W35" s="265">
        <f t="shared" si="5"/>
        <v>175</v>
      </c>
      <c r="X35" s="265">
        <f t="shared" si="6"/>
        <v>8.75</v>
      </c>
      <c r="Y35" s="265" t="s">
        <v>190</v>
      </c>
      <c r="Z35" s="263">
        <v>15</v>
      </c>
      <c r="AA35" s="295"/>
      <c r="AB35" s="316"/>
    </row>
    <row r="36" spans="1:28" s="2" customFormat="1">
      <c r="A36" s="318">
        <v>42198</v>
      </c>
      <c r="B36" s="262"/>
      <c r="C36" s="262"/>
      <c r="D36" s="269"/>
      <c r="E36" s="264"/>
      <c r="F36" s="265">
        <v>1100</v>
      </c>
      <c r="G36" s="267"/>
      <c r="H36" s="265">
        <v>200</v>
      </c>
      <c r="I36" s="263">
        <v>1</v>
      </c>
      <c r="J36" s="265">
        <v>175</v>
      </c>
      <c r="K36" s="265"/>
      <c r="L36" s="265">
        <v>1</v>
      </c>
      <c r="M36" s="265"/>
      <c r="N36" s="265">
        <v>150</v>
      </c>
      <c r="O36" s="265"/>
      <c r="P36" s="265"/>
      <c r="Q36" s="265"/>
      <c r="R36" s="265"/>
      <c r="S36" s="265"/>
      <c r="T36" s="263"/>
      <c r="U36" s="268"/>
      <c r="V36" s="269"/>
      <c r="W36" s="265">
        <f t="shared" si="5"/>
        <v>175</v>
      </c>
      <c r="X36" s="265">
        <f t="shared" si="6"/>
        <v>8.75</v>
      </c>
      <c r="Y36" s="265" t="s">
        <v>190</v>
      </c>
      <c r="Z36" s="263">
        <v>15</v>
      </c>
      <c r="AA36" s="295"/>
      <c r="AB36" s="316"/>
    </row>
    <row r="37" spans="1:28" s="2" customFormat="1">
      <c r="A37" s="318">
        <v>42199</v>
      </c>
      <c r="B37" s="262"/>
      <c r="C37" s="262"/>
      <c r="D37" s="269"/>
      <c r="E37" s="264"/>
      <c r="F37" s="265">
        <v>1100</v>
      </c>
      <c r="G37" s="267"/>
      <c r="H37" s="265">
        <v>200</v>
      </c>
      <c r="I37" s="263">
        <v>1</v>
      </c>
      <c r="J37" s="265">
        <v>175</v>
      </c>
      <c r="K37" s="265"/>
      <c r="L37" s="265">
        <v>1</v>
      </c>
      <c r="M37" s="265"/>
      <c r="N37" s="265">
        <v>150</v>
      </c>
      <c r="O37" s="265"/>
      <c r="P37" s="265"/>
      <c r="Q37" s="265"/>
      <c r="R37" s="265"/>
      <c r="S37" s="265"/>
      <c r="T37" s="263"/>
      <c r="U37" s="268"/>
      <c r="V37" s="269"/>
      <c r="W37" s="265">
        <f t="shared" si="5"/>
        <v>175</v>
      </c>
      <c r="X37" s="265">
        <f t="shared" si="6"/>
        <v>8.75</v>
      </c>
      <c r="Y37" s="265" t="s">
        <v>190</v>
      </c>
      <c r="Z37" s="263">
        <v>15</v>
      </c>
      <c r="AA37" s="295"/>
      <c r="AB37" s="316"/>
    </row>
    <row r="38" spans="1:28" s="2" customFormat="1">
      <c r="A38" s="318">
        <v>42200</v>
      </c>
      <c r="B38" s="262"/>
      <c r="C38" s="262"/>
      <c r="D38" s="269">
        <v>1</v>
      </c>
      <c r="E38" s="264"/>
      <c r="F38" s="265">
        <v>1100</v>
      </c>
      <c r="G38" s="266">
        <v>1</v>
      </c>
      <c r="H38" s="265">
        <v>200</v>
      </c>
      <c r="I38" s="263">
        <v>1</v>
      </c>
      <c r="J38" s="265">
        <v>175</v>
      </c>
      <c r="K38" s="265"/>
      <c r="L38" s="265">
        <v>1</v>
      </c>
      <c r="M38" s="265"/>
      <c r="N38" s="265">
        <v>150</v>
      </c>
      <c r="O38" s="265"/>
      <c r="P38" s="265"/>
      <c r="Q38" s="265"/>
      <c r="R38" s="265"/>
      <c r="S38" s="265"/>
      <c r="T38" s="263"/>
      <c r="U38" s="268"/>
      <c r="V38" s="269"/>
      <c r="W38" s="265">
        <f t="shared" si="5"/>
        <v>1475</v>
      </c>
      <c r="X38" s="265">
        <f t="shared" si="6"/>
        <v>73.75</v>
      </c>
      <c r="Y38" s="265" t="s">
        <v>190</v>
      </c>
      <c r="Z38" s="263">
        <v>15</v>
      </c>
      <c r="AA38" s="300">
        <f>SUM(W24:W54)</f>
        <v>34025</v>
      </c>
      <c r="AB38" s="316"/>
    </row>
    <row r="39" spans="1:28" s="2" customFormat="1">
      <c r="A39" s="318">
        <v>42201</v>
      </c>
      <c r="B39" s="262"/>
      <c r="C39" s="262"/>
      <c r="D39" s="269">
        <v>1</v>
      </c>
      <c r="E39" s="264"/>
      <c r="F39" s="265">
        <v>1100</v>
      </c>
      <c r="G39" s="266">
        <v>1</v>
      </c>
      <c r="H39" s="265">
        <v>200</v>
      </c>
      <c r="I39" s="263">
        <v>1</v>
      </c>
      <c r="J39" s="265">
        <v>175</v>
      </c>
      <c r="K39" s="265"/>
      <c r="L39" s="265">
        <v>1</v>
      </c>
      <c r="M39" s="265"/>
      <c r="N39" s="265">
        <v>150</v>
      </c>
      <c r="O39" s="265"/>
      <c r="P39" s="265"/>
      <c r="Q39" s="265"/>
      <c r="R39" s="265"/>
      <c r="S39" s="265"/>
      <c r="T39" s="263"/>
      <c r="U39" s="268"/>
      <c r="V39" s="269"/>
      <c r="W39" s="265">
        <f t="shared" si="5"/>
        <v>1475</v>
      </c>
      <c r="X39" s="265">
        <f t="shared" si="6"/>
        <v>73.75</v>
      </c>
      <c r="Y39" s="265">
        <f t="shared" ref="Y39:Y75" si="7">SUM(W39+X39)</f>
        <v>1548.75</v>
      </c>
      <c r="Z39" s="263">
        <v>15</v>
      </c>
      <c r="AA39" s="295"/>
      <c r="AB39" s="316"/>
    </row>
    <row r="40" spans="1:28" s="2" customFormat="1">
      <c r="A40" s="318">
        <v>42202</v>
      </c>
      <c r="B40" s="262"/>
      <c r="C40" s="262"/>
      <c r="D40" s="269"/>
      <c r="E40" s="264"/>
      <c r="F40" s="265">
        <v>1100</v>
      </c>
      <c r="G40" s="267"/>
      <c r="H40" s="265">
        <v>200</v>
      </c>
      <c r="I40" s="263">
        <v>1</v>
      </c>
      <c r="J40" s="265">
        <v>175</v>
      </c>
      <c r="K40" s="265"/>
      <c r="L40" s="265">
        <v>1</v>
      </c>
      <c r="M40" s="265"/>
      <c r="N40" s="265">
        <v>150</v>
      </c>
      <c r="O40" s="265"/>
      <c r="P40" s="265"/>
      <c r="Q40" s="265"/>
      <c r="R40" s="265"/>
      <c r="S40" s="265"/>
      <c r="T40" s="263"/>
      <c r="U40" s="268"/>
      <c r="V40" s="269"/>
      <c r="W40" s="265">
        <f t="shared" si="5"/>
        <v>175</v>
      </c>
      <c r="X40" s="265">
        <f t="shared" si="6"/>
        <v>8.75</v>
      </c>
      <c r="Y40" s="265">
        <f t="shared" si="7"/>
        <v>183.75</v>
      </c>
      <c r="Z40" s="263">
        <v>15</v>
      </c>
      <c r="AA40" s="295"/>
      <c r="AB40" s="316"/>
    </row>
    <row r="41" spans="1:28" s="2" customFormat="1">
      <c r="A41" s="318">
        <v>42203</v>
      </c>
      <c r="B41" s="262"/>
      <c r="C41" s="262">
        <v>425</v>
      </c>
      <c r="D41" s="269"/>
      <c r="E41" s="264"/>
      <c r="F41" s="265">
        <v>1100</v>
      </c>
      <c r="G41" s="267"/>
      <c r="H41" s="265">
        <v>200</v>
      </c>
      <c r="I41" s="263">
        <v>1</v>
      </c>
      <c r="J41" s="265">
        <v>175</v>
      </c>
      <c r="K41" s="265"/>
      <c r="L41" s="265">
        <v>1</v>
      </c>
      <c r="M41" s="265"/>
      <c r="N41" s="265">
        <v>150</v>
      </c>
      <c r="O41" s="265"/>
      <c r="P41" s="265"/>
      <c r="Q41" s="265"/>
      <c r="R41" s="265"/>
      <c r="S41" s="265"/>
      <c r="T41" s="263"/>
      <c r="U41" s="268"/>
      <c r="V41" s="269"/>
      <c r="W41" s="265">
        <f t="shared" si="5"/>
        <v>175</v>
      </c>
      <c r="X41" s="265">
        <f t="shared" si="6"/>
        <v>8.75</v>
      </c>
      <c r="Y41" s="265">
        <f t="shared" si="7"/>
        <v>183.75</v>
      </c>
      <c r="Z41" s="263">
        <v>15</v>
      </c>
      <c r="AA41" s="295"/>
      <c r="AB41" s="316"/>
    </row>
    <row r="42" spans="1:28" s="2" customFormat="1">
      <c r="A42" s="318">
        <v>42204</v>
      </c>
      <c r="B42" s="262"/>
      <c r="C42" s="262">
        <v>426</v>
      </c>
      <c r="D42" s="269"/>
      <c r="E42" s="264"/>
      <c r="F42" s="265">
        <v>1100</v>
      </c>
      <c r="G42" s="267"/>
      <c r="H42" s="265">
        <v>200</v>
      </c>
      <c r="I42" s="263">
        <v>1</v>
      </c>
      <c r="J42" s="265">
        <v>175</v>
      </c>
      <c r="K42" s="265"/>
      <c r="L42" s="265">
        <v>1</v>
      </c>
      <c r="M42" s="265"/>
      <c r="N42" s="265">
        <v>150</v>
      </c>
      <c r="O42" s="265"/>
      <c r="P42" s="265"/>
      <c r="Q42" s="265"/>
      <c r="R42" s="265"/>
      <c r="S42" s="265"/>
      <c r="T42" s="263"/>
      <c r="U42" s="268"/>
      <c r="V42" s="269"/>
      <c r="W42" s="265">
        <f t="shared" si="5"/>
        <v>175</v>
      </c>
      <c r="X42" s="265">
        <f t="shared" si="6"/>
        <v>8.75</v>
      </c>
      <c r="Y42" s="265">
        <f t="shared" si="7"/>
        <v>183.75</v>
      </c>
      <c r="Z42" s="263">
        <v>15</v>
      </c>
      <c r="AA42" s="295"/>
      <c r="AB42" s="316"/>
    </row>
    <row r="43" spans="1:28" s="2" customFormat="1">
      <c r="A43" s="318">
        <v>42205</v>
      </c>
      <c r="B43" s="262"/>
      <c r="C43" s="262">
        <v>427</v>
      </c>
      <c r="D43" s="269">
        <v>1</v>
      </c>
      <c r="E43" s="264"/>
      <c r="F43" s="265">
        <v>1100</v>
      </c>
      <c r="G43" s="266">
        <v>1</v>
      </c>
      <c r="H43" s="265">
        <v>200</v>
      </c>
      <c r="I43" s="263">
        <v>1</v>
      </c>
      <c r="J43" s="265">
        <v>175</v>
      </c>
      <c r="K43" s="265"/>
      <c r="L43" s="265">
        <v>1</v>
      </c>
      <c r="M43" s="265"/>
      <c r="N43" s="265">
        <v>150</v>
      </c>
      <c r="O43" s="265"/>
      <c r="P43" s="265"/>
      <c r="Q43" s="265"/>
      <c r="R43" s="265"/>
      <c r="S43" s="265"/>
      <c r="T43" s="263"/>
      <c r="U43" s="268"/>
      <c r="V43" s="269"/>
      <c r="W43" s="265">
        <f t="shared" si="5"/>
        <v>1475</v>
      </c>
      <c r="X43" s="265">
        <f t="shared" si="6"/>
        <v>73.75</v>
      </c>
      <c r="Y43" s="265">
        <f t="shared" si="7"/>
        <v>1548.75</v>
      </c>
      <c r="Z43" s="263">
        <v>15</v>
      </c>
      <c r="AA43" s="295"/>
      <c r="AB43" s="316"/>
    </row>
    <row r="44" spans="1:28" s="2" customFormat="1">
      <c r="A44" s="318">
        <v>42206</v>
      </c>
      <c r="B44" s="262"/>
      <c r="C44" s="262">
        <v>427</v>
      </c>
      <c r="D44" s="269">
        <v>1</v>
      </c>
      <c r="E44" s="264"/>
      <c r="F44" s="265">
        <v>1100</v>
      </c>
      <c r="G44" s="266">
        <v>1</v>
      </c>
      <c r="H44" s="265">
        <v>200</v>
      </c>
      <c r="I44" s="263">
        <v>1</v>
      </c>
      <c r="J44" s="265">
        <v>175</v>
      </c>
      <c r="K44" s="265"/>
      <c r="L44" s="265">
        <v>1</v>
      </c>
      <c r="M44" s="265"/>
      <c r="N44" s="265">
        <v>150</v>
      </c>
      <c r="O44" s="265"/>
      <c r="P44" s="265"/>
      <c r="Q44" s="265"/>
      <c r="R44" s="265"/>
      <c r="S44" s="265"/>
      <c r="T44" s="263"/>
      <c r="U44" s="268"/>
      <c r="V44" s="269"/>
      <c r="W44" s="265">
        <f t="shared" si="5"/>
        <v>1475</v>
      </c>
      <c r="X44" s="265">
        <f t="shared" si="6"/>
        <v>73.75</v>
      </c>
      <c r="Y44" s="265">
        <f t="shared" si="7"/>
        <v>1548.75</v>
      </c>
      <c r="Z44" s="263">
        <v>15</v>
      </c>
      <c r="AA44" s="295"/>
      <c r="AB44" s="316"/>
    </row>
    <row r="45" spans="1:28" s="2" customFormat="1">
      <c r="A45" s="318">
        <v>42207</v>
      </c>
      <c r="B45" s="262"/>
      <c r="C45" s="262">
        <v>427</v>
      </c>
      <c r="D45" s="269">
        <v>1</v>
      </c>
      <c r="E45" s="264"/>
      <c r="F45" s="265">
        <v>1100</v>
      </c>
      <c r="G45" s="266">
        <v>1</v>
      </c>
      <c r="H45" s="265">
        <v>200</v>
      </c>
      <c r="I45" s="263">
        <v>1</v>
      </c>
      <c r="J45" s="265">
        <v>175</v>
      </c>
      <c r="K45" s="265"/>
      <c r="L45" s="265">
        <v>1</v>
      </c>
      <c r="M45" s="265"/>
      <c r="N45" s="265">
        <v>150</v>
      </c>
      <c r="O45" s="265"/>
      <c r="P45" s="265"/>
      <c r="Q45" s="265"/>
      <c r="R45" s="265"/>
      <c r="S45" s="265"/>
      <c r="T45" s="263"/>
      <c r="U45" s="268"/>
      <c r="V45" s="269"/>
      <c r="W45" s="265">
        <f t="shared" si="5"/>
        <v>1475</v>
      </c>
      <c r="X45" s="265">
        <f t="shared" si="6"/>
        <v>73.75</v>
      </c>
      <c r="Y45" s="265">
        <f t="shared" si="7"/>
        <v>1548.75</v>
      </c>
      <c r="Z45" s="263">
        <v>15</v>
      </c>
      <c r="AA45" s="295"/>
      <c r="AB45" s="316"/>
    </row>
    <row r="46" spans="1:28" s="2" customFormat="1">
      <c r="A46" s="318">
        <v>42208</v>
      </c>
      <c r="B46" s="262"/>
      <c r="C46" s="262">
        <v>427</v>
      </c>
      <c r="D46" s="269">
        <v>1</v>
      </c>
      <c r="E46" s="264"/>
      <c r="F46" s="265">
        <v>1100</v>
      </c>
      <c r="G46" s="266">
        <v>1</v>
      </c>
      <c r="H46" s="265">
        <v>200</v>
      </c>
      <c r="I46" s="263">
        <v>1</v>
      </c>
      <c r="J46" s="265">
        <v>175</v>
      </c>
      <c r="K46" s="265"/>
      <c r="L46" s="265">
        <v>1</v>
      </c>
      <c r="M46" s="265"/>
      <c r="N46" s="265">
        <v>150</v>
      </c>
      <c r="O46" s="265"/>
      <c r="P46" s="265"/>
      <c r="Q46" s="265"/>
      <c r="R46" s="265"/>
      <c r="S46" s="265"/>
      <c r="T46" s="263"/>
      <c r="U46" s="268"/>
      <c r="V46" s="269"/>
      <c r="W46" s="265">
        <f t="shared" si="5"/>
        <v>1475</v>
      </c>
      <c r="X46" s="265">
        <f t="shared" si="6"/>
        <v>73.75</v>
      </c>
      <c r="Y46" s="265">
        <f t="shared" si="7"/>
        <v>1548.75</v>
      </c>
      <c r="Z46" s="263">
        <v>15</v>
      </c>
      <c r="AA46" s="295"/>
      <c r="AB46" s="316"/>
    </row>
    <row r="47" spans="1:28" s="2" customFormat="1">
      <c r="A47" s="318">
        <v>42209</v>
      </c>
      <c r="B47" s="262"/>
      <c r="C47" s="262">
        <v>427</v>
      </c>
      <c r="D47" s="269">
        <v>1</v>
      </c>
      <c r="E47" s="264"/>
      <c r="F47" s="265">
        <v>1100</v>
      </c>
      <c r="G47" s="266">
        <v>1</v>
      </c>
      <c r="H47" s="265">
        <v>200</v>
      </c>
      <c r="I47" s="263">
        <v>1</v>
      </c>
      <c r="J47" s="265">
        <v>175</v>
      </c>
      <c r="K47" s="265"/>
      <c r="L47" s="265">
        <v>1</v>
      </c>
      <c r="M47" s="265"/>
      <c r="N47" s="265">
        <v>150</v>
      </c>
      <c r="O47" s="265"/>
      <c r="P47" s="265"/>
      <c r="Q47" s="265"/>
      <c r="R47" s="265"/>
      <c r="S47" s="265"/>
      <c r="T47" s="263"/>
      <c r="U47" s="268"/>
      <c r="V47" s="269"/>
      <c r="W47" s="265">
        <f t="shared" si="5"/>
        <v>1475</v>
      </c>
      <c r="X47" s="265">
        <f t="shared" si="6"/>
        <v>73.75</v>
      </c>
      <c r="Y47" s="265">
        <f t="shared" si="7"/>
        <v>1548.75</v>
      </c>
      <c r="Z47" s="263">
        <v>15</v>
      </c>
      <c r="AA47" s="295"/>
      <c r="AB47" s="316"/>
    </row>
    <row r="48" spans="1:28" s="2" customFormat="1">
      <c r="A48" s="318">
        <v>42210</v>
      </c>
      <c r="B48" s="262"/>
      <c r="C48" s="262">
        <v>427</v>
      </c>
      <c r="D48" s="269">
        <v>1</v>
      </c>
      <c r="E48" s="264"/>
      <c r="F48" s="265">
        <v>1100</v>
      </c>
      <c r="G48" s="266">
        <v>1</v>
      </c>
      <c r="H48" s="265">
        <v>200</v>
      </c>
      <c r="I48" s="263">
        <v>1</v>
      </c>
      <c r="J48" s="265">
        <v>175</v>
      </c>
      <c r="K48" s="265"/>
      <c r="L48" s="265">
        <v>1</v>
      </c>
      <c r="M48" s="265"/>
      <c r="N48" s="265">
        <v>150</v>
      </c>
      <c r="O48" s="265"/>
      <c r="P48" s="265"/>
      <c r="Q48" s="265"/>
      <c r="R48" s="265"/>
      <c r="S48" s="265"/>
      <c r="T48" s="263"/>
      <c r="U48" s="268"/>
      <c r="V48" s="269"/>
      <c r="W48" s="265">
        <f t="shared" si="5"/>
        <v>1475</v>
      </c>
      <c r="X48" s="265">
        <f t="shared" si="6"/>
        <v>73.75</v>
      </c>
      <c r="Y48" s="265">
        <f t="shared" si="7"/>
        <v>1548.75</v>
      </c>
      <c r="Z48" s="263">
        <v>15</v>
      </c>
      <c r="AA48" s="295"/>
      <c r="AB48" s="316"/>
    </row>
    <row r="49" spans="1:28" s="2" customFormat="1">
      <c r="A49" s="318">
        <v>42211</v>
      </c>
      <c r="B49" s="262"/>
      <c r="C49" s="262">
        <v>427</v>
      </c>
      <c r="D49" s="269"/>
      <c r="E49" s="264"/>
      <c r="F49" s="265">
        <v>1100</v>
      </c>
      <c r="G49" s="267"/>
      <c r="H49" s="265">
        <v>200</v>
      </c>
      <c r="I49" s="263">
        <v>1</v>
      </c>
      <c r="J49" s="265">
        <v>175</v>
      </c>
      <c r="K49" s="265"/>
      <c r="L49" s="265">
        <v>1</v>
      </c>
      <c r="M49" s="265"/>
      <c r="N49" s="265">
        <v>150</v>
      </c>
      <c r="O49" s="265"/>
      <c r="P49" s="265"/>
      <c r="Q49" s="265"/>
      <c r="R49" s="265"/>
      <c r="S49" s="265"/>
      <c r="T49" s="263"/>
      <c r="U49" s="268"/>
      <c r="V49" s="269"/>
      <c r="W49" s="265">
        <f t="shared" si="5"/>
        <v>175</v>
      </c>
      <c r="X49" s="265">
        <f t="shared" si="6"/>
        <v>8.75</v>
      </c>
      <c r="Y49" s="265">
        <f t="shared" si="7"/>
        <v>183.75</v>
      </c>
      <c r="Z49" s="263">
        <v>15</v>
      </c>
      <c r="AA49" s="295"/>
      <c r="AB49" s="316"/>
    </row>
    <row r="50" spans="1:28" s="2" customFormat="1">
      <c r="A50" s="318">
        <v>42212</v>
      </c>
      <c r="B50" s="262"/>
      <c r="C50" s="262">
        <v>427</v>
      </c>
      <c r="D50" s="269">
        <v>1</v>
      </c>
      <c r="E50" s="264"/>
      <c r="F50" s="265">
        <v>1100</v>
      </c>
      <c r="G50" s="266">
        <v>1</v>
      </c>
      <c r="H50" s="265">
        <v>200</v>
      </c>
      <c r="I50" s="263">
        <v>1</v>
      </c>
      <c r="J50" s="265">
        <v>175</v>
      </c>
      <c r="K50" s="265"/>
      <c r="L50" s="265">
        <v>1</v>
      </c>
      <c r="M50" s="265"/>
      <c r="N50" s="265">
        <v>150</v>
      </c>
      <c r="O50" s="265"/>
      <c r="P50" s="265"/>
      <c r="Q50" s="265"/>
      <c r="R50" s="265"/>
      <c r="S50" s="265"/>
      <c r="T50" s="263"/>
      <c r="U50" s="268"/>
      <c r="V50" s="269"/>
      <c r="W50" s="265">
        <f t="shared" si="5"/>
        <v>1475</v>
      </c>
      <c r="X50" s="265">
        <f t="shared" si="6"/>
        <v>73.75</v>
      </c>
      <c r="Y50" s="265">
        <f t="shared" si="7"/>
        <v>1548.75</v>
      </c>
      <c r="Z50" s="263">
        <v>15</v>
      </c>
      <c r="AA50" s="295"/>
      <c r="AB50" s="316"/>
    </row>
    <row r="51" spans="1:28" s="2" customFormat="1">
      <c r="A51" s="318">
        <v>42213</v>
      </c>
      <c r="B51" s="262"/>
      <c r="C51" s="262">
        <v>427</v>
      </c>
      <c r="D51" s="269">
        <v>1</v>
      </c>
      <c r="E51" s="264"/>
      <c r="F51" s="265">
        <v>1100</v>
      </c>
      <c r="G51" s="266">
        <v>1</v>
      </c>
      <c r="H51" s="265">
        <v>200</v>
      </c>
      <c r="I51" s="263">
        <v>1</v>
      </c>
      <c r="J51" s="265">
        <v>175</v>
      </c>
      <c r="K51" s="265"/>
      <c r="L51" s="265">
        <v>1</v>
      </c>
      <c r="M51" s="265"/>
      <c r="N51" s="265">
        <v>150</v>
      </c>
      <c r="O51" s="265"/>
      <c r="P51" s="265"/>
      <c r="Q51" s="265"/>
      <c r="R51" s="265"/>
      <c r="S51" s="265"/>
      <c r="T51" s="263"/>
      <c r="U51" s="268"/>
      <c r="V51" s="269"/>
      <c r="W51" s="265">
        <f t="shared" si="5"/>
        <v>1475</v>
      </c>
      <c r="X51" s="265">
        <f t="shared" si="6"/>
        <v>73.75</v>
      </c>
      <c r="Y51" s="265">
        <f t="shared" si="7"/>
        <v>1548.75</v>
      </c>
      <c r="Z51" s="263">
        <v>15</v>
      </c>
      <c r="AA51" s="295"/>
      <c r="AB51" s="316"/>
    </row>
    <row r="52" spans="1:28" s="2" customFormat="1">
      <c r="A52" s="318">
        <v>42214</v>
      </c>
      <c r="B52" s="262"/>
      <c r="C52" s="262">
        <v>427</v>
      </c>
      <c r="D52" s="269">
        <v>1</v>
      </c>
      <c r="E52" s="264"/>
      <c r="F52" s="265">
        <v>1100</v>
      </c>
      <c r="G52" s="266">
        <v>1</v>
      </c>
      <c r="H52" s="265">
        <v>200</v>
      </c>
      <c r="I52" s="263">
        <v>1</v>
      </c>
      <c r="J52" s="265">
        <v>175</v>
      </c>
      <c r="K52" s="265"/>
      <c r="L52" s="265">
        <v>1</v>
      </c>
      <c r="M52" s="265"/>
      <c r="N52" s="265">
        <v>150</v>
      </c>
      <c r="O52" s="265"/>
      <c r="P52" s="265"/>
      <c r="Q52" s="265"/>
      <c r="R52" s="265"/>
      <c r="S52" s="265"/>
      <c r="T52" s="263"/>
      <c r="U52" s="268"/>
      <c r="V52" s="269"/>
      <c r="W52" s="265">
        <f t="shared" si="5"/>
        <v>1475</v>
      </c>
      <c r="X52" s="265">
        <f t="shared" si="6"/>
        <v>73.75</v>
      </c>
      <c r="Y52" s="265">
        <f t="shared" si="7"/>
        <v>1548.75</v>
      </c>
      <c r="Z52" s="263">
        <v>15</v>
      </c>
      <c r="AA52" s="295"/>
      <c r="AB52" s="316"/>
    </row>
    <row r="53" spans="1:28" s="2" customFormat="1">
      <c r="A53" s="318">
        <v>42215</v>
      </c>
      <c r="B53" s="262"/>
      <c r="C53" s="262">
        <v>427</v>
      </c>
      <c r="D53" s="269">
        <v>1</v>
      </c>
      <c r="E53" s="264"/>
      <c r="F53" s="265">
        <v>1100</v>
      </c>
      <c r="G53" s="266">
        <v>1</v>
      </c>
      <c r="H53" s="265">
        <v>200</v>
      </c>
      <c r="I53" s="263">
        <v>1</v>
      </c>
      <c r="J53" s="265">
        <v>175</v>
      </c>
      <c r="K53" s="265"/>
      <c r="L53" s="265">
        <v>1</v>
      </c>
      <c r="M53" s="265"/>
      <c r="N53" s="265">
        <v>150</v>
      </c>
      <c r="O53" s="265"/>
      <c r="P53" s="265"/>
      <c r="Q53" s="265"/>
      <c r="R53" s="265"/>
      <c r="S53" s="265"/>
      <c r="T53" s="263"/>
      <c r="U53" s="268"/>
      <c r="V53" s="269"/>
      <c r="W53" s="265">
        <f t="shared" si="5"/>
        <v>1475</v>
      </c>
      <c r="X53" s="265">
        <f t="shared" si="6"/>
        <v>73.75</v>
      </c>
      <c r="Y53" s="265">
        <f t="shared" si="7"/>
        <v>1548.75</v>
      </c>
      <c r="Z53" s="263">
        <v>15</v>
      </c>
      <c r="AA53" s="295"/>
      <c r="AB53" s="316"/>
    </row>
    <row r="54" spans="1:28" s="2" customFormat="1">
      <c r="A54" s="318">
        <v>42216</v>
      </c>
      <c r="B54" s="262"/>
      <c r="C54" s="262">
        <v>427</v>
      </c>
      <c r="D54" s="269">
        <v>1</v>
      </c>
      <c r="E54" s="264"/>
      <c r="F54" s="265">
        <v>1100</v>
      </c>
      <c r="G54" s="266">
        <v>1</v>
      </c>
      <c r="H54" s="265">
        <v>200</v>
      </c>
      <c r="I54" s="263">
        <v>1</v>
      </c>
      <c r="J54" s="265">
        <v>175</v>
      </c>
      <c r="K54" s="265"/>
      <c r="L54" s="265">
        <v>1</v>
      </c>
      <c r="M54" s="265"/>
      <c r="N54" s="265">
        <v>150</v>
      </c>
      <c r="O54" s="265"/>
      <c r="P54" s="265"/>
      <c r="Q54" s="265"/>
      <c r="R54" s="265"/>
      <c r="S54" s="265"/>
      <c r="T54" s="263"/>
      <c r="U54" s="268"/>
      <c r="V54" s="269"/>
      <c r="W54" s="265">
        <f t="shared" si="5"/>
        <v>1475</v>
      </c>
      <c r="X54" s="265">
        <f t="shared" si="6"/>
        <v>73.75</v>
      </c>
      <c r="Y54" s="265">
        <f t="shared" si="7"/>
        <v>1548.75</v>
      </c>
      <c r="Z54" s="263">
        <v>15</v>
      </c>
      <c r="AA54" s="295"/>
      <c r="AB54" s="316"/>
    </row>
    <row r="55" spans="1:28" s="2" customFormat="1">
      <c r="A55" s="318">
        <v>42217</v>
      </c>
      <c r="B55" s="262"/>
      <c r="C55" s="262">
        <v>427</v>
      </c>
      <c r="D55" s="269">
        <v>1</v>
      </c>
      <c r="E55" s="264"/>
      <c r="F55" s="265">
        <v>1100</v>
      </c>
      <c r="G55" s="266">
        <v>1</v>
      </c>
      <c r="H55" s="265">
        <v>200</v>
      </c>
      <c r="I55" s="263">
        <v>1</v>
      </c>
      <c r="J55" s="265">
        <v>175</v>
      </c>
      <c r="K55" s="265"/>
      <c r="L55" s="265">
        <v>1</v>
      </c>
      <c r="M55" s="265"/>
      <c r="N55" s="265">
        <v>150</v>
      </c>
      <c r="O55" s="265"/>
      <c r="P55" s="265"/>
      <c r="Q55" s="265"/>
      <c r="R55" s="265"/>
      <c r="S55" s="265"/>
      <c r="T55" s="263"/>
      <c r="U55" s="268"/>
      <c r="V55" s="269"/>
      <c r="W55" s="265">
        <f t="shared" si="5"/>
        <v>1475</v>
      </c>
      <c r="X55" s="265">
        <f t="shared" si="6"/>
        <v>73.75</v>
      </c>
      <c r="Y55" s="265">
        <f t="shared" si="7"/>
        <v>1548.75</v>
      </c>
      <c r="Z55" s="263">
        <v>16</v>
      </c>
      <c r="AA55" s="295"/>
      <c r="AB55" s="316"/>
    </row>
    <row r="56" spans="1:28" s="2" customFormat="1">
      <c r="A56" s="318">
        <v>42218</v>
      </c>
      <c r="B56" s="262"/>
      <c r="C56" s="262">
        <v>427</v>
      </c>
      <c r="D56" s="269"/>
      <c r="E56" s="264"/>
      <c r="F56" s="265">
        <v>1100</v>
      </c>
      <c r="G56" s="266"/>
      <c r="H56" s="265">
        <v>200</v>
      </c>
      <c r="I56" s="263">
        <v>1</v>
      </c>
      <c r="J56" s="265">
        <v>175</v>
      </c>
      <c r="K56" s="265"/>
      <c r="L56" s="265">
        <v>1</v>
      </c>
      <c r="M56" s="265"/>
      <c r="N56" s="265">
        <v>150</v>
      </c>
      <c r="O56" s="265"/>
      <c r="P56" s="265"/>
      <c r="Q56" s="265"/>
      <c r="R56" s="265"/>
      <c r="S56" s="265"/>
      <c r="T56" s="263"/>
      <c r="U56" s="268"/>
      <c r="V56" s="269"/>
      <c r="W56" s="265">
        <f t="shared" si="5"/>
        <v>175</v>
      </c>
      <c r="X56" s="265">
        <f t="shared" si="6"/>
        <v>8.75</v>
      </c>
      <c r="Y56" s="265">
        <f t="shared" si="7"/>
        <v>183.75</v>
      </c>
      <c r="Z56" s="263">
        <v>16</v>
      </c>
      <c r="AA56" s="295"/>
      <c r="AB56" s="316"/>
    </row>
    <row r="57" spans="1:28" s="119" customFormat="1">
      <c r="A57" s="318">
        <v>42219</v>
      </c>
      <c r="B57" s="262"/>
      <c r="C57" s="262">
        <v>427</v>
      </c>
      <c r="D57" s="269">
        <v>1</v>
      </c>
      <c r="E57" s="264"/>
      <c r="F57" s="265">
        <v>1100</v>
      </c>
      <c r="G57" s="266">
        <v>1</v>
      </c>
      <c r="H57" s="265">
        <v>200</v>
      </c>
      <c r="I57" s="263">
        <v>1</v>
      </c>
      <c r="J57" s="265">
        <v>175</v>
      </c>
      <c r="K57" s="265"/>
      <c r="L57" s="265">
        <v>1</v>
      </c>
      <c r="M57" s="265"/>
      <c r="N57" s="265">
        <v>150</v>
      </c>
      <c r="O57" s="265"/>
      <c r="P57" s="265"/>
      <c r="Q57" s="265"/>
      <c r="R57" s="265"/>
      <c r="S57" s="265"/>
      <c r="T57" s="263"/>
      <c r="U57" s="268"/>
      <c r="V57" s="269"/>
      <c r="W57" s="265">
        <f t="shared" ref="W57:W75" si="8">(D57*F57)+(G57*H57)+(I57*J57)+(K57*L57)+(M57*N57)</f>
        <v>1475</v>
      </c>
      <c r="X57" s="265">
        <f t="shared" ref="X57:X75" si="9">(W57*5%)</f>
        <v>73.75</v>
      </c>
      <c r="Y57" s="265">
        <f t="shared" si="7"/>
        <v>1548.75</v>
      </c>
      <c r="Z57" s="263">
        <v>16</v>
      </c>
      <c r="AA57" s="295"/>
      <c r="AB57" s="164"/>
    </row>
    <row r="58" spans="1:28" s="119" customFormat="1">
      <c r="A58" s="165">
        <v>42220</v>
      </c>
      <c r="B58" s="158"/>
      <c r="C58" s="158">
        <v>427</v>
      </c>
      <c r="D58" s="162">
        <v>1</v>
      </c>
      <c r="E58" s="166"/>
      <c r="F58" s="160">
        <v>1100</v>
      </c>
      <c r="G58" s="170">
        <v>1</v>
      </c>
      <c r="H58" s="160">
        <v>200</v>
      </c>
      <c r="I58" s="159">
        <v>1</v>
      </c>
      <c r="J58" s="160">
        <v>175</v>
      </c>
      <c r="K58" s="160"/>
      <c r="L58" s="160">
        <v>1</v>
      </c>
      <c r="M58" s="160"/>
      <c r="N58" s="160">
        <v>150</v>
      </c>
      <c r="O58" s="160"/>
      <c r="P58" s="160"/>
      <c r="Q58" s="160"/>
      <c r="R58" s="160"/>
      <c r="S58" s="160"/>
      <c r="T58" s="159"/>
      <c r="U58" s="161"/>
      <c r="V58" s="162"/>
      <c r="W58" s="160">
        <f t="shared" si="8"/>
        <v>1475</v>
      </c>
      <c r="X58" s="160">
        <f t="shared" si="9"/>
        <v>73.75</v>
      </c>
      <c r="Y58" s="160">
        <f t="shared" si="7"/>
        <v>1548.75</v>
      </c>
      <c r="Z58" s="263">
        <v>16</v>
      </c>
      <c r="AA58" s="163"/>
      <c r="AB58" s="164"/>
    </row>
    <row r="59" spans="1:28" s="119" customFormat="1">
      <c r="A59" s="165">
        <v>42221</v>
      </c>
      <c r="B59" s="158"/>
      <c r="C59" s="158">
        <v>427</v>
      </c>
      <c r="D59" s="162">
        <v>1</v>
      </c>
      <c r="E59" s="166"/>
      <c r="F59" s="160">
        <v>1100</v>
      </c>
      <c r="G59" s="170">
        <v>1</v>
      </c>
      <c r="H59" s="160">
        <v>200</v>
      </c>
      <c r="I59" s="159">
        <v>1</v>
      </c>
      <c r="J59" s="160">
        <v>175</v>
      </c>
      <c r="K59" s="160"/>
      <c r="L59" s="160">
        <v>1</v>
      </c>
      <c r="M59" s="160"/>
      <c r="N59" s="160">
        <v>150</v>
      </c>
      <c r="O59" s="160"/>
      <c r="P59" s="160"/>
      <c r="Q59" s="160"/>
      <c r="R59" s="160"/>
      <c r="S59" s="160"/>
      <c r="T59" s="159"/>
      <c r="U59" s="161"/>
      <c r="V59" s="162"/>
      <c r="W59" s="160">
        <f t="shared" si="8"/>
        <v>1475</v>
      </c>
      <c r="X59" s="160">
        <f t="shared" si="9"/>
        <v>73.75</v>
      </c>
      <c r="Y59" s="160">
        <f t="shared" si="7"/>
        <v>1548.75</v>
      </c>
      <c r="Z59" s="263">
        <v>16</v>
      </c>
      <c r="AA59" s="163"/>
      <c r="AB59" s="164"/>
    </row>
    <row r="60" spans="1:28" s="119" customFormat="1">
      <c r="A60" s="165">
        <v>42222</v>
      </c>
      <c r="B60" s="158"/>
      <c r="C60" s="158">
        <v>427</v>
      </c>
      <c r="D60" s="162">
        <v>1</v>
      </c>
      <c r="E60" s="166"/>
      <c r="F60" s="160">
        <v>1100</v>
      </c>
      <c r="G60" s="170">
        <v>1</v>
      </c>
      <c r="H60" s="160">
        <v>200</v>
      </c>
      <c r="I60" s="159">
        <v>1</v>
      </c>
      <c r="J60" s="160">
        <v>175</v>
      </c>
      <c r="K60" s="160"/>
      <c r="L60" s="160">
        <v>1</v>
      </c>
      <c r="M60" s="160"/>
      <c r="N60" s="160">
        <v>150</v>
      </c>
      <c r="O60" s="160"/>
      <c r="P60" s="160"/>
      <c r="Q60" s="160"/>
      <c r="R60" s="160"/>
      <c r="S60" s="160"/>
      <c r="T60" s="159"/>
      <c r="U60" s="161"/>
      <c r="V60" s="162"/>
      <c r="W60" s="160">
        <f t="shared" si="8"/>
        <v>1475</v>
      </c>
      <c r="X60" s="160">
        <f t="shared" si="9"/>
        <v>73.75</v>
      </c>
      <c r="Y60" s="160">
        <f t="shared" si="7"/>
        <v>1548.75</v>
      </c>
      <c r="Z60" s="263">
        <v>16</v>
      </c>
      <c r="AA60" s="163"/>
      <c r="AB60" s="164"/>
    </row>
    <row r="61" spans="1:28" s="119" customFormat="1">
      <c r="A61" s="165">
        <v>42223</v>
      </c>
      <c r="B61" s="158"/>
      <c r="C61" s="158">
        <v>427</v>
      </c>
      <c r="D61" s="162">
        <v>1</v>
      </c>
      <c r="E61" s="166"/>
      <c r="F61" s="160">
        <v>1100</v>
      </c>
      <c r="G61" s="170">
        <v>1</v>
      </c>
      <c r="H61" s="160">
        <v>200</v>
      </c>
      <c r="I61" s="159">
        <v>1</v>
      </c>
      <c r="J61" s="160">
        <v>175</v>
      </c>
      <c r="K61" s="160"/>
      <c r="L61" s="160">
        <v>1</v>
      </c>
      <c r="M61" s="160"/>
      <c r="N61" s="160">
        <v>150</v>
      </c>
      <c r="O61" s="160"/>
      <c r="P61" s="160"/>
      <c r="Q61" s="160"/>
      <c r="R61" s="160"/>
      <c r="S61" s="160"/>
      <c r="T61" s="159"/>
      <c r="U61" s="161"/>
      <c r="V61" s="162"/>
      <c r="W61" s="160">
        <f t="shared" si="8"/>
        <v>1475</v>
      </c>
      <c r="X61" s="160">
        <f t="shared" si="9"/>
        <v>73.75</v>
      </c>
      <c r="Y61" s="160">
        <f t="shared" si="7"/>
        <v>1548.75</v>
      </c>
      <c r="Z61" s="263">
        <v>16</v>
      </c>
      <c r="AA61" s="163"/>
      <c r="AB61" s="164"/>
    </row>
    <row r="62" spans="1:28" s="119" customFormat="1">
      <c r="A62" s="165">
        <v>42224</v>
      </c>
      <c r="B62" s="158"/>
      <c r="C62" s="158">
        <v>427</v>
      </c>
      <c r="D62" s="162">
        <v>1</v>
      </c>
      <c r="E62" s="166"/>
      <c r="F62" s="160">
        <v>1100</v>
      </c>
      <c r="G62" s="170">
        <v>1</v>
      </c>
      <c r="H62" s="160">
        <v>200</v>
      </c>
      <c r="I62" s="159">
        <v>1</v>
      </c>
      <c r="J62" s="160">
        <v>175</v>
      </c>
      <c r="K62" s="160"/>
      <c r="L62" s="160">
        <v>1</v>
      </c>
      <c r="M62" s="160"/>
      <c r="N62" s="160">
        <v>150</v>
      </c>
      <c r="O62" s="160"/>
      <c r="P62" s="160"/>
      <c r="Q62" s="160"/>
      <c r="R62" s="160"/>
      <c r="S62" s="160"/>
      <c r="T62" s="159"/>
      <c r="U62" s="161"/>
      <c r="V62" s="162"/>
      <c r="W62" s="160">
        <f t="shared" si="8"/>
        <v>1475</v>
      </c>
      <c r="X62" s="160">
        <f t="shared" si="9"/>
        <v>73.75</v>
      </c>
      <c r="Y62" s="160">
        <f t="shared" si="7"/>
        <v>1548.75</v>
      </c>
      <c r="Z62" s="263">
        <v>16</v>
      </c>
      <c r="AA62" s="163"/>
      <c r="AB62" s="164"/>
    </row>
    <row r="63" spans="1:28" s="119" customFormat="1">
      <c r="A63" s="165">
        <v>42225</v>
      </c>
      <c r="B63" s="158"/>
      <c r="C63" s="158">
        <v>427</v>
      </c>
      <c r="D63" s="162"/>
      <c r="E63" s="166"/>
      <c r="F63" s="160">
        <v>1100</v>
      </c>
      <c r="G63" s="170"/>
      <c r="H63" s="160">
        <v>200</v>
      </c>
      <c r="I63" s="159">
        <v>1</v>
      </c>
      <c r="J63" s="160">
        <v>175</v>
      </c>
      <c r="K63" s="160"/>
      <c r="L63" s="160">
        <v>1</v>
      </c>
      <c r="M63" s="160"/>
      <c r="N63" s="160">
        <v>150</v>
      </c>
      <c r="O63" s="160"/>
      <c r="P63" s="160"/>
      <c r="Q63" s="160"/>
      <c r="R63" s="160"/>
      <c r="S63" s="160"/>
      <c r="T63" s="159"/>
      <c r="U63" s="161"/>
      <c r="V63" s="162"/>
      <c r="W63" s="160">
        <f t="shared" si="8"/>
        <v>175</v>
      </c>
      <c r="X63" s="160">
        <f t="shared" si="9"/>
        <v>8.75</v>
      </c>
      <c r="Y63" s="160">
        <f t="shared" si="7"/>
        <v>183.75</v>
      </c>
      <c r="Z63" s="263">
        <v>16</v>
      </c>
      <c r="AA63" s="163"/>
      <c r="AB63" s="164"/>
    </row>
    <row r="64" spans="1:28" s="119" customFormat="1">
      <c r="A64" s="165">
        <v>42226</v>
      </c>
      <c r="B64" s="158"/>
      <c r="C64" s="158">
        <v>427</v>
      </c>
      <c r="D64" s="162">
        <v>1</v>
      </c>
      <c r="E64" s="166"/>
      <c r="F64" s="160">
        <v>1100</v>
      </c>
      <c r="G64" s="170">
        <v>1</v>
      </c>
      <c r="H64" s="160">
        <v>200</v>
      </c>
      <c r="I64" s="159">
        <v>1</v>
      </c>
      <c r="J64" s="160">
        <v>175</v>
      </c>
      <c r="K64" s="160"/>
      <c r="L64" s="160">
        <v>1</v>
      </c>
      <c r="M64" s="160"/>
      <c r="N64" s="160">
        <v>150</v>
      </c>
      <c r="O64" s="160"/>
      <c r="P64" s="160"/>
      <c r="Q64" s="160"/>
      <c r="R64" s="160"/>
      <c r="S64" s="160"/>
      <c r="T64" s="159"/>
      <c r="U64" s="161"/>
      <c r="V64" s="162"/>
      <c r="W64" s="160">
        <f t="shared" si="8"/>
        <v>1475</v>
      </c>
      <c r="X64" s="160">
        <f t="shared" si="9"/>
        <v>73.75</v>
      </c>
      <c r="Y64" s="160">
        <f t="shared" si="7"/>
        <v>1548.75</v>
      </c>
      <c r="Z64" s="263">
        <v>16</v>
      </c>
      <c r="AA64" s="163"/>
      <c r="AB64" s="164"/>
    </row>
    <row r="65" spans="1:28" s="119" customFormat="1">
      <c r="A65" s="165">
        <v>42227</v>
      </c>
      <c r="B65" s="158"/>
      <c r="C65" s="158">
        <v>427</v>
      </c>
      <c r="D65" s="162">
        <v>1</v>
      </c>
      <c r="E65" s="166"/>
      <c r="F65" s="160">
        <v>1100</v>
      </c>
      <c r="G65" s="170">
        <v>1</v>
      </c>
      <c r="H65" s="160">
        <v>200</v>
      </c>
      <c r="I65" s="159">
        <v>1</v>
      </c>
      <c r="J65" s="160">
        <v>175</v>
      </c>
      <c r="K65" s="160"/>
      <c r="L65" s="160">
        <v>1</v>
      </c>
      <c r="M65" s="160"/>
      <c r="N65" s="160">
        <v>150</v>
      </c>
      <c r="O65" s="160"/>
      <c r="P65" s="160"/>
      <c r="Q65" s="160"/>
      <c r="R65" s="160"/>
      <c r="S65" s="160"/>
      <c r="T65" s="159"/>
      <c r="U65" s="161"/>
      <c r="V65" s="162"/>
      <c r="W65" s="160">
        <f t="shared" si="8"/>
        <v>1475</v>
      </c>
      <c r="X65" s="160">
        <f t="shared" si="9"/>
        <v>73.75</v>
      </c>
      <c r="Y65" s="160">
        <f t="shared" si="7"/>
        <v>1548.75</v>
      </c>
      <c r="Z65" s="263">
        <v>16</v>
      </c>
      <c r="AA65" s="163"/>
      <c r="AB65" s="164"/>
    </row>
    <row r="66" spans="1:28" s="119" customFormat="1">
      <c r="A66" s="165">
        <v>42228</v>
      </c>
      <c r="B66" s="158"/>
      <c r="C66" s="158">
        <v>427</v>
      </c>
      <c r="D66" s="162">
        <v>1</v>
      </c>
      <c r="E66" s="166"/>
      <c r="F66" s="160">
        <v>1100</v>
      </c>
      <c r="G66" s="170">
        <v>1</v>
      </c>
      <c r="H66" s="160">
        <v>200</v>
      </c>
      <c r="I66" s="159">
        <v>1</v>
      </c>
      <c r="J66" s="160">
        <v>175</v>
      </c>
      <c r="K66" s="160"/>
      <c r="L66" s="160">
        <v>1</v>
      </c>
      <c r="M66" s="160"/>
      <c r="N66" s="160">
        <v>150</v>
      </c>
      <c r="O66" s="160"/>
      <c r="P66" s="160"/>
      <c r="Q66" s="160"/>
      <c r="R66" s="160"/>
      <c r="S66" s="160"/>
      <c r="T66" s="159"/>
      <c r="U66" s="161"/>
      <c r="V66" s="162"/>
      <c r="W66" s="160">
        <f t="shared" si="8"/>
        <v>1475</v>
      </c>
      <c r="X66" s="160">
        <f t="shared" si="9"/>
        <v>73.75</v>
      </c>
      <c r="Y66" s="160">
        <f t="shared" si="7"/>
        <v>1548.75</v>
      </c>
      <c r="Z66" s="263">
        <v>16</v>
      </c>
      <c r="AA66" s="163"/>
      <c r="AB66" s="164"/>
    </row>
    <row r="67" spans="1:28" s="119" customFormat="1">
      <c r="A67" s="165">
        <v>42229</v>
      </c>
      <c r="B67" s="158"/>
      <c r="C67" s="158">
        <v>427</v>
      </c>
      <c r="D67" s="162">
        <v>1</v>
      </c>
      <c r="E67" s="166"/>
      <c r="F67" s="160">
        <v>1100</v>
      </c>
      <c r="G67" s="170">
        <v>1</v>
      </c>
      <c r="H67" s="160">
        <v>200</v>
      </c>
      <c r="I67" s="159">
        <v>1</v>
      </c>
      <c r="J67" s="160">
        <v>175</v>
      </c>
      <c r="K67" s="160"/>
      <c r="L67" s="160">
        <v>1</v>
      </c>
      <c r="M67" s="160"/>
      <c r="N67" s="160">
        <v>150</v>
      </c>
      <c r="O67" s="160"/>
      <c r="P67" s="160"/>
      <c r="Q67" s="160"/>
      <c r="R67" s="160"/>
      <c r="S67" s="160"/>
      <c r="T67" s="159"/>
      <c r="U67" s="161"/>
      <c r="V67" s="162"/>
      <c r="W67" s="160">
        <f t="shared" si="8"/>
        <v>1475</v>
      </c>
      <c r="X67" s="160">
        <f t="shared" si="9"/>
        <v>73.75</v>
      </c>
      <c r="Y67" s="160">
        <f t="shared" si="7"/>
        <v>1548.75</v>
      </c>
      <c r="Z67" s="263">
        <v>16</v>
      </c>
      <c r="AA67" s="163"/>
      <c r="AB67" s="164"/>
    </row>
    <row r="68" spans="1:28" s="119" customFormat="1">
      <c r="A68" s="165">
        <v>42230</v>
      </c>
      <c r="B68" s="158"/>
      <c r="C68" s="158">
        <v>427</v>
      </c>
      <c r="D68" s="162">
        <v>1</v>
      </c>
      <c r="E68" s="166"/>
      <c r="F68" s="160">
        <v>1100</v>
      </c>
      <c r="G68" s="170">
        <v>1</v>
      </c>
      <c r="H68" s="160">
        <v>200</v>
      </c>
      <c r="I68" s="159">
        <v>1</v>
      </c>
      <c r="J68" s="160">
        <v>175</v>
      </c>
      <c r="K68" s="160"/>
      <c r="L68" s="160">
        <v>1</v>
      </c>
      <c r="M68" s="160"/>
      <c r="N68" s="160">
        <v>150</v>
      </c>
      <c r="O68" s="160"/>
      <c r="P68" s="160"/>
      <c r="Q68" s="160"/>
      <c r="R68" s="160"/>
      <c r="S68" s="160"/>
      <c r="T68" s="159"/>
      <c r="U68" s="161"/>
      <c r="V68" s="162"/>
      <c r="W68" s="160">
        <f t="shared" si="8"/>
        <v>1475</v>
      </c>
      <c r="X68" s="160">
        <f t="shared" si="9"/>
        <v>73.75</v>
      </c>
      <c r="Y68" s="160">
        <f t="shared" si="7"/>
        <v>1548.75</v>
      </c>
      <c r="Z68" s="263">
        <v>16</v>
      </c>
      <c r="AA68" s="163"/>
      <c r="AB68" s="164"/>
    </row>
    <row r="69" spans="1:28" s="119" customFormat="1">
      <c r="A69" s="165">
        <v>42231</v>
      </c>
      <c r="B69" s="158"/>
      <c r="C69" s="158">
        <v>427</v>
      </c>
      <c r="D69" s="162">
        <v>1</v>
      </c>
      <c r="E69" s="166"/>
      <c r="F69" s="160">
        <v>1100</v>
      </c>
      <c r="G69" s="170">
        <v>1</v>
      </c>
      <c r="H69" s="160">
        <v>200</v>
      </c>
      <c r="I69" s="159">
        <v>1</v>
      </c>
      <c r="J69" s="160">
        <v>175</v>
      </c>
      <c r="K69" s="160"/>
      <c r="L69" s="160">
        <v>1</v>
      </c>
      <c r="M69" s="160"/>
      <c r="N69" s="160">
        <v>150</v>
      </c>
      <c r="O69" s="160"/>
      <c r="P69" s="160"/>
      <c r="Q69" s="160"/>
      <c r="R69" s="160"/>
      <c r="S69" s="160"/>
      <c r="T69" s="159"/>
      <c r="U69" s="161"/>
      <c r="V69" s="162"/>
      <c r="W69" s="160">
        <f t="shared" si="8"/>
        <v>1475</v>
      </c>
      <c r="X69" s="160">
        <f t="shared" si="9"/>
        <v>73.75</v>
      </c>
      <c r="Y69" s="160">
        <f t="shared" si="7"/>
        <v>1548.75</v>
      </c>
      <c r="Z69" s="263">
        <v>16</v>
      </c>
      <c r="AA69" s="163"/>
      <c r="AB69" s="164"/>
    </row>
    <row r="70" spans="1:28" s="119" customFormat="1">
      <c r="A70" s="165">
        <v>42232</v>
      </c>
      <c r="B70" s="158"/>
      <c r="C70" s="158">
        <v>427</v>
      </c>
      <c r="D70" s="162"/>
      <c r="E70" s="166"/>
      <c r="F70" s="160">
        <v>1100</v>
      </c>
      <c r="G70" s="170"/>
      <c r="H70" s="160">
        <v>200</v>
      </c>
      <c r="I70" s="159">
        <v>1</v>
      </c>
      <c r="J70" s="160">
        <v>175</v>
      </c>
      <c r="K70" s="160"/>
      <c r="L70" s="160">
        <v>1</v>
      </c>
      <c r="M70" s="160"/>
      <c r="N70" s="160">
        <v>150</v>
      </c>
      <c r="O70" s="160"/>
      <c r="P70" s="160"/>
      <c r="Q70" s="160"/>
      <c r="R70" s="160"/>
      <c r="S70" s="160"/>
      <c r="T70" s="159"/>
      <c r="U70" s="161"/>
      <c r="V70" s="162"/>
      <c r="W70" s="160">
        <f t="shared" si="8"/>
        <v>175</v>
      </c>
      <c r="X70" s="160">
        <f t="shared" si="9"/>
        <v>8.75</v>
      </c>
      <c r="Y70" s="160">
        <f t="shared" si="7"/>
        <v>183.75</v>
      </c>
      <c r="Z70" s="263">
        <v>16</v>
      </c>
      <c r="AA70" s="163"/>
      <c r="AB70" s="164"/>
    </row>
    <row r="71" spans="1:28">
      <c r="A71" s="165">
        <v>42233</v>
      </c>
      <c r="B71" s="158"/>
      <c r="C71" s="158">
        <v>427</v>
      </c>
      <c r="D71" s="162">
        <v>1</v>
      </c>
      <c r="E71" s="166"/>
      <c r="F71" s="160">
        <v>1100</v>
      </c>
      <c r="G71" s="170">
        <v>1</v>
      </c>
      <c r="H71" s="160">
        <v>200</v>
      </c>
      <c r="I71" s="159">
        <v>1</v>
      </c>
      <c r="J71" s="160">
        <v>175</v>
      </c>
      <c r="K71" s="160"/>
      <c r="L71" s="160">
        <v>1</v>
      </c>
      <c r="M71" s="160"/>
      <c r="N71" s="160">
        <v>150</v>
      </c>
      <c r="O71" s="160"/>
      <c r="P71" s="160"/>
      <c r="Q71" s="160"/>
      <c r="R71" s="160"/>
      <c r="S71" s="160"/>
      <c r="T71" s="159"/>
      <c r="U71" s="161"/>
      <c r="V71" s="162"/>
      <c r="W71" s="160">
        <f t="shared" si="8"/>
        <v>1475</v>
      </c>
      <c r="X71" s="160">
        <f t="shared" si="9"/>
        <v>73.75</v>
      </c>
      <c r="Y71" s="160">
        <f t="shared" si="7"/>
        <v>1548.75</v>
      </c>
      <c r="Z71" s="263">
        <v>16</v>
      </c>
      <c r="AA71" s="163"/>
    </row>
    <row r="72" spans="1:28">
      <c r="A72" s="165">
        <v>42234</v>
      </c>
      <c r="B72" s="158"/>
      <c r="C72" s="158">
        <v>427</v>
      </c>
      <c r="D72" s="162">
        <v>1</v>
      </c>
      <c r="E72" s="166"/>
      <c r="F72" s="160">
        <v>1100</v>
      </c>
      <c r="G72" s="170">
        <v>1</v>
      </c>
      <c r="H72" s="160">
        <v>200</v>
      </c>
      <c r="I72" s="159">
        <v>1</v>
      </c>
      <c r="J72" s="160">
        <v>175</v>
      </c>
      <c r="K72" s="160"/>
      <c r="L72" s="160">
        <v>1</v>
      </c>
      <c r="M72" s="160"/>
      <c r="N72" s="160">
        <v>150</v>
      </c>
      <c r="O72" s="160"/>
      <c r="P72" s="160"/>
      <c r="Q72" s="160"/>
      <c r="R72" s="160"/>
      <c r="S72" s="160"/>
      <c r="T72" s="159"/>
      <c r="U72" s="161"/>
      <c r="V72" s="162"/>
      <c r="W72" s="160">
        <f t="shared" si="8"/>
        <v>1475</v>
      </c>
      <c r="X72" s="160">
        <f t="shared" si="9"/>
        <v>73.75</v>
      </c>
      <c r="Y72" s="160">
        <f t="shared" si="7"/>
        <v>1548.75</v>
      </c>
      <c r="Z72" s="263">
        <v>16</v>
      </c>
      <c r="AA72" s="56"/>
    </row>
    <row r="73" spans="1:28">
      <c r="A73" s="165">
        <v>42235</v>
      </c>
      <c r="B73" s="158"/>
      <c r="C73" s="158">
        <v>427</v>
      </c>
      <c r="D73" s="162">
        <v>1</v>
      </c>
      <c r="E73" s="166"/>
      <c r="F73" s="160">
        <v>1100</v>
      </c>
      <c r="G73" s="170">
        <v>1</v>
      </c>
      <c r="H73" s="160">
        <v>200</v>
      </c>
      <c r="I73" s="159">
        <v>1</v>
      </c>
      <c r="J73" s="160">
        <v>175</v>
      </c>
      <c r="K73" s="160"/>
      <c r="L73" s="160">
        <v>1</v>
      </c>
      <c r="M73" s="160"/>
      <c r="N73" s="160">
        <v>150</v>
      </c>
      <c r="O73" s="160"/>
      <c r="P73" s="160"/>
      <c r="Q73" s="160"/>
      <c r="R73" s="160"/>
      <c r="S73" s="160"/>
      <c r="T73" s="159"/>
      <c r="U73" s="161"/>
      <c r="V73" s="162"/>
      <c r="W73" s="160">
        <f t="shared" si="8"/>
        <v>1475</v>
      </c>
      <c r="X73" s="160">
        <f t="shared" si="9"/>
        <v>73.75</v>
      </c>
      <c r="Y73" s="160">
        <f t="shared" si="7"/>
        <v>1548.75</v>
      </c>
      <c r="Z73" s="263">
        <v>16</v>
      </c>
      <c r="AA73" s="56"/>
    </row>
    <row r="74" spans="1:28">
      <c r="A74" s="165">
        <v>42236</v>
      </c>
      <c r="B74" s="52"/>
      <c r="C74" s="52"/>
      <c r="D74" s="162">
        <v>1</v>
      </c>
      <c r="E74" s="166"/>
      <c r="F74" s="160">
        <v>1100</v>
      </c>
      <c r="G74" s="170">
        <v>1</v>
      </c>
      <c r="H74" s="160">
        <v>200</v>
      </c>
      <c r="I74" s="159">
        <v>1</v>
      </c>
      <c r="J74" s="160">
        <v>175</v>
      </c>
      <c r="K74" s="27"/>
      <c r="L74" s="160">
        <v>1</v>
      </c>
      <c r="M74" s="27"/>
      <c r="N74" s="160">
        <v>150</v>
      </c>
      <c r="O74" s="27"/>
      <c r="P74" s="27"/>
      <c r="Q74" s="27"/>
      <c r="R74" s="27"/>
      <c r="S74" s="27"/>
      <c r="T74" s="31"/>
      <c r="U74" s="29"/>
      <c r="V74" s="64"/>
      <c r="W74" s="160">
        <f t="shared" si="8"/>
        <v>1475</v>
      </c>
      <c r="X74" s="160">
        <f t="shared" si="9"/>
        <v>73.75</v>
      </c>
      <c r="Y74" s="160">
        <f t="shared" si="7"/>
        <v>1548.75</v>
      </c>
      <c r="Z74" s="263">
        <v>16</v>
      </c>
      <c r="AA74" s="56"/>
    </row>
    <row r="75" spans="1:28">
      <c r="A75" s="165">
        <v>42237</v>
      </c>
      <c r="B75" s="52"/>
      <c r="C75" s="52"/>
      <c r="D75" s="162">
        <v>1</v>
      </c>
      <c r="E75" s="166"/>
      <c r="F75" s="160">
        <v>1100</v>
      </c>
      <c r="G75" s="170">
        <v>1</v>
      </c>
      <c r="H75" s="160">
        <v>200</v>
      </c>
      <c r="I75" s="159">
        <v>1</v>
      </c>
      <c r="J75" s="160">
        <v>175</v>
      </c>
      <c r="K75" s="27"/>
      <c r="L75" s="160">
        <v>1</v>
      </c>
      <c r="M75" s="27"/>
      <c r="N75" s="160">
        <v>150</v>
      </c>
      <c r="O75" s="27"/>
      <c r="P75" s="27"/>
      <c r="Q75" s="27"/>
      <c r="R75" s="27"/>
      <c r="S75" s="27"/>
      <c r="T75" s="31"/>
      <c r="U75" s="29"/>
      <c r="V75" s="64"/>
      <c r="W75" s="160">
        <f t="shared" si="8"/>
        <v>1475</v>
      </c>
      <c r="X75" s="160">
        <f t="shared" si="9"/>
        <v>73.75</v>
      </c>
      <c r="Y75" s="160">
        <f t="shared" si="7"/>
        <v>1548.75</v>
      </c>
      <c r="Z75" s="263">
        <v>16</v>
      </c>
      <c r="AA75" s="56"/>
    </row>
    <row r="76" spans="1:28">
      <c r="A76" s="165">
        <v>42238</v>
      </c>
      <c r="B76" s="52"/>
      <c r="C76" s="52"/>
      <c r="D76" s="162">
        <v>1</v>
      </c>
      <c r="E76" s="166"/>
      <c r="F76" s="160">
        <v>1100</v>
      </c>
      <c r="G76" s="170">
        <v>1</v>
      </c>
      <c r="H76" s="160">
        <v>200</v>
      </c>
      <c r="I76" s="159">
        <v>1</v>
      </c>
      <c r="J76" s="160">
        <v>175</v>
      </c>
      <c r="K76" s="27"/>
      <c r="L76" s="160">
        <v>1</v>
      </c>
      <c r="M76" s="27"/>
      <c r="N76" s="160">
        <v>150</v>
      </c>
      <c r="O76" s="27"/>
      <c r="P76" s="27"/>
      <c r="Q76" s="27"/>
      <c r="R76" s="27"/>
      <c r="S76" s="27"/>
      <c r="T76" s="31"/>
      <c r="U76" s="38"/>
      <c r="V76" s="64"/>
      <c r="W76" s="160">
        <f>(D76*F76)+(G76*H76)+(I76*J76)+(K76*L76)+(M76*N76)</f>
        <v>1475</v>
      </c>
      <c r="X76" s="160">
        <f>(W76*5%)</f>
        <v>73.75</v>
      </c>
      <c r="Y76" s="160">
        <f>SUM(W76+X76)</f>
        <v>1548.75</v>
      </c>
      <c r="Z76" s="263">
        <v>16</v>
      </c>
      <c r="AA76" s="56"/>
    </row>
    <row r="77" spans="1:28">
      <c r="A77" s="165">
        <v>42239</v>
      </c>
      <c r="B77" s="52"/>
      <c r="C77" s="52"/>
      <c r="D77" s="162">
        <v>0</v>
      </c>
      <c r="E77" s="166"/>
      <c r="F77" s="160">
        <v>1100</v>
      </c>
      <c r="G77" s="170">
        <v>0</v>
      </c>
      <c r="H77" s="160">
        <v>200</v>
      </c>
      <c r="I77" s="159">
        <v>1</v>
      </c>
      <c r="J77" s="160">
        <v>175</v>
      </c>
      <c r="K77" s="27"/>
      <c r="L77" s="160">
        <v>1</v>
      </c>
      <c r="M77" s="27"/>
      <c r="N77" s="160">
        <v>150</v>
      </c>
      <c r="O77" s="27"/>
      <c r="P77" s="27"/>
      <c r="Q77" s="27"/>
      <c r="R77" s="27"/>
      <c r="S77" s="27"/>
      <c r="T77" s="31"/>
      <c r="U77" s="29"/>
      <c r="V77" s="64"/>
      <c r="W77" s="160">
        <f>(D77*F77)+(G77*H77)+(I77*J77)+(K77*L77)+(M77*N77)</f>
        <v>175</v>
      </c>
      <c r="X77" s="160">
        <f>(W77*5%)</f>
        <v>8.75</v>
      </c>
      <c r="Y77" s="160">
        <f>SUM(W77+X77)</f>
        <v>183.75</v>
      </c>
      <c r="Z77" s="263">
        <v>16</v>
      </c>
      <c r="AA77" s="56"/>
    </row>
    <row r="78" spans="1:28">
      <c r="A78" s="165">
        <v>42240</v>
      </c>
      <c r="B78" s="52"/>
      <c r="C78" s="52"/>
      <c r="D78" s="162">
        <v>1</v>
      </c>
      <c r="E78" s="166"/>
      <c r="F78" s="160">
        <v>1100</v>
      </c>
      <c r="G78" s="170">
        <v>1</v>
      </c>
      <c r="H78" s="160">
        <v>200</v>
      </c>
      <c r="I78" s="159">
        <v>1</v>
      </c>
      <c r="J78" s="160">
        <v>175</v>
      </c>
      <c r="K78" s="27"/>
      <c r="L78" s="160">
        <v>1</v>
      </c>
      <c r="M78" s="27"/>
      <c r="N78" s="160">
        <v>150</v>
      </c>
      <c r="O78" s="27"/>
      <c r="P78" s="27"/>
      <c r="Q78" s="27"/>
      <c r="R78" s="27"/>
      <c r="S78" s="27"/>
      <c r="T78" s="31"/>
      <c r="U78" s="38"/>
      <c r="V78" s="64"/>
      <c r="W78" s="160">
        <f t="shared" ref="W78:W92" si="10">(D78*F78)+(G78*H78)+(I78*J78)+(K78*L78)+(M78*N78)</f>
        <v>1475</v>
      </c>
      <c r="X78" s="160">
        <f t="shared" ref="X78:X92" si="11">(W78*5%)</f>
        <v>73.75</v>
      </c>
      <c r="Y78" s="160">
        <f t="shared" ref="Y78:Y92" si="12">SUM(W78+X78)</f>
        <v>1548.75</v>
      </c>
      <c r="Z78" s="263">
        <v>16</v>
      </c>
      <c r="AA78" s="56"/>
    </row>
    <row r="79" spans="1:28">
      <c r="A79" s="165">
        <v>42241</v>
      </c>
      <c r="B79" s="52"/>
      <c r="C79" s="52"/>
      <c r="D79" s="162">
        <v>1</v>
      </c>
      <c r="E79" s="166"/>
      <c r="F79" s="160">
        <v>1100</v>
      </c>
      <c r="G79" s="170">
        <v>1</v>
      </c>
      <c r="H79" s="160">
        <v>200</v>
      </c>
      <c r="I79" s="159">
        <v>1</v>
      </c>
      <c r="J79" s="160">
        <v>175</v>
      </c>
      <c r="K79" s="27"/>
      <c r="L79" s="160">
        <v>1</v>
      </c>
      <c r="M79" s="27"/>
      <c r="N79" s="160">
        <v>150</v>
      </c>
      <c r="O79" s="27"/>
      <c r="P79" s="27"/>
      <c r="Q79" s="27"/>
      <c r="R79" s="27"/>
      <c r="S79" s="27"/>
      <c r="T79" s="31"/>
      <c r="U79" s="29"/>
      <c r="V79" s="64"/>
      <c r="W79" s="160">
        <f t="shared" si="10"/>
        <v>1475</v>
      </c>
      <c r="X79" s="160">
        <f t="shared" si="11"/>
        <v>73.75</v>
      </c>
      <c r="Y79" s="160">
        <f t="shared" si="12"/>
        <v>1548.75</v>
      </c>
      <c r="Z79" s="263">
        <v>16</v>
      </c>
      <c r="AA79" s="56"/>
    </row>
    <row r="80" spans="1:28">
      <c r="A80" s="165">
        <v>42242</v>
      </c>
      <c r="B80" s="52"/>
      <c r="C80" s="52"/>
      <c r="D80" s="162">
        <v>1</v>
      </c>
      <c r="E80" s="166"/>
      <c r="F80" s="160">
        <v>1100</v>
      </c>
      <c r="G80" s="170">
        <v>1</v>
      </c>
      <c r="H80" s="160">
        <v>200</v>
      </c>
      <c r="I80" s="159">
        <v>1</v>
      </c>
      <c r="J80" s="160">
        <v>175</v>
      </c>
      <c r="K80" s="27"/>
      <c r="L80" s="160">
        <v>1</v>
      </c>
      <c r="M80" s="27"/>
      <c r="N80" s="160">
        <v>150</v>
      </c>
      <c r="O80" s="27"/>
      <c r="P80" s="27"/>
      <c r="Q80" s="27"/>
      <c r="R80" s="27"/>
      <c r="S80" s="27"/>
      <c r="T80" s="31"/>
      <c r="U80" s="38"/>
      <c r="V80" s="64"/>
      <c r="W80" s="160">
        <f t="shared" si="10"/>
        <v>1475</v>
      </c>
      <c r="X80" s="160">
        <f t="shared" si="11"/>
        <v>73.75</v>
      </c>
      <c r="Y80" s="160">
        <f t="shared" si="12"/>
        <v>1548.75</v>
      </c>
      <c r="Z80" s="263">
        <v>16</v>
      </c>
      <c r="AA80" s="56"/>
    </row>
    <row r="81" spans="1:28">
      <c r="A81" s="165">
        <v>42243</v>
      </c>
      <c r="B81" s="52"/>
      <c r="C81" s="52"/>
      <c r="D81" s="162">
        <v>1</v>
      </c>
      <c r="E81" s="166"/>
      <c r="F81" s="160">
        <v>1100</v>
      </c>
      <c r="G81" s="170">
        <v>1</v>
      </c>
      <c r="H81" s="160">
        <v>200</v>
      </c>
      <c r="I81" s="159">
        <v>1</v>
      </c>
      <c r="J81" s="160">
        <v>175</v>
      </c>
      <c r="K81" s="27"/>
      <c r="L81" s="160">
        <v>1</v>
      </c>
      <c r="M81" s="27"/>
      <c r="N81" s="160">
        <v>150</v>
      </c>
      <c r="O81" s="27"/>
      <c r="P81" s="27"/>
      <c r="Q81" s="27"/>
      <c r="R81" s="27"/>
      <c r="S81" s="27"/>
      <c r="T81" s="31"/>
      <c r="U81" s="38"/>
      <c r="V81" s="64"/>
      <c r="W81" s="160">
        <f t="shared" si="10"/>
        <v>1475</v>
      </c>
      <c r="X81" s="160">
        <f t="shared" si="11"/>
        <v>73.75</v>
      </c>
      <c r="Y81" s="160">
        <f t="shared" si="12"/>
        <v>1548.75</v>
      </c>
      <c r="Z81" s="263">
        <v>16</v>
      </c>
      <c r="AA81" s="56"/>
    </row>
    <row r="82" spans="1:28">
      <c r="A82" s="165">
        <v>42244</v>
      </c>
      <c r="B82" s="52"/>
      <c r="C82" s="52"/>
      <c r="D82" s="162">
        <v>1</v>
      </c>
      <c r="E82" s="166"/>
      <c r="F82" s="160">
        <v>1100</v>
      </c>
      <c r="G82" s="170">
        <v>1</v>
      </c>
      <c r="H82" s="160">
        <v>200</v>
      </c>
      <c r="I82" s="159">
        <v>1</v>
      </c>
      <c r="J82" s="160">
        <v>175</v>
      </c>
      <c r="K82" s="27"/>
      <c r="L82" s="160">
        <v>1</v>
      </c>
      <c r="M82" s="27"/>
      <c r="N82" s="160">
        <v>150</v>
      </c>
      <c r="O82" s="27"/>
      <c r="P82" s="27"/>
      <c r="Q82" s="27"/>
      <c r="R82" s="27"/>
      <c r="S82" s="27"/>
      <c r="T82" s="31"/>
      <c r="U82" s="38"/>
      <c r="V82" s="64"/>
      <c r="W82" s="160">
        <f t="shared" si="10"/>
        <v>1475</v>
      </c>
      <c r="X82" s="160">
        <f t="shared" si="11"/>
        <v>73.75</v>
      </c>
      <c r="Y82" s="160">
        <f t="shared" si="12"/>
        <v>1548.75</v>
      </c>
      <c r="Z82" s="263">
        <v>16</v>
      </c>
      <c r="AA82" s="56"/>
    </row>
    <row r="83" spans="1:28">
      <c r="A83" s="165">
        <v>42245</v>
      </c>
      <c r="B83" s="52"/>
      <c r="C83" s="52"/>
      <c r="D83" s="162">
        <v>1</v>
      </c>
      <c r="E83" s="166"/>
      <c r="F83" s="160">
        <v>1100</v>
      </c>
      <c r="G83" s="170">
        <v>1</v>
      </c>
      <c r="H83" s="160">
        <v>200</v>
      </c>
      <c r="I83" s="159">
        <v>1</v>
      </c>
      <c r="J83" s="160">
        <v>175</v>
      </c>
      <c r="K83" s="27"/>
      <c r="L83" s="160">
        <v>1</v>
      </c>
      <c r="M83" s="27"/>
      <c r="N83" s="160">
        <v>150</v>
      </c>
      <c r="O83" s="27"/>
      <c r="P83" s="27"/>
      <c r="Q83" s="27"/>
      <c r="R83" s="27"/>
      <c r="S83" s="27"/>
      <c r="T83" s="31"/>
      <c r="U83" s="38"/>
      <c r="V83" s="64"/>
      <c r="W83" s="160">
        <f t="shared" si="10"/>
        <v>1475</v>
      </c>
      <c r="X83" s="160">
        <f t="shared" si="11"/>
        <v>73.75</v>
      </c>
      <c r="Y83" s="160">
        <f t="shared" si="12"/>
        <v>1548.75</v>
      </c>
      <c r="Z83" s="263">
        <v>16</v>
      </c>
      <c r="AA83" s="56"/>
      <c r="AB83" s="341"/>
    </row>
    <row r="84" spans="1:28">
      <c r="A84" s="165">
        <v>42246</v>
      </c>
      <c r="B84" s="52"/>
      <c r="C84" s="52"/>
      <c r="D84" s="162"/>
      <c r="E84" s="166"/>
      <c r="F84" s="160">
        <v>1100</v>
      </c>
      <c r="G84" s="170"/>
      <c r="H84" s="160">
        <v>200</v>
      </c>
      <c r="I84" s="159">
        <v>1</v>
      </c>
      <c r="J84" s="160">
        <v>175</v>
      </c>
      <c r="K84" s="27"/>
      <c r="L84" s="160">
        <v>1</v>
      </c>
      <c r="M84" s="27"/>
      <c r="N84" s="160">
        <v>150</v>
      </c>
      <c r="O84" s="27"/>
      <c r="P84" s="27"/>
      <c r="Q84" s="27"/>
      <c r="R84" s="27"/>
      <c r="S84" s="27"/>
      <c r="T84" s="31"/>
      <c r="U84" s="38"/>
      <c r="V84" s="64"/>
      <c r="W84" s="160">
        <f t="shared" si="10"/>
        <v>175</v>
      </c>
      <c r="X84" s="160">
        <f t="shared" si="11"/>
        <v>8.75</v>
      </c>
      <c r="Y84" s="160">
        <f t="shared" si="12"/>
        <v>183.75</v>
      </c>
      <c r="Z84" s="263">
        <v>16</v>
      </c>
      <c r="AA84" s="56"/>
      <c r="AB84" s="341" t="s">
        <v>394</v>
      </c>
    </row>
    <row r="85" spans="1:28" s="617" customFormat="1">
      <c r="A85" s="165">
        <v>42247</v>
      </c>
      <c r="B85" s="52"/>
      <c r="C85" s="52"/>
      <c r="D85" s="162">
        <v>1</v>
      </c>
      <c r="E85" s="166"/>
      <c r="F85" s="160">
        <v>1100</v>
      </c>
      <c r="G85" s="170">
        <v>1</v>
      </c>
      <c r="H85" s="160">
        <v>200</v>
      </c>
      <c r="I85" s="159">
        <v>1</v>
      </c>
      <c r="J85" s="160">
        <v>175</v>
      </c>
      <c r="K85" s="27"/>
      <c r="L85" s="160">
        <v>1</v>
      </c>
      <c r="M85" s="27"/>
      <c r="N85" s="160">
        <v>150</v>
      </c>
      <c r="O85" s="27"/>
      <c r="P85" s="27"/>
      <c r="Q85" s="27"/>
      <c r="R85" s="27"/>
      <c r="S85" s="27"/>
      <c r="T85" s="31"/>
      <c r="U85" s="38"/>
      <c r="V85" s="64"/>
      <c r="W85" s="160">
        <f t="shared" si="10"/>
        <v>1475</v>
      </c>
      <c r="X85" s="160">
        <f t="shared" si="11"/>
        <v>73.75</v>
      </c>
      <c r="Y85" s="160">
        <f t="shared" si="12"/>
        <v>1548.75</v>
      </c>
      <c r="Z85" s="263">
        <v>16</v>
      </c>
      <c r="AA85" s="56"/>
      <c r="AB85" s="616"/>
    </row>
    <row r="86" spans="1:28" s="617" customFormat="1">
      <c r="A86" s="538">
        <v>42248</v>
      </c>
      <c r="B86" s="539"/>
      <c r="C86" s="539"/>
      <c r="D86" s="540">
        <v>1</v>
      </c>
      <c r="E86" s="556"/>
      <c r="F86" s="541">
        <v>1100</v>
      </c>
      <c r="G86" s="545">
        <v>1</v>
      </c>
      <c r="H86" s="541">
        <v>200</v>
      </c>
      <c r="I86" s="542">
        <v>1</v>
      </c>
      <c r="J86" s="541">
        <v>175</v>
      </c>
      <c r="K86" s="541"/>
      <c r="L86" s="541">
        <v>1</v>
      </c>
      <c r="M86" s="541"/>
      <c r="N86" s="541">
        <v>150</v>
      </c>
      <c r="O86" s="541"/>
      <c r="P86" s="541"/>
      <c r="Q86" s="541"/>
      <c r="R86" s="541"/>
      <c r="S86" s="541"/>
      <c r="T86" s="542"/>
      <c r="U86" s="628"/>
      <c r="V86" s="540"/>
      <c r="W86" s="541">
        <f t="shared" si="10"/>
        <v>1475</v>
      </c>
      <c r="X86" s="541">
        <f t="shared" si="11"/>
        <v>73.75</v>
      </c>
      <c r="Y86" s="541">
        <f t="shared" si="12"/>
        <v>1548.75</v>
      </c>
      <c r="Z86" s="542">
        <v>17</v>
      </c>
      <c r="AA86" s="544"/>
      <c r="AB86" s="616"/>
    </row>
    <row r="87" spans="1:28" s="617" customFormat="1">
      <c r="A87" s="538">
        <v>42249</v>
      </c>
      <c r="B87" s="539"/>
      <c r="C87" s="539"/>
      <c r="D87" s="540">
        <v>1</v>
      </c>
      <c r="E87" s="556"/>
      <c r="F87" s="541">
        <v>1100</v>
      </c>
      <c r="G87" s="545">
        <v>1</v>
      </c>
      <c r="H87" s="541">
        <v>200</v>
      </c>
      <c r="I87" s="542">
        <v>1</v>
      </c>
      <c r="J87" s="541">
        <v>175</v>
      </c>
      <c r="K87" s="541"/>
      <c r="L87" s="541">
        <v>1</v>
      </c>
      <c r="M87" s="541"/>
      <c r="N87" s="541">
        <v>150</v>
      </c>
      <c r="O87" s="541"/>
      <c r="P87" s="541"/>
      <c r="Q87" s="541"/>
      <c r="R87" s="541"/>
      <c r="S87" s="541"/>
      <c r="T87" s="542"/>
      <c r="U87" s="628"/>
      <c r="V87" s="540"/>
      <c r="W87" s="541">
        <f t="shared" si="10"/>
        <v>1475</v>
      </c>
      <c r="X87" s="541">
        <f t="shared" si="11"/>
        <v>73.75</v>
      </c>
      <c r="Y87" s="541">
        <f t="shared" si="12"/>
        <v>1548.75</v>
      </c>
      <c r="Z87" s="542">
        <v>17</v>
      </c>
      <c r="AA87" s="544"/>
      <c r="AB87" s="616"/>
    </row>
    <row r="88" spans="1:28" s="617" customFormat="1">
      <c r="A88" s="538">
        <v>42250</v>
      </c>
      <c r="B88" s="539"/>
      <c r="C88" s="539"/>
      <c r="D88" s="540">
        <v>1</v>
      </c>
      <c r="E88" s="556"/>
      <c r="F88" s="541">
        <v>1100</v>
      </c>
      <c r="G88" s="545">
        <v>1</v>
      </c>
      <c r="H88" s="541">
        <v>200</v>
      </c>
      <c r="I88" s="542">
        <v>1</v>
      </c>
      <c r="J88" s="541">
        <v>175</v>
      </c>
      <c r="K88" s="541"/>
      <c r="L88" s="541">
        <v>1</v>
      </c>
      <c r="M88" s="541"/>
      <c r="N88" s="541">
        <v>150</v>
      </c>
      <c r="O88" s="541"/>
      <c r="P88" s="541"/>
      <c r="Q88" s="541"/>
      <c r="R88" s="541"/>
      <c r="S88" s="541"/>
      <c r="T88" s="542"/>
      <c r="U88" s="628"/>
      <c r="V88" s="540"/>
      <c r="W88" s="541">
        <f t="shared" si="10"/>
        <v>1475</v>
      </c>
      <c r="X88" s="541">
        <f t="shared" si="11"/>
        <v>73.75</v>
      </c>
      <c r="Y88" s="541">
        <f t="shared" si="12"/>
        <v>1548.75</v>
      </c>
      <c r="Z88" s="542">
        <v>17</v>
      </c>
      <c r="AA88" s="544"/>
      <c r="AB88" s="616"/>
    </row>
    <row r="89" spans="1:28" s="617" customFormat="1">
      <c r="A89" s="605">
        <v>42267</v>
      </c>
      <c r="B89" s="629"/>
      <c r="C89" s="629"/>
      <c r="D89" s="612">
        <v>1</v>
      </c>
      <c r="E89" s="630"/>
      <c r="F89" s="609">
        <v>1100</v>
      </c>
      <c r="G89" s="630">
        <v>1</v>
      </c>
      <c r="H89" s="609">
        <v>200</v>
      </c>
      <c r="I89" s="612">
        <v>1</v>
      </c>
      <c r="J89" s="609">
        <v>175</v>
      </c>
      <c r="K89" s="612"/>
      <c r="L89" s="609">
        <v>1</v>
      </c>
      <c r="M89" s="609"/>
      <c r="N89" s="541">
        <v>150</v>
      </c>
      <c r="O89" s="609"/>
      <c r="P89" s="609"/>
      <c r="Q89" s="609"/>
      <c r="R89" s="609"/>
      <c r="S89" s="609"/>
      <c r="T89" s="612"/>
      <c r="U89" s="631"/>
      <c r="V89" s="540"/>
      <c r="W89" s="541">
        <f>(D89*F89)+(G89*H89)+(I89*J89)+(K89*L89)+(M89*N89)</f>
        <v>1475</v>
      </c>
      <c r="X89" s="541">
        <f>(W89*5%)</f>
        <v>73.75</v>
      </c>
      <c r="Y89" s="541">
        <f>SUM(W89+X89)</f>
        <v>1548.75</v>
      </c>
      <c r="Z89" s="612">
        <v>17</v>
      </c>
      <c r="AA89" s="632"/>
      <c r="AB89" s="616"/>
    </row>
    <row r="90" spans="1:28" s="617" customFormat="1">
      <c r="A90" s="605">
        <v>42268</v>
      </c>
      <c r="B90" s="629"/>
      <c r="C90" s="629"/>
      <c r="D90" s="612">
        <v>1</v>
      </c>
      <c r="E90" s="630"/>
      <c r="F90" s="609">
        <v>1100</v>
      </c>
      <c r="G90" s="630">
        <v>1</v>
      </c>
      <c r="H90" s="609">
        <v>200</v>
      </c>
      <c r="I90" s="612">
        <v>1</v>
      </c>
      <c r="J90" s="609">
        <v>175</v>
      </c>
      <c r="K90" s="612"/>
      <c r="L90" s="609">
        <v>1</v>
      </c>
      <c r="M90" s="609"/>
      <c r="N90" s="541">
        <v>150</v>
      </c>
      <c r="O90" s="609"/>
      <c r="P90" s="609"/>
      <c r="Q90" s="609"/>
      <c r="R90" s="609"/>
      <c r="S90" s="609"/>
      <c r="T90" s="612"/>
      <c r="U90" s="631"/>
      <c r="V90" s="540"/>
      <c r="W90" s="541">
        <f>(D90*F90)+(G90*H90)+(I90*J90)+(K90*L90)+(M90*N90)</f>
        <v>1475</v>
      </c>
      <c r="X90" s="541">
        <f>(W90*5%)</f>
        <v>73.75</v>
      </c>
      <c r="Y90" s="541">
        <f>SUM(W90+X90)</f>
        <v>1548.75</v>
      </c>
      <c r="Z90" s="612">
        <v>17</v>
      </c>
      <c r="AA90" s="632"/>
      <c r="AB90" s="616"/>
    </row>
    <row r="91" spans="1:28" s="617" customFormat="1">
      <c r="A91" s="605">
        <v>42269</v>
      </c>
      <c r="B91" s="629"/>
      <c r="C91" s="629"/>
      <c r="D91" s="612">
        <v>1</v>
      </c>
      <c r="E91" s="630"/>
      <c r="F91" s="609">
        <v>1100</v>
      </c>
      <c r="G91" s="630">
        <v>1</v>
      </c>
      <c r="H91" s="609">
        <v>200</v>
      </c>
      <c r="I91" s="612">
        <v>1</v>
      </c>
      <c r="J91" s="609">
        <v>175</v>
      </c>
      <c r="K91" s="612"/>
      <c r="L91" s="609">
        <v>1</v>
      </c>
      <c r="M91" s="609"/>
      <c r="N91" s="541">
        <v>150</v>
      </c>
      <c r="O91" s="609"/>
      <c r="P91" s="609"/>
      <c r="Q91" s="609"/>
      <c r="R91" s="609"/>
      <c r="S91" s="609"/>
      <c r="T91" s="612"/>
      <c r="U91" s="631"/>
      <c r="V91" s="540"/>
      <c r="W91" s="541">
        <f>(D91*F91)+(G91*H91)+(I91*J91)+(K91*L91)+(M91*N91)</f>
        <v>1475</v>
      </c>
      <c r="X91" s="541">
        <f>(W91*5%)</f>
        <v>73.75</v>
      </c>
      <c r="Y91" s="541">
        <f>SUM(W91+X91)</f>
        <v>1548.75</v>
      </c>
      <c r="Z91" s="612">
        <v>17</v>
      </c>
      <c r="AA91" s="632"/>
      <c r="AB91" s="633"/>
    </row>
    <row r="92" spans="1:28" s="617" customFormat="1">
      <c r="A92" s="538">
        <v>42270</v>
      </c>
      <c r="B92" s="539"/>
      <c r="C92" s="539"/>
      <c r="D92" s="540">
        <v>1</v>
      </c>
      <c r="E92" s="556"/>
      <c r="F92" s="541">
        <v>1100</v>
      </c>
      <c r="G92" s="545">
        <v>1</v>
      </c>
      <c r="H92" s="541">
        <v>200</v>
      </c>
      <c r="I92" s="542">
        <v>1</v>
      </c>
      <c r="J92" s="541">
        <v>175</v>
      </c>
      <c r="K92" s="541"/>
      <c r="L92" s="541">
        <v>1</v>
      </c>
      <c r="M92" s="541"/>
      <c r="N92" s="541">
        <v>150</v>
      </c>
      <c r="O92" s="541"/>
      <c r="P92" s="541"/>
      <c r="Q92" s="541"/>
      <c r="R92" s="541"/>
      <c r="S92" s="541"/>
      <c r="T92" s="542"/>
      <c r="U92" s="628"/>
      <c r="V92" s="540"/>
      <c r="W92" s="541">
        <f t="shared" si="10"/>
        <v>1475</v>
      </c>
      <c r="X92" s="541">
        <f t="shared" si="11"/>
        <v>73.75</v>
      </c>
      <c r="Y92" s="541">
        <f t="shared" si="12"/>
        <v>1548.75</v>
      </c>
      <c r="Z92" s="542">
        <v>17</v>
      </c>
      <c r="AA92" s="544"/>
      <c r="AB92" s="616"/>
    </row>
    <row r="93" spans="1:28" s="617" customFormat="1">
      <c r="A93" s="538">
        <v>42271</v>
      </c>
      <c r="B93" s="539"/>
      <c r="C93" s="539"/>
      <c r="D93" s="540">
        <v>1</v>
      </c>
      <c r="E93" s="556"/>
      <c r="F93" s="541">
        <v>1100</v>
      </c>
      <c r="G93" s="545">
        <v>1</v>
      </c>
      <c r="H93" s="541">
        <v>200</v>
      </c>
      <c r="I93" s="542">
        <v>1</v>
      </c>
      <c r="J93" s="541">
        <v>175</v>
      </c>
      <c r="K93" s="541"/>
      <c r="L93" s="541">
        <v>1</v>
      </c>
      <c r="M93" s="541"/>
      <c r="N93" s="541">
        <v>150</v>
      </c>
      <c r="O93" s="541"/>
      <c r="P93" s="541"/>
      <c r="Q93" s="541"/>
      <c r="R93" s="541"/>
      <c r="S93" s="541"/>
      <c r="T93" s="542"/>
      <c r="U93" s="628"/>
      <c r="V93" s="540"/>
      <c r="W93" s="541">
        <f t="shared" ref="W93:W97" si="13">(D93*F93)+(G93*H93)+(I93*J93)+(K93*L93)+(M93*N93)</f>
        <v>1475</v>
      </c>
      <c r="X93" s="541">
        <f t="shared" ref="X93:X97" si="14">(W93*5%)</f>
        <v>73.75</v>
      </c>
      <c r="Y93" s="541">
        <f t="shared" ref="Y93:Y97" si="15">SUM(W93+X93)</f>
        <v>1548.75</v>
      </c>
      <c r="Z93" s="542">
        <v>17</v>
      </c>
      <c r="AA93" s="544"/>
      <c r="AB93" s="616"/>
    </row>
    <row r="94" spans="1:28" s="617" customFormat="1">
      <c r="A94" s="538">
        <v>42272</v>
      </c>
      <c r="B94" s="539"/>
      <c r="C94" s="539"/>
      <c r="D94" s="540">
        <v>1</v>
      </c>
      <c r="E94" s="556"/>
      <c r="F94" s="541">
        <v>1100</v>
      </c>
      <c r="G94" s="545">
        <v>1</v>
      </c>
      <c r="H94" s="541">
        <v>200</v>
      </c>
      <c r="I94" s="542">
        <v>1</v>
      </c>
      <c r="J94" s="541">
        <v>175</v>
      </c>
      <c r="K94" s="541"/>
      <c r="L94" s="541">
        <v>1</v>
      </c>
      <c r="M94" s="541"/>
      <c r="N94" s="541">
        <v>150</v>
      </c>
      <c r="O94" s="541"/>
      <c r="P94" s="541"/>
      <c r="Q94" s="541"/>
      <c r="R94" s="541"/>
      <c r="S94" s="541"/>
      <c r="T94" s="542"/>
      <c r="U94" s="628"/>
      <c r="V94" s="540"/>
      <c r="W94" s="541">
        <f t="shared" si="13"/>
        <v>1475</v>
      </c>
      <c r="X94" s="541">
        <f t="shared" si="14"/>
        <v>73.75</v>
      </c>
      <c r="Y94" s="541">
        <f t="shared" si="15"/>
        <v>1548.75</v>
      </c>
      <c r="Z94" s="542">
        <v>17</v>
      </c>
      <c r="AA94" s="544"/>
      <c r="AB94" s="616"/>
    </row>
    <row r="95" spans="1:28" s="617" customFormat="1">
      <c r="A95" s="538">
        <v>42274</v>
      </c>
      <c r="B95" s="539"/>
      <c r="C95" s="539"/>
      <c r="D95" s="540">
        <v>0</v>
      </c>
      <c r="E95" s="540"/>
      <c r="F95" s="541">
        <v>1100</v>
      </c>
      <c r="G95" s="545">
        <v>0</v>
      </c>
      <c r="H95" s="541">
        <v>200</v>
      </c>
      <c r="I95" s="542">
        <v>1</v>
      </c>
      <c r="J95" s="541">
        <v>175</v>
      </c>
      <c r="K95" s="541"/>
      <c r="L95" s="541">
        <v>1</v>
      </c>
      <c r="M95" s="541"/>
      <c r="N95" s="541">
        <v>150</v>
      </c>
      <c r="O95" s="541"/>
      <c r="P95" s="541"/>
      <c r="Q95" s="541"/>
      <c r="R95" s="541"/>
      <c r="S95" s="541"/>
      <c r="T95" s="542"/>
      <c r="U95" s="543"/>
      <c r="V95" s="540"/>
      <c r="W95" s="541">
        <f t="shared" si="13"/>
        <v>175</v>
      </c>
      <c r="X95" s="541">
        <f t="shared" si="14"/>
        <v>8.75</v>
      </c>
      <c r="Y95" s="541">
        <f t="shared" si="15"/>
        <v>183.75</v>
      </c>
      <c r="Z95" s="542">
        <v>17</v>
      </c>
      <c r="AA95" s="544"/>
      <c r="AB95" s="616"/>
    </row>
    <row r="96" spans="1:28" s="617" customFormat="1">
      <c r="A96" s="538">
        <v>42276</v>
      </c>
      <c r="B96" s="539"/>
      <c r="C96" s="539"/>
      <c r="D96" s="540">
        <v>1</v>
      </c>
      <c r="E96" s="540"/>
      <c r="F96" s="541">
        <v>1100</v>
      </c>
      <c r="G96" s="545">
        <v>1</v>
      </c>
      <c r="H96" s="541">
        <v>200</v>
      </c>
      <c r="I96" s="542">
        <v>1</v>
      </c>
      <c r="J96" s="541">
        <v>175</v>
      </c>
      <c r="K96" s="541"/>
      <c r="L96" s="541">
        <v>1</v>
      </c>
      <c r="M96" s="541"/>
      <c r="N96" s="541">
        <v>150</v>
      </c>
      <c r="O96" s="541"/>
      <c r="P96" s="541"/>
      <c r="Q96" s="541"/>
      <c r="R96" s="541"/>
      <c r="S96" s="541"/>
      <c r="T96" s="542"/>
      <c r="U96" s="543"/>
      <c r="V96" s="540"/>
      <c r="W96" s="541">
        <f t="shared" si="13"/>
        <v>1475</v>
      </c>
      <c r="X96" s="541">
        <f t="shared" si="14"/>
        <v>73.75</v>
      </c>
      <c r="Y96" s="541">
        <f t="shared" si="15"/>
        <v>1548.75</v>
      </c>
      <c r="Z96" s="542">
        <v>17</v>
      </c>
      <c r="AA96" s="544"/>
      <c r="AB96" s="616"/>
    </row>
    <row r="97" spans="1:28" s="2" customFormat="1">
      <c r="A97" s="538">
        <v>42277</v>
      </c>
      <c r="B97" s="539"/>
      <c r="C97" s="539"/>
      <c r="D97" s="540">
        <v>1</v>
      </c>
      <c r="E97" s="540"/>
      <c r="F97" s="541">
        <v>1100</v>
      </c>
      <c r="G97" s="545">
        <v>1</v>
      </c>
      <c r="H97" s="541">
        <v>200</v>
      </c>
      <c r="I97" s="542">
        <v>1</v>
      </c>
      <c r="J97" s="541">
        <v>175</v>
      </c>
      <c r="K97" s="541"/>
      <c r="L97" s="541">
        <v>1</v>
      </c>
      <c r="M97" s="541"/>
      <c r="N97" s="541">
        <v>150</v>
      </c>
      <c r="O97" s="541"/>
      <c r="P97" s="541"/>
      <c r="Q97" s="541"/>
      <c r="R97" s="541"/>
      <c r="S97" s="541"/>
      <c r="T97" s="542"/>
      <c r="U97" s="543"/>
      <c r="V97" s="540"/>
      <c r="W97" s="541">
        <f t="shared" si="13"/>
        <v>1475</v>
      </c>
      <c r="X97" s="541">
        <f t="shared" si="14"/>
        <v>73.75</v>
      </c>
      <c r="Y97" s="541">
        <f t="shared" si="15"/>
        <v>1548.75</v>
      </c>
      <c r="Z97" s="542">
        <v>17</v>
      </c>
      <c r="AA97" s="544"/>
      <c r="AB97" s="316"/>
    </row>
    <row r="98" spans="1:28" s="2" customFormat="1">
      <c r="A98" s="318">
        <v>42278</v>
      </c>
      <c r="B98" s="262"/>
      <c r="C98" s="262"/>
      <c r="D98" s="269"/>
      <c r="E98" s="269"/>
      <c r="F98" s="265"/>
      <c r="G98" s="266"/>
      <c r="H98" s="265"/>
      <c r="I98" s="263"/>
      <c r="J98" s="265"/>
      <c r="K98" s="265"/>
      <c r="L98" s="265"/>
      <c r="M98" s="265"/>
      <c r="N98" s="265"/>
      <c r="O98" s="265"/>
      <c r="P98" s="265"/>
      <c r="Q98" s="265"/>
      <c r="R98" s="265"/>
      <c r="S98" s="265"/>
      <c r="T98" s="263"/>
      <c r="U98" s="298"/>
      <c r="V98" s="269"/>
      <c r="W98" s="265"/>
      <c r="X98" s="265"/>
      <c r="Y98" s="265"/>
      <c r="Z98" s="263"/>
      <c r="AA98" s="295"/>
      <c r="AB98" s="316"/>
    </row>
    <row r="99" spans="1:28" s="2" customFormat="1">
      <c r="A99" s="318">
        <v>42279</v>
      </c>
      <c r="B99" s="262"/>
      <c r="C99" s="262"/>
      <c r="D99" s="269"/>
      <c r="E99" s="269"/>
      <c r="F99" s="265"/>
      <c r="G99" s="266"/>
      <c r="H99" s="265"/>
      <c r="I99" s="263"/>
      <c r="J99" s="265"/>
      <c r="K99" s="265"/>
      <c r="L99" s="265"/>
      <c r="M99" s="265"/>
      <c r="N99" s="265"/>
      <c r="O99" s="265"/>
      <c r="P99" s="265"/>
      <c r="Q99" s="265"/>
      <c r="R99" s="265"/>
      <c r="S99" s="265"/>
      <c r="T99" s="263"/>
      <c r="U99" s="298"/>
      <c r="V99" s="269"/>
      <c r="W99" s="265"/>
      <c r="X99" s="265"/>
      <c r="Y99" s="265"/>
      <c r="Z99" s="263"/>
      <c r="AA99" s="295"/>
      <c r="AB99" s="532"/>
    </row>
    <row r="100" spans="1:28">
      <c r="A100" s="318">
        <v>42280</v>
      </c>
      <c r="B100" s="262"/>
      <c r="C100" s="262"/>
      <c r="D100" s="269"/>
      <c r="E100" s="269"/>
      <c r="F100" s="265"/>
      <c r="G100" s="266"/>
      <c r="H100" s="265"/>
      <c r="I100" s="263"/>
      <c r="J100" s="265"/>
      <c r="K100" s="265"/>
      <c r="L100" s="265"/>
      <c r="M100" s="265"/>
      <c r="N100" s="265"/>
      <c r="O100" s="265"/>
      <c r="P100" s="265"/>
      <c r="Q100" s="265"/>
      <c r="R100" s="265"/>
      <c r="S100" s="265"/>
      <c r="T100" s="263"/>
      <c r="U100" s="298"/>
      <c r="V100" s="269"/>
      <c r="W100" s="265"/>
      <c r="X100" s="265"/>
      <c r="Y100" s="265"/>
      <c r="Z100" s="263"/>
      <c r="AA100" s="295"/>
    </row>
    <row r="101" spans="1:28">
      <c r="A101" s="318">
        <v>42281</v>
      </c>
      <c r="B101" s="52"/>
      <c r="C101" s="52"/>
      <c r="D101" s="64"/>
      <c r="E101" s="64"/>
      <c r="F101" s="27"/>
      <c r="G101" s="27"/>
      <c r="H101" s="27"/>
      <c r="I101" s="31"/>
      <c r="J101" s="160"/>
      <c r="K101" s="27"/>
      <c r="L101" s="160"/>
      <c r="M101" s="27"/>
      <c r="N101" s="160"/>
      <c r="O101" s="27"/>
      <c r="P101" s="27"/>
      <c r="Q101" s="27"/>
      <c r="R101" s="27"/>
      <c r="S101" s="27"/>
      <c r="T101" s="31"/>
      <c r="U101" s="29"/>
      <c r="V101" s="64"/>
      <c r="W101" s="160"/>
      <c r="X101" s="160"/>
      <c r="Y101" s="160"/>
      <c r="Z101" s="31"/>
      <c r="AA101" s="56"/>
    </row>
    <row r="102" spans="1:28">
      <c r="A102" s="318">
        <v>42282</v>
      </c>
      <c r="B102" s="52"/>
      <c r="C102" s="52"/>
      <c r="D102" s="64"/>
      <c r="E102" s="64"/>
      <c r="F102" s="27"/>
      <c r="G102" s="27"/>
      <c r="H102" s="27"/>
      <c r="I102" s="31"/>
      <c r="J102" s="160"/>
      <c r="K102" s="27"/>
      <c r="L102" s="160"/>
      <c r="M102" s="27"/>
      <c r="N102" s="160"/>
      <c r="O102" s="27"/>
      <c r="P102" s="27"/>
      <c r="Q102" s="27"/>
      <c r="R102" s="27"/>
      <c r="S102" s="27"/>
      <c r="T102" s="31"/>
      <c r="U102" s="29"/>
      <c r="V102" s="64"/>
      <c r="W102" s="160"/>
      <c r="X102" s="160"/>
      <c r="Y102" s="160"/>
      <c r="Z102" s="31"/>
      <c r="AA102" s="56"/>
    </row>
    <row r="103" spans="1:28">
      <c r="A103" s="318">
        <v>42283</v>
      </c>
      <c r="B103" s="52"/>
      <c r="C103" s="52"/>
      <c r="D103" s="64"/>
      <c r="E103" s="64"/>
      <c r="F103" s="27"/>
      <c r="G103" s="27"/>
      <c r="H103" s="27"/>
      <c r="I103" s="31"/>
      <c r="J103" s="160"/>
      <c r="K103" s="27"/>
      <c r="L103" s="160"/>
      <c r="M103" s="27"/>
      <c r="N103" s="160"/>
      <c r="O103" s="27"/>
      <c r="P103" s="27"/>
      <c r="Q103" s="27"/>
      <c r="R103" s="27"/>
      <c r="S103" s="27"/>
      <c r="T103" s="31"/>
      <c r="U103" s="29"/>
      <c r="V103" s="64"/>
      <c r="W103" s="160"/>
      <c r="X103" s="160"/>
      <c r="Y103" s="160"/>
      <c r="Z103" s="31"/>
      <c r="AA103" s="56"/>
    </row>
    <row r="104" spans="1:28">
      <c r="A104" s="318">
        <v>42284</v>
      </c>
      <c r="B104" s="52"/>
      <c r="C104" s="52"/>
      <c r="D104" s="162"/>
      <c r="E104" s="166"/>
      <c r="F104" s="160"/>
      <c r="G104" s="170"/>
      <c r="H104" s="160"/>
      <c r="I104" s="159"/>
      <c r="J104" s="160"/>
      <c r="K104" s="27"/>
      <c r="L104" s="160"/>
      <c r="M104" s="27"/>
      <c r="N104" s="160"/>
      <c r="O104" s="27"/>
      <c r="P104" s="27"/>
      <c r="Q104" s="27"/>
      <c r="R104" s="27"/>
      <c r="S104" s="27"/>
      <c r="T104" s="31"/>
      <c r="U104" s="38"/>
      <c r="V104" s="64"/>
      <c r="W104" s="160"/>
      <c r="X104" s="160"/>
      <c r="Y104" s="160"/>
      <c r="Z104" s="31"/>
      <c r="AA104" s="56"/>
    </row>
    <row r="105" spans="1:28">
      <c r="A105" s="318">
        <v>42285</v>
      </c>
      <c r="B105" s="52"/>
      <c r="C105" s="52"/>
      <c r="D105" s="64"/>
      <c r="E105" s="64"/>
      <c r="F105" s="27"/>
      <c r="G105" s="27"/>
      <c r="H105" s="27"/>
      <c r="I105" s="31"/>
      <c r="J105" s="160"/>
      <c r="K105" s="27"/>
      <c r="L105" s="160"/>
      <c r="M105" s="27"/>
      <c r="N105" s="160"/>
      <c r="O105" s="27"/>
      <c r="P105" s="27"/>
      <c r="Q105" s="27"/>
      <c r="R105" s="27"/>
      <c r="S105" s="27"/>
      <c r="T105" s="31"/>
      <c r="U105" s="29"/>
      <c r="V105" s="64"/>
      <c r="W105" s="160"/>
      <c r="X105" s="160"/>
      <c r="Y105" s="160"/>
      <c r="Z105" s="31"/>
      <c r="AA105" s="56"/>
    </row>
    <row r="106" spans="1:28">
      <c r="A106" s="318">
        <v>42286</v>
      </c>
      <c r="B106" s="52"/>
      <c r="C106" s="52"/>
      <c r="D106" s="64"/>
      <c r="E106" s="64"/>
      <c r="F106" s="27"/>
      <c r="G106" s="27"/>
      <c r="H106" s="27"/>
      <c r="I106" s="31"/>
      <c r="J106" s="160"/>
      <c r="K106" s="27"/>
      <c r="L106" s="160"/>
      <c r="M106" s="27"/>
      <c r="N106" s="160"/>
      <c r="O106" s="27"/>
      <c r="P106" s="27"/>
      <c r="Q106" s="27"/>
      <c r="R106" s="27"/>
      <c r="S106" s="27"/>
      <c r="T106" s="31"/>
      <c r="U106" s="29"/>
      <c r="V106" s="64"/>
      <c r="W106" s="160"/>
      <c r="X106" s="160"/>
      <c r="Y106" s="160"/>
      <c r="Z106" s="31"/>
      <c r="AA106" s="56"/>
    </row>
    <row r="107" spans="1:28">
      <c r="A107" s="318">
        <v>42287</v>
      </c>
      <c r="B107" s="52"/>
      <c r="C107" s="52"/>
      <c r="D107" s="64"/>
      <c r="E107" s="64"/>
      <c r="F107" s="27"/>
      <c r="G107" s="27"/>
      <c r="H107" s="27"/>
      <c r="I107" s="31"/>
      <c r="J107" s="160"/>
      <c r="K107" s="27"/>
      <c r="L107" s="160"/>
      <c r="M107" s="27"/>
      <c r="N107" s="160"/>
      <c r="O107" s="27"/>
      <c r="P107" s="27"/>
      <c r="Q107" s="27"/>
      <c r="R107" s="27"/>
      <c r="S107" s="27"/>
      <c r="T107" s="31"/>
      <c r="U107" s="29"/>
      <c r="V107" s="64"/>
      <c r="W107" s="160"/>
      <c r="X107" s="160"/>
      <c r="Y107" s="160"/>
      <c r="Z107" s="31"/>
      <c r="AA107" s="56"/>
    </row>
    <row r="108" spans="1:28">
      <c r="A108" s="318">
        <v>42288</v>
      </c>
      <c r="B108" s="52"/>
      <c r="C108" s="52"/>
      <c r="D108" s="64"/>
      <c r="E108" s="64"/>
      <c r="F108" s="27"/>
      <c r="G108" s="27"/>
      <c r="H108" s="27"/>
      <c r="I108" s="31"/>
      <c r="J108" s="160"/>
      <c r="K108" s="27"/>
      <c r="L108" s="160"/>
      <c r="M108" s="27"/>
      <c r="N108" s="160"/>
      <c r="O108" s="27"/>
      <c r="P108" s="27"/>
      <c r="Q108" s="27"/>
      <c r="R108" s="27"/>
      <c r="S108" s="27"/>
      <c r="T108" s="31"/>
      <c r="U108" s="29"/>
      <c r="V108" s="64"/>
      <c r="W108" s="160"/>
      <c r="X108" s="160"/>
      <c r="Y108" s="160"/>
      <c r="Z108" s="31"/>
      <c r="AA108" s="56"/>
    </row>
    <row r="109" spans="1:28">
      <c r="A109" s="318">
        <v>42289</v>
      </c>
      <c r="B109" s="52"/>
      <c r="C109" s="52"/>
      <c r="D109" s="64"/>
      <c r="E109" s="64"/>
      <c r="F109" s="27"/>
      <c r="G109" s="27"/>
      <c r="H109" s="27"/>
      <c r="I109" s="31"/>
      <c r="J109" s="160"/>
      <c r="K109" s="27"/>
      <c r="L109" s="160"/>
      <c r="M109" s="27"/>
      <c r="N109" s="160"/>
      <c r="O109" s="27"/>
      <c r="P109" s="27"/>
      <c r="Q109" s="27"/>
      <c r="R109" s="27"/>
      <c r="S109" s="27"/>
      <c r="T109" s="31"/>
      <c r="U109" s="29"/>
      <c r="V109" s="64"/>
      <c r="W109" s="160"/>
      <c r="X109" s="160"/>
      <c r="Y109" s="160"/>
      <c r="Z109" s="31"/>
      <c r="AA109" s="56"/>
    </row>
    <row r="110" spans="1:28">
      <c r="A110" s="318">
        <v>42290</v>
      </c>
      <c r="B110" s="52"/>
      <c r="C110" s="52"/>
      <c r="D110" s="64"/>
      <c r="E110" s="64"/>
      <c r="F110" s="27"/>
      <c r="G110" s="27"/>
      <c r="H110" s="27"/>
      <c r="I110" s="31"/>
      <c r="J110" s="160"/>
      <c r="K110" s="27"/>
      <c r="L110" s="160"/>
      <c r="M110" s="27"/>
      <c r="N110" s="160"/>
      <c r="O110" s="27"/>
      <c r="P110" s="27"/>
      <c r="Q110" s="27"/>
      <c r="R110" s="27"/>
      <c r="S110" s="27"/>
      <c r="T110" s="31"/>
      <c r="U110" s="29"/>
      <c r="V110" s="64"/>
      <c r="W110" s="160"/>
      <c r="X110" s="160"/>
      <c r="Y110" s="160"/>
      <c r="Z110" s="31"/>
      <c r="AA110" s="56"/>
    </row>
    <row r="111" spans="1:28">
      <c r="A111" s="318">
        <v>42291</v>
      </c>
      <c r="B111" s="52"/>
      <c r="C111" s="52"/>
      <c r="D111" s="64"/>
      <c r="E111" s="64"/>
      <c r="F111" s="27"/>
      <c r="G111" s="27"/>
      <c r="H111" s="27"/>
      <c r="I111" s="31"/>
      <c r="J111" s="160"/>
      <c r="K111" s="27"/>
      <c r="L111" s="160"/>
      <c r="M111" s="27"/>
      <c r="N111" s="160"/>
      <c r="O111" s="27"/>
      <c r="P111" s="27"/>
      <c r="Q111" s="27"/>
      <c r="R111" s="27"/>
      <c r="S111" s="27"/>
      <c r="T111" s="31"/>
      <c r="U111" s="29"/>
      <c r="V111" s="64"/>
      <c r="W111" s="160"/>
      <c r="X111" s="160"/>
      <c r="Y111" s="160"/>
      <c r="Z111" s="31"/>
      <c r="AA111" s="56"/>
    </row>
    <row r="112" spans="1:28">
      <c r="A112" s="318">
        <v>42292</v>
      </c>
      <c r="B112" s="52"/>
      <c r="C112" s="52"/>
      <c r="D112" s="64"/>
      <c r="E112" s="64"/>
      <c r="F112" s="27"/>
      <c r="G112" s="27"/>
      <c r="H112" s="27"/>
      <c r="I112" s="31"/>
      <c r="J112" s="160"/>
      <c r="K112" s="27"/>
      <c r="L112" s="160"/>
      <c r="M112" s="27"/>
      <c r="N112" s="160"/>
      <c r="O112" s="27"/>
      <c r="P112" s="27"/>
      <c r="Q112" s="27"/>
      <c r="R112" s="27"/>
      <c r="S112" s="27"/>
      <c r="T112" s="31"/>
      <c r="U112" s="29"/>
      <c r="V112" s="64"/>
      <c r="W112" s="160"/>
      <c r="X112" s="160"/>
      <c r="Y112" s="160"/>
      <c r="Z112" s="31"/>
      <c r="AA112" s="56"/>
    </row>
    <row r="113" spans="1:27">
      <c r="A113" s="318">
        <v>42293</v>
      </c>
      <c r="B113" s="52"/>
      <c r="C113" s="52"/>
      <c r="D113" s="64"/>
      <c r="E113" s="64"/>
      <c r="F113" s="27"/>
      <c r="G113" s="27"/>
      <c r="H113" s="27"/>
      <c r="I113" s="31"/>
      <c r="J113" s="160"/>
      <c r="K113" s="27"/>
      <c r="L113" s="160"/>
      <c r="M113" s="27"/>
      <c r="N113" s="160"/>
      <c r="O113" s="27"/>
      <c r="P113" s="27"/>
      <c r="Q113" s="27"/>
      <c r="R113" s="27"/>
      <c r="S113" s="27"/>
      <c r="T113" s="31"/>
      <c r="U113" s="29"/>
      <c r="V113" s="64"/>
      <c r="W113" s="160"/>
      <c r="X113" s="160"/>
      <c r="Y113" s="160"/>
      <c r="Z113" s="31"/>
      <c r="AA113" s="56"/>
    </row>
    <row r="1048335" spans="21:21">
      <c r="U1048335" s="38"/>
    </row>
  </sheetData>
  <autoFilter ref="A4:AC22"/>
  <phoneticPr fontId="3" type="noConversion"/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0"/>
  </sheetPr>
  <dimension ref="A1:AB1048428"/>
  <sheetViews>
    <sheetView workbookViewId="0">
      <pane ySplit="5" topLeftCell="A6" activePane="bottomLeft" state="frozen"/>
      <selection pane="bottomLeft" activeCell="A6" sqref="A6:XFD6"/>
    </sheetView>
  </sheetViews>
  <sheetFormatPr baseColWidth="10" defaultColWidth="8.83203125" defaultRowHeight="12" x14ac:dyDescent="0.75"/>
  <cols>
    <col min="1" max="1" width="11.6640625" style="71" bestFit="1" customWidth="1"/>
    <col min="2" max="3" width="11.83203125" style="53" hidden="1" customWidth="1"/>
    <col min="4" max="4" width="12" style="71" customWidth="1"/>
    <col min="5" max="5" width="10.33203125" style="25" bestFit="1" customWidth="1"/>
    <col min="6" max="6" width="9.1640625" style="25" customWidth="1"/>
    <col min="7" max="7" width="10.33203125" style="25" customWidth="1"/>
    <col min="8" max="13" width="9.1640625" style="25" customWidth="1"/>
    <col min="14" max="17" width="9.1640625" style="25" hidden="1" customWidth="1"/>
    <col min="18" max="18" width="12.5" style="25" hidden="1" customWidth="1"/>
    <col min="19" max="19" width="0" style="71" hidden="1" customWidth="1"/>
    <col min="20" max="20" width="38" style="28" hidden="1" customWidth="1"/>
    <col min="21" max="21" width="8.83203125" style="71"/>
    <col min="22" max="22" width="11.33203125" style="71" bestFit="1" customWidth="1"/>
    <col min="23" max="23" width="10.33203125" style="71" bestFit="1" customWidth="1"/>
    <col min="24" max="24" width="12.5" style="71" customWidth="1"/>
    <col min="25" max="25" width="11.33203125" style="71" bestFit="1" customWidth="1"/>
    <col min="26" max="26" width="14.33203125" style="65" bestFit="1" customWidth="1"/>
    <col min="27" max="27" width="15.5" style="71" customWidth="1"/>
    <col min="28" max="28" width="11.33203125" bestFit="1" customWidth="1"/>
  </cols>
  <sheetData>
    <row r="1" spans="1:28">
      <c r="A1" s="24"/>
      <c r="B1" s="42"/>
      <c r="C1" s="42"/>
      <c r="D1" s="30"/>
      <c r="S1" s="30"/>
      <c r="U1" s="25"/>
      <c r="V1" s="25"/>
      <c r="W1" s="25"/>
      <c r="X1" s="25"/>
      <c r="Y1" s="25"/>
    </row>
    <row r="2" spans="1:28">
      <c r="A2" s="39" t="s">
        <v>1092</v>
      </c>
      <c r="B2" s="42"/>
      <c r="C2" s="42"/>
      <c r="D2" s="30"/>
      <c r="S2" s="30"/>
      <c r="U2" s="25"/>
      <c r="V2" s="25"/>
      <c r="W2" s="25"/>
      <c r="X2" s="25"/>
      <c r="Y2" s="25"/>
    </row>
    <row r="3" spans="1:28">
      <c r="A3" s="101"/>
      <c r="B3" s="42"/>
      <c r="C3" s="42"/>
      <c r="D3" s="30"/>
      <c r="S3" s="30"/>
      <c r="U3" s="25"/>
      <c r="V3" s="25"/>
      <c r="W3" s="25"/>
      <c r="X3" s="25"/>
      <c r="Y3" s="25"/>
    </row>
    <row r="4" spans="1:28" ht="51.75" customHeight="1">
      <c r="A4" s="36" t="s">
        <v>0</v>
      </c>
      <c r="B4" s="43" t="s">
        <v>18</v>
      </c>
      <c r="C4" s="43" t="s">
        <v>19</v>
      </c>
      <c r="D4" s="1161" t="s">
        <v>1092</v>
      </c>
      <c r="E4" s="40" t="s">
        <v>21</v>
      </c>
      <c r="F4" s="40" t="s">
        <v>55</v>
      </c>
      <c r="G4" s="40" t="s">
        <v>74</v>
      </c>
      <c r="H4" s="40" t="s">
        <v>43</v>
      </c>
      <c r="I4" s="40" t="s">
        <v>75</v>
      </c>
      <c r="J4" s="40" t="s">
        <v>76</v>
      </c>
      <c r="K4" s="40" t="s">
        <v>77</v>
      </c>
      <c r="L4" s="40" t="s">
        <v>50</v>
      </c>
      <c r="M4" s="40" t="s">
        <v>74</v>
      </c>
      <c r="N4" s="40" t="s">
        <v>22</v>
      </c>
      <c r="O4" s="40" t="s">
        <v>26</v>
      </c>
      <c r="P4" s="40" t="s">
        <v>22</v>
      </c>
      <c r="Q4" s="40" t="s">
        <v>26</v>
      </c>
      <c r="R4" s="40" t="s">
        <v>23</v>
      </c>
      <c r="S4" s="41" t="s">
        <v>17</v>
      </c>
      <c r="T4" s="45" t="s">
        <v>20</v>
      </c>
      <c r="U4" s="40" t="s">
        <v>12</v>
      </c>
      <c r="V4" s="40" t="s">
        <v>13</v>
      </c>
      <c r="W4" s="40" t="s">
        <v>14</v>
      </c>
      <c r="X4" s="40" t="s">
        <v>9</v>
      </c>
      <c r="Y4" s="40" t="s">
        <v>15</v>
      </c>
      <c r="Z4" s="54" t="s">
        <v>7</v>
      </c>
      <c r="AA4" s="55" t="s">
        <v>16</v>
      </c>
    </row>
    <row r="5" spans="1:28">
      <c r="A5" s="1169"/>
      <c r="B5" s="1170"/>
      <c r="C5" s="1170"/>
      <c r="D5" s="1171"/>
      <c r="E5" s="1172"/>
      <c r="F5" s="1172"/>
      <c r="G5" s="1172"/>
      <c r="H5" s="1172"/>
      <c r="I5" s="1172"/>
      <c r="J5" s="1172"/>
      <c r="K5" s="1172"/>
      <c r="L5" s="1172"/>
      <c r="M5" s="1172"/>
      <c r="N5" s="1172"/>
      <c r="O5" s="1172"/>
      <c r="P5" s="1172"/>
      <c r="Q5" s="1172"/>
      <c r="R5" s="1172"/>
      <c r="S5" s="1191"/>
      <c r="T5" s="1192"/>
      <c r="U5" s="1172"/>
      <c r="V5" s="1172"/>
      <c r="W5" s="1172"/>
      <c r="X5" s="1172"/>
      <c r="Y5" s="1172"/>
      <c r="Z5" s="1173"/>
      <c r="AA5" s="57">
        <f>SUM(V6:V174)</f>
        <v>193842</v>
      </c>
    </row>
    <row r="6" spans="1:28">
      <c r="A6" s="26">
        <v>42124</v>
      </c>
      <c r="B6" s="44"/>
      <c r="C6" s="44"/>
      <c r="D6" s="31"/>
      <c r="E6" s="27">
        <v>0</v>
      </c>
      <c r="F6" s="50"/>
      <c r="G6" s="27">
        <v>0</v>
      </c>
      <c r="H6" s="27"/>
      <c r="I6" s="27">
        <v>0</v>
      </c>
      <c r="J6" s="27"/>
      <c r="K6" s="27">
        <v>0</v>
      </c>
      <c r="L6" s="27"/>
      <c r="M6" s="27">
        <v>0</v>
      </c>
      <c r="N6" s="27"/>
      <c r="O6" s="27">
        <v>0</v>
      </c>
      <c r="P6" s="27"/>
      <c r="Q6" s="27">
        <v>0</v>
      </c>
      <c r="R6" s="27">
        <f t="shared" ref="R6:R38" si="0">SUM(K6,I6,G6,E6)</f>
        <v>0</v>
      </c>
      <c r="S6" s="31">
        <f t="shared" ref="S6:S35" si="1">(B6+C6)*D6</f>
        <v>0</v>
      </c>
      <c r="T6" s="38" t="s">
        <v>68</v>
      </c>
      <c r="U6" s="27"/>
      <c r="V6" s="27">
        <v>1360</v>
      </c>
      <c r="W6" s="27">
        <f t="shared" ref="W6:W38" si="2">(V6*5%)</f>
        <v>68</v>
      </c>
      <c r="X6" s="27">
        <f t="shared" ref="X6:X38" si="3">SUM(V6+W6)</f>
        <v>1428</v>
      </c>
      <c r="Y6" s="102" t="s">
        <v>64</v>
      </c>
      <c r="Z6" s="27"/>
      <c r="AA6" s="57"/>
    </row>
    <row r="7" spans="1:28">
      <c r="A7" s="26">
        <v>42139</v>
      </c>
      <c r="B7" s="44"/>
      <c r="C7" s="44"/>
      <c r="D7" s="31"/>
      <c r="E7" s="27">
        <v>0</v>
      </c>
      <c r="F7" s="35"/>
      <c r="G7" s="27">
        <v>0</v>
      </c>
      <c r="H7" s="31"/>
      <c r="I7" s="27">
        <v>0</v>
      </c>
      <c r="J7" s="27"/>
      <c r="K7" s="27">
        <v>0</v>
      </c>
      <c r="L7" s="27"/>
      <c r="M7" s="27">
        <v>0</v>
      </c>
      <c r="N7" s="27"/>
      <c r="O7" s="27">
        <v>0</v>
      </c>
      <c r="P7" s="27"/>
      <c r="Q7" s="27">
        <v>0</v>
      </c>
      <c r="R7" s="27">
        <f t="shared" si="0"/>
        <v>0</v>
      </c>
      <c r="S7" s="31">
        <f t="shared" si="1"/>
        <v>0</v>
      </c>
      <c r="T7" s="38" t="s">
        <v>69</v>
      </c>
      <c r="U7" s="27"/>
      <c r="V7" s="27">
        <v>2980</v>
      </c>
      <c r="W7" s="27">
        <f t="shared" si="2"/>
        <v>149</v>
      </c>
      <c r="X7" s="27">
        <f>V7+W7</f>
        <v>3129</v>
      </c>
      <c r="Y7" s="102" t="s">
        <v>65</v>
      </c>
      <c r="Z7" s="27"/>
      <c r="AA7" s="1203"/>
    </row>
    <row r="8" spans="1:28" s="136" customFormat="1">
      <c r="A8" s="34">
        <v>42155</v>
      </c>
      <c r="B8" s="44"/>
      <c r="C8" s="44"/>
      <c r="D8" s="31"/>
      <c r="E8" s="27">
        <v>0</v>
      </c>
      <c r="F8" s="35"/>
      <c r="G8" s="27">
        <v>0</v>
      </c>
      <c r="H8" s="31"/>
      <c r="I8" s="27">
        <v>0</v>
      </c>
      <c r="J8" s="27"/>
      <c r="K8" s="27">
        <v>0</v>
      </c>
      <c r="L8" s="27"/>
      <c r="M8" s="27">
        <v>0</v>
      </c>
      <c r="N8" s="27"/>
      <c r="O8" s="27">
        <v>0</v>
      </c>
      <c r="P8" s="27"/>
      <c r="Q8" s="27">
        <v>0</v>
      </c>
      <c r="R8" s="27">
        <f t="shared" si="0"/>
        <v>0</v>
      </c>
      <c r="S8" s="31">
        <f t="shared" si="1"/>
        <v>0</v>
      </c>
      <c r="T8" s="38" t="s">
        <v>70</v>
      </c>
      <c r="U8" s="27"/>
      <c r="V8" s="27">
        <v>9400</v>
      </c>
      <c r="W8" s="27">
        <f t="shared" si="2"/>
        <v>470</v>
      </c>
      <c r="X8" s="27">
        <f t="shared" si="3"/>
        <v>9870</v>
      </c>
      <c r="Y8" s="102" t="s">
        <v>66</v>
      </c>
      <c r="Z8" s="27"/>
      <c r="AA8" s="57"/>
    </row>
    <row r="9" spans="1:28" s="136" customFormat="1" ht="12" customHeight="1">
      <c r="A9" s="129">
        <v>42156</v>
      </c>
      <c r="B9" s="130">
        <v>12</v>
      </c>
      <c r="C9" s="130">
        <v>0</v>
      </c>
      <c r="D9" s="133">
        <v>1</v>
      </c>
      <c r="E9" s="132">
        <v>1100</v>
      </c>
      <c r="F9" s="131">
        <v>1</v>
      </c>
      <c r="G9" s="132">
        <v>200</v>
      </c>
      <c r="H9" s="133"/>
      <c r="I9" s="132">
        <v>150</v>
      </c>
      <c r="J9" s="132"/>
      <c r="K9" s="132">
        <v>1</v>
      </c>
      <c r="L9" s="133">
        <v>1</v>
      </c>
      <c r="M9" s="132">
        <v>200</v>
      </c>
      <c r="N9" s="132"/>
      <c r="O9" s="132">
        <v>0</v>
      </c>
      <c r="P9" s="132"/>
      <c r="Q9" s="132">
        <v>0</v>
      </c>
      <c r="R9" s="132">
        <f>SUM(U9,I9,G9,E9)</f>
        <v>1450</v>
      </c>
      <c r="S9" s="133">
        <f t="shared" si="1"/>
        <v>12</v>
      </c>
      <c r="T9" s="139"/>
      <c r="U9" s="132">
        <f>K9*J9</f>
        <v>0</v>
      </c>
      <c r="V9" s="132">
        <f>(D9*E9)+(F9*G9)+(H9*I9)+(J9*K9)+(L9*M9)</f>
        <v>1500</v>
      </c>
      <c r="W9" s="132">
        <f t="shared" si="2"/>
        <v>75</v>
      </c>
      <c r="X9" s="132">
        <f t="shared" si="3"/>
        <v>1575</v>
      </c>
      <c r="Y9" s="143" t="s">
        <v>121</v>
      </c>
      <c r="Z9" s="141"/>
      <c r="AA9" s="210"/>
    </row>
    <row r="10" spans="1:28" s="136" customFormat="1" ht="12" customHeight="1">
      <c r="A10" s="129">
        <v>42157</v>
      </c>
      <c r="B10" s="130">
        <v>12</v>
      </c>
      <c r="C10" s="130">
        <v>0</v>
      </c>
      <c r="D10" s="133">
        <v>0.5</v>
      </c>
      <c r="E10" s="132">
        <v>1100</v>
      </c>
      <c r="F10" s="131">
        <v>0.5</v>
      </c>
      <c r="G10" s="132">
        <v>200</v>
      </c>
      <c r="H10" s="133"/>
      <c r="I10" s="132">
        <v>150</v>
      </c>
      <c r="J10" s="132"/>
      <c r="K10" s="132">
        <v>1</v>
      </c>
      <c r="L10" s="133">
        <v>1</v>
      </c>
      <c r="M10" s="132">
        <v>200</v>
      </c>
      <c r="N10" s="132"/>
      <c r="O10" s="132">
        <v>0</v>
      </c>
      <c r="P10" s="132"/>
      <c r="Q10" s="132">
        <v>0</v>
      </c>
      <c r="R10" s="132">
        <f t="shared" si="0"/>
        <v>1451</v>
      </c>
      <c r="S10" s="133">
        <f t="shared" si="1"/>
        <v>6</v>
      </c>
      <c r="T10" s="139"/>
      <c r="U10" s="132">
        <f t="shared" ref="U10:U38" si="4">K10*J10</f>
        <v>0</v>
      </c>
      <c r="V10" s="132">
        <f t="shared" ref="V10:V38" si="5">(D10*E10)+(F10*G10)+(H10*I10)+(J10*K10)+(L10*M10)</f>
        <v>850</v>
      </c>
      <c r="W10" s="132">
        <f t="shared" ref="W10:W21" si="6">(V10*5%)</f>
        <v>42.5</v>
      </c>
      <c r="X10" s="132">
        <f t="shared" si="3"/>
        <v>892.5</v>
      </c>
      <c r="Y10" s="143" t="s">
        <v>121</v>
      </c>
      <c r="Z10" s="141"/>
      <c r="AA10" s="210"/>
    </row>
    <row r="11" spans="1:28" s="136" customFormat="1" ht="12" customHeight="1">
      <c r="A11" s="129">
        <v>42158</v>
      </c>
      <c r="B11" s="130">
        <v>12</v>
      </c>
      <c r="C11" s="130">
        <v>0</v>
      </c>
      <c r="D11" s="133"/>
      <c r="E11" s="132">
        <v>1100</v>
      </c>
      <c r="F11" s="131"/>
      <c r="G11" s="132">
        <v>200</v>
      </c>
      <c r="H11" s="133"/>
      <c r="I11" s="132">
        <v>150</v>
      </c>
      <c r="J11" s="132"/>
      <c r="K11" s="132">
        <v>1</v>
      </c>
      <c r="L11" s="133">
        <v>1</v>
      </c>
      <c r="M11" s="132">
        <v>200</v>
      </c>
      <c r="N11" s="132"/>
      <c r="O11" s="132">
        <v>0</v>
      </c>
      <c r="P11" s="132"/>
      <c r="Q11" s="132">
        <v>0</v>
      </c>
      <c r="R11" s="132">
        <f>SUM(K11,I11,G11,E11)</f>
        <v>1451</v>
      </c>
      <c r="S11" s="133">
        <f>(B11+C11)*D11</f>
        <v>0</v>
      </c>
      <c r="T11" s="139"/>
      <c r="U11" s="132">
        <f>K11*J11</f>
        <v>0</v>
      </c>
      <c r="V11" s="132">
        <f>(D11*E11)+(F11*G11)+(H11*I11)+(J11*K11)+(L11*M11)</f>
        <v>200</v>
      </c>
      <c r="W11" s="132">
        <f>(V11*5%)</f>
        <v>10</v>
      </c>
      <c r="X11" s="132">
        <f>SUM(V11+W11)</f>
        <v>210</v>
      </c>
      <c r="Y11" s="143" t="s">
        <v>121</v>
      </c>
      <c r="Z11" s="141"/>
      <c r="AA11" s="210"/>
    </row>
    <row r="12" spans="1:28" s="136" customFormat="1">
      <c r="A12" s="129">
        <v>42159</v>
      </c>
      <c r="B12" s="130">
        <v>12</v>
      </c>
      <c r="C12" s="130">
        <v>0</v>
      </c>
      <c r="D12" s="133"/>
      <c r="E12" s="132">
        <v>1100</v>
      </c>
      <c r="F12" s="131"/>
      <c r="G12" s="132">
        <v>200</v>
      </c>
      <c r="H12" s="133"/>
      <c r="I12" s="132">
        <v>150</v>
      </c>
      <c r="J12" s="132"/>
      <c r="K12" s="132">
        <v>1</v>
      </c>
      <c r="L12" s="133">
        <v>1</v>
      </c>
      <c r="M12" s="132">
        <v>200</v>
      </c>
      <c r="N12" s="132"/>
      <c r="O12" s="132">
        <v>0</v>
      </c>
      <c r="P12" s="132"/>
      <c r="Q12" s="132">
        <v>0</v>
      </c>
      <c r="R12" s="132">
        <f>SUM(K12,I12,G12,E12)</f>
        <v>1451</v>
      </c>
      <c r="S12" s="133">
        <f>(B12+C12)*D12</f>
        <v>0</v>
      </c>
      <c r="T12" s="139"/>
      <c r="U12" s="132">
        <f>K12*J12</f>
        <v>0</v>
      </c>
      <c r="V12" s="132">
        <f>(D12*E12)+(F12*G12)+(H12*I12)+(J12*K12)+(L12*M12)</f>
        <v>200</v>
      </c>
      <c r="W12" s="132">
        <f>(V12*5%)</f>
        <v>10</v>
      </c>
      <c r="X12" s="132">
        <f>SUM(V12+W12)</f>
        <v>210</v>
      </c>
      <c r="Y12" s="143" t="s">
        <v>121</v>
      </c>
      <c r="Z12" s="141"/>
      <c r="AA12" s="210"/>
    </row>
    <row r="13" spans="1:28" s="136" customFormat="1">
      <c r="A13" s="129">
        <v>42160</v>
      </c>
      <c r="B13" s="130">
        <v>12</v>
      </c>
      <c r="C13" s="130">
        <v>0</v>
      </c>
      <c r="D13" s="133">
        <v>1</v>
      </c>
      <c r="E13" s="132">
        <v>1100</v>
      </c>
      <c r="F13" s="131">
        <v>1</v>
      </c>
      <c r="G13" s="132">
        <v>200</v>
      </c>
      <c r="H13" s="133"/>
      <c r="I13" s="132">
        <v>150</v>
      </c>
      <c r="J13" s="132"/>
      <c r="K13" s="132">
        <v>1</v>
      </c>
      <c r="L13" s="133">
        <v>1</v>
      </c>
      <c r="M13" s="132">
        <v>200</v>
      </c>
      <c r="N13" s="132"/>
      <c r="O13" s="132">
        <v>0</v>
      </c>
      <c r="P13" s="132"/>
      <c r="Q13" s="132">
        <v>0</v>
      </c>
      <c r="R13" s="132">
        <f t="shared" si="0"/>
        <v>1451</v>
      </c>
      <c r="S13" s="133">
        <f t="shared" si="1"/>
        <v>12</v>
      </c>
      <c r="T13" s="139"/>
      <c r="U13" s="132">
        <f t="shared" si="4"/>
        <v>0</v>
      </c>
      <c r="V13" s="132">
        <f t="shared" si="5"/>
        <v>1500</v>
      </c>
      <c r="W13" s="132">
        <f t="shared" si="6"/>
        <v>75</v>
      </c>
      <c r="X13" s="132">
        <f t="shared" ref="X13:X21" si="7">SUM(V13+W13)</f>
        <v>1575</v>
      </c>
      <c r="Y13" s="143" t="s">
        <v>121</v>
      </c>
      <c r="Z13" s="141"/>
      <c r="AA13" s="210"/>
    </row>
    <row r="14" spans="1:28" s="136" customFormat="1">
      <c r="A14" s="129">
        <v>42163</v>
      </c>
      <c r="B14" s="130">
        <v>12</v>
      </c>
      <c r="C14" s="130">
        <v>0</v>
      </c>
      <c r="D14" s="133">
        <v>1</v>
      </c>
      <c r="E14" s="132">
        <v>1100</v>
      </c>
      <c r="F14" s="131">
        <v>1</v>
      </c>
      <c r="G14" s="132">
        <v>200</v>
      </c>
      <c r="H14" s="131"/>
      <c r="I14" s="132">
        <v>150</v>
      </c>
      <c r="J14" s="132"/>
      <c r="K14" s="132">
        <v>1</v>
      </c>
      <c r="L14" s="133">
        <v>1</v>
      </c>
      <c r="M14" s="132">
        <v>200</v>
      </c>
      <c r="N14" s="132"/>
      <c r="O14" s="132">
        <v>0</v>
      </c>
      <c r="P14" s="132"/>
      <c r="Q14" s="132">
        <v>0</v>
      </c>
      <c r="R14" s="132">
        <f t="shared" si="0"/>
        <v>1451</v>
      </c>
      <c r="S14" s="133">
        <f t="shared" si="1"/>
        <v>12</v>
      </c>
      <c r="T14" s="139"/>
      <c r="U14" s="132">
        <f t="shared" si="4"/>
        <v>0</v>
      </c>
      <c r="V14" s="132">
        <f t="shared" si="5"/>
        <v>1500</v>
      </c>
      <c r="W14" s="132">
        <f>(V14*5%)</f>
        <v>75</v>
      </c>
      <c r="X14" s="132">
        <f>SUM(V14+W14)</f>
        <v>1575</v>
      </c>
      <c r="Y14" s="143" t="s">
        <v>121</v>
      </c>
      <c r="Z14" s="141"/>
      <c r="AA14" s="210"/>
    </row>
    <row r="15" spans="1:28" s="136" customFormat="1">
      <c r="A15" s="129">
        <v>42164</v>
      </c>
      <c r="B15" s="130">
        <v>12</v>
      </c>
      <c r="C15" s="130">
        <v>0</v>
      </c>
      <c r="D15" s="133">
        <v>1</v>
      </c>
      <c r="E15" s="132">
        <v>1100</v>
      </c>
      <c r="F15" s="131">
        <v>1</v>
      </c>
      <c r="G15" s="132">
        <v>200</v>
      </c>
      <c r="H15" s="131"/>
      <c r="I15" s="132">
        <v>150</v>
      </c>
      <c r="J15" s="132"/>
      <c r="K15" s="132">
        <v>1</v>
      </c>
      <c r="L15" s="133">
        <v>1</v>
      </c>
      <c r="M15" s="132">
        <v>200</v>
      </c>
      <c r="N15" s="132"/>
      <c r="O15" s="132">
        <v>0</v>
      </c>
      <c r="P15" s="132"/>
      <c r="Q15" s="132">
        <v>0</v>
      </c>
      <c r="R15" s="132">
        <f t="shared" si="0"/>
        <v>1451</v>
      </c>
      <c r="S15" s="133">
        <f t="shared" si="1"/>
        <v>12</v>
      </c>
      <c r="T15" s="139"/>
      <c r="U15" s="132">
        <f t="shared" si="4"/>
        <v>0</v>
      </c>
      <c r="V15" s="132">
        <f t="shared" si="5"/>
        <v>1500</v>
      </c>
      <c r="W15" s="132">
        <f>(V15*5%)</f>
        <v>75</v>
      </c>
      <c r="X15" s="132">
        <f>SUM(V15+W15)</f>
        <v>1575</v>
      </c>
      <c r="Y15" s="143" t="s">
        <v>121</v>
      </c>
      <c r="Z15" s="135">
        <f>SUM(V9:V21)</f>
        <v>14300</v>
      </c>
      <c r="AA15" s="210"/>
      <c r="AB15" s="146"/>
    </row>
    <row r="16" spans="1:28" s="136" customFormat="1">
      <c r="A16" s="129">
        <v>42165</v>
      </c>
      <c r="B16" s="130"/>
      <c r="C16" s="130"/>
      <c r="D16" s="133">
        <v>1</v>
      </c>
      <c r="E16" s="132">
        <v>1100</v>
      </c>
      <c r="F16" s="131">
        <v>1</v>
      </c>
      <c r="G16" s="132">
        <v>200</v>
      </c>
      <c r="H16" s="131"/>
      <c r="I16" s="132">
        <v>150</v>
      </c>
      <c r="J16" s="132"/>
      <c r="K16" s="132">
        <v>1</v>
      </c>
      <c r="L16" s="133">
        <v>1</v>
      </c>
      <c r="M16" s="132">
        <v>200</v>
      </c>
      <c r="N16" s="132"/>
      <c r="O16" s="132">
        <v>0</v>
      </c>
      <c r="P16" s="132"/>
      <c r="Q16" s="132">
        <v>0</v>
      </c>
      <c r="R16" s="132">
        <f t="shared" si="0"/>
        <v>1451</v>
      </c>
      <c r="S16" s="133">
        <f t="shared" si="1"/>
        <v>0</v>
      </c>
      <c r="T16" s="139"/>
      <c r="U16" s="132">
        <f t="shared" si="4"/>
        <v>0</v>
      </c>
      <c r="V16" s="132">
        <f t="shared" si="5"/>
        <v>1500</v>
      </c>
      <c r="W16" s="132">
        <f t="shared" si="6"/>
        <v>75</v>
      </c>
      <c r="X16" s="132">
        <f t="shared" si="7"/>
        <v>1575</v>
      </c>
      <c r="Y16" s="143" t="s">
        <v>121</v>
      </c>
      <c r="Z16" s="141"/>
      <c r="AA16" s="148"/>
      <c r="AB16" s="147"/>
    </row>
    <row r="17" spans="1:28" s="136" customFormat="1">
      <c r="A17" s="129">
        <v>42166</v>
      </c>
      <c r="B17" s="130"/>
      <c r="C17" s="130"/>
      <c r="D17" s="133">
        <v>0.5</v>
      </c>
      <c r="E17" s="132">
        <v>1100</v>
      </c>
      <c r="F17" s="131">
        <v>0.5</v>
      </c>
      <c r="G17" s="132">
        <v>200</v>
      </c>
      <c r="H17" s="131"/>
      <c r="I17" s="132">
        <v>150</v>
      </c>
      <c r="J17" s="132"/>
      <c r="K17" s="132">
        <v>1</v>
      </c>
      <c r="L17" s="133">
        <v>1</v>
      </c>
      <c r="M17" s="132">
        <v>200</v>
      </c>
      <c r="N17" s="132"/>
      <c r="O17" s="132">
        <v>0</v>
      </c>
      <c r="P17" s="132"/>
      <c r="Q17" s="132">
        <v>0</v>
      </c>
      <c r="R17" s="132">
        <f t="shared" si="0"/>
        <v>1451</v>
      </c>
      <c r="S17" s="133">
        <f t="shared" si="1"/>
        <v>0</v>
      </c>
      <c r="T17" s="139"/>
      <c r="U17" s="132">
        <f t="shared" si="4"/>
        <v>0</v>
      </c>
      <c r="V17" s="132">
        <f t="shared" si="5"/>
        <v>850</v>
      </c>
      <c r="W17" s="132">
        <f t="shared" si="6"/>
        <v>42.5</v>
      </c>
      <c r="X17" s="132">
        <f t="shared" si="7"/>
        <v>892.5</v>
      </c>
      <c r="Y17" s="143" t="s">
        <v>121</v>
      </c>
      <c r="Z17" s="141"/>
      <c r="AA17" s="148"/>
    </row>
    <row r="18" spans="1:28" s="136" customFormat="1">
      <c r="A18" s="129">
        <v>42167</v>
      </c>
      <c r="B18" s="130"/>
      <c r="C18" s="130"/>
      <c r="D18" s="133">
        <v>1</v>
      </c>
      <c r="E18" s="132">
        <v>1100</v>
      </c>
      <c r="F18" s="131">
        <v>1</v>
      </c>
      <c r="G18" s="132">
        <v>200</v>
      </c>
      <c r="H18" s="131"/>
      <c r="I18" s="132">
        <v>150</v>
      </c>
      <c r="J18" s="132"/>
      <c r="K18" s="132">
        <v>1</v>
      </c>
      <c r="L18" s="133">
        <v>1</v>
      </c>
      <c r="M18" s="132">
        <v>200</v>
      </c>
      <c r="N18" s="132"/>
      <c r="O18" s="132">
        <v>0</v>
      </c>
      <c r="P18" s="132"/>
      <c r="Q18" s="132">
        <v>0</v>
      </c>
      <c r="R18" s="132">
        <f t="shared" si="0"/>
        <v>1451</v>
      </c>
      <c r="S18" s="133">
        <f t="shared" si="1"/>
        <v>0</v>
      </c>
      <c r="T18" s="139"/>
      <c r="U18" s="132">
        <f t="shared" si="4"/>
        <v>0</v>
      </c>
      <c r="V18" s="132">
        <f t="shared" si="5"/>
        <v>1500</v>
      </c>
      <c r="W18" s="132">
        <f t="shared" si="6"/>
        <v>75</v>
      </c>
      <c r="X18" s="132">
        <f t="shared" si="7"/>
        <v>1575</v>
      </c>
      <c r="Y18" s="143" t="s">
        <v>121</v>
      </c>
      <c r="Z18" s="141"/>
      <c r="AA18" s="148"/>
    </row>
    <row r="19" spans="1:28" s="136" customFormat="1">
      <c r="A19" s="129">
        <v>42168</v>
      </c>
      <c r="B19" s="130"/>
      <c r="C19" s="130"/>
      <c r="D19" s="133">
        <v>1</v>
      </c>
      <c r="E19" s="132">
        <v>1100</v>
      </c>
      <c r="F19" s="131">
        <v>1</v>
      </c>
      <c r="G19" s="132">
        <v>200</v>
      </c>
      <c r="H19" s="131"/>
      <c r="I19" s="132">
        <v>150</v>
      </c>
      <c r="J19" s="132"/>
      <c r="K19" s="132">
        <v>1</v>
      </c>
      <c r="L19" s="133">
        <v>1</v>
      </c>
      <c r="M19" s="132">
        <v>200</v>
      </c>
      <c r="N19" s="132"/>
      <c r="O19" s="132">
        <v>0</v>
      </c>
      <c r="P19" s="132"/>
      <c r="Q19" s="132">
        <v>0</v>
      </c>
      <c r="R19" s="132">
        <f t="shared" si="0"/>
        <v>1451</v>
      </c>
      <c r="S19" s="133">
        <f t="shared" si="1"/>
        <v>0</v>
      </c>
      <c r="T19" s="139"/>
      <c r="U19" s="132">
        <f t="shared" si="4"/>
        <v>0</v>
      </c>
      <c r="V19" s="132">
        <f t="shared" si="5"/>
        <v>1500</v>
      </c>
      <c r="W19" s="132">
        <f t="shared" si="6"/>
        <v>75</v>
      </c>
      <c r="X19" s="132">
        <f t="shared" si="7"/>
        <v>1575</v>
      </c>
      <c r="Y19" s="143" t="s">
        <v>121</v>
      </c>
      <c r="Z19" s="141"/>
      <c r="AA19" s="961"/>
    </row>
    <row r="20" spans="1:28" s="136" customFormat="1">
      <c r="A20" s="129">
        <v>42169</v>
      </c>
      <c r="B20" s="130"/>
      <c r="C20" s="130"/>
      <c r="D20" s="133"/>
      <c r="E20" s="132">
        <v>1100</v>
      </c>
      <c r="F20" s="131"/>
      <c r="G20" s="132">
        <v>200</v>
      </c>
      <c r="H20" s="131"/>
      <c r="I20" s="132">
        <v>150</v>
      </c>
      <c r="J20" s="132"/>
      <c r="K20" s="132">
        <v>1</v>
      </c>
      <c r="L20" s="133">
        <v>1</v>
      </c>
      <c r="M20" s="132">
        <v>200</v>
      </c>
      <c r="N20" s="132"/>
      <c r="O20" s="132">
        <v>0</v>
      </c>
      <c r="P20" s="132"/>
      <c r="Q20" s="132">
        <v>0</v>
      </c>
      <c r="R20" s="132">
        <f t="shared" si="0"/>
        <v>1451</v>
      </c>
      <c r="S20" s="133">
        <f t="shared" si="1"/>
        <v>0</v>
      </c>
      <c r="T20" s="139"/>
      <c r="U20" s="132">
        <f t="shared" si="4"/>
        <v>0</v>
      </c>
      <c r="V20" s="132">
        <f t="shared" si="5"/>
        <v>200</v>
      </c>
      <c r="W20" s="132">
        <f t="shared" si="6"/>
        <v>10</v>
      </c>
      <c r="X20" s="132">
        <f t="shared" si="7"/>
        <v>210</v>
      </c>
      <c r="Y20" s="143" t="s">
        <v>121</v>
      </c>
      <c r="Z20" s="141"/>
      <c r="AA20" s="148"/>
      <c r="AB20" s="146"/>
    </row>
    <row r="21" spans="1:28" s="192" customFormat="1">
      <c r="A21" s="129">
        <v>42170</v>
      </c>
      <c r="B21" s="130"/>
      <c r="C21" s="130"/>
      <c r="D21" s="133">
        <v>1</v>
      </c>
      <c r="E21" s="132">
        <v>1100</v>
      </c>
      <c r="F21" s="131">
        <v>1</v>
      </c>
      <c r="G21" s="132">
        <v>200</v>
      </c>
      <c r="H21" s="131"/>
      <c r="I21" s="132">
        <v>150</v>
      </c>
      <c r="J21" s="132"/>
      <c r="K21" s="132">
        <v>1</v>
      </c>
      <c r="L21" s="133">
        <v>1</v>
      </c>
      <c r="M21" s="132">
        <v>200</v>
      </c>
      <c r="N21" s="132"/>
      <c r="O21" s="132">
        <v>0</v>
      </c>
      <c r="P21" s="132"/>
      <c r="Q21" s="132">
        <v>0</v>
      </c>
      <c r="R21" s="132">
        <f t="shared" si="0"/>
        <v>1451</v>
      </c>
      <c r="S21" s="133">
        <f t="shared" si="1"/>
        <v>0</v>
      </c>
      <c r="T21" s="139"/>
      <c r="U21" s="132">
        <f t="shared" si="4"/>
        <v>0</v>
      </c>
      <c r="V21" s="132">
        <f t="shared" si="5"/>
        <v>1500</v>
      </c>
      <c r="W21" s="132">
        <f t="shared" si="6"/>
        <v>75</v>
      </c>
      <c r="X21" s="132">
        <f t="shared" si="7"/>
        <v>1575</v>
      </c>
      <c r="Y21" s="143" t="s">
        <v>121</v>
      </c>
      <c r="Z21" s="141"/>
      <c r="AA21" s="148"/>
    </row>
    <row r="22" spans="1:28" s="192" customFormat="1">
      <c r="A22" s="761">
        <v>42171</v>
      </c>
      <c r="B22" s="185"/>
      <c r="C22" s="185"/>
      <c r="D22" s="186">
        <v>1</v>
      </c>
      <c r="E22" s="188">
        <v>1100</v>
      </c>
      <c r="F22" s="187">
        <v>1</v>
      </c>
      <c r="G22" s="188">
        <v>200</v>
      </c>
      <c r="H22" s="186"/>
      <c r="I22" s="188">
        <v>150</v>
      </c>
      <c r="J22" s="188"/>
      <c r="K22" s="188">
        <v>1</v>
      </c>
      <c r="L22" s="186">
        <v>1</v>
      </c>
      <c r="M22" s="188">
        <v>200</v>
      </c>
      <c r="N22" s="188"/>
      <c r="O22" s="188">
        <v>0</v>
      </c>
      <c r="P22" s="188"/>
      <c r="Q22" s="188">
        <v>0</v>
      </c>
      <c r="R22" s="188">
        <f t="shared" si="0"/>
        <v>1451</v>
      </c>
      <c r="S22" s="186">
        <f t="shared" si="1"/>
        <v>0</v>
      </c>
      <c r="T22" s="189"/>
      <c r="U22" s="188">
        <f t="shared" si="4"/>
        <v>0</v>
      </c>
      <c r="V22" s="188">
        <f t="shared" si="5"/>
        <v>1500</v>
      </c>
      <c r="W22" s="188">
        <f t="shared" si="2"/>
        <v>75</v>
      </c>
      <c r="X22" s="188">
        <f t="shared" si="3"/>
        <v>1575</v>
      </c>
      <c r="Y22" s="188" t="s">
        <v>120</v>
      </c>
      <c r="Z22" s="912"/>
      <c r="AA22" s="959"/>
      <c r="AB22" s="861"/>
    </row>
    <row r="23" spans="1:28" s="192" customFormat="1">
      <c r="A23" s="761">
        <v>42172</v>
      </c>
      <c r="B23" s="185"/>
      <c r="C23" s="185"/>
      <c r="D23" s="186">
        <v>1</v>
      </c>
      <c r="E23" s="188">
        <v>1100</v>
      </c>
      <c r="F23" s="187">
        <v>1</v>
      </c>
      <c r="G23" s="188">
        <v>200</v>
      </c>
      <c r="H23" s="186">
        <v>1</v>
      </c>
      <c r="I23" s="188">
        <v>150</v>
      </c>
      <c r="J23" s="188"/>
      <c r="K23" s="188">
        <v>1</v>
      </c>
      <c r="L23" s="186">
        <v>1</v>
      </c>
      <c r="M23" s="188">
        <v>200</v>
      </c>
      <c r="N23" s="188"/>
      <c r="O23" s="188">
        <v>0</v>
      </c>
      <c r="P23" s="188"/>
      <c r="Q23" s="188">
        <v>0</v>
      </c>
      <c r="R23" s="188">
        <f t="shared" si="0"/>
        <v>1451</v>
      </c>
      <c r="S23" s="186">
        <f t="shared" si="1"/>
        <v>0</v>
      </c>
      <c r="T23" s="189"/>
      <c r="U23" s="188">
        <f t="shared" si="4"/>
        <v>0</v>
      </c>
      <c r="V23" s="188">
        <f t="shared" si="5"/>
        <v>1650</v>
      </c>
      <c r="W23" s="188">
        <f t="shared" si="2"/>
        <v>82.5</v>
      </c>
      <c r="X23" s="188">
        <f t="shared" si="3"/>
        <v>1732.5</v>
      </c>
      <c r="Y23" s="188" t="s">
        <v>120</v>
      </c>
      <c r="Z23" s="190"/>
      <c r="AA23" s="194"/>
    </row>
    <row r="24" spans="1:28" s="192" customFormat="1">
      <c r="A24" s="761">
        <v>42173</v>
      </c>
      <c r="B24" s="198"/>
      <c r="C24" s="198"/>
      <c r="D24" s="186">
        <v>1</v>
      </c>
      <c r="E24" s="188">
        <v>1100</v>
      </c>
      <c r="F24" s="187">
        <v>1</v>
      </c>
      <c r="G24" s="188">
        <v>200</v>
      </c>
      <c r="H24" s="186">
        <v>1</v>
      </c>
      <c r="I24" s="188">
        <v>150</v>
      </c>
      <c r="J24" s="188"/>
      <c r="K24" s="188">
        <v>1</v>
      </c>
      <c r="L24" s="186">
        <v>1</v>
      </c>
      <c r="M24" s="188">
        <v>200</v>
      </c>
      <c r="N24" s="188"/>
      <c r="O24" s="188">
        <v>0</v>
      </c>
      <c r="P24" s="188"/>
      <c r="Q24" s="188">
        <v>0</v>
      </c>
      <c r="R24" s="188">
        <f t="shared" si="0"/>
        <v>1451</v>
      </c>
      <c r="S24" s="186">
        <f t="shared" si="1"/>
        <v>0</v>
      </c>
      <c r="T24" s="204"/>
      <c r="U24" s="188">
        <f t="shared" si="4"/>
        <v>0</v>
      </c>
      <c r="V24" s="188">
        <f t="shared" si="5"/>
        <v>1650</v>
      </c>
      <c r="W24" s="188">
        <f t="shared" si="2"/>
        <v>82.5</v>
      </c>
      <c r="X24" s="188">
        <f t="shared" si="3"/>
        <v>1732.5</v>
      </c>
      <c r="Y24" s="188" t="s">
        <v>120</v>
      </c>
      <c r="Z24" s="203">
        <f>SUM(V22:V36)</f>
        <v>19050</v>
      </c>
      <c r="AA24" s="194"/>
    </row>
    <row r="25" spans="1:28" s="192" customFormat="1">
      <c r="A25" s="761">
        <v>42174</v>
      </c>
      <c r="B25" s="198"/>
      <c r="C25" s="198"/>
      <c r="D25" s="186">
        <v>1</v>
      </c>
      <c r="E25" s="188">
        <v>1100</v>
      </c>
      <c r="F25" s="187">
        <v>1</v>
      </c>
      <c r="G25" s="188">
        <v>200</v>
      </c>
      <c r="H25" s="195"/>
      <c r="I25" s="188">
        <v>150</v>
      </c>
      <c r="J25" s="188"/>
      <c r="K25" s="188">
        <v>1</v>
      </c>
      <c r="L25" s="186">
        <v>1</v>
      </c>
      <c r="M25" s="188">
        <v>200</v>
      </c>
      <c r="N25" s="188"/>
      <c r="O25" s="188">
        <v>0</v>
      </c>
      <c r="P25" s="188"/>
      <c r="Q25" s="188">
        <v>0</v>
      </c>
      <c r="R25" s="188">
        <f t="shared" si="0"/>
        <v>1451</v>
      </c>
      <c r="S25" s="186">
        <f t="shared" si="1"/>
        <v>0</v>
      </c>
      <c r="T25" s="204"/>
      <c r="U25" s="188">
        <f t="shared" si="4"/>
        <v>0</v>
      </c>
      <c r="V25" s="188">
        <f t="shared" si="5"/>
        <v>1500</v>
      </c>
      <c r="W25" s="188">
        <f t="shared" si="2"/>
        <v>75</v>
      </c>
      <c r="X25" s="188">
        <f t="shared" si="3"/>
        <v>1575</v>
      </c>
      <c r="Y25" s="188" t="s">
        <v>120</v>
      </c>
      <c r="Z25" s="190"/>
      <c r="AA25" s="194"/>
    </row>
    <row r="26" spans="1:28" s="192" customFormat="1">
      <c r="A26" s="761">
        <v>42175</v>
      </c>
      <c r="B26" s="198"/>
      <c r="C26" s="198"/>
      <c r="D26" s="186">
        <v>0.5</v>
      </c>
      <c r="E26" s="188">
        <v>1100</v>
      </c>
      <c r="F26" s="187">
        <v>0.5</v>
      </c>
      <c r="G26" s="188">
        <v>200</v>
      </c>
      <c r="H26" s="195"/>
      <c r="I26" s="188">
        <v>150</v>
      </c>
      <c r="J26" s="188"/>
      <c r="K26" s="188">
        <v>1</v>
      </c>
      <c r="L26" s="186">
        <v>1</v>
      </c>
      <c r="M26" s="188">
        <v>200</v>
      </c>
      <c r="N26" s="188"/>
      <c r="O26" s="188">
        <v>0</v>
      </c>
      <c r="P26" s="188"/>
      <c r="Q26" s="188">
        <v>0</v>
      </c>
      <c r="R26" s="188">
        <f t="shared" si="0"/>
        <v>1451</v>
      </c>
      <c r="S26" s="186">
        <f t="shared" si="1"/>
        <v>0</v>
      </c>
      <c r="T26" s="204"/>
      <c r="U26" s="188">
        <f t="shared" si="4"/>
        <v>0</v>
      </c>
      <c r="V26" s="188">
        <f t="shared" si="5"/>
        <v>850</v>
      </c>
      <c r="W26" s="188">
        <f t="shared" si="2"/>
        <v>42.5</v>
      </c>
      <c r="X26" s="188">
        <f t="shared" si="3"/>
        <v>892.5</v>
      </c>
      <c r="Y26" s="188" t="s">
        <v>120</v>
      </c>
      <c r="Z26" s="190"/>
      <c r="AA26" s="194"/>
    </row>
    <row r="27" spans="1:28" s="192" customFormat="1">
      <c r="A27" s="761">
        <v>42176</v>
      </c>
      <c r="B27" s="198"/>
      <c r="C27" s="198"/>
      <c r="D27" s="186"/>
      <c r="E27" s="188">
        <v>1100</v>
      </c>
      <c r="F27" s="187"/>
      <c r="G27" s="188">
        <v>200</v>
      </c>
      <c r="H27" s="195"/>
      <c r="I27" s="188">
        <v>150</v>
      </c>
      <c r="J27" s="188"/>
      <c r="K27" s="188">
        <v>1</v>
      </c>
      <c r="L27" s="186">
        <v>1</v>
      </c>
      <c r="M27" s="188">
        <v>200</v>
      </c>
      <c r="N27" s="188"/>
      <c r="O27" s="188">
        <v>0</v>
      </c>
      <c r="P27" s="188"/>
      <c r="Q27" s="188">
        <v>0</v>
      </c>
      <c r="R27" s="188">
        <f t="shared" si="0"/>
        <v>1451</v>
      </c>
      <c r="S27" s="186">
        <f t="shared" si="1"/>
        <v>0</v>
      </c>
      <c r="T27" s="204"/>
      <c r="U27" s="188">
        <f t="shared" si="4"/>
        <v>0</v>
      </c>
      <c r="V27" s="188">
        <f>(D27*E27)+(F27*G27)+(H27*I27)+(J27*K27)+(L27*M27)</f>
        <v>200</v>
      </c>
      <c r="W27" s="188">
        <f t="shared" si="2"/>
        <v>10</v>
      </c>
      <c r="X27" s="188">
        <f t="shared" si="3"/>
        <v>210</v>
      </c>
      <c r="Y27" s="188" t="s">
        <v>120</v>
      </c>
      <c r="Z27" s="190"/>
      <c r="AA27" s="194"/>
    </row>
    <row r="28" spans="1:28" s="192" customFormat="1">
      <c r="A28" s="761">
        <v>42177</v>
      </c>
      <c r="B28" s="185"/>
      <c r="C28" s="185"/>
      <c r="D28" s="186">
        <v>1</v>
      </c>
      <c r="E28" s="188">
        <v>1100</v>
      </c>
      <c r="F28" s="187">
        <v>1</v>
      </c>
      <c r="G28" s="188">
        <v>200</v>
      </c>
      <c r="H28" s="186">
        <v>1</v>
      </c>
      <c r="I28" s="188">
        <v>150</v>
      </c>
      <c r="J28" s="188"/>
      <c r="K28" s="188">
        <v>1</v>
      </c>
      <c r="L28" s="186">
        <v>1</v>
      </c>
      <c r="M28" s="188">
        <v>200</v>
      </c>
      <c r="N28" s="188"/>
      <c r="O28" s="188">
        <v>0</v>
      </c>
      <c r="P28" s="188"/>
      <c r="Q28" s="188">
        <v>0</v>
      </c>
      <c r="R28" s="188">
        <f t="shared" si="0"/>
        <v>1451</v>
      </c>
      <c r="S28" s="186">
        <f t="shared" si="1"/>
        <v>0</v>
      </c>
      <c r="T28" s="204"/>
      <c r="U28" s="188">
        <f t="shared" si="4"/>
        <v>0</v>
      </c>
      <c r="V28" s="188">
        <f t="shared" si="5"/>
        <v>1650</v>
      </c>
      <c r="W28" s="188">
        <f t="shared" si="2"/>
        <v>82.5</v>
      </c>
      <c r="X28" s="188">
        <f t="shared" si="3"/>
        <v>1732.5</v>
      </c>
      <c r="Y28" s="188" t="s">
        <v>120</v>
      </c>
      <c r="Z28" s="190"/>
      <c r="AA28" s="194"/>
    </row>
    <row r="29" spans="1:28" s="192" customFormat="1">
      <c r="A29" s="761">
        <v>42178</v>
      </c>
      <c r="B29" s="185"/>
      <c r="C29" s="185"/>
      <c r="D29" s="186">
        <v>1</v>
      </c>
      <c r="E29" s="188">
        <v>1100</v>
      </c>
      <c r="F29" s="187">
        <v>1</v>
      </c>
      <c r="G29" s="188">
        <v>200</v>
      </c>
      <c r="H29" s="188"/>
      <c r="I29" s="188">
        <v>150</v>
      </c>
      <c r="J29" s="188"/>
      <c r="K29" s="188">
        <v>1</v>
      </c>
      <c r="L29" s="186">
        <v>1</v>
      </c>
      <c r="M29" s="188">
        <v>200</v>
      </c>
      <c r="N29" s="188"/>
      <c r="O29" s="188">
        <v>0</v>
      </c>
      <c r="P29" s="188"/>
      <c r="Q29" s="188">
        <v>0</v>
      </c>
      <c r="R29" s="188">
        <f t="shared" si="0"/>
        <v>1451</v>
      </c>
      <c r="S29" s="186">
        <f t="shared" si="1"/>
        <v>0</v>
      </c>
      <c r="T29" s="204"/>
      <c r="U29" s="188">
        <f t="shared" si="4"/>
        <v>0</v>
      </c>
      <c r="V29" s="188">
        <f t="shared" si="5"/>
        <v>1500</v>
      </c>
      <c r="W29" s="188">
        <f t="shared" si="2"/>
        <v>75</v>
      </c>
      <c r="X29" s="188">
        <f t="shared" si="3"/>
        <v>1575</v>
      </c>
      <c r="Y29" s="188" t="s">
        <v>120</v>
      </c>
      <c r="Z29" s="190"/>
      <c r="AA29" s="194"/>
    </row>
    <row r="30" spans="1:28" s="192" customFormat="1">
      <c r="A30" s="761">
        <v>42179</v>
      </c>
      <c r="B30" s="185"/>
      <c r="C30" s="185"/>
      <c r="D30" s="186">
        <v>1</v>
      </c>
      <c r="E30" s="188">
        <v>1100</v>
      </c>
      <c r="F30" s="187">
        <v>1</v>
      </c>
      <c r="G30" s="188">
        <v>200</v>
      </c>
      <c r="H30" s="188"/>
      <c r="I30" s="188">
        <v>150</v>
      </c>
      <c r="J30" s="188"/>
      <c r="K30" s="188">
        <v>1</v>
      </c>
      <c r="L30" s="186">
        <v>1</v>
      </c>
      <c r="M30" s="188">
        <v>200</v>
      </c>
      <c r="N30" s="188"/>
      <c r="O30" s="188">
        <v>0</v>
      </c>
      <c r="P30" s="188"/>
      <c r="Q30" s="188">
        <v>0</v>
      </c>
      <c r="R30" s="188">
        <f t="shared" si="0"/>
        <v>1451</v>
      </c>
      <c r="S30" s="186">
        <f t="shared" si="1"/>
        <v>0</v>
      </c>
      <c r="T30" s="204"/>
      <c r="U30" s="188">
        <f t="shared" si="4"/>
        <v>0</v>
      </c>
      <c r="V30" s="188">
        <f t="shared" si="5"/>
        <v>1500</v>
      </c>
      <c r="W30" s="188">
        <f t="shared" si="2"/>
        <v>75</v>
      </c>
      <c r="X30" s="188">
        <f t="shared" si="3"/>
        <v>1575</v>
      </c>
      <c r="Y30" s="188" t="s">
        <v>120</v>
      </c>
      <c r="Z30" s="190"/>
      <c r="AA30" s="194"/>
    </row>
    <row r="31" spans="1:28" s="192" customFormat="1">
      <c r="A31" s="761">
        <v>42180</v>
      </c>
      <c r="B31" s="198"/>
      <c r="C31" s="198"/>
      <c r="D31" s="186">
        <v>1</v>
      </c>
      <c r="E31" s="188">
        <v>1100</v>
      </c>
      <c r="F31" s="187">
        <v>1</v>
      </c>
      <c r="G31" s="188">
        <v>200</v>
      </c>
      <c r="H31" s="188"/>
      <c r="I31" s="188">
        <v>150</v>
      </c>
      <c r="J31" s="188"/>
      <c r="K31" s="188">
        <v>1</v>
      </c>
      <c r="L31" s="186">
        <v>1</v>
      </c>
      <c r="M31" s="188">
        <v>200</v>
      </c>
      <c r="N31" s="188"/>
      <c r="O31" s="188">
        <v>0</v>
      </c>
      <c r="P31" s="188"/>
      <c r="Q31" s="188">
        <v>0</v>
      </c>
      <c r="R31" s="188">
        <f t="shared" si="0"/>
        <v>1451</v>
      </c>
      <c r="S31" s="186">
        <f t="shared" si="1"/>
        <v>0</v>
      </c>
      <c r="T31" s="204"/>
      <c r="U31" s="188">
        <f t="shared" si="4"/>
        <v>0</v>
      </c>
      <c r="V31" s="188">
        <f t="shared" si="5"/>
        <v>1500</v>
      </c>
      <c r="W31" s="188">
        <f t="shared" si="2"/>
        <v>75</v>
      </c>
      <c r="X31" s="188">
        <f t="shared" si="3"/>
        <v>1575</v>
      </c>
      <c r="Y31" s="188" t="s">
        <v>120</v>
      </c>
      <c r="Z31" s="190"/>
      <c r="AA31" s="194"/>
    </row>
    <row r="32" spans="1:28" s="192" customFormat="1">
      <c r="A32" s="761">
        <v>42181</v>
      </c>
      <c r="B32" s="198"/>
      <c r="C32" s="198"/>
      <c r="D32" s="199">
        <v>0.5</v>
      </c>
      <c r="E32" s="188">
        <v>1100</v>
      </c>
      <c r="F32" s="960" t="s">
        <v>116</v>
      </c>
      <c r="G32" s="188">
        <v>200</v>
      </c>
      <c r="H32" s="188"/>
      <c r="I32" s="188">
        <v>150</v>
      </c>
      <c r="J32" s="188"/>
      <c r="K32" s="188">
        <v>1</v>
      </c>
      <c r="L32" s="186">
        <v>1</v>
      </c>
      <c r="M32" s="188">
        <v>200</v>
      </c>
      <c r="N32" s="188"/>
      <c r="O32" s="188">
        <v>0</v>
      </c>
      <c r="P32" s="188"/>
      <c r="Q32" s="188">
        <v>0</v>
      </c>
      <c r="R32" s="188">
        <f t="shared" si="0"/>
        <v>1451</v>
      </c>
      <c r="S32" s="186">
        <f t="shared" si="1"/>
        <v>0</v>
      </c>
      <c r="T32" s="189"/>
      <c r="U32" s="188">
        <f t="shared" si="4"/>
        <v>0</v>
      </c>
      <c r="V32" s="188">
        <f t="shared" si="5"/>
        <v>850</v>
      </c>
      <c r="W32" s="188">
        <f t="shared" si="2"/>
        <v>42.5</v>
      </c>
      <c r="X32" s="188">
        <f t="shared" si="3"/>
        <v>892.5</v>
      </c>
      <c r="Y32" s="188" t="s">
        <v>120</v>
      </c>
      <c r="Z32" s="190"/>
      <c r="AA32" s="194"/>
    </row>
    <row r="33" spans="1:27" s="192" customFormat="1">
      <c r="A33" s="761">
        <v>42182</v>
      </c>
      <c r="B33" s="198"/>
      <c r="C33" s="198"/>
      <c r="D33" s="199">
        <v>1</v>
      </c>
      <c r="E33" s="188">
        <v>1100</v>
      </c>
      <c r="F33" s="186">
        <v>1</v>
      </c>
      <c r="G33" s="188">
        <v>200</v>
      </c>
      <c r="H33" s="188"/>
      <c r="I33" s="188">
        <v>150</v>
      </c>
      <c r="J33" s="188"/>
      <c r="K33" s="188">
        <v>1</v>
      </c>
      <c r="L33" s="186">
        <v>1</v>
      </c>
      <c r="M33" s="188">
        <v>200</v>
      </c>
      <c r="N33" s="188"/>
      <c r="O33" s="188">
        <v>0</v>
      </c>
      <c r="P33" s="188"/>
      <c r="Q33" s="188">
        <v>0</v>
      </c>
      <c r="R33" s="188">
        <f t="shared" si="0"/>
        <v>1451</v>
      </c>
      <c r="S33" s="186">
        <f t="shared" si="1"/>
        <v>0</v>
      </c>
      <c r="T33" s="204"/>
      <c r="U33" s="188">
        <f t="shared" si="4"/>
        <v>0</v>
      </c>
      <c r="V33" s="188">
        <f t="shared" si="5"/>
        <v>1500</v>
      </c>
      <c r="W33" s="188">
        <f t="shared" si="2"/>
        <v>75</v>
      </c>
      <c r="X33" s="188">
        <f t="shared" si="3"/>
        <v>1575</v>
      </c>
      <c r="Y33" s="188" t="s">
        <v>120</v>
      </c>
      <c r="Z33" s="190"/>
      <c r="AA33" s="194"/>
    </row>
    <row r="34" spans="1:27" s="192" customFormat="1">
      <c r="A34" s="761">
        <v>42183</v>
      </c>
      <c r="B34" s="198"/>
      <c r="C34" s="198"/>
      <c r="D34" s="199"/>
      <c r="E34" s="188">
        <v>1100</v>
      </c>
      <c r="F34" s="186"/>
      <c r="G34" s="188">
        <v>200</v>
      </c>
      <c r="H34" s="188"/>
      <c r="I34" s="188">
        <v>150</v>
      </c>
      <c r="J34" s="188"/>
      <c r="K34" s="188">
        <v>1</v>
      </c>
      <c r="L34" s="960" t="s">
        <v>73</v>
      </c>
      <c r="M34" s="188">
        <v>200</v>
      </c>
      <c r="N34" s="188"/>
      <c r="O34" s="188">
        <v>0</v>
      </c>
      <c r="P34" s="188"/>
      <c r="Q34" s="188">
        <v>0</v>
      </c>
      <c r="R34" s="188">
        <f t="shared" si="0"/>
        <v>1451</v>
      </c>
      <c r="S34" s="186">
        <f t="shared" si="1"/>
        <v>0</v>
      </c>
      <c r="T34" s="189"/>
      <c r="U34" s="188">
        <f t="shared" si="4"/>
        <v>0</v>
      </c>
      <c r="V34" s="188">
        <f t="shared" si="5"/>
        <v>200</v>
      </c>
      <c r="W34" s="188">
        <f t="shared" si="2"/>
        <v>10</v>
      </c>
      <c r="X34" s="188">
        <f t="shared" si="3"/>
        <v>210</v>
      </c>
      <c r="Y34" s="188" t="s">
        <v>120</v>
      </c>
      <c r="Z34" s="190"/>
      <c r="AA34" s="194"/>
    </row>
    <row r="35" spans="1:27" s="192" customFormat="1">
      <c r="A35" s="761">
        <v>42184</v>
      </c>
      <c r="B35" s="198"/>
      <c r="C35" s="198"/>
      <c r="D35" s="199">
        <v>1</v>
      </c>
      <c r="E35" s="188">
        <v>1100</v>
      </c>
      <c r="F35" s="960" t="s">
        <v>73</v>
      </c>
      <c r="G35" s="188">
        <v>200</v>
      </c>
      <c r="H35" s="188"/>
      <c r="I35" s="188">
        <v>150</v>
      </c>
      <c r="J35" s="188"/>
      <c r="K35" s="188">
        <v>1</v>
      </c>
      <c r="L35" s="196" t="s">
        <v>73</v>
      </c>
      <c r="M35" s="188">
        <v>200</v>
      </c>
      <c r="N35" s="188"/>
      <c r="O35" s="188">
        <v>0</v>
      </c>
      <c r="P35" s="188"/>
      <c r="Q35" s="188">
        <v>0</v>
      </c>
      <c r="R35" s="188">
        <f t="shared" si="0"/>
        <v>1451</v>
      </c>
      <c r="S35" s="186">
        <f t="shared" si="1"/>
        <v>0</v>
      </c>
      <c r="T35" s="189"/>
      <c r="U35" s="188">
        <f t="shared" si="4"/>
        <v>0</v>
      </c>
      <c r="V35" s="188">
        <f t="shared" si="5"/>
        <v>1500</v>
      </c>
      <c r="W35" s="188">
        <f t="shared" si="2"/>
        <v>75</v>
      </c>
      <c r="X35" s="188">
        <f t="shared" si="3"/>
        <v>1575</v>
      </c>
      <c r="Y35" s="188" t="s">
        <v>120</v>
      </c>
      <c r="Z35" s="190"/>
      <c r="AA35" s="194"/>
    </row>
    <row r="36" spans="1:27" s="384" customFormat="1">
      <c r="A36" s="761">
        <v>42185</v>
      </c>
      <c r="B36" s="198"/>
      <c r="C36" s="198"/>
      <c r="D36" s="199">
        <v>1</v>
      </c>
      <c r="E36" s="188">
        <v>1100</v>
      </c>
      <c r="F36" s="196">
        <v>1</v>
      </c>
      <c r="G36" s="188">
        <v>200</v>
      </c>
      <c r="H36" s="188"/>
      <c r="I36" s="188">
        <v>150</v>
      </c>
      <c r="J36" s="188"/>
      <c r="K36" s="188">
        <v>1</v>
      </c>
      <c r="L36" s="196">
        <v>1</v>
      </c>
      <c r="M36" s="188">
        <v>200</v>
      </c>
      <c r="N36" s="188"/>
      <c r="O36" s="188">
        <v>0</v>
      </c>
      <c r="P36" s="188"/>
      <c r="Q36" s="188">
        <v>0</v>
      </c>
      <c r="R36" s="188">
        <f t="shared" si="0"/>
        <v>1451</v>
      </c>
      <c r="S36" s="186">
        <f t="shared" ref="S36:S67" si="8">(B36+C36)*D36</f>
        <v>0</v>
      </c>
      <c r="T36" s="189"/>
      <c r="U36" s="188">
        <f t="shared" si="4"/>
        <v>0</v>
      </c>
      <c r="V36" s="188">
        <f t="shared" si="5"/>
        <v>1500</v>
      </c>
      <c r="W36" s="188">
        <f t="shared" si="2"/>
        <v>75</v>
      </c>
      <c r="X36" s="188">
        <f t="shared" si="3"/>
        <v>1575</v>
      </c>
      <c r="Y36" s="188" t="s">
        <v>120</v>
      </c>
      <c r="Z36" s="190"/>
      <c r="AA36" s="194"/>
    </row>
    <row r="37" spans="1:27" s="384" customFormat="1">
      <c r="A37" s="389">
        <v>42186</v>
      </c>
      <c r="B37" s="374"/>
      <c r="C37" s="374"/>
      <c r="D37" s="375">
        <v>1</v>
      </c>
      <c r="E37" s="376">
        <v>1100</v>
      </c>
      <c r="F37" s="378">
        <v>1</v>
      </c>
      <c r="G37" s="376">
        <v>200</v>
      </c>
      <c r="H37" s="376"/>
      <c r="I37" s="376">
        <v>150</v>
      </c>
      <c r="J37" s="376"/>
      <c r="K37" s="376">
        <v>1</v>
      </c>
      <c r="L37" s="378">
        <v>1</v>
      </c>
      <c r="M37" s="376">
        <v>200</v>
      </c>
      <c r="N37" s="376"/>
      <c r="O37" s="376">
        <v>0</v>
      </c>
      <c r="P37" s="376"/>
      <c r="Q37" s="376">
        <v>0</v>
      </c>
      <c r="R37" s="376">
        <f t="shared" si="0"/>
        <v>1451</v>
      </c>
      <c r="S37" s="379">
        <f t="shared" si="8"/>
        <v>0</v>
      </c>
      <c r="T37" s="380"/>
      <c r="U37" s="376">
        <f t="shared" si="4"/>
        <v>0</v>
      </c>
      <c r="V37" s="376">
        <f t="shared" si="5"/>
        <v>1500</v>
      </c>
      <c r="W37" s="376">
        <f t="shared" si="2"/>
        <v>75</v>
      </c>
      <c r="X37" s="376">
        <f t="shared" si="3"/>
        <v>1575</v>
      </c>
      <c r="Y37" s="375" t="s">
        <v>190</v>
      </c>
      <c r="Z37" s="382"/>
      <c r="AA37" s="383"/>
    </row>
    <row r="38" spans="1:27" s="384" customFormat="1">
      <c r="A38" s="389">
        <v>42187</v>
      </c>
      <c r="B38" s="374"/>
      <c r="C38" s="374"/>
      <c r="D38" s="375">
        <v>1</v>
      </c>
      <c r="E38" s="376">
        <v>1100</v>
      </c>
      <c r="F38" s="378">
        <v>1</v>
      </c>
      <c r="G38" s="376">
        <v>200</v>
      </c>
      <c r="H38" s="376"/>
      <c r="I38" s="376">
        <v>150</v>
      </c>
      <c r="J38" s="376"/>
      <c r="K38" s="376">
        <v>1</v>
      </c>
      <c r="L38" s="378">
        <v>1</v>
      </c>
      <c r="M38" s="376">
        <v>200</v>
      </c>
      <c r="N38" s="376"/>
      <c r="O38" s="376">
        <v>0</v>
      </c>
      <c r="P38" s="376"/>
      <c r="Q38" s="376">
        <v>0</v>
      </c>
      <c r="R38" s="376">
        <f t="shared" si="0"/>
        <v>1451</v>
      </c>
      <c r="S38" s="379">
        <f t="shared" si="8"/>
        <v>0</v>
      </c>
      <c r="T38" s="380"/>
      <c r="U38" s="376">
        <f t="shared" si="4"/>
        <v>0</v>
      </c>
      <c r="V38" s="376">
        <f t="shared" si="5"/>
        <v>1500</v>
      </c>
      <c r="W38" s="376">
        <f t="shared" si="2"/>
        <v>75</v>
      </c>
      <c r="X38" s="376">
        <f t="shared" si="3"/>
        <v>1575</v>
      </c>
      <c r="Y38" s="375" t="s">
        <v>190</v>
      </c>
      <c r="Z38" s="382"/>
      <c r="AA38" s="383"/>
    </row>
    <row r="39" spans="1:27" s="384" customFormat="1">
      <c r="A39" s="389">
        <v>42188</v>
      </c>
      <c r="B39" s="374"/>
      <c r="C39" s="374"/>
      <c r="D39" s="375">
        <v>1</v>
      </c>
      <c r="E39" s="376">
        <v>1100</v>
      </c>
      <c r="F39" s="378">
        <v>1</v>
      </c>
      <c r="G39" s="376">
        <v>200</v>
      </c>
      <c r="H39" s="376"/>
      <c r="I39" s="376">
        <v>150</v>
      </c>
      <c r="J39" s="376"/>
      <c r="K39" s="376">
        <v>1</v>
      </c>
      <c r="L39" s="378">
        <v>1</v>
      </c>
      <c r="M39" s="376">
        <v>200</v>
      </c>
      <c r="N39" s="376"/>
      <c r="O39" s="376">
        <v>0</v>
      </c>
      <c r="P39" s="376"/>
      <c r="Q39" s="376">
        <v>0</v>
      </c>
      <c r="R39" s="376">
        <f t="shared" ref="R39:R84" si="9">SUM(K39,I39,G39,E39)</f>
        <v>1451</v>
      </c>
      <c r="S39" s="379">
        <f t="shared" si="8"/>
        <v>0</v>
      </c>
      <c r="T39" s="380"/>
      <c r="U39" s="376">
        <f t="shared" ref="U39:U84" si="10">K39*J39</f>
        <v>0</v>
      </c>
      <c r="V39" s="376">
        <f t="shared" ref="V39:V84" si="11">(D39*E39)+(F39*G39)+(H39*I39)+(J39*K39)+(L39*M39)</f>
        <v>1500</v>
      </c>
      <c r="W39" s="376">
        <f t="shared" ref="W39:W84" si="12">(V39*5%)</f>
        <v>75</v>
      </c>
      <c r="X39" s="376">
        <f t="shared" ref="X39:X84" si="13">SUM(V39+W39)</f>
        <v>1575</v>
      </c>
      <c r="Y39" s="375" t="s">
        <v>190</v>
      </c>
      <c r="Z39" s="382"/>
      <c r="AA39" s="383"/>
    </row>
    <row r="40" spans="1:27" s="384" customFormat="1">
      <c r="A40" s="389">
        <v>42189</v>
      </c>
      <c r="B40" s="374"/>
      <c r="C40" s="374"/>
      <c r="D40" s="375">
        <v>1</v>
      </c>
      <c r="E40" s="376">
        <v>1100</v>
      </c>
      <c r="F40" s="378">
        <v>1</v>
      </c>
      <c r="G40" s="376">
        <v>200</v>
      </c>
      <c r="H40" s="376"/>
      <c r="I40" s="376">
        <v>150</v>
      </c>
      <c r="J40" s="376"/>
      <c r="K40" s="376">
        <v>1</v>
      </c>
      <c r="L40" s="378">
        <v>1</v>
      </c>
      <c r="M40" s="376">
        <v>200</v>
      </c>
      <c r="N40" s="376"/>
      <c r="O40" s="376">
        <v>0</v>
      </c>
      <c r="P40" s="376"/>
      <c r="Q40" s="376">
        <v>0</v>
      </c>
      <c r="R40" s="376">
        <f t="shared" si="9"/>
        <v>1451</v>
      </c>
      <c r="S40" s="379">
        <f t="shared" si="8"/>
        <v>0</v>
      </c>
      <c r="T40" s="380"/>
      <c r="U40" s="376">
        <f t="shared" si="10"/>
        <v>0</v>
      </c>
      <c r="V40" s="376">
        <f t="shared" si="11"/>
        <v>1500</v>
      </c>
      <c r="W40" s="376">
        <f t="shared" si="12"/>
        <v>75</v>
      </c>
      <c r="X40" s="376">
        <f t="shared" si="13"/>
        <v>1575</v>
      </c>
      <c r="Y40" s="375" t="s">
        <v>190</v>
      </c>
      <c r="Z40" s="382"/>
      <c r="AA40" s="383"/>
    </row>
    <row r="41" spans="1:27" s="384" customFormat="1">
      <c r="A41" s="373">
        <v>42190</v>
      </c>
      <c r="B41" s="374"/>
      <c r="C41" s="374"/>
      <c r="D41" s="375"/>
      <c r="E41" s="376">
        <v>1100</v>
      </c>
      <c r="F41" s="474"/>
      <c r="G41" s="376">
        <v>200</v>
      </c>
      <c r="H41" s="377"/>
      <c r="I41" s="376"/>
      <c r="J41" s="376"/>
      <c r="K41" s="376"/>
      <c r="L41" s="378">
        <v>1</v>
      </c>
      <c r="M41" s="376">
        <v>200</v>
      </c>
      <c r="N41" s="376"/>
      <c r="O41" s="376">
        <v>0</v>
      </c>
      <c r="P41" s="376"/>
      <c r="Q41" s="376">
        <v>0</v>
      </c>
      <c r="R41" s="376">
        <f t="shared" si="9"/>
        <v>1300</v>
      </c>
      <c r="S41" s="379">
        <f t="shared" si="8"/>
        <v>0</v>
      </c>
      <c r="T41" s="380"/>
      <c r="U41" s="376">
        <f t="shared" si="10"/>
        <v>0</v>
      </c>
      <c r="V41" s="376">
        <f t="shared" si="11"/>
        <v>200</v>
      </c>
      <c r="W41" s="376">
        <f t="shared" si="12"/>
        <v>10</v>
      </c>
      <c r="X41" s="376">
        <f t="shared" si="13"/>
        <v>210</v>
      </c>
      <c r="Y41" s="375" t="s">
        <v>190</v>
      </c>
      <c r="Z41" s="382"/>
      <c r="AA41" s="383"/>
    </row>
    <row r="42" spans="1:27" s="384" customFormat="1" ht="13.5" customHeight="1">
      <c r="A42" s="373">
        <v>42191</v>
      </c>
      <c r="B42" s="374"/>
      <c r="C42" s="374"/>
      <c r="D42" s="375">
        <v>1</v>
      </c>
      <c r="E42" s="376">
        <v>1100</v>
      </c>
      <c r="F42" s="474">
        <v>1</v>
      </c>
      <c r="G42" s="376">
        <v>200</v>
      </c>
      <c r="H42" s="377"/>
      <c r="I42" s="376">
        <v>150</v>
      </c>
      <c r="J42" s="376"/>
      <c r="K42" s="376">
        <v>1</v>
      </c>
      <c r="L42" s="378">
        <v>1</v>
      </c>
      <c r="M42" s="376">
        <v>200</v>
      </c>
      <c r="N42" s="376"/>
      <c r="O42" s="376">
        <v>0</v>
      </c>
      <c r="P42" s="376"/>
      <c r="Q42" s="376">
        <v>0</v>
      </c>
      <c r="R42" s="376">
        <f t="shared" si="9"/>
        <v>1451</v>
      </c>
      <c r="S42" s="379">
        <f t="shared" si="8"/>
        <v>0</v>
      </c>
      <c r="T42" s="380"/>
      <c r="U42" s="376">
        <f t="shared" si="10"/>
        <v>0</v>
      </c>
      <c r="V42" s="376">
        <f t="shared" si="11"/>
        <v>1500</v>
      </c>
      <c r="W42" s="376">
        <f t="shared" si="12"/>
        <v>75</v>
      </c>
      <c r="X42" s="376">
        <f t="shared" si="13"/>
        <v>1575</v>
      </c>
      <c r="Y42" s="375" t="s">
        <v>190</v>
      </c>
      <c r="Z42" s="382"/>
      <c r="AA42" s="383"/>
    </row>
    <row r="43" spans="1:27" s="384" customFormat="1" ht="13.5" customHeight="1">
      <c r="A43" s="373">
        <v>42192</v>
      </c>
      <c r="B43" s="374"/>
      <c r="C43" s="374"/>
      <c r="D43" s="375">
        <v>1</v>
      </c>
      <c r="E43" s="376">
        <v>1100</v>
      </c>
      <c r="F43" s="474">
        <v>1</v>
      </c>
      <c r="G43" s="376">
        <v>200</v>
      </c>
      <c r="H43" s="377"/>
      <c r="I43" s="376">
        <v>150</v>
      </c>
      <c r="J43" s="376"/>
      <c r="K43" s="376">
        <v>1</v>
      </c>
      <c r="L43" s="378">
        <v>1</v>
      </c>
      <c r="M43" s="376">
        <v>200</v>
      </c>
      <c r="N43" s="376"/>
      <c r="O43" s="376">
        <v>0</v>
      </c>
      <c r="P43" s="376"/>
      <c r="Q43" s="376">
        <v>0</v>
      </c>
      <c r="R43" s="376">
        <f t="shared" si="9"/>
        <v>1451</v>
      </c>
      <c r="S43" s="379">
        <f t="shared" si="8"/>
        <v>0</v>
      </c>
      <c r="T43" s="380"/>
      <c r="U43" s="376">
        <f t="shared" si="10"/>
        <v>0</v>
      </c>
      <c r="V43" s="376">
        <f t="shared" si="11"/>
        <v>1500</v>
      </c>
      <c r="W43" s="376">
        <f t="shared" si="12"/>
        <v>75</v>
      </c>
      <c r="X43" s="376">
        <f t="shared" si="13"/>
        <v>1575</v>
      </c>
      <c r="Y43" s="375" t="s">
        <v>190</v>
      </c>
      <c r="Z43" s="382"/>
      <c r="AA43" s="383"/>
    </row>
    <row r="44" spans="1:27" s="384" customFormat="1" ht="13.5" customHeight="1">
      <c r="A44" s="373">
        <v>42193</v>
      </c>
      <c r="B44" s="374"/>
      <c r="C44" s="374"/>
      <c r="D44" s="375">
        <v>1</v>
      </c>
      <c r="E44" s="376">
        <v>1100</v>
      </c>
      <c r="F44" s="474">
        <v>1</v>
      </c>
      <c r="G44" s="376">
        <v>200</v>
      </c>
      <c r="H44" s="377"/>
      <c r="I44" s="376">
        <v>150</v>
      </c>
      <c r="J44" s="376"/>
      <c r="K44" s="376">
        <v>1</v>
      </c>
      <c r="L44" s="378">
        <v>1</v>
      </c>
      <c r="M44" s="376">
        <v>200</v>
      </c>
      <c r="N44" s="376"/>
      <c r="O44" s="376">
        <v>0</v>
      </c>
      <c r="P44" s="376"/>
      <c r="Q44" s="376">
        <v>0</v>
      </c>
      <c r="R44" s="376">
        <f t="shared" si="9"/>
        <v>1451</v>
      </c>
      <c r="S44" s="379">
        <f t="shared" si="8"/>
        <v>0</v>
      </c>
      <c r="T44" s="380"/>
      <c r="U44" s="376">
        <f t="shared" si="10"/>
        <v>0</v>
      </c>
      <c r="V44" s="376">
        <f t="shared" si="11"/>
        <v>1500</v>
      </c>
      <c r="W44" s="376">
        <f t="shared" si="12"/>
        <v>75</v>
      </c>
      <c r="X44" s="376">
        <f t="shared" si="13"/>
        <v>1575</v>
      </c>
      <c r="Y44" s="375" t="s">
        <v>190</v>
      </c>
      <c r="Z44" s="382"/>
      <c r="AA44" s="383"/>
    </row>
    <row r="45" spans="1:27" s="384" customFormat="1" ht="13.5" customHeight="1">
      <c r="A45" s="373">
        <v>42194</v>
      </c>
      <c r="B45" s="374"/>
      <c r="C45" s="374"/>
      <c r="D45" s="375">
        <v>1</v>
      </c>
      <c r="E45" s="376">
        <v>1100</v>
      </c>
      <c r="F45" s="474">
        <v>1</v>
      </c>
      <c r="G45" s="376">
        <v>200</v>
      </c>
      <c r="H45" s="377"/>
      <c r="I45" s="376">
        <v>150</v>
      </c>
      <c r="J45" s="376"/>
      <c r="K45" s="376">
        <v>1</v>
      </c>
      <c r="L45" s="378">
        <v>1</v>
      </c>
      <c r="M45" s="376">
        <v>200</v>
      </c>
      <c r="N45" s="376"/>
      <c r="O45" s="376">
        <v>0</v>
      </c>
      <c r="P45" s="376"/>
      <c r="Q45" s="376">
        <v>0</v>
      </c>
      <c r="R45" s="376">
        <f t="shared" si="9"/>
        <v>1451</v>
      </c>
      <c r="S45" s="379">
        <f t="shared" si="8"/>
        <v>0</v>
      </c>
      <c r="T45" s="380"/>
      <c r="U45" s="376">
        <f t="shared" si="10"/>
        <v>0</v>
      </c>
      <c r="V45" s="376">
        <f t="shared" si="11"/>
        <v>1500</v>
      </c>
      <c r="W45" s="376">
        <f t="shared" si="12"/>
        <v>75</v>
      </c>
      <c r="X45" s="376">
        <f t="shared" si="13"/>
        <v>1575</v>
      </c>
      <c r="Y45" s="375" t="s">
        <v>190</v>
      </c>
      <c r="Z45" s="382"/>
      <c r="AA45" s="383"/>
    </row>
    <row r="46" spans="1:27" s="384" customFormat="1" ht="13.5" customHeight="1">
      <c r="A46" s="373">
        <v>42195</v>
      </c>
      <c r="B46" s="374"/>
      <c r="C46" s="374"/>
      <c r="D46" s="375">
        <v>1</v>
      </c>
      <c r="E46" s="376">
        <v>1100</v>
      </c>
      <c r="F46" s="474">
        <v>1</v>
      </c>
      <c r="G46" s="376">
        <v>200</v>
      </c>
      <c r="H46" s="377"/>
      <c r="I46" s="376">
        <v>150</v>
      </c>
      <c r="J46" s="376"/>
      <c r="K46" s="376">
        <v>1</v>
      </c>
      <c r="L46" s="378">
        <v>1</v>
      </c>
      <c r="M46" s="376">
        <v>200</v>
      </c>
      <c r="N46" s="376"/>
      <c r="O46" s="376">
        <v>0</v>
      </c>
      <c r="P46" s="376"/>
      <c r="Q46" s="376">
        <v>0</v>
      </c>
      <c r="R46" s="376">
        <f t="shared" si="9"/>
        <v>1451</v>
      </c>
      <c r="S46" s="379">
        <f t="shared" si="8"/>
        <v>0</v>
      </c>
      <c r="T46" s="380"/>
      <c r="U46" s="376">
        <f t="shared" si="10"/>
        <v>0</v>
      </c>
      <c r="V46" s="376">
        <f t="shared" si="11"/>
        <v>1500</v>
      </c>
      <c r="W46" s="376">
        <f t="shared" si="12"/>
        <v>75</v>
      </c>
      <c r="X46" s="376">
        <f t="shared" si="13"/>
        <v>1575</v>
      </c>
      <c r="Y46" s="375" t="s">
        <v>190</v>
      </c>
      <c r="Z46" s="385"/>
      <c r="AA46" s="383"/>
    </row>
    <row r="47" spans="1:27" s="384" customFormat="1" ht="13.5" customHeight="1">
      <c r="A47" s="373">
        <v>42196</v>
      </c>
      <c r="B47" s="374"/>
      <c r="C47" s="374"/>
      <c r="D47" s="375">
        <v>1</v>
      </c>
      <c r="E47" s="376">
        <v>1100</v>
      </c>
      <c r="F47" s="474">
        <v>1</v>
      </c>
      <c r="G47" s="376">
        <v>200</v>
      </c>
      <c r="H47" s="377"/>
      <c r="I47" s="376">
        <v>150</v>
      </c>
      <c r="J47" s="376"/>
      <c r="K47" s="376">
        <v>1</v>
      </c>
      <c r="L47" s="378">
        <v>1</v>
      </c>
      <c r="M47" s="376">
        <v>200</v>
      </c>
      <c r="N47" s="376"/>
      <c r="O47" s="376">
        <v>0</v>
      </c>
      <c r="P47" s="376"/>
      <c r="Q47" s="376">
        <v>0</v>
      </c>
      <c r="R47" s="376">
        <f t="shared" si="9"/>
        <v>1451</v>
      </c>
      <c r="S47" s="379">
        <f t="shared" si="8"/>
        <v>0</v>
      </c>
      <c r="T47" s="380"/>
      <c r="U47" s="376">
        <f t="shared" si="10"/>
        <v>0</v>
      </c>
      <c r="V47" s="376">
        <f t="shared" si="11"/>
        <v>1500</v>
      </c>
      <c r="W47" s="376">
        <f t="shared" si="12"/>
        <v>75</v>
      </c>
      <c r="X47" s="376">
        <f t="shared" si="13"/>
        <v>1575</v>
      </c>
      <c r="Y47" s="375" t="s">
        <v>190</v>
      </c>
      <c r="Z47" s="382"/>
      <c r="AA47" s="383"/>
    </row>
    <row r="48" spans="1:27" s="384" customFormat="1" ht="13.5" customHeight="1">
      <c r="A48" s="373">
        <v>42197</v>
      </c>
      <c r="B48" s="374"/>
      <c r="C48" s="374"/>
      <c r="D48" s="375"/>
      <c r="E48" s="376">
        <v>1100</v>
      </c>
      <c r="F48" s="474"/>
      <c r="G48" s="376">
        <v>200</v>
      </c>
      <c r="H48" s="377"/>
      <c r="I48" s="376">
        <v>150</v>
      </c>
      <c r="J48" s="376"/>
      <c r="K48" s="376">
        <v>1</v>
      </c>
      <c r="L48" s="378">
        <v>1</v>
      </c>
      <c r="M48" s="376">
        <v>200</v>
      </c>
      <c r="N48" s="376"/>
      <c r="O48" s="376">
        <v>0</v>
      </c>
      <c r="P48" s="376"/>
      <c r="Q48" s="376">
        <v>0</v>
      </c>
      <c r="R48" s="376">
        <f t="shared" si="9"/>
        <v>1451</v>
      </c>
      <c r="S48" s="379">
        <f t="shared" si="8"/>
        <v>0</v>
      </c>
      <c r="T48" s="380"/>
      <c r="U48" s="376">
        <f t="shared" si="10"/>
        <v>0</v>
      </c>
      <c r="V48" s="376">
        <f t="shared" si="11"/>
        <v>200</v>
      </c>
      <c r="W48" s="376">
        <f t="shared" si="12"/>
        <v>10</v>
      </c>
      <c r="X48" s="376">
        <f t="shared" si="13"/>
        <v>210</v>
      </c>
      <c r="Y48" s="375" t="s">
        <v>190</v>
      </c>
      <c r="Z48" s="382"/>
      <c r="AA48" s="383"/>
    </row>
    <row r="49" spans="1:27" s="384" customFormat="1" ht="13.5" customHeight="1">
      <c r="A49" s="373">
        <v>42198</v>
      </c>
      <c r="B49" s="374"/>
      <c r="C49" s="374"/>
      <c r="D49" s="375">
        <v>1</v>
      </c>
      <c r="E49" s="376">
        <v>1100</v>
      </c>
      <c r="F49" s="474">
        <v>1</v>
      </c>
      <c r="G49" s="376">
        <v>200</v>
      </c>
      <c r="H49" s="377"/>
      <c r="I49" s="376">
        <v>150</v>
      </c>
      <c r="J49" s="376"/>
      <c r="K49" s="376">
        <v>1</v>
      </c>
      <c r="L49" s="378">
        <v>1</v>
      </c>
      <c r="M49" s="376">
        <v>200</v>
      </c>
      <c r="N49" s="376"/>
      <c r="O49" s="376">
        <v>0</v>
      </c>
      <c r="P49" s="376"/>
      <c r="Q49" s="376">
        <v>0</v>
      </c>
      <c r="R49" s="376">
        <f t="shared" si="9"/>
        <v>1451</v>
      </c>
      <c r="S49" s="379">
        <f t="shared" si="8"/>
        <v>0</v>
      </c>
      <c r="T49" s="380"/>
      <c r="U49" s="376">
        <f t="shared" si="10"/>
        <v>0</v>
      </c>
      <c r="V49" s="376">
        <f t="shared" si="11"/>
        <v>1500</v>
      </c>
      <c r="W49" s="376">
        <f t="shared" si="12"/>
        <v>75</v>
      </c>
      <c r="X49" s="376">
        <f t="shared" si="13"/>
        <v>1575</v>
      </c>
      <c r="Y49" s="375" t="s">
        <v>190</v>
      </c>
      <c r="Z49" s="382"/>
      <c r="AA49" s="383"/>
    </row>
    <row r="50" spans="1:27" s="384" customFormat="1" ht="13.5" customHeight="1">
      <c r="A50" s="373">
        <v>42199</v>
      </c>
      <c r="B50" s="374"/>
      <c r="C50" s="374"/>
      <c r="D50" s="375">
        <v>1</v>
      </c>
      <c r="E50" s="376">
        <v>1100</v>
      </c>
      <c r="F50" s="474">
        <v>1</v>
      </c>
      <c r="G50" s="376">
        <v>200</v>
      </c>
      <c r="H50" s="377"/>
      <c r="I50" s="376">
        <v>150</v>
      </c>
      <c r="J50" s="376"/>
      <c r="K50" s="376">
        <v>1</v>
      </c>
      <c r="L50" s="378">
        <v>1</v>
      </c>
      <c r="M50" s="376">
        <v>200</v>
      </c>
      <c r="N50" s="376"/>
      <c r="O50" s="376">
        <v>0</v>
      </c>
      <c r="P50" s="376"/>
      <c r="Q50" s="376">
        <v>0</v>
      </c>
      <c r="R50" s="376">
        <f t="shared" si="9"/>
        <v>1451</v>
      </c>
      <c r="S50" s="379">
        <f t="shared" si="8"/>
        <v>0</v>
      </c>
      <c r="T50" s="380"/>
      <c r="U50" s="376">
        <f t="shared" si="10"/>
        <v>0</v>
      </c>
      <c r="V50" s="376">
        <f t="shared" si="11"/>
        <v>1500</v>
      </c>
      <c r="W50" s="376">
        <f t="shared" si="12"/>
        <v>75</v>
      </c>
      <c r="X50" s="376">
        <f t="shared" si="13"/>
        <v>1575</v>
      </c>
      <c r="Y50" s="375" t="s">
        <v>190</v>
      </c>
      <c r="Z50" s="382"/>
      <c r="AA50" s="383"/>
    </row>
    <row r="51" spans="1:27" s="371" customFormat="1" ht="13.5" customHeight="1">
      <c r="A51" s="373">
        <v>42200</v>
      </c>
      <c r="B51" s="374"/>
      <c r="C51" s="374"/>
      <c r="D51" s="375">
        <v>1</v>
      </c>
      <c r="E51" s="376">
        <v>1100</v>
      </c>
      <c r="F51" s="474">
        <v>1</v>
      </c>
      <c r="G51" s="376">
        <v>200</v>
      </c>
      <c r="H51" s="377"/>
      <c r="I51" s="376">
        <v>150</v>
      </c>
      <c r="J51" s="376"/>
      <c r="K51" s="376">
        <v>1</v>
      </c>
      <c r="L51" s="378">
        <v>1</v>
      </c>
      <c r="M51" s="376">
        <v>200</v>
      </c>
      <c r="N51" s="376"/>
      <c r="O51" s="376">
        <v>0</v>
      </c>
      <c r="P51" s="376"/>
      <c r="Q51" s="376">
        <v>0</v>
      </c>
      <c r="R51" s="376">
        <f t="shared" si="9"/>
        <v>1451</v>
      </c>
      <c r="S51" s="379">
        <f t="shared" si="8"/>
        <v>0</v>
      </c>
      <c r="T51" s="380"/>
      <c r="U51" s="376">
        <f t="shared" si="10"/>
        <v>0</v>
      </c>
      <c r="V51" s="376">
        <f t="shared" si="11"/>
        <v>1500</v>
      </c>
      <c r="W51" s="376">
        <f t="shared" si="12"/>
        <v>75</v>
      </c>
      <c r="X51" s="376">
        <f t="shared" si="13"/>
        <v>1575</v>
      </c>
      <c r="Y51" s="375" t="s">
        <v>190</v>
      </c>
      <c r="Z51" s="385">
        <f>SUM(V37:V51)</f>
        <v>19900</v>
      </c>
      <c r="AA51" s="383"/>
    </row>
    <row r="52" spans="1:27" s="371" customFormat="1" ht="13.5" customHeight="1">
      <c r="A52" s="366">
        <v>42201</v>
      </c>
      <c r="B52" s="367"/>
      <c r="C52" s="367"/>
      <c r="D52" s="368">
        <v>1</v>
      </c>
      <c r="E52" s="123">
        <v>1100</v>
      </c>
      <c r="F52" s="122">
        <v>1</v>
      </c>
      <c r="G52" s="123">
        <v>200</v>
      </c>
      <c r="H52" s="125"/>
      <c r="I52" s="123">
        <v>150</v>
      </c>
      <c r="J52" s="123"/>
      <c r="K52" s="123">
        <v>1</v>
      </c>
      <c r="L52" s="369">
        <v>1</v>
      </c>
      <c r="M52" s="123">
        <v>200</v>
      </c>
      <c r="N52" s="123"/>
      <c r="O52" s="123">
        <v>0</v>
      </c>
      <c r="P52" s="123"/>
      <c r="Q52" s="123">
        <v>0</v>
      </c>
      <c r="R52" s="123">
        <f t="shared" si="9"/>
        <v>1451</v>
      </c>
      <c r="S52" s="124">
        <f t="shared" si="8"/>
        <v>0</v>
      </c>
      <c r="T52" s="127"/>
      <c r="U52" s="123">
        <f t="shared" si="10"/>
        <v>0</v>
      </c>
      <c r="V52" s="123">
        <f t="shared" si="11"/>
        <v>1500</v>
      </c>
      <c r="W52" s="123">
        <f t="shared" si="12"/>
        <v>75</v>
      </c>
      <c r="X52" s="123">
        <f t="shared" si="13"/>
        <v>1575</v>
      </c>
      <c r="Y52" s="387" t="s">
        <v>271</v>
      </c>
      <c r="Z52" s="128"/>
      <c r="AA52" s="370"/>
    </row>
    <row r="53" spans="1:27" s="371" customFormat="1" ht="13.5" customHeight="1">
      <c r="A53" s="366">
        <v>42202</v>
      </c>
      <c r="B53" s="367"/>
      <c r="C53" s="367"/>
      <c r="D53" s="368">
        <v>1</v>
      </c>
      <c r="E53" s="123">
        <v>1100</v>
      </c>
      <c r="F53" s="122">
        <v>1</v>
      </c>
      <c r="G53" s="123">
        <v>200</v>
      </c>
      <c r="H53" s="125"/>
      <c r="I53" s="123">
        <v>150</v>
      </c>
      <c r="J53" s="123"/>
      <c r="K53" s="123">
        <v>1</v>
      </c>
      <c r="L53" s="369">
        <v>1</v>
      </c>
      <c r="M53" s="123">
        <v>200</v>
      </c>
      <c r="N53" s="123"/>
      <c r="O53" s="123">
        <v>0</v>
      </c>
      <c r="P53" s="123"/>
      <c r="Q53" s="123">
        <v>0</v>
      </c>
      <c r="R53" s="123">
        <f t="shared" si="9"/>
        <v>1451</v>
      </c>
      <c r="S53" s="124">
        <f t="shared" si="8"/>
        <v>0</v>
      </c>
      <c r="T53" s="127"/>
      <c r="U53" s="123">
        <f t="shared" si="10"/>
        <v>0</v>
      </c>
      <c r="V53" s="123">
        <f t="shared" si="11"/>
        <v>1500</v>
      </c>
      <c r="W53" s="123">
        <f t="shared" si="12"/>
        <v>75</v>
      </c>
      <c r="X53" s="123">
        <f t="shared" si="13"/>
        <v>1575</v>
      </c>
      <c r="Y53" s="387" t="s">
        <v>271</v>
      </c>
      <c r="Z53" s="128"/>
      <c r="AA53" s="370"/>
    </row>
    <row r="54" spans="1:27" s="371" customFormat="1" ht="13.5" customHeight="1">
      <c r="A54" s="366">
        <v>42203</v>
      </c>
      <c r="B54" s="367"/>
      <c r="C54" s="367">
        <v>425</v>
      </c>
      <c r="D54" s="368">
        <v>1</v>
      </c>
      <c r="E54" s="123">
        <v>1100</v>
      </c>
      <c r="F54" s="122">
        <v>1</v>
      </c>
      <c r="G54" s="123">
        <v>200</v>
      </c>
      <c r="H54" s="125"/>
      <c r="I54" s="123">
        <v>150</v>
      </c>
      <c r="J54" s="123"/>
      <c r="K54" s="123">
        <v>1</v>
      </c>
      <c r="L54" s="369">
        <v>1</v>
      </c>
      <c r="M54" s="123">
        <v>200</v>
      </c>
      <c r="N54" s="123"/>
      <c r="O54" s="123">
        <v>0</v>
      </c>
      <c r="P54" s="123"/>
      <c r="Q54" s="123">
        <v>0</v>
      </c>
      <c r="R54" s="123">
        <f t="shared" si="9"/>
        <v>1451</v>
      </c>
      <c r="S54" s="124">
        <f t="shared" si="8"/>
        <v>425</v>
      </c>
      <c r="T54" s="127"/>
      <c r="U54" s="123">
        <f t="shared" si="10"/>
        <v>0</v>
      </c>
      <c r="V54" s="123">
        <f t="shared" si="11"/>
        <v>1500</v>
      </c>
      <c r="W54" s="123">
        <f t="shared" si="12"/>
        <v>75</v>
      </c>
      <c r="X54" s="123">
        <f t="shared" si="13"/>
        <v>1575</v>
      </c>
      <c r="Y54" s="387" t="s">
        <v>271</v>
      </c>
      <c r="Z54" s="128"/>
      <c r="AA54" s="370"/>
    </row>
    <row r="55" spans="1:27" s="371" customFormat="1" ht="13.5" customHeight="1">
      <c r="A55" s="366">
        <v>42204</v>
      </c>
      <c r="B55" s="367"/>
      <c r="C55" s="367">
        <v>425</v>
      </c>
      <c r="D55" s="368">
        <v>1</v>
      </c>
      <c r="E55" s="123">
        <v>1100</v>
      </c>
      <c r="F55" s="122">
        <v>1</v>
      </c>
      <c r="G55" s="123">
        <v>200</v>
      </c>
      <c r="H55" s="125"/>
      <c r="I55" s="123">
        <v>150</v>
      </c>
      <c r="J55" s="123"/>
      <c r="K55" s="123">
        <v>1</v>
      </c>
      <c r="L55" s="369">
        <v>1</v>
      </c>
      <c r="M55" s="123">
        <v>200</v>
      </c>
      <c r="N55" s="123"/>
      <c r="O55" s="123">
        <v>0</v>
      </c>
      <c r="P55" s="123"/>
      <c r="Q55" s="123">
        <v>0</v>
      </c>
      <c r="R55" s="123">
        <f t="shared" si="9"/>
        <v>1451</v>
      </c>
      <c r="S55" s="124">
        <f t="shared" si="8"/>
        <v>425</v>
      </c>
      <c r="T55" s="127"/>
      <c r="U55" s="123">
        <f t="shared" si="10"/>
        <v>0</v>
      </c>
      <c r="V55" s="123">
        <f t="shared" si="11"/>
        <v>1500</v>
      </c>
      <c r="W55" s="123">
        <f t="shared" si="12"/>
        <v>75</v>
      </c>
      <c r="X55" s="123">
        <f t="shared" si="13"/>
        <v>1575</v>
      </c>
      <c r="Y55" s="387" t="s">
        <v>271</v>
      </c>
      <c r="Z55" s="128"/>
      <c r="AA55" s="370"/>
    </row>
    <row r="56" spans="1:27" s="371" customFormat="1" ht="13.5" customHeight="1">
      <c r="A56" s="366">
        <v>42205</v>
      </c>
      <c r="B56" s="367"/>
      <c r="C56" s="367">
        <v>425</v>
      </c>
      <c r="D56" s="368">
        <v>1</v>
      </c>
      <c r="E56" s="123">
        <v>1100</v>
      </c>
      <c r="F56" s="122">
        <v>1</v>
      </c>
      <c r="G56" s="123">
        <v>200</v>
      </c>
      <c r="H56" s="125"/>
      <c r="I56" s="123">
        <v>150</v>
      </c>
      <c r="J56" s="123"/>
      <c r="K56" s="123">
        <v>1</v>
      </c>
      <c r="L56" s="369">
        <v>1</v>
      </c>
      <c r="M56" s="123">
        <v>200</v>
      </c>
      <c r="N56" s="123"/>
      <c r="O56" s="123">
        <v>0</v>
      </c>
      <c r="P56" s="123"/>
      <c r="Q56" s="123">
        <v>0</v>
      </c>
      <c r="R56" s="123">
        <f t="shared" si="9"/>
        <v>1451</v>
      </c>
      <c r="S56" s="124">
        <f t="shared" si="8"/>
        <v>425</v>
      </c>
      <c r="T56" s="127"/>
      <c r="U56" s="123">
        <f t="shared" si="10"/>
        <v>0</v>
      </c>
      <c r="V56" s="123">
        <f t="shared" si="11"/>
        <v>1500</v>
      </c>
      <c r="W56" s="123">
        <f t="shared" si="12"/>
        <v>75</v>
      </c>
      <c r="X56" s="123">
        <f t="shared" si="13"/>
        <v>1575</v>
      </c>
      <c r="Y56" s="387" t="s">
        <v>271</v>
      </c>
      <c r="Z56" s="128"/>
      <c r="AA56" s="370"/>
    </row>
    <row r="57" spans="1:27" s="371" customFormat="1" ht="13.5" customHeight="1">
      <c r="A57" s="366">
        <v>42206</v>
      </c>
      <c r="B57" s="367"/>
      <c r="C57" s="367">
        <v>425</v>
      </c>
      <c r="D57" s="368">
        <v>1</v>
      </c>
      <c r="E57" s="123">
        <v>1100</v>
      </c>
      <c r="F57" s="122">
        <v>1</v>
      </c>
      <c r="G57" s="123">
        <v>200</v>
      </c>
      <c r="H57" s="125"/>
      <c r="I57" s="123">
        <v>150</v>
      </c>
      <c r="J57" s="123"/>
      <c r="K57" s="123">
        <v>1</v>
      </c>
      <c r="L57" s="369">
        <v>1</v>
      </c>
      <c r="M57" s="123">
        <v>200</v>
      </c>
      <c r="N57" s="123"/>
      <c r="O57" s="123">
        <v>0</v>
      </c>
      <c r="P57" s="123"/>
      <c r="Q57" s="123">
        <v>0</v>
      </c>
      <c r="R57" s="123">
        <f t="shared" si="9"/>
        <v>1451</v>
      </c>
      <c r="S57" s="124">
        <f t="shared" si="8"/>
        <v>425</v>
      </c>
      <c r="T57" s="127"/>
      <c r="U57" s="123">
        <f t="shared" si="10"/>
        <v>0</v>
      </c>
      <c r="V57" s="123">
        <f t="shared" si="11"/>
        <v>1500</v>
      </c>
      <c r="W57" s="123">
        <f t="shared" si="12"/>
        <v>75</v>
      </c>
      <c r="X57" s="123">
        <f t="shared" si="13"/>
        <v>1575</v>
      </c>
      <c r="Y57" s="387" t="s">
        <v>271</v>
      </c>
      <c r="Z57" s="128"/>
      <c r="AA57" s="370"/>
    </row>
    <row r="58" spans="1:27" s="371" customFormat="1" ht="13.5" customHeight="1">
      <c r="A58" s="366">
        <v>42207</v>
      </c>
      <c r="B58" s="367"/>
      <c r="C58" s="367">
        <v>425</v>
      </c>
      <c r="D58" s="368">
        <v>1</v>
      </c>
      <c r="E58" s="123">
        <v>1100</v>
      </c>
      <c r="F58" s="122">
        <v>1</v>
      </c>
      <c r="G58" s="123">
        <v>200</v>
      </c>
      <c r="H58" s="125"/>
      <c r="I58" s="123">
        <v>150</v>
      </c>
      <c r="J58" s="123"/>
      <c r="K58" s="123">
        <v>1</v>
      </c>
      <c r="L58" s="369">
        <v>1</v>
      </c>
      <c r="M58" s="123">
        <v>200</v>
      </c>
      <c r="N58" s="123"/>
      <c r="O58" s="123">
        <v>0</v>
      </c>
      <c r="P58" s="123"/>
      <c r="Q58" s="123">
        <v>0</v>
      </c>
      <c r="R58" s="123">
        <f t="shared" si="9"/>
        <v>1451</v>
      </c>
      <c r="S58" s="124">
        <f t="shared" si="8"/>
        <v>425</v>
      </c>
      <c r="T58" s="127"/>
      <c r="U58" s="123">
        <f t="shared" si="10"/>
        <v>0</v>
      </c>
      <c r="V58" s="123">
        <f t="shared" si="11"/>
        <v>1500</v>
      </c>
      <c r="W58" s="123">
        <f t="shared" si="12"/>
        <v>75</v>
      </c>
      <c r="X58" s="123">
        <f t="shared" si="13"/>
        <v>1575</v>
      </c>
      <c r="Y58" s="387" t="s">
        <v>271</v>
      </c>
      <c r="Z58" s="128"/>
      <c r="AA58" s="370"/>
    </row>
    <row r="59" spans="1:27" s="371" customFormat="1" ht="13.5" customHeight="1">
      <c r="A59" s="366">
        <v>42208</v>
      </c>
      <c r="B59" s="367"/>
      <c r="C59" s="367">
        <v>425</v>
      </c>
      <c r="D59" s="368">
        <v>1</v>
      </c>
      <c r="E59" s="123">
        <v>1100</v>
      </c>
      <c r="F59" s="122">
        <v>1</v>
      </c>
      <c r="G59" s="123">
        <v>200</v>
      </c>
      <c r="H59" s="125"/>
      <c r="I59" s="123">
        <v>150</v>
      </c>
      <c r="J59" s="123"/>
      <c r="K59" s="123">
        <v>1</v>
      </c>
      <c r="L59" s="369">
        <v>1</v>
      </c>
      <c r="M59" s="123">
        <v>200</v>
      </c>
      <c r="N59" s="123"/>
      <c r="O59" s="123">
        <v>0</v>
      </c>
      <c r="P59" s="123"/>
      <c r="Q59" s="123">
        <v>0</v>
      </c>
      <c r="R59" s="123">
        <f t="shared" si="9"/>
        <v>1451</v>
      </c>
      <c r="S59" s="124">
        <f t="shared" si="8"/>
        <v>425</v>
      </c>
      <c r="T59" s="127"/>
      <c r="U59" s="123">
        <f t="shared" si="10"/>
        <v>0</v>
      </c>
      <c r="V59" s="123">
        <f t="shared" si="11"/>
        <v>1500</v>
      </c>
      <c r="W59" s="123">
        <f t="shared" si="12"/>
        <v>75</v>
      </c>
      <c r="X59" s="123">
        <f t="shared" si="13"/>
        <v>1575</v>
      </c>
      <c r="Y59" s="387" t="s">
        <v>271</v>
      </c>
      <c r="Z59" s="128"/>
      <c r="AA59" s="370"/>
    </row>
    <row r="60" spans="1:27" s="371" customFormat="1" ht="13.5" customHeight="1">
      <c r="A60" s="366">
        <v>42209</v>
      </c>
      <c r="B60" s="367"/>
      <c r="C60" s="367">
        <v>425</v>
      </c>
      <c r="D60" s="368">
        <v>1</v>
      </c>
      <c r="E60" s="123">
        <v>1100</v>
      </c>
      <c r="F60" s="122">
        <v>1</v>
      </c>
      <c r="G60" s="123">
        <v>200</v>
      </c>
      <c r="H60" s="125"/>
      <c r="I60" s="123">
        <v>150</v>
      </c>
      <c r="J60" s="123"/>
      <c r="K60" s="123">
        <v>1</v>
      </c>
      <c r="L60" s="369">
        <v>1</v>
      </c>
      <c r="M60" s="123">
        <v>200</v>
      </c>
      <c r="N60" s="123"/>
      <c r="O60" s="123">
        <v>0</v>
      </c>
      <c r="P60" s="123"/>
      <c r="Q60" s="123">
        <v>0</v>
      </c>
      <c r="R60" s="123">
        <f t="shared" si="9"/>
        <v>1451</v>
      </c>
      <c r="S60" s="124">
        <f t="shared" si="8"/>
        <v>425</v>
      </c>
      <c r="T60" s="127"/>
      <c r="U60" s="123">
        <f t="shared" si="10"/>
        <v>0</v>
      </c>
      <c r="V60" s="123">
        <f t="shared" si="11"/>
        <v>1500</v>
      </c>
      <c r="W60" s="123">
        <f t="shared" si="12"/>
        <v>75</v>
      </c>
      <c r="X60" s="123">
        <f t="shared" si="13"/>
        <v>1575</v>
      </c>
      <c r="Y60" s="387" t="s">
        <v>271</v>
      </c>
      <c r="Z60" s="388"/>
      <c r="AA60" s="370"/>
    </row>
    <row r="61" spans="1:27" s="371" customFormat="1" ht="13.5" customHeight="1">
      <c r="A61" s="366">
        <v>42210</v>
      </c>
      <c r="B61" s="367"/>
      <c r="C61" s="367">
        <v>425</v>
      </c>
      <c r="D61" s="368">
        <v>1</v>
      </c>
      <c r="E61" s="123">
        <v>1100</v>
      </c>
      <c r="F61" s="122">
        <v>1</v>
      </c>
      <c r="G61" s="123">
        <v>200</v>
      </c>
      <c r="H61" s="125"/>
      <c r="I61" s="123">
        <v>150</v>
      </c>
      <c r="J61" s="123"/>
      <c r="K61" s="123">
        <v>1</v>
      </c>
      <c r="L61" s="369">
        <v>1</v>
      </c>
      <c r="M61" s="123">
        <v>200</v>
      </c>
      <c r="N61" s="123"/>
      <c r="O61" s="123">
        <v>0</v>
      </c>
      <c r="P61" s="123"/>
      <c r="Q61" s="123">
        <v>0</v>
      </c>
      <c r="R61" s="123">
        <f t="shared" si="9"/>
        <v>1451</v>
      </c>
      <c r="S61" s="124">
        <f t="shared" si="8"/>
        <v>425</v>
      </c>
      <c r="T61" s="127"/>
      <c r="U61" s="123">
        <f t="shared" si="10"/>
        <v>0</v>
      </c>
      <c r="V61" s="123">
        <f t="shared" si="11"/>
        <v>1500</v>
      </c>
      <c r="W61" s="123">
        <f t="shared" si="12"/>
        <v>75</v>
      </c>
      <c r="X61" s="123">
        <f t="shared" si="13"/>
        <v>1575</v>
      </c>
      <c r="Y61" s="387" t="s">
        <v>271</v>
      </c>
      <c r="Z61" s="128"/>
      <c r="AA61" s="370"/>
    </row>
    <row r="62" spans="1:27" s="371" customFormat="1" ht="13.5" customHeight="1">
      <c r="A62" s="366">
        <v>42211</v>
      </c>
      <c r="B62" s="367"/>
      <c r="C62" s="367">
        <v>425</v>
      </c>
      <c r="D62" s="368"/>
      <c r="E62" s="123">
        <v>1100</v>
      </c>
      <c r="F62" s="122"/>
      <c r="G62" s="123">
        <v>200</v>
      </c>
      <c r="H62" s="125"/>
      <c r="I62" s="123">
        <v>150</v>
      </c>
      <c r="J62" s="123"/>
      <c r="K62" s="123">
        <v>1</v>
      </c>
      <c r="L62" s="369">
        <v>1</v>
      </c>
      <c r="M62" s="123">
        <v>200</v>
      </c>
      <c r="N62" s="123"/>
      <c r="O62" s="123">
        <v>0</v>
      </c>
      <c r="P62" s="123"/>
      <c r="Q62" s="123">
        <v>0</v>
      </c>
      <c r="R62" s="123">
        <f t="shared" si="9"/>
        <v>1451</v>
      </c>
      <c r="S62" s="124">
        <f t="shared" si="8"/>
        <v>0</v>
      </c>
      <c r="T62" s="127"/>
      <c r="U62" s="123">
        <f t="shared" si="10"/>
        <v>0</v>
      </c>
      <c r="V62" s="123">
        <f t="shared" si="11"/>
        <v>200</v>
      </c>
      <c r="W62" s="123">
        <f t="shared" si="12"/>
        <v>10</v>
      </c>
      <c r="X62" s="123">
        <f t="shared" si="13"/>
        <v>210</v>
      </c>
      <c r="Y62" s="387" t="s">
        <v>271</v>
      </c>
      <c r="Z62" s="128"/>
      <c r="AA62" s="370"/>
    </row>
    <row r="63" spans="1:27" s="371" customFormat="1" ht="13.5" customHeight="1">
      <c r="A63" s="366">
        <v>42212</v>
      </c>
      <c r="B63" s="367"/>
      <c r="C63" s="367">
        <v>425</v>
      </c>
      <c r="D63" s="368">
        <v>1</v>
      </c>
      <c r="E63" s="123">
        <v>1100</v>
      </c>
      <c r="F63" s="122">
        <v>1</v>
      </c>
      <c r="G63" s="123">
        <v>200</v>
      </c>
      <c r="H63" s="125"/>
      <c r="I63" s="123">
        <v>150</v>
      </c>
      <c r="J63" s="123"/>
      <c r="K63" s="123">
        <v>1</v>
      </c>
      <c r="L63" s="369">
        <v>1</v>
      </c>
      <c r="M63" s="123">
        <v>200</v>
      </c>
      <c r="N63" s="123"/>
      <c r="O63" s="123">
        <v>0</v>
      </c>
      <c r="P63" s="123"/>
      <c r="Q63" s="123">
        <v>0</v>
      </c>
      <c r="R63" s="123">
        <f t="shared" si="9"/>
        <v>1451</v>
      </c>
      <c r="S63" s="124">
        <f t="shared" si="8"/>
        <v>425</v>
      </c>
      <c r="T63" s="127"/>
      <c r="U63" s="123">
        <f t="shared" si="10"/>
        <v>0</v>
      </c>
      <c r="V63" s="123">
        <f t="shared" si="11"/>
        <v>1500</v>
      </c>
      <c r="W63" s="123">
        <f t="shared" si="12"/>
        <v>75</v>
      </c>
      <c r="X63" s="123">
        <f t="shared" si="13"/>
        <v>1575</v>
      </c>
      <c r="Y63" s="387" t="s">
        <v>271</v>
      </c>
      <c r="Z63" s="128"/>
      <c r="AA63" s="370"/>
    </row>
    <row r="64" spans="1:27" s="371" customFormat="1" ht="13.5" customHeight="1">
      <c r="A64" s="366">
        <v>42213</v>
      </c>
      <c r="B64" s="367"/>
      <c r="C64" s="367">
        <v>425</v>
      </c>
      <c r="D64" s="368">
        <v>1</v>
      </c>
      <c r="E64" s="123">
        <v>1100</v>
      </c>
      <c r="F64" s="122">
        <v>1</v>
      </c>
      <c r="G64" s="123">
        <v>200</v>
      </c>
      <c r="H64" s="125"/>
      <c r="I64" s="123">
        <v>150</v>
      </c>
      <c r="J64" s="123"/>
      <c r="K64" s="123">
        <v>1</v>
      </c>
      <c r="L64" s="369">
        <v>1</v>
      </c>
      <c r="M64" s="123">
        <v>200</v>
      </c>
      <c r="N64" s="123"/>
      <c r="O64" s="123">
        <v>0</v>
      </c>
      <c r="P64" s="123"/>
      <c r="Q64" s="123">
        <v>0</v>
      </c>
      <c r="R64" s="123">
        <f t="shared" si="9"/>
        <v>1451</v>
      </c>
      <c r="S64" s="124">
        <f t="shared" si="8"/>
        <v>425</v>
      </c>
      <c r="T64" s="127"/>
      <c r="U64" s="123">
        <f t="shared" si="10"/>
        <v>0</v>
      </c>
      <c r="V64" s="123">
        <f t="shared" si="11"/>
        <v>1500</v>
      </c>
      <c r="W64" s="123">
        <f t="shared" si="12"/>
        <v>75</v>
      </c>
      <c r="X64" s="123">
        <f t="shared" si="13"/>
        <v>1575</v>
      </c>
      <c r="Y64" s="387" t="s">
        <v>271</v>
      </c>
      <c r="Z64" s="128"/>
      <c r="AA64" s="370"/>
    </row>
    <row r="65" spans="1:28" s="371" customFormat="1" ht="13.5" customHeight="1">
      <c r="A65" s="366">
        <v>42214</v>
      </c>
      <c r="B65" s="367"/>
      <c r="C65" s="367">
        <v>425</v>
      </c>
      <c r="D65" s="368">
        <v>1</v>
      </c>
      <c r="E65" s="123">
        <v>1100</v>
      </c>
      <c r="F65" s="122">
        <v>1</v>
      </c>
      <c r="G65" s="123">
        <v>200</v>
      </c>
      <c r="H65" s="125"/>
      <c r="I65" s="123">
        <v>150</v>
      </c>
      <c r="J65" s="123"/>
      <c r="K65" s="123">
        <v>1</v>
      </c>
      <c r="L65" s="369">
        <v>1</v>
      </c>
      <c r="M65" s="123">
        <v>200</v>
      </c>
      <c r="N65" s="123"/>
      <c r="O65" s="123">
        <v>0</v>
      </c>
      <c r="P65" s="123"/>
      <c r="Q65" s="123">
        <v>0</v>
      </c>
      <c r="R65" s="123">
        <f t="shared" si="9"/>
        <v>1451</v>
      </c>
      <c r="S65" s="124">
        <f t="shared" si="8"/>
        <v>425</v>
      </c>
      <c r="T65" s="127"/>
      <c r="U65" s="123">
        <f t="shared" si="10"/>
        <v>0</v>
      </c>
      <c r="V65" s="123">
        <f t="shared" si="11"/>
        <v>1500</v>
      </c>
      <c r="W65" s="123">
        <f t="shared" si="12"/>
        <v>75</v>
      </c>
      <c r="X65" s="123">
        <f t="shared" si="13"/>
        <v>1575</v>
      </c>
      <c r="Y65" s="387" t="s">
        <v>271</v>
      </c>
      <c r="Z65" s="128"/>
      <c r="AA65" s="370"/>
    </row>
    <row r="66" spans="1:28" s="371" customFormat="1" ht="13.5" customHeight="1">
      <c r="A66" s="366">
        <v>42215</v>
      </c>
      <c r="B66" s="367"/>
      <c r="C66" s="367">
        <v>425</v>
      </c>
      <c r="D66" s="368">
        <v>1</v>
      </c>
      <c r="E66" s="123">
        <v>1100</v>
      </c>
      <c r="F66" s="122">
        <v>1</v>
      </c>
      <c r="G66" s="123">
        <v>200</v>
      </c>
      <c r="H66" s="125"/>
      <c r="I66" s="123">
        <v>150</v>
      </c>
      <c r="J66" s="123"/>
      <c r="K66" s="123">
        <v>1</v>
      </c>
      <c r="L66" s="369">
        <v>1</v>
      </c>
      <c r="M66" s="123">
        <v>200</v>
      </c>
      <c r="N66" s="123"/>
      <c r="O66" s="123">
        <v>0</v>
      </c>
      <c r="P66" s="123"/>
      <c r="Q66" s="123">
        <v>0</v>
      </c>
      <c r="R66" s="123">
        <f t="shared" si="9"/>
        <v>1451</v>
      </c>
      <c r="S66" s="124">
        <f t="shared" si="8"/>
        <v>425</v>
      </c>
      <c r="T66" s="127"/>
      <c r="U66" s="123">
        <f t="shared" si="10"/>
        <v>0</v>
      </c>
      <c r="V66" s="123">
        <f t="shared" si="11"/>
        <v>1500</v>
      </c>
      <c r="W66" s="123">
        <f t="shared" si="12"/>
        <v>75</v>
      </c>
      <c r="X66" s="123">
        <f t="shared" si="13"/>
        <v>1575</v>
      </c>
      <c r="Y66" s="387" t="s">
        <v>271</v>
      </c>
      <c r="Z66" s="128"/>
      <c r="AA66" s="370"/>
    </row>
    <row r="67" spans="1:28" s="384" customFormat="1" ht="13.5" customHeight="1">
      <c r="A67" s="366">
        <v>42216</v>
      </c>
      <c r="B67" s="367"/>
      <c r="C67" s="367">
        <v>425</v>
      </c>
      <c r="D67" s="368">
        <v>1</v>
      </c>
      <c r="E67" s="123">
        <v>1100</v>
      </c>
      <c r="F67" s="122">
        <v>1</v>
      </c>
      <c r="G67" s="123">
        <v>200</v>
      </c>
      <c r="H67" s="125"/>
      <c r="I67" s="123">
        <v>150</v>
      </c>
      <c r="J67" s="123"/>
      <c r="K67" s="123">
        <v>1</v>
      </c>
      <c r="L67" s="369">
        <v>1</v>
      </c>
      <c r="M67" s="123">
        <v>200</v>
      </c>
      <c r="N67" s="123"/>
      <c r="O67" s="123">
        <v>0</v>
      </c>
      <c r="P67" s="123"/>
      <c r="Q67" s="123">
        <v>0</v>
      </c>
      <c r="R67" s="123">
        <f t="shared" si="9"/>
        <v>1451</v>
      </c>
      <c r="S67" s="124">
        <f t="shared" si="8"/>
        <v>425</v>
      </c>
      <c r="T67" s="127"/>
      <c r="U67" s="123">
        <f t="shared" si="10"/>
        <v>0</v>
      </c>
      <c r="V67" s="123">
        <f t="shared" si="11"/>
        <v>1500</v>
      </c>
      <c r="W67" s="123">
        <f t="shared" si="12"/>
        <v>75</v>
      </c>
      <c r="X67" s="123">
        <f t="shared" si="13"/>
        <v>1575</v>
      </c>
      <c r="Y67" s="387" t="s">
        <v>271</v>
      </c>
      <c r="Z67" s="388">
        <f>SUM(V52:V67)</f>
        <v>22700</v>
      </c>
      <c r="AA67" s="370"/>
    </row>
    <row r="68" spans="1:28" s="384" customFormat="1" ht="13.5" customHeight="1">
      <c r="A68" s="373">
        <v>42217</v>
      </c>
      <c r="B68" s="374"/>
      <c r="C68" s="374">
        <v>425</v>
      </c>
      <c r="D68" s="375">
        <v>1</v>
      </c>
      <c r="E68" s="376">
        <v>1100</v>
      </c>
      <c r="F68" s="474">
        <v>1</v>
      </c>
      <c r="G68" s="376">
        <v>200</v>
      </c>
      <c r="H68" s="377"/>
      <c r="I68" s="376">
        <v>150</v>
      </c>
      <c r="J68" s="376"/>
      <c r="K68" s="376">
        <v>1</v>
      </c>
      <c r="L68" s="378">
        <v>1</v>
      </c>
      <c r="M68" s="376">
        <v>200</v>
      </c>
      <c r="N68" s="376"/>
      <c r="O68" s="376">
        <v>0</v>
      </c>
      <c r="P68" s="376"/>
      <c r="Q68" s="376">
        <v>0</v>
      </c>
      <c r="R68" s="376">
        <f t="shared" si="9"/>
        <v>1451</v>
      </c>
      <c r="S68" s="379">
        <f t="shared" ref="S68:S84" si="14">(B68+C68)*D68</f>
        <v>425</v>
      </c>
      <c r="T68" s="380"/>
      <c r="U68" s="376">
        <f t="shared" si="10"/>
        <v>0</v>
      </c>
      <c r="V68" s="376">
        <f t="shared" si="11"/>
        <v>1500</v>
      </c>
      <c r="W68" s="376">
        <f t="shared" si="12"/>
        <v>75</v>
      </c>
      <c r="X68" s="376">
        <f t="shared" si="13"/>
        <v>1575</v>
      </c>
      <c r="Y68" s="381" t="s">
        <v>308</v>
      </c>
      <c r="Z68" s="382"/>
      <c r="AA68" s="383"/>
    </row>
    <row r="69" spans="1:28" s="384" customFormat="1" ht="13.5" customHeight="1">
      <c r="A69" s="373">
        <v>42218</v>
      </c>
      <c r="B69" s="374"/>
      <c r="C69" s="374">
        <v>425</v>
      </c>
      <c r="D69" s="375"/>
      <c r="E69" s="376">
        <v>1100</v>
      </c>
      <c r="F69" s="474"/>
      <c r="G69" s="376">
        <v>200</v>
      </c>
      <c r="H69" s="377"/>
      <c r="I69" s="376">
        <v>150</v>
      </c>
      <c r="J69" s="376"/>
      <c r="K69" s="376">
        <v>1</v>
      </c>
      <c r="L69" s="378">
        <v>1</v>
      </c>
      <c r="M69" s="376">
        <v>200</v>
      </c>
      <c r="N69" s="376"/>
      <c r="O69" s="376">
        <v>0</v>
      </c>
      <c r="P69" s="376"/>
      <c r="Q69" s="376">
        <v>0</v>
      </c>
      <c r="R69" s="376">
        <f t="shared" si="9"/>
        <v>1451</v>
      </c>
      <c r="S69" s="379">
        <f t="shared" si="14"/>
        <v>0</v>
      </c>
      <c r="T69" s="380"/>
      <c r="U69" s="376">
        <f t="shared" si="10"/>
        <v>0</v>
      </c>
      <c r="V69" s="376">
        <f t="shared" si="11"/>
        <v>200</v>
      </c>
      <c r="W69" s="376">
        <f t="shared" si="12"/>
        <v>10</v>
      </c>
      <c r="X69" s="376">
        <f t="shared" si="13"/>
        <v>210</v>
      </c>
      <c r="Y69" s="381" t="s">
        <v>308</v>
      </c>
      <c r="Z69" s="382"/>
      <c r="AA69" s="383"/>
    </row>
    <row r="70" spans="1:28" s="384" customFormat="1" ht="13.5" customHeight="1">
      <c r="A70" s="373">
        <v>42219</v>
      </c>
      <c r="B70" s="374"/>
      <c r="C70" s="374">
        <v>425</v>
      </c>
      <c r="D70" s="375">
        <v>1</v>
      </c>
      <c r="E70" s="376">
        <v>1100</v>
      </c>
      <c r="F70" s="474">
        <v>1</v>
      </c>
      <c r="G70" s="376">
        <v>200</v>
      </c>
      <c r="H70" s="377"/>
      <c r="I70" s="376">
        <v>150</v>
      </c>
      <c r="J70" s="376"/>
      <c r="K70" s="376">
        <v>1</v>
      </c>
      <c r="L70" s="378">
        <v>1</v>
      </c>
      <c r="M70" s="376">
        <v>200</v>
      </c>
      <c r="N70" s="376"/>
      <c r="O70" s="376">
        <v>0</v>
      </c>
      <c r="P70" s="376"/>
      <c r="Q70" s="376">
        <v>0</v>
      </c>
      <c r="R70" s="376">
        <f t="shared" si="9"/>
        <v>1451</v>
      </c>
      <c r="S70" s="379">
        <f t="shared" si="14"/>
        <v>425</v>
      </c>
      <c r="T70" s="380"/>
      <c r="U70" s="376">
        <f t="shared" si="10"/>
        <v>0</v>
      </c>
      <c r="V70" s="376">
        <f t="shared" si="11"/>
        <v>1500</v>
      </c>
      <c r="W70" s="376">
        <f t="shared" si="12"/>
        <v>75</v>
      </c>
      <c r="X70" s="376">
        <f t="shared" si="13"/>
        <v>1575</v>
      </c>
      <c r="Y70" s="381" t="s">
        <v>308</v>
      </c>
      <c r="Z70" s="382"/>
      <c r="AA70" s="383"/>
    </row>
    <row r="71" spans="1:28" s="384" customFormat="1" ht="13.5" customHeight="1">
      <c r="A71" s="373">
        <v>42220</v>
      </c>
      <c r="B71" s="374"/>
      <c r="C71" s="374">
        <v>425</v>
      </c>
      <c r="D71" s="375">
        <v>1</v>
      </c>
      <c r="E71" s="376">
        <v>1100</v>
      </c>
      <c r="F71" s="474">
        <v>1</v>
      </c>
      <c r="G71" s="376">
        <v>200</v>
      </c>
      <c r="H71" s="377"/>
      <c r="I71" s="376">
        <v>150</v>
      </c>
      <c r="J71" s="376"/>
      <c r="K71" s="376">
        <v>1</v>
      </c>
      <c r="L71" s="378">
        <v>1</v>
      </c>
      <c r="M71" s="376">
        <v>200</v>
      </c>
      <c r="N71" s="376"/>
      <c r="O71" s="376">
        <v>0</v>
      </c>
      <c r="P71" s="376"/>
      <c r="Q71" s="376">
        <v>0</v>
      </c>
      <c r="R71" s="376">
        <f t="shared" si="9"/>
        <v>1451</v>
      </c>
      <c r="S71" s="379">
        <f t="shared" si="14"/>
        <v>425</v>
      </c>
      <c r="T71" s="380"/>
      <c r="U71" s="376">
        <f t="shared" si="10"/>
        <v>0</v>
      </c>
      <c r="V71" s="376">
        <f t="shared" si="11"/>
        <v>1500</v>
      </c>
      <c r="W71" s="376">
        <f t="shared" si="12"/>
        <v>75</v>
      </c>
      <c r="X71" s="376">
        <f t="shared" si="13"/>
        <v>1575</v>
      </c>
      <c r="Y71" s="381" t="s">
        <v>308</v>
      </c>
      <c r="Z71" s="382"/>
      <c r="AA71" s="383"/>
    </row>
    <row r="72" spans="1:28" s="384" customFormat="1" ht="13.5" customHeight="1">
      <c r="A72" s="373">
        <v>42221</v>
      </c>
      <c r="B72" s="374"/>
      <c r="C72" s="374">
        <v>425</v>
      </c>
      <c r="D72" s="375">
        <v>1</v>
      </c>
      <c r="E72" s="376">
        <v>1100</v>
      </c>
      <c r="F72" s="474">
        <v>1</v>
      </c>
      <c r="G72" s="376">
        <v>200</v>
      </c>
      <c r="H72" s="377"/>
      <c r="I72" s="376">
        <v>150</v>
      </c>
      <c r="J72" s="376"/>
      <c r="K72" s="376">
        <v>1</v>
      </c>
      <c r="L72" s="378">
        <v>1</v>
      </c>
      <c r="M72" s="376">
        <v>200</v>
      </c>
      <c r="N72" s="376"/>
      <c r="O72" s="376">
        <v>0</v>
      </c>
      <c r="P72" s="376"/>
      <c r="Q72" s="376">
        <v>0</v>
      </c>
      <c r="R72" s="376">
        <f t="shared" si="9"/>
        <v>1451</v>
      </c>
      <c r="S72" s="379">
        <f t="shared" si="14"/>
        <v>425</v>
      </c>
      <c r="T72" s="380"/>
      <c r="U72" s="376">
        <f t="shared" si="10"/>
        <v>0</v>
      </c>
      <c r="V72" s="376">
        <f t="shared" si="11"/>
        <v>1500</v>
      </c>
      <c r="W72" s="376">
        <f t="shared" si="12"/>
        <v>75</v>
      </c>
      <c r="X72" s="376">
        <f t="shared" si="13"/>
        <v>1575</v>
      </c>
      <c r="Y72" s="381" t="s">
        <v>308</v>
      </c>
      <c r="Z72" s="382"/>
      <c r="AA72" s="383"/>
    </row>
    <row r="73" spans="1:28" s="384" customFormat="1" ht="13.5" customHeight="1">
      <c r="A73" s="373">
        <v>42222</v>
      </c>
      <c r="B73" s="374"/>
      <c r="C73" s="374">
        <v>425</v>
      </c>
      <c r="D73" s="375">
        <v>1</v>
      </c>
      <c r="E73" s="376">
        <v>1100</v>
      </c>
      <c r="F73" s="474">
        <v>1</v>
      </c>
      <c r="G73" s="376">
        <v>200</v>
      </c>
      <c r="H73" s="377"/>
      <c r="I73" s="376">
        <v>150</v>
      </c>
      <c r="J73" s="376"/>
      <c r="K73" s="376">
        <v>1</v>
      </c>
      <c r="L73" s="378">
        <v>1</v>
      </c>
      <c r="M73" s="376">
        <v>200</v>
      </c>
      <c r="N73" s="376"/>
      <c r="O73" s="376">
        <v>0</v>
      </c>
      <c r="P73" s="376"/>
      <c r="Q73" s="376">
        <v>0</v>
      </c>
      <c r="R73" s="376">
        <f t="shared" si="9"/>
        <v>1451</v>
      </c>
      <c r="S73" s="379">
        <f t="shared" si="14"/>
        <v>425</v>
      </c>
      <c r="T73" s="380"/>
      <c r="U73" s="376">
        <f t="shared" si="10"/>
        <v>0</v>
      </c>
      <c r="V73" s="376">
        <f t="shared" si="11"/>
        <v>1500</v>
      </c>
      <c r="W73" s="376">
        <f t="shared" si="12"/>
        <v>75</v>
      </c>
      <c r="X73" s="376">
        <f t="shared" si="13"/>
        <v>1575</v>
      </c>
      <c r="Y73" s="381" t="s">
        <v>308</v>
      </c>
      <c r="Z73" s="382"/>
      <c r="AA73" s="383"/>
    </row>
    <row r="74" spans="1:28" s="384" customFormat="1" ht="13.5" customHeight="1">
      <c r="A74" s="373">
        <v>42228</v>
      </c>
      <c r="B74" s="374"/>
      <c r="C74" s="374">
        <v>426</v>
      </c>
      <c r="D74" s="375">
        <v>1</v>
      </c>
      <c r="E74" s="376">
        <v>1100</v>
      </c>
      <c r="F74" s="474">
        <v>1</v>
      </c>
      <c r="G74" s="376">
        <v>200</v>
      </c>
      <c r="H74" s="377"/>
      <c r="I74" s="376">
        <v>150</v>
      </c>
      <c r="J74" s="376"/>
      <c r="K74" s="376">
        <v>1</v>
      </c>
      <c r="L74" s="378">
        <v>1</v>
      </c>
      <c r="M74" s="376">
        <v>200</v>
      </c>
      <c r="N74" s="376"/>
      <c r="O74" s="376">
        <v>0</v>
      </c>
      <c r="P74" s="376"/>
      <c r="Q74" s="376">
        <v>0</v>
      </c>
      <c r="R74" s="376">
        <f t="shared" si="9"/>
        <v>1451</v>
      </c>
      <c r="S74" s="379">
        <f t="shared" si="14"/>
        <v>426</v>
      </c>
      <c r="T74" s="380"/>
      <c r="U74" s="376">
        <f t="shared" si="10"/>
        <v>0</v>
      </c>
      <c r="V74" s="376">
        <f t="shared" si="11"/>
        <v>1500</v>
      </c>
      <c r="W74" s="376">
        <f t="shared" si="12"/>
        <v>75</v>
      </c>
      <c r="X74" s="376">
        <f t="shared" si="13"/>
        <v>1575</v>
      </c>
      <c r="Y74" s="381" t="s">
        <v>308</v>
      </c>
      <c r="Z74" s="382"/>
      <c r="AA74" s="383"/>
    </row>
    <row r="75" spans="1:28" s="384" customFormat="1" ht="13.5" customHeight="1">
      <c r="A75" s="373">
        <v>42229</v>
      </c>
      <c r="B75" s="374"/>
      <c r="C75" s="374">
        <v>426</v>
      </c>
      <c r="D75" s="375">
        <v>1</v>
      </c>
      <c r="E75" s="376">
        <v>1100</v>
      </c>
      <c r="F75" s="474">
        <v>1</v>
      </c>
      <c r="G75" s="376">
        <v>200</v>
      </c>
      <c r="H75" s="377"/>
      <c r="I75" s="376">
        <v>150</v>
      </c>
      <c r="J75" s="376"/>
      <c r="K75" s="376">
        <v>1</v>
      </c>
      <c r="L75" s="378">
        <v>1</v>
      </c>
      <c r="M75" s="376">
        <v>200</v>
      </c>
      <c r="N75" s="376"/>
      <c r="O75" s="376">
        <v>0</v>
      </c>
      <c r="P75" s="376"/>
      <c r="Q75" s="376">
        <v>0</v>
      </c>
      <c r="R75" s="376">
        <f t="shared" si="9"/>
        <v>1451</v>
      </c>
      <c r="S75" s="379">
        <f t="shared" si="14"/>
        <v>426</v>
      </c>
      <c r="T75" s="380"/>
      <c r="U75" s="376">
        <f t="shared" si="10"/>
        <v>0</v>
      </c>
      <c r="V75" s="376">
        <f t="shared" si="11"/>
        <v>1500</v>
      </c>
      <c r="W75" s="376">
        <f t="shared" si="12"/>
        <v>75</v>
      </c>
      <c r="X75" s="376">
        <f t="shared" si="13"/>
        <v>1575</v>
      </c>
      <c r="Y75" s="381" t="s">
        <v>308</v>
      </c>
      <c r="Z75" s="382"/>
      <c r="AA75" s="383"/>
    </row>
    <row r="76" spans="1:28" s="384" customFormat="1" ht="13.5" customHeight="1">
      <c r="A76" s="373">
        <v>42230</v>
      </c>
      <c r="B76" s="374"/>
      <c r="C76" s="374">
        <v>426</v>
      </c>
      <c r="D76" s="375">
        <v>1</v>
      </c>
      <c r="E76" s="376">
        <v>1100</v>
      </c>
      <c r="F76" s="474">
        <v>1</v>
      </c>
      <c r="G76" s="376">
        <v>200</v>
      </c>
      <c r="H76" s="377"/>
      <c r="I76" s="376">
        <v>150</v>
      </c>
      <c r="J76" s="376"/>
      <c r="K76" s="376">
        <v>1</v>
      </c>
      <c r="L76" s="378">
        <v>1</v>
      </c>
      <c r="M76" s="376">
        <v>200</v>
      </c>
      <c r="N76" s="376"/>
      <c r="O76" s="376">
        <v>0</v>
      </c>
      <c r="P76" s="376"/>
      <c r="Q76" s="376">
        <v>0</v>
      </c>
      <c r="R76" s="376">
        <f t="shared" si="9"/>
        <v>1451</v>
      </c>
      <c r="S76" s="379">
        <f t="shared" si="14"/>
        <v>426</v>
      </c>
      <c r="T76" s="380"/>
      <c r="U76" s="376">
        <f t="shared" si="10"/>
        <v>0</v>
      </c>
      <c r="V76" s="376">
        <f t="shared" si="11"/>
        <v>1500</v>
      </c>
      <c r="W76" s="376">
        <f t="shared" si="12"/>
        <v>75</v>
      </c>
      <c r="X76" s="376">
        <f t="shared" si="13"/>
        <v>1575</v>
      </c>
      <c r="Y76" s="381" t="s">
        <v>308</v>
      </c>
      <c r="Z76" s="382"/>
      <c r="AA76" s="383"/>
      <c r="AB76" s="510">
        <v>13700</v>
      </c>
    </row>
    <row r="77" spans="1:28" s="371" customFormat="1" ht="13.5" customHeight="1">
      <c r="A77" s="373">
        <v>42231</v>
      </c>
      <c r="B77" s="374"/>
      <c r="C77" s="374">
        <v>426</v>
      </c>
      <c r="D77" s="375">
        <v>1</v>
      </c>
      <c r="E77" s="376">
        <v>1100</v>
      </c>
      <c r="F77" s="474">
        <v>1</v>
      </c>
      <c r="G77" s="376">
        <v>200</v>
      </c>
      <c r="H77" s="377"/>
      <c r="I77" s="376">
        <v>150</v>
      </c>
      <c r="J77" s="376"/>
      <c r="K77" s="376">
        <v>1</v>
      </c>
      <c r="L77" s="378">
        <v>1</v>
      </c>
      <c r="M77" s="376">
        <v>200</v>
      </c>
      <c r="N77" s="376"/>
      <c r="O77" s="376">
        <v>0</v>
      </c>
      <c r="P77" s="376"/>
      <c r="Q77" s="376">
        <v>0</v>
      </c>
      <c r="R77" s="376">
        <f t="shared" si="9"/>
        <v>1451</v>
      </c>
      <c r="S77" s="379">
        <f t="shared" si="14"/>
        <v>426</v>
      </c>
      <c r="T77" s="380"/>
      <c r="U77" s="376">
        <f t="shared" si="10"/>
        <v>0</v>
      </c>
      <c r="V77" s="376">
        <f t="shared" si="11"/>
        <v>1500</v>
      </c>
      <c r="W77" s="376">
        <f t="shared" si="12"/>
        <v>75</v>
      </c>
      <c r="X77" s="376">
        <f t="shared" si="13"/>
        <v>1575</v>
      </c>
      <c r="Y77" s="381" t="s">
        <v>308</v>
      </c>
      <c r="Z77" s="385">
        <f>SUM(V68:V77)</f>
        <v>13700</v>
      </c>
      <c r="AA77" s="386" t="s">
        <v>412</v>
      </c>
    </row>
    <row r="78" spans="1:28" s="371" customFormat="1">
      <c r="A78" s="366">
        <v>42232</v>
      </c>
      <c r="B78" s="367"/>
      <c r="C78" s="367">
        <v>426</v>
      </c>
      <c r="D78" s="368">
        <v>0</v>
      </c>
      <c r="E78" s="123">
        <v>1100</v>
      </c>
      <c r="F78" s="122"/>
      <c r="G78" s="123">
        <v>200</v>
      </c>
      <c r="H78" s="125"/>
      <c r="I78" s="123">
        <v>150</v>
      </c>
      <c r="J78" s="123"/>
      <c r="K78" s="123">
        <v>1</v>
      </c>
      <c r="L78" s="369">
        <v>1</v>
      </c>
      <c r="M78" s="123">
        <v>200</v>
      </c>
      <c r="N78" s="123"/>
      <c r="O78" s="123">
        <v>0</v>
      </c>
      <c r="P78" s="123"/>
      <c r="Q78" s="123">
        <v>0</v>
      </c>
      <c r="R78" s="123">
        <f t="shared" si="9"/>
        <v>1451</v>
      </c>
      <c r="S78" s="124">
        <f t="shared" si="14"/>
        <v>0</v>
      </c>
      <c r="T78" s="127"/>
      <c r="U78" s="123">
        <f t="shared" si="10"/>
        <v>0</v>
      </c>
      <c r="V78" s="123">
        <f t="shared" si="11"/>
        <v>200</v>
      </c>
      <c r="W78" s="123">
        <f t="shared" si="12"/>
        <v>10</v>
      </c>
      <c r="X78" s="123">
        <f t="shared" si="13"/>
        <v>210</v>
      </c>
      <c r="Y78" s="387" t="s">
        <v>386</v>
      </c>
      <c r="Z78" s="128"/>
      <c r="AA78" s="370"/>
    </row>
    <row r="79" spans="1:28" s="371" customFormat="1">
      <c r="A79" s="366">
        <v>42233</v>
      </c>
      <c r="B79" s="367"/>
      <c r="C79" s="367">
        <v>427</v>
      </c>
      <c r="D79" s="368">
        <v>1</v>
      </c>
      <c r="E79" s="123">
        <v>1100</v>
      </c>
      <c r="F79" s="122">
        <v>1</v>
      </c>
      <c r="G79" s="123">
        <v>200</v>
      </c>
      <c r="H79" s="125"/>
      <c r="I79" s="123">
        <v>150</v>
      </c>
      <c r="J79" s="123"/>
      <c r="K79" s="123">
        <v>1</v>
      </c>
      <c r="L79" s="369">
        <v>1</v>
      </c>
      <c r="M79" s="123">
        <v>200</v>
      </c>
      <c r="N79" s="123"/>
      <c r="O79" s="123">
        <v>0</v>
      </c>
      <c r="P79" s="123"/>
      <c r="Q79" s="123">
        <v>0</v>
      </c>
      <c r="R79" s="123">
        <f t="shared" si="9"/>
        <v>1451</v>
      </c>
      <c r="S79" s="124">
        <f t="shared" si="14"/>
        <v>427</v>
      </c>
      <c r="T79" s="127"/>
      <c r="U79" s="123">
        <f t="shared" si="10"/>
        <v>0</v>
      </c>
      <c r="V79" s="123">
        <f t="shared" si="11"/>
        <v>1500</v>
      </c>
      <c r="W79" s="123">
        <f t="shared" si="12"/>
        <v>75</v>
      </c>
      <c r="X79" s="123">
        <f t="shared" si="13"/>
        <v>1575</v>
      </c>
      <c r="Y79" s="387" t="s">
        <v>386</v>
      </c>
      <c r="Z79" s="128"/>
      <c r="AA79" s="370"/>
    </row>
    <row r="80" spans="1:28" s="371" customFormat="1">
      <c r="A80" s="366">
        <v>42234</v>
      </c>
      <c r="B80" s="367"/>
      <c r="C80" s="367"/>
      <c r="D80" s="368">
        <v>1</v>
      </c>
      <c r="E80" s="123">
        <v>1100</v>
      </c>
      <c r="F80" s="122">
        <v>1</v>
      </c>
      <c r="G80" s="123">
        <v>200</v>
      </c>
      <c r="H80" s="125"/>
      <c r="I80" s="123">
        <v>150</v>
      </c>
      <c r="J80" s="123"/>
      <c r="K80" s="123">
        <v>1</v>
      </c>
      <c r="L80" s="369">
        <v>1</v>
      </c>
      <c r="M80" s="123">
        <v>200</v>
      </c>
      <c r="N80" s="123"/>
      <c r="O80" s="123">
        <v>0</v>
      </c>
      <c r="P80" s="123"/>
      <c r="Q80" s="123">
        <v>0</v>
      </c>
      <c r="R80" s="123">
        <f t="shared" si="9"/>
        <v>1451</v>
      </c>
      <c r="S80" s="124">
        <f t="shared" si="14"/>
        <v>0</v>
      </c>
      <c r="T80" s="127"/>
      <c r="U80" s="123">
        <f t="shared" si="10"/>
        <v>0</v>
      </c>
      <c r="V80" s="123">
        <f t="shared" si="11"/>
        <v>1500</v>
      </c>
      <c r="W80" s="123">
        <f t="shared" si="12"/>
        <v>75</v>
      </c>
      <c r="X80" s="123">
        <f t="shared" si="13"/>
        <v>1575</v>
      </c>
      <c r="Y80" s="387" t="s">
        <v>386</v>
      </c>
      <c r="Z80" s="128"/>
      <c r="AA80" s="370"/>
    </row>
    <row r="81" spans="1:28" s="371" customFormat="1">
      <c r="A81" s="366">
        <v>42235</v>
      </c>
      <c r="B81" s="367"/>
      <c r="C81" s="367"/>
      <c r="D81" s="368">
        <v>1</v>
      </c>
      <c r="E81" s="123">
        <v>1100</v>
      </c>
      <c r="F81" s="122">
        <v>1</v>
      </c>
      <c r="G81" s="123">
        <v>200</v>
      </c>
      <c r="H81" s="125"/>
      <c r="I81" s="123">
        <v>150</v>
      </c>
      <c r="J81" s="123"/>
      <c r="K81" s="123">
        <v>1</v>
      </c>
      <c r="L81" s="369">
        <v>1</v>
      </c>
      <c r="M81" s="123">
        <v>200</v>
      </c>
      <c r="N81" s="123"/>
      <c r="O81" s="123">
        <v>0</v>
      </c>
      <c r="P81" s="123"/>
      <c r="Q81" s="123">
        <v>0</v>
      </c>
      <c r="R81" s="123">
        <f t="shared" si="9"/>
        <v>1451</v>
      </c>
      <c r="S81" s="124">
        <f t="shared" si="14"/>
        <v>0</v>
      </c>
      <c r="T81" s="127"/>
      <c r="U81" s="123">
        <f t="shared" si="10"/>
        <v>0</v>
      </c>
      <c r="V81" s="123">
        <f t="shared" si="11"/>
        <v>1500</v>
      </c>
      <c r="W81" s="123">
        <f t="shared" si="12"/>
        <v>75</v>
      </c>
      <c r="X81" s="123">
        <f t="shared" si="13"/>
        <v>1575</v>
      </c>
      <c r="Y81" s="387" t="s">
        <v>386</v>
      </c>
      <c r="Z81" s="128"/>
      <c r="AA81" s="370"/>
    </row>
    <row r="82" spans="1:28" s="371" customFormat="1">
      <c r="A82" s="366">
        <v>42236</v>
      </c>
      <c r="B82" s="367"/>
      <c r="C82" s="367"/>
      <c r="D82" s="368">
        <v>1</v>
      </c>
      <c r="E82" s="123">
        <v>1100</v>
      </c>
      <c r="F82" s="122">
        <v>1</v>
      </c>
      <c r="G82" s="123">
        <v>200</v>
      </c>
      <c r="H82" s="125"/>
      <c r="I82" s="123">
        <v>150</v>
      </c>
      <c r="J82" s="123"/>
      <c r="K82" s="123">
        <v>1</v>
      </c>
      <c r="L82" s="369">
        <v>1</v>
      </c>
      <c r="M82" s="123">
        <v>200</v>
      </c>
      <c r="N82" s="123"/>
      <c r="O82" s="123">
        <v>0</v>
      </c>
      <c r="P82" s="123"/>
      <c r="Q82" s="123">
        <v>0</v>
      </c>
      <c r="R82" s="123">
        <f t="shared" si="9"/>
        <v>1451</v>
      </c>
      <c r="S82" s="124">
        <f t="shared" si="14"/>
        <v>0</v>
      </c>
      <c r="T82" s="127"/>
      <c r="U82" s="123">
        <f t="shared" si="10"/>
        <v>0</v>
      </c>
      <c r="V82" s="123">
        <f t="shared" si="11"/>
        <v>1500</v>
      </c>
      <c r="W82" s="123">
        <f t="shared" si="12"/>
        <v>75</v>
      </c>
      <c r="X82" s="123">
        <f t="shared" si="13"/>
        <v>1575</v>
      </c>
      <c r="Y82" s="387" t="s">
        <v>386</v>
      </c>
      <c r="Z82" s="128"/>
      <c r="AA82" s="370"/>
    </row>
    <row r="83" spans="1:28" s="371" customFormat="1">
      <c r="A83" s="366">
        <v>42237</v>
      </c>
      <c r="B83" s="367"/>
      <c r="C83" s="367"/>
      <c r="D83" s="368">
        <v>1</v>
      </c>
      <c r="E83" s="123">
        <v>1100</v>
      </c>
      <c r="F83" s="122">
        <v>1</v>
      </c>
      <c r="G83" s="123">
        <v>200</v>
      </c>
      <c r="H83" s="125"/>
      <c r="I83" s="123">
        <v>150</v>
      </c>
      <c r="J83" s="123"/>
      <c r="K83" s="123">
        <v>1</v>
      </c>
      <c r="L83" s="369">
        <v>1</v>
      </c>
      <c r="M83" s="123">
        <v>200</v>
      </c>
      <c r="N83" s="123"/>
      <c r="O83" s="123">
        <v>0</v>
      </c>
      <c r="P83" s="123"/>
      <c r="Q83" s="123">
        <v>0</v>
      </c>
      <c r="R83" s="123">
        <f t="shared" si="9"/>
        <v>1451</v>
      </c>
      <c r="S83" s="124">
        <f t="shared" si="14"/>
        <v>0</v>
      </c>
      <c r="T83" s="127"/>
      <c r="U83" s="123">
        <f t="shared" si="10"/>
        <v>0</v>
      </c>
      <c r="V83" s="123">
        <f t="shared" si="11"/>
        <v>1500</v>
      </c>
      <c r="W83" s="123">
        <f t="shared" si="12"/>
        <v>75</v>
      </c>
      <c r="X83" s="123">
        <f t="shared" si="13"/>
        <v>1575</v>
      </c>
      <c r="Y83" s="387" t="s">
        <v>386</v>
      </c>
      <c r="Z83" s="128"/>
      <c r="AA83" s="370"/>
    </row>
    <row r="84" spans="1:28" s="371" customFormat="1">
      <c r="A84" s="366">
        <v>42238</v>
      </c>
      <c r="B84" s="367"/>
      <c r="C84" s="367"/>
      <c r="D84" s="368">
        <v>1</v>
      </c>
      <c r="E84" s="123">
        <v>1100</v>
      </c>
      <c r="F84" s="122">
        <v>1</v>
      </c>
      <c r="G84" s="123">
        <v>200</v>
      </c>
      <c r="H84" s="125"/>
      <c r="I84" s="123">
        <v>150</v>
      </c>
      <c r="J84" s="123"/>
      <c r="K84" s="123">
        <v>1</v>
      </c>
      <c r="L84" s="369">
        <v>1</v>
      </c>
      <c r="M84" s="123">
        <v>200</v>
      </c>
      <c r="N84" s="123"/>
      <c r="O84" s="123"/>
      <c r="P84" s="123"/>
      <c r="Q84" s="123"/>
      <c r="R84" s="123">
        <f t="shared" si="9"/>
        <v>1451</v>
      </c>
      <c r="S84" s="124">
        <f t="shared" si="14"/>
        <v>0</v>
      </c>
      <c r="T84" s="127"/>
      <c r="U84" s="123">
        <f t="shared" si="10"/>
        <v>0</v>
      </c>
      <c r="V84" s="123">
        <f t="shared" si="11"/>
        <v>1500</v>
      </c>
      <c r="W84" s="123">
        <f t="shared" si="12"/>
        <v>75</v>
      </c>
      <c r="X84" s="123">
        <f t="shared" si="13"/>
        <v>1575</v>
      </c>
      <c r="Y84" s="387" t="s">
        <v>386</v>
      </c>
      <c r="Z84" s="128"/>
      <c r="AA84" s="370"/>
    </row>
    <row r="85" spans="1:28" s="371" customFormat="1">
      <c r="A85" s="366">
        <v>42239</v>
      </c>
      <c r="B85" s="367"/>
      <c r="C85" s="367"/>
      <c r="D85" s="368">
        <v>0</v>
      </c>
      <c r="E85" s="123">
        <v>1100</v>
      </c>
      <c r="F85" s="124">
        <v>0</v>
      </c>
      <c r="G85" s="123">
        <v>200</v>
      </c>
      <c r="H85" s="123"/>
      <c r="I85" s="123">
        <v>150</v>
      </c>
      <c r="J85" s="123"/>
      <c r="K85" s="123">
        <v>1</v>
      </c>
      <c r="L85" s="124">
        <v>1</v>
      </c>
      <c r="M85" s="123">
        <v>200</v>
      </c>
      <c r="N85" s="123"/>
      <c r="O85" s="123">
        <v>0</v>
      </c>
      <c r="P85" s="123"/>
      <c r="Q85" s="123">
        <v>0</v>
      </c>
      <c r="R85" s="123">
        <f t="shared" ref="R85:R122" si="15">SUM(K85,I85,G85,E85)</f>
        <v>1451</v>
      </c>
      <c r="S85" s="124">
        <f t="shared" ref="S85:S92" si="16">(B85+C85)*D85</f>
        <v>0</v>
      </c>
      <c r="T85" s="372"/>
      <c r="U85" s="123">
        <f t="shared" ref="U85:U100" si="17">K85*J85</f>
        <v>0</v>
      </c>
      <c r="V85" s="123">
        <f t="shared" ref="V85:V122" si="18">(D85*E85)+(F85*G85)+(H85*I85)+(J85*K85)+(L85*M85)</f>
        <v>200</v>
      </c>
      <c r="W85" s="123">
        <f t="shared" ref="W85:W122" si="19">(V85*5%)</f>
        <v>10</v>
      </c>
      <c r="X85" s="123">
        <f t="shared" ref="X85:X122" si="20">SUM(V85+W85)</f>
        <v>210</v>
      </c>
      <c r="Y85" s="387" t="s">
        <v>386</v>
      </c>
      <c r="Z85" s="128"/>
      <c r="AA85" s="370"/>
    </row>
    <row r="86" spans="1:28" s="371" customFormat="1">
      <c r="A86" s="366">
        <v>42240</v>
      </c>
      <c r="B86" s="367"/>
      <c r="C86" s="367"/>
      <c r="D86" s="368">
        <v>1</v>
      </c>
      <c r="E86" s="123">
        <v>1100</v>
      </c>
      <c r="F86" s="124">
        <v>1</v>
      </c>
      <c r="G86" s="123">
        <v>200</v>
      </c>
      <c r="H86" s="123"/>
      <c r="I86" s="123">
        <v>150</v>
      </c>
      <c r="J86" s="123"/>
      <c r="K86" s="123">
        <v>1</v>
      </c>
      <c r="L86" s="124">
        <v>1</v>
      </c>
      <c r="M86" s="123">
        <v>200</v>
      </c>
      <c r="N86" s="123"/>
      <c r="O86" s="123">
        <v>0</v>
      </c>
      <c r="P86" s="123"/>
      <c r="Q86" s="123">
        <v>0</v>
      </c>
      <c r="R86" s="123">
        <f t="shared" si="15"/>
        <v>1451</v>
      </c>
      <c r="S86" s="124">
        <f t="shared" si="16"/>
        <v>0</v>
      </c>
      <c r="T86" s="372"/>
      <c r="U86" s="123">
        <f t="shared" si="17"/>
        <v>0</v>
      </c>
      <c r="V86" s="123">
        <f t="shared" si="18"/>
        <v>1500</v>
      </c>
      <c r="W86" s="123">
        <f t="shared" si="19"/>
        <v>75</v>
      </c>
      <c r="X86" s="123">
        <f t="shared" si="20"/>
        <v>1575</v>
      </c>
      <c r="Y86" s="387" t="s">
        <v>386</v>
      </c>
      <c r="Z86" s="128"/>
      <c r="AA86" s="370"/>
    </row>
    <row r="87" spans="1:28" s="371" customFormat="1">
      <c r="A87" s="366">
        <v>42241</v>
      </c>
      <c r="B87" s="367"/>
      <c r="C87" s="367"/>
      <c r="D87" s="368">
        <v>1</v>
      </c>
      <c r="E87" s="123">
        <v>1100</v>
      </c>
      <c r="F87" s="124">
        <v>1</v>
      </c>
      <c r="G87" s="123">
        <v>200</v>
      </c>
      <c r="H87" s="123"/>
      <c r="I87" s="123">
        <v>150</v>
      </c>
      <c r="J87" s="123"/>
      <c r="K87" s="123">
        <v>1</v>
      </c>
      <c r="L87" s="124">
        <v>1</v>
      </c>
      <c r="M87" s="123">
        <v>200</v>
      </c>
      <c r="N87" s="123"/>
      <c r="O87" s="123">
        <v>0</v>
      </c>
      <c r="P87" s="123"/>
      <c r="Q87" s="123">
        <v>0</v>
      </c>
      <c r="R87" s="123">
        <f t="shared" si="15"/>
        <v>1451</v>
      </c>
      <c r="S87" s="124">
        <f t="shared" si="16"/>
        <v>0</v>
      </c>
      <c r="T87" s="372"/>
      <c r="U87" s="123">
        <f t="shared" si="17"/>
        <v>0</v>
      </c>
      <c r="V87" s="123">
        <f t="shared" si="18"/>
        <v>1500</v>
      </c>
      <c r="W87" s="123">
        <f t="shared" si="19"/>
        <v>75</v>
      </c>
      <c r="X87" s="123">
        <f t="shared" si="20"/>
        <v>1575</v>
      </c>
      <c r="Y87" s="387" t="s">
        <v>386</v>
      </c>
      <c r="Z87" s="128"/>
      <c r="AA87" s="370"/>
    </row>
    <row r="88" spans="1:28" s="371" customFormat="1">
      <c r="A88" s="366">
        <v>42242</v>
      </c>
      <c r="B88" s="367"/>
      <c r="C88" s="367"/>
      <c r="D88" s="368">
        <v>1</v>
      </c>
      <c r="E88" s="123">
        <v>1100</v>
      </c>
      <c r="F88" s="124">
        <v>1</v>
      </c>
      <c r="G88" s="123">
        <v>200</v>
      </c>
      <c r="H88" s="123"/>
      <c r="I88" s="123">
        <v>150</v>
      </c>
      <c r="J88" s="123"/>
      <c r="K88" s="123">
        <v>1</v>
      </c>
      <c r="L88" s="124">
        <v>1</v>
      </c>
      <c r="M88" s="123">
        <v>200</v>
      </c>
      <c r="N88" s="123"/>
      <c r="O88" s="123">
        <v>0</v>
      </c>
      <c r="P88" s="123"/>
      <c r="Q88" s="123">
        <v>0</v>
      </c>
      <c r="R88" s="123">
        <f>SUM(K88,I88,G88,E88)</f>
        <v>1451</v>
      </c>
      <c r="S88" s="124">
        <f>(B88+C88)*D88</f>
        <v>0</v>
      </c>
      <c r="T88" s="372"/>
      <c r="U88" s="123">
        <f>K88*J88</f>
        <v>0</v>
      </c>
      <c r="V88" s="123">
        <f>(D88*E88)+(F88*G88)+(H88*I88)+(J88*K88)+(L88*M88)</f>
        <v>1500</v>
      </c>
      <c r="W88" s="123">
        <f>(V88*5%)</f>
        <v>75</v>
      </c>
      <c r="X88" s="123">
        <f>SUM(V88+W88)</f>
        <v>1575</v>
      </c>
      <c r="Y88" s="387" t="s">
        <v>386</v>
      </c>
      <c r="Z88" s="128"/>
      <c r="AA88" s="370"/>
    </row>
    <row r="89" spans="1:28" s="371" customFormat="1">
      <c r="A89" s="366">
        <v>42243</v>
      </c>
      <c r="B89" s="367"/>
      <c r="C89" s="367"/>
      <c r="D89" s="368">
        <v>1</v>
      </c>
      <c r="E89" s="123">
        <v>1100</v>
      </c>
      <c r="F89" s="124">
        <v>1</v>
      </c>
      <c r="G89" s="123">
        <v>200</v>
      </c>
      <c r="H89" s="123"/>
      <c r="I89" s="123">
        <v>150</v>
      </c>
      <c r="J89" s="123"/>
      <c r="K89" s="123">
        <v>1</v>
      </c>
      <c r="L89" s="124">
        <v>1</v>
      </c>
      <c r="M89" s="123">
        <v>200</v>
      </c>
      <c r="N89" s="123"/>
      <c r="O89" s="123">
        <v>0</v>
      </c>
      <c r="P89" s="123"/>
      <c r="Q89" s="123">
        <v>0</v>
      </c>
      <c r="R89" s="123">
        <f>SUM(K89,I89,G89,E89)</f>
        <v>1451</v>
      </c>
      <c r="S89" s="124">
        <f>(B89+C89)*D89</f>
        <v>0</v>
      </c>
      <c r="T89" s="372"/>
      <c r="U89" s="123">
        <f>K89*J89</f>
        <v>0</v>
      </c>
      <c r="V89" s="123">
        <f>(D89*E89)+(F89*G89)+(H89*I89)+(J89*K89)+(L89*M89)</f>
        <v>1500</v>
      </c>
      <c r="W89" s="123">
        <f>(V89*5%)</f>
        <v>75</v>
      </c>
      <c r="X89" s="123">
        <f>SUM(V89+W89)</f>
        <v>1575</v>
      </c>
      <c r="Y89" s="387" t="s">
        <v>386</v>
      </c>
      <c r="Z89" s="128"/>
      <c r="AA89" s="370"/>
    </row>
    <row r="90" spans="1:28" s="371" customFormat="1">
      <c r="A90" s="366">
        <v>42244</v>
      </c>
      <c r="B90" s="367"/>
      <c r="C90" s="367"/>
      <c r="D90" s="368">
        <v>1</v>
      </c>
      <c r="E90" s="123">
        <v>1100</v>
      </c>
      <c r="F90" s="124">
        <v>1</v>
      </c>
      <c r="G90" s="123">
        <v>200</v>
      </c>
      <c r="H90" s="123"/>
      <c r="I90" s="123">
        <v>150</v>
      </c>
      <c r="J90" s="123"/>
      <c r="K90" s="123">
        <v>1</v>
      </c>
      <c r="L90" s="124">
        <v>1</v>
      </c>
      <c r="M90" s="123">
        <v>200</v>
      </c>
      <c r="N90" s="123"/>
      <c r="O90" s="123">
        <v>0</v>
      </c>
      <c r="P90" s="123"/>
      <c r="Q90" s="123">
        <v>0</v>
      </c>
      <c r="R90" s="123">
        <f>SUM(K90,I90,G90,E90)</f>
        <v>1451</v>
      </c>
      <c r="S90" s="124">
        <f>(B90+C90)*D90</f>
        <v>0</v>
      </c>
      <c r="T90" s="372"/>
      <c r="U90" s="123">
        <f>K90*J90</f>
        <v>0</v>
      </c>
      <c r="V90" s="123">
        <f>(D90*E90)+(F90*G90)+(H90*I90)+(J90*K90)+(L90*M90)</f>
        <v>1500</v>
      </c>
      <c r="W90" s="123">
        <f>(V90*5%)</f>
        <v>75</v>
      </c>
      <c r="X90" s="123">
        <f>SUM(V90+W90)</f>
        <v>1575</v>
      </c>
      <c r="Y90" s="387" t="s">
        <v>386</v>
      </c>
      <c r="Z90" s="128"/>
      <c r="AA90" s="370"/>
    </row>
    <row r="91" spans="1:28" s="371" customFormat="1">
      <c r="A91" s="366">
        <v>42245</v>
      </c>
      <c r="B91" s="367"/>
      <c r="C91" s="367"/>
      <c r="D91" s="368">
        <v>1</v>
      </c>
      <c r="E91" s="123">
        <v>1100</v>
      </c>
      <c r="F91" s="124">
        <v>1</v>
      </c>
      <c r="G91" s="123">
        <v>200</v>
      </c>
      <c r="H91" s="123"/>
      <c r="I91" s="123">
        <v>150</v>
      </c>
      <c r="J91" s="123"/>
      <c r="K91" s="123">
        <v>1</v>
      </c>
      <c r="L91" s="124">
        <v>1</v>
      </c>
      <c r="M91" s="123">
        <v>200</v>
      </c>
      <c r="N91" s="123"/>
      <c r="O91" s="123">
        <v>0</v>
      </c>
      <c r="P91" s="123"/>
      <c r="Q91" s="123">
        <v>0</v>
      </c>
      <c r="R91" s="123">
        <f>SUM(K91,I91,G91,E91)</f>
        <v>1451</v>
      </c>
      <c r="S91" s="124">
        <f>(B91+C91)*D91</f>
        <v>0</v>
      </c>
      <c r="T91" s="372"/>
      <c r="U91" s="123">
        <f>K91*J91</f>
        <v>0</v>
      </c>
      <c r="V91" s="123">
        <f>(D91*E91)+(F91*G91)+(H91*I91)+(J91*K91)+(L91*M91)</f>
        <v>1500</v>
      </c>
      <c r="W91" s="123">
        <f>(V91*5%)</f>
        <v>75</v>
      </c>
      <c r="X91" s="123">
        <f>SUM(V91+W91)</f>
        <v>1575</v>
      </c>
      <c r="Y91" s="387" t="s">
        <v>386</v>
      </c>
      <c r="Z91" s="128"/>
      <c r="AA91" s="370"/>
    </row>
    <row r="92" spans="1:28" s="371" customFormat="1">
      <c r="A92" s="366">
        <v>42246</v>
      </c>
      <c r="B92" s="367"/>
      <c r="C92" s="367"/>
      <c r="D92" s="368">
        <v>0</v>
      </c>
      <c r="E92" s="123">
        <v>1100</v>
      </c>
      <c r="F92" s="122"/>
      <c r="G92" s="123">
        <v>200</v>
      </c>
      <c r="H92" s="125"/>
      <c r="I92" s="123">
        <v>150</v>
      </c>
      <c r="J92" s="123"/>
      <c r="K92" s="123">
        <v>1</v>
      </c>
      <c r="L92" s="124">
        <v>1</v>
      </c>
      <c r="M92" s="123">
        <v>200</v>
      </c>
      <c r="N92" s="123"/>
      <c r="O92" s="123">
        <v>0</v>
      </c>
      <c r="P92" s="123"/>
      <c r="Q92" s="123">
        <v>0</v>
      </c>
      <c r="R92" s="123">
        <f t="shared" si="15"/>
        <v>1451</v>
      </c>
      <c r="S92" s="124">
        <f t="shared" si="16"/>
        <v>0</v>
      </c>
      <c r="T92" s="127"/>
      <c r="U92" s="123">
        <f t="shared" si="17"/>
        <v>0</v>
      </c>
      <c r="V92" s="123">
        <f t="shared" si="18"/>
        <v>200</v>
      </c>
      <c r="W92" s="123">
        <f t="shared" si="19"/>
        <v>10</v>
      </c>
      <c r="X92" s="123">
        <f t="shared" si="20"/>
        <v>210</v>
      </c>
      <c r="Y92" s="387" t="s">
        <v>386</v>
      </c>
      <c r="Z92" s="128"/>
      <c r="AA92" s="370"/>
      <c r="AB92" s="391">
        <v>20100</v>
      </c>
    </row>
    <row r="93" spans="1:28" s="119" customFormat="1">
      <c r="A93" s="366">
        <v>42247</v>
      </c>
      <c r="B93" s="367"/>
      <c r="C93" s="367"/>
      <c r="D93" s="368">
        <v>1</v>
      </c>
      <c r="E93" s="123">
        <v>1100</v>
      </c>
      <c r="F93" s="122">
        <v>1</v>
      </c>
      <c r="G93" s="123">
        <v>200</v>
      </c>
      <c r="H93" s="125"/>
      <c r="I93" s="123">
        <v>150</v>
      </c>
      <c r="J93" s="123"/>
      <c r="K93" s="123">
        <v>1</v>
      </c>
      <c r="L93" s="124">
        <v>1</v>
      </c>
      <c r="M93" s="123">
        <v>200</v>
      </c>
      <c r="N93" s="123"/>
      <c r="O93" s="123">
        <v>0</v>
      </c>
      <c r="P93" s="123"/>
      <c r="Q93" s="123">
        <v>0</v>
      </c>
      <c r="R93" s="123">
        <f t="shared" si="15"/>
        <v>1451</v>
      </c>
      <c r="S93" s="124">
        <f t="shared" ref="S93:S122" si="21">(B93+C93)*D93</f>
        <v>0</v>
      </c>
      <c r="T93" s="127"/>
      <c r="U93" s="123">
        <f t="shared" si="17"/>
        <v>0</v>
      </c>
      <c r="V93" s="123">
        <f t="shared" si="18"/>
        <v>1500</v>
      </c>
      <c r="W93" s="123">
        <f t="shared" si="19"/>
        <v>75</v>
      </c>
      <c r="X93" s="123">
        <f t="shared" si="20"/>
        <v>1575</v>
      </c>
      <c r="Y93" s="387" t="s">
        <v>386</v>
      </c>
      <c r="Z93" s="128"/>
      <c r="AA93" s="390" t="s">
        <v>369</v>
      </c>
    </row>
    <row r="94" spans="1:28" s="119" customFormat="1">
      <c r="A94" s="373">
        <v>42248</v>
      </c>
      <c r="B94" s="374"/>
      <c r="C94" s="374"/>
      <c r="D94" s="375">
        <v>1</v>
      </c>
      <c r="E94" s="376">
        <v>1100</v>
      </c>
      <c r="F94" s="474">
        <v>1</v>
      </c>
      <c r="G94" s="376">
        <v>200</v>
      </c>
      <c r="H94" s="376"/>
      <c r="I94" s="376">
        <v>150</v>
      </c>
      <c r="J94" s="376"/>
      <c r="K94" s="376">
        <v>1</v>
      </c>
      <c r="L94" s="379">
        <v>1</v>
      </c>
      <c r="M94" s="376">
        <v>200</v>
      </c>
      <c r="N94" s="376"/>
      <c r="O94" s="376">
        <v>0</v>
      </c>
      <c r="P94" s="376"/>
      <c r="Q94" s="376">
        <v>0</v>
      </c>
      <c r="R94" s="376">
        <f t="shared" si="15"/>
        <v>1451</v>
      </c>
      <c r="S94" s="379">
        <f t="shared" si="21"/>
        <v>0</v>
      </c>
      <c r="T94" s="380"/>
      <c r="U94" s="379">
        <f t="shared" si="17"/>
        <v>0</v>
      </c>
      <c r="V94" s="376">
        <f t="shared" si="18"/>
        <v>1500</v>
      </c>
      <c r="W94" s="376">
        <f t="shared" si="19"/>
        <v>75</v>
      </c>
      <c r="X94" s="376">
        <f t="shared" si="20"/>
        <v>1575</v>
      </c>
      <c r="Y94" s="381" t="s">
        <v>413</v>
      </c>
      <c r="Z94" s="382"/>
      <c r="AA94" s="164"/>
    </row>
    <row r="95" spans="1:28" s="119" customFormat="1">
      <c r="A95" s="373">
        <v>42249</v>
      </c>
      <c r="B95" s="374"/>
      <c r="C95" s="374"/>
      <c r="D95" s="375">
        <v>1</v>
      </c>
      <c r="E95" s="376">
        <v>1100</v>
      </c>
      <c r="F95" s="474">
        <v>1</v>
      </c>
      <c r="G95" s="376">
        <v>200</v>
      </c>
      <c r="H95" s="377"/>
      <c r="I95" s="376">
        <v>150</v>
      </c>
      <c r="J95" s="376"/>
      <c r="K95" s="376">
        <v>1</v>
      </c>
      <c r="L95" s="379">
        <v>1</v>
      </c>
      <c r="M95" s="376">
        <v>200</v>
      </c>
      <c r="N95" s="376"/>
      <c r="O95" s="376">
        <v>0</v>
      </c>
      <c r="P95" s="376"/>
      <c r="Q95" s="376">
        <v>0</v>
      </c>
      <c r="R95" s="376">
        <f t="shared" si="15"/>
        <v>1451</v>
      </c>
      <c r="S95" s="379">
        <f t="shared" si="21"/>
        <v>0</v>
      </c>
      <c r="T95" s="380"/>
      <c r="U95" s="379">
        <f t="shared" si="17"/>
        <v>0</v>
      </c>
      <c r="V95" s="376">
        <f t="shared" si="18"/>
        <v>1500</v>
      </c>
      <c r="W95" s="376">
        <f t="shared" si="19"/>
        <v>75</v>
      </c>
      <c r="X95" s="376">
        <f t="shared" si="20"/>
        <v>1575</v>
      </c>
      <c r="Y95" s="381" t="s">
        <v>413</v>
      </c>
      <c r="Z95" s="382"/>
      <c r="AA95" s="164"/>
    </row>
    <row r="96" spans="1:28" s="119" customFormat="1">
      <c r="A96" s="373">
        <v>42250</v>
      </c>
      <c r="B96" s="374"/>
      <c r="C96" s="374"/>
      <c r="D96" s="375">
        <v>1</v>
      </c>
      <c r="E96" s="376">
        <v>1100</v>
      </c>
      <c r="F96" s="474">
        <v>1</v>
      </c>
      <c r="G96" s="376">
        <v>200</v>
      </c>
      <c r="H96" s="377"/>
      <c r="I96" s="376">
        <v>150</v>
      </c>
      <c r="J96" s="376"/>
      <c r="K96" s="376">
        <v>1</v>
      </c>
      <c r="L96" s="379">
        <v>1</v>
      </c>
      <c r="M96" s="376">
        <v>200</v>
      </c>
      <c r="N96" s="376"/>
      <c r="O96" s="376">
        <v>0</v>
      </c>
      <c r="P96" s="376"/>
      <c r="Q96" s="376">
        <v>0</v>
      </c>
      <c r="R96" s="376">
        <f>SUM(K96,I96,G96,E96)</f>
        <v>1451</v>
      </c>
      <c r="S96" s="379">
        <f>(B96+C96)*D96</f>
        <v>0</v>
      </c>
      <c r="T96" s="380"/>
      <c r="U96" s="379">
        <f>K96*J96</f>
        <v>0</v>
      </c>
      <c r="V96" s="376">
        <f t="shared" si="18"/>
        <v>1500</v>
      </c>
      <c r="W96" s="376">
        <f t="shared" si="19"/>
        <v>75</v>
      </c>
      <c r="X96" s="376">
        <f t="shared" si="20"/>
        <v>1575</v>
      </c>
      <c r="Y96" s="381" t="s">
        <v>413</v>
      </c>
      <c r="Z96" s="382"/>
      <c r="AA96" s="164"/>
    </row>
    <row r="97" spans="1:28" s="119" customFormat="1">
      <c r="A97" s="373">
        <v>42251</v>
      </c>
      <c r="B97" s="374"/>
      <c r="C97" s="374"/>
      <c r="D97" s="375"/>
      <c r="E97" s="376">
        <v>1100</v>
      </c>
      <c r="F97" s="379"/>
      <c r="G97" s="376">
        <v>200</v>
      </c>
      <c r="H97" s="376"/>
      <c r="I97" s="376">
        <v>150</v>
      </c>
      <c r="J97" s="376"/>
      <c r="K97" s="376">
        <v>1</v>
      </c>
      <c r="L97" s="376"/>
      <c r="M97" s="376">
        <v>200</v>
      </c>
      <c r="N97" s="376"/>
      <c r="O97" s="376">
        <v>0</v>
      </c>
      <c r="P97" s="376"/>
      <c r="Q97" s="376">
        <v>0</v>
      </c>
      <c r="R97" s="376">
        <f t="shared" si="15"/>
        <v>1451</v>
      </c>
      <c r="S97" s="379">
        <f t="shared" si="21"/>
        <v>0</v>
      </c>
      <c r="T97" s="414"/>
      <c r="U97" s="379">
        <f t="shared" si="17"/>
        <v>0</v>
      </c>
      <c r="V97" s="376">
        <f t="shared" si="18"/>
        <v>0</v>
      </c>
      <c r="W97" s="376">
        <f t="shared" si="19"/>
        <v>0</v>
      </c>
      <c r="X97" s="376">
        <f t="shared" si="20"/>
        <v>0</v>
      </c>
      <c r="Y97" s="381" t="s">
        <v>413</v>
      </c>
      <c r="Z97" s="382"/>
      <c r="AA97" s="164"/>
    </row>
    <row r="98" spans="1:28" s="119" customFormat="1">
      <c r="A98" s="373">
        <v>42252</v>
      </c>
      <c r="B98" s="374"/>
      <c r="C98" s="374"/>
      <c r="D98" s="375"/>
      <c r="E98" s="376">
        <v>1100</v>
      </c>
      <c r="F98" s="379"/>
      <c r="G98" s="376">
        <v>200</v>
      </c>
      <c r="H98" s="376"/>
      <c r="I98" s="376">
        <v>150</v>
      </c>
      <c r="J98" s="376"/>
      <c r="K98" s="376">
        <v>1</v>
      </c>
      <c r="L98" s="376"/>
      <c r="M98" s="376">
        <v>200</v>
      </c>
      <c r="N98" s="376"/>
      <c r="O98" s="376">
        <v>0</v>
      </c>
      <c r="P98" s="376"/>
      <c r="Q98" s="376">
        <v>0</v>
      </c>
      <c r="R98" s="376">
        <f t="shared" si="15"/>
        <v>1451</v>
      </c>
      <c r="S98" s="379">
        <f t="shared" si="21"/>
        <v>0</v>
      </c>
      <c r="T98" s="414"/>
      <c r="U98" s="379">
        <f t="shared" si="17"/>
        <v>0</v>
      </c>
      <c r="V98" s="376">
        <f t="shared" si="18"/>
        <v>0</v>
      </c>
      <c r="W98" s="376">
        <f t="shared" si="19"/>
        <v>0</v>
      </c>
      <c r="X98" s="376">
        <f t="shared" si="20"/>
        <v>0</v>
      </c>
      <c r="Y98" s="381" t="s">
        <v>413</v>
      </c>
      <c r="Z98" s="382"/>
      <c r="AA98" s="164"/>
    </row>
    <row r="99" spans="1:28" s="119" customFormat="1">
      <c r="A99" s="373">
        <v>42253</v>
      </c>
      <c r="B99" s="374"/>
      <c r="C99" s="374"/>
      <c r="D99" s="375"/>
      <c r="E99" s="376">
        <v>1100</v>
      </c>
      <c r="F99" s="379"/>
      <c r="G99" s="376">
        <v>200</v>
      </c>
      <c r="H99" s="376"/>
      <c r="I99" s="376">
        <v>150</v>
      </c>
      <c r="J99" s="376"/>
      <c r="K99" s="376">
        <v>1</v>
      </c>
      <c r="L99" s="376"/>
      <c r="M99" s="376">
        <v>200</v>
      </c>
      <c r="N99" s="376"/>
      <c r="O99" s="376">
        <v>0</v>
      </c>
      <c r="P99" s="376"/>
      <c r="Q99" s="376">
        <v>0</v>
      </c>
      <c r="R99" s="376">
        <f t="shared" si="15"/>
        <v>1451</v>
      </c>
      <c r="S99" s="379">
        <f t="shared" si="21"/>
        <v>0</v>
      </c>
      <c r="T99" s="414"/>
      <c r="U99" s="379">
        <f t="shared" si="17"/>
        <v>0</v>
      </c>
      <c r="V99" s="376">
        <f t="shared" si="18"/>
        <v>0</v>
      </c>
      <c r="W99" s="376">
        <f t="shared" si="19"/>
        <v>0</v>
      </c>
      <c r="X99" s="376">
        <f t="shared" si="20"/>
        <v>0</v>
      </c>
      <c r="Y99" s="381" t="s">
        <v>413</v>
      </c>
      <c r="Z99" s="382"/>
      <c r="AA99" s="164"/>
    </row>
    <row r="100" spans="1:28" s="119" customFormat="1">
      <c r="A100" s="373">
        <v>42254</v>
      </c>
      <c r="B100" s="374"/>
      <c r="C100" s="374"/>
      <c r="D100" s="375"/>
      <c r="E100" s="376">
        <v>1100</v>
      </c>
      <c r="F100" s="379"/>
      <c r="G100" s="376">
        <v>200</v>
      </c>
      <c r="H100" s="376"/>
      <c r="I100" s="376">
        <v>150</v>
      </c>
      <c r="J100" s="376"/>
      <c r="K100" s="376">
        <v>1</v>
      </c>
      <c r="L100" s="376"/>
      <c r="M100" s="376">
        <v>200</v>
      </c>
      <c r="N100" s="376"/>
      <c r="O100" s="376">
        <v>0</v>
      </c>
      <c r="P100" s="376"/>
      <c r="Q100" s="376">
        <v>0</v>
      </c>
      <c r="R100" s="376">
        <f t="shared" si="15"/>
        <v>1451</v>
      </c>
      <c r="S100" s="379">
        <f t="shared" si="21"/>
        <v>0</v>
      </c>
      <c r="T100" s="414"/>
      <c r="U100" s="379">
        <f t="shared" si="17"/>
        <v>0</v>
      </c>
      <c r="V100" s="376">
        <f t="shared" si="18"/>
        <v>0</v>
      </c>
      <c r="W100" s="376">
        <f t="shared" si="19"/>
        <v>0</v>
      </c>
      <c r="X100" s="376">
        <f t="shared" si="20"/>
        <v>0</v>
      </c>
      <c r="Y100" s="381" t="s">
        <v>413</v>
      </c>
      <c r="Z100" s="382"/>
      <c r="AA100" s="164"/>
    </row>
    <row r="101" spans="1:28" s="119" customFormat="1">
      <c r="A101" s="373">
        <v>42255</v>
      </c>
      <c r="B101" s="374"/>
      <c r="C101" s="374"/>
      <c r="D101" s="375"/>
      <c r="E101" s="376">
        <v>1100</v>
      </c>
      <c r="F101" s="379"/>
      <c r="G101" s="376">
        <v>200</v>
      </c>
      <c r="H101" s="376"/>
      <c r="I101" s="376">
        <v>150</v>
      </c>
      <c r="J101" s="376"/>
      <c r="K101" s="376">
        <v>1</v>
      </c>
      <c r="L101" s="376"/>
      <c r="M101" s="376">
        <v>200</v>
      </c>
      <c r="N101" s="376"/>
      <c r="O101" s="376">
        <v>0</v>
      </c>
      <c r="P101" s="376"/>
      <c r="Q101" s="376">
        <v>0</v>
      </c>
      <c r="R101" s="376">
        <f>SUM(K101,I101,G101,E101)</f>
        <v>1451</v>
      </c>
      <c r="S101" s="379">
        <f>(B101+C101)*D101</f>
        <v>0</v>
      </c>
      <c r="T101" s="414"/>
      <c r="U101" s="379">
        <f>K101*J101</f>
        <v>0</v>
      </c>
      <c r="V101" s="376">
        <f t="shared" si="18"/>
        <v>0</v>
      </c>
      <c r="W101" s="376">
        <f t="shared" si="19"/>
        <v>0</v>
      </c>
      <c r="X101" s="376">
        <f t="shared" si="20"/>
        <v>0</v>
      </c>
      <c r="Y101" s="381" t="s">
        <v>413</v>
      </c>
      <c r="Z101" s="382"/>
      <c r="AA101" s="164"/>
    </row>
    <row r="102" spans="1:28" s="119" customFormat="1">
      <c r="A102" s="373">
        <v>42256</v>
      </c>
      <c r="B102" s="374"/>
      <c r="C102" s="374"/>
      <c r="D102" s="375"/>
      <c r="E102" s="376">
        <v>1100</v>
      </c>
      <c r="F102" s="379"/>
      <c r="G102" s="376">
        <v>200</v>
      </c>
      <c r="H102" s="376"/>
      <c r="I102" s="376">
        <v>150</v>
      </c>
      <c r="J102" s="376"/>
      <c r="K102" s="376">
        <v>1</v>
      </c>
      <c r="L102" s="379">
        <v>1</v>
      </c>
      <c r="M102" s="376">
        <v>200</v>
      </c>
      <c r="N102" s="376"/>
      <c r="O102" s="376">
        <v>0</v>
      </c>
      <c r="P102" s="376"/>
      <c r="Q102" s="376">
        <v>0</v>
      </c>
      <c r="R102" s="376">
        <f>SUM(K102,I102,G102,E102)</f>
        <v>1451</v>
      </c>
      <c r="S102" s="379">
        <f>(B102+C102)*D102</f>
        <v>0</v>
      </c>
      <c r="T102" s="414"/>
      <c r="U102" s="379">
        <f>K102*J102</f>
        <v>0</v>
      </c>
      <c r="V102" s="376">
        <f t="shared" si="18"/>
        <v>200</v>
      </c>
      <c r="W102" s="376">
        <f t="shared" si="19"/>
        <v>10</v>
      </c>
      <c r="X102" s="376">
        <f t="shared" si="20"/>
        <v>210</v>
      </c>
      <c r="Y102" s="381" t="s">
        <v>413</v>
      </c>
      <c r="Z102" s="382"/>
      <c r="AA102" s="164"/>
    </row>
    <row r="103" spans="1:28" s="119" customFormat="1">
      <c r="A103" s="373">
        <v>42257</v>
      </c>
      <c r="B103" s="374"/>
      <c r="C103" s="374"/>
      <c r="D103" s="375">
        <v>1</v>
      </c>
      <c r="E103" s="376">
        <v>1100</v>
      </c>
      <c r="F103" s="379">
        <v>1</v>
      </c>
      <c r="G103" s="376">
        <v>200</v>
      </c>
      <c r="H103" s="379">
        <v>1</v>
      </c>
      <c r="I103" s="376">
        <v>150</v>
      </c>
      <c r="J103" s="379">
        <v>0</v>
      </c>
      <c r="K103" s="376">
        <v>1</v>
      </c>
      <c r="L103" s="379">
        <v>1</v>
      </c>
      <c r="M103" s="376">
        <v>200</v>
      </c>
      <c r="N103" s="376"/>
      <c r="O103" s="376">
        <v>0</v>
      </c>
      <c r="P103" s="376"/>
      <c r="Q103" s="376">
        <v>0</v>
      </c>
      <c r="R103" s="376">
        <f>SUM(K103,I103,G103,E103)</f>
        <v>1451</v>
      </c>
      <c r="S103" s="379">
        <f>(B103+C103)*D103</f>
        <v>0</v>
      </c>
      <c r="T103" s="414"/>
      <c r="U103" s="379">
        <f>K103*J103</f>
        <v>0</v>
      </c>
      <c r="V103" s="376">
        <f t="shared" si="18"/>
        <v>1650</v>
      </c>
      <c r="W103" s="376">
        <f t="shared" si="19"/>
        <v>82.5</v>
      </c>
      <c r="X103" s="376">
        <f t="shared" si="20"/>
        <v>1732.5</v>
      </c>
      <c r="Y103" s="381" t="s">
        <v>413</v>
      </c>
      <c r="Z103" s="382"/>
      <c r="AA103" s="164"/>
    </row>
    <row r="104" spans="1:28" s="119" customFormat="1">
      <c r="A104" s="373">
        <v>42258</v>
      </c>
      <c r="B104" s="374"/>
      <c r="C104" s="374"/>
      <c r="D104" s="375">
        <v>1</v>
      </c>
      <c r="E104" s="376">
        <v>1100</v>
      </c>
      <c r="F104" s="379">
        <v>1</v>
      </c>
      <c r="G104" s="376">
        <v>200</v>
      </c>
      <c r="H104" s="379">
        <v>0</v>
      </c>
      <c r="I104" s="376">
        <v>150</v>
      </c>
      <c r="J104" s="379">
        <v>0</v>
      </c>
      <c r="K104" s="376">
        <v>1</v>
      </c>
      <c r="L104" s="379">
        <v>1</v>
      </c>
      <c r="M104" s="376">
        <v>200</v>
      </c>
      <c r="N104" s="376"/>
      <c r="O104" s="376">
        <v>0</v>
      </c>
      <c r="P104" s="376"/>
      <c r="Q104" s="376">
        <v>0</v>
      </c>
      <c r="R104" s="376">
        <f t="shared" si="15"/>
        <v>1451</v>
      </c>
      <c r="S104" s="379">
        <f t="shared" si="21"/>
        <v>0</v>
      </c>
      <c r="T104" s="414"/>
      <c r="U104" s="379">
        <f t="shared" ref="U104:U113" si="22">K104*J104</f>
        <v>0</v>
      </c>
      <c r="V104" s="376">
        <f t="shared" si="18"/>
        <v>1500</v>
      </c>
      <c r="W104" s="376">
        <f t="shared" si="19"/>
        <v>75</v>
      </c>
      <c r="X104" s="376">
        <f t="shared" si="20"/>
        <v>1575</v>
      </c>
      <c r="Y104" s="381" t="s">
        <v>413</v>
      </c>
      <c r="Z104" s="382"/>
      <c r="AA104" s="164"/>
    </row>
    <row r="105" spans="1:28" s="119" customFormat="1">
      <c r="A105" s="373">
        <v>42259</v>
      </c>
      <c r="B105" s="374"/>
      <c r="C105" s="374"/>
      <c r="D105" s="375">
        <v>1</v>
      </c>
      <c r="E105" s="376">
        <v>1100</v>
      </c>
      <c r="F105" s="379">
        <v>1</v>
      </c>
      <c r="G105" s="376">
        <v>200</v>
      </c>
      <c r="H105" s="379">
        <v>0</v>
      </c>
      <c r="I105" s="376">
        <v>150</v>
      </c>
      <c r="J105" s="379">
        <v>0</v>
      </c>
      <c r="K105" s="376">
        <v>1</v>
      </c>
      <c r="L105" s="379">
        <v>1</v>
      </c>
      <c r="M105" s="376">
        <v>200</v>
      </c>
      <c r="N105" s="376"/>
      <c r="O105" s="376">
        <v>0</v>
      </c>
      <c r="P105" s="376"/>
      <c r="Q105" s="376">
        <v>0</v>
      </c>
      <c r="R105" s="376">
        <f t="shared" si="15"/>
        <v>1451</v>
      </c>
      <c r="S105" s="379">
        <f t="shared" si="21"/>
        <v>0</v>
      </c>
      <c r="T105" s="414"/>
      <c r="U105" s="379">
        <f t="shared" si="22"/>
        <v>0</v>
      </c>
      <c r="V105" s="376">
        <f t="shared" si="18"/>
        <v>1500</v>
      </c>
      <c r="W105" s="376">
        <f t="shared" si="19"/>
        <v>75</v>
      </c>
      <c r="X105" s="376">
        <f t="shared" si="20"/>
        <v>1575</v>
      </c>
      <c r="Y105" s="381" t="s">
        <v>413</v>
      </c>
      <c r="Z105" s="382"/>
      <c r="AA105" s="164"/>
    </row>
    <row r="106" spans="1:28" s="119" customFormat="1">
      <c r="A106" s="373">
        <v>42260</v>
      </c>
      <c r="B106" s="374"/>
      <c r="C106" s="374"/>
      <c r="D106" s="375">
        <v>1</v>
      </c>
      <c r="E106" s="376">
        <v>1100</v>
      </c>
      <c r="F106" s="379">
        <v>1</v>
      </c>
      <c r="G106" s="376">
        <v>200</v>
      </c>
      <c r="H106" s="379">
        <v>0</v>
      </c>
      <c r="I106" s="376">
        <v>150</v>
      </c>
      <c r="J106" s="379">
        <v>0</v>
      </c>
      <c r="K106" s="376">
        <v>1</v>
      </c>
      <c r="L106" s="379">
        <v>1</v>
      </c>
      <c r="M106" s="376">
        <v>200</v>
      </c>
      <c r="N106" s="376"/>
      <c r="O106" s="376">
        <v>0</v>
      </c>
      <c r="P106" s="376"/>
      <c r="Q106" s="376">
        <v>0</v>
      </c>
      <c r="R106" s="376">
        <f>SUM(K106,I106,G106,E106)</f>
        <v>1451</v>
      </c>
      <c r="S106" s="379">
        <f>(B106+C106)*D106</f>
        <v>0</v>
      </c>
      <c r="T106" s="414"/>
      <c r="U106" s="379">
        <f t="shared" si="22"/>
        <v>0</v>
      </c>
      <c r="V106" s="376">
        <f t="shared" si="18"/>
        <v>1500</v>
      </c>
      <c r="W106" s="376">
        <f t="shared" si="19"/>
        <v>75</v>
      </c>
      <c r="X106" s="376">
        <f t="shared" si="20"/>
        <v>1575</v>
      </c>
      <c r="Y106" s="381" t="s">
        <v>413</v>
      </c>
      <c r="Z106" s="382"/>
      <c r="AA106" s="164"/>
    </row>
    <row r="107" spans="1:28" s="119" customFormat="1">
      <c r="A107" s="373">
        <v>42261</v>
      </c>
      <c r="B107" s="374"/>
      <c r="C107" s="374"/>
      <c r="D107" s="375">
        <v>1</v>
      </c>
      <c r="E107" s="376">
        <v>1100</v>
      </c>
      <c r="F107" s="379">
        <v>1</v>
      </c>
      <c r="G107" s="376">
        <v>200</v>
      </c>
      <c r="H107" s="379">
        <v>0</v>
      </c>
      <c r="I107" s="376">
        <v>150</v>
      </c>
      <c r="J107" s="379">
        <v>0</v>
      </c>
      <c r="K107" s="376">
        <v>1</v>
      </c>
      <c r="L107" s="379">
        <v>1</v>
      </c>
      <c r="M107" s="376">
        <v>200</v>
      </c>
      <c r="N107" s="376"/>
      <c r="O107" s="376">
        <v>0</v>
      </c>
      <c r="P107" s="376"/>
      <c r="Q107" s="376">
        <v>0</v>
      </c>
      <c r="R107" s="376">
        <f>SUM(K107,I107,G107,E107)</f>
        <v>1451</v>
      </c>
      <c r="S107" s="379">
        <f>(B107+C107)*D107</f>
        <v>0</v>
      </c>
      <c r="T107" s="414"/>
      <c r="U107" s="379">
        <f t="shared" si="22"/>
        <v>0</v>
      </c>
      <c r="V107" s="376">
        <f t="shared" si="18"/>
        <v>1500</v>
      </c>
      <c r="W107" s="376">
        <f t="shared" si="19"/>
        <v>75</v>
      </c>
      <c r="X107" s="376">
        <f t="shared" si="20"/>
        <v>1575</v>
      </c>
      <c r="Y107" s="381" t="s">
        <v>413</v>
      </c>
      <c r="Z107" s="382"/>
      <c r="AA107" s="164"/>
      <c r="AB107" s="531">
        <v>13850</v>
      </c>
    </row>
    <row r="108" spans="1:28" s="119" customFormat="1">
      <c r="A108" s="373">
        <v>42262</v>
      </c>
      <c r="B108" s="374"/>
      <c r="C108" s="374"/>
      <c r="D108" s="375">
        <v>1</v>
      </c>
      <c r="E108" s="376">
        <v>1100</v>
      </c>
      <c r="F108" s="379">
        <v>1</v>
      </c>
      <c r="G108" s="376">
        <v>200</v>
      </c>
      <c r="H108" s="379">
        <v>0</v>
      </c>
      <c r="I108" s="376">
        <v>150</v>
      </c>
      <c r="J108" s="379">
        <v>0</v>
      </c>
      <c r="K108" s="376">
        <v>1</v>
      </c>
      <c r="L108" s="379">
        <v>1</v>
      </c>
      <c r="M108" s="376">
        <v>200</v>
      </c>
      <c r="N108" s="376"/>
      <c r="O108" s="376">
        <v>0</v>
      </c>
      <c r="P108" s="376"/>
      <c r="Q108" s="376">
        <v>0</v>
      </c>
      <c r="R108" s="376">
        <f>SUM(K108,I108,G108,E108)</f>
        <v>1451</v>
      </c>
      <c r="S108" s="379">
        <f>(B108+C108)*D108</f>
        <v>0</v>
      </c>
      <c r="T108" s="414"/>
      <c r="U108" s="379">
        <f t="shared" si="22"/>
        <v>0</v>
      </c>
      <c r="V108" s="376">
        <f t="shared" si="18"/>
        <v>1500</v>
      </c>
      <c r="W108" s="376">
        <f t="shared" si="19"/>
        <v>75</v>
      </c>
      <c r="X108" s="376">
        <f t="shared" si="20"/>
        <v>1575</v>
      </c>
      <c r="Y108" s="381" t="s">
        <v>413</v>
      </c>
      <c r="Z108" s="382"/>
      <c r="AA108" s="164" t="s">
        <v>411</v>
      </c>
    </row>
    <row r="109" spans="1:28" s="119" customFormat="1">
      <c r="A109" s="366">
        <v>42263</v>
      </c>
      <c r="B109" s="367"/>
      <c r="C109" s="367"/>
      <c r="D109" s="368">
        <v>0</v>
      </c>
      <c r="E109" s="123">
        <v>1100</v>
      </c>
      <c r="F109" s="124">
        <v>0</v>
      </c>
      <c r="G109" s="123">
        <v>200</v>
      </c>
      <c r="H109" s="124">
        <v>0</v>
      </c>
      <c r="I109" s="123">
        <v>150</v>
      </c>
      <c r="J109" s="124">
        <v>0</v>
      </c>
      <c r="K109" s="123">
        <v>1</v>
      </c>
      <c r="L109" s="124">
        <v>1</v>
      </c>
      <c r="M109" s="123">
        <v>200</v>
      </c>
      <c r="N109" s="123"/>
      <c r="O109" s="123">
        <v>0</v>
      </c>
      <c r="P109" s="123"/>
      <c r="Q109" s="123">
        <v>0</v>
      </c>
      <c r="R109" s="123">
        <f t="shared" si="15"/>
        <v>1451</v>
      </c>
      <c r="S109" s="124">
        <f t="shared" si="21"/>
        <v>0</v>
      </c>
      <c r="T109" s="372"/>
      <c r="U109" s="124">
        <f t="shared" si="22"/>
        <v>0</v>
      </c>
      <c r="V109" s="123">
        <f t="shared" si="18"/>
        <v>200</v>
      </c>
      <c r="W109" s="123">
        <f t="shared" si="19"/>
        <v>10</v>
      </c>
      <c r="X109" s="123">
        <f t="shared" si="20"/>
        <v>210</v>
      </c>
      <c r="Y109" s="387" t="s">
        <v>550</v>
      </c>
      <c r="Z109" s="128"/>
      <c r="AA109" s="164"/>
    </row>
    <row r="110" spans="1:28" s="119" customFormat="1">
      <c r="A110" s="366">
        <v>42264</v>
      </c>
      <c r="B110" s="367"/>
      <c r="C110" s="367"/>
      <c r="D110" s="368">
        <v>1</v>
      </c>
      <c r="E110" s="123">
        <v>1100</v>
      </c>
      <c r="F110" s="124">
        <v>1</v>
      </c>
      <c r="G110" s="123">
        <v>200</v>
      </c>
      <c r="H110" s="124">
        <v>0</v>
      </c>
      <c r="I110" s="123">
        <v>150</v>
      </c>
      <c r="J110" s="124">
        <v>0</v>
      </c>
      <c r="K110" s="123">
        <v>1</v>
      </c>
      <c r="L110" s="124">
        <v>1</v>
      </c>
      <c r="M110" s="123">
        <v>200</v>
      </c>
      <c r="N110" s="123"/>
      <c r="O110" s="123">
        <v>0</v>
      </c>
      <c r="P110" s="123"/>
      <c r="Q110" s="123">
        <v>0</v>
      </c>
      <c r="R110" s="123">
        <v>1451</v>
      </c>
      <c r="S110" s="124">
        <v>0</v>
      </c>
      <c r="T110" s="372"/>
      <c r="U110" s="124">
        <f t="shared" si="22"/>
        <v>0</v>
      </c>
      <c r="V110" s="123">
        <f t="shared" si="18"/>
        <v>1500</v>
      </c>
      <c r="W110" s="123">
        <f t="shared" si="19"/>
        <v>75</v>
      </c>
      <c r="X110" s="123">
        <f t="shared" si="20"/>
        <v>1575</v>
      </c>
      <c r="Y110" s="387" t="s">
        <v>550</v>
      </c>
      <c r="Z110" s="128"/>
      <c r="AA110" s="164"/>
    </row>
    <row r="111" spans="1:28" s="119" customFormat="1">
      <c r="A111" s="366">
        <v>42265</v>
      </c>
      <c r="B111" s="367"/>
      <c r="C111" s="367"/>
      <c r="D111" s="368">
        <v>1</v>
      </c>
      <c r="E111" s="123">
        <v>1100</v>
      </c>
      <c r="F111" s="124">
        <v>1</v>
      </c>
      <c r="G111" s="123">
        <v>200</v>
      </c>
      <c r="H111" s="124">
        <v>0</v>
      </c>
      <c r="I111" s="123">
        <v>150</v>
      </c>
      <c r="J111" s="124">
        <v>0</v>
      </c>
      <c r="K111" s="123">
        <v>1</v>
      </c>
      <c r="L111" s="124">
        <v>1</v>
      </c>
      <c r="M111" s="123">
        <v>200</v>
      </c>
      <c r="N111" s="123"/>
      <c r="O111" s="123">
        <v>0</v>
      </c>
      <c r="P111" s="123"/>
      <c r="Q111" s="123">
        <v>0</v>
      </c>
      <c r="R111" s="123">
        <v>1451</v>
      </c>
      <c r="S111" s="124">
        <v>0</v>
      </c>
      <c r="T111" s="372"/>
      <c r="U111" s="124">
        <f t="shared" si="22"/>
        <v>0</v>
      </c>
      <c r="V111" s="123">
        <f t="shared" si="18"/>
        <v>1500</v>
      </c>
      <c r="W111" s="123">
        <f t="shared" si="19"/>
        <v>75</v>
      </c>
      <c r="X111" s="123">
        <f t="shared" si="20"/>
        <v>1575</v>
      </c>
      <c r="Y111" s="387" t="s">
        <v>550</v>
      </c>
      <c r="Z111" s="128"/>
      <c r="AA111" s="164"/>
    </row>
    <row r="112" spans="1:28" s="119" customFormat="1">
      <c r="A112" s="366">
        <v>42266</v>
      </c>
      <c r="B112" s="367"/>
      <c r="C112" s="367"/>
      <c r="D112" s="368">
        <v>0</v>
      </c>
      <c r="E112" s="123">
        <v>1100</v>
      </c>
      <c r="F112" s="124">
        <v>0</v>
      </c>
      <c r="G112" s="123">
        <v>200</v>
      </c>
      <c r="H112" s="124">
        <v>0</v>
      </c>
      <c r="I112" s="123">
        <v>150</v>
      </c>
      <c r="J112" s="124">
        <v>0</v>
      </c>
      <c r="K112" s="123">
        <v>1</v>
      </c>
      <c r="L112" s="124">
        <v>0</v>
      </c>
      <c r="M112" s="123">
        <v>200</v>
      </c>
      <c r="N112" s="123"/>
      <c r="O112" s="123">
        <v>0</v>
      </c>
      <c r="P112" s="123"/>
      <c r="Q112" s="123">
        <v>0</v>
      </c>
      <c r="R112" s="123">
        <f t="shared" si="15"/>
        <v>1451</v>
      </c>
      <c r="S112" s="124">
        <f t="shared" si="21"/>
        <v>0</v>
      </c>
      <c r="T112" s="372"/>
      <c r="U112" s="124">
        <f t="shared" si="22"/>
        <v>0</v>
      </c>
      <c r="V112" s="123">
        <f t="shared" si="18"/>
        <v>0</v>
      </c>
      <c r="W112" s="123">
        <f t="shared" si="19"/>
        <v>0</v>
      </c>
      <c r="X112" s="123">
        <f t="shared" si="20"/>
        <v>0</v>
      </c>
      <c r="Y112" s="387" t="s">
        <v>550</v>
      </c>
      <c r="Z112" s="128"/>
      <c r="AA112" s="164"/>
    </row>
    <row r="113" spans="1:27" s="119" customFormat="1">
      <c r="A113" s="366">
        <v>42267</v>
      </c>
      <c r="B113" s="367"/>
      <c r="C113" s="367"/>
      <c r="D113" s="368">
        <v>0</v>
      </c>
      <c r="E113" s="123">
        <v>1100</v>
      </c>
      <c r="F113" s="124">
        <v>0</v>
      </c>
      <c r="G113" s="123">
        <v>200</v>
      </c>
      <c r="H113" s="124">
        <v>0</v>
      </c>
      <c r="I113" s="123">
        <v>150</v>
      </c>
      <c r="J113" s="124">
        <v>0</v>
      </c>
      <c r="K113" s="123">
        <v>1</v>
      </c>
      <c r="L113" s="124">
        <v>0</v>
      </c>
      <c r="M113" s="123">
        <v>200</v>
      </c>
      <c r="N113" s="123"/>
      <c r="O113" s="123">
        <v>0</v>
      </c>
      <c r="P113" s="123"/>
      <c r="Q113" s="123">
        <v>0</v>
      </c>
      <c r="R113" s="123">
        <f>SUM(K113,I113,G113,E113)</f>
        <v>1451</v>
      </c>
      <c r="S113" s="124">
        <f>(B113+C113)*D113</f>
        <v>0</v>
      </c>
      <c r="T113" s="372"/>
      <c r="U113" s="124">
        <f t="shared" si="22"/>
        <v>0</v>
      </c>
      <c r="V113" s="123">
        <f t="shared" si="18"/>
        <v>0</v>
      </c>
      <c r="W113" s="123">
        <f t="shared" si="19"/>
        <v>0</v>
      </c>
      <c r="X113" s="123">
        <f t="shared" si="20"/>
        <v>0</v>
      </c>
      <c r="Y113" s="387" t="s">
        <v>550</v>
      </c>
      <c r="Z113" s="128"/>
      <c r="AA113" s="164"/>
    </row>
    <row r="114" spans="1:27">
      <c r="A114" s="366">
        <v>42268</v>
      </c>
      <c r="B114" s="367"/>
      <c r="C114" s="367"/>
      <c r="D114" s="368">
        <v>1</v>
      </c>
      <c r="E114" s="123">
        <v>1100</v>
      </c>
      <c r="F114" s="124">
        <v>1</v>
      </c>
      <c r="G114" s="123">
        <v>200</v>
      </c>
      <c r="H114" s="124">
        <v>0</v>
      </c>
      <c r="I114" s="123">
        <v>150</v>
      </c>
      <c r="J114" s="124">
        <v>0</v>
      </c>
      <c r="K114" s="123">
        <v>1</v>
      </c>
      <c r="L114" s="124">
        <v>1</v>
      </c>
      <c r="M114" s="123">
        <v>200</v>
      </c>
      <c r="N114" s="123"/>
      <c r="O114" s="123">
        <v>0</v>
      </c>
      <c r="P114" s="123"/>
      <c r="Q114" s="123">
        <v>0</v>
      </c>
      <c r="R114" s="123">
        <f t="shared" si="15"/>
        <v>1451</v>
      </c>
      <c r="S114" s="124">
        <f t="shared" si="21"/>
        <v>0</v>
      </c>
      <c r="T114" s="372"/>
      <c r="U114" s="472">
        <v>0</v>
      </c>
      <c r="V114" s="123">
        <f t="shared" si="18"/>
        <v>1500</v>
      </c>
      <c r="W114" s="123">
        <f t="shared" si="19"/>
        <v>75</v>
      </c>
      <c r="X114" s="123">
        <f t="shared" si="20"/>
        <v>1575</v>
      </c>
      <c r="Y114" s="387" t="s">
        <v>550</v>
      </c>
      <c r="Z114" s="128"/>
      <c r="AA114" s="164"/>
    </row>
    <row r="115" spans="1:27">
      <c r="A115" s="366">
        <v>42269</v>
      </c>
      <c r="B115" s="367"/>
      <c r="C115" s="367"/>
      <c r="D115" s="368">
        <v>1</v>
      </c>
      <c r="E115" s="123">
        <v>1100</v>
      </c>
      <c r="F115" s="124">
        <v>1</v>
      </c>
      <c r="G115" s="123">
        <v>200</v>
      </c>
      <c r="H115" s="124">
        <v>0</v>
      </c>
      <c r="I115" s="123">
        <v>150</v>
      </c>
      <c r="J115" s="124">
        <v>0</v>
      </c>
      <c r="K115" s="123">
        <v>1</v>
      </c>
      <c r="L115" s="124">
        <v>1</v>
      </c>
      <c r="M115" s="123">
        <v>200</v>
      </c>
      <c r="N115" s="123"/>
      <c r="O115" s="123">
        <v>0</v>
      </c>
      <c r="P115" s="123"/>
      <c r="Q115" s="123">
        <v>0</v>
      </c>
      <c r="R115" s="123">
        <f t="shared" si="15"/>
        <v>1451</v>
      </c>
      <c r="S115" s="124">
        <f t="shared" si="21"/>
        <v>0</v>
      </c>
      <c r="T115" s="372"/>
      <c r="U115" s="472">
        <v>0</v>
      </c>
      <c r="V115" s="123">
        <f t="shared" si="18"/>
        <v>1500</v>
      </c>
      <c r="W115" s="123">
        <f t="shared" si="19"/>
        <v>75</v>
      </c>
      <c r="X115" s="123">
        <f t="shared" si="20"/>
        <v>1575</v>
      </c>
      <c r="Y115" s="387" t="s">
        <v>550</v>
      </c>
      <c r="Z115" s="128"/>
    </row>
    <row r="116" spans="1:27">
      <c r="A116" s="366">
        <v>42270</v>
      </c>
      <c r="B116" s="367"/>
      <c r="C116" s="367"/>
      <c r="D116" s="368">
        <v>1</v>
      </c>
      <c r="E116" s="123">
        <v>1100</v>
      </c>
      <c r="F116" s="124">
        <v>1</v>
      </c>
      <c r="G116" s="123">
        <v>200</v>
      </c>
      <c r="H116" s="124">
        <v>0</v>
      </c>
      <c r="I116" s="123">
        <v>150</v>
      </c>
      <c r="J116" s="124">
        <v>0</v>
      </c>
      <c r="K116" s="123">
        <v>1</v>
      </c>
      <c r="L116" s="124">
        <v>1</v>
      </c>
      <c r="M116" s="123">
        <v>200</v>
      </c>
      <c r="N116" s="123"/>
      <c r="O116" s="123">
        <v>0</v>
      </c>
      <c r="P116" s="123"/>
      <c r="Q116" s="123">
        <v>0</v>
      </c>
      <c r="R116" s="123">
        <f t="shared" si="15"/>
        <v>1451</v>
      </c>
      <c r="S116" s="124">
        <f t="shared" si="21"/>
        <v>0</v>
      </c>
      <c r="T116" s="372"/>
      <c r="U116" s="472">
        <v>0</v>
      </c>
      <c r="V116" s="123">
        <f t="shared" si="18"/>
        <v>1500</v>
      </c>
      <c r="W116" s="123">
        <f t="shared" si="19"/>
        <v>75</v>
      </c>
      <c r="X116" s="123">
        <f t="shared" si="20"/>
        <v>1575</v>
      </c>
      <c r="Y116" s="387" t="s">
        <v>550</v>
      </c>
      <c r="Z116" s="128"/>
    </row>
    <row r="117" spans="1:27">
      <c r="A117" s="366">
        <v>42271</v>
      </c>
      <c r="B117" s="367"/>
      <c r="C117" s="367"/>
      <c r="D117" s="368">
        <v>1</v>
      </c>
      <c r="E117" s="123">
        <v>1100</v>
      </c>
      <c r="F117" s="124">
        <v>1</v>
      </c>
      <c r="G117" s="123">
        <v>200</v>
      </c>
      <c r="H117" s="124">
        <v>0</v>
      </c>
      <c r="I117" s="123">
        <v>150</v>
      </c>
      <c r="J117" s="124">
        <v>0</v>
      </c>
      <c r="K117" s="123">
        <v>1</v>
      </c>
      <c r="L117" s="124">
        <v>1</v>
      </c>
      <c r="M117" s="123">
        <v>200</v>
      </c>
      <c r="N117" s="123"/>
      <c r="O117" s="123">
        <v>0</v>
      </c>
      <c r="P117" s="123"/>
      <c r="Q117" s="123">
        <v>0</v>
      </c>
      <c r="R117" s="123">
        <f t="shared" si="15"/>
        <v>1451</v>
      </c>
      <c r="S117" s="124">
        <f t="shared" si="21"/>
        <v>0</v>
      </c>
      <c r="T117" s="372"/>
      <c r="U117" s="472">
        <v>0</v>
      </c>
      <c r="V117" s="123">
        <f t="shared" si="18"/>
        <v>1500</v>
      </c>
      <c r="W117" s="123">
        <f t="shared" si="19"/>
        <v>75</v>
      </c>
      <c r="X117" s="123">
        <f t="shared" si="20"/>
        <v>1575</v>
      </c>
      <c r="Y117" s="387" t="s">
        <v>550</v>
      </c>
      <c r="Z117" s="128"/>
    </row>
    <row r="118" spans="1:27">
      <c r="A118" s="366">
        <v>42272</v>
      </c>
      <c r="B118" s="367"/>
      <c r="C118" s="367"/>
      <c r="D118" s="368">
        <v>1</v>
      </c>
      <c r="E118" s="123">
        <v>1100</v>
      </c>
      <c r="F118" s="124">
        <v>1</v>
      </c>
      <c r="G118" s="123">
        <v>200</v>
      </c>
      <c r="H118" s="124">
        <v>0</v>
      </c>
      <c r="I118" s="123">
        <v>150</v>
      </c>
      <c r="J118" s="124">
        <v>0</v>
      </c>
      <c r="K118" s="123">
        <v>1</v>
      </c>
      <c r="L118" s="124">
        <v>1</v>
      </c>
      <c r="M118" s="123">
        <v>200</v>
      </c>
      <c r="N118" s="123"/>
      <c r="O118" s="123">
        <v>0</v>
      </c>
      <c r="P118" s="123"/>
      <c r="Q118" s="123">
        <v>0</v>
      </c>
      <c r="R118" s="123">
        <f t="shared" si="15"/>
        <v>1451</v>
      </c>
      <c r="S118" s="124">
        <f t="shared" si="21"/>
        <v>0</v>
      </c>
      <c r="T118" s="372"/>
      <c r="U118" s="472">
        <v>0</v>
      </c>
      <c r="V118" s="123">
        <f t="shared" si="18"/>
        <v>1500</v>
      </c>
      <c r="W118" s="123">
        <f t="shared" si="19"/>
        <v>75</v>
      </c>
      <c r="X118" s="123">
        <f t="shared" si="20"/>
        <v>1575</v>
      </c>
      <c r="Y118" s="387" t="s">
        <v>550</v>
      </c>
      <c r="Z118" s="128"/>
    </row>
    <row r="119" spans="1:27">
      <c r="A119" s="366">
        <v>42273</v>
      </c>
      <c r="B119" s="367"/>
      <c r="C119" s="367"/>
      <c r="D119" s="368">
        <v>1</v>
      </c>
      <c r="E119" s="123">
        <v>1100</v>
      </c>
      <c r="F119" s="124">
        <v>1</v>
      </c>
      <c r="G119" s="123">
        <v>200</v>
      </c>
      <c r="H119" s="124">
        <v>0</v>
      </c>
      <c r="I119" s="123">
        <v>150</v>
      </c>
      <c r="J119" s="124">
        <v>0</v>
      </c>
      <c r="K119" s="123">
        <v>1</v>
      </c>
      <c r="L119" s="124">
        <v>1</v>
      </c>
      <c r="M119" s="123">
        <v>200</v>
      </c>
      <c r="N119" s="123"/>
      <c r="O119" s="123">
        <v>0</v>
      </c>
      <c r="P119" s="123"/>
      <c r="Q119" s="123">
        <v>0</v>
      </c>
      <c r="R119" s="123">
        <f t="shared" si="15"/>
        <v>1451</v>
      </c>
      <c r="S119" s="124">
        <f t="shared" si="21"/>
        <v>0</v>
      </c>
      <c r="T119" s="372"/>
      <c r="U119" s="472">
        <v>0</v>
      </c>
      <c r="V119" s="123">
        <f t="shared" si="18"/>
        <v>1500</v>
      </c>
      <c r="W119" s="123">
        <f t="shared" si="19"/>
        <v>75</v>
      </c>
      <c r="X119" s="123">
        <f t="shared" si="20"/>
        <v>1575</v>
      </c>
      <c r="Y119" s="387" t="s">
        <v>550</v>
      </c>
      <c r="Z119" s="128"/>
    </row>
    <row r="120" spans="1:27">
      <c r="A120" s="366">
        <v>42274</v>
      </c>
      <c r="B120" s="367"/>
      <c r="C120" s="367"/>
      <c r="D120" s="368">
        <v>1</v>
      </c>
      <c r="E120" s="123">
        <v>1100</v>
      </c>
      <c r="F120" s="124">
        <v>1</v>
      </c>
      <c r="G120" s="123">
        <v>200</v>
      </c>
      <c r="H120" s="124">
        <v>0</v>
      </c>
      <c r="I120" s="123">
        <v>150</v>
      </c>
      <c r="J120" s="124">
        <v>0</v>
      </c>
      <c r="K120" s="123">
        <v>1</v>
      </c>
      <c r="L120" s="124">
        <v>1</v>
      </c>
      <c r="M120" s="123">
        <v>200</v>
      </c>
      <c r="N120" s="123"/>
      <c r="O120" s="123">
        <v>0</v>
      </c>
      <c r="P120" s="123"/>
      <c r="Q120" s="123">
        <v>0</v>
      </c>
      <c r="R120" s="123">
        <f t="shared" si="15"/>
        <v>1451</v>
      </c>
      <c r="S120" s="124">
        <f t="shared" si="21"/>
        <v>0</v>
      </c>
      <c r="T120" s="372"/>
      <c r="U120" s="472">
        <v>0</v>
      </c>
      <c r="V120" s="123">
        <f t="shared" si="18"/>
        <v>1500</v>
      </c>
      <c r="W120" s="123">
        <f t="shared" si="19"/>
        <v>75</v>
      </c>
      <c r="X120" s="123">
        <f t="shared" si="20"/>
        <v>1575</v>
      </c>
      <c r="Y120" s="387" t="s">
        <v>550</v>
      </c>
      <c r="Z120" s="128"/>
    </row>
    <row r="121" spans="1:27">
      <c r="A121" s="366">
        <v>42275</v>
      </c>
      <c r="B121" s="367"/>
      <c r="C121" s="367"/>
      <c r="D121" s="368">
        <v>1</v>
      </c>
      <c r="E121" s="123">
        <v>1100</v>
      </c>
      <c r="F121" s="368">
        <v>1</v>
      </c>
      <c r="G121" s="123">
        <v>200</v>
      </c>
      <c r="H121" s="124">
        <v>0</v>
      </c>
      <c r="I121" s="123">
        <v>150</v>
      </c>
      <c r="J121" s="124">
        <v>0</v>
      </c>
      <c r="K121" s="123">
        <v>1</v>
      </c>
      <c r="L121" s="124">
        <v>1</v>
      </c>
      <c r="M121" s="123">
        <v>200</v>
      </c>
      <c r="N121" s="123"/>
      <c r="O121" s="123">
        <v>0</v>
      </c>
      <c r="P121" s="123"/>
      <c r="Q121" s="123">
        <v>0</v>
      </c>
      <c r="R121" s="123">
        <f t="shared" si="15"/>
        <v>1451</v>
      </c>
      <c r="S121" s="124">
        <f t="shared" si="21"/>
        <v>0</v>
      </c>
      <c r="T121" s="372"/>
      <c r="U121" s="472">
        <v>0</v>
      </c>
      <c r="V121" s="123">
        <f t="shared" si="18"/>
        <v>1500</v>
      </c>
      <c r="W121" s="123">
        <f t="shared" si="19"/>
        <v>75</v>
      </c>
      <c r="X121" s="123">
        <f t="shared" si="20"/>
        <v>1575</v>
      </c>
      <c r="Y121" s="387" t="s">
        <v>550</v>
      </c>
      <c r="Z121" s="128"/>
    </row>
    <row r="122" spans="1:27">
      <c r="A122" s="366">
        <v>42276</v>
      </c>
      <c r="B122" s="367"/>
      <c r="C122" s="367"/>
      <c r="D122" s="368">
        <v>1</v>
      </c>
      <c r="E122" s="123">
        <v>1100</v>
      </c>
      <c r="F122" s="368">
        <v>1</v>
      </c>
      <c r="G122" s="123">
        <v>200</v>
      </c>
      <c r="H122" s="124">
        <v>0</v>
      </c>
      <c r="I122" s="123">
        <v>150</v>
      </c>
      <c r="J122" s="124">
        <v>0</v>
      </c>
      <c r="K122" s="123">
        <v>1</v>
      </c>
      <c r="L122" s="124">
        <v>1</v>
      </c>
      <c r="M122" s="123">
        <v>200</v>
      </c>
      <c r="N122" s="123"/>
      <c r="O122" s="123">
        <v>0</v>
      </c>
      <c r="P122" s="123"/>
      <c r="Q122" s="123">
        <v>0</v>
      </c>
      <c r="R122" s="123">
        <f t="shared" si="15"/>
        <v>1451</v>
      </c>
      <c r="S122" s="124">
        <f t="shared" si="21"/>
        <v>0</v>
      </c>
      <c r="T122" s="372"/>
      <c r="U122" s="368">
        <v>0</v>
      </c>
      <c r="V122" s="123">
        <f t="shared" si="18"/>
        <v>1500</v>
      </c>
      <c r="W122" s="123">
        <f t="shared" si="19"/>
        <v>75</v>
      </c>
      <c r="X122" s="123">
        <f t="shared" si="20"/>
        <v>1575</v>
      </c>
      <c r="Y122" s="387" t="s">
        <v>550</v>
      </c>
      <c r="Z122" s="128"/>
    </row>
    <row r="123" spans="1:27" s="2" customFormat="1">
      <c r="A123" s="366">
        <v>42277</v>
      </c>
      <c r="B123" s="367"/>
      <c r="C123" s="367"/>
      <c r="D123" s="368">
        <v>1</v>
      </c>
      <c r="E123" s="123">
        <v>1100</v>
      </c>
      <c r="F123" s="368">
        <v>1</v>
      </c>
      <c r="G123" s="123">
        <v>200</v>
      </c>
      <c r="H123" s="124">
        <v>0</v>
      </c>
      <c r="I123" s="123">
        <v>150</v>
      </c>
      <c r="J123" s="124">
        <v>0</v>
      </c>
      <c r="K123" s="123">
        <v>1</v>
      </c>
      <c r="L123" s="124">
        <v>1</v>
      </c>
      <c r="M123" s="123">
        <v>200</v>
      </c>
      <c r="N123" s="123"/>
      <c r="O123" s="123">
        <v>0</v>
      </c>
      <c r="P123" s="123"/>
      <c r="Q123" s="123">
        <v>0</v>
      </c>
      <c r="R123" s="123">
        <f t="shared" ref="R123:R152" si="23">SUM(K123,I123,G123,E123)</f>
        <v>1451</v>
      </c>
      <c r="S123" s="124">
        <f t="shared" ref="S123:S152" si="24">(B123+C123)*D123</f>
        <v>0</v>
      </c>
      <c r="T123" s="372"/>
      <c r="U123" s="368">
        <v>0</v>
      </c>
      <c r="V123" s="123">
        <f t="shared" ref="V123:V152" si="25">(D123*E123)+(F123*G123)+(H123*I123)+(J123*K123)+(L123*M123)</f>
        <v>1500</v>
      </c>
      <c r="W123" s="123">
        <f t="shared" ref="W123:W152" si="26">(V123*5%)</f>
        <v>75</v>
      </c>
      <c r="X123" s="123">
        <f t="shared" ref="X123:X152" si="27">SUM(V123+W123)</f>
        <v>1575</v>
      </c>
      <c r="Y123" s="387" t="s">
        <v>550</v>
      </c>
      <c r="Z123" s="128"/>
      <c r="AA123" s="71"/>
    </row>
    <row r="124" spans="1:27" s="2" customFormat="1">
      <c r="A124" s="538">
        <v>42278</v>
      </c>
      <c r="B124" s="686"/>
      <c r="C124" s="686"/>
      <c r="D124" s="540">
        <v>1</v>
      </c>
      <c r="E124" s="541">
        <v>1100</v>
      </c>
      <c r="F124" s="540">
        <v>1</v>
      </c>
      <c r="G124" s="541">
        <v>200</v>
      </c>
      <c r="H124" s="542">
        <v>0</v>
      </c>
      <c r="I124" s="541">
        <v>150</v>
      </c>
      <c r="J124" s="542">
        <v>0</v>
      </c>
      <c r="K124" s="541">
        <v>1</v>
      </c>
      <c r="L124" s="542">
        <v>1</v>
      </c>
      <c r="M124" s="541">
        <v>200</v>
      </c>
      <c r="N124" s="541"/>
      <c r="O124" s="541">
        <v>0</v>
      </c>
      <c r="P124" s="541"/>
      <c r="Q124" s="541">
        <v>0</v>
      </c>
      <c r="R124" s="541">
        <f t="shared" si="23"/>
        <v>1451</v>
      </c>
      <c r="S124" s="542">
        <f t="shared" si="24"/>
        <v>0</v>
      </c>
      <c r="T124" s="543"/>
      <c r="U124" s="540">
        <v>0</v>
      </c>
      <c r="V124" s="541">
        <f t="shared" si="25"/>
        <v>1500</v>
      </c>
      <c r="W124" s="541">
        <f t="shared" si="26"/>
        <v>75</v>
      </c>
      <c r="X124" s="541">
        <f t="shared" si="27"/>
        <v>1575</v>
      </c>
      <c r="Y124" s="556" t="s">
        <v>663</v>
      </c>
      <c r="Z124" s="544"/>
      <c r="AA124" s="316"/>
    </row>
    <row r="125" spans="1:27" s="2" customFormat="1">
      <c r="A125" s="538">
        <v>42279</v>
      </c>
      <c r="B125" s="686"/>
      <c r="C125" s="686"/>
      <c r="D125" s="540">
        <v>1</v>
      </c>
      <c r="E125" s="541">
        <v>1100</v>
      </c>
      <c r="F125" s="540">
        <v>1</v>
      </c>
      <c r="G125" s="541">
        <v>200</v>
      </c>
      <c r="H125" s="542">
        <v>0</v>
      </c>
      <c r="I125" s="541">
        <v>150</v>
      </c>
      <c r="J125" s="542">
        <v>0</v>
      </c>
      <c r="K125" s="541">
        <v>1</v>
      </c>
      <c r="L125" s="542">
        <v>1</v>
      </c>
      <c r="M125" s="541">
        <v>200</v>
      </c>
      <c r="N125" s="541"/>
      <c r="O125" s="541">
        <v>0</v>
      </c>
      <c r="P125" s="541"/>
      <c r="Q125" s="541">
        <v>0</v>
      </c>
      <c r="R125" s="541">
        <f t="shared" si="23"/>
        <v>1451</v>
      </c>
      <c r="S125" s="542">
        <f t="shared" si="24"/>
        <v>0</v>
      </c>
      <c r="T125" s="543"/>
      <c r="U125" s="540">
        <v>0</v>
      </c>
      <c r="V125" s="541">
        <f t="shared" si="25"/>
        <v>1500</v>
      </c>
      <c r="W125" s="541">
        <f t="shared" si="26"/>
        <v>75</v>
      </c>
      <c r="X125" s="541">
        <f t="shared" si="27"/>
        <v>1575</v>
      </c>
      <c r="Y125" s="556" t="s">
        <v>663</v>
      </c>
      <c r="Z125" s="544"/>
      <c r="AA125" s="316"/>
    </row>
    <row r="126" spans="1:27">
      <c r="A126" s="538">
        <v>42280</v>
      </c>
      <c r="B126" s="686"/>
      <c r="C126" s="686"/>
      <c r="D126" s="540">
        <v>1</v>
      </c>
      <c r="E126" s="541">
        <v>1100</v>
      </c>
      <c r="F126" s="540">
        <v>1</v>
      </c>
      <c r="G126" s="541">
        <v>200</v>
      </c>
      <c r="H126" s="542">
        <v>0</v>
      </c>
      <c r="I126" s="541">
        <v>150</v>
      </c>
      <c r="J126" s="542">
        <v>0</v>
      </c>
      <c r="K126" s="541">
        <v>1</v>
      </c>
      <c r="L126" s="542">
        <v>1</v>
      </c>
      <c r="M126" s="541">
        <v>200</v>
      </c>
      <c r="N126" s="541"/>
      <c r="O126" s="541">
        <v>0</v>
      </c>
      <c r="P126" s="541"/>
      <c r="Q126" s="541">
        <v>0</v>
      </c>
      <c r="R126" s="541">
        <f t="shared" si="23"/>
        <v>1451</v>
      </c>
      <c r="S126" s="542">
        <f t="shared" si="24"/>
        <v>0</v>
      </c>
      <c r="T126" s="543"/>
      <c r="U126" s="540">
        <v>0</v>
      </c>
      <c r="V126" s="541">
        <f t="shared" si="25"/>
        <v>1500</v>
      </c>
      <c r="W126" s="541">
        <f t="shared" si="26"/>
        <v>75</v>
      </c>
      <c r="X126" s="541">
        <f t="shared" si="27"/>
        <v>1575</v>
      </c>
      <c r="Y126" s="556" t="s">
        <v>663</v>
      </c>
      <c r="Z126" s="544"/>
      <c r="AA126" s="316"/>
    </row>
    <row r="127" spans="1:27">
      <c r="A127" s="538">
        <v>42281</v>
      </c>
      <c r="B127" s="686"/>
      <c r="C127" s="686"/>
      <c r="D127" s="540">
        <v>1</v>
      </c>
      <c r="E127" s="541">
        <v>1100</v>
      </c>
      <c r="F127" s="540">
        <v>1</v>
      </c>
      <c r="G127" s="541">
        <v>200</v>
      </c>
      <c r="H127" s="542">
        <v>0</v>
      </c>
      <c r="I127" s="541">
        <v>150</v>
      </c>
      <c r="J127" s="542">
        <v>0</v>
      </c>
      <c r="K127" s="541">
        <v>1</v>
      </c>
      <c r="L127" s="542">
        <v>1</v>
      </c>
      <c r="M127" s="541">
        <v>200</v>
      </c>
      <c r="N127" s="541"/>
      <c r="O127" s="541">
        <v>0</v>
      </c>
      <c r="P127" s="541"/>
      <c r="Q127" s="541">
        <v>0</v>
      </c>
      <c r="R127" s="541">
        <f t="shared" si="23"/>
        <v>1451</v>
      </c>
      <c r="S127" s="542">
        <f t="shared" si="24"/>
        <v>0</v>
      </c>
      <c r="T127" s="543"/>
      <c r="U127" s="540">
        <v>0</v>
      </c>
      <c r="V127" s="541">
        <f t="shared" si="25"/>
        <v>1500</v>
      </c>
      <c r="W127" s="541">
        <f t="shared" si="26"/>
        <v>75</v>
      </c>
      <c r="X127" s="541">
        <f t="shared" si="27"/>
        <v>1575</v>
      </c>
      <c r="Y127" s="556" t="s">
        <v>663</v>
      </c>
      <c r="Z127" s="544"/>
    </row>
    <row r="128" spans="1:27">
      <c r="A128" s="538">
        <v>42282</v>
      </c>
      <c r="B128" s="686"/>
      <c r="C128" s="686"/>
      <c r="D128" s="540">
        <v>1</v>
      </c>
      <c r="E128" s="541">
        <v>1100</v>
      </c>
      <c r="F128" s="540">
        <v>1</v>
      </c>
      <c r="G128" s="541">
        <v>200</v>
      </c>
      <c r="H128" s="542">
        <v>0</v>
      </c>
      <c r="I128" s="541">
        <v>150</v>
      </c>
      <c r="J128" s="542">
        <v>0</v>
      </c>
      <c r="K128" s="541">
        <v>1</v>
      </c>
      <c r="L128" s="542">
        <v>1</v>
      </c>
      <c r="M128" s="541">
        <v>200</v>
      </c>
      <c r="N128" s="541"/>
      <c r="O128" s="541">
        <v>0</v>
      </c>
      <c r="P128" s="541"/>
      <c r="Q128" s="541">
        <v>0</v>
      </c>
      <c r="R128" s="541">
        <f t="shared" si="23"/>
        <v>1451</v>
      </c>
      <c r="S128" s="542">
        <f t="shared" si="24"/>
        <v>0</v>
      </c>
      <c r="T128" s="543"/>
      <c r="U128" s="540">
        <v>0</v>
      </c>
      <c r="V128" s="541">
        <f t="shared" si="25"/>
        <v>1500</v>
      </c>
      <c r="W128" s="541">
        <f t="shared" si="26"/>
        <v>75</v>
      </c>
      <c r="X128" s="541">
        <f t="shared" si="27"/>
        <v>1575</v>
      </c>
      <c r="Y128" s="556" t="s">
        <v>663</v>
      </c>
      <c r="Z128" s="544"/>
    </row>
    <row r="129" spans="1:27">
      <c r="A129" s="538">
        <v>42283</v>
      </c>
      <c r="B129" s="686"/>
      <c r="C129" s="686"/>
      <c r="D129" s="540">
        <v>1</v>
      </c>
      <c r="E129" s="541">
        <v>1100</v>
      </c>
      <c r="F129" s="540">
        <v>1</v>
      </c>
      <c r="G129" s="541">
        <v>200</v>
      </c>
      <c r="H129" s="542">
        <v>0</v>
      </c>
      <c r="I129" s="541">
        <v>150</v>
      </c>
      <c r="J129" s="542">
        <v>0</v>
      </c>
      <c r="K129" s="541">
        <v>1</v>
      </c>
      <c r="L129" s="542">
        <v>1</v>
      </c>
      <c r="M129" s="541">
        <v>200</v>
      </c>
      <c r="N129" s="541"/>
      <c r="O129" s="541">
        <v>0</v>
      </c>
      <c r="P129" s="541"/>
      <c r="Q129" s="541">
        <v>0</v>
      </c>
      <c r="R129" s="541">
        <f t="shared" si="23"/>
        <v>1451</v>
      </c>
      <c r="S129" s="542">
        <f t="shared" si="24"/>
        <v>0</v>
      </c>
      <c r="T129" s="543"/>
      <c r="U129" s="540">
        <v>0</v>
      </c>
      <c r="V129" s="541">
        <f t="shared" si="25"/>
        <v>1500</v>
      </c>
      <c r="W129" s="541">
        <f t="shared" si="26"/>
        <v>75</v>
      </c>
      <c r="X129" s="541">
        <f t="shared" si="27"/>
        <v>1575</v>
      </c>
      <c r="Y129" s="556" t="s">
        <v>663</v>
      </c>
      <c r="Z129" s="544"/>
    </row>
    <row r="130" spans="1:27">
      <c r="A130" s="538">
        <v>42284</v>
      </c>
      <c r="B130" s="686"/>
      <c r="C130" s="686"/>
      <c r="D130" s="540">
        <v>1</v>
      </c>
      <c r="E130" s="541">
        <v>1100</v>
      </c>
      <c r="F130" s="540">
        <v>1</v>
      </c>
      <c r="G130" s="541">
        <v>200</v>
      </c>
      <c r="H130" s="542">
        <v>0</v>
      </c>
      <c r="I130" s="541">
        <v>150</v>
      </c>
      <c r="J130" s="542">
        <v>0</v>
      </c>
      <c r="K130" s="541">
        <v>1</v>
      </c>
      <c r="L130" s="542">
        <v>1</v>
      </c>
      <c r="M130" s="541">
        <v>200</v>
      </c>
      <c r="N130" s="541"/>
      <c r="O130" s="541">
        <v>0</v>
      </c>
      <c r="P130" s="541"/>
      <c r="Q130" s="541">
        <v>0</v>
      </c>
      <c r="R130" s="541">
        <f t="shared" si="23"/>
        <v>1451</v>
      </c>
      <c r="S130" s="542">
        <f t="shared" si="24"/>
        <v>0</v>
      </c>
      <c r="T130" s="543"/>
      <c r="U130" s="540">
        <v>0</v>
      </c>
      <c r="V130" s="541">
        <f t="shared" si="25"/>
        <v>1500</v>
      </c>
      <c r="W130" s="541">
        <f t="shared" si="26"/>
        <v>75</v>
      </c>
      <c r="X130" s="541">
        <f t="shared" si="27"/>
        <v>1575</v>
      </c>
      <c r="Y130" s="556" t="s">
        <v>663</v>
      </c>
      <c r="Z130" s="544"/>
    </row>
    <row r="131" spans="1:27">
      <c r="A131" s="538">
        <v>42285</v>
      </c>
      <c r="B131" s="686"/>
      <c r="C131" s="686"/>
      <c r="D131" s="540">
        <v>1</v>
      </c>
      <c r="E131" s="541">
        <v>1100</v>
      </c>
      <c r="F131" s="540">
        <v>1</v>
      </c>
      <c r="G131" s="541">
        <v>200</v>
      </c>
      <c r="H131" s="542">
        <v>0</v>
      </c>
      <c r="I131" s="541">
        <v>150</v>
      </c>
      <c r="J131" s="542">
        <v>0</v>
      </c>
      <c r="K131" s="541">
        <v>1</v>
      </c>
      <c r="L131" s="542">
        <v>1</v>
      </c>
      <c r="M131" s="541">
        <v>200</v>
      </c>
      <c r="N131" s="541"/>
      <c r="O131" s="541">
        <v>0</v>
      </c>
      <c r="P131" s="541"/>
      <c r="Q131" s="541">
        <v>0</v>
      </c>
      <c r="R131" s="541">
        <f t="shared" si="23"/>
        <v>1451</v>
      </c>
      <c r="S131" s="542">
        <f t="shared" si="24"/>
        <v>0</v>
      </c>
      <c r="T131" s="543"/>
      <c r="U131" s="540">
        <v>0</v>
      </c>
      <c r="V131" s="541">
        <f t="shared" si="25"/>
        <v>1500</v>
      </c>
      <c r="W131" s="541">
        <f t="shared" si="26"/>
        <v>75</v>
      </c>
      <c r="X131" s="541">
        <f t="shared" si="27"/>
        <v>1575</v>
      </c>
      <c r="Y131" s="556" t="s">
        <v>663</v>
      </c>
      <c r="Z131" s="544"/>
    </row>
    <row r="132" spans="1:27">
      <c r="A132" s="538">
        <v>42286</v>
      </c>
      <c r="B132" s="686"/>
      <c r="C132" s="686"/>
      <c r="D132" s="540">
        <v>0</v>
      </c>
      <c r="E132" s="541">
        <v>1100</v>
      </c>
      <c r="F132" s="540">
        <v>0</v>
      </c>
      <c r="G132" s="541">
        <v>200</v>
      </c>
      <c r="H132" s="542">
        <v>0</v>
      </c>
      <c r="I132" s="541">
        <v>150</v>
      </c>
      <c r="J132" s="542">
        <v>0</v>
      </c>
      <c r="K132" s="541">
        <v>1</v>
      </c>
      <c r="L132" s="542">
        <v>1</v>
      </c>
      <c r="M132" s="541">
        <v>200</v>
      </c>
      <c r="N132" s="541"/>
      <c r="O132" s="541">
        <v>0</v>
      </c>
      <c r="P132" s="541"/>
      <c r="Q132" s="541">
        <v>0</v>
      </c>
      <c r="R132" s="541">
        <f t="shared" si="23"/>
        <v>1451</v>
      </c>
      <c r="S132" s="542">
        <f t="shared" si="24"/>
        <v>0</v>
      </c>
      <c r="T132" s="543"/>
      <c r="U132" s="540">
        <v>0</v>
      </c>
      <c r="V132" s="541">
        <f t="shared" si="25"/>
        <v>200</v>
      </c>
      <c r="W132" s="541">
        <f t="shared" si="26"/>
        <v>10</v>
      </c>
      <c r="X132" s="541">
        <f t="shared" si="27"/>
        <v>210</v>
      </c>
      <c r="Y132" s="556" t="s">
        <v>663</v>
      </c>
      <c r="Z132" s="544"/>
    </row>
    <row r="133" spans="1:27">
      <c r="A133" s="538">
        <v>42287</v>
      </c>
      <c r="B133" s="686"/>
      <c r="C133" s="686"/>
      <c r="D133" s="540">
        <v>0</v>
      </c>
      <c r="E133" s="541">
        <v>1100</v>
      </c>
      <c r="F133" s="540">
        <v>0</v>
      </c>
      <c r="G133" s="541">
        <v>200</v>
      </c>
      <c r="H133" s="542">
        <v>0</v>
      </c>
      <c r="I133" s="541">
        <v>150</v>
      </c>
      <c r="J133" s="542">
        <v>0</v>
      </c>
      <c r="K133" s="541">
        <v>1</v>
      </c>
      <c r="L133" s="542">
        <v>1</v>
      </c>
      <c r="M133" s="541">
        <v>200</v>
      </c>
      <c r="N133" s="541"/>
      <c r="O133" s="541">
        <v>0</v>
      </c>
      <c r="P133" s="541"/>
      <c r="Q133" s="541">
        <v>0</v>
      </c>
      <c r="R133" s="541">
        <f t="shared" si="23"/>
        <v>1451</v>
      </c>
      <c r="S133" s="542">
        <f t="shared" si="24"/>
        <v>0</v>
      </c>
      <c r="T133" s="543"/>
      <c r="U133" s="540">
        <v>0</v>
      </c>
      <c r="V133" s="541">
        <f t="shared" si="25"/>
        <v>200</v>
      </c>
      <c r="W133" s="541">
        <f t="shared" si="26"/>
        <v>10</v>
      </c>
      <c r="X133" s="541">
        <f t="shared" si="27"/>
        <v>210</v>
      </c>
      <c r="Y133" s="556" t="s">
        <v>663</v>
      </c>
      <c r="Z133" s="544"/>
    </row>
    <row r="134" spans="1:27">
      <c r="A134" s="538">
        <v>42288</v>
      </c>
      <c r="B134" s="686"/>
      <c r="C134" s="686"/>
      <c r="D134" s="540">
        <v>1</v>
      </c>
      <c r="E134" s="541">
        <v>1100</v>
      </c>
      <c r="F134" s="540">
        <v>1</v>
      </c>
      <c r="G134" s="541">
        <v>200</v>
      </c>
      <c r="H134" s="542">
        <v>0</v>
      </c>
      <c r="I134" s="541">
        <v>150</v>
      </c>
      <c r="J134" s="542">
        <v>0</v>
      </c>
      <c r="K134" s="541">
        <v>1</v>
      </c>
      <c r="L134" s="542">
        <v>1</v>
      </c>
      <c r="M134" s="541">
        <v>200</v>
      </c>
      <c r="N134" s="541"/>
      <c r="O134" s="541">
        <v>0</v>
      </c>
      <c r="P134" s="541"/>
      <c r="Q134" s="541">
        <v>0</v>
      </c>
      <c r="R134" s="541">
        <f t="shared" si="23"/>
        <v>1451</v>
      </c>
      <c r="S134" s="542">
        <f t="shared" si="24"/>
        <v>0</v>
      </c>
      <c r="T134" s="543"/>
      <c r="U134" s="540">
        <v>0</v>
      </c>
      <c r="V134" s="541">
        <f t="shared" si="25"/>
        <v>1500</v>
      </c>
      <c r="W134" s="541">
        <f t="shared" si="26"/>
        <v>75</v>
      </c>
      <c r="X134" s="541">
        <f t="shared" si="27"/>
        <v>1575</v>
      </c>
      <c r="Y134" s="556" t="s">
        <v>663</v>
      </c>
      <c r="Z134" s="544"/>
    </row>
    <row r="135" spans="1:27">
      <c r="A135" s="538">
        <v>42289</v>
      </c>
      <c r="B135" s="686"/>
      <c r="C135" s="686"/>
      <c r="D135" s="540">
        <v>1</v>
      </c>
      <c r="E135" s="541">
        <v>1100</v>
      </c>
      <c r="F135" s="540">
        <v>1</v>
      </c>
      <c r="G135" s="541">
        <v>200</v>
      </c>
      <c r="H135" s="542">
        <v>0</v>
      </c>
      <c r="I135" s="541">
        <v>150</v>
      </c>
      <c r="J135" s="542">
        <v>0</v>
      </c>
      <c r="K135" s="541">
        <v>1</v>
      </c>
      <c r="L135" s="542">
        <v>1</v>
      </c>
      <c r="M135" s="541">
        <v>200</v>
      </c>
      <c r="N135" s="541"/>
      <c r="O135" s="541">
        <v>0</v>
      </c>
      <c r="P135" s="541"/>
      <c r="Q135" s="541">
        <v>0</v>
      </c>
      <c r="R135" s="541">
        <f t="shared" si="23"/>
        <v>1451</v>
      </c>
      <c r="S135" s="542">
        <f t="shared" si="24"/>
        <v>0</v>
      </c>
      <c r="T135" s="543"/>
      <c r="U135" s="540">
        <v>0</v>
      </c>
      <c r="V135" s="541">
        <f t="shared" si="25"/>
        <v>1500</v>
      </c>
      <c r="W135" s="541">
        <f t="shared" si="26"/>
        <v>75</v>
      </c>
      <c r="X135" s="541">
        <f t="shared" si="27"/>
        <v>1575</v>
      </c>
      <c r="Y135" s="556" t="s">
        <v>663</v>
      </c>
      <c r="Z135" s="544"/>
    </row>
    <row r="136" spans="1:27">
      <c r="A136" s="538">
        <v>42290</v>
      </c>
      <c r="B136" s="686"/>
      <c r="C136" s="686"/>
      <c r="D136" s="540">
        <v>0</v>
      </c>
      <c r="E136" s="541">
        <v>1100</v>
      </c>
      <c r="F136" s="540">
        <v>0</v>
      </c>
      <c r="G136" s="541">
        <v>200</v>
      </c>
      <c r="H136" s="542">
        <v>0</v>
      </c>
      <c r="I136" s="541">
        <v>150</v>
      </c>
      <c r="J136" s="542">
        <v>0</v>
      </c>
      <c r="K136" s="541">
        <v>1</v>
      </c>
      <c r="L136" s="542">
        <v>1</v>
      </c>
      <c r="M136" s="541">
        <v>200</v>
      </c>
      <c r="N136" s="541"/>
      <c r="O136" s="541">
        <v>0</v>
      </c>
      <c r="P136" s="541"/>
      <c r="Q136" s="541">
        <v>0</v>
      </c>
      <c r="R136" s="541">
        <f t="shared" si="23"/>
        <v>1451</v>
      </c>
      <c r="S136" s="542">
        <f t="shared" si="24"/>
        <v>0</v>
      </c>
      <c r="T136" s="543"/>
      <c r="U136" s="540">
        <v>0</v>
      </c>
      <c r="V136" s="541">
        <f t="shared" si="25"/>
        <v>200</v>
      </c>
      <c r="W136" s="541">
        <f t="shared" si="26"/>
        <v>10</v>
      </c>
      <c r="X136" s="541">
        <f t="shared" si="27"/>
        <v>210</v>
      </c>
      <c r="Y136" s="556" t="s">
        <v>663</v>
      </c>
      <c r="Z136" s="544" t="s">
        <v>664</v>
      </c>
    </row>
    <row r="137" spans="1:27">
      <c r="A137" s="538">
        <v>42291</v>
      </c>
      <c r="B137" s="686"/>
      <c r="C137" s="686"/>
      <c r="D137" s="540">
        <v>1</v>
      </c>
      <c r="E137" s="541">
        <v>1100</v>
      </c>
      <c r="F137" s="540">
        <v>1</v>
      </c>
      <c r="G137" s="541">
        <v>200</v>
      </c>
      <c r="H137" s="542">
        <v>0</v>
      </c>
      <c r="I137" s="541">
        <v>150</v>
      </c>
      <c r="J137" s="542">
        <v>7</v>
      </c>
      <c r="K137" s="541">
        <v>1</v>
      </c>
      <c r="L137" s="542">
        <v>1</v>
      </c>
      <c r="M137" s="541">
        <v>200</v>
      </c>
      <c r="N137" s="541"/>
      <c r="O137" s="541">
        <v>0</v>
      </c>
      <c r="P137" s="541"/>
      <c r="Q137" s="541">
        <v>0</v>
      </c>
      <c r="R137" s="541">
        <f t="shared" si="23"/>
        <v>1451</v>
      </c>
      <c r="S137" s="542">
        <f t="shared" si="24"/>
        <v>0</v>
      </c>
      <c r="T137" s="543"/>
      <c r="U137" s="540">
        <v>7</v>
      </c>
      <c r="V137" s="541">
        <f t="shared" si="25"/>
        <v>1507</v>
      </c>
      <c r="W137" s="541">
        <f t="shared" si="26"/>
        <v>75.350000000000009</v>
      </c>
      <c r="X137" s="541">
        <f t="shared" si="27"/>
        <v>1582.35</v>
      </c>
      <c r="Y137" s="556" t="s">
        <v>663</v>
      </c>
      <c r="Z137" s="544"/>
    </row>
    <row r="138" spans="1:27" s="192" customFormat="1">
      <c r="A138" s="538">
        <v>42292</v>
      </c>
      <c r="B138" s="686"/>
      <c r="C138" s="686"/>
      <c r="D138" s="540">
        <v>1</v>
      </c>
      <c r="E138" s="541">
        <v>1100</v>
      </c>
      <c r="F138" s="540">
        <v>1</v>
      </c>
      <c r="G138" s="541">
        <v>200</v>
      </c>
      <c r="H138" s="542">
        <v>0</v>
      </c>
      <c r="I138" s="541">
        <v>150</v>
      </c>
      <c r="J138" s="542">
        <v>0</v>
      </c>
      <c r="K138" s="541">
        <v>1</v>
      </c>
      <c r="L138" s="542">
        <v>1</v>
      </c>
      <c r="M138" s="541">
        <v>200</v>
      </c>
      <c r="N138" s="541"/>
      <c r="O138" s="541">
        <v>0</v>
      </c>
      <c r="P138" s="541"/>
      <c r="Q138" s="541">
        <v>0</v>
      </c>
      <c r="R138" s="541">
        <f t="shared" si="23"/>
        <v>1451</v>
      </c>
      <c r="S138" s="542">
        <f t="shared" si="24"/>
        <v>0</v>
      </c>
      <c r="T138" s="543"/>
      <c r="U138" s="540">
        <v>0</v>
      </c>
      <c r="V138" s="541">
        <f t="shared" si="25"/>
        <v>1500</v>
      </c>
      <c r="W138" s="541">
        <f t="shared" si="26"/>
        <v>75</v>
      </c>
      <c r="X138" s="541">
        <f t="shared" si="27"/>
        <v>1575</v>
      </c>
      <c r="Y138" s="556" t="s">
        <v>663</v>
      </c>
      <c r="Z138" s="544"/>
      <c r="AA138" s="71"/>
    </row>
    <row r="139" spans="1:27" s="192" customFormat="1">
      <c r="A139" s="197">
        <v>42293</v>
      </c>
      <c r="B139" s="839"/>
      <c r="C139" s="839"/>
      <c r="D139" s="199">
        <v>1</v>
      </c>
      <c r="E139" s="188">
        <v>1100</v>
      </c>
      <c r="F139" s="199">
        <v>1</v>
      </c>
      <c r="G139" s="188">
        <v>200</v>
      </c>
      <c r="H139" s="186">
        <v>0</v>
      </c>
      <c r="I139" s="188">
        <v>150</v>
      </c>
      <c r="J139" s="186">
        <v>0</v>
      </c>
      <c r="K139" s="188">
        <v>1</v>
      </c>
      <c r="L139" s="186">
        <v>1</v>
      </c>
      <c r="M139" s="188">
        <v>200</v>
      </c>
      <c r="N139" s="188"/>
      <c r="O139" s="188">
        <v>0</v>
      </c>
      <c r="P139" s="188"/>
      <c r="Q139" s="188">
        <v>0</v>
      </c>
      <c r="R139" s="188">
        <f t="shared" si="23"/>
        <v>1451</v>
      </c>
      <c r="S139" s="186">
        <f t="shared" si="24"/>
        <v>0</v>
      </c>
      <c r="T139" s="204"/>
      <c r="U139" s="199">
        <v>0</v>
      </c>
      <c r="V139" s="188">
        <f t="shared" si="25"/>
        <v>1500</v>
      </c>
      <c r="W139" s="188">
        <f t="shared" si="26"/>
        <v>75</v>
      </c>
      <c r="X139" s="188">
        <f t="shared" si="27"/>
        <v>1575</v>
      </c>
      <c r="Y139" s="194" t="s">
        <v>761</v>
      </c>
      <c r="Z139" s="840"/>
      <c r="AA139" s="194"/>
    </row>
    <row r="140" spans="1:27" s="192" customFormat="1">
      <c r="A140" s="197">
        <v>42294</v>
      </c>
      <c r="B140" s="839"/>
      <c r="C140" s="839"/>
      <c r="D140" s="199">
        <v>1</v>
      </c>
      <c r="E140" s="188">
        <v>1100</v>
      </c>
      <c r="F140" s="199">
        <v>1</v>
      </c>
      <c r="G140" s="188">
        <v>200</v>
      </c>
      <c r="H140" s="186">
        <v>0</v>
      </c>
      <c r="I140" s="188">
        <v>150</v>
      </c>
      <c r="J140" s="186">
        <v>0</v>
      </c>
      <c r="K140" s="188">
        <v>1</v>
      </c>
      <c r="L140" s="186">
        <v>1</v>
      </c>
      <c r="M140" s="188">
        <v>200</v>
      </c>
      <c r="N140" s="188"/>
      <c r="O140" s="188">
        <v>0</v>
      </c>
      <c r="P140" s="188"/>
      <c r="Q140" s="188">
        <v>0</v>
      </c>
      <c r="R140" s="188">
        <f t="shared" si="23"/>
        <v>1451</v>
      </c>
      <c r="S140" s="186">
        <f t="shared" si="24"/>
        <v>0</v>
      </c>
      <c r="T140" s="204"/>
      <c r="U140" s="199">
        <v>0</v>
      </c>
      <c r="V140" s="188">
        <f t="shared" si="25"/>
        <v>1500</v>
      </c>
      <c r="W140" s="188">
        <f t="shared" si="26"/>
        <v>75</v>
      </c>
      <c r="X140" s="188">
        <f t="shared" si="27"/>
        <v>1575</v>
      </c>
      <c r="Y140" s="194" t="s">
        <v>761</v>
      </c>
      <c r="Z140" s="840"/>
      <c r="AA140" s="194"/>
    </row>
    <row r="141" spans="1:27" s="192" customFormat="1">
      <c r="A141" s="197">
        <v>42295</v>
      </c>
      <c r="B141" s="839"/>
      <c r="C141" s="839"/>
      <c r="D141" s="199">
        <v>1</v>
      </c>
      <c r="E141" s="188">
        <v>1100</v>
      </c>
      <c r="F141" s="199">
        <v>1</v>
      </c>
      <c r="G141" s="188">
        <v>200</v>
      </c>
      <c r="H141" s="186">
        <v>0</v>
      </c>
      <c r="I141" s="188">
        <v>150</v>
      </c>
      <c r="J141" s="186">
        <v>0</v>
      </c>
      <c r="K141" s="188">
        <v>1</v>
      </c>
      <c r="L141" s="186">
        <v>1</v>
      </c>
      <c r="M141" s="188">
        <v>200</v>
      </c>
      <c r="N141" s="188"/>
      <c r="O141" s="188">
        <v>0</v>
      </c>
      <c r="P141" s="188"/>
      <c r="Q141" s="188">
        <v>0</v>
      </c>
      <c r="R141" s="188">
        <f t="shared" si="23"/>
        <v>1451</v>
      </c>
      <c r="S141" s="186">
        <f t="shared" si="24"/>
        <v>0</v>
      </c>
      <c r="T141" s="204"/>
      <c r="U141" s="199">
        <v>0</v>
      </c>
      <c r="V141" s="188">
        <f t="shared" si="25"/>
        <v>1500</v>
      </c>
      <c r="W141" s="188">
        <f t="shared" si="26"/>
        <v>75</v>
      </c>
      <c r="X141" s="188">
        <f t="shared" si="27"/>
        <v>1575</v>
      </c>
      <c r="Y141" s="194" t="s">
        <v>761</v>
      </c>
      <c r="Z141" s="840"/>
      <c r="AA141" s="194"/>
    </row>
    <row r="142" spans="1:27" s="192" customFormat="1">
      <c r="A142" s="197">
        <v>42296</v>
      </c>
      <c r="B142" s="839"/>
      <c r="C142" s="839"/>
      <c r="D142" s="199">
        <v>1</v>
      </c>
      <c r="E142" s="188">
        <v>1100</v>
      </c>
      <c r="F142" s="199">
        <v>1</v>
      </c>
      <c r="G142" s="188">
        <v>200</v>
      </c>
      <c r="H142" s="186">
        <v>0</v>
      </c>
      <c r="I142" s="188">
        <v>150</v>
      </c>
      <c r="J142" s="186">
        <v>0</v>
      </c>
      <c r="K142" s="188">
        <v>1</v>
      </c>
      <c r="L142" s="186">
        <v>1</v>
      </c>
      <c r="M142" s="188">
        <v>200</v>
      </c>
      <c r="N142" s="188"/>
      <c r="O142" s="188">
        <v>0</v>
      </c>
      <c r="P142" s="188"/>
      <c r="Q142" s="188">
        <v>0</v>
      </c>
      <c r="R142" s="188">
        <f t="shared" si="23"/>
        <v>1451</v>
      </c>
      <c r="S142" s="186">
        <f t="shared" si="24"/>
        <v>0</v>
      </c>
      <c r="T142" s="204"/>
      <c r="U142" s="199">
        <v>0</v>
      </c>
      <c r="V142" s="188">
        <f t="shared" si="25"/>
        <v>1500</v>
      </c>
      <c r="W142" s="188">
        <f t="shared" si="26"/>
        <v>75</v>
      </c>
      <c r="X142" s="188">
        <f t="shared" si="27"/>
        <v>1575</v>
      </c>
      <c r="Y142" s="194" t="s">
        <v>761</v>
      </c>
      <c r="Z142" s="840"/>
      <c r="AA142" s="194"/>
    </row>
    <row r="143" spans="1:27" s="192" customFormat="1">
      <c r="A143" s="197">
        <v>42297</v>
      </c>
      <c r="B143" s="839"/>
      <c r="C143" s="839"/>
      <c r="D143" s="199">
        <v>1</v>
      </c>
      <c r="E143" s="188">
        <v>1100</v>
      </c>
      <c r="F143" s="199">
        <v>1</v>
      </c>
      <c r="G143" s="188">
        <v>200</v>
      </c>
      <c r="H143" s="186">
        <v>0</v>
      </c>
      <c r="I143" s="188">
        <v>150</v>
      </c>
      <c r="J143" s="186">
        <v>0</v>
      </c>
      <c r="K143" s="188">
        <v>1</v>
      </c>
      <c r="L143" s="186">
        <v>1</v>
      </c>
      <c r="M143" s="188">
        <v>200</v>
      </c>
      <c r="N143" s="188"/>
      <c r="O143" s="188">
        <v>0</v>
      </c>
      <c r="P143" s="188"/>
      <c r="Q143" s="188">
        <v>0</v>
      </c>
      <c r="R143" s="188">
        <f t="shared" si="23"/>
        <v>1451</v>
      </c>
      <c r="S143" s="186">
        <f t="shared" si="24"/>
        <v>0</v>
      </c>
      <c r="T143" s="204"/>
      <c r="U143" s="199">
        <v>0</v>
      </c>
      <c r="V143" s="188">
        <f t="shared" si="25"/>
        <v>1500</v>
      </c>
      <c r="W143" s="188">
        <f t="shared" si="26"/>
        <v>75</v>
      </c>
      <c r="X143" s="188">
        <f t="shared" si="27"/>
        <v>1575</v>
      </c>
      <c r="Y143" s="194" t="s">
        <v>761</v>
      </c>
      <c r="Z143" s="840"/>
      <c r="AA143" s="194"/>
    </row>
    <row r="144" spans="1:27" s="192" customFormat="1">
      <c r="A144" s="197">
        <v>42298</v>
      </c>
      <c r="B144" s="839"/>
      <c r="C144" s="839"/>
      <c r="D144" s="199">
        <v>1</v>
      </c>
      <c r="E144" s="188">
        <v>1100</v>
      </c>
      <c r="F144" s="199">
        <v>1</v>
      </c>
      <c r="G144" s="188">
        <v>200</v>
      </c>
      <c r="H144" s="186">
        <v>0</v>
      </c>
      <c r="I144" s="188">
        <v>150</v>
      </c>
      <c r="J144" s="186">
        <v>0</v>
      </c>
      <c r="K144" s="188">
        <v>1</v>
      </c>
      <c r="L144" s="186">
        <v>1</v>
      </c>
      <c r="M144" s="188">
        <v>200</v>
      </c>
      <c r="N144" s="188"/>
      <c r="O144" s="188">
        <v>0</v>
      </c>
      <c r="P144" s="188"/>
      <c r="Q144" s="188">
        <v>0</v>
      </c>
      <c r="R144" s="188">
        <f t="shared" si="23"/>
        <v>1451</v>
      </c>
      <c r="S144" s="186">
        <f t="shared" si="24"/>
        <v>0</v>
      </c>
      <c r="T144" s="204"/>
      <c r="U144" s="199">
        <v>0</v>
      </c>
      <c r="V144" s="188">
        <f t="shared" si="25"/>
        <v>1500</v>
      </c>
      <c r="W144" s="188">
        <f t="shared" si="26"/>
        <v>75</v>
      </c>
      <c r="X144" s="188">
        <f t="shared" si="27"/>
        <v>1575</v>
      </c>
      <c r="Y144" s="194" t="s">
        <v>761</v>
      </c>
      <c r="Z144" s="840"/>
      <c r="AA144" s="194"/>
    </row>
    <row r="145" spans="1:27" s="192" customFormat="1">
      <c r="A145" s="197">
        <v>42299</v>
      </c>
      <c r="B145" s="839"/>
      <c r="C145" s="839"/>
      <c r="D145" s="199">
        <v>1</v>
      </c>
      <c r="E145" s="188">
        <v>1100</v>
      </c>
      <c r="F145" s="199">
        <v>1</v>
      </c>
      <c r="G145" s="188">
        <v>200</v>
      </c>
      <c r="H145" s="186">
        <v>0</v>
      </c>
      <c r="I145" s="188">
        <v>150</v>
      </c>
      <c r="J145" s="186">
        <v>10</v>
      </c>
      <c r="K145" s="188">
        <v>1</v>
      </c>
      <c r="L145" s="186">
        <v>1</v>
      </c>
      <c r="M145" s="188">
        <v>200</v>
      </c>
      <c r="N145" s="188"/>
      <c r="O145" s="188">
        <v>0</v>
      </c>
      <c r="P145" s="188"/>
      <c r="Q145" s="188">
        <v>0</v>
      </c>
      <c r="R145" s="188">
        <f t="shared" si="23"/>
        <v>1451</v>
      </c>
      <c r="S145" s="186">
        <f t="shared" si="24"/>
        <v>0</v>
      </c>
      <c r="T145" s="204"/>
      <c r="U145" s="199">
        <v>0</v>
      </c>
      <c r="V145" s="188">
        <f t="shared" si="25"/>
        <v>1510</v>
      </c>
      <c r="W145" s="188">
        <f t="shared" si="26"/>
        <v>75.5</v>
      </c>
      <c r="X145" s="188">
        <f t="shared" si="27"/>
        <v>1585.5</v>
      </c>
      <c r="Y145" s="194" t="s">
        <v>761</v>
      </c>
      <c r="Z145" s="840"/>
      <c r="AA145" s="194"/>
    </row>
    <row r="146" spans="1:27" s="192" customFormat="1">
      <c r="A146" s="197">
        <v>42300</v>
      </c>
      <c r="B146" s="839"/>
      <c r="C146" s="839"/>
      <c r="D146" s="199">
        <v>1</v>
      </c>
      <c r="E146" s="188">
        <v>1100</v>
      </c>
      <c r="F146" s="199">
        <v>1</v>
      </c>
      <c r="G146" s="188">
        <v>200</v>
      </c>
      <c r="H146" s="186">
        <v>0</v>
      </c>
      <c r="I146" s="188">
        <v>150</v>
      </c>
      <c r="J146" s="186">
        <v>0</v>
      </c>
      <c r="K146" s="188">
        <v>1</v>
      </c>
      <c r="L146" s="186">
        <v>1</v>
      </c>
      <c r="M146" s="188">
        <v>200</v>
      </c>
      <c r="N146" s="188"/>
      <c r="O146" s="188">
        <v>0</v>
      </c>
      <c r="P146" s="188"/>
      <c r="Q146" s="188">
        <v>0</v>
      </c>
      <c r="R146" s="188">
        <f t="shared" si="23"/>
        <v>1451</v>
      </c>
      <c r="S146" s="186">
        <f t="shared" si="24"/>
        <v>0</v>
      </c>
      <c r="T146" s="204"/>
      <c r="U146" s="199">
        <v>0</v>
      </c>
      <c r="V146" s="188">
        <f t="shared" si="25"/>
        <v>1500</v>
      </c>
      <c r="W146" s="188">
        <f t="shared" si="26"/>
        <v>75</v>
      </c>
      <c r="X146" s="188">
        <f t="shared" si="27"/>
        <v>1575</v>
      </c>
      <c r="Y146" s="194" t="s">
        <v>761</v>
      </c>
      <c r="Z146" s="840"/>
      <c r="AA146" s="194"/>
    </row>
    <row r="147" spans="1:27" s="192" customFormat="1">
      <c r="A147" s="197">
        <v>42301</v>
      </c>
      <c r="B147" s="839"/>
      <c r="C147" s="839"/>
      <c r="D147" s="199">
        <v>1</v>
      </c>
      <c r="E147" s="188">
        <v>1100</v>
      </c>
      <c r="F147" s="199">
        <v>1</v>
      </c>
      <c r="G147" s="188">
        <v>200</v>
      </c>
      <c r="H147" s="186">
        <v>0</v>
      </c>
      <c r="I147" s="188">
        <v>150</v>
      </c>
      <c r="J147" s="186">
        <v>0</v>
      </c>
      <c r="K147" s="188">
        <v>1</v>
      </c>
      <c r="L147" s="186">
        <v>1</v>
      </c>
      <c r="M147" s="188">
        <v>200</v>
      </c>
      <c r="N147" s="188"/>
      <c r="O147" s="188">
        <v>0</v>
      </c>
      <c r="P147" s="188"/>
      <c r="Q147" s="188">
        <v>0</v>
      </c>
      <c r="R147" s="188">
        <f t="shared" si="23"/>
        <v>1451</v>
      </c>
      <c r="S147" s="186">
        <f t="shared" si="24"/>
        <v>0</v>
      </c>
      <c r="T147" s="204"/>
      <c r="U147" s="199">
        <v>0</v>
      </c>
      <c r="V147" s="188">
        <f t="shared" si="25"/>
        <v>1500</v>
      </c>
      <c r="W147" s="188">
        <f t="shared" si="26"/>
        <v>75</v>
      </c>
      <c r="X147" s="188">
        <f t="shared" si="27"/>
        <v>1575</v>
      </c>
      <c r="Y147" s="194" t="s">
        <v>761</v>
      </c>
      <c r="Z147" s="840"/>
      <c r="AA147" s="194"/>
    </row>
    <row r="148" spans="1:27" s="192" customFormat="1">
      <c r="A148" s="197">
        <v>42302</v>
      </c>
      <c r="B148" s="839"/>
      <c r="C148" s="839"/>
      <c r="D148" s="199">
        <v>1</v>
      </c>
      <c r="E148" s="188">
        <v>1100</v>
      </c>
      <c r="F148" s="199">
        <v>1</v>
      </c>
      <c r="G148" s="188">
        <v>200</v>
      </c>
      <c r="H148" s="186">
        <v>0</v>
      </c>
      <c r="I148" s="188">
        <v>150</v>
      </c>
      <c r="J148" s="186">
        <v>0</v>
      </c>
      <c r="K148" s="188">
        <v>1</v>
      </c>
      <c r="L148" s="186">
        <v>1</v>
      </c>
      <c r="M148" s="188">
        <v>200</v>
      </c>
      <c r="N148" s="188"/>
      <c r="O148" s="188">
        <v>0</v>
      </c>
      <c r="P148" s="188"/>
      <c r="Q148" s="188">
        <v>0</v>
      </c>
      <c r="R148" s="188">
        <f t="shared" si="23"/>
        <v>1451</v>
      </c>
      <c r="S148" s="186">
        <f t="shared" si="24"/>
        <v>0</v>
      </c>
      <c r="T148" s="204"/>
      <c r="U148" s="199">
        <v>0</v>
      </c>
      <c r="V148" s="188">
        <f t="shared" si="25"/>
        <v>1500</v>
      </c>
      <c r="W148" s="188">
        <f t="shared" si="26"/>
        <v>75</v>
      </c>
      <c r="X148" s="188">
        <f t="shared" si="27"/>
        <v>1575</v>
      </c>
      <c r="Y148" s="194" t="s">
        <v>761</v>
      </c>
      <c r="Z148" s="840"/>
      <c r="AA148" s="194"/>
    </row>
    <row r="149" spans="1:27" s="192" customFormat="1">
      <c r="A149" s="197">
        <v>42303</v>
      </c>
      <c r="B149" s="839"/>
      <c r="C149" s="839"/>
      <c r="D149" s="199">
        <v>1</v>
      </c>
      <c r="E149" s="188">
        <v>1100</v>
      </c>
      <c r="F149" s="199">
        <v>1</v>
      </c>
      <c r="G149" s="188">
        <v>200</v>
      </c>
      <c r="H149" s="186">
        <v>0</v>
      </c>
      <c r="I149" s="188">
        <v>150</v>
      </c>
      <c r="J149" s="186">
        <v>15</v>
      </c>
      <c r="K149" s="188">
        <v>1</v>
      </c>
      <c r="L149" s="186">
        <v>1</v>
      </c>
      <c r="M149" s="188">
        <v>200</v>
      </c>
      <c r="N149" s="188"/>
      <c r="O149" s="188">
        <v>0</v>
      </c>
      <c r="P149" s="188"/>
      <c r="Q149" s="188">
        <v>0</v>
      </c>
      <c r="R149" s="188">
        <f t="shared" si="23"/>
        <v>1451</v>
      </c>
      <c r="S149" s="186">
        <f t="shared" si="24"/>
        <v>0</v>
      </c>
      <c r="T149" s="204"/>
      <c r="U149" s="199">
        <v>0</v>
      </c>
      <c r="V149" s="188">
        <f t="shared" si="25"/>
        <v>1515</v>
      </c>
      <c r="W149" s="188">
        <f t="shared" si="26"/>
        <v>75.75</v>
      </c>
      <c r="X149" s="188">
        <f t="shared" si="27"/>
        <v>1590.75</v>
      </c>
      <c r="Y149" s="194" t="s">
        <v>761</v>
      </c>
      <c r="Z149" s="840"/>
      <c r="AA149" s="194"/>
    </row>
    <row r="150" spans="1:27" s="192" customFormat="1">
      <c r="A150" s="197">
        <v>42304</v>
      </c>
      <c r="B150" s="839"/>
      <c r="C150" s="839"/>
      <c r="D150" s="199">
        <v>1</v>
      </c>
      <c r="E150" s="188">
        <v>1100</v>
      </c>
      <c r="F150" s="199">
        <v>1</v>
      </c>
      <c r="G150" s="188">
        <v>200</v>
      </c>
      <c r="H150" s="186">
        <v>0</v>
      </c>
      <c r="I150" s="188">
        <v>150</v>
      </c>
      <c r="J150" s="186">
        <v>3</v>
      </c>
      <c r="K150" s="188">
        <v>1</v>
      </c>
      <c r="L150" s="186">
        <v>1</v>
      </c>
      <c r="M150" s="188">
        <v>200</v>
      </c>
      <c r="N150" s="188"/>
      <c r="O150" s="188">
        <v>0</v>
      </c>
      <c r="P150" s="188"/>
      <c r="Q150" s="188">
        <v>0</v>
      </c>
      <c r="R150" s="188">
        <f t="shared" si="23"/>
        <v>1451</v>
      </c>
      <c r="S150" s="186">
        <f t="shared" si="24"/>
        <v>0</v>
      </c>
      <c r="T150" s="204"/>
      <c r="U150" s="199">
        <v>0</v>
      </c>
      <c r="V150" s="188">
        <f t="shared" si="25"/>
        <v>1503</v>
      </c>
      <c r="W150" s="188">
        <f t="shared" si="26"/>
        <v>75.150000000000006</v>
      </c>
      <c r="X150" s="188">
        <f t="shared" si="27"/>
        <v>1578.15</v>
      </c>
      <c r="Y150" s="194" t="s">
        <v>761</v>
      </c>
      <c r="Z150" s="840"/>
      <c r="AA150" s="194"/>
    </row>
    <row r="151" spans="1:27">
      <c r="A151" s="197">
        <v>42305</v>
      </c>
      <c r="B151" s="839"/>
      <c r="C151" s="839"/>
      <c r="D151" s="199">
        <v>1</v>
      </c>
      <c r="E151" s="188">
        <v>1100</v>
      </c>
      <c r="F151" s="199">
        <v>1</v>
      </c>
      <c r="G151" s="188">
        <v>200</v>
      </c>
      <c r="H151" s="186">
        <v>0</v>
      </c>
      <c r="I151" s="188">
        <v>150</v>
      </c>
      <c r="J151" s="186">
        <v>167</v>
      </c>
      <c r="K151" s="188">
        <v>1</v>
      </c>
      <c r="L151" s="186">
        <v>1</v>
      </c>
      <c r="M151" s="188">
        <v>200</v>
      </c>
      <c r="N151" s="188"/>
      <c r="O151" s="188">
        <v>0</v>
      </c>
      <c r="P151" s="188"/>
      <c r="Q151" s="188">
        <v>0</v>
      </c>
      <c r="R151" s="188">
        <f t="shared" si="23"/>
        <v>1451</v>
      </c>
      <c r="S151" s="186">
        <f t="shared" si="24"/>
        <v>0</v>
      </c>
      <c r="T151" s="204"/>
      <c r="U151" s="199">
        <v>0</v>
      </c>
      <c r="V151" s="188">
        <f t="shared" si="25"/>
        <v>1667</v>
      </c>
      <c r="W151" s="188">
        <f t="shared" si="26"/>
        <v>83.350000000000009</v>
      </c>
      <c r="X151" s="188">
        <f t="shared" si="27"/>
        <v>1750.35</v>
      </c>
      <c r="Y151" s="194" t="s">
        <v>761</v>
      </c>
      <c r="Z151" s="840"/>
      <c r="AA151" s="194"/>
    </row>
    <row r="152" spans="1:27">
      <c r="A152" s="63">
        <v>42306</v>
      </c>
      <c r="D152" s="269"/>
      <c r="E152" s="265">
        <v>1100</v>
      </c>
      <c r="F152" s="269"/>
      <c r="G152" s="265">
        <v>200</v>
      </c>
      <c r="H152" s="263">
        <v>0</v>
      </c>
      <c r="I152" s="265">
        <v>150</v>
      </c>
      <c r="J152" s="263"/>
      <c r="K152" s="265">
        <v>1</v>
      </c>
      <c r="L152" s="263"/>
      <c r="M152" s="265">
        <v>200</v>
      </c>
      <c r="N152" s="265"/>
      <c r="O152" s="265">
        <v>0</v>
      </c>
      <c r="P152" s="265"/>
      <c r="Q152" s="265">
        <v>0</v>
      </c>
      <c r="R152" s="265">
        <f t="shared" si="23"/>
        <v>1451</v>
      </c>
      <c r="S152" s="263">
        <f t="shared" si="24"/>
        <v>0</v>
      </c>
      <c r="T152" s="298"/>
      <c r="U152" s="269">
        <v>0</v>
      </c>
      <c r="V152" s="265">
        <f t="shared" si="25"/>
        <v>0</v>
      </c>
      <c r="W152" s="265">
        <f t="shared" si="26"/>
        <v>0</v>
      </c>
      <c r="X152" s="265">
        <f t="shared" si="27"/>
        <v>0</v>
      </c>
      <c r="Y152" s="341"/>
      <c r="AA152" s="341"/>
    </row>
    <row r="153" spans="1:27">
      <c r="A153" s="63">
        <v>42307</v>
      </c>
      <c r="D153" s="522"/>
      <c r="E153" s="452"/>
      <c r="F153" s="452"/>
      <c r="G153" s="452"/>
      <c r="H153" s="452"/>
      <c r="I153" s="452"/>
      <c r="J153" s="452"/>
      <c r="K153" s="452"/>
      <c r="L153" s="452"/>
      <c r="M153" s="452"/>
      <c r="N153" s="452"/>
      <c r="O153" s="452"/>
      <c r="P153" s="452"/>
      <c r="Q153" s="452"/>
      <c r="R153" s="452"/>
      <c r="S153" s="522"/>
      <c r="T153" s="694"/>
      <c r="U153" s="522"/>
      <c r="V153" s="522"/>
      <c r="W153" s="522"/>
      <c r="X153" s="522"/>
    </row>
    <row r="154" spans="1:27">
      <c r="A154" s="63">
        <v>42308</v>
      </c>
    </row>
    <row r="1048428" spans="20:20">
      <c r="T1048428" s="38"/>
    </row>
  </sheetData>
  <autoFilter ref="A4:AB121"/>
  <phoneticPr fontId="3" type="noConversion"/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0"/>
  </sheetPr>
  <dimension ref="A1:BB1048246"/>
  <sheetViews>
    <sheetView topLeftCell="A2" workbookViewId="0">
      <pane ySplit="4" topLeftCell="A77" activePane="bottomLeft" state="frozen"/>
      <selection activeCell="A2" sqref="A2"/>
      <selection pane="bottomLeft" activeCell="AB6" sqref="AB6:BB6"/>
    </sheetView>
  </sheetViews>
  <sheetFormatPr baseColWidth="10" defaultColWidth="8.83203125" defaultRowHeight="12" x14ac:dyDescent="0.75"/>
  <cols>
    <col min="1" max="1" width="11.6640625" style="71" bestFit="1" customWidth="1"/>
    <col min="2" max="3" width="11.83203125" style="53" hidden="1" customWidth="1"/>
    <col min="4" max="4" width="8.83203125" style="71"/>
    <col min="5" max="5" width="10.33203125" style="25" bestFit="1" customWidth="1"/>
    <col min="6" max="6" width="8.83203125" style="25"/>
    <col min="7" max="7" width="10.33203125" style="25" bestFit="1" customWidth="1"/>
    <col min="8" max="9" width="8.83203125" style="25"/>
    <col min="10" max="11" width="9.1640625" style="25" customWidth="1"/>
    <col min="12" max="17" width="9.1640625" style="25" hidden="1" customWidth="1"/>
    <col min="18" max="18" width="12.5" style="25" hidden="1" customWidth="1"/>
    <col min="19" max="19" width="0" style="71" hidden="1" customWidth="1"/>
    <col min="20" max="20" width="38" style="28" hidden="1" customWidth="1"/>
    <col min="21" max="21" width="8.83203125" style="71"/>
    <col min="22" max="22" width="11.33203125" style="71" bestFit="1" customWidth="1"/>
    <col min="23" max="23" width="10.33203125" style="71" bestFit="1" customWidth="1"/>
    <col min="24" max="24" width="12.83203125" style="71" customWidth="1"/>
    <col min="25" max="25" width="8.83203125" style="71"/>
    <col min="26" max="26" width="14.33203125" style="65" bestFit="1" customWidth="1"/>
    <col min="27" max="27" width="16.6640625" style="71" customWidth="1"/>
    <col min="28" max="28" width="11.33203125" bestFit="1" customWidth="1"/>
  </cols>
  <sheetData>
    <row r="1" spans="1:54">
      <c r="A1" s="24"/>
      <c r="B1" s="42"/>
      <c r="C1" s="42"/>
      <c r="D1" s="30"/>
      <c r="S1" s="30"/>
      <c r="U1" s="25"/>
      <c r="V1" s="25"/>
      <c r="W1" s="25"/>
      <c r="X1" s="25"/>
      <c r="Y1" s="25"/>
    </row>
    <row r="2" spans="1:54">
      <c r="A2" s="100" t="s">
        <v>1095</v>
      </c>
      <c r="B2" s="42"/>
      <c r="C2" s="42"/>
      <c r="D2" s="30"/>
      <c r="S2" s="30"/>
      <c r="U2" s="25"/>
      <c r="V2" s="25"/>
      <c r="W2" s="25"/>
      <c r="X2" s="25"/>
      <c r="Y2" s="25"/>
    </row>
    <row r="3" spans="1:54">
      <c r="A3" s="24"/>
      <c r="B3" s="42"/>
      <c r="C3" s="42"/>
      <c r="D3" s="30"/>
      <c r="S3" s="30"/>
      <c r="U3" s="25"/>
      <c r="V3" s="25"/>
      <c r="W3" s="25"/>
      <c r="X3" s="25"/>
      <c r="Y3" s="25"/>
    </row>
    <row r="4" spans="1:54" ht="51.75" customHeight="1">
      <c r="A4" s="36" t="s">
        <v>0</v>
      </c>
      <c r="B4" s="43" t="s">
        <v>18</v>
      </c>
      <c r="C4" s="43" t="s">
        <v>19</v>
      </c>
      <c r="D4" s="1161" t="s">
        <v>1095</v>
      </c>
      <c r="E4" s="40" t="s">
        <v>26</v>
      </c>
      <c r="F4" s="40" t="s">
        <v>97</v>
      </c>
      <c r="G4" s="40" t="s">
        <v>21</v>
      </c>
      <c r="H4" s="40" t="s">
        <v>44</v>
      </c>
      <c r="I4" s="40" t="s">
        <v>21</v>
      </c>
      <c r="J4" s="40" t="s">
        <v>45</v>
      </c>
      <c r="K4" s="40" t="s">
        <v>26</v>
      </c>
      <c r="L4" s="40" t="s">
        <v>22</v>
      </c>
      <c r="M4" s="40" t="s">
        <v>26</v>
      </c>
      <c r="N4" s="40" t="s">
        <v>22</v>
      </c>
      <c r="O4" s="40" t="s">
        <v>26</v>
      </c>
      <c r="P4" s="40" t="s">
        <v>22</v>
      </c>
      <c r="Q4" s="40" t="s">
        <v>26</v>
      </c>
      <c r="R4" s="40" t="s">
        <v>23</v>
      </c>
      <c r="S4" s="41" t="s">
        <v>17</v>
      </c>
      <c r="T4" s="45" t="s">
        <v>20</v>
      </c>
      <c r="U4" s="40" t="s">
        <v>12</v>
      </c>
      <c r="V4" s="40" t="s">
        <v>13</v>
      </c>
      <c r="W4" s="40" t="s">
        <v>14</v>
      </c>
      <c r="X4" s="40" t="s">
        <v>9</v>
      </c>
      <c r="Y4" s="40" t="s">
        <v>15</v>
      </c>
      <c r="Z4" s="54" t="s">
        <v>7</v>
      </c>
      <c r="AA4" s="55" t="s">
        <v>16</v>
      </c>
    </row>
    <row r="5" spans="1:54" s="192" customFormat="1">
      <c r="A5" s="1193"/>
      <c r="B5" s="1194"/>
      <c r="C5" s="1194"/>
      <c r="D5" s="1195"/>
      <c r="E5" s="1196"/>
      <c r="F5" s="1196"/>
      <c r="G5" s="1196"/>
      <c r="H5" s="1196"/>
      <c r="I5" s="1196"/>
      <c r="J5" s="1196"/>
      <c r="K5" s="1196"/>
      <c r="L5" s="1196"/>
      <c r="M5" s="1196"/>
      <c r="N5" s="1196"/>
      <c r="O5" s="1196"/>
      <c r="P5" s="1196"/>
      <c r="Q5" s="1196"/>
      <c r="R5" s="1196"/>
      <c r="S5" s="1197"/>
      <c r="T5" s="1198"/>
      <c r="U5" s="1196"/>
      <c r="V5" s="1196"/>
      <c r="W5" s="1196"/>
      <c r="X5" s="1196"/>
      <c r="Y5" s="1196"/>
      <c r="Z5" s="1199"/>
      <c r="AA5" s="191">
        <f>SUM(V6:V221)</f>
        <v>195250</v>
      </c>
    </row>
    <row r="6" spans="1:54" s="136" customFormat="1" ht="13.5" customHeight="1">
      <c r="A6" s="184" t="s">
        <v>37</v>
      </c>
      <c r="B6" s="185"/>
      <c r="C6" s="185"/>
      <c r="D6" s="187"/>
      <c r="E6" s="188">
        <v>1100</v>
      </c>
      <c r="F6" s="195"/>
      <c r="G6" s="188">
        <v>200</v>
      </c>
      <c r="H6" s="188"/>
      <c r="I6" s="188">
        <v>1</v>
      </c>
      <c r="J6" s="188"/>
      <c r="K6" s="188">
        <v>175</v>
      </c>
      <c r="L6" s="188"/>
      <c r="M6" s="188">
        <v>0</v>
      </c>
      <c r="N6" s="188"/>
      <c r="O6" s="188">
        <v>0</v>
      </c>
      <c r="P6" s="188"/>
      <c r="Q6" s="188">
        <v>0</v>
      </c>
      <c r="R6" s="188"/>
      <c r="S6" s="186"/>
      <c r="T6" s="189"/>
      <c r="U6" s="188"/>
      <c r="V6" s="188">
        <v>11250</v>
      </c>
      <c r="W6" s="188">
        <f t="shared" ref="W6:W37" si="0">(V6*5%)</f>
        <v>562.5</v>
      </c>
      <c r="X6" s="188">
        <f t="shared" ref="X6:X37" si="1">SUM(V6+W6)</f>
        <v>11812.5</v>
      </c>
      <c r="Y6" s="186">
        <v>48</v>
      </c>
      <c r="Z6" s="190"/>
      <c r="AA6" s="1066"/>
      <c r="AB6" s="192"/>
      <c r="AC6" s="192"/>
      <c r="AD6" s="192"/>
      <c r="AE6" s="192"/>
      <c r="AF6" s="192"/>
      <c r="AG6" s="192"/>
      <c r="AH6" s="192"/>
      <c r="AI6" s="192"/>
      <c r="AJ6" s="192"/>
      <c r="AK6" s="192"/>
      <c r="AL6" s="192"/>
      <c r="AM6" s="192"/>
      <c r="AN6" s="192"/>
      <c r="AO6" s="192"/>
      <c r="AP6" s="192"/>
      <c r="AQ6" s="192"/>
      <c r="AR6" s="192"/>
      <c r="AS6" s="192"/>
      <c r="AT6" s="192"/>
      <c r="AU6" s="192"/>
      <c r="AV6" s="192"/>
      <c r="AW6" s="192"/>
      <c r="AX6" s="192"/>
      <c r="AY6" s="192"/>
      <c r="AZ6" s="192"/>
      <c r="BA6" s="192"/>
      <c r="BB6" s="192"/>
    </row>
    <row r="7" spans="1:54" s="136" customFormat="1">
      <c r="A7" s="157">
        <v>42156</v>
      </c>
      <c r="B7" s="130">
        <v>1</v>
      </c>
      <c r="C7" s="130"/>
      <c r="D7" s="131">
        <v>1</v>
      </c>
      <c r="E7" s="132">
        <v>1100</v>
      </c>
      <c r="F7" s="131">
        <v>1</v>
      </c>
      <c r="G7" s="132">
        <v>200</v>
      </c>
      <c r="H7" s="132"/>
      <c r="I7" s="132">
        <v>1</v>
      </c>
      <c r="J7" s="133"/>
      <c r="K7" s="132">
        <v>175</v>
      </c>
      <c r="L7" s="132"/>
      <c r="M7" s="132">
        <v>0</v>
      </c>
      <c r="N7" s="132"/>
      <c r="O7" s="132">
        <v>0</v>
      </c>
      <c r="P7" s="132"/>
      <c r="Q7" s="132">
        <v>0</v>
      </c>
      <c r="R7" s="132" t="e">
        <f>(B7*#REF!)+(D7*E7)+(F7*G7)</f>
        <v>#REF!</v>
      </c>
      <c r="S7" s="133"/>
      <c r="T7" s="139"/>
      <c r="U7" s="132">
        <f>H7*I7</f>
        <v>0</v>
      </c>
      <c r="V7" s="132">
        <f>(D7*E7)+(F7*G7)+(H7*I7)+(J7*K7)</f>
        <v>1300</v>
      </c>
      <c r="W7" s="132">
        <f t="shared" si="0"/>
        <v>65</v>
      </c>
      <c r="X7" s="132">
        <f t="shared" si="1"/>
        <v>1365</v>
      </c>
      <c r="Y7" s="133">
        <v>49</v>
      </c>
      <c r="Z7" s="141"/>
      <c r="AA7" s="210"/>
    </row>
    <row r="8" spans="1:54" s="136" customFormat="1">
      <c r="A8" s="157">
        <v>42157</v>
      </c>
      <c r="B8" s="130">
        <v>1</v>
      </c>
      <c r="C8" s="130"/>
      <c r="D8" s="131">
        <v>1</v>
      </c>
      <c r="E8" s="132">
        <v>1100</v>
      </c>
      <c r="F8" s="131">
        <v>1</v>
      </c>
      <c r="G8" s="132">
        <v>200</v>
      </c>
      <c r="H8" s="132"/>
      <c r="I8" s="132">
        <v>1</v>
      </c>
      <c r="J8" s="133"/>
      <c r="K8" s="132">
        <v>175</v>
      </c>
      <c r="L8" s="132"/>
      <c r="M8" s="132">
        <v>0</v>
      </c>
      <c r="N8" s="132"/>
      <c r="O8" s="132">
        <v>0</v>
      </c>
      <c r="P8" s="132"/>
      <c r="Q8" s="132">
        <v>0</v>
      </c>
      <c r="R8" s="132" t="e">
        <f>(B8*#REF!)+(D8*E8)+(F8*G8)</f>
        <v>#REF!</v>
      </c>
      <c r="S8" s="133"/>
      <c r="T8" s="139"/>
      <c r="U8" s="132">
        <f t="shared" ref="U8:U17" si="2">H8*I8</f>
        <v>0</v>
      </c>
      <c r="V8" s="132">
        <f t="shared" ref="V8:V37" si="3">(D8*E8)+(F8*G8)+(H8*I8)+(J8*K8)</f>
        <v>1300</v>
      </c>
      <c r="W8" s="132">
        <f t="shared" si="0"/>
        <v>65</v>
      </c>
      <c r="X8" s="132">
        <f t="shared" si="1"/>
        <v>1365</v>
      </c>
      <c r="Y8" s="133">
        <v>49</v>
      </c>
      <c r="Z8" s="141"/>
      <c r="AA8" s="168"/>
    </row>
    <row r="9" spans="1:54" s="136" customFormat="1">
      <c r="A9" s="157">
        <v>42158</v>
      </c>
      <c r="B9" s="130">
        <v>1</v>
      </c>
      <c r="C9" s="130"/>
      <c r="D9" s="131">
        <v>1</v>
      </c>
      <c r="E9" s="132">
        <v>1100</v>
      </c>
      <c r="F9" s="131">
        <v>1</v>
      </c>
      <c r="G9" s="132">
        <v>200</v>
      </c>
      <c r="H9" s="132"/>
      <c r="I9" s="132">
        <v>1</v>
      </c>
      <c r="J9" s="133"/>
      <c r="K9" s="132">
        <v>175</v>
      </c>
      <c r="L9" s="132"/>
      <c r="M9" s="132">
        <v>0</v>
      </c>
      <c r="N9" s="132"/>
      <c r="O9" s="132">
        <v>0</v>
      </c>
      <c r="P9" s="132"/>
      <c r="Q9" s="132">
        <v>0</v>
      </c>
      <c r="R9" s="132" t="e">
        <f>(B9*#REF!)+(D9*E9)+(F9*G9)</f>
        <v>#REF!</v>
      </c>
      <c r="S9" s="133"/>
      <c r="T9" s="139"/>
      <c r="U9" s="132">
        <f t="shared" si="2"/>
        <v>0</v>
      </c>
      <c r="V9" s="132">
        <f t="shared" si="3"/>
        <v>1300</v>
      </c>
      <c r="W9" s="132">
        <f t="shared" si="0"/>
        <v>65</v>
      </c>
      <c r="X9" s="132">
        <f t="shared" si="1"/>
        <v>1365</v>
      </c>
      <c r="Y9" s="133">
        <v>49</v>
      </c>
      <c r="Z9" s="141"/>
      <c r="AA9" s="145"/>
    </row>
    <row r="10" spans="1:54" s="136" customFormat="1">
      <c r="A10" s="157">
        <v>42159</v>
      </c>
      <c r="B10" s="130">
        <v>1</v>
      </c>
      <c r="C10" s="130"/>
      <c r="D10" s="131">
        <v>1</v>
      </c>
      <c r="E10" s="132">
        <v>1100</v>
      </c>
      <c r="F10" s="131">
        <v>1</v>
      </c>
      <c r="G10" s="132">
        <v>200</v>
      </c>
      <c r="H10" s="132"/>
      <c r="I10" s="132">
        <v>1</v>
      </c>
      <c r="J10" s="133"/>
      <c r="K10" s="132">
        <v>175</v>
      </c>
      <c r="L10" s="132"/>
      <c r="M10" s="132">
        <v>0</v>
      </c>
      <c r="N10" s="132"/>
      <c r="O10" s="132">
        <v>0</v>
      </c>
      <c r="P10" s="132"/>
      <c r="Q10" s="132">
        <v>0</v>
      </c>
      <c r="R10" s="132" t="e">
        <f>(B10*#REF!)+(D10*E10)+(F10*G10)</f>
        <v>#REF!</v>
      </c>
      <c r="S10" s="133"/>
      <c r="T10" s="139"/>
      <c r="U10" s="132">
        <f t="shared" si="2"/>
        <v>0</v>
      </c>
      <c r="V10" s="132">
        <f t="shared" si="3"/>
        <v>1300</v>
      </c>
      <c r="W10" s="132">
        <f t="shared" si="0"/>
        <v>65</v>
      </c>
      <c r="X10" s="132">
        <f t="shared" si="1"/>
        <v>1365</v>
      </c>
      <c r="Y10" s="133">
        <v>49</v>
      </c>
      <c r="Z10" s="141"/>
      <c r="AA10" s="145"/>
    </row>
    <row r="11" spans="1:54" s="136" customFormat="1">
      <c r="A11" s="157">
        <v>42160</v>
      </c>
      <c r="B11" s="130">
        <v>1</v>
      </c>
      <c r="C11" s="130"/>
      <c r="D11" s="131">
        <v>1</v>
      </c>
      <c r="E11" s="132">
        <v>1100</v>
      </c>
      <c r="F11" s="131">
        <v>1</v>
      </c>
      <c r="G11" s="132">
        <v>200</v>
      </c>
      <c r="H11" s="132"/>
      <c r="I11" s="132">
        <v>1</v>
      </c>
      <c r="J11" s="133"/>
      <c r="K11" s="132">
        <v>175</v>
      </c>
      <c r="L11" s="132"/>
      <c r="M11" s="132">
        <v>0</v>
      </c>
      <c r="N11" s="132"/>
      <c r="O11" s="132">
        <v>0</v>
      </c>
      <c r="P11" s="132"/>
      <c r="Q11" s="132">
        <v>0</v>
      </c>
      <c r="R11" s="132" t="e">
        <f>(B11*#REF!)+(D11*E11)+(F11*G11)</f>
        <v>#REF!</v>
      </c>
      <c r="S11" s="133"/>
      <c r="T11" s="139"/>
      <c r="U11" s="132">
        <f t="shared" si="2"/>
        <v>0</v>
      </c>
      <c r="V11" s="132">
        <f t="shared" si="3"/>
        <v>1300</v>
      </c>
      <c r="W11" s="132">
        <f t="shared" si="0"/>
        <v>65</v>
      </c>
      <c r="X11" s="132">
        <f t="shared" si="1"/>
        <v>1365</v>
      </c>
      <c r="Y11" s="133">
        <v>49</v>
      </c>
      <c r="Z11" s="141"/>
      <c r="AA11" s="145"/>
    </row>
    <row r="12" spans="1:54" s="136" customFormat="1">
      <c r="A12" s="157">
        <v>42161</v>
      </c>
      <c r="B12" s="130"/>
      <c r="C12" s="130"/>
      <c r="D12" s="131">
        <v>1</v>
      </c>
      <c r="E12" s="132">
        <v>1100</v>
      </c>
      <c r="F12" s="131">
        <v>1</v>
      </c>
      <c r="G12" s="132">
        <v>200</v>
      </c>
      <c r="H12" s="132"/>
      <c r="I12" s="132">
        <v>1</v>
      </c>
      <c r="J12" s="133"/>
      <c r="K12" s="132">
        <v>175</v>
      </c>
      <c r="L12" s="132"/>
      <c r="M12" s="132"/>
      <c r="N12" s="132"/>
      <c r="O12" s="132"/>
      <c r="P12" s="132"/>
      <c r="Q12" s="132"/>
      <c r="R12" s="132"/>
      <c r="S12" s="133"/>
      <c r="T12" s="139"/>
      <c r="U12" s="132">
        <f t="shared" si="2"/>
        <v>0</v>
      </c>
      <c r="V12" s="132">
        <f t="shared" si="3"/>
        <v>1300</v>
      </c>
      <c r="W12" s="132">
        <f t="shared" si="0"/>
        <v>65</v>
      </c>
      <c r="X12" s="132">
        <f t="shared" si="1"/>
        <v>1365</v>
      </c>
      <c r="Y12" s="133">
        <v>49</v>
      </c>
      <c r="Z12" s="141"/>
      <c r="AA12" s="145"/>
    </row>
    <row r="13" spans="1:54" s="136" customFormat="1">
      <c r="A13" s="157">
        <v>42162</v>
      </c>
      <c r="B13" s="130"/>
      <c r="C13" s="130"/>
      <c r="D13" s="131"/>
      <c r="E13" s="132">
        <v>1100</v>
      </c>
      <c r="F13" s="131"/>
      <c r="G13" s="132">
        <v>200</v>
      </c>
      <c r="H13" s="132"/>
      <c r="I13" s="132">
        <v>1</v>
      </c>
      <c r="J13" s="133">
        <v>1</v>
      </c>
      <c r="K13" s="132">
        <v>175</v>
      </c>
      <c r="L13" s="132"/>
      <c r="M13" s="132"/>
      <c r="N13" s="132"/>
      <c r="O13" s="132"/>
      <c r="P13" s="132"/>
      <c r="Q13" s="132"/>
      <c r="R13" s="132"/>
      <c r="S13" s="133"/>
      <c r="T13" s="139"/>
      <c r="U13" s="132">
        <f t="shared" si="2"/>
        <v>0</v>
      </c>
      <c r="V13" s="132">
        <f t="shared" si="3"/>
        <v>175</v>
      </c>
      <c r="W13" s="132">
        <f t="shared" si="0"/>
        <v>8.75</v>
      </c>
      <c r="X13" s="132">
        <f t="shared" si="1"/>
        <v>183.75</v>
      </c>
      <c r="Y13" s="133">
        <v>49</v>
      </c>
      <c r="Z13" s="141"/>
      <c r="AA13" s="145"/>
    </row>
    <row r="14" spans="1:54" s="136" customFormat="1">
      <c r="A14" s="157">
        <v>42163</v>
      </c>
      <c r="B14" s="130">
        <v>1</v>
      </c>
      <c r="C14" s="130"/>
      <c r="D14" s="131">
        <v>1</v>
      </c>
      <c r="E14" s="132">
        <v>1100</v>
      </c>
      <c r="F14" s="131">
        <v>1</v>
      </c>
      <c r="G14" s="132">
        <v>200</v>
      </c>
      <c r="H14" s="132"/>
      <c r="I14" s="132">
        <v>1</v>
      </c>
      <c r="J14" s="133">
        <v>1</v>
      </c>
      <c r="K14" s="132">
        <v>175</v>
      </c>
      <c r="L14" s="132"/>
      <c r="M14" s="132">
        <v>0</v>
      </c>
      <c r="N14" s="132"/>
      <c r="O14" s="132">
        <v>0</v>
      </c>
      <c r="P14" s="132"/>
      <c r="Q14" s="132">
        <v>0</v>
      </c>
      <c r="R14" s="132" t="e">
        <f>(B14*#REF!)+(D14*E14)+(F14*G14)</f>
        <v>#REF!</v>
      </c>
      <c r="S14" s="133"/>
      <c r="T14" s="139"/>
      <c r="U14" s="132">
        <f t="shared" si="2"/>
        <v>0</v>
      </c>
      <c r="V14" s="132">
        <f t="shared" si="3"/>
        <v>1475</v>
      </c>
      <c r="W14" s="132">
        <f t="shared" si="0"/>
        <v>73.75</v>
      </c>
      <c r="X14" s="132">
        <f t="shared" si="1"/>
        <v>1548.75</v>
      </c>
      <c r="Y14" s="133">
        <v>49</v>
      </c>
      <c r="Z14" s="141"/>
      <c r="AA14" s="145"/>
    </row>
    <row r="15" spans="1:54" s="136" customFormat="1">
      <c r="A15" s="157">
        <v>42164</v>
      </c>
      <c r="B15" s="130">
        <v>1</v>
      </c>
      <c r="C15" s="130"/>
      <c r="D15" s="131">
        <v>1</v>
      </c>
      <c r="E15" s="132">
        <v>1100</v>
      </c>
      <c r="F15" s="131">
        <v>1</v>
      </c>
      <c r="G15" s="132">
        <v>200</v>
      </c>
      <c r="H15" s="143"/>
      <c r="I15" s="132">
        <v>1</v>
      </c>
      <c r="J15" s="133">
        <v>1</v>
      </c>
      <c r="K15" s="132">
        <v>175</v>
      </c>
      <c r="L15" s="132"/>
      <c r="M15" s="132">
        <v>0</v>
      </c>
      <c r="N15" s="132"/>
      <c r="O15" s="132">
        <v>0</v>
      </c>
      <c r="P15" s="132"/>
      <c r="Q15" s="132">
        <v>0</v>
      </c>
      <c r="R15" s="132" t="e">
        <f>(B15*#REF!)+(D15*E15)+(F15*G15)</f>
        <v>#REF!</v>
      </c>
      <c r="S15" s="133"/>
      <c r="T15" s="139"/>
      <c r="U15" s="132">
        <f t="shared" si="2"/>
        <v>0</v>
      </c>
      <c r="V15" s="132">
        <f t="shared" si="3"/>
        <v>1475</v>
      </c>
      <c r="W15" s="132">
        <f t="shared" si="0"/>
        <v>73.75</v>
      </c>
      <c r="X15" s="132">
        <f t="shared" si="1"/>
        <v>1548.75</v>
      </c>
      <c r="Y15" s="133">
        <v>49</v>
      </c>
      <c r="Z15" s="141"/>
      <c r="AA15" s="145"/>
    </row>
    <row r="16" spans="1:54" s="136" customFormat="1">
      <c r="A16" s="157">
        <v>42165</v>
      </c>
      <c r="B16" s="130">
        <v>1</v>
      </c>
      <c r="C16" s="130"/>
      <c r="D16" s="131">
        <v>1</v>
      </c>
      <c r="E16" s="132">
        <v>1100</v>
      </c>
      <c r="F16" s="131">
        <v>1</v>
      </c>
      <c r="G16" s="132">
        <v>200</v>
      </c>
      <c r="H16" s="143"/>
      <c r="I16" s="132">
        <v>1</v>
      </c>
      <c r="J16" s="133">
        <v>1</v>
      </c>
      <c r="K16" s="132">
        <v>175</v>
      </c>
      <c r="L16" s="132"/>
      <c r="M16" s="132">
        <v>0</v>
      </c>
      <c r="N16" s="132"/>
      <c r="O16" s="132">
        <v>0</v>
      </c>
      <c r="P16" s="132"/>
      <c r="Q16" s="132">
        <v>0</v>
      </c>
      <c r="R16" s="132" t="e">
        <f>(B16*#REF!)+(D16*E16)+(F16*G16)</f>
        <v>#REF!</v>
      </c>
      <c r="S16" s="133"/>
      <c r="T16" s="139"/>
      <c r="U16" s="132">
        <f t="shared" si="2"/>
        <v>0</v>
      </c>
      <c r="V16" s="132">
        <f t="shared" si="3"/>
        <v>1475</v>
      </c>
      <c r="W16" s="132">
        <f t="shared" si="0"/>
        <v>73.75</v>
      </c>
      <c r="X16" s="132">
        <f t="shared" si="1"/>
        <v>1548.75</v>
      </c>
      <c r="Y16" s="133">
        <v>49</v>
      </c>
      <c r="Z16" s="141"/>
      <c r="AA16" s="145"/>
    </row>
    <row r="17" spans="1:28" s="136" customFormat="1">
      <c r="A17" s="157">
        <v>42166</v>
      </c>
      <c r="B17" s="130">
        <v>1</v>
      </c>
      <c r="C17" s="130"/>
      <c r="D17" s="131">
        <v>1</v>
      </c>
      <c r="E17" s="132">
        <v>1100</v>
      </c>
      <c r="F17" s="131">
        <v>1</v>
      </c>
      <c r="G17" s="132">
        <v>200</v>
      </c>
      <c r="H17" s="143"/>
      <c r="I17" s="132">
        <v>1</v>
      </c>
      <c r="J17" s="133">
        <v>1</v>
      </c>
      <c r="K17" s="132">
        <v>175</v>
      </c>
      <c r="L17" s="132"/>
      <c r="M17" s="132">
        <v>0</v>
      </c>
      <c r="N17" s="132"/>
      <c r="O17" s="132">
        <v>0</v>
      </c>
      <c r="P17" s="132"/>
      <c r="Q17" s="132">
        <v>0</v>
      </c>
      <c r="R17" s="132" t="e">
        <f>(B17*#REF!)+(D17*E17)+(F17*G17)</f>
        <v>#REF!</v>
      </c>
      <c r="S17" s="133"/>
      <c r="T17" s="139"/>
      <c r="U17" s="132">
        <f t="shared" si="2"/>
        <v>0</v>
      </c>
      <c r="V17" s="132">
        <f t="shared" si="3"/>
        <v>1475</v>
      </c>
      <c r="W17" s="132">
        <f t="shared" si="0"/>
        <v>73.75</v>
      </c>
      <c r="X17" s="132">
        <f t="shared" si="1"/>
        <v>1548.75</v>
      </c>
      <c r="Y17" s="133">
        <v>49</v>
      </c>
      <c r="Z17" s="141"/>
      <c r="AA17" s="145"/>
    </row>
    <row r="18" spans="1:28" s="136" customFormat="1">
      <c r="A18" s="157">
        <v>42167</v>
      </c>
      <c r="B18" s="130">
        <v>1</v>
      </c>
      <c r="C18" s="130"/>
      <c r="D18" s="131">
        <v>1</v>
      </c>
      <c r="E18" s="132">
        <v>1100</v>
      </c>
      <c r="F18" s="131">
        <v>1</v>
      </c>
      <c r="G18" s="132">
        <v>200</v>
      </c>
      <c r="H18" s="143"/>
      <c r="I18" s="132">
        <v>1</v>
      </c>
      <c r="J18" s="133">
        <v>1</v>
      </c>
      <c r="K18" s="132">
        <v>175</v>
      </c>
      <c r="L18" s="132"/>
      <c r="M18" s="132">
        <v>0</v>
      </c>
      <c r="N18" s="132"/>
      <c r="O18" s="132">
        <v>0</v>
      </c>
      <c r="P18" s="132"/>
      <c r="Q18" s="132">
        <v>0</v>
      </c>
      <c r="R18" s="132" t="e">
        <f>(B18*#REF!)+(D18*E18)+(F18*G18)</f>
        <v>#REF!</v>
      </c>
      <c r="S18" s="133"/>
      <c r="T18" s="139"/>
      <c r="U18" s="132">
        <f>H18*I18</f>
        <v>0</v>
      </c>
      <c r="V18" s="132">
        <f t="shared" si="3"/>
        <v>1475</v>
      </c>
      <c r="W18" s="132">
        <f>(V18*5%)</f>
        <v>73.75</v>
      </c>
      <c r="X18" s="132">
        <f>SUM(V18+W18)</f>
        <v>1548.75</v>
      </c>
      <c r="Y18" s="133">
        <v>49</v>
      </c>
      <c r="Z18" s="141"/>
      <c r="AA18" s="145"/>
    </row>
    <row r="19" spans="1:28" s="136" customFormat="1">
      <c r="A19" s="157">
        <v>42168</v>
      </c>
      <c r="B19" s="130">
        <v>1</v>
      </c>
      <c r="C19" s="130"/>
      <c r="D19" s="131">
        <v>1</v>
      </c>
      <c r="E19" s="132">
        <v>1100</v>
      </c>
      <c r="F19" s="131">
        <v>1</v>
      </c>
      <c r="G19" s="132">
        <v>200</v>
      </c>
      <c r="H19" s="143"/>
      <c r="I19" s="132">
        <v>1</v>
      </c>
      <c r="J19" s="133">
        <v>1</v>
      </c>
      <c r="K19" s="132">
        <v>175</v>
      </c>
      <c r="L19" s="132"/>
      <c r="M19" s="132">
        <v>0</v>
      </c>
      <c r="N19" s="132"/>
      <c r="O19" s="132">
        <v>0</v>
      </c>
      <c r="P19" s="132"/>
      <c r="Q19" s="132">
        <v>0</v>
      </c>
      <c r="R19" s="132" t="e">
        <f>(B19*#REF!)+(D19*E19)+(F19*G19)</f>
        <v>#REF!</v>
      </c>
      <c r="S19" s="133"/>
      <c r="T19" s="139"/>
      <c r="U19" s="132">
        <f>H19*I19</f>
        <v>0</v>
      </c>
      <c r="V19" s="132">
        <f t="shared" si="3"/>
        <v>1475</v>
      </c>
      <c r="W19" s="132">
        <f>(V19*5%)</f>
        <v>73.75</v>
      </c>
      <c r="X19" s="132">
        <f>SUM(V19+W19)</f>
        <v>1548.75</v>
      </c>
      <c r="Y19" s="133">
        <v>49</v>
      </c>
      <c r="Z19" s="141"/>
      <c r="AA19" s="145"/>
      <c r="AB19" s="147"/>
    </row>
    <row r="20" spans="1:28" s="136" customFormat="1">
      <c r="A20" s="157">
        <v>42169</v>
      </c>
      <c r="B20" s="130">
        <v>0</v>
      </c>
      <c r="C20" s="130"/>
      <c r="D20" s="131"/>
      <c r="E20" s="132">
        <v>1100</v>
      </c>
      <c r="F20" s="131"/>
      <c r="G20" s="132">
        <v>200</v>
      </c>
      <c r="H20" s="143"/>
      <c r="I20" s="132">
        <v>1</v>
      </c>
      <c r="J20" s="133">
        <v>1</v>
      </c>
      <c r="K20" s="132">
        <v>175</v>
      </c>
      <c r="L20" s="132"/>
      <c r="M20" s="132">
        <v>0</v>
      </c>
      <c r="N20" s="132"/>
      <c r="O20" s="132">
        <v>0</v>
      </c>
      <c r="P20" s="132"/>
      <c r="Q20" s="132">
        <v>0</v>
      </c>
      <c r="R20" s="132" t="e">
        <f>(B20*#REF!)+(D20*E20)+(F20*G20)</f>
        <v>#REF!</v>
      </c>
      <c r="S20" s="133"/>
      <c r="T20" s="139"/>
      <c r="U20" s="132">
        <f>H20*I20</f>
        <v>0</v>
      </c>
      <c r="V20" s="132">
        <f t="shared" si="3"/>
        <v>175</v>
      </c>
      <c r="W20" s="132">
        <f>(V20*5%)</f>
        <v>8.75</v>
      </c>
      <c r="X20" s="132">
        <f>SUM(V20+W20)</f>
        <v>183.75</v>
      </c>
      <c r="Y20" s="133">
        <v>49</v>
      </c>
      <c r="Z20" s="141"/>
      <c r="AA20" s="145"/>
    </row>
    <row r="21" spans="1:28" s="136" customFormat="1">
      <c r="A21" s="157">
        <v>42170</v>
      </c>
      <c r="B21" s="130">
        <v>1</v>
      </c>
      <c r="C21" s="130"/>
      <c r="D21" s="131">
        <v>1</v>
      </c>
      <c r="E21" s="132">
        <v>1100</v>
      </c>
      <c r="F21" s="131">
        <v>1</v>
      </c>
      <c r="G21" s="132">
        <v>200</v>
      </c>
      <c r="H21" s="143"/>
      <c r="I21" s="132">
        <v>1</v>
      </c>
      <c r="J21" s="133">
        <v>1</v>
      </c>
      <c r="K21" s="132">
        <v>175</v>
      </c>
      <c r="L21" s="132"/>
      <c r="M21" s="132">
        <v>0</v>
      </c>
      <c r="N21" s="132"/>
      <c r="O21" s="132">
        <v>0</v>
      </c>
      <c r="P21" s="132"/>
      <c r="Q21" s="132">
        <v>0</v>
      </c>
      <c r="R21" s="132" t="e">
        <f>(B21*#REF!)+(D21*E21)+(F21*G21)</f>
        <v>#REF!</v>
      </c>
      <c r="S21" s="133"/>
      <c r="T21" s="139"/>
      <c r="U21" s="132">
        <f>H21*I21</f>
        <v>0</v>
      </c>
      <c r="V21" s="132">
        <f t="shared" si="3"/>
        <v>1475</v>
      </c>
      <c r="W21" s="132">
        <f>(V21*5%)</f>
        <v>73.75</v>
      </c>
      <c r="X21" s="132">
        <f>SUM(V21+W21)</f>
        <v>1548.75</v>
      </c>
      <c r="Y21" s="133">
        <v>49</v>
      </c>
      <c r="Z21" s="141"/>
      <c r="AA21" s="145"/>
    </row>
    <row r="22" spans="1:28" s="136" customFormat="1">
      <c r="A22" s="157">
        <v>42171</v>
      </c>
      <c r="B22" s="130">
        <v>1</v>
      </c>
      <c r="C22" s="130"/>
      <c r="D22" s="131">
        <v>1</v>
      </c>
      <c r="E22" s="132">
        <v>1100</v>
      </c>
      <c r="F22" s="131">
        <v>1</v>
      </c>
      <c r="G22" s="132">
        <v>200</v>
      </c>
      <c r="H22" s="143"/>
      <c r="I22" s="132">
        <v>1</v>
      </c>
      <c r="J22" s="133">
        <v>1</v>
      </c>
      <c r="K22" s="132">
        <v>175</v>
      </c>
      <c r="L22" s="132"/>
      <c r="M22" s="132">
        <v>0</v>
      </c>
      <c r="N22" s="132"/>
      <c r="O22" s="132">
        <v>0</v>
      </c>
      <c r="P22" s="132"/>
      <c r="Q22" s="132">
        <v>0</v>
      </c>
      <c r="R22" s="132" t="e">
        <f>(B22*#REF!)+(D22*E22)+(F22*G22)</f>
        <v>#REF!</v>
      </c>
      <c r="S22" s="133"/>
      <c r="T22" s="139"/>
      <c r="U22" s="132">
        <f t="shared" ref="U22:U37" si="4">H22*I22</f>
        <v>0</v>
      </c>
      <c r="V22" s="132">
        <f t="shared" si="3"/>
        <v>1475</v>
      </c>
      <c r="W22" s="132">
        <f t="shared" ref="W22:W32" si="5">(V22*5%)</f>
        <v>73.75</v>
      </c>
      <c r="X22" s="132">
        <f t="shared" ref="X22:X32" si="6">SUM(V22+W22)</f>
        <v>1548.75</v>
      </c>
      <c r="Y22" s="133">
        <v>49</v>
      </c>
      <c r="Z22" s="141"/>
      <c r="AA22" s="145"/>
    </row>
    <row r="23" spans="1:28" s="136" customFormat="1">
      <c r="A23" s="157">
        <v>42172</v>
      </c>
      <c r="B23" s="130"/>
      <c r="C23" s="130"/>
      <c r="D23" s="131">
        <v>1</v>
      </c>
      <c r="E23" s="132">
        <v>1100</v>
      </c>
      <c r="F23" s="131">
        <v>1</v>
      </c>
      <c r="G23" s="132">
        <v>200</v>
      </c>
      <c r="H23" s="143"/>
      <c r="I23" s="132">
        <v>1</v>
      </c>
      <c r="J23" s="133">
        <v>1</v>
      </c>
      <c r="K23" s="132">
        <v>175</v>
      </c>
      <c r="L23" s="132"/>
      <c r="M23" s="132">
        <v>0</v>
      </c>
      <c r="N23" s="132"/>
      <c r="O23" s="132">
        <v>0</v>
      </c>
      <c r="P23" s="132"/>
      <c r="Q23" s="132">
        <v>0</v>
      </c>
      <c r="R23" s="132" t="e">
        <f>(B23*#REF!)+(D23*E23)+(F23*G23)</f>
        <v>#REF!</v>
      </c>
      <c r="S23" s="133"/>
      <c r="T23" s="139"/>
      <c r="U23" s="132">
        <f t="shared" si="4"/>
        <v>0</v>
      </c>
      <c r="V23" s="132">
        <f t="shared" si="3"/>
        <v>1475</v>
      </c>
      <c r="W23" s="132">
        <f t="shared" si="5"/>
        <v>73.75</v>
      </c>
      <c r="X23" s="132">
        <f t="shared" si="6"/>
        <v>1548.75</v>
      </c>
      <c r="Y23" s="133">
        <v>49</v>
      </c>
      <c r="Z23" s="141"/>
      <c r="AA23" s="145"/>
      <c r="AB23" s="146"/>
    </row>
    <row r="24" spans="1:28" s="136" customFormat="1">
      <c r="A24" s="157">
        <v>42173</v>
      </c>
      <c r="B24" s="130"/>
      <c r="C24" s="130"/>
      <c r="D24" s="131">
        <v>1</v>
      </c>
      <c r="E24" s="132">
        <v>1100</v>
      </c>
      <c r="F24" s="131">
        <v>1</v>
      </c>
      <c r="G24" s="132">
        <v>200</v>
      </c>
      <c r="H24" s="132"/>
      <c r="I24" s="132">
        <v>1</v>
      </c>
      <c r="J24" s="133">
        <v>1</v>
      </c>
      <c r="K24" s="132">
        <v>175</v>
      </c>
      <c r="L24" s="132"/>
      <c r="M24" s="132">
        <v>0</v>
      </c>
      <c r="N24" s="132"/>
      <c r="O24" s="132">
        <v>0</v>
      </c>
      <c r="P24" s="132"/>
      <c r="Q24" s="132">
        <v>0</v>
      </c>
      <c r="R24" s="132" t="e">
        <f>(B24*#REF!)+(D24*E24)+(F24*G24)</f>
        <v>#REF!</v>
      </c>
      <c r="S24" s="133"/>
      <c r="T24" s="139"/>
      <c r="U24" s="132">
        <f t="shared" si="4"/>
        <v>0</v>
      </c>
      <c r="V24" s="132">
        <f t="shared" si="3"/>
        <v>1475</v>
      </c>
      <c r="W24" s="132">
        <f t="shared" si="5"/>
        <v>73.75</v>
      </c>
      <c r="X24" s="132">
        <f t="shared" si="6"/>
        <v>1548.75</v>
      </c>
      <c r="Y24" s="133">
        <v>49</v>
      </c>
      <c r="Z24" s="172"/>
      <c r="AA24" s="145"/>
    </row>
    <row r="25" spans="1:28" s="136" customFormat="1">
      <c r="A25" s="157">
        <v>42174</v>
      </c>
      <c r="B25" s="130"/>
      <c r="C25" s="130"/>
      <c r="D25" s="131">
        <v>1</v>
      </c>
      <c r="E25" s="132">
        <v>1100</v>
      </c>
      <c r="F25" s="131">
        <v>1</v>
      </c>
      <c r="G25" s="132">
        <v>200</v>
      </c>
      <c r="H25" s="132"/>
      <c r="I25" s="132">
        <v>1</v>
      </c>
      <c r="J25" s="133">
        <v>1</v>
      </c>
      <c r="K25" s="132">
        <v>175</v>
      </c>
      <c r="L25" s="132"/>
      <c r="M25" s="132">
        <v>0</v>
      </c>
      <c r="N25" s="132"/>
      <c r="O25" s="132">
        <v>0</v>
      </c>
      <c r="P25" s="132"/>
      <c r="Q25" s="132">
        <v>0</v>
      </c>
      <c r="R25" s="132" t="e">
        <f>(B25*#REF!)+(D25*E25)+(F25*G25)</f>
        <v>#REF!</v>
      </c>
      <c r="S25" s="133"/>
      <c r="T25" s="139"/>
      <c r="U25" s="132">
        <f t="shared" si="4"/>
        <v>0</v>
      </c>
      <c r="V25" s="132">
        <f t="shared" si="3"/>
        <v>1475</v>
      </c>
      <c r="W25" s="132">
        <f t="shared" si="5"/>
        <v>73.75</v>
      </c>
      <c r="X25" s="132">
        <f t="shared" si="6"/>
        <v>1548.75</v>
      </c>
      <c r="Y25" s="133">
        <v>49</v>
      </c>
      <c r="Z25" s="141"/>
      <c r="AA25" s="145"/>
      <c r="AB25" s="147"/>
    </row>
    <row r="26" spans="1:28" s="136" customFormat="1">
      <c r="A26" s="157">
        <v>42175</v>
      </c>
      <c r="B26" s="130"/>
      <c r="C26" s="138"/>
      <c r="D26" s="131">
        <v>1</v>
      </c>
      <c r="E26" s="132">
        <v>1100</v>
      </c>
      <c r="F26" s="131">
        <v>1</v>
      </c>
      <c r="G26" s="132">
        <v>200</v>
      </c>
      <c r="H26" s="143"/>
      <c r="I26" s="132">
        <v>1</v>
      </c>
      <c r="J26" s="133">
        <v>1</v>
      </c>
      <c r="K26" s="132">
        <v>175</v>
      </c>
      <c r="L26" s="132"/>
      <c r="M26" s="132">
        <v>0</v>
      </c>
      <c r="N26" s="132"/>
      <c r="O26" s="132">
        <v>0</v>
      </c>
      <c r="P26" s="132"/>
      <c r="Q26" s="132">
        <v>0</v>
      </c>
      <c r="R26" s="132" t="e">
        <f>(B26*#REF!)+(D26*E26)+(F26*G26)</f>
        <v>#REF!</v>
      </c>
      <c r="S26" s="133"/>
      <c r="T26" s="139"/>
      <c r="U26" s="132">
        <f t="shared" si="4"/>
        <v>0</v>
      </c>
      <c r="V26" s="132">
        <f t="shared" si="3"/>
        <v>1475</v>
      </c>
      <c r="W26" s="132">
        <f t="shared" si="5"/>
        <v>73.75</v>
      </c>
      <c r="X26" s="132">
        <f t="shared" si="6"/>
        <v>1548.75</v>
      </c>
      <c r="Y26" s="133">
        <v>49</v>
      </c>
      <c r="Z26" s="141"/>
      <c r="AA26" s="145"/>
    </row>
    <row r="27" spans="1:28" s="136" customFormat="1">
      <c r="A27" s="137">
        <v>42176</v>
      </c>
      <c r="B27" s="130"/>
      <c r="C27" s="138"/>
      <c r="D27" s="131"/>
      <c r="E27" s="132">
        <v>1100</v>
      </c>
      <c r="F27" s="131"/>
      <c r="G27" s="132">
        <v>200</v>
      </c>
      <c r="H27" s="143"/>
      <c r="I27" s="132">
        <v>1</v>
      </c>
      <c r="J27" s="133">
        <v>1</v>
      </c>
      <c r="K27" s="132">
        <v>175</v>
      </c>
      <c r="L27" s="132"/>
      <c r="M27" s="132">
        <v>0</v>
      </c>
      <c r="N27" s="132"/>
      <c r="O27" s="132">
        <v>0</v>
      </c>
      <c r="P27" s="132"/>
      <c r="Q27" s="132">
        <v>0</v>
      </c>
      <c r="R27" s="132" t="e">
        <f>(B27*#REF!)+(D27*E27)+(F27*G27)</f>
        <v>#REF!</v>
      </c>
      <c r="S27" s="133"/>
      <c r="T27" s="139"/>
      <c r="U27" s="132">
        <f t="shared" si="4"/>
        <v>0</v>
      </c>
      <c r="V27" s="132">
        <f t="shared" si="3"/>
        <v>175</v>
      </c>
      <c r="W27" s="132">
        <f t="shared" si="5"/>
        <v>8.75</v>
      </c>
      <c r="X27" s="132">
        <f t="shared" si="6"/>
        <v>183.75</v>
      </c>
      <c r="Y27" s="133">
        <v>49</v>
      </c>
      <c r="Z27" s="141"/>
      <c r="AA27" s="145"/>
    </row>
    <row r="28" spans="1:28" s="136" customFormat="1">
      <c r="A28" s="137">
        <v>42177</v>
      </c>
      <c r="B28" s="130"/>
      <c r="C28" s="138"/>
      <c r="D28" s="131">
        <v>1</v>
      </c>
      <c r="E28" s="132">
        <v>1100</v>
      </c>
      <c r="F28" s="131">
        <v>1</v>
      </c>
      <c r="G28" s="132">
        <v>200</v>
      </c>
      <c r="H28" s="143"/>
      <c r="I28" s="132">
        <v>1</v>
      </c>
      <c r="J28" s="133">
        <v>1</v>
      </c>
      <c r="K28" s="132">
        <v>175</v>
      </c>
      <c r="L28" s="132"/>
      <c r="M28" s="132">
        <v>0</v>
      </c>
      <c r="N28" s="132"/>
      <c r="O28" s="132">
        <v>0</v>
      </c>
      <c r="P28" s="132"/>
      <c r="Q28" s="132">
        <v>0</v>
      </c>
      <c r="R28" s="132" t="e">
        <f>(B28*#REF!)+(D28*E28)+(F28*G28)</f>
        <v>#REF!</v>
      </c>
      <c r="S28" s="133"/>
      <c r="T28" s="139"/>
      <c r="U28" s="132">
        <f t="shared" si="4"/>
        <v>0</v>
      </c>
      <c r="V28" s="132">
        <f t="shared" si="3"/>
        <v>1475</v>
      </c>
      <c r="W28" s="132">
        <f t="shared" si="5"/>
        <v>73.75</v>
      </c>
      <c r="X28" s="132">
        <f t="shared" si="6"/>
        <v>1548.75</v>
      </c>
      <c r="Y28" s="133">
        <v>49</v>
      </c>
      <c r="Z28" s="141"/>
      <c r="AA28" s="145"/>
    </row>
    <row r="29" spans="1:28" s="136" customFormat="1">
      <c r="A29" s="137">
        <v>42178</v>
      </c>
      <c r="B29" s="130"/>
      <c r="C29" s="138"/>
      <c r="D29" s="131">
        <v>1</v>
      </c>
      <c r="E29" s="132">
        <v>1100</v>
      </c>
      <c r="F29" s="131">
        <v>1</v>
      </c>
      <c r="G29" s="132">
        <v>200</v>
      </c>
      <c r="H29" s="143"/>
      <c r="I29" s="132">
        <v>1</v>
      </c>
      <c r="J29" s="133">
        <v>1</v>
      </c>
      <c r="K29" s="132">
        <v>175</v>
      </c>
      <c r="L29" s="132"/>
      <c r="M29" s="132">
        <v>0</v>
      </c>
      <c r="N29" s="132"/>
      <c r="O29" s="132">
        <v>0</v>
      </c>
      <c r="P29" s="132"/>
      <c r="Q29" s="132">
        <v>0</v>
      </c>
      <c r="R29" s="132" t="e">
        <f>(B29*#REF!)+(D29*E29)+(F29*G29)</f>
        <v>#REF!</v>
      </c>
      <c r="S29" s="133"/>
      <c r="T29" s="139"/>
      <c r="U29" s="132">
        <f t="shared" si="4"/>
        <v>0</v>
      </c>
      <c r="V29" s="132">
        <f t="shared" si="3"/>
        <v>1475</v>
      </c>
      <c r="W29" s="132">
        <f t="shared" si="5"/>
        <v>73.75</v>
      </c>
      <c r="X29" s="132">
        <f t="shared" si="6"/>
        <v>1548.75</v>
      </c>
      <c r="Y29" s="133">
        <v>49</v>
      </c>
      <c r="Z29" s="141"/>
      <c r="AA29" s="145"/>
    </row>
    <row r="30" spans="1:28" s="136" customFormat="1">
      <c r="A30" s="157">
        <v>42179</v>
      </c>
      <c r="B30" s="130"/>
      <c r="C30" s="130"/>
      <c r="D30" s="131">
        <v>1</v>
      </c>
      <c r="E30" s="132">
        <v>1100</v>
      </c>
      <c r="F30" s="131">
        <v>1</v>
      </c>
      <c r="G30" s="132">
        <v>200</v>
      </c>
      <c r="H30" s="132"/>
      <c r="I30" s="132">
        <v>1</v>
      </c>
      <c r="J30" s="133">
        <v>1</v>
      </c>
      <c r="K30" s="132">
        <v>175</v>
      </c>
      <c r="L30" s="132"/>
      <c r="M30" s="132">
        <v>0</v>
      </c>
      <c r="N30" s="132"/>
      <c r="O30" s="132">
        <v>0</v>
      </c>
      <c r="P30" s="132"/>
      <c r="Q30" s="132">
        <v>0</v>
      </c>
      <c r="R30" s="132" t="e">
        <f>(B30*#REF!)+(D30*E30)+(F30*G30)</f>
        <v>#REF!</v>
      </c>
      <c r="S30" s="133"/>
      <c r="T30" s="139"/>
      <c r="U30" s="132">
        <f t="shared" si="4"/>
        <v>0</v>
      </c>
      <c r="V30" s="132">
        <f t="shared" si="3"/>
        <v>1475</v>
      </c>
      <c r="W30" s="132">
        <f t="shared" si="5"/>
        <v>73.75</v>
      </c>
      <c r="X30" s="132">
        <f t="shared" si="6"/>
        <v>1548.75</v>
      </c>
      <c r="Y30" s="133">
        <v>49</v>
      </c>
      <c r="Z30" s="141"/>
      <c r="AA30" s="145"/>
    </row>
    <row r="31" spans="1:28" s="136" customFormat="1">
      <c r="A31" s="157">
        <v>42180</v>
      </c>
      <c r="B31" s="130"/>
      <c r="C31" s="130"/>
      <c r="D31" s="131">
        <v>1</v>
      </c>
      <c r="E31" s="132">
        <v>1100</v>
      </c>
      <c r="F31" s="131">
        <v>1</v>
      </c>
      <c r="G31" s="132">
        <v>200</v>
      </c>
      <c r="H31" s="132"/>
      <c r="I31" s="132">
        <v>1</v>
      </c>
      <c r="J31" s="133">
        <v>1</v>
      </c>
      <c r="K31" s="132">
        <v>175</v>
      </c>
      <c r="L31" s="132"/>
      <c r="M31" s="132">
        <v>0</v>
      </c>
      <c r="N31" s="132"/>
      <c r="O31" s="132">
        <v>0</v>
      </c>
      <c r="P31" s="132"/>
      <c r="Q31" s="132">
        <v>0</v>
      </c>
      <c r="R31" s="132" t="e">
        <f>(B31*#REF!)+(D31*E31)+(F31*G31)</f>
        <v>#REF!</v>
      </c>
      <c r="S31" s="133"/>
      <c r="T31" s="139"/>
      <c r="U31" s="132">
        <f t="shared" si="4"/>
        <v>0</v>
      </c>
      <c r="V31" s="132">
        <f t="shared" si="3"/>
        <v>1475</v>
      </c>
      <c r="W31" s="132">
        <f t="shared" si="5"/>
        <v>73.75</v>
      </c>
      <c r="X31" s="132">
        <f t="shared" si="6"/>
        <v>1548.75</v>
      </c>
      <c r="Y31" s="133">
        <v>49</v>
      </c>
      <c r="Z31" s="141"/>
      <c r="AA31" s="145"/>
    </row>
    <row r="32" spans="1:28" s="136" customFormat="1">
      <c r="A32" s="157">
        <v>42181</v>
      </c>
      <c r="B32" s="130"/>
      <c r="C32" s="130"/>
      <c r="D32" s="131">
        <v>1</v>
      </c>
      <c r="E32" s="132">
        <v>1100</v>
      </c>
      <c r="F32" s="131">
        <v>1</v>
      </c>
      <c r="G32" s="132">
        <v>200</v>
      </c>
      <c r="H32" s="132"/>
      <c r="I32" s="132">
        <v>1</v>
      </c>
      <c r="J32" s="133">
        <v>1</v>
      </c>
      <c r="K32" s="132">
        <v>175</v>
      </c>
      <c r="L32" s="132"/>
      <c r="M32" s="132">
        <v>0</v>
      </c>
      <c r="N32" s="132"/>
      <c r="O32" s="132">
        <v>0</v>
      </c>
      <c r="P32" s="132"/>
      <c r="Q32" s="132">
        <v>0</v>
      </c>
      <c r="R32" s="132" t="e">
        <f>(B32*#REF!)+(D32*E32)+(F32*G32)</f>
        <v>#REF!</v>
      </c>
      <c r="S32" s="133"/>
      <c r="T32" s="139"/>
      <c r="U32" s="132">
        <f t="shared" si="4"/>
        <v>0</v>
      </c>
      <c r="V32" s="132">
        <f t="shared" si="3"/>
        <v>1475</v>
      </c>
      <c r="W32" s="132">
        <f t="shared" si="5"/>
        <v>73.75</v>
      </c>
      <c r="X32" s="132">
        <f t="shared" si="6"/>
        <v>1548.75</v>
      </c>
      <c r="Y32" s="133">
        <v>49</v>
      </c>
      <c r="Z32" s="141"/>
      <c r="AA32" s="211"/>
    </row>
    <row r="33" spans="1:54" s="212" customFormat="1">
      <c r="A33" s="157">
        <v>42182</v>
      </c>
      <c r="B33" s="138"/>
      <c r="C33" s="138"/>
      <c r="D33" s="131">
        <v>1</v>
      </c>
      <c r="E33" s="132">
        <v>1100</v>
      </c>
      <c r="F33" s="131">
        <v>1</v>
      </c>
      <c r="G33" s="132">
        <v>200</v>
      </c>
      <c r="H33" s="132"/>
      <c r="I33" s="132">
        <v>1</v>
      </c>
      <c r="J33" s="133">
        <v>1</v>
      </c>
      <c r="K33" s="132">
        <v>175</v>
      </c>
      <c r="L33" s="132"/>
      <c r="M33" s="132">
        <v>0</v>
      </c>
      <c r="N33" s="132"/>
      <c r="O33" s="132">
        <v>0</v>
      </c>
      <c r="P33" s="132"/>
      <c r="Q33" s="132">
        <v>0</v>
      </c>
      <c r="R33" s="132">
        <f>SUM(K33,I33,G33,E33)</f>
        <v>1476</v>
      </c>
      <c r="S33" s="133"/>
      <c r="T33" s="134"/>
      <c r="U33" s="132">
        <f t="shared" si="4"/>
        <v>0</v>
      </c>
      <c r="V33" s="132">
        <f t="shared" si="3"/>
        <v>1475</v>
      </c>
      <c r="W33" s="132">
        <f t="shared" si="0"/>
        <v>73.75</v>
      </c>
      <c r="X33" s="132">
        <f t="shared" si="1"/>
        <v>1548.75</v>
      </c>
      <c r="Y33" s="133">
        <v>49</v>
      </c>
      <c r="Z33" s="141"/>
      <c r="AA33" s="211"/>
      <c r="AB33" s="136"/>
      <c r="AC33" s="136"/>
      <c r="AD33" s="136"/>
      <c r="AE33" s="136"/>
      <c r="AF33" s="136"/>
      <c r="AG33" s="136"/>
      <c r="AH33" s="136"/>
      <c r="AI33" s="136"/>
      <c r="AJ33" s="136"/>
      <c r="AK33" s="136"/>
      <c r="AL33" s="136"/>
      <c r="AM33" s="136"/>
      <c r="AN33" s="136"/>
      <c r="AO33" s="136"/>
      <c r="AP33" s="136"/>
      <c r="AQ33" s="136"/>
      <c r="AR33" s="136"/>
      <c r="AS33" s="136"/>
      <c r="AT33" s="136"/>
      <c r="AU33" s="136"/>
      <c r="AV33" s="136"/>
      <c r="AW33" s="136"/>
      <c r="AX33" s="136"/>
      <c r="AY33" s="136"/>
      <c r="AZ33" s="136"/>
      <c r="BA33" s="136"/>
      <c r="BB33" s="136"/>
    </row>
    <row r="34" spans="1:54" s="212" customFormat="1">
      <c r="A34" s="157">
        <v>42183</v>
      </c>
      <c r="B34" s="138"/>
      <c r="C34" s="138"/>
      <c r="D34" s="133"/>
      <c r="E34" s="132">
        <v>1100</v>
      </c>
      <c r="F34" s="132"/>
      <c r="G34" s="132">
        <v>200</v>
      </c>
      <c r="H34" s="132"/>
      <c r="I34" s="132">
        <v>1</v>
      </c>
      <c r="J34" s="133">
        <v>1</v>
      </c>
      <c r="K34" s="132">
        <v>175</v>
      </c>
      <c r="L34" s="132"/>
      <c r="M34" s="132">
        <v>0</v>
      </c>
      <c r="N34" s="132"/>
      <c r="O34" s="132">
        <v>0</v>
      </c>
      <c r="P34" s="132"/>
      <c r="Q34" s="132">
        <v>0</v>
      </c>
      <c r="R34" s="132">
        <f>SUM(K34,I34,G34,E34)</f>
        <v>1476</v>
      </c>
      <c r="S34" s="133"/>
      <c r="T34" s="139"/>
      <c r="U34" s="132">
        <f t="shared" si="4"/>
        <v>0</v>
      </c>
      <c r="V34" s="132">
        <f t="shared" si="3"/>
        <v>175</v>
      </c>
      <c r="W34" s="132">
        <f t="shared" si="0"/>
        <v>8.75</v>
      </c>
      <c r="X34" s="132">
        <f t="shared" si="1"/>
        <v>183.75</v>
      </c>
      <c r="Y34" s="133">
        <v>49</v>
      </c>
      <c r="Z34" s="141"/>
      <c r="AA34" s="211"/>
    </row>
    <row r="35" spans="1:54" s="212" customFormat="1">
      <c r="A35" s="157">
        <v>42184</v>
      </c>
      <c r="B35" s="138"/>
      <c r="C35" s="138"/>
      <c r="D35" s="140">
        <v>1</v>
      </c>
      <c r="E35" s="132">
        <v>1100</v>
      </c>
      <c r="F35" s="133">
        <v>1</v>
      </c>
      <c r="G35" s="132">
        <v>200</v>
      </c>
      <c r="H35" s="132"/>
      <c r="I35" s="132">
        <v>1</v>
      </c>
      <c r="J35" s="133">
        <v>1</v>
      </c>
      <c r="K35" s="132">
        <v>175</v>
      </c>
      <c r="L35" s="132"/>
      <c r="M35" s="132"/>
      <c r="N35" s="132"/>
      <c r="O35" s="132"/>
      <c r="P35" s="132"/>
      <c r="Q35" s="132"/>
      <c r="R35" s="132"/>
      <c r="S35" s="140"/>
      <c r="T35" s="134"/>
      <c r="U35" s="132">
        <f t="shared" si="4"/>
        <v>0</v>
      </c>
      <c r="V35" s="132">
        <f t="shared" si="3"/>
        <v>1475</v>
      </c>
      <c r="W35" s="132">
        <f t="shared" si="0"/>
        <v>73.75</v>
      </c>
      <c r="X35" s="132">
        <f t="shared" si="1"/>
        <v>1548.75</v>
      </c>
      <c r="Y35" s="133">
        <v>49</v>
      </c>
      <c r="Z35" s="141"/>
      <c r="AA35" s="213"/>
    </row>
    <row r="36" spans="1:54" s="214" customFormat="1">
      <c r="A36" s="157">
        <v>42185</v>
      </c>
      <c r="B36" s="138"/>
      <c r="C36" s="138"/>
      <c r="D36" s="140">
        <v>1</v>
      </c>
      <c r="E36" s="132">
        <v>1100</v>
      </c>
      <c r="F36" s="133">
        <v>1</v>
      </c>
      <c r="G36" s="132">
        <v>200</v>
      </c>
      <c r="H36" s="132"/>
      <c r="I36" s="132">
        <v>1</v>
      </c>
      <c r="J36" s="133">
        <v>1</v>
      </c>
      <c r="K36" s="132">
        <v>175</v>
      </c>
      <c r="L36" s="132"/>
      <c r="M36" s="132"/>
      <c r="N36" s="132"/>
      <c r="O36" s="132"/>
      <c r="P36" s="132"/>
      <c r="Q36" s="132"/>
      <c r="R36" s="132"/>
      <c r="S36" s="140"/>
      <c r="T36" s="134"/>
      <c r="U36" s="132">
        <f t="shared" si="4"/>
        <v>0</v>
      </c>
      <c r="V36" s="132">
        <f t="shared" si="3"/>
        <v>1475</v>
      </c>
      <c r="W36" s="132">
        <f t="shared" si="0"/>
        <v>73.75</v>
      </c>
      <c r="X36" s="132">
        <f t="shared" si="1"/>
        <v>1548.75</v>
      </c>
      <c r="Y36" s="133">
        <v>49</v>
      </c>
      <c r="Z36" s="141"/>
      <c r="AA36" s="213"/>
      <c r="AB36" s="212"/>
      <c r="AC36" s="212"/>
      <c r="AD36" s="212"/>
      <c r="AE36" s="212"/>
      <c r="AF36" s="212"/>
      <c r="AG36" s="212"/>
      <c r="AH36" s="212"/>
      <c r="AI36" s="212"/>
      <c r="AJ36" s="212"/>
      <c r="AK36" s="212"/>
      <c r="AL36" s="212"/>
      <c r="AM36" s="212"/>
      <c r="AN36" s="212"/>
      <c r="AO36" s="212"/>
      <c r="AP36" s="212"/>
      <c r="AQ36" s="212"/>
      <c r="AR36" s="212"/>
      <c r="AS36" s="212"/>
      <c r="AT36" s="212"/>
      <c r="AU36" s="212"/>
      <c r="AV36" s="212"/>
      <c r="AW36" s="212"/>
      <c r="AX36" s="212"/>
      <c r="AY36" s="212"/>
      <c r="AZ36" s="212"/>
      <c r="BA36" s="212"/>
      <c r="BB36" s="212"/>
    </row>
    <row r="37" spans="1:54" s="214" customFormat="1">
      <c r="A37" s="184">
        <v>42186</v>
      </c>
      <c r="B37" s="198"/>
      <c r="C37" s="198"/>
      <c r="D37" s="199">
        <v>1</v>
      </c>
      <c r="E37" s="188">
        <v>1100</v>
      </c>
      <c r="F37" s="186">
        <v>1</v>
      </c>
      <c r="G37" s="188">
        <v>200</v>
      </c>
      <c r="H37" s="188"/>
      <c r="I37" s="188">
        <v>1</v>
      </c>
      <c r="J37" s="186">
        <v>1</v>
      </c>
      <c r="K37" s="188">
        <v>175</v>
      </c>
      <c r="L37" s="188"/>
      <c r="M37" s="188"/>
      <c r="N37" s="188"/>
      <c r="O37" s="188"/>
      <c r="P37" s="188"/>
      <c r="Q37" s="188"/>
      <c r="R37" s="188"/>
      <c r="S37" s="199"/>
      <c r="T37" s="204"/>
      <c r="U37" s="188">
        <f t="shared" si="4"/>
        <v>0</v>
      </c>
      <c r="V37" s="188">
        <f t="shared" si="3"/>
        <v>1475</v>
      </c>
      <c r="W37" s="188">
        <f t="shared" si="0"/>
        <v>73.75</v>
      </c>
      <c r="X37" s="188">
        <f t="shared" si="1"/>
        <v>1548.75</v>
      </c>
      <c r="Y37" s="186">
        <v>50</v>
      </c>
      <c r="Z37" s="190"/>
      <c r="AA37" s="193"/>
    </row>
    <row r="38" spans="1:54" s="214" customFormat="1">
      <c r="A38" s="184">
        <v>42187</v>
      </c>
      <c r="B38" s="198"/>
      <c r="C38" s="198"/>
      <c r="D38" s="199">
        <v>1</v>
      </c>
      <c r="E38" s="188">
        <v>1100</v>
      </c>
      <c r="F38" s="186">
        <v>1</v>
      </c>
      <c r="G38" s="188">
        <v>200</v>
      </c>
      <c r="H38" s="188"/>
      <c r="I38" s="188">
        <v>1</v>
      </c>
      <c r="J38" s="186">
        <v>1</v>
      </c>
      <c r="K38" s="188">
        <v>175</v>
      </c>
      <c r="L38" s="188"/>
      <c r="M38" s="188"/>
      <c r="N38" s="188"/>
      <c r="O38" s="188"/>
      <c r="P38" s="188"/>
      <c r="Q38" s="188"/>
      <c r="R38" s="188"/>
      <c r="S38" s="199"/>
      <c r="T38" s="204"/>
      <c r="U38" s="188">
        <f>H38*I38</f>
        <v>0</v>
      </c>
      <c r="V38" s="188">
        <f t="shared" ref="V38:V63" si="7">(D38*E38)+(F38*G38)+(H38*I38)+(J38*K38)</f>
        <v>1475</v>
      </c>
      <c r="W38" s="188">
        <f t="shared" ref="W38:W63" si="8">(V38*5%)</f>
        <v>73.75</v>
      </c>
      <c r="X38" s="188">
        <f t="shared" ref="X38:X63" si="9">SUM(V38+W38)</f>
        <v>1548.75</v>
      </c>
      <c r="Y38" s="186">
        <v>50</v>
      </c>
      <c r="Z38" s="190"/>
      <c r="AA38" s="193"/>
    </row>
    <row r="39" spans="1:54" s="214" customFormat="1">
      <c r="A39" s="184">
        <v>42188</v>
      </c>
      <c r="B39" s="198"/>
      <c r="C39" s="198"/>
      <c r="D39" s="199">
        <v>1</v>
      </c>
      <c r="E39" s="188">
        <v>1100</v>
      </c>
      <c r="F39" s="186">
        <v>1</v>
      </c>
      <c r="G39" s="188">
        <v>200</v>
      </c>
      <c r="H39" s="188"/>
      <c r="I39" s="188">
        <v>1</v>
      </c>
      <c r="J39" s="186">
        <v>1</v>
      </c>
      <c r="K39" s="188">
        <v>175</v>
      </c>
      <c r="L39" s="188"/>
      <c r="M39" s="188"/>
      <c r="N39" s="188"/>
      <c r="O39" s="188"/>
      <c r="P39" s="188"/>
      <c r="Q39" s="188"/>
      <c r="R39" s="188"/>
      <c r="S39" s="199"/>
      <c r="T39" s="204"/>
      <c r="U39" s="188">
        <f>H39*I39</f>
        <v>0</v>
      </c>
      <c r="V39" s="188">
        <f t="shared" si="7"/>
        <v>1475</v>
      </c>
      <c r="W39" s="188">
        <f t="shared" si="8"/>
        <v>73.75</v>
      </c>
      <c r="X39" s="188">
        <f t="shared" si="9"/>
        <v>1548.75</v>
      </c>
      <c r="Y39" s="186">
        <v>50</v>
      </c>
      <c r="Z39" s="190"/>
      <c r="AA39" s="193"/>
    </row>
    <row r="40" spans="1:54" s="214" customFormat="1" ht="13.5" customHeight="1">
      <c r="A40" s="184">
        <v>42189</v>
      </c>
      <c r="B40" s="198"/>
      <c r="C40" s="198"/>
      <c r="D40" s="199">
        <v>1</v>
      </c>
      <c r="E40" s="188">
        <v>1100</v>
      </c>
      <c r="F40" s="186">
        <v>1</v>
      </c>
      <c r="G40" s="188">
        <v>200</v>
      </c>
      <c r="H40" s="188"/>
      <c r="I40" s="188">
        <v>1</v>
      </c>
      <c r="J40" s="186">
        <v>1</v>
      </c>
      <c r="K40" s="188">
        <v>175</v>
      </c>
      <c r="L40" s="188"/>
      <c r="M40" s="188"/>
      <c r="N40" s="188"/>
      <c r="O40" s="188"/>
      <c r="P40" s="188"/>
      <c r="Q40" s="188"/>
      <c r="R40" s="188"/>
      <c r="S40" s="199"/>
      <c r="T40" s="204"/>
      <c r="U40" s="188">
        <f>H40*I40</f>
        <v>0</v>
      </c>
      <c r="V40" s="188">
        <f t="shared" si="7"/>
        <v>1475</v>
      </c>
      <c r="W40" s="188">
        <f t="shared" si="8"/>
        <v>73.75</v>
      </c>
      <c r="X40" s="188">
        <f t="shared" si="9"/>
        <v>1548.75</v>
      </c>
      <c r="Y40" s="186">
        <v>50</v>
      </c>
      <c r="Z40" s="190"/>
      <c r="AA40" s="193"/>
    </row>
    <row r="41" spans="1:54" s="214" customFormat="1" ht="14.25" customHeight="1">
      <c r="A41" s="184">
        <v>42190</v>
      </c>
      <c r="B41" s="198"/>
      <c r="C41" s="198"/>
      <c r="D41" s="199"/>
      <c r="E41" s="188"/>
      <c r="F41" s="186"/>
      <c r="G41" s="188"/>
      <c r="H41" s="188"/>
      <c r="I41" s="188"/>
      <c r="J41" s="186">
        <v>1</v>
      </c>
      <c r="K41" s="188">
        <v>175</v>
      </c>
      <c r="L41" s="188"/>
      <c r="M41" s="188"/>
      <c r="N41" s="188"/>
      <c r="O41" s="188"/>
      <c r="P41" s="188"/>
      <c r="Q41" s="188"/>
      <c r="R41" s="188"/>
      <c r="S41" s="199"/>
      <c r="T41" s="204"/>
      <c r="U41" s="188">
        <f>H41*I41</f>
        <v>0</v>
      </c>
      <c r="V41" s="188">
        <f t="shared" si="7"/>
        <v>175</v>
      </c>
      <c r="W41" s="188">
        <f t="shared" si="8"/>
        <v>8.75</v>
      </c>
      <c r="X41" s="188">
        <f t="shared" si="9"/>
        <v>183.75</v>
      </c>
      <c r="Y41" s="186">
        <v>50</v>
      </c>
      <c r="Z41" s="190"/>
      <c r="AA41" s="193"/>
    </row>
    <row r="42" spans="1:54" s="214" customFormat="1">
      <c r="A42" s="215">
        <v>42191</v>
      </c>
      <c r="B42" s="198"/>
      <c r="C42" s="198"/>
      <c r="D42" s="199">
        <v>1</v>
      </c>
      <c r="E42" s="188">
        <v>1100</v>
      </c>
      <c r="F42" s="186">
        <v>1</v>
      </c>
      <c r="G42" s="188">
        <v>200</v>
      </c>
      <c r="H42" s="188"/>
      <c r="I42" s="188">
        <v>1</v>
      </c>
      <c r="J42" s="186">
        <v>1</v>
      </c>
      <c r="K42" s="188">
        <v>175</v>
      </c>
      <c r="L42" s="188"/>
      <c r="M42" s="188"/>
      <c r="N42" s="188"/>
      <c r="O42" s="188"/>
      <c r="P42" s="188"/>
      <c r="Q42" s="188"/>
      <c r="R42" s="188"/>
      <c r="S42" s="199"/>
      <c r="T42" s="204"/>
      <c r="U42" s="188"/>
      <c r="V42" s="188">
        <f t="shared" si="7"/>
        <v>1475</v>
      </c>
      <c r="W42" s="188">
        <f t="shared" si="8"/>
        <v>73.75</v>
      </c>
      <c r="X42" s="188">
        <f t="shared" si="9"/>
        <v>1548.75</v>
      </c>
      <c r="Y42" s="186">
        <v>50</v>
      </c>
      <c r="Z42" s="190"/>
      <c r="AA42" s="193"/>
    </row>
    <row r="43" spans="1:54" s="214" customFormat="1">
      <c r="A43" s="215">
        <v>42192</v>
      </c>
      <c r="B43" s="198"/>
      <c r="C43" s="198"/>
      <c r="D43" s="199">
        <v>1</v>
      </c>
      <c r="E43" s="188">
        <v>1100</v>
      </c>
      <c r="F43" s="186">
        <v>1</v>
      </c>
      <c r="G43" s="188">
        <v>200</v>
      </c>
      <c r="H43" s="188"/>
      <c r="I43" s="188">
        <v>1</v>
      </c>
      <c r="J43" s="186">
        <v>1</v>
      </c>
      <c r="K43" s="188">
        <v>175</v>
      </c>
      <c r="L43" s="188"/>
      <c r="M43" s="188"/>
      <c r="N43" s="188"/>
      <c r="O43" s="188"/>
      <c r="P43" s="188"/>
      <c r="Q43" s="188"/>
      <c r="R43" s="188"/>
      <c r="S43" s="199"/>
      <c r="T43" s="204"/>
      <c r="U43" s="188"/>
      <c r="V43" s="188">
        <f t="shared" si="7"/>
        <v>1475</v>
      </c>
      <c r="W43" s="188">
        <f t="shared" si="8"/>
        <v>73.75</v>
      </c>
      <c r="X43" s="188">
        <f t="shared" si="9"/>
        <v>1548.75</v>
      </c>
      <c r="Y43" s="186">
        <v>50</v>
      </c>
      <c r="Z43" s="190"/>
      <c r="AA43" s="193"/>
    </row>
    <row r="44" spans="1:54" s="214" customFormat="1">
      <c r="A44" s="215">
        <v>42193</v>
      </c>
      <c r="B44" s="198"/>
      <c r="C44" s="198"/>
      <c r="D44" s="199">
        <v>1</v>
      </c>
      <c r="E44" s="188">
        <v>1100</v>
      </c>
      <c r="F44" s="186">
        <v>1</v>
      </c>
      <c r="G44" s="188">
        <v>200</v>
      </c>
      <c r="H44" s="188"/>
      <c r="I44" s="188">
        <v>1</v>
      </c>
      <c r="J44" s="186">
        <v>1</v>
      </c>
      <c r="K44" s="188">
        <v>175</v>
      </c>
      <c r="L44" s="188"/>
      <c r="M44" s="188"/>
      <c r="N44" s="188"/>
      <c r="O44" s="188"/>
      <c r="P44" s="188"/>
      <c r="Q44" s="188"/>
      <c r="R44" s="188"/>
      <c r="S44" s="199"/>
      <c r="T44" s="204"/>
      <c r="U44" s="188"/>
      <c r="V44" s="188">
        <f t="shared" si="7"/>
        <v>1475</v>
      </c>
      <c r="W44" s="188">
        <f t="shared" si="8"/>
        <v>73.75</v>
      </c>
      <c r="X44" s="188">
        <f t="shared" si="9"/>
        <v>1548.75</v>
      </c>
      <c r="Y44" s="186">
        <v>50</v>
      </c>
      <c r="Z44" s="190"/>
      <c r="AA44" s="193"/>
    </row>
    <row r="45" spans="1:54" s="214" customFormat="1">
      <c r="A45" s="215">
        <v>42194</v>
      </c>
      <c r="B45" s="198"/>
      <c r="C45" s="198"/>
      <c r="D45" s="199">
        <v>1</v>
      </c>
      <c r="E45" s="188">
        <v>1100</v>
      </c>
      <c r="F45" s="186">
        <v>1</v>
      </c>
      <c r="G45" s="188">
        <v>200</v>
      </c>
      <c r="H45" s="188"/>
      <c r="I45" s="188">
        <v>1</v>
      </c>
      <c r="J45" s="186">
        <v>1</v>
      </c>
      <c r="K45" s="188">
        <v>175</v>
      </c>
      <c r="L45" s="188"/>
      <c r="M45" s="188"/>
      <c r="N45" s="188"/>
      <c r="O45" s="188"/>
      <c r="P45" s="188"/>
      <c r="Q45" s="188"/>
      <c r="R45" s="188"/>
      <c r="S45" s="199"/>
      <c r="T45" s="204"/>
      <c r="U45" s="188"/>
      <c r="V45" s="188">
        <f t="shared" si="7"/>
        <v>1475</v>
      </c>
      <c r="W45" s="188">
        <f t="shared" si="8"/>
        <v>73.75</v>
      </c>
      <c r="X45" s="188">
        <f t="shared" si="9"/>
        <v>1548.75</v>
      </c>
      <c r="Y45" s="186">
        <v>50</v>
      </c>
      <c r="Z45" s="190"/>
      <c r="AA45" s="193"/>
    </row>
    <row r="46" spans="1:54" s="214" customFormat="1">
      <c r="A46" s="215">
        <v>42195</v>
      </c>
      <c r="B46" s="198"/>
      <c r="C46" s="198"/>
      <c r="D46" s="199">
        <v>1</v>
      </c>
      <c r="E46" s="188">
        <v>1100</v>
      </c>
      <c r="F46" s="186">
        <v>1</v>
      </c>
      <c r="G46" s="188">
        <v>200</v>
      </c>
      <c r="H46" s="188"/>
      <c r="I46" s="188">
        <v>1</v>
      </c>
      <c r="J46" s="186">
        <v>1</v>
      </c>
      <c r="K46" s="188">
        <v>175</v>
      </c>
      <c r="L46" s="188"/>
      <c r="M46" s="188"/>
      <c r="N46" s="188"/>
      <c r="O46" s="188"/>
      <c r="P46" s="188"/>
      <c r="Q46" s="188"/>
      <c r="R46" s="188"/>
      <c r="S46" s="199"/>
      <c r="T46" s="204"/>
      <c r="U46" s="188"/>
      <c r="V46" s="188">
        <f t="shared" si="7"/>
        <v>1475</v>
      </c>
      <c r="W46" s="188">
        <f t="shared" si="8"/>
        <v>73.75</v>
      </c>
      <c r="X46" s="188">
        <f t="shared" si="9"/>
        <v>1548.75</v>
      </c>
      <c r="Y46" s="186">
        <v>50</v>
      </c>
      <c r="Z46" s="190"/>
      <c r="AA46" s="193"/>
    </row>
    <row r="47" spans="1:54" s="214" customFormat="1">
      <c r="A47" s="215">
        <v>42196</v>
      </c>
      <c r="B47" s="198"/>
      <c r="C47" s="198"/>
      <c r="D47" s="199">
        <v>1</v>
      </c>
      <c r="E47" s="188">
        <v>1100</v>
      </c>
      <c r="F47" s="186">
        <v>1</v>
      </c>
      <c r="G47" s="188">
        <v>200</v>
      </c>
      <c r="H47" s="188"/>
      <c r="I47" s="188">
        <v>1</v>
      </c>
      <c r="J47" s="186">
        <v>1</v>
      </c>
      <c r="K47" s="188">
        <v>175</v>
      </c>
      <c r="L47" s="188"/>
      <c r="M47" s="188"/>
      <c r="N47" s="188"/>
      <c r="O47" s="188"/>
      <c r="P47" s="188"/>
      <c r="Q47" s="188"/>
      <c r="R47" s="188"/>
      <c r="S47" s="199"/>
      <c r="T47" s="204"/>
      <c r="U47" s="188"/>
      <c r="V47" s="188">
        <f t="shared" si="7"/>
        <v>1475</v>
      </c>
      <c r="W47" s="188">
        <f t="shared" si="8"/>
        <v>73.75</v>
      </c>
      <c r="X47" s="188">
        <f t="shared" si="9"/>
        <v>1548.75</v>
      </c>
      <c r="Y47" s="186">
        <v>50</v>
      </c>
      <c r="Z47" s="190"/>
      <c r="AA47" s="193"/>
    </row>
    <row r="48" spans="1:54" s="214" customFormat="1">
      <c r="A48" s="215">
        <v>42197</v>
      </c>
      <c r="B48" s="198"/>
      <c r="C48" s="198"/>
      <c r="D48" s="199"/>
      <c r="E48" s="188">
        <v>1100</v>
      </c>
      <c r="F48" s="186"/>
      <c r="G48" s="188">
        <v>200</v>
      </c>
      <c r="H48" s="188"/>
      <c r="I48" s="188">
        <v>1</v>
      </c>
      <c r="J48" s="186">
        <v>1</v>
      </c>
      <c r="K48" s="188">
        <v>175</v>
      </c>
      <c r="L48" s="188"/>
      <c r="M48" s="188"/>
      <c r="N48" s="188"/>
      <c r="O48" s="188"/>
      <c r="P48" s="188"/>
      <c r="Q48" s="188"/>
      <c r="R48" s="188"/>
      <c r="S48" s="199"/>
      <c r="T48" s="204"/>
      <c r="U48" s="188"/>
      <c r="V48" s="188">
        <f t="shared" si="7"/>
        <v>175</v>
      </c>
      <c r="W48" s="188">
        <f t="shared" si="8"/>
        <v>8.75</v>
      </c>
      <c r="X48" s="188">
        <f t="shared" si="9"/>
        <v>183.75</v>
      </c>
      <c r="Y48" s="186">
        <v>50</v>
      </c>
      <c r="Z48" s="190"/>
      <c r="AA48" s="193"/>
    </row>
    <row r="49" spans="1:54" s="214" customFormat="1">
      <c r="A49" s="215">
        <v>42198</v>
      </c>
      <c r="B49" s="198"/>
      <c r="C49" s="198"/>
      <c r="D49" s="199">
        <v>1</v>
      </c>
      <c r="E49" s="188">
        <v>1100</v>
      </c>
      <c r="F49" s="186">
        <v>1</v>
      </c>
      <c r="G49" s="188">
        <v>200</v>
      </c>
      <c r="H49" s="188"/>
      <c r="I49" s="188">
        <v>1</v>
      </c>
      <c r="J49" s="186">
        <v>1</v>
      </c>
      <c r="K49" s="188">
        <v>175</v>
      </c>
      <c r="L49" s="188"/>
      <c r="M49" s="188"/>
      <c r="N49" s="188"/>
      <c r="O49" s="188"/>
      <c r="P49" s="188"/>
      <c r="Q49" s="188"/>
      <c r="R49" s="188"/>
      <c r="S49" s="199"/>
      <c r="T49" s="204"/>
      <c r="U49" s="188"/>
      <c r="V49" s="188">
        <f t="shared" si="7"/>
        <v>1475</v>
      </c>
      <c r="W49" s="188">
        <f t="shared" si="8"/>
        <v>73.75</v>
      </c>
      <c r="X49" s="188">
        <f t="shared" si="9"/>
        <v>1548.75</v>
      </c>
      <c r="Y49" s="186">
        <v>50</v>
      </c>
      <c r="Z49" s="190"/>
      <c r="AA49" s="193"/>
    </row>
    <row r="50" spans="1:54" s="214" customFormat="1">
      <c r="A50" s="215">
        <v>42199</v>
      </c>
      <c r="B50" s="198"/>
      <c r="C50" s="198"/>
      <c r="D50" s="199">
        <v>1</v>
      </c>
      <c r="E50" s="188">
        <v>1100</v>
      </c>
      <c r="F50" s="186">
        <v>1</v>
      </c>
      <c r="G50" s="188">
        <v>200</v>
      </c>
      <c r="H50" s="188"/>
      <c r="I50" s="188">
        <v>1</v>
      </c>
      <c r="J50" s="186">
        <v>1</v>
      </c>
      <c r="K50" s="188">
        <v>175</v>
      </c>
      <c r="L50" s="188"/>
      <c r="M50" s="188"/>
      <c r="N50" s="188"/>
      <c r="O50" s="188"/>
      <c r="P50" s="188"/>
      <c r="Q50" s="188"/>
      <c r="R50" s="188"/>
      <c r="S50" s="199"/>
      <c r="T50" s="204"/>
      <c r="U50" s="188"/>
      <c r="V50" s="188">
        <f t="shared" si="7"/>
        <v>1475</v>
      </c>
      <c r="W50" s="188">
        <f t="shared" si="8"/>
        <v>73.75</v>
      </c>
      <c r="X50" s="188">
        <f t="shared" si="9"/>
        <v>1548.75</v>
      </c>
      <c r="Y50" s="186">
        <v>50</v>
      </c>
      <c r="Z50" s="190"/>
      <c r="AA50" s="193"/>
    </row>
    <row r="51" spans="1:54" s="214" customFormat="1">
      <c r="A51" s="215">
        <v>42200</v>
      </c>
      <c r="B51" s="198"/>
      <c r="C51" s="198"/>
      <c r="D51" s="199">
        <v>1</v>
      </c>
      <c r="E51" s="188">
        <v>1100</v>
      </c>
      <c r="F51" s="186">
        <v>1</v>
      </c>
      <c r="G51" s="188">
        <v>200</v>
      </c>
      <c r="H51" s="188"/>
      <c r="I51" s="188">
        <v>1</v>
      </c>
      <c r="J51" s="186">
        <v>1</v>
      </c>
      <c r="K51" s="188">
        <v>175</v>
      </c>
      <c r="L51" s="188"/>
      <c r="M51" s="188"/>
      <c r="N51" s="188"/>
      <c r="O51" s="188"/>
      <c r="P51" s="188"/>
      <c r="Q51" s="188"/>
      <c r="R51" s="188"/>
      <c r="S51" s="199"/>
      <c r="T51" s="204"/>
      <c r="U51" s="188"/>
      <c r="V51" s="188">
        <f t="shared" si="7"/>
        <v>1475</v>
      </c>
      <c r="W51" s="188">
        <f t="shared" si="8"/>
        <v>73.75</v>
      </c>
      <c r="X51" s="188">
        <f t="shared" si="9"/>
        <v>1548.75</v>
      </c>
      <c r="Y51" s="186">
        <v>50</v>
      </c>
      <c r="Z51" s="190"/>
      <c r="AA51" s="193"/>
    </row>
    <row r="52" spans="1:54" s="214" customFormat="1">
      <c r="A52" s="215">
        <v>42201</v>
      </c>
      <c r="B52" s="198"/>
      <c r="C52" s="198"/>
      <c r="D52" s="199">
        <v>1</v>
      </c>
      <c r="E52" s="188">
        <v>1100</v>
      </c>
      <c r="F52" s="186">
        <v>1</v>
      </c>
      <c r="G52" s="188">
        <v>200</v>
      </c>
      <c r="H52" s="188"/>
      <c r="I52" s="188">
        <v>1</v>
      </c>
      <c r="J52" s="186">
        <v>1</v>
      </c>
      <c r="K52" s="188">
        <v>175</v>
      </c>
      <c r="L52" s="188"/>
      <c r="M52" s="188"/>
      <c r="N52" s="188"/>
      <c r="O52" s="188"/>
      <c r="P52" s="188"/>
      <c r="Q52" s="188"/>
      <c r="R52" s="188"/>
      <c r="S52" s="199"/>
      <c r="T52" s="204"/>
      <c r="U52" s="188"/>
      <c r="V52" s="188">
        <f t="shared" si="7"/>
        <v>1475</v>
      </c>
      <c r="W52" s="188">
        <f t="shared" si="8"/>
        <v>73.75</v>
      </c>
      <c r="X52" s="188">
        <f t="shared" si="9"/>
        <v>1548.75</v>
      </c>
      <c r="Y52" s="186">
        <v>50</v>
      </c>
      <c r="Z52" s="203">
        <f>SUM(V37:V63)</f>
        <v>37225</v>
      </c>
      <c r="AA52" s="193"/>
    </row>
    <row r="53" spans="1:54" s="214" customFormat="1">
      <c r="A53" s="215">
        <v>42205</v>
      </c>
      <c r="B53" s="198"/>
      <c r="C53" s="198">
        <v>427</v>
      </c>
      <c r="D53" s="199">
        <v>1</v>
      </c>
      <c r="E53" s="188">
        <v>1100</v>
      </c>
      <c r="F53" s="186">
        <v>1</v>
      </c>
      <c r="G53" s="188">
        <v>200</v>
      </c>
      <c r="H53" s="188"/>
      <c r="I53" s="188">
        <v>1</v>
      </c>
      <c r="J53" s="186">
        <v>1</v>
      </c>
      <c r="K53" s="188">
        <v>175</v>
      </c>
      <c r="L53" s="188"/>
      <c r="M53" s="188"/>
      <c r="N53" s="188"/>
      <c r="O53" s="188"/>
      <c r="P53" s="188"/>
      <c r="Q53" s="188"/>
      <c r="R53" s="188"/>
      <c r="S53" s="199"/>
      <c r="T53" s="204"/>
      <c r="U53" s="188"/>
      <c r="V53" s="188">
        <f t="shared" si="7"/>
        <v>1475</v>
      </c>
      <c r="W53" s="188">
        <f t="shared" si="8"/>
        <v>73.75</v>
      </c>
      <c r="X53" s="188">
        <f t="shared" si="9"/>
        <v>1548.75</v>
      </c>
      <c r="Y53" s="186">
        <v>50</v>
      </c>
      <c r="Z53" s="190"/>
      <c r="AA53" s="193"/>
    </row>
    <row r="54" spans="1:54" s="214" customFormat="1">
      <c r="A54" s="215">
        <v>42206</v>
      </c>
      <c r="B54" s="198"/>
      <c r="C54" s="198">
        <v>427</v>
      </c>
      <c r="D54" s="199">
        <v>1</v>
      </c>
      <c r="E54" s="188">
        <v>1100</v>
      </c>
      <c r="F54" s="186">
        <v>1</v>
      </c>
      <c r="G54" s="188">
        <v>200</v>
      </c>
      <c r="H54" s="188"/>
      <c r="I54" s="188">
        <v>1</v>
      </c>
      <c r="J54" s="186">
        <v>1</v>
      </c>
      <c r="K54" s="188">
        <v>175</v>
      </c>
      <c r="L54" s="188"/>
      <c r="M54" s="188"/>
      <c r="N54" s="188"/>
      <c r="O54" s="188"/>
      <c r="P54" s="188"/>
      <c r="Q54" s="188"/>
      <c r="R54" s="188"/>
      <c r="S54" s="199"/>
      <c r="T54" s="204"/>
      <c r="U54" s="188"/>
      <c r="V54" s="188">
        <f t="shared" si="7"/>
        <v>1475</v>
      </c>
      <c r="W54" s="188">
        <f t="shared" si="8"/>
        <v>73.75</v>
      </c>
      <c r="X54" s="188">
        <f t="shared" si="9"/>
        <v>1548.75</v>
      </c>
      <c r="Y54" s="186">
        <v>50</v>
      </c>
      <c r="Z54" s="190"/>
      <c r="AA54" s="193"/>
    </row>
    <row r="55" spans="1:54" s="214" customFormat="1">
      <c r="A55" s="215">
        <v>42207</v>
      </c>
      <c r="B55" s="198"/>
      <c r="C55" s="198">
        <v>427</v>
      </c>
      <c r="D55" s="199">
        <v>1</v>
      </c>
      <c r="E55" s="188">
        <v>1100</v>
      </c>
      <c r="F55" s="186">
        <v>1</v>
      </c>
      <c r="G55" s="188">
        <v>200</v>
      </c>
      <c r="H55" s="188"/>
      <c r="I55" s="188">
        <v>1</v>
      </c>
      <c r="J55" s="186">
        <v>1</v>
      </c>
      <c r="K55" s="188">
        <v>175</v>
      </c>
      <c r="L55" s="188"/>
      <c r="M55" s="188"/>
      <c r="N55" s="188"/>
      <c r="O55" s="188"/>
      <c r="P55" s="188"/>
      <c r="Q55" s="188"/>
      <c r="R55" s="188"/>
      <c r="S55" s="199"/>
      <c r="T55" s="204"/>
      <c r="U55" s="188"/>
      <c r="V55" s="188">
        <f t="shared" si="7"/>
        <v>1475</v>
      </c>
      <c r="W55" s="188">
        <f t="shared" si="8"/>
        <v>73.75</v>
      </c>
      <c r="X55" s="188">
        <f t="shared" si="9"/>
        <v>1548.75</v>
      </c>
      <c r="Y55" s="186">
        <v>50</v>
      </c>
      <c r="Z55" s="190"/>
      <c r="AA55" s="193"/>
    </row>
    <row r="56" spans="1:54" s="214" customFormat="1">
      <c r="A56" s="215">
        <v>42208</v>
      </c>
      <c r="B56" s="198"/>
      <c r="C56" s="198">
        <v>427</v>
      </c>
      <c r="D56" s="199">
        <v>1</v>
      </c>
      <c r="E56" s="188">
        <v>1100</v>
      </c>
      <c r="F56" s="186">
        <v>1</v>
      </c>
      <c r="G56" s="188">
        <v>200</v>
      </c>
      <c r="H56" s="188"/>
      <c r="I56" s="188">
        <v>1</v>
      </c>
      <c r="J56" s="186">
        <v>1</v>
      </c>
      <c r="K56" s="188">
        <v>175</v>
      </c>
      <c r="L56" s="188"/>
      <c r="M56" s="188"/>
      <c r="N56" s="188"/>
      <c r="O56" s="188"/>
      <c r="P56" s="188"/>
      <c r="Q56" s="188"/>
      <c r="R56" s="188"/>
      <c r="S56" s="199"/>
      <c r="T56" s="204"/>
      <c r="U56" s="188"/>
      <c r="V56" s="188">
        <f t="shared" si="7"/>
        <v>1475</v>
      </c>
      <c r="W56" s="188">
        <f t="shared" si="8"/>
        <v>73.75</v>
      </c>
      <c r="X56" s="188">
        <f t="shared" si="9"/>
        <v>1548.75</v>
      </c>
      <c r="Y56" s="186">
        <v>50</v>
      </c>
      <c r="Z56" s="190"/>
      <c r="AA56" s="193"/>
    </row>
    <row r="57" spans="1:54" s="214" customFormat="1">
      <c r="A57" s="215">
        <v>42209</v>
      </c>
      <c r="B57" s="198"/>
      <c r="C57" s="198">
        <v>427</v>
      </c>
      <c r="D57" s="199">
        <v>1</v>
      </c>
      <c r="E57" s="188">
        <v>1100</v>
      </c>
      <c r="F57" s="186">
        <v>1</v>
      </c>
      <c r="G57" s="188">
        <v>200</v>
      </c>
      <c r="H57" s="188"/>
      <c r="I57" s="188">
        <v>1</v>
      </c>
      <c r="J57" s="186">
        <v>1</v>
      </c>
      <c r="K57" s="188">
        <v>175</v>
      </c>
      <c r="L57" s="188"/>
      <c r="M57" s="188"/>
      <c r="N57" s="188"/>
      <c r="O57" s="188"/>
      <c r="P57" s="188"/>
      <c r="Q57" s="188"/>
      <c r="R57" s="188"/>
      <c r="S57" s="199"/>
      <c r="T57" s="204"/>
      <c r="U57" s="188"/>
      <c r="V57" s="188">
        <f t="shared" si="7"/>
        <v>1475</v>
      </c>
      <c r="W57" s="188">
        <f t="shared" si="8"/>
        <v>73.75</v>
      </c>
      <c r="X57" s="188">
        <f t="shared" si="9"/>
        <v>1548.75</v>
      </c>
      <c r="Y57" s="186">
        <v>50</v>
      </c>
      <c r="Z57" s="190"/>
      <c r="AA57" s="193"/>
    </row>
    <row r="58" spans="1:54" s="214" customFormat="1">
      <c r="A58" s="215">
        <v>42210</v>
      </c>
      <c r="B58" s="198"/>
      <c r="C58" s="198">
        <v>427</v>
      </c>
      <c r="D58" s="199">
        <v>1</v>
      </c>
      <c r="E58" s="188">
        <v>1100</v>
      </c>
      <c r="F58" s="186">
        <v>1</v>
      </c>
      <c r="G58" s="188">
        <v>200</v>
      </c>
      <c r="H58" s="188"/>
      <c r="I58" s="188">
        <v>1</v>
      </c>
      <c r="J58" s="186">
        <v>1</v>
      </c>
      <c r="K58" s="188">
        <v>175</v>
      </c>
      <c r="L58" s="188"/>
      <c r="M58" s="188"/>
      <c r="N58" s="188"/>
      <c r="O58" s="188"/>
      <c r="P58" s="188"/>
      <c r="Q58" s="188"/>
      <c r="R58" s="188"/>
      <c r="S58" s="199"/>
      <c r="T58" s="204"/>
      <c r="U58" s="188"/>
      <c r="V58" s="188">
        <f t="shared" si="7"/>
        <v>1475</v>
      </c>
      <c r="W58" s="188">
        <f t="shared" si="8"/>
        <v>73.75</v>
      </c>
      <c r="X58" s="188">
        <f t="shared" si="9"/>
        <v>1548.75</v>
      </c>
      <c r="Y58" s="186">
        <v>50</v>
      </c>
      <c r="Z58" s="190"/>
      <c r="AA58" s="193"/>
    </row>
    <row r="59" spans="1:54" s="214" customFormat="1">
      <c r="A59" s="215">
        <v>42212</v>
      </c>
      <c r="B59" s="198"/>
      <c r="C59" s="198">
        <v>427</v>
      </c>
      <c r="D59" s="199">
        <v>1</v>
      </c>
      <c r="E59" s="188">
        <v>1100</v>
      </c>
      <c r="F59" s="186">
        <v>1</v>
      </c>
      <c r="G59" s="188">
        <v>200</v>
      </c>
      <c r="H59" s="188"/>
      <c r="I59" s="188">
        <v>1</v>
      </c>
      <c r="J59" s="186">
        <v>1</v>
      </c>
      <c r="K59" s="188">
        <v>175</v>
      </c>
      <c r="L59" s="188"/>
      <c r="M59" s="188"/>
      <c r="N59" s="188"/>
      <c r="O59" s="188"/>
      <c r="P59" s="188"/>
      <c r="Q59" s="188"/>
      <c r="R59" s="188"/>
      <c r="S59" s="199"/>
      <c r="T59" s="204"/>
      <c r="U59" s="188"/>
      <c r="V59" s="188">
        <f t="shared" si="7"/>
        <v>1475</v>
      </c>
      <c r="W59" s="188">
        <f t="shared" si="8"/>
        <v>73.75</v>
      </c>
      <c r="X59" s="188">
        <f t="shared" si="9"/>
        <v>1548.75</v>
      </c>
      <c r="Y59" s="186">
        <v>50</v>
      </c>
      <c r="Z59" s="190"/>
      <c r="AA59" s="193"/>
    </row>
    <row r="60" spans="1:54" s="214" customFormat="1">
      <c r="A60" s="215">
        <v>42213</v>
      </c>
      <c r="B60" s="198"/>
      <c r="C60" s="198">
        <v>427</v>
      </c>
      <c r="D60" s="199">
        <v>1</v>
      </c>
      <c r="E60" s="188">
        <v>1100</v>
      </c>
      <c r="F60" s="186">
        <v>1</v>
      </c>
      <c r="G60" s="188">
        <v>200</v>
      </c>
      <c r="H60" s="188"/>
      <c r="I60" s="188">
        <v>1</v>
      </c>
      <c r="J60" s="186">
        <v>1</v>
      </c>
      <c r="K60" s="188">
        <v>175</v>
      </c>
      <c r="L60" s="188"/>
      <c r="M60" s="188"/>
      <c r="N60" s="188"/>
      <c r="O60" s="188"/>
      <c r="P60" s="188"/>
      <c r="Q60" s="188"/>
      <c r="R60" s="188"/>
      <c r="S60" s="199"/>
      <c r="T60" s="204"/>
      <c r="U60" s="188"/>
      <c r="V60" s="188">
        <f t="shared" si="7"/>
        <v>1475</v>
      </c>
      <c r="W60" s="188">
        <f t="shared" si="8"/>
        <v>73.75</v>
      </c>
      <c r="X60" s="188">
        <f t="shared" si="9"/>
        <v>1548.75</v>
      </c>
      <c r="Y60" s="186">
        <v>50</v>
      </c>
      <c r="Z60" s="190"/>
      <c r="AA60" s="193"/>
    </row>
    <row r="61" spans="1:54" s="214" customFormat="1">
      <c r="A61" s="215">
        <v>42214</v>
      </c>
      <c r="B61" s="198"/>
      <c r="C61" s="198">
        <v>427</v>
      </c>
      <c r="D61" s="199">
        <v>1</v>
      </c>
      <c r="E61" s="188">
        <v>1100</v>
      </c>
      <c r="F61" s="186">
        <v>1</v>
      </c>
      <c r="G61" s="188">
        <v>200</v>
      </c>
      <c r="H61" s="188"/>
      <c r="I61" s="188">
        <v>1</v>
      </c>
      <c r="J61" s="186">
        <v>1</v>
      </c>
      <c r="K61" s="188">
        <v>175</v>
      </c>
      <c r="L61" s="188"/>
      <c r="M61" s="188"/>
      <c r="N61" s="188"/>
      <c r="O61" s="188"/>
      <c r="P61" s="188"/>
      <c r="Q61" s="188"/>
      <c r="R61" s="188"/>
      <c r="S61" s="199"/>
      <c r="T61" s="204"/>
      <c r="U61" s="188"/>
      <c r="V61" s="188">
        <f t="shared" si="7"/>
        <v>1475</v>
      </c>
      <c r="W61" s="188">
        <f t="shared" si="8"/>
        <v>73.75</v>
      </c>
      <c r="X61" s="188">
        <f t="shared" si="9"/>
        <v>1548.75</v>
      </c>
      <c r="Y61" s="186">
        <v>50</v>
      </c>
      <c r="Z61" s="190"/>
      <c r="AA61" s="193"/>
    </row>
    <row r="62" spans="1:54" s="214" customFormat="1">
      <c r="A62" s="215">
        <v>42215</v>
      </c>
      <c r="B62" s="198"/>
      <c r="C62" s="198">
        <v>427</v>
      </c>
      <c r="D62" s="199">
        <v>1</v>
      </c>
      <c r="E62" s="188">
        <v>1100</v>
      </c>
      <c r="F62" s="186">
        <v>1</v>
      </c>
      <c r="G62" s="188">
        <v>200</v>
      </c>
      <c r="H62" s="188"/>
      <c r="I62" s="188">
        <v>1</v>
      </c>
      <c r="J62" s="186">
        <v>1</v>
      </c>
      <c r="K62" s="188">
        <v>175</v>
      </c>
      <c r="L62" s="188"/>
      <c r="M62" s="188"/>
      <c r="N62" s="188"/>
      <c r="O62" s="188"/>
      <c r="P62" s="188"/>
      <c r="Q62" s="188"/>
      <c r="R62" s="188"/>
      <c r="S62" s="199"/>
      <c r="T62" s="204"/>
      <c r="U62" s="188"/>
      <c r="V62" s="188">
        <f t="shared" si="7"/>
        <v>1475</v>
      </c>
      <c r="W62" s="188">
        <f t="shared" si="8"/>
        <v>73.75</v>
      </c>
      <c r="X62" s="188">
        <f t="shared" si="9"/>
        <v>1548.75</v>
      </c>
      <c r="Y62" s="186">
        <v>50</v>
      </c>
      <c r="Z62" s="190"/>
      <c r="AA62" s="193"/>
    </row>
    <row r="63" spans="1:54" s="212" customFormat="1">
      <c r="A63" s="215">
        <v>42216</v>
      </c>
      <c r="B63" s="198"/>
      <c r="C63" s="198">
        <v>427</v>
      </c>
      <c r="D63" s="199">
        <v>1</v>
      </c>
      <c r="E63" s="188">
        <v>1100</v>
      </c>
      <c r="F63" s="186">
        <v>1</v>
      </c>
      <c r="G63" s="188">
        <v>200</v>
      </c>
      <c r="H63" s="188"/>
      <c r="I63" s="188">
        <v>1</v>
      </c>
      <c r="J63" s="186">
        <v>1</v>
      </c>
      <c r="K63" s="188">
        <v>175</v>
      </c>
      <c r="L63" s="188"/>
      <c r="M63" s="188"/>
      <c r="N63" s="188"/>
      <c r="O63" s="188"/>
      <c r="P63" s="188"/>
      <c r="Q63" s="188"/>
      <c r="R63" s="188"/>
      <c r="S63" s="199"/>
      <c r="T63" s="204"/>
      <c r="U63" s="188"/>
      <c r="V63" s="188">
        <f t="shared" si="7"/>
        <v>1475</v>
      </c>
      <c r="W63" s="188">
        <f t="shared" si="8"/>
        <v>73.75</v>
      </c>
      <c r="X63" s="188">
        <f t="shared" si="9"/>
        <v>1548.75</v>
      </c>
      <c r="Y63" s="186">
        <v>50</v>
      </c>
      <c r="Z63" s="190"/>
      <c r="AA63" s="193"/>
      <c r="AB63" s="214"/>
      <c r="AC63" s="214"/>
      <c r="AD63" s="214"/>
      <c r="AE63" s="214"/>
      <c r="AF63" s="214"/>
      <c r="AG63" s="214"/>
      <c r="AH63" s="214"/>
      <c r="AI63" s="214"/>
      <c r="AJ63" s="214"/>
      <c r="AK63" s="214"/>
      <c r="AL63" s="214"/>
      <c r="AM63" s="214"/>
      <c r="AN63" s="214"/>
      <c r="AO63" s="214"/>
      <c r="AP63" s="214"/>
      <c r="AQ63" s="214"/>
      <c r="AR63" s="214"/>
      <c r="AS63" s="214"/>
      <c r="AT63" s="214"/>
      <c r="AU63" s="214"/>
      <c r="AV63" s="214"/>
      <c r="AW63" s="214"/>
      <c r="AX63" s="214"/>
      <c r="AY63" s="214"/>
      <c r="AZ63" s="214"/>
      <c r="BA63" s="214"/>
      <c r="BB63" s="214"/>
    </row>
    <row r="64" spans="1:54" s="212" customFormat="1">
      <c r="A64" s="473">
        <v>42217</v>
      </c>
      <c r="B64" s="138"/>
      <c r="C64" s="138">
        <v>427</v>
      </c>
      <c r="D64" s="140"/>
      <c r="E64" s="132">
        <v>1100</v>
      </c>
      <c r="F64" s="133"/>
      <c r="G64" s="132">
        <v>200</v>
      </c>
      <c r="H64" s="132"/>
      <c r="I64" s="132">
        <v>1</v>
      </c>
      <c r="J64" s="133"/>
      <c r="K64" s="132">
        <v>175</v>
      </c>
      <c r="L64" s="132"/>
      <c r="M64" s="132"/>
      <c r="N64" s="132"/>
      <c r="O64" s="132"/>
      <c r="P64" s="132"/>
      <c r="Q64" s="132"/>
      <c r="R64" s="132"/>
      <c r="S64" s="140"/>
      <c r="T64" s="134"/>
      <c r="U64" s="132"/>
      <c r="V64" s="132">
        <f t="shared" ref="V64:V88" si="10">(D64*E64)+(F64*G64)+(H64*I64)+(J64*K64)</f>
        <v>0</v>
      </c>
      <c r="W64" s="132">
        <f t="shared" ref="W64:W88" si="11">(V64*5%)</f>
        <v>0</v>
      </c>
      <c r="X64" s="132">
        <f t="shared" ref="X64:X88" si="12">SUM(V64+W64)</f>
        <v>0</v>
      </c>
      <c r="Y64" s="140">
        <v>51</v>
      </c>
      <c r="Z64" s="141"/>
      <c r="AA64" s="213"/>
    </row>
    <row r="65" spans="1:27" s="212" customFormat="1">
      <c r="A65" s="473">
        <v>42218</v>
      </c>
      <c r="B65" s="138"/>
      <c r="C65" s="138">
        <v>427</v>
      </c>
      <c r="D65" s="140"/>
      <c r="E65" s="132">
        <v>1100</v>
      </c>
      <c r="F65" s="133"/>
      <c r="G65" s="132">
        <v>200</v>
      </c>
      <c r="H65" s="132"/>
      <c r="I65" s="132">
        <v>1</v>
      </c>
      <c r="J65" s="133">
        <v>0</v>
      </c>
      <c r="K65" s="132">
        <v>175</v>
      </c>
      <c r="L65" s="132"/>
      <c r="M65" s="132"/>
      <c r="N65" s="132"/>
      <c r="O65" s="132"/>
      <c r="P65" s="132"/>
      <c r="Q65" s="132"/>
      <c r="R65" s="132"/>
      <c r="S65" s="140"/>
      <c r="T65" s="134"/>
      <c r="U65" s="132"/>
      <c r="V65" s="132">
        <f t="shared" si="10"/>
        <v>0</v>
      </c>
      <c r="W65" s="132">
        <f t="shared" si="11"/>
        <v>0</v>
      </c>
      <c r="X65" s="132">
        <f t="shared" si="12"/>
        <v>0</v>
      </c>
      <c r="Y65" s="140">
        <v>51</v>
      </c>
      <c r="Z65" s="141"/>
      <c r="AA65" s="213"/>
    </row>
    <row r="66" spans="1:27" s="212" customFormat="1">
      <c r="A66" s="473">
        <v>42219</v>
      </c>
      <c r="B66" s="138"/>
      <c r="C66" s="138">
        <v>427</v>
      </c>
      <c r="D66" s="140">
        <v>1</v>
      </c>
      <c r="E66" s="132">
        <v>1100</v>
      </c>
      <c r="F66" s="133">
        <v>1</v>
      </c>
      <c r="G66" s="132">
        <v>200</v>
      </c>
      <c r="H66" s="132"/>
      <c r="I66" s="132">
        <v>1</v>
      </c>
      <c r="J66" s="133">
        <v>1</v>
      </c>
      <c r="K66" s="132">
        <v>175</v>
      </c>
      <c r="L66" s="132"/>
      <c r="M66" s="132"/>
      <c r="N66" s="132"/>
      <c r="O66" s="132"/>
      <c r="P66" s="132"/>
      <c r="Q66" s="132"/>
      <c r="R66" s="132"/>
      <c r="S66" s="140"/>
      <c r="T66" s="134"/>
      <c r="U66" s="132"/>
      <c r="V66" s="132">
        <f t="shared" si="10"/>
        <v>1475</v>
      </c>
      <c r="W66" s="132">
        <f t="shared" si="11"/>
        <v>73.75</v>
      </c>
      <c r="X66" s="132">
        <f t="shared" si="12"/>
        <v>1548.75</v>
      </c>
      <c r="Y66" s="140">
        <v>51</v>
      </c>
      <c r="Z66" s="141"/>
      <c r="AA66" s="213"/>
    </row>
    <row r="67" spans="1:27" s="212" customFormat="1">
      <c r="A67" s="473">
        <v>42220</v>
      </c>
      <c r="B67" s="138"/>
      <c r="C67" s="138">
        <v>427</v>
      </c>
      <c r="D67" s="140">
        <v>1</v>
      </c>
      <c r="E67" s="132">
        <v>1100</v>
      </c>
      <c r="F67" s="133">
        <v>1</v>
      </c>
      <c r="G67" s="132">
        <v>200</v>
      </c>
      <c r="H67" s="132"/>
      <c r="I67" s="132">
        <v>1</v>
      </c>
      <c r="J67" s="133">
        <v>1</v>
      </c>
      <c r="K67" s="132">
        <v>175</v>
      </c>
      <c r="L67" s="132"/>
      <c r="M67" s="132"/>
      <c r="N67" s="132"/>
      <c r="O67" s="132"/>
      <c r="P67" s="132"/>
      <c r="Q67" s="132"/>
      <c r="R67" s="132"/>
      <c r="S67" s="140"/>
      <c r="T67" s="134"/>
      <c r="U67" s="132"/>
      <c r="V67" s="132">
        <f t="shared" si="10"/>
        <v>1475</v>
      </c>
      <c r="W67" s="132">
        <f t="shared" si="11"/>
        <v>73.75</v>
      </c>
      <c r="X67" s="132">
        <f t="shared" si="12"/>
        <v>1548.75</v>
      </c>
      <c r="Y67" s="140">
        <v>51</v>
      </c>
      <c r="Z67" s="141"/>
      <c r="AA67" s="213"/>
    </row>
    <row r="68" spans="1:27" s="212" customFormat="1">
      <c r="A68" s="473">
        <v>42221</v>
      </c>
      <c r="B68" s="138"/>
      <c r="C68" s="138">
        <v>427</v>
      </c>
      <c r="D68" s="140">
        <v>1</v>
      </c>
      <c r="E68" s="132">
        <v>1100</v>
      </c>
      <c r="F68" s="133">
        <v>1</v>
      </c>
      <c r="G68" s="132">
        <v>200</v>
      </c>
      <c r="H68" s="132"/>
      <c r="I68" s="132">
        <v>1</v>
      </c>
      <c r="J68" s="133">
        <v>1</v>
      </c>
      <c r="K68" s="132">
        <v>175</v>
      </c>
      <c r="L68" s="132"/>
      <c r="M68" s="132"/>
      <c r="N68" s="132"/>
      <c r="O68" s="132"/>
      <c r="P68" s="132"/>
      <c r="Q68" s="132"/>
      <c r="R68" s="132"/>
      <c r="S68" s="140"/>
      <c r="T68" s="134"/>
      <c r="U68" s="132"/>
      <c r="V68" s="132">
        <f t="shared" si="10"/>
        <v>1475</v>
      </c>
      <c r="W68" s="132">
        <f t="shared" si="11"/>
        <v>73.75</v>
      </c>
      <c r="X68" s="132">
        <f t="shared" si="12"/>
        <v>1548.75</v>
      </c>
      <c r="Y68" s="140">
        <v>51</v>
      </c>
      <c r="Z68" s="141"/>
      <c r="AA68" s="213"/>
    </row>
    <row r="69" spans="1:27" s="212" customFormat="1">
      <c r="A69" s="473">
        <v>42222</v>
      </c>
      <c r="B69" s="138"/>
      <c r="C69" s="138">
        <v>427</v>
      </c>
      <c r="D69" s="140"/>
      <c r="E69" s="132">
        <v>1100</v>
      </c>
      <c r="F69" s="133"/>
      <c r="G69" s="132">
        <v>200</v>
      </c>
      <c r="H69" s="132"/>
      <c r="I69" s="132">
        <v>1</v>
      </c>
      <c r="J69" s="133"/>
      <c r="K69" s="132">
        <v>175</v>
      </c>
      <c r="L69" s="132"/>
      <c r="M69" s="132"/>
      <c r="N69" s="132"/>
      <c r="O69" s="132"/>
      <c r="P69" s="132"/>
      <c r="Q69" s="132"/>
      <c r="R69" s="132"/>
      <c r="S69" s="140"/>
      <c r="T69" s="134"/>
      <c r="U69" s="132"/>
      <c r="V69" s="132">
        <f t="shared" si="10"/>
        <v>0</v>
      </c>
      <c r="W69" s="132">
        <f t="shared" si="11"/>
        <v>0</v>
      </c>
      <c r="X69" s="132">
        <f t="shared" si="12"/>
        <v>0</v>
      </c>
      <c r="Y69" s="140">
        <v>51</v>
      </c>
      <c r="Z69" s="141"/>
      <c r="AA69" s="213"/>
    </row>
    <row r="70" spans="1:27" s="212" customFormat="1">
      <c r="A70" s="473">
        <v>42223</v>
      </c>
      <c r="B70" s="138"/>
      <c r="C70" s="138">
        <v>428</v>
      </c>
      <c r="D70" s="140"/>
      <c r="E70" s="132">
        <v>1100</v>
      </c>
      <c r="F70" s="133"/>
      <c r="G70" s="132">
        <v>200</v>
      </c>
      <c r="H70" s="132"/>
      <c r="I70" s="132">
        <v>1</v>
      </c>
      <c r="J70" s="133"/>
      <c r="K70" s="132">
        <v>175</v>
      </c>
      <c r="L70" s="132"/>
      <c r="M70" s="132"/>
      <c r="N70" s="132"/>
      <c r="O70" s="132"/>
      <c r="P70" s="132"/>
      <c r="Q70" s="132"/>
      <c r="R70" s="132"/>
      <c r="S70" s="140"/>
      <c r="T70" s="134"/>
      <c r="U70" s="132"/>
      <c r="V70" s="132">
        <f t="shared" si="10"/>
        <v>0</v>
      </c>
      <c r="W70" s="132">
        <f t="shared" si="11"/>
        <v>0</v>
      </c>
      <c r="X70" s="132">
        <f t="shared" si="12"/>
        <v>0</v>
      </c>
      <c r="Y70" s="140">
        <v>51</v>
      </c>
      <c r="Z70" s="141"/>
      <c r="AA70" s="213"/>
    </row>
    <row r="71" spans="1:27" s="212" customFormat="1">
      <c r="A71" s="473">
        <v>42224</v>
      </c>
      <c r="B71" s="138"/>
      <c r="C71" s="138">
        <v>429</v>
      </c>
      <c r="D71" s="140"/>
      <c r="E71" s="132">
        <v>1100</v>
      </c>
      <c r="F71" s="133"/>
      <c r="G71" s="132">
        <v>200</v>
      </c>
      <c r="H71" s="132"/>
      <c r="I71" s="132">
        <v>1</v>
      </c>
      <c r="J71" s="133"/>
      <c r="K71" s="132">
        <v>175</v>
      </c>
      <c r="L71" s="132"/>
      <c r="M71" s="132"/>
      <c r="N71" s="132"/>
      <c r="O71" s="132"/>
      <c r="P71" s="132"/>
      <c r="Q71" s="132"/>
      <c r="R71" s="132"/>
      <c r="S71" s="140"/>
      <c r="T71" s="134"/>
      <c r="U71" s="132"/>
      <c r="V71" s="132">
        <f t="shared" si="10"/>
        <v>0</v>
      </c>
      <c r="W71" s="132">
        <f t="shared" si="11"/>
        <v>0</v>
      </c>
      <c r="X71" s="132">
        <f t="shared" si="12"/>
        <v>0</v>
      </c>
      <c r="Y71" s="140">
        <v>51</v>
      </c>
      <c r="Z71" s="141"/>
      <c r="AA71" s="213"/>
    </row>
    <row r="72" spans="1:27" s="212" customFormat="1">
      <c r="A72" s="473">
        <v>42225</v>
      </c>
      <c r="B72" s="138"/>
      <c r="C72" s="138">
        <v>430</v>
      </c>
      <c r="D72" s="140"/>
      <c r="E72" s="132">
        <v>1100</v>
      </c>
      <c r="F72" s="133"/>
      <c r="G72" s="132">
        <v>200</v>
      </c>
      <c r="H72" s="132"/>
      <c r="I72" s="132">
        <v>1</v>
      </c>
      <c r="J72" s="133"/>
      <c r="K72" s="132">
        <v>175</v>
      </c>
      <c r="L72" s="132"/>
      <c r="M72" s="132"/>
      <c r="N72" s="132"/>
      <c r="O72" s="132"/>
      <c r="P72" s="132"/>
      <c r="Q72" s="132"/>
      <c r="R72" s="132"/>
      <c r="S72" s="140"/>
      <c r="T72" s="134"/>
      <c r="U72" s="132"/>
      <c r="V72" s="132">
        <f t="shared" si="10"/>
        <v>0</v>
      </c>
      <c r="W72" s="132">
        <f t="shared" si="11"/>
        <v>0</v>
      </c>
      <c r="X72" s="132">
        <f t="shared" si="12"/>
        <v>0</v>
      </c>
      <c r="Y72" s="140">
        <v>51</v>
      </c>
      <c r="Z72" s="141"/>
      <c r="AA72" s="213"/>
    </row>
    <row r="73" spans="1:27" s="212" customFormat="1">
      <c r="A73" s="473">
        <v>42226</v>
      </c>
      <c r="B73" s="138"/>
      <c r="C73" s="138">
        <v>431</v>
      </c>
      <c r="D73" s="140">
        <v>1</v>
      </c>
      <c r="E73" s="132">
        <v>1100</v>
      </c>
      <c r="F73" s="133">
        <v>1</v>
      </c>
      <c r="G73" s="132">
        <v>200</v>
      </c>
      <c r="H73" s="132"/>
      <c r="I73" s="132">
        <v>1</v>
      </c>
      <c r="J73" s="133">
        <v>1</v>
      </c>
      <c r="K73" s="132">
        <v>175</v>
      </c>
      <c r="L73" s="132"/>
      <c r="M73" s="132"/>
      <c r="N73" s="132"/>
      <c r="O73" s="132"/>
      <c r="P73" s="132"/>
      <c r="Q73" s="132"/>
      <c r="R73" s="132"/>
      <c r="S73" s="140"/>
      <c r="T73" s="134"/>
      <c r="U73" s="132"/>
      <c r="V73" s="132">
        <f t="shared" si="10"/>
        <v>1475</v>
      </c>
      <c r="W73" s="132">
        <f t="shared" si="11"/>
        <v>73.75</v>
      </c>
      <c r="X73" s="132">
        <f t="shared" si="12"/>
        <v>1548.75</v>
      </c>
      <c r="Y73" s="140">
        <v>51</v>
      </c>
      <c r="Z73" s="141"/>
      <c r="AA73" s="213"/>
    </row>
    <row r="74" spans="1:27" s="212" customFormat="1">
      <c r="A74" s="473">
        <v>42227</v>
      </c>
      <c r="B74" s="138"/>
      <c r="C74" s="138">
        <v>431</v>
      </c>
      <c r="D74" s="140">
        <v>1</v>
      </c>
      <c r="E74" s="132">
        <v>1100</v>
      </c>
      <c r="F74" s="133">
        <v>1</v>
      </c>
      <c r="G74" s="132">
        <v>200</v>
      </c>
      <c r="H74" s="132"/>
      <c r="I74" s="132">
        <v>1</v>
      </c>
      <c r="J74" s="133">
        <v>1</v>
      </c>
      <c r="K74" s="132">
        <v>175</v>
      </c>
      <c r="L74" s="132"/>
      <c r="M74" s="132"/>
      <c r="N74" s="132"/>
      <c r="O74" s="132"/>
      <c r="P74" s="132"/>
      <c r="Q74" s="132"/>
      <c r="R74" s="132"/>
      <c r="S74" s="140"/>
      <c r="T74" s="134"/>
      <c r="U74" s="132"/>
      <c r="V74" s="132">
        <f t="shared" si="10"/>
        <v>1475</v>
      </c>
      <c r="W74" s="132">
        <f t="shared" si="11"/>
        <v>73.75</v>
      </c>
      <c r="X74" s="132">
        <f t="shared" si="12"/>
        <v>1548.75</v>
      </c>
      <c r="Y74" s="140">
        <v>51</v>
      </c>
      <c r="Z74" s="141"/>
      <c r="AA74" s="213"/>
    </row>
    <row r="75" spans="1:27" s="212" customFormat="1">
      <c r="A75" s="473">
        <v>42228</v>
      </c>
      <c r="B75" s="138"/>
      <c r="C75" s="138">
        <v>431</v>
      </c>
      <c r="D75" s="140">
        <v>1</v>
      </c>
      <c r="E75" s="132">
        <v>1100</v>
      </c>
      <c r="F75" s="133">
        <v>1</v>
      </c>
      <c r="G75" s="132">
        <v>200</v>
      </c>
      <c r="H75" s="132"/>
      <c r="I75" s="132">
        <v>1</v>
      </c>
      <c r="J75" s="133">
        <v>1</v>
      </c>
      <c r="K75" s="132">
        <v>175</v>
      </c>
      <c r="L75" s="132"/>
      <c r="M75" s="132"/>
      <c r="N75" s="132"/>
      <c r="O75" s="132"/>
      <c r="P75" s="132"/>
      <c r="Q75" s="132"/>
      <c r="R75" s="132"/>
      <c r="S75" s="140"/>
      <c r="T75" s="134"/>
      <c r="U75" s="132"/>
      <c r="V75" s="132">
        <f t="shared" si="10"/>
        <v>1475</v>
      </c>
      <c r="W75" s="132">
        <f t="shared" si="11"/>
        <v>73.75</v>
      </c>
      <c r="X75" s="132">
        <f t="shared" si="12"/>
        <v>1548.75</v>
      </c>
      <c r="Y75" s="140">
        <v>51</v>
      </c>
      <c r="Z75" s="141"/>
      <c r="AA75" s="213"/>
    </row>
    <row r="76" spans="1:27" s="212" customFormat="1">
      <c r="A76" s="473">
        <v>42229</v>
      </c>
      <c r="B76" s="138"/>
      <c r="C76" s="138">
        <v>431</v>
      </c>
      <c r="D76" s="140">
        <v>1</v>
      </c>
      <c r="E76" s="132">
        <v>1100</v>
      </c>
      <c r="F76" s="133">
        <v>1</v>
      </c>
      <c r="G76" s="132">
        <v>200</v>
      </c>
      <c r="H76" s="132"/>
      <c r="I76" s="132">
        <v>1</v>
      </c>
      <c r="J76" s="133">
        <v>1</v>
      </c>
      <c r="K76" s="132">
        <v>175</v>
      </c>
      <c r="L76" s="132"/>
      <c r="M76" s="132"/>
      <c r="N76" s="132"/>
      <c r="O76" s="132"/>
      <c r="P76" s="132"/>
      <c r="Q76" s="132"/>
      <c r="R76" s="132"/>
      <c r="S76" s="140"/>
      <c r="T76" s="134"/>
      <c r="U76" s="132"/>
      <c r="V76" s="132">
        <f t="shared" si="10"/>
        <v>1475</v>
      </c>
      <c r="W76" s="132">
        <f t="shared" si="11"/>
        <v>73.75</v>
      </c>
      <c r="X76" s="132">
        <f t="shared" si="12"/>
        <v>1548.75</v>
      </c>
      <c r="Y76" s="140">
        <v>51</v>
      </c>
      <c r="Z76" s="141"/>
      <c r="AA76" s="213"/>
    </row>
    <row r="77" spans="1:27" s="212" customFormat="1">
      <c r="A77" s="473">
        <v>42230</v>
      </c>
      <c r="B77" s="138"/>
      <c r="C77" s="138">
        <v>431</v>
      </c>
      <c r="D77" s="140">
        <v>1</v>
      </c>
      <c r="E77" s="132">
        <v>1100</v>
      </c>
      <c r="F77" s="133">
        <v>1</v>
      </c>
      <c r="G77" s="132">
        <v>200</v>
      </c>
      <c r="H77" s="132"/>
      <c r="I77" s="132">
        <v>1</v>
      </c>
      <c r="J77" s="133">
        <v>1</v>
      </c>
      <c r="K77" s="132">
        <v>175</v>
      </c>
      <c r="L77" s="132"/>
      <c r="M77" s="132"/>
      <c r="N77" s="132"/>
      <c r="O77" s="132"/>
      <c r="P77" s="132"/>
      <c r="Q77" s="132"/>
      <c r="R77" s="132"/>
      <c r="S77" s="140"/>
      <c r="T77" s="134"/>
      <c r="U77" s="132"/>
      <c r="V77" s="132">
        <f t="shared" si="10"/>
        <v>1475</v>
      </c>
      <c r="W77" s="132">
        <f t="shared" si="11"/>
        <v>73.75</v>
      </c>
      <c r="X77" s="132">
        <f t="shared" si="12"/>
        <v>1548.75</v>
      </c>
      <c r="Y77" s="140">
        <v>51</v>
      </c>
      <c r="Z77" s="141"/>
      <c r="AA77" s="213"/>
    </row>
    <row r="78" spans="1:27" s="212" customFormat="1">
      <c r="A78" s="473">
        <v>42231</v>
      </c>
      <c r="B78" s="138"/>
      <c r="C78" s="138">
        <v>431</v>
      </c>
      <c r="D78" s="140">
        <v>1</v>
      </c>
      <c r="E78" s="132">
        <v>1100</v>
      </c>
      <c r="F78" s="133">
        <v>1</v>
      </c>
      <c r="G78" s="132">
        <v>200</v>
      </c>
      <c r="H78" s="132"/>
      <c r="I78" s="132">
        <v>1</v>
      </c>
      <c r="J78" s="133">
        <v>1</v>
      </c>
      <c r="K78" s="132">
        <v>175</v>
      </c>
      <c r="L78" s="132"/>
      <c r="M78" s="132"/>
      <c r="N78" s="132"/>
      <c r="O78" s="132"/>
      <c r="P78" s="132"/>
      <c r="Q78" s="132"/>
      <c r="R78" s="132"/>
      <c r="S78" s="140"/>
      <c r="T78" s="134"/>
      <c r="U78" s="132"/>
      <c r="V78" s="132">
        <f t="shared" si="10"/>
        <v>1475</v>
      </c>
      <c r="W78" s="132">
        <f t="shared" si="11"/>
        <v>73.75</v>
      </c>
      <c r="X78" s="132">
        <f t="shared" si="12"/>
        <v>1548.75</v>
      </c>
      <c r="Y78" s="140">
        <v>51</v>
      </c>
      <c r="Z78" s="141"/>
      <c r="AA78" s="213"/>
    </row>
    <row r="79" spans="1:27" s="212" customFormat="1">
      <c r="A79" s="473">
        <v>42232</v>
      </c>
      <c r="B79" s="138"/>
      <c r="C79" s="138">
        <v>431</v>
      </c>
      <c r="D79" s="140">
        <v>1</v>
      </c>
      <c r="E79" s="132">
        <v>1100</v>
      </c>
      <c r="F79" s="133">
        <v>1</v>
      </c>
      <c r="G79" s="132">
        <v>200</v>
      </c>
      <c r="H79" s="132"/>
      <c r="I79" s="132">
        <v>1</v>
      </c>
      <c r="J79" s="133">
        <v>1</v>
      </c>
      <c r="K79" s="132">
        <v>175</v>
      </c>
      <c r="L79" s="132"/>
      <c r="M79" s="132"/>
      <c r="N79" s="132"/>
      <c r="O79" s="132"/>
      <c r="P79" s="132"/>
      <c r="Q79" s="132"/>
      <c r="R79" s="132"/>
      <c r="S79" s="140"/>
      <c r="T79" s="134"/>
      <c r="U79" s="132"/>
      <c r="V79" s="132">
        <f t="shared" si="10"/>
        <v>1475</v>
      </c>
      <c r="W79" s="132">
        <f t="shared" si="11"/>
        <v>73.75</v>
      </c>
      <c r="X79" s="132">
        <f t="shared" si="12"/>
        <v>1548.75</v>
      </c>
      <c r="Y79" s="140">
        <v>51</v>
      </c>
      <c r="Z79" s="141"/>
      <c r="AA79" s="213"/>
    </row>
    <row r="80" spans="1:27" s="212" customFormat="1">
      <c r="A80" s="473">
        <v>42233</v>
      </c>
      <c r="B80" s="138"/>
      <c r="C80" s="138">
        <v>431</v>
      </c>
      <c r="D80" s="140">
        <v>1</v>
      </c>
      <c r="E80" s="132">
        <v>1100</v>
      </c>
      <c r="F80" s="133">
        <v>1</v>
      </c>
      <c r="G80" s="132">
        <v>200</v>
      </c>
      <c r="H80" s="132"/>
      <c r="I80" s="132">
        <v>1</v>
      </c>
      <c r="J80" s="133">
        <v>1</v>
      </c>
      <c r="K80" s="132">
        <v>175</v>
      </c>
      <c r="L80" s="132"/>
      <c r="M80" s="132"/>
      <c r="N80" s="132"/>
      <c r="O80" s="132"/>
      <c r="P80" s="132"/>
      <c r="Q80" s="132"/>
      <c r="R80" s="132"/>
      <c r="S80" s="140"/>
      <c r="T80" s="134"/>
      <c r="U80" s="132"/>
      <c r="V80" s="132">
        <f t="shared" si="10"/>
        <v>1475</v>
      </c>
      <c r="W80" s="132">
        <f t="shared" si="11"/>
        <v>73.75</v>
      </c>
      <c r="X80" s="132">
        <f t="shared" si="12"/>
        <v>1548.75</v>
      </c>
      <c r="Y80" s="140">
        <v>51</v>
      </c>
      <c r="Z80" s="141"/>
      <c r="AA80" s="213"/>
    </row>
    <row r="81" spans="1:54" s="212" customFormat="1">
      <c r="A81" s="473">
        <v>42234</v>
      </c>
      <c r="B81" s="138"/>
      <c r="C81" s="138">
        <v>431</v>
      </c>
      <c r="D81" s="140">
        <v>1</v>
      </c>
      <c r="E81" s="132">
        <v>1100</v>
      </c>
      <c r="F81" s="133">
        <v>1</v>
      </c>
      <c r="G81" s="132">
        <v>200</v>
      </c>
      <c r="H81" s="132"/>
      <c r="I81" s="132">
        <v>1</v>
      </c>
      <c r="J81" s="133">
        <v>1</v>
      </c>
      <c r="K81" s="132">
        <v>175</v>
      </c>
      <c r="L81" s="132"/>
      <c r="M81" s="132"/>
      <c r="N81" s="132"/>
      <c r="O81" s="132"/>
      <c r="P81" s="132"/>
      <c r="Q81" s="132"/>
      <c r="R81" s="132"/>
      <c r="S81" s="140"/>
      <c r="T81" s="134"/>
      <c r="U81" s="132"/>
      <c r="V81" s="132">
        <f t="shared" si="10"/>
        <v>1475</v>
      </c>
      <c r="W81" s="132">
        <f t="shared" si="11"/>
        <v>73.75</v>
      </c>
      <c r="X81" s="132">
        <f t="shared" si="12"/>
        <v>1548.75</v>
      </c>
      <c r="Y81" s="140">
        <v>51</v>
      </c>
      <c r="Z81" s="141"/>
      <c r="AA81" s="213"/>
    </row>
    <row r="82" spans="1:54" s="212" customFormat="1">
      <c r="A82" s="473">
        <v>42235</v>
      </c>
      <c r="B82" s="138"/>
      <c r="C82" s="138">
        <v>431</v>
      </c>
      <c r="D82" s="140">
        <v>1</v>
      </c>
      <c r="E82" s="132">
        <v>1100</v>
      </c>
      <c r="F82" s="133">
        <v>1</v>
      </c>
      <c r="G82" s="132">
        <v>200</v>
      </c>
      <c r="H82" s="132"/>
      <c r="I82" s="132">
        <v>1</v>
      </c>
      <c r="J82" s="133">
        <v>1</v>
      </c>
      <c r="K82" s="132">
        <v>175</v>
      </c>
      <c r="L82" s="132"/>
      <c r="M82" s="132"/>
      <c r="N82" s="132"/>
      <c r="O82" s="132"/>
      <c r="P82" s="132"/>
      <c r="Q82" s="132"/>
      <c r="R82" s="132"/>
      <c r="S82" s="140"/>
      <c r="T82" s="134"/>
      <c r="U82" s="132"/>
      <c r="V82" s="132">
        <f t="shared" si="10"/>
        <v>1475</v>
      </c>
      <c r="W82" s="132">
        <f t="shared" si="11"/>
        <v>73.75</v>
      </c>
      <c r="X82" s="132">
        <f t="shared" si="12"/>
        <v>1548.75</v>
      </c>
      <c r="Y82" s="140">
        <v>51</v>
      </c>
      <c r="Z82" s="141"/>
      <c r="AA82" s="213"/>
    </row>
    <row r="83" spans="1:54" s="212" customFormat="1">
      <c r="A83" s="473">
        <v>42236</v>
      </c>
      <c r="B83" s="138"/>
      <c r="C83" s="138">
        <v>431</v>
      </c>
      <c r="D83" s="140">
        <v>1</v>
      </c>
      <c r="E83" s="132">
        <v>1100</v>
      </c>
      <c r="F83" s="133">
        <v>1</v>
      </c>
      <c r="G83" s="132">
        <v>200</v>
      </c>
      <c r="H83" s="132"/>
      <c r="I83" s="132">
        <v>1</v>
      </c>
      <c r="J83" s="133">
        <v>1</v>
      </c>
      <c r="K83" s="132">
        <v>175</v>
      </c>
      <c r="L83" s="132"/>
      <c r="M83" s="132"/>
      <c r="N83" s="132"/>
      <c r="O83" s="132"/>
      <c r="P83" s="132"/>
      <c r="Q83" s="132"/>
      <c r="R83" s="132"/>
      <c r="S83" s="140"/>
      <c r="T83" s="134"/>
      <c r="U83" s="132"/>
      <c r="V83" s="132">
        <f t="shared" si="10"/>
        <v>1475</v>
      </c>
      <c r="W83" s="132">
        <f t="shared" si="11"/>
        <v>73.75</v>
      </c>
      <c r="X83" s="132">
        <f t="shared" si="12"/>
        <v>1548.75</v>
      </c>
      <c r="Y83" s="140">
        <v>51</v>
      </c>
      <c r="Z83" s="141"/>
      <c r="AA83" s="213"/>
    </row>
    <row r="84" spans="1:54" s="212" customFormat="1">
      <c r="A84" s="473">
        <v>42237</v>
      </c>
      <c r="B84" s="138"/>
      <c r="C84" s="138">
        <v>431</v>
      </c>
      <c r="D84" s="140">
        <v>1</v>
      </c>
      <c r="E84" s="132">
        <v>1100</v>
      </c>
      <c r="F84" s="133">
        <v>1</v>
      </c>
      <c r="G84" s="132">
        <v>200</v>
      </c>
      <c r="H84" s="132"/>
      <c r="I84" s="132">
        <v>1</v>
      </c>
      <c r="J84" s="133">
        <v>1</v>
      </c>
      <c r="K84" s="132">
        <v>175</v>
      </c>
      <c r="L84" s="132"/>
      <c r="M84" s="132"/>
      <c r="N84" s="132"/>
      <c r="O84" s="132"/>
      <c r="P84" s="132"/>
      <c r="Q84" s="132"/>
      <c r="R84" s="132"/>
      <c r="S84" s="140"/>
      <c r="T84" s="134"/>
      <c r="U84" s="132"/>
      <c r="V84" s="132">
        <f t="shared" si="10"/>
        <v>1475</v>
      </c>
      <c r="W84" s="132">
        <f t="shared" si="11"/>
        <v>73.75</v>
      </c>
      <c r="X84" s="132">
        <f t="shared" si="12"/>
        <v>1548.75</v>
      </c>
      <c r="Y84" s="140">
        <v>51</v>
      </c>
      <c r="Z84" s="141"/>
      <c r="AA84" s="213"/>
    </row>
    <row r="85" spans="1:54" s="136" customFormat="1">
      <c r="A85" s="473">
        <v>42238</v>
      </c>
      <c r="B85" s="138"/>
      <c r="C85" s="138">
        <v>431</v>
      </c>
      <c r="D85" s="140">
        <v>0</v>
      </c>
      <c r="E85" s="132">
        <v>1100</v>
      </c>
      <c r="F85" s="133">
        <v>0</v>
      </c>
      <c r="G85" s="132">
        <v>200</v>
      </c>
      <c r="H85" s="132"/>
      <c r="I85" s="132">
        <v>1</v>
      </c>
      <c r="J85" s="133">
        <v>0</v>
      </c>
      <c r="K85" s="132">
        <v>175</v>
      </c>
      <c r="L85" s="132"/>
      <c r="M85" s="132"/>
      <c r="N85" s="132"/>
      <c r="O85" s="132"/>
      <c r="P85" s="132"/>
      <c r="Q85" s="132"/>
      <c r="R85" s="132"/>
      <c r="S85" s="140"/>
      <c r="T85" s="134"/>
      <c r="U85" s="132"/>
      <c r="V85" s="132">
        <f t="shared" si="10"/>
        <v>0</v>
      </c>
      <c r="W85" s="132">
        <f t="shared" si="11"/>
        <v>0</v>
      </c>
      <c r="X85" s="132">
        <f t="shared" si="12"/>
        <v>0</v>
      </c>
      <c r="Y85" s="140">
        <v>51</v>
      </c>
      <c r="Z85" s="141"/>
      <c r="AA85" s="213"/>
      <c r="AB85" s="212"/>
      <c r="AC85" s="212"/>
      <c r="AD85" s="212"/>
      <c r="AE85" s="212"/>
      <c r="AF85" s="212"/>
      <c r="AG85" s="212"/>
      <c r="AH85" s="212"/>
      <c r="AI85" s="212"/>
      <c r="AJ85" s="212"/>
      <c r="AK85" s="212"/>
      <c r="AL85" s="212"/>
      <c r="AM85" s="212"/>
      <c r="AN85" s="212"/>
      <c r="AO85" s="212"/>
      <c r="AP85" s="212"/>
      <c r="AQ85" s="212"/>
      <c r="AR85" s="212"/>
      <c r="AS85" s="212"/>
      <c r="AT85" s="212"/>
      <c r="AU85" s="212"/>
      <c r="AV85" s="212"/>
      <c r="AW85" s="212"/>
      <c r="AX85" s="212"/>
      <c r="AY85" s="212"/>
      <c r="AZ85" s="212"/>
      <c r="BA85" s="212"/>
      <c r="BB85" s="212"/>
    </row>
    <row r="86" spans="1:54" s="136" customFormat="1">
      <c r="A86" s="473">
        <v>42239</v>
      </c>
      <c r="B86" s="138"/>
      <c r="C86" s="138">
        <v>431</v>
      </c>
      <c r="D86" s="140">
        <v>0</v>
      </c>
      <c r="E86" s="132">
        <v>1100</v>
      </c>
      <c r="F86" s="133">
        <v>0</v>
      </c>
      <c r="G86" s="132">
        <v>200</v>
      </c>
      <c r="H86" s="132"/>
      <c r="I86" s="132">
        <v>1</v>
      </c>
      <c r="J86" s="133">
        <v>0</v>
      </c>
      <c r="K86" s="132">
        <v>175</v>
      </c>
      <c r="L86" s="132"/>
      <c r="M86" s="132"/>
      <c r="N86" s="132"/>
      <c r="O86" s="132"/>
      <c r="P86" s="132"/>
      <c r="Q86" s="132"/>
      <c r="R86" s="132"/>
      <c r="S86" s="140"/>
      <c r="T86" s="134"/>
      <c r="U86" s="132"/>
      <c r="V86" s="132">
        <f t="shared" si="10"/>
        <v>0</v>
      </c>
      <c r="W86" s="132">
        <f t="shared" si="11"/>
        <v>0</v>
      </c>
      <c r="X86" s="132">
        <f t="shared" si="12"/>
        <v>0</v>
      </c>
      <c r="Y86" s="140">
        <v>51</v>
      </c>
      <c r="Z86" s="141"/>
      <c r="AA86" s="148"/>
    </row>
    <row r="87" spans="1:54" s="136" customFormat="1">
      <c r="A87" s="473">
        <v>42240</v>
      </c>
      <c r="B87" s="138"/>
      <c r="C87" s="138">
        <v>431</v>
      </c>
      <c r="D87" s="140">
        <v>1</v>
      </c>
      <c r="E87" s="132">
        <v>1100</v>
      </c>
      <c r="F87" s="133">
        <v>1</v>
      </c>
      <c r="G87" s="132">
        <v>200</v>
      </c>
      <c r="H87" s="132"/>
      <c r="I87" s="132">
        <v>1</v>
      </c>
      <c r="J87" s="133">
        <v>1</v>
      </c>
      <c r="K87" s="132">
        <v>175</v>
      </c>
      <c r="L87" s="132"/>
      <c r="M87" s="132"/>
      <c r="N87" s="132"/>
      <c r="O87" s="132"/>
      <c r="P87" s="132"/>
      <c r="Q87" s="132"/>
      <c r="R87" s="132"/>
      <c r="S87" s="140"/>
      <c r="T87" s="134"/>
      <c r="U87" s="132"/>
      <c r="V87" s="132">
        <f t="shared" si="10"/>
        <v>1475</v>
      </c>
      <c r="W87" s="132">
        <f t="shared" si="11"/>
        <v>73.75</v>
      </c>
      <c r="X87" s="132">
        <f t="shared" si="12"/>
        <v>1548.75</v>
      </c>
      <c r="Y87" s="140">
        <v>51</v>
      </c>
      <c r="Z87" s="141"/>
      <c r="AA87" s="148"/>
    </row>
    <row r="88" spans="1:54" s="136" customFormat="1">
      <c r="A88" s="473">
        <v>42241</v>
      </c>
      <c r="B88" s="138"/>
      <c r="C88" s="138">
        <v>431</v>
      </c>
      <c r="D88" s="140">
        <v>1</v>
      </c>
      <c r="E88" s="132">
        <v>1100</v>
      </c>
      <c r="F88" s="133">
        <v>1</v>
      </c>
      <c r="G88" s="132">
        <v>200</v>
      </c>
      <c r="H88" s="132"/>
      <c r="I88" s="132">
        <v>1</v>
      </c>
      <c r="J88" s="133">
        <v>1</v>
      </c>
      <c r="K88" s="132">
        <v>175</v>
      </c>
      <c r="L88" s="132"/>
      <c r="M88" s="132"/>
      <c r="N88" s="132"/>
      <c r="O88" s="132"/>
      <c r="P88" s="132"/>
      <c r="Q88" s="132"/>
      <c r="R88" s="132"/>
      <c r="S88" s="140"/>
      <c r="T88" s="134"/>
      <c r="U88" s="132"/>
      <c r="V88" s="132">
        <f t="shared" si="10"/>
        <v>1475</v>
      </c>
      <c r="W88" s="132">
        <f t="shared" si="11"/>
        <v>73.75</v>
      </c>
      <c r="X88" s="132">
        <f t="shared" si="12"/>
        <v>1548.75</v>
      </c>
      <c r="Y88" s="140">
        <v>51</v>
      </c>
      <c r="Z88" s="141"/>
      <c r="AA88" s="148"/>
    </row>
    <row r="89" spans="1:54" s="136" customFormat="1">
      <c r="A89" s="473">
        <v>42242</v>
      </c>
      <c r="B89" s="138"/>
      <c r="C89" s="138">
        <v>431</v>
      </c>
      <c r="D89" s="140">
        <v>1</v>
      </c>
      <c r="E89" s="132">
        <v>1100</v>
      </c>
      <c r="F89" s="133">
        <v>1</v>
      </c>
      <c r="G89" s="132">
        <v>200</v>
      </c>
      <c r="H89" s="132"/>
      <c r="I89" s="132">
        <v>1</v>
      </c>
      <c r="J89" s="133">
        <v>1</v>
      </c>
      <c r="K89" s="132">
        <v>175</v>
      </c>
      <c r="L89" s="132"/>
      <c r="M89" s="132"/>
      <c r="N89" s="132"/>
      <c r="O89" s="132"/>
      <c r="P89" s="132"/>
      <c r="Q89" s="132"/>
      <c r="R89" s="132"/>
      <c r="S89" s="140"/>
      <c r="T89" s="134"/>
      <c r="U89" s="132"/>
      <c r="V89" s="132">
        <f t="shared" ref="V89:V102" si="13">(D89*E89)+(F89*G89)+(H89*I89)+(J89*K89)</f>
        <v>1475</v>
      </c>
      <c r="W89" s="132">
        <f t="shared" ref="W89:W102" si="14">(V89*5%)</f>
        <v>73.75</v>
      </c>
      <c r="X89" s="132">
        <f t="shared" ref="X89:X102" si="15">SUM(V89+W89)</f>
        <v>1548.75</v>
      </c>
      <c r="Y89" s="140">
        <v>51</v>
      </c>
      <c r="Z89" s="141"/>
      <c r="AA89" s="148"/>
    </row>
    <row r="90" spans="1:54" s="136" customFormat="1">
      <c r="A90" s="473">
        <v>42243</v>
      </c>
      <c r="B90" s="138"/>
      <c r="C90" s="138">
        <v>431</v>
      </c>
      <c r="D90" s="140">
        <v>1</v>
      </c>
      <c r="E90" s="132">
        <v>1100</v>
      </c>
      <c r="F90" s="133">
        <v>1</v>
      </c>
      <c r="G90" s="132">
        <v>200</v>
      </c>
      <c r="H90" s="132"/>
      <c r="I90" s="132">
        <v>1</v>
      </c>
      <c r="J90" s="133">
        <v>1</v>
      </c>
      <c r="K90" s="132">
        <v>175</v>
      </c>
      <c r="L90" s="132"/>
      <c r="M90" s="132"/>
      <c r="N90" s="132"/>
      <c r="O90" s="132"/>
      <c r="P90" s="132"/>
      <c r="Q90" s="132"/>
      <c r="R90" s="132"/>
      <c r="S90" s="140"/>
      <c r="T90" s="134"/>
      <c r="U90" s="132"/>
      <c r="V90" s="132">
        <f t="shared" si="13"/>
        <v>1475</v>
      </c>
      <c r="W90" s="132">
        <f t="shared" si="14"/>
        <v>73.75</v>
      </c>
      <c r="X90" s="132">
        <f t="shared" si="15"/>
        <v>1548.75</v>
      </c>
      <c r="Y90" s="140">
        <v>51</v>
      </c>
      <c r="Z90" s="141"/>
      <c r="AA90" s="148"/>
    </row>
    <row r="91" spans="1:54" s="136" customFormat="1">
      <c r="A91" s="473">
        <v>42244</v>
      </c>
      <c r="B91" s="138"/>
      <c r="C91" s="138">
        <v>431</v>
      </c>
      <c r="D91" s="140">
        <v>1</v>
      </c>
      <c r="E91" s="132">
        <v>1100</v>
      </c>
      <c r="F91" s="133">
        <v>1</v>
      </c>
      <c r="G91" s="132">
        <v>200</v>
      </c>
      <c r="H91" s="132"/>
      <c r="I91" s="132">
        <v>1</v>
      </c>
      <c r="J91" s="133">
        <v>1</v>
      </c>
      <c r="K91" s="132">
        <v>175</v>
      </c>
      <c r="L91" s="132"/>
      <c r="M91" s="132"/>
      <c r="N91" s="132"/>
      <c r="O91" s="132"/>
      <c r="P91" s="132"/>
      <c r="Q91" s="132"/>
      <c r="R91" s="132"/>
      <c r="S91" s="140"/>
      <c r="T91" s="134"/>
      <c r="U91" s="132"/>
      <c r="V91" s="132">
        <f t="shared" si="13"/>
        <v>1475</v>
      </c>
      <c r="W91" s="132">
        <f t="shared" si="14"/>
        <v>73.75</v>
      </c>
      <c r="X91" s="132">
        <f t="shared" si="15"/>
        <v>1548.75</v>
      </c>
      <c r="Y91" s="140">
        <v>51</v>
      </c>
      <c r="Z91" s="141"/>
      <c r="AA91" s="148"/>
    </row>
    <row r="92" spans="1:54" s="136" customFormat="1">
      <c r="A92" s="473">
        <v>42245</v>
      </c>
      <c r="B92" s="138"/>
      <c r="C92" s="138">
        <v>431</v>
      </c>
      <c r="D92" s="140">
        <v>1</v>
      </c>
      <c r="E92" s="132">
        <v>1100</v>
      </c>
      <c r="F92" s="133">
        <v>1</v>
      </c>
      <c r="G92" s="132">
        <v>200</v>
      </c>
      <c r="H92" s="132"/>
      <c r="I92" s="132">
        <v>1</v>
      </c>
      <c r="J92" s="133">
        <v>1</v>
      </c>
      <c r="K92" s="132">
        <v>175</v>
      </c>
      <c r="L92" s="132"/>
      <c r="M92" s="132"/>
      <c r="N92" s="132"/>
      <c r="O92" s="132"/>
      <c r="P92" s="132"/>
      <c r="Q92" s="132"/>
      <c r="R92" s="132"/>
      <c r="S92" s="140"/>
      <c r="T92" s="134"/>
      <c r="U92" s="132"/>
      <c r="V92" s="132">
        <f t="shared" si="13"/>
        <v>1475</v>
      </c>
      <c r="W92" s="132">
        <f t="shared" si="14"/>
        <v>73.75</v>
      </c>
      <c r="X92" s="132">
        <f t="shared" si="15"/>
        <v>1548.75</v>
      </c>
      <c r="Y92" s="140">
        <v>51</v>
      </c>
      <c r="Z92" s="141"/>
      <c r="AA92" s="148"/>
    </row>
    <row r="93" spans="1:54" s="136" customFormat="1">
      <c r="A93" s="473">
        <v>42246</v>
      </c>
      <c r="B93" s="138"/>
      <c r="C93" s="138">
        <v>431</v>
      </c>
      <c r="D93" s="140"/>
      <c r="E93" s="132">
        <v>1100</v>
      </c>
      <c r="F93" s="133"/>
      <c r="G93" s="132">
        <v>200</v>
      </c>
      <c r="H93" s="132"/>
      <c r="I93" s="132">
        <v>1</v>
      </c>
      <c r="J93" s="133"/>
      <c r="K93" s="132">
        <v>175</v>
      </c>
      <c r="L93" s="132"/>
      <c r="M93" s="132"/>
      <c r="N93" s="132"/>
      <c r="O93" s="132"/>
      <c r="P93" s="132"/>
      <c r="Q93" s="132"/>
      <c r="R93" s="132"/>
      <c r="S93" s="140"/>
      <c r="T93" s="134"/>
      <c r="U93" s="132"/>
      <c r="V93" s="132">
        <f t="shared" si="13"/>
        <v>0</v>
      </c>
      <c r="W93" s="132">
        <f t="shared" si="14"/>
        <v>0</v>
      </c>
      <c r="X93" s="132">
        <f t="shared" si="15"/>
        <v>0</v>
      </c>
      <c r="Y93" s="140">
        <v>51</v>
      </c>
      <c r="Z93" s="141"/>
      <c r="AA93" s="148"/>
    </row>
    <row r="94" spans="1:54">
      <c r="A94" s="473">
        <v>42247</v>
      </c>
      <c r="B94" s="138"/>
      <c r="C94" s="138">
        <v>431</v>
      </c>
      <c r="D94" s="140">
        <v>1</v>
      </c>
      <c r="E94" s="132">
        <v>1100</v>
      </c>
      <c r="F94" s="133">
        <v>1</v>
      </c>
      <c r="G94" s="132">
        <v>200</v>
      </c>
      <c r="H94" s="132"/>
      <c r="I94" s="132">
        <v>1</v>
      </c>
      <c r="J94" s="133">
        <v>1</v>
      </c>
      <c r="K94" s="132">
        <v>175</v>
      </c>
      <c r="L94" s="132"/>
      <c r="M94" s="132"/>
      <c r="N94" s="132"/>
      <c r="O94" s="132"/>
      <c r="P94" s="132"/>
      <c r="Q94" s="132"/>
      <c r="R94" s="132"/>
      <c r="S94" s="140"/>
      <c r="T94" s="134"/>
      <c r="U94" s="132"/>
      <c r="V94" s="132">
        <f t="shared" si="13"/>
        <v>1475</v>
      </c>
      <c r="W94" s="132">
        <f t="shared" si="14"/>
        <v>73.75</v>
      </c>
      <c r="X94" s="132">
        <f t="shared" si="15"/>
        <v>1548.75</v>
      </c>
      <c r="Y94" s="140">
        <v>51</v>
      </c>
      <c r="Z94" s="665">
        <v>34072.5</v>
      </c>
      <c r="AA94" s="148"/>
      <c r="AB94" s="136"/>
      <c r="AC94" s="136"/>
      <c r="AD94" s="136"/>
      <c r="AE94" s="136"/>
      <c r="AF94" s="136"/>
      <c r="AG94" s="136"/>
      <c r="AH94" s="136"/>
      <c r="AI94" s="136"/>
      <c r="AJ94" s="136"/>
      <c r="AK94" s="136"/>
      <c r="AL94" s="136"/>
      <c r="AM94" s="136"/>
      <c r="AN94" s="136"/>
      <c r="AO94" s="136"/>
      <c r="AP94" s="136"/>
      <c r="AQ94" s="136"/>
      <c r="AR94" s="136"/>
      <c r="AS94" s="136"/>
      <c r="AT94" s="136"/>
      <c r="AU94" s="136"/>
      <c r="AV94" s="136"/>
      <c r="AW94" s="136"/>
      <c r="AX94" s="136"/>
      <c r="AY94" s="136"/>
      <c r="AZ94" s="136"/>
      <c r="BA94" s="136"/>
      <c r="BB94" s="136"/>
    </row>
    <row r="95" spans="1:54">
      <c r="A95" s="654">
        <v>42248</v>
      </c>
      <c r="B95" s="655"/>
      <c r="C95" s="655">
        <v>431</v>
      </c>
      <c r="D95" s="471">
        <v>1</v>
      </c>
      <c r="E95" s="518">
        <v>1100</v>
      </c>
      <c r="F95" s="520">
        <v>1</v>
      </c>
      <c r="G95" s="518">
        <v>200</v>
      </c>
      <c r="H95" s="518"/>
      <c r="I95" s="518">
        <v>1</v>
      </c>
      <c r="J95" s="520">
        <v>1</v>
      </c>
      <c r="K95" s="518">
        <v>175</v>
      </c>
      <c r="L95" s="518"/>
      <c r="M95" s="518"/>
      <c r="N95" s="518"/>
      <c r="O95" s="518"/>
      <c r="P95" s="518"/>
      <c r="Q95" s="518"/>
      <c r="R95" s="518"/>
      <c r="S95" s="471"/>
      <c r="T95" s="656"/>
      <c r="U95" s="518"/>
      <c r="V95" s="518">
        <f t="shared" si="13"/>
        <v>1475</v>
      </c>
      <c r="W95" s="518">
        <f t="shared" si="14"/>
        <v>73.75</v>
      </c>
      <c r="X95" s="518">
        <f t="shared" si="15"/>
        <v>1548.75</v>
      </c>
      <c r="Y95" s="471">
        <v>52</v>
      </c>
      <c r="Z95" s="521"/>
      <c r="AA95" s="341"/>
    </row>
    <row r="96" spans="1:54">
      <c r="A96" s="654">
        <v>42249</v>
      </c>
      <c r="B96" s="655"/>
      <c r="C96" s="655">
        <v>431</v>
      </c>
      <c r="D96" s="471">
        <v>1</v>
      </c>
      <c r="E96" s="518">
        <v>1100</v>
      </c>
      <c r="F96" s="520">
        <v>1</v>
      </c>
      <c r="G96" s="518">
        <v>200</v>
      </c>
      <c r="H96" s="518"/>
      <c r="I96" s="518">
        <v>1</v>
      </c>
      <c r="J96" s="520">
        <v>1</v>
      </c>
      <c r="K96" s="518">
        <v>175</v>
      </c>
      <c r="L96" s="518"/>
      <c r="M96" s="518"/>
      <c r="N96" s="518"/>
      <c r="O96" s="518"/>
      <c r="P96" s="518"/>
      <c r="Q96" s="518"/>
      <c r="R96" s="518"/>
      <c r="S96" s="471"/>
      <c r="T96" s="656"/>
      <c r="U96" s="518"/>
      <c r="V96" s="518">
        <f t="shared" si="13"/>
        <v>1475</v>
      </c>
      <c r="W96" s="518">
        <f t="shared" si="14"/>
        <v>73.75</v>
      </c>
      <c r="X96" s="518">
        <f t="shared" si="15"/>
        <v>1548.75</v>
      </c>
      <c r="Y96" s="471">
        <v>52</v>
      </c>
      <c r="Z96" s="521"/>
      <c r="AA96" s="341"/>
    </row>
    <row r="97" spans="1:27">
      <c r="A97" s="654">
        <v>42250</v>
      </c>
      <c r="B97" s="655"/>
      <c r="C97" s="655">
        <v>431</v>
      </c>
      <c r="D97" s="471">
        <v>1</v>
      </c>
      <c r="E97" s="518">
        <v>1100</v>
      </c>
      <c r="F97" s="520">
        <v>1</v>
      </c>
      <c r="G97" s="518">
        <v>200</v>
      </c>
      <c r="H97" s="518"/>
      <c r="I97" s="518">
        <v>1</v>
      </c>
      <c r="J97" s="520">
        <v>1</v>
      </c>
      <c r="K97" s="518">
        <v>175</v>
      </c>
      <c r="L97" s="518"/>
      <c r="M97" s="518"/>
      <c r="N97" s="518"/>
      <c r="O97" s="518"/>
      <c r="P97" s="518"/>
      <c r="Q97" s="518"/>
      <c r="R97" s="518"/>
      <c r="S97" s="471"/>
      <c r="T97" s="656"/>
      <c r="U97" s="518"/>
      <c r="V97" s="518">
        <f t="shared" si="13"/>
        <v>1475</v>
      </c>
      <c r="W97" s="518">
        <f t="shared" si="14"/>
        <v>73.75</v>
      </c>
      <c r="X97" s="518">
        <f t="shared" si="15"/>
        <v>1548.75</v>
      </c>
      <c r="Y97" s="471">
        <v>52</v>
      </c>
      <c r="Z97" s="521"/>
      <c r="AA97" s="341"/>
    </row>
    <row r="98" spans="1:27">
      <c r="A98" s="654">
        <v>42255</v>
      </c>
      <c r="B98" s="657"/>
      <c r="C98" s="657"/>
      <c r="D98" s="471">
        <v>1</v>
      </c>
      <c r="E98" s="518">
        <v>1100</v>
      </c>
      <c r="F98" s="520">
        <v>1</v>
      </c>
      <c r="G98" s="518">
        <v>200</v>
      </c>
      <c r="H98" s="518"/>
      <c r="I98" s="518">
        <v>1</v>
      </c>
      <c r="J98" s="520">
        <v>1</v>
      </c>
      <c r="K98" s="518">
        <v>175</v>
      </c>
      <c r="L98" s="518"/>
      <c r="M98" s="518"/>
      <c r="N98" s="518"/>
      <c r="O98" s="518"/>
      <c r="P98" s="518"/>
      <c r="Q98" s="518"/>
      <c r="R98" s="518"/>
      <c r="S98" s="471"/>
      <c r="T98" s="656"/>
      <c r="U98" s="518"/>
      <c r="V98" s="518">
        <f t="shared" si="13"/>
        <v>1475</v>
      </c>
      <c r="W98" s="518">
        <f t="shared" si="14"/>
        <v>73.75</v>
      </c>
      <c r="X98" s="518">
        <f t="shared" si="15"/>
        <v>1548.75</v>
      </c>
      <c r="Y98" s="471">
        <v>52</v>
      </c>
      <c r="Z98" s="658"/>
    </row>
    <row r="99" spans="1:27">
      <c r="A99" s="654">
        <v>42256</v>
      </c>
      <c r="B99" s="657"/>
      <c r="C99" s="657"/>
      <c r="D99" s="471">
        <v>1</v>
      </c>
      <c r="E99" s="518">
        <v>1100</v>
      </c>
      <c r="F99" s="520">
        <v>1</v>
      </c>
      <c r="G99" s="518">
        <v>200</v>
      </c>
      <c r="H99" s="518"/>
      <c r="I99" s="518">
        <v>1</v>
      </c>
      <c r="J99" s="520">
        <v>1</v>
      </c>
      <c r="K99" s="518">
        <v>175</v>
      </c>
      <c r="L99" s="518"/>
      <c r="M99" s="518"/>
      <c r="N99" s="518"/>
      <c r="O99" s="518"/>
      <c r="P99" s="518"/>
      <c r="Q99" s="518"/>
      <c r="R99" s="518"/>
      <c r="S99" s="471"/>
      <c r="T99" s="656"/>
      <c r="U99" s="518"/>
      <c r="V99" s="518">
        <f t="shared" si="13"/>
        <v>1475</v>
      </c>
      <c r="W99" s="518">
        <f t="shared" si="14"/>
        <v>73.75</v>
      </c>
      <c r="X99" s="518">
        <f t="shared" si="15"/>
        <v>1548.75</v>
      </c>
      <c r="Y99" s="471">
        <v>52</v>
      </c>
      <c r="Z99" s="658"/>
    </row>
    <row r="100" spans="1:27">
      <c r="A100" s="654">
        <v>42257</v>
      </c>
      <c r="B100" s="657"/>
      <c r="C100" s="657"/>
      <c r="D100" s="471">
        <v>1</v>
      </c>
      <c r="E100" s="518">
        <v>1100</v>
      </c>
      <c r="F100" s="520">
        <v>1</v>
      </c>
      <c r="G100" s="518">
        <v>200</v>
      </c>
      <c r="H100" s="518"/>
      <c r="I100" s="518">
        <v>1</v>
      </c>
      <c r="J100" s="520">
        <v>1</v>
      </c>
      <c r="K100" s="518">
        <v>175</v>
      </c>
      <c r="L100" s="518"/>
      <c r="M100" s="518"/>
      <c r="N100" s="518"/>
      <c r="O100" s="518"/>
      <c r="P100" s="518"/>
      <c r="Q100" s="518"/>
      <c r="R100" s="518"/>
      <c r="S100" s="471"/>
      <c r="T100" s="656"/>
      <c r="U100" s="518"/>
      <c r="V100" s="518">
        <f t="shared" si="13"/>
        <v>1475</v>
      </c>
      <c r="W100" s="518">
        <f t="shared" si="14"/>
        <v>73.75</v>
      </c>
      <c r="X100" s="518">
        <f t="shared" si="15"/>
        <v>1548.75</v>
      </c>
      <c r="Y100" s="471">
        <v>52</v>
      </c>
      <c r="Z100" s="658"/>
    </row>
    <row r="101" spans="1:27">
      <c r="A101" s="654">
        <v>42258</v>
      </c>
      <c r="B101" s="657"/>
      <c r="C101" s="657"/>
      <c r="D101" s="471">
        <v>1</v>
      </c>
      <c r="E101" s="518">
        <v>1100</v>
      </c>
      <c r="F101" s="520">
        <v>1</v>
      </c>
      <c r="G101" s="518">
        <v>200</v>
      </c>
      <c r="H101" s="518"/>
      <c r="I101" s="518">
        <v>1</v>
      </c>
      <c r="J101" s="520">
        <v>1</v>
      </c>
      <c r="K101" s="518">
        <v>175</v>
      </c>
      <c r="L101" s="518"/>
      <c r="M101" s="518"/>
      <c r="N101" s="518"/>
      <c r="O101" s="518"/>
      <c r="P101" s="518"/>
      <c r="Q101" s="518"/>
      <c r="R101" s="518"/>
      <c r="S101" s="471"/>
      <c r="T101" s="656"/>
      <c r="U101" s="518"/>
      <c r="V101" s="518">
        <f t="shared" si="13"/>
        <v>1475</v>
      </c>
      <c r="W101" s="518">
        <f t="shared" si="14"/>
        <v>73.75</v>
      </c>
      <c r="X101" s="518">
        <f t="shared" si="15"/>
        <v>1548.75</v>
      </c>
      <c r="Y101" s="471">
        <v>52</v>
      </c>
      <c r="Z101" s="658"/>
      <c r="AA101" s="341"/>
    </row>
    <row r="102" spans="1:27">
      <c r="A102" s="654">
        <v>42259</v>
      </c>
      <c r="B102" s="657"/>
      <c r="C102" s="657"/>
      <c r="D102" s="471">
        <v>1</v>
      </c>
      <c r="E102" s="518">
        <v>1100</v>
      </c>
      <c r="F102" s="520">
        <v>1</v>
      </c>
      <c r="G102" s="518">
        <v>200</v>
      </c>
      <c r="H102" s="518"/>
      <c r="I102" s="518">
        <v>1</v>
      </c>
      <c r="J102" s="520">
        <v>1</v>
      </c>
      <c r="K102" s="518">
        <v>175</v>
      </c>
      <c r="L102" s="518"/>
      <c r="M102" s="518"/>
      <c r="N102" s="518"/>
      <c r="O102" s="518"/>
      <c r="P102" s="518"/>
      <c r="Q102" s="518"/>
      <c r="R102" s="518"/>
      <c r="S102" s="471"/>
      <c r="T102" s="656"/>
      <c r="U102" s="518"/>
      <c r="V102" s="518">
        <f t="shared" si="13"/>
        <v>1475</v>
      </c>
      <c r="W102" s="518">
        <f t="shared" si="14"/>
        <v>73.75</v>
      </c>
      <c r="X102" s="518">
        <f t="shared" si="15"/>
        <v>1548.75</v>
      </c>
      <c r="Y102" s="471">
        <v>52</v>
      </c>
      <c r="Z102" s="658"/>
      <c r="AA102" s="341"/>
    </row>
    <row r="103" spans="1:27">
      <c r="A103" s="654">
        <v>42260</v>
      </c>
      <c r="B103" s="657"/>
      <c r="C103" s="657"/>
      <c r="D103" s="471">
        <v>1</v>
      </c>
      <c r="E103" s="518">
        <v>1100</v>
      </c>
      <c r="F103" s="520">
        <v>1</v>
      </c>
      <c r="G103" s="518">
        <v>200</v>
      </c>
      <c r="H103" s="518"/>
      <c r="I103" s="518">
        <v>1</v>
      </c>
      <c r="J103" s="520">
        <v>1</v>
      </c>
      <c r="K103" s="518">
        <v>175</v>
      </c>
      <c r="L103" s="518"/>
      <c r="M103" s="518"/>
      <c r="N103" s="518"/>
      <c r="O103" s="518"/>
      <c r="P103" s="518"/>
      <c r="Q103" s="518"/>
      <c r="R103" s="518"/>
      <c r="S103" s="471"/>
      <c r="T103" s="656"/>
      <c r="U103" s="518"/>
      <c r="V103" s="518">
        <f>(D103*E103)+(F103*G103)+(H103*I103)+(J103*K103)</f>
        <v>1475</v>
      </c>
      <c r="W103" s="518">
        <f>(V103*5%)</f>
        <v>73.75</v>
      </c>
      <c r="X103" s="518">
        <f>SUM(V103+W103)</f>
        <v>1548.75</v>
      </c>
      <c r="Y103" s="471">
        <v>52</v>
      </c>
      <c r="Z103" s="658"/>
      <c r="AA103" s="341"/>
    </row>
    <row r="104" spans="1:27">
      <c r="A104" s="654">
        <v>42261</v>
      </c>
      <c r="B104" s="657"/>
      <c r="C104" s="657"/>
      <c r="D104" s="471">
        <v>1</v>
      </c>
      <c r="E104" s="518">
        <v>1100</v>
      </c>
      <c r="F104" s="520">
        <v>1</v>
      </c>
      <c r="G104" s="518">
        <v>200</v>
      </c>
      <c r="H104" s="518"/>
      <c r="I104" s="518">
        <v>1</v>
      </c>
      <c r="J104" s="520">
        <v>1</v>
      </c>
      <c r="K104" s="518">
        <v>175</v>
      </c>
      <c r="L104" s="518"/>
      <c r="M104" s="518"/>
      <c r="N104" s="518"/>
      <c r="O104" s="518"/>
      <c r="P104" s="518"/>
      <c r="Q104" s="518"/>
      <c r="R104" s="518"/>
      <c r="S104" s="471"/>
      <c r="T104" s="656"/>
      <c r="U104" s="518"/>
      <c r="V104" s="518">
        <f>(D104*E104)+(F104*G104)+(H104*I104)+(J104*K104)</f>
        <v>1475</v>
      </c>
      <c r="W104" s="518">
        <f>(V104*5%)</f>
        <v>73.75</v>
      </c>
      <c r="X104" s="518">
        <f>SUM(V104+W104)</f>
        <v>1548.75</v>
      </c>
      <c r="Y104" s="471">
        <v>52</v>
      </c>
      <c r="Z104" s="658"/>
      <c r="AA104" s="341"/>
    </row>
    <row r="105" spans="1:27">
      <c r="A105" s="654">
        <v>42262</v>
      </c>
      <c r="B105" s="657"/>
      <c r="C105" s="657"/>
      <c r="D105" s="471">
        <v>1</v>
      </c>
      <c r="E105" s="518">
        <v>1100</v>
      </c>
      <c r="F105" s="520">
        <v>1</v>
      </c>
      <c r="G105" s="518">
        <v>200</v>
      </c>
      <c r="H105" s="518"/>
      <c r="I105" s="518">
        <v>1</v>
      </c>
      <c r="J105" s="520">
        <v>1</v>
      </c>
      <c r="K105" s="518">
        <v>175</v>
      </c>
      <c r="L105" s="518"/>
      <c r="M105" s="518"/>
      <c r="N105" s="518"/>
      <c r="O105" s="518"/>
      <c r="P105" s="518"/>
      <c r="Q105" s="518"/>
      <c r="R105" s="518"/>
      <c r="S105" s="471"/>
      <c r="T105" s="656"/>
      <c r="U105" s="518"/>
      <c r="V105" s="518">
        <f>(D105*E105)+(F105*G105)+(H105*I105)+(J105*K105)</f>
        <v>1475</v>
      </c>
      <c r="W105" s="518">
        <f>(V105*5%)</f>
        <v>73.75</v>
      </c>
      <c r="X105" s="518">
        <f>SUM(V105+W105)</f>
        <v>1548.75</v>
      </c>
      <c r="Y105" s="471">
        <v>52</v>
      </c>
      <c r="Z105" s="658"/>
      <c r="AA105" s="341"/>
    </row>
    <row r="106" spans="1:27">
      <c r="A106" s="654">
        <v>42263</v>
      </c>
      <c r="B106" s="657"/>
      <c r="C106" s="657"/>
      <c r="D106" s="471">
        <v>1</v>
      </c>
      <c r="E106" s="518">
        <v>1100</v>
      </c>
      <c r="F106" s="520">
        <v>1</v>
      </c>
      <c r="G106" s="518">
        <v>200</v>
      </c>
      <c r="H106" s="518"/>
      <c r="I106" s="518">
        <v>1</v>
      </c>
      <c r="J106" s="520">
        <v>1</v>
      </c>
      <c r="K106" s="518">
        <v>175</v>
      </c>
      <c r="L106" s="518"/>
      <c r="M106" s="518"/>
      <c r="N106" s="518"/>
      <c r="O106" s="518"/>
      <c r="P106" s="518"/>
      <c r="Q106" s="518"/>
      <c r="R106" s="518"/>
      <c r="S106" s="471"/>
      <c r="T106" s="656"/>
      <c r="U106" s="518"/>
      <c r="V106" s="518">
        <f>(D106*E106)+(F106*G106)+(H106*I106)+(J106*K106)</f>
        <v>1475</v>
      </c>
      <c r="W106" s="518">
        <f>(V106*5%)</f>
        <v>73.75</v>
      </c>
      <c r="X106" s="518">
        <f>SUM(V106+W106)</f>
        <v>1548.75</v>
      </c>
      <c r="Y106" s="471">
        <v>52</v>
      </c>
      <c r="Z106" s="658"/>
      <c r="AA106" s="341"/>
    </row>
    <row r="107" spans="1:27">
      <c r="A107" s="654">
        <v>42264</v>
      </c>
      <c r="B107" s="657"/>
      <c r="C107" s="657"/>
      <c r="D107" s="471">
        <v>0</v>
      </c>
      <c r="E107" s="518">
        <v>1100</v>
      </c>
      <c r="F107" s="520">
        <v>0</v>
      </c>
      <c r="G107" s="518">
        <v>200</v>
      </c>
      <c r="H107" s="518"/>
      <c r="I107" s="518">
        <v>1</v>
      </c>
      <c r="J107" s="520">
        <v>0</v>
      </c>
      <c r="K107" s="518">
        <v>175</v>
      </c>
      <c r="L107" s="518"/>
      <c r="M107" s="518"/>
      <c r="N107" s="518"/>
      <c r="O107" s="518"/>
      <c r="P107" s="518"/>
      <c r="Q107" s="518"/>
      <c r="R107" s="518"/>
      <c r="S107" s="471"/>
      <c r="T107" s="656"/>
      <c r="U107" s="518"/>
      <c r="V107" s="518">
        <f>(D107*E107)+(F107*G107)+(H107*I107)+(J107*K107)</f>
        <v>0</v>
      </c>
      <c r="W107" s="518">
        <f t="shared" ref="W107:W116" si="16">(V107*5%)</f>
        <v>0</v>
      </c>
      <c r="X107" s="518">
        <f t="shared" ref="X107:X116" si="17">SUM(V107+W107)</f>
        <v>0</v>
      </c>
      <c r="Y107" s="471">
        <v>52</v>
      </c>
      <c r="Z107" s="658"/>
    </row>
    <row r="108" spans="1:27">
      <c r="A108" s="654">
        <v>42265</v>
      </c>
      <c r="B108" s="657"/>
      <c r="C108" s="657"/>
      <c r="D108" s="471">
        <v>0</v>
      </c>
      <c r="E108" s="518">
        <v>1100</v>
      </c>
      <c r="F108" s="520">
        <v>0</v>
      </c>
      <c r="G108" s="518">
        <v>200</v>
      </c>
      <c r="H108" s="518"/>
      <c r="I108" s="518">
        <v>1</v>
      </c>
      <c r="J108" s="520">
        <v>0</v>
      </c>
      <c r="K108" s="518">
        <v>175</v>
      </c>
      <c r="L108" s="518"/>
      <c r="M108" s="518"/>
      <c r="N108" s="518"/>
      <c r="O108" s="518"/>
      <c r="P108" s="518"/>
      <c r="Q108" s="518"/>
      <c r="R108" s="518"/>
      <c r="S108" s="471"/>
      <c r="T108" s="656"/>
      <c r="U108" s="518"/>
      <c r="V108" s="518">
        <f t="shared" ref="V108:V116" si="18">(D108*E108)+(F108*G108)+(H108*I108)+(J108*K108)</f>
        <v>0</v>
      </c>
      <c r="W108" s="518">
        <f t="shared" si="16"/>
        <v>0</v>
      </c>
      <c r="X108" s="518">
        <f t="shared" si="17"/>
        <v>0</v>
      </c>
      <c r="Y108" s="471">
        <v>52</v>
      </c>
      <c r="Z108" s="658"/>
    </row>
    <row r="109" spans="1:27">
      <c r="A109" s="654">
        <v>42266</v>
      </c>
      <c r="B109" s="657"/>
      <c r="C109" s="657"/>
      <c r="D109" s="471">
        <v>0</v>
      </c>
      <c r="E109" s="518">
        <v>1100</v>
      </c>
      <c r="F109" s="520">
        <v>0</v>
      </c>
      <c r="G109" s="518">
        <v>200</v>
      </c>
      <c r="H109" s="518"/>
      <c r="I109" s="518">
        <v>1</v>
      </c>
      <c r="J109" s="520">
        <v>0</v>
      </c>
      <c r="K109" s="518">
        <v>175</v>
      </c>
      <c r="L109" s="518"/>
      <c r="M109" s="518"/>
      <c r="N109" s="518"/>
      <c r="O109" s="518"/>
      <c r="P109" s="518"/>
      <c r="Q109" s="518"/>
      <c r="R109" s="518"/>
      <c r="S109" s="471"/>
      <c r="T109" s="656"/>
      <c r="U109" s="518"/>
      <c r="V109" s="518">
        <f t="shared" si="18"/>
        <v>0</v>
      </c>
      <c r="W109" s="518">
        <f t="shared" si="16"/>
        <v>0</v>
      </c>
      <c r="X109" s="518">
        <f t="shared" si="17"/>
        <v>0</v>
      </c>
      <c r="Y109" s="471">
        <v>52</v>
      </c>
      <c r="Z109" s="658"/>
    </row>
    <row r="110" spans="1:27">
      <c r="A110" s="654">
        <v>42267</v>
      </c>
      <c r="B110" s="657"/>
      <c r="C110" s="657"/>
      <c r="D110" s="471">
        <v>0</v>
      </c>
      <c r="E110" s="518">
        <v>1100</v>
      </c>
      <c r="F110" s="520">
        <v>0</v>
      </c>
      <c r="G110" s="518">
        <v>200</v>
      </c>
      <c r="H110" s="518"/>
      <c r="I110" s="518">
        <v>1</v>
      </c>
      <c r="J110" s="520">
        <v>0</v>
      </c>
      <c r="K110" s="518">
        <v>175</v>
      </c>
      <c r="L110" s="518"/>
      <c r="M110" s="518"/>
      <c r="N110" s="518"/>
      <c r="O110" s="518"/>
      <c r="P110" s="518"/>
      <c r="Q110" s="518"/>
      <c r="R110" s="518"/>
      <c r="S110" s="471"/>
      <c r="T110" s="656"/>
      <c r="U110" s="518"/>
      <c r="V110" s="518">
        <f t="shared" si="18"/>
        <v>0</v>
      </c>
      <c r="W110" s="518">
        <f t="shared" si="16"/>
        <v>0</v>
      </c>
      <c r="X110" s="518">
        <f t="shared" si="17"/>
        <v>0</v>
      </c>
      <c r="Y110" s="471">
        <v>52</v>
      </c>
      <c r="Z110" s="658"/>
    </row>
    <row r="111" spans="1:27">
      <c r="A111" s="654">
        <v>42268</v>
      </c>
      <c r="B111" s="657"/>
      <c r="C111" s="657"/>
      <c r="D111" s="659">
        <v>1</v>
      </c>
      <c r="E111" s="518">
        <v>1100</v>
      </c>
      <c r="F111" s="520">
        <v>1</v>
      </c>
      <c r="G111" s="518">
        <v>200</v>
      </c>
      <c r="H111" s="518"/>
      <c r="I111" s="518">
        <v>1</v>
      </c>
      <c r="J111" s="520">
        <v>1</v>
      </c>
      <c r="K111" s="518">
        <v>175</v>
      </c>
      <c r="L111" s="518"/>
      <c r="M111" s="518"/>
      <c r="N111" s="518"/>
      <c r="O111" s="518"/>
      <c r="P111" s="518"/>
      <c r="Q111" s="518"/>
      <c r="R111" s="518"/>
      <c r="S111" s="471"/>
      <c r="T111" s="656"/>
      <c r="U111" s="518"/>
      <c r="V111" s="518">
        <f t="shared" si="18"/>
        <v>1475</v>
      </c>
      <c r="W111" s="518">
        <f t="shared" si="16"/>
        <v>73.75</v>
      </c>
      <c r="X111" s="518">
        <f t="shared" si="17"/>
        <v>1548.75</v>
      </c>
      <c r="Y111" s="471">
        <v>52</v>
      </c>
      <c r="Z111" s="658"/>
    </row>
    <row r="112" spans="1:27">
      <c r="A112" s="654">
        <v>42269</v>
      </c>
      <c r="B112" s="657"/>
      <c r="C112" s="657"/>
      <c r="D112" s="659">
        <v>1</v>
      </c>
      <c r="E112" s="518">
        <v>1100</v>
      </c>
      <c r="F112" s="520">
        <v>1</v>
      </c>
      <c r="G112" s="518">
        <v>200</v>
      </c>
      <c r="H112" s="518"/>
      <c r="I112" s="518">
        <v>1</v>
      </c>
      <c r="J112" s="520">
        <v>1</v>
      </c>
      <c r="K112" s="518">
        <v>175</v>
      </c>
      <c r="L112" s="518"/>
      <c r="M112" s="518"/>
      <c r="N112" s="518"/>
      <c r="O112" s="518"/>
      <c r="P112" s="518"/>
      <c r="Q112" s="518"/>
      <c r="R112" s="518"/>
      <c r="S112" s="471"/>
      <c r="T112" s="656"/>
      <c r="U112" s="518"/>
      <c r="V112" s="518">
        <f t="shared" si="18"/>
        <v>1475</v>
      </c>
      <c r="W112" s="518">
        <f t="shared" si="16"/>
        <v>73.75</v>
      </c>
      <c r="X112" s="518">
        <f t="shared" si="17"/>
        <v>1548.75</v>
      </c>
      <c r="Y112" s="471">
        <v>52</v>
      </c>
      <c r="Z112" s="658"/>
    </row>
    <row r="113" spans="1:54">
      <c r="A113" s="654">
        <v>42270</v>
      </c>
      <c r="B113" s="657"/>
      <c r="C113" s="657"/>
      <c r="D113" s="659">
        <v>1</v>
      </c>
      <c r="E113" s="518">
        <v>1100</v>
      </c>
      <c r="F113" s="520">
        <v>1</v>
      </c>
      <c r="G113" s="518">
        <v>200</v>
      </c>
      <c r="H113" s="518"/>
      <c r="I113" s="518">
        <v>1</v>
      </c>
      <c r="J113" s="520">
        <v>1</v>
      </c>
      <c r="K113" s="518">
        <v>175</v>
      </c>
      <c r="L113" s="518"/>
      <c r="M113" s="518"/>
      <c r="N113" s="518"/>
      <c r="O113" s="518"/>
      <c r="P113" s="518"/>
      <c r="Q113" s="518"/>
      <c r="R113" s="518"/>
      <c r="S113" s="471"/>
      <c r="T113" s="656"/>
      <c r="U113" s="518"/>
      <c r="V113" s="518">
        <f t="shared" si="18"/>
        <v>1475</v>
      </c>
      <c r="W113" s="518">
        <f t="shared" si="16"/>
        <v>73.75</v>
      </c>
      <c r="X113" s="518">
        <f t="shared" si="17"/>
        <v>1548.75</v>
      </c>
      <c r="Y113" s="471">
        <v>52</v>
      </c>
      <c r="Z113" s="658"/>
    </row>
    <row r="114" spans="1:54">
      <c r="A114" s="654">
        <v>42271</v>
      </c>
      <c r="B114" s="657"/>
      <c r="C114" s="657"/>
      <c r="D114" s="659">
        <v>1</v>
      </c>
      <c r="E114" s="518">
        <v>1100</v>
      </c>
      <c r="F114" s="520">
        <v>1</v>
      </c>
      <c r="G114" s="518">
        <v>200</v>
      </c>
      <c r="H114" s="518"/>
      <c r="I114" s="518">
        <v>1</v>
      </c>
      <c r="J114" s="520">
        <v>1</v>
      </c>
      <c r="K114" s="518">
        <v>175</v>
      </c>
      <c r="L114" s="518"/>
      <c r="M114" s="518"/>
      <c r="N114" s="518"/>
      <c r="O114" s="518"/>
      <c r="P114" s="518"/>
      <c r="Q114" s="518"/>
      <c r="R114" s="518"/>
      <c r="S114" s="471"/>
      <c r="T114" s="656"/>
      <c r="U114" s="518"/>
      <c r="V114" s="518">
        <f t="shared" si="18"/>
        <v>1475</v>
      </c>
      <c r="W114" s="518">
        <f t="shared" si="16"/>
        <v>73.75</v>
      </c>
      <c r="X114" s="518">
        <f t="shared" si="17"/>
        <v>1548.75</v>
      </c>
      <c r="Y114" s="471">
        <v>52</v>
      </c>
      <c r="Z114" s="658"/>
    </row>
    <row r="115" spans="1:54">
      <c r="A115" s="654">
        <v>42272</v>
      </c>
      <c r="B115" s="657"/>
      <c r="C115" s="657"/>
      <c r="D115" s="660">
        <v>1</v>
      </c>
      <c r="E115" s="661">
        <v>1100</v>
      </c>
      <c r="F115" s="662">
        <v>1</v>
      </c>
      <c r="G115" s="661">
        <v>200</v>
      </c>
      <c r="H115" s="661"/>
      <c r="I115" s="661">
        <v>1</v>
      </c>
      <c r="J115" s="662">
        <v>1</v>
      </c>
      <c r="K115" s="661">
        <v>175</v>
      </c>
      <c r="L115" s="661"/>
      <c r="M115" s="661"/>
      <c r="N115" s="661"/>
      <c r="O115" s="661"/>
      <c r="P115" s="661"/>
      <c r="Q115" s="661"/>
      <c r="R115" s="661"/>
      <c r="S115" s="660"/>
      <c r="T115" s="663"/>
      <c r="U115" s="661"/>
      <c r="V115" s="661">
        <f t="shared" si="18"/>
        <v>1475</v>
      </c>
      <c r="W115" s="661">
        <f t="shared" si="16"/>
        <v>73.75</v>
      </c>
      <c r="X115" s="661">
        <f t="shared" si="17"/>
        <v>1548.75</v>
      </c>
      <c r="Y115" s="471">
        <v>52</v>
      </c>
      <c r="Z115" s="664"/>
    </row>
    <row r="116" spans="1:54">
      <c r="A116" s="654">
        <v>42273</v>
      </c>
      <c r="B116" s="657"/>
      <c r="C116" s="657"/>
      <c r="D116" s="660">
        <v>1</v>
      </c>
      <c r="E116" s="661">
        <v>1100</v>
      </c>
      <c r="F116" s="662">
        <v>1</v>
      </c>
      <c r="G116" s="661">
        <v>200</v>
      </c>
      <c r="H116" s="661"/>
      <c r="I116" s="661">
        <v>1</v>
      </c>
      <c r="J116" s="662">
        <v>1</v>
      </c>
      <c r="K116" s="661">
        <v>175</v>
      </c>
      <c r="L116" s="661"/>
      <c r="M116" s="661"/>
      <c r="N116" s="661"/>
      <c r="O116" s="661"/>
      <c r="P116" s="661"/>
      <c r="Q116" s="661"/>
      <c r="R116" s="661"/>
      <c r="S116" s="660"/>
      <c r="T116" s="663"/>
      <c r="U116" s="661"/>
      <c r="V116" s="661">
        <f t="shared" si="18"/>
        <v>1475</v>
      </c>
      <c r="W116" s="661">
        <f t="shared" si="16"/>
        <v>73.75</v>
      </c>
      <c r="X116" s="661">
        <f t="shared" si="17"/>
        <v>1548.75</v>
      </c>
      <c r="Y116" s="471">
        <v>52</v>
      </c>
      <c r="Z116" s="664"/>
    </row>
    <row r="117" spans="1:54">
      <c r="A117" s="654">
        <v>42274</v>
      </c>
      <c r="B117" s="657"/>
      <c r="C117" s="657"/>
      <c r="D117" s="660">
        <v>1</v>
      </c>
      <c r="E117" s="661">
        <v>1100</v>
      </c>
      <c r="F117" s="662">
        <v>1</v>
      </c>
      <c r="G117" s="661">
        <v>200</v>
      </c>
      <c r="H117" s="661"/>
      <c r="I117" s="661">
        <v>1</v>
      </c>
      <c r="J117" s="662">
        <v>1</v>
      </c>
      <c r="K117" s="661">
        <v>175</v>
      </c>
      <c r="L117" s="661"/>
      <c r="M117" s="661"/>
      <c r="N117" s="661"/>
      <c r="O117" s="661"/>
      <c r="P117" s="661"/>
      <c r="Q117" s="661"/>
      <c r="R117" s="661"/>
      <c r="S117" s="660"/>
      <c r="T117" s="663"/>
      <c r="U117" s="660"/>
      <c r="V117" s="661">
        <f t="shared" ref="V117:V128" si="19">(D117*E117)+(F117*G117)+(H117*I117)+(J117*K117)</f>
        <v>1475</v>
      </c>
      <c r="W117" s="661">
        <f t="shared" ref="W117:W128" si="20">(V117*5%)</f>
        <v>73.75</v>
      </c>
      <c r="X117" s="661">
        <f t="shared" ref="X117:X128" si="21">SUM(V117+W117)</f>
        <v>1548.75</v>
      </c>
      <c r="Y117" s="471">
        <v>52</v>
      </c>
      <c r="Z117" s="664"/>
    </row>
    <row r="118" spans="1:54">
      <c r="A118" s="654">
        <v>42275</v>
      </c>
      <c r="B118" s="657"/>
      <c r="C118" s="657"/>
      <c r="D118" s="660">
        <v>1</v>
      </c>
      <c r="E118" s="661">
        <v>1100</v>
      </c>
      <c r="F118" s="662">
        <v>1</v>
      </c>
      <c r="G118" s="661">
        <v>200</v>
      </c>
      <c r="H118" s="661"/>
      <c r="I118" s="661">
        <v>1</v>
      </c>
      <c r="J118" s="662">
        <v>1</v>
      </c>
      <c r="K118" s="661">
        <v>175</v>
      </c>
      <c r="L118" s="661"/>
      <c r="M118" s="661"/>
      <c r="N118" s="661"/>
      <c r="O118" s="661"/>
      <c r="P118" s="661"/>
      <c r="Q118" s="661"/>
      <c r="R118" s="661"/>
      <c r="S118" s="660"/>
      <c r="T118" s="663"/>
      <c r="U118" s="660"/>
      <c r="V118" s="661">
        <f t="shared" si="19"/>
        <v>1475</v>
      </c>
      <c r="W118" s="661">
        <f t="shared" si="20"/>
        <v>73.75</v>
      </c>
      <c r="X118" s="661">
        <f t="shared" si="21"/>
        <v>1548.75</v>
      </c>
      <c r="Y118" s="471">
        <v>52</v>
      </c>
      <c r="Z118" s="664"/>
    </row>
    <row r="119" spans="1:54">
      <c r="A119" s="654">
        <v>42276</v>
      </c>
      <c r="B119" s="657"/>
      <c r="C119" s="657"/>
      <c r="D119" s="660">
        <v>1</v>
      </c>
      <c r="E119" s="661">
        <v>1100</v>
      </c>
      <c r="F119" s="662">
        <v>1</v>
      </c>
      <c r="G119" s="661">
        <v>200</v>
      </c>
      <c r="H119" s="661"/>
      <c r="I119" s="661">
        <v>1</v>
      </c>
      <c r="J119" s="662">
        <v>1</v>
      </c>
      <c r="K119" s="661">
        <v>175</v>
      </c>
      <c r="L119" s="661"/>
      <c r="M119" s="661"/>
      <c r="N119" s="661"/>
      <c r="O119" s="661"/>
      <c r="P119" s="661"/>
      <c r="Q119" s="661"/>
      <c r="R119" s="661"/>
      <c r="S119" s="660"/>
      <c r="T119" s="663"/>
      <c r="U119" s="660"/>
      <c r="V119" s="661">
        <f t="shared" si="19"/>
        <v>1475</v>
      </c>
      <c r="W119" s="661">
        <f t="shared" si="20"/>
        <v>73.75</v>
      </c>
      <c r="X119" s="661">
        <f t="shared" si="21"/>
        <v>1548.75</v>
      </c>
      <c r="Y119" s="471">
        <v>52</v>
      </c>
      <c r="Z119" s="664"/>
    </row>
    <row r="120" spans="1:54" s="136" customFormat="1">
      <c r="A120" s="654">
        <v>42277</v>
      </c>
      <c r="B120" s="657"/>
      <c r="C120" s="657"/>
      <c r="D120" s="660">
        <v>1</v>
      </c>
      <c r="E120" s="661">
        <v>1100</v>
      </c>
      <c r="F120" s="662">
        <v>1</v>
      </c>
      <c r="G120" s="661">
        <v>200</v>
      </c>
      <c r="H120" s="661"/>
      <c r="I120" s="661">
        <v>1</v>
      </c>
      <c r="J120" s="662">
        <v>1</v>
      </c>
      <c r="K120" s="661">
        <v>175</v>
      </c>
      <c r="L120" s="661"/>
      <c r="M120" s="661"/>
      <c r="N120" s="661"/>
      <c r="O120" s="661"/>
      <c r="P120" s="661"/>
      <c r="Q120" s="661"/>
      <c r="R120" s="661"/>
      <c r="S120" s="660"/>
      <c r="T120" s="663"/>
      <c r="U120" s="660"/>
      <c r="V120" s="661">
        <f t="shared" si="19"/>
        <v>1475</v>
      </c>
      <c r="W120" s="661">
        <f t="shared" si="20"/>
        <v>73.75</v>
      </c>
      <c r="X120" s="661">
        <f t="shared" si="21"/>
        <v>1548.75</v>
      </c>
      <c r="Y120" s="471">
        <v>52</v>
      </c>
      <c r="Z120" s="664">
        <v>34072.5</v>
      </c>
      <c r="AA120" s="71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</row>
    <row r="121" spans="1:54" s="136" customFormat="1">
      <c r="A121" s="473">
        <v>42278</v>
      </c>
      <c r="B121" s="862"/>
      <c r="C121" s="862"/>
      <c r="D121" s="808">
        <v>1</v>
      </c>
      <c r="E121" s="809">
        <v>1100</v>
      </c>
      <c r="F121" s="810">
        <v>1</v>
      </c>
      <c r="G121" s="809">
        <v>200</v>
      </c>
      <c r="H121" s="809"/>
      <c r="I121" s="809">
        <v>1</v>
      </c>
      <c r="J121" s="810">
        <v>1</v>
      </c>
      <c r="K121" s="809">
        <v>175</v>
      </c>
      <c r="L121" s="809"/>
      <c r="M121" s="809"/>
      <c r="N121" s="809"/>
      <c r="O121" s="809"/>
      <c r="P121" s="809"/>
      <c r="Q121" s="809"/>
      <c r="R121" s="809"/>
      <c r="S121" s="808"/>
      <c r="T121" s="863"/>
      <c r="U121" s="808"/>
      <c r="V121" s="809">
        <f t="shared" si="19"/>
        <v>1475</v>
      </c>
      <c r="W121" s="809">
        <f t="shared" si="20"/>
        <v>73.75</v>
      </c>
      <c r="X121" s="809">
        <f t="shared" si="21"/>
        <v>1548.75</v>
      </c>
      <c r="Y121" s="808">
        <v>53</v>
      </c>
      <c r="Z121" s="864"/>
      <c r="AA121" s="148"/>
    </row>
    <row r="122" spans="1:54" s="136" customFormat="1">
      <c r="A122" s="473">
        <v>42279</v>
      </c>
      <c r="B122" s="862"/>
      <c r="C122" s="862"/>
      <c r="D122" s="808">
        <v>1</v>
      </c>
      <c r="E122" s="809">
        <v>1100</v>
      </c>
      <c r="F122" s="810">
        <v>1</v>
      </c>
      <c r="G122" s="809">
        <v>200</v>
      </c>
      <c r="H122" s="809"/>
      <c r="I122" s="809">
        <v>1</v>
      </c>
      <c r="J122" s="810">
        <v>1</v>
      </c>
      <c r="K122" s="809">
        <v>175</v>
      </c>
      <c r="L122" s="809"/>
      <c r="M122" s="809"/>
      <c r="N122" s="809"/>
      <c r="O122" s="809"/>
      <c r="P122" s="809"/>
      <c r="Q122" s="809"/>
      <c r="R122" s="809"/>
      <c r="S122" s="808"/>
      <c r="T122" s="863"/>
      <c r="U122" s="808"/>
      <c r="V122" s="809">
        <f t="shared" si="19"/>
        <v>1475</v>
      </c>
      <c r="W122" s="809">
        <f t="shared" si="20"/>
        <v>73.75</v>
      </c>
      <c r="X122" s="809">
        <f t="shared" si="21"/>
        <v>1548.75</v>
      </c>
      <c r="Y122" s="808">
        <v>53</v>
      </c>
      <c r="Z122" s="864"/>
      <c r="AA122" s="148"/>
    </row>
    <row r="123" spans="1:54" s="136" customFormat="1">
      <c r="A123" s="473">
        <v>42280</v>
      </c>
      <c r="B123" s="862"/>
      <c r="C123" s="862"/>
      <c r="D123" s="808">
        <v>1</v>
      </c>
      <c r="E123" s="809">
        <v>1100</v>
      </c>
      <c r="F123" s="810">
        <v>1</v>
      </c>
      <c r="G123" s="809">
        <v>200</v>
      </c>
      <c r="H123" s="809"/>
      <c r="I123" s="809">
        <v>1</v>
      </c>
      <c r="J123" s="810">
        <v>1</v>
      </c>
      <c r="K123" s="809">
        <v>175</v>
      </c>
      <c r="L123" s="809"/>
      <c r="M123" s="809"/>
      <c r="N123" s="809"/>
      <c r="O123" s="809"/>
      <c r="P123" s="809"/>
      <c r="Q123" s="809"/>
      <c r="R123" s="809"/>
      <c r="S123" s="808"/>
      <c r="T123" s="863"/>
      <c r="U123" s="808"/>
      <c r="V123" s="809">
        <f t="shared" si="19"/>
        <v>1475</v>
      </c>
      <c r="W123" s="809">
        <f t="shared" si="20"/>
        <v>73.75</v>
      </c>
      <c r="X123" s="809">
        <f t="shared" si="21"/>
        <v>1548.75</v>
      </c>
      <c r="Y123" s="808">
        <v>53</v>
      </c>
      <c r="Z123" s="864"/>
      <c r="AA123" s="148"/>
    </row>
    <row r="124" spans="1:54" s="865" customFormat="1">
      <c r="A124" s="473">
        <v>42281</v>
      </c>
      <c r="B124" s="862"/>
      <c r="C124" s="862"/>
      <c r="D124" s="808">
        <v>1</v>
      </c>
      <c r="E124" s="809">
        <v>1100</v>
      </c>
      <c r="F124" s="810">
        <v>1</v>
      </c>
      <c r="G124" s="809">
        <v>200</v>
      </c>
      <c r="H124" s="809"/>
      <c r="I124" s="809">
        <v>1</v>
      </c>
      <c r="J124" s="810">
        <v>1</v>
      </c>
      <c r="K124" s="809">
        <v>175</v>
      </c>
      <c r="L124" s="809"/>
      <c r="M124" s="809"/>
      <c r="N124" s="809"/>
      <c r="O124" s="809"/>
      <c r="P124" s="809"/>
      <c r="Q124" s="809"/>
      <c r="R124" s="809"/>
      <c r="S124" s="808"/>
      <c r="T124" s="863"/>
      <c r="U124" s="808"/>
      <c r="V124" s="809">
        <f t="shared" si="19"/>
        <v>1475</v>
      </c>
      <c r="W124" s="809">
        <f t="shared" si="20"/>
        <v>73.75</v>
      </c>
      <c r="X124" s="809">
        <f t="shared" si="21"/>
        <v>1548.75</v>
      </c>
      <c r="Y124" s="808">
        <v>53</v>
      </c>
      <c r="Z124" s="864"/>
      <c r="AA124" s="148"/>
      <c r="AB124" s="136"/>
      <c r="AC124" s="136"/>
      <c r="AD124" s="136"/>
      <c r="AE124" s="136"/>
      <c r="AF124" s="136"/>
      <c r="AG124" s="136"/>
      <c r="AH124" s="136"/>
      <c r="AI124" s="136"/>
      <c r="AJ124" s="136"/>
      <c r="AK124" s="136"/>
      <c r="AL124" s="136"/>
      <c r="AM124" s="136"/>
      <c r="AN124" s="136"/>
      <c r="AO124" s="136"/>
      <c r="AP124" s="136"/>
      <c r="AQ124" s="136"/>
      <c r="AR124" s="136"/>
      <c r="AS124" s="136"/>
      <c r="AT124" s="136"/>
      <c r="AU124" s="136"/>
      <c r="AV124" s="136"/>
      <c r="AW124" s="136"/>
      <c r="AX124" s="136"/>
      <c r="AY124" s="136"/>
      <c r="AZ124" s="136"/>
      <c r="BA124" s="136"/>
      <c r="BB124" s="136"/>
    </row>
    <row r="125" spans="1:54" s="136" customFormat="1">
      <c r="A125" s="645">
        <v>42282</v>
      </c>
      <c r="B125" s="646"/>
      <c r="C125" s="646"/>
      <c r="D125" s="647"/>
      <c r="E125" s="648">
        <v>1100</v>
      </c>
      <c r="F125" s="649"/>
      <c r="G125" s="648">
        <v>200</v>
      </c>
      <c r="H125" s="648"/>
      <c r="I125" s="648">
        <v>1</v>
      </c>
      <c r="J125" s="649"/>
      <c r="K125" s="648">
        <v>175</v>
      </c>
      <c r="L125" s="648"/>
      <c r="M125" s="648"/>
      <c r="N125" s="648"/>
      <c r="O125" s="648"/>
      <c r="P125" s="648"/>
      <c r="Q125" s="648"/>
      <c r="R125" s="648"/>
      <c r="S125" s="647"/>
      <c r="T125" s="650"/>
      <c r="U125" s="647"/>
      <c r="V125" s="648">
        <f t="shared" si="19"/>
        <v>0</v>
      </c>
      <c r="W125" s="648">
        <f t="shared" si="20"/>
        <v>0</v>
      </c>
      <c r="X125" s="648">
        <f t="shared" si="21"/>
        <v>0</v>
      </c>
      <c r="Y125" s="647">
        <v>53</v>
      </c>
      <c r="Z125" s="651"/>
      <c r="AA125" s="652"/>
      <c r="AB125" s="653" t="s">
        <v>778</v>
      </c>
      <c r="AC125" s="865"/>
      <c r="AD125" s="865"/>
      <c r="AE125" s="865"/>
      <c r="AF125" s="865"/>
      <c r="AG125" s="865"/>
      <c r="AH125" s="865"/>
      <c r="AI125" s="865"/>
      <c r="AJ125" s="865"/>
      <c r="AK125" s="865"/>
      <c r="AL125" s="865"/>
      <c r="AM125" s="865"/>
      <c r="AN125" s="865"/>
      <c r="AO125" s="865"/>
      <c r="AP125" s="865"/>
      <c r="AQ125" s="865"/>
      <c r="AR125" s="865"/>
      <c r="AS125" s="865"/>
      <c r="AT125" s="865"/>
      <c r="AU125" s="865"/>
      <c r="AV125" s="865"/>
      <c r="AW125" s="865"/>
      <c r="AX125" s="865"/>
      <c r="AY125" s="865"/>
      <c r="AZ125" s="865"/>
      <c r="BA125" s="865"/>
      <c r="BB125" s="865"/>
    </row>
    <row r="126" spans="1:54" s="136" customFormat="1">
      <c r="A126" s="473">
        <v>42283</v>
      </c>
      <c r="B126" s="862"/>
      <c r="C126" s="862"/>
      <c r="D126" s="808">
        <v>1</v>
      </c>
      <c r="E126" s="809">
        <v>1100</v>
      </c>
      <c r="F126" s="810">
        <v>1</v>
      </c>
      <c r="G126" s="809">
        <v>200</v>
      </c>
      <c r="H126" s="809"/>
      <c r="I126" s="809">
        <v>1</v>
      </c>
      <c r="J126" s="810">
        <v>1</v>
      </c>
      <c r="K126" s="809">
        <v>175</v>
      </c>
      <c r="L126" s="809"/>
      <c r="M126" s="809"/>
      <c r="N126" s="809"/>
      <c r="O126" s="809"/>
      <c r="P126" s="809"/>
      <c r="Q126" s="809"/>
      <c r="R126" s="809"/>
      <c r="S126" s="808"/>
      <c r="T126" s="863"/>
      <c r="U126" s="808"/>
      <c r="V126" s="809">
        <f t="shared" si="19"/>
        <v>1475</v>
      </c>
      <c r="W126" s="809">
        <f t="shared" si="20"/>
        <v>73.75</v>
      </c>
      <c r="X126" s="809">
        <f t="shared" si="21"/>
        <v>1548.75</v>
      </c>
      <c r="Y126" s="808">
        <v>53</v>
      </c>
      <c r="Z126" s="864"/>
      <c r="AA126" s="148"/>
    </row>
    <row r="127" spans="1:54">
      <c r="A127" s="473">
        <v>42284</v>
      </c>
      <c r="B127" s="862"/>
      <c r="C127" s="862"/>
      <c r="D127" s="808">
        <v>1</v>
      </c>
      <c r="E127" s="809">
        <v>1100</v>
      </c>
      <c r="F127" s="810">
        <v>1</v>
      </c>
      <c r="G127" s="809">
        <v>200</v>
      </c>
      <c r="H127" s="809"/>
      <c r="I127" s="809">
        <v>1</v>
      </c>
      <c r="J127" s="810">
        <v>1</v>
      </c>
      <c r="K127" s="809">
        <v>175</v>
      </c>
      <c r="L127" s="809"/>
      <c r="M127" s="809"/>
      <c r="N127" s="809"/>
      <c r="O127" s="809"/>
      <c r="P127" s="809"/>
      <c r="Q127" s="809"/>
      <c r="R127" s="809"/>
      <c r="S127" s="808"/>
      <c r="T127" s="863"/>
      <c r="U127" s="808"/>
      <c r="V127" s="809">
        <f t="shared" si="19"/>
        <v>1475</v>
      </c>
      <c r="W127" s="809">
        <f t="shared" si="20"/>
        <v>73.75</v>
      </c>
      <c r="X127" s="809">
        <f t="shared" si="21"/>
        <v>1548.75</v>
      </c>
      <c r="Y127" s="808">
        <v>53</v>
      </c>
      <c r="Z127" s="864"/>
      <c r="AA127" s="148"/>
      <c r="AB127" s="136"/>
      <c r="AC127" s="136"/>
      <c r="AD127" s="136"/>
      <c r="AE127" s="136"/>
      <c r="AF127" s="136"/>
      <c r="AG127" s="136"/>
      <c r="AH127" s="136"/>
      <c r="AI127" s="136"/>
      <c r="AJ127" s="136"/>
      <c r="AK127" s="136"/>
      <c r="AL127" s="136"/>
      <c r="AM127" s="136"/>
      <c r="AN127" s="136"/>
      <c r="AO127" s="136"/>
      <c r="AP127" s="136"/>
      <c r="AQ127" s="136"/>
      <c r="AR127" s="136"/>
      <c r="AS127" s="136"/>
      <c r="AT127" s="136"/>
      <c r="AU127" s="136"/>
      <c r="AV127" s="136"/>
      <c r="AW127" s="136"/>
      <c r="AX127" s="136"/>
      <c r="AY127" s="136"/>
      <c r="AZ127" s="136"/>
      <c r="BA127" s="136"/>
      <c r="BB127" s="136"/>
    </row>
    <row r="128" spans="1:54" s="136" customFormat="1">
      <c r="A128" s="645">
        <v>42285</v>
      </c>
      <c r="B128" s="646"/>
      <c r="C128" s="646"/>
      <c r="D128" s="647">
        <v>0</v>
      </c>
      <c r="E128" s="648">
        <v>1100</v>
      </c>
      <c r="F128" s="649">
        <v>0</v>
      </c>
      <c r="G128" s="648">
        <v>200</v>
      </c>
      <c r="H128" s="648"/>
      <c r="I128" s="648">
        <v>1</v>
      </c>
      <c r="J128" s="649">
        <v>0</v>
      </c>
      <c r="K128" s="648">
        <v>175</v>
      </c>
      <c r="L128" s="648"/>
      <c r="M128" s="648"/>
      <c r="N128" s="648"/>
      <c r="O128" s="648"/>
      <c r="P128" s="648"/>
      <c r="Q128" s="648"/>
      <c r="R128" s="648"/>
      <c r="S128" s="647"/>
      <c r="T128" s="650"/>
      <c r="U128" s="647"/>
      <c r="V128" s="648">
        <f t="shared" si="19"/>
        <v>0</v>
      </c>
      <c r="W128" s="648">
        <f t="shared" si="20"/>
        <v>0</v>
      </c>
      <c r="X128" s="648">
        <f t="shared" si="21"/>
        <v>0</v>
      </c>
      <c r="Y128" s="647"/>
      <c r="Z128" s="651"/>
      <c r="AA128" s="652"/>
      <c r="AB128" s="653" t="s">
        <v>656</v>
      </c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</row>
    <row r="129" spans="1:54" s="136" customFormat="1">
      <c r="A129" s="473">
        <v>42286</v>
      </c>
      <c r="B129" s="862"/>
      <c r="C129" s="862"/>
      <c r="D129" s="808">
        <v>0</v>
      </c>
      <c r="E129" s="809">
        <v>1100</v>
      </c>
      <c r="F129" s="810">
        <v>0</v>
      </c>
      <c r="G129" s="809">
        <v>200</v>
      </c>
      <c r="H129" s="809"/>
      <c r="I129" s="809">
        <v>1</v>
      </c>
      <c r="J129" s="810"/>
      <c r="K129" s="809">
        <v>175</v>
      </c>
      <c r="L129" s="809"/>
      <c r="M129" s="809"/>
      <c r="N129" s="809"/>
      <c r="O129" s="809"/>
      <c r="P129" s="809"/>
      <c r="Q129" s="809"/>
      <c r="R129" s="809"/>
      <c r="S129" s="808"/>
      <c r="T129" s="863"/>
      <c r="U129" s="808"/>
      <c r="V129" s="809">
        <f t="shared" ref="V129:V134" si="22">(D129*E129)+(F129*G129)+(H129*I129)+(J129*K129)</f>
        <v>0</v>
      </c>
      <c r="W129" s="809">
        <f t="shared" ref="W129:W134" si="23">(V129*5%)</f>
        <v>0</v>
      </c>
      <c r="X129" s="809">
        <f t="shared" ref="X129:X134" si="24">SUM(V129+W129)</f>
        <v>0</v>
      </c>
      <c r="Y129" s="808">
        <v>53</v>
      </c>
      <c r="Z129" s="864"/>
      <c r="AA129" s="148"/>
    </row>
    <row r="130" spans="1:54" s="136" customFormat="1">
      <c r="A130" s="473">
        <v>42287</v>
      </c>
      <c r="B130" s="862"/>
      <c r="C130" s="862"/>
      <c r="D130" s="808">
        <v>0</v>
      </c>
      <c r="E130" s="809">
        <v>1100</v>
      </c>
      <c r="F130" s="810">
        <v>0</v>
      </c>
      <c r="G130" s="809">
        <v>200</v>
      </c>
      <c r="H130" s="809"/>
      <c r="I130" s="809">
        <v>1</v>
      </c>
      <c r="J130" s="810"/>
      <c r="K130" s="809">
        <v>175</v>
      </c>
      <c r="L130" s="809"/>
      <c r="M130" s="809"/>
      <c r="N130" s="809"/>
      <c r="O130" s="809"/>
      <c r="P130" s="809"/>
      <c r="Q130" s="809"/>
      <c r="R130" s="809"/>
      <c r="S130" s="808"/>
      <c r="T130" s="863"/>
      <c r="U130" s="808"/>
      <c r="V130" s="809">
        <f t="shared" si="22"/>
        <v>0</v>
      </c>
      <c r="W130" s="809">
        <f t="shared" si="23"/>
        <v>0</v>
      </c>
      <c r="X130" s="809">
        <f t="shared" si="24"/>
        <v>0</v>
      </c>
      <c r="Y130" s="808">
        <v>53</v>
      </c>
      <c r="Z130" s="864"/>
      <c r="AA130" s="148"/>
    </row>
    <row r="131" spans="1:54" s="136" customFormat="1">
      <c r="A131" s="473">
        <v>42288</v>
      </c>
      <c r="B131" s="862"/>
      <c r="C131" s="862"/>
      <c r="D131" s="808">
        <v>0</v>
      </c>
      <c r="E131" s="809">
        <v>1100</v>
      </c>
      <c r="F131" s="810">
        <v>0</v>
      </c>
      <c r="G131" s="809">
        <v>200</v>
      </c>
      <c r="H131" s="809"/>
      <c r="I131" s="809">
        <v>1</v>
      </c>
      <c r="J131" s="810"/>
      <c r="K131" s="809">
        <v>175</v>
      </c>
      <c r="L131" s="809"/>
      <c r="M131" s="809"/>
      <c r="N131" s="809"/>
      <c r="O131" s="809"/>
      <c r="P131" s="809"/>
      <c r="Q131" s="809"/>
      <c r="R131" s="809"/>
      <c r="S131" s="808"/>
      <c r="T131" s="863"/>
      <c r="U131" s="808"/>
      <c r="V131" s="809">
        <f t="shared" si="22"/>
        <v>0</v>
      </c>
      <c r="W131" s="809">
        <f t="shared" si="23"/>
        <v>0</v>
      </c>
      <c r="X131" s="809">
        <f t="shared" si="24"/>
        <v>0</v>
      </c>
      <c r="Y131" s="808">
        <v>53</v>
      </c>
      <c r="Z131" s="864"/>
      <c r="AA131" s="148"/>
    </row>
    <row r="132" spans="1:54" s="136" customFormat="1">
      <c r="A132" s="473">
        <v>42289</v>
      </c>
      <c r="B132" s="862"/>
      <c r="C132" s="862"/>
      <c r="D132" s="808">
        <v>0</v>
      </c>
      <c r="E132" s="809">
        <v>1100</v>
      </c>
      <c r="F132" s="810">
        <v>0</v>
      </c>
      <c r="G132" s="809">
        <v>200</v>
      </c>
      <c r="H132" s="809"/>
      <c r="I132" s="809">
        <v>1</v>
      </c>
      <c r="J132" s="810"/>
      <c r="K132" s="809">
        <v>175</v>
      </c>
      <c r="L132" s="809"/>
      <c r="M132" s="809"/>
      <c r="N132" s="809"/>
      <c r="O132" s="809"/>
      <c r="P132" s="809"/>
      <c r="Q132" s="809"/>
      <c r="R132" s="809"/>
      <c r="S132" s="808"/>
      <c r="T132" s="863"/>
      <c r="U132" s="808"/>
      <c r="V132" s="809">
        <f t="shared" si="22"/>
        <v>0</v>
      </c>
      <c r="W132" s="809">
        <f t="shared" si="23"/>
        <v>0</v>
      </c>
      <c r="X132" s="809">
        <f t="shared" si="24"/>
        <v>0</v>
      </c>
      <c r="Y132" s="808">
        <v>53</v>
      </c>
      <c r="Z132" s="864"/>
      <c r="AA132" s="148"/>
    </row>
    <row r="133" spans="1:54" s="559" customFormat="1">
      <c r="A133" s="473">
        <v>42290</v>
      </c>
      <c r="B133" s="862"/>
      <c r="C133" s="862"/>
      <c r="D133" s="808">
        <v>1</v>
      </c>
      <c r="E133" s="809">
        <v>1100</v>
      </c>
      <c r="F133" s="810">
        <v>1</v>
      </c>
      <c r="G133" s="809">
        <v>200</v>
      </c>
      <c r="H133" s="809"/>
      <c r="I133" s="809">
        <v>1</v>
      </c>
      <c r="J133" s="810">
        <v>1</v>
      </c>
      <c r="K133" s="809">
        <v>175</v>
      </c>
      <c r="L133" s="809"/>
      <c r="M133" s="809"/>
      <c r="N133" s="809"/>
      <c r="O133" s="809"/>
      <c r="P133" s="809"/>
      <c r="Q133" s="809"/>
      <c r="R133" s="809"/>
      <c r="S133" s="808"/>
      <c r="T133" s="863"/>
      <c r="U133" s="808"/>
      <c r="V133" s="809">
        <f t="shared" si="22"/>
        <v>1475</v>
      </c>
      <c r="W133" s="809">
        <f t="shared" si="23"/>
        <v>73.75</v>
      </c>
      <c r="X133" s="809">
        <f t="shared" si="24"/>
        <v>1548.75</v>
      </c>
      <c r="Y133" s="808">
        <v>53</v>
      </c>
      <c r="Z133" s="864"/>
      <c r="AA133" s="148"/>
      <c r="AB133" s="136"/>
      <c r="AC133" s="136"/>
      <c r="AD133" s="136"/>
      <c r="AE133" s="136"/>
      <c r="AF133" s="136"/>
      <c r="AG133" s="136"/>
      <c r="AH133" s="136"/>
      <c r="AI133" s="136"/>
      <c r="AJ133" s="136"/>
      <c r="AK133" s="136"/>
      <c r="AL133" s="136"/>
      <c r="AM133" s="136"/>
      <c r="AN133" s="136"/>
      <c r="AO133" s="136"/>
      <c r="AP133" s="136"/>
      <c r="AQ133" s="136"/>
      <c r="AR133" s="136"/>
      <c r="AS133" s="136"/>
      <c r="AT133" s="136"/>
      <c r="AU133" s="136"/>
      <c r="AV133" s="136"/>
      <c r="AW133" s="136"/>
      <c r="AX133" s="136"/>
      <c r="AY133" s="136"/>
      <c r="AZ133" s="136"/>
      <c r="BA133" s="136"/>
      <c r="BB133" s="136"/>
    </row>
    <row r="134" spans="1:54" s="559" customFormat="1">
      <c r="A134" s="833">
        <v>42291</v>
      </c>
      <c r="B134" s="834"/>
      <c r="C134" s="834"/>
      <c r="D134" s="835">
        <v>0</v>
      </c>
      <c r="E134" s="622">
        <v>1100</v>
      </c>
      <c r="F134" s="719">
        <v>0</v>
      </c>
      <c r="G134" s="622">
        <v>200</v>
      </c>
      <c r="H134" s="622"/>
      <c r="I134" s="622">
        <v>1</v>
      </c>
      <c r="J134" s="719">
        <v>0</v>
      </c>
      <c r="K134" s="622">
        <v>175</v>
      </c>
      <c r="L134" s="622"/>
      <c r="M134" s="622"/>
      <c r="N134" s="622"/>
      <c r="O134" s="622"/>
      <c r="P134" s="622"/>
      <c r="Q134" s="622"/>
      <c r="R134" s="622"/>
      <c r="S134" s="835"/>
      <c r="T134" s="836"/>
      <c r="U134" s="835"/>
      <c r="V134" s="622">
        <f t="shared" si="22"/>
        <v>0</v>
      </c>
      <c r="W134" s="622">
        <f t="shared" si="23"/>
        <v>0</v>
      </c>
      <c r="X134" s="622">
        <f t="shared" si="24"/>
        <v>0</v>
      </c>
      <c r="Y134" s="835"/>
      <c r="Z134" s="837" t="s">
        <v>755</v>
      </c>
      <c r="AA134" s="626"/>
      <c r="AB134" s="838" t="s">
        <v>756</v>
      </c>
    </row>
    <row r="135" spans="1:54" s="559" customFormat="1">
      <c r="A135" s="833">
        <v>42292</v>
      </c>
      <c r="B135" s="834"/>
      <c r="C135" s="834"/>
      <c r="D135" s="835"/>
      <c r="E135" s="622">
        <v>1100</v>
      </c>
      <c r="F135" s="719"/>
      <c r="G135" s="622">
        <v>200</v>
      </c>
      <c r="H135" s="622"/>
      <c r="I135" s="622">
        <v>1</v>
      </c>
      <c r="J135" s="719"/>
      <c r="K135" s="622">
        <v>175</v>
      </c>
      <c r="L135" s="622"/>
      <c r="M135" s="622"/>
      <c r="N135" s="622"/>
      <c r="O135" s="622"/>
      <c r="P135" s="622"/>
      <c r="Q135" s="622"/>
      <c r="R135" s="622"/>
      <c r="S135" s="835"/>
      <c r="T135" s="836"/>
      <c r="U135" s="835"/>
      <c r="V135" s="622">
        <f t="shared" ref="V135:V151" si="25">(D135*E135)+(F135*G135)+(H135*I135)+(J135*K135)</f>
        <v>0</v>
      </c>
      <c r="W135" s="622">
        <f t="shared" ref="W135:W151" si="26">(V135*5%)</f>
        <v>0</v>
      </c>
      <c r="X135" s="622">
        <f t="shared" ref="X135:X151" si="27">SUM(V135+W135)</f>
        <v>0</v>
      </c>
      <c r="Y135" s="835"/>
      <c r="Z135" s="837" t="s">
        <v>755</v>
      </c>
      <c r="AA135" s="626"/>
    </row>
    <row r="136" spans="1:54" s="559" customFormat="1">
      <c r="A136" s="833">
        <v>42293</v>
      </c>
      <c r="B136" s="834"/>
      <c r="C136" s="834"/>
      <c r="D136" s="835"/>
      <c r="E136" s="622">
        <v>1100</v>
      </c>
      <c r="F136" s="719"/>
      <c r="G136" s="622">
        <v>200</v>
      </c>
      <c r="H136" s="622"/>
      <c r="I136" s="622">
        <v>1</v>
      </c>
      <c r="J136" s="719"/>
      <c r="K136" s="622">
        <v>175</v>
      </c>
      <c r="L136" s="622"/>
      <c r="M136" s="622"/>
      <c r="N136" s="622"/>
      <c r="O136" s="622"/>
      <c r="P136" s="622"/>
      <c r="Q136" s="622"/>
      <c r="R136" s="622"/>
      <c r="S136" s="835"/>
      <c r="T136" s="836"/>
      <c r="U136" s="835"/>
      <c r="V136" s="622">
        <f t="shared" si="25"/>
        <v>0</v>
      </c>
      <c r="W136" s="622">
        <f t="shared" si="26"/>
        <v>0</v>
      </c>
      <c r="X136" s="622">
        <f t="shared" si="27"/>
        <v>0</v>
      </c>
      <c r="Y136" s="835"/>
      <c r="Z136" s="837" t="s">
        <v>755</v>
      </c>
      <c r="AA136" s="626"/>
    </row>
    <row r="137" spans="1:54" s="559" customFormat="1">
      <c r="A137" s="833">
        <v>42294</v>
      </c>
      <c r="B137" s="834"/>
      <c r="C137" s="834"/>
      <c r="D137" s="835"/>
      <c r="E137" s="622">
        <v>1100</v>
      </c>
      <c r="F137" s="719"/>
      <c r="G137" s="622">
        <v>200</v>
      </c>
      <c r="H137" s="622"/>
      <c r="I137" s="622">
        <v>1</v>
      </c>
      <c r="J137" s="719"/>
      <c r="K137" s="622">
        <v>175</v>
      </c>
      <c r="L137" s="622"/>
      <c r="M137" s="622"/>
      <c r="N137" s="622"/>
      <c r="O137" s="622"/>
      <c r="P137" s="622"/>
      <c r="Q137" s="622"/>
      <c r="R137" s="622"/>
      <c r="S137" s="835"/>
      <c r="T137" s="836"/>
      <c r="U137" s="835"/>
      <c r="V137" s="622">
        <f t="shared" si="25"/>
        <v>0</v>
      </c>
      <c r="W137" s="622">
        <f t="shared" si="26"/>
        <v>0</v>
      </c>
      <c r="X137" s="622">
        <f t="shared" si="27"/>
        <v>0</v>
      </c>
      <c r="Y137" s="835"/>
      <c r="Z137" s="837" t="s">
        <v>755</v>
      </c>
      <c r="AA137" s="626"/>
    </row>
    <row r="138" spans="1:54" s="559" customFormat="1">
      <c r="A138" s="833">
        <v>42295</v>
      </c>
      <c r="B138" s="834"/>
      <c r="C138" s="834"/>
      <c r="D138" s="835"/>
      <c r="E138" s="622">
        <v>1100</v>
      </c>
      <c r="F138" s="719"/>
      <c r="G138" s="622">
        <v>200</v>
      </c>
      <c r="H138" s="622"/>
      <c r="I138" s="622">
        <v>1</v>
      </c>
      <c r="J138" s="719"/>
      <c r="K138" s="622">
        <v>175</v>
      </c>
      <c r="L138" s="622"/>
      <c r="M138" s="622"/>
      <c r="N138" s="622"/>
      <c r="O138" s="622"/>
      <c r="P138" s="622"/>
      <c r="Q138" s="622"/>
      <c r="R138" s="622"/>
      <c r="S138" s="835"/>
      <c r="T138" s="836"/>
      <c r="U138" s="835"/>
      <c r="V138" s="622">
        <f t="shared" si="25"/>
        <v>0</v>
      </c>
      <c r="W138" s="622">
        <f t="shared" si="26"/>
        <v>0</v>
      </c>
      <c r="X138" s="622">
        <f t="shared" si="27"/>
        <v>0</v>
      </c>
      <c r="Y138" s="835"/>
      <c r="Z138" s="837" t="s">
        <v>755</v>
      </c>
      <c r="AA138" s="626"/>
    </row>
    <row r="139" spans="1:54" s="559" customFormat="1">
      <c r="A139" s="833">
        <v>42296</v>
      </c>
      <c r="B139" s="834"/>
      <c r="C139" s="834"/>
      <c r="D139" s="835"/>
      <c r="E139" s="622">
        <v>1100</v>
      </c>
      <c r="F139" s="719"/>
      <c r="G139" s="622">
        <v>200</v>
      </c>
      <c r="H139" s="622"/>
      <c r="I139" s="622">
        <v>1</v>
      </c>
      <c r="J139" s="719"/>
      <c r="K139" s="622">
        <v>175</v>
      </c>
      <c r="L139" s="622"/>
      <c r="M139" s="622"/>
      <c r="N139" s="622"/>
      <c r="O139" s="622"/>
      <c r="P139" s="622"/>
      <c r="Q139" s="622"/>
      <c r="R139" s="622"/>
      <c r="S139" s="835"/>
      <c r="T139" s="836"/>
      <c r="U139" s="835"/>
      <c r="V139" s="622">
        <f t="shared" si="25"/>
        <v>0</v>
      </c>
      <c r="W139" s="622">
        <f t="shared" si="26"/>
        <v>0</v>
      </c>
      <c r="X139" s="622">
        <f t="shared" si="27"/>
        <v>0</v>
      </c>
      <c r="Y139" s="835"/>
      <c r="Z139" s="837" t="s">
        <v>755</v>
      </c>
      <c r="AA139" s="626"/>
    </row>
    <row r="140" spans="1:54" s="559" customFormat="1">
      <c r="A140" s="833">
        <v>42297</v>
      </c>
      <c r="B140" s="834"/>
      <c r="C140" s="834"/>
      <c r="D140" s="835"/>
      <c r="E140" s="622">
        <v>1100</v>
      </c>
      <c r="F140" s="719"/>
      <c r="G140" s="622">
        <v>200</v>
      </c>
      <c r="H140" s="622"/>
      <c r="I140" s="622">
        <v>1</v>
      </c>
      <c r="J140" s="719"/>
      <c r="K140" s="622">
        <v>175</v>
      </c>
      <c r="L140" s="622"/>
      <c r="M140" s="622"/>
      <c r="N140" s="622"/>
      <c r="O140" s="622"/>
      <c r="P140" s="622"/>
      <c r="Q140" s="622"/>
      <c r="R140" s="622"/>
      <c r="S140" s="835"/>
      <c r="T140" s="836"/>
      <c r="U140" s="835"/>
      <c r="V140" s="622">
        <f t="shared" si="25"/>
        <v>0</v>
      </c>
      <c r="W140" s="622">
        <f t="shared" si="26"/>
        <v>0</v>
      </c>
      <c r="X140" s="622">
        <f t="shared" si="27"/>
        <v>0</v>
      </c>
      <c r="Y140" s="835"/>
      <c r="Z140" s="837" t="s">
        <v>755</v>
      </c>
      <c r="AA140" s="626"/>
    </row>
    <row r="141" spans="1:54" s="559" customFormat="1">
      <c r="A141" s="833">
        <v>42298</v>
      </c>
      <c r="B141" s="834"/>
      <c r="C141" s="834"/>
      <c r="D141" s="835"/>
      <c r="E141" s="622">
        <v>1100</v>
      </c>
      <c r="F141" s="719"/>
      <c r="G141" s="622">
        <v>200</v>
      </c>
      <c r="H141" s="622"/>
      <c r="I141" s="622">
        <v>1</v>
      </c>
      <c r="J141" s="719"/>
      <c r="K141" s="622">
        <v>175</v>
      </c>
      <c r="L141" s="622"/>
      <c r="M141" s="622"/>
      <c r="N141" s="622"/>
      <c r="O141" s="622"/>
      <c r="P141" s="622"/>
      <c r="Q141" s="622"/>
      <c r="R141" s="622"/>
      <c r="S141" s="835"/>
      <c r="T141" s="836"/>
      <c r="U141" s="835"/>
      <c r="V141" s="622">
        <f t="shared" si="25"/>
        <v>0</v>
      </c>
      <c r="W141" s="622">
        <f t="shared" si="26"/>
        <v>0</v>
      </c>
      <c r="X141" s="622">
        <f t="shared" si="27"/>
        <v>0</v>
      </c>
      <c r="Y141" s="835"/>
      <c r="Z141" s="837" t="s">
        <v>755</v>
      </c>
      <c r="AA141" s="626"/>
    </row>
    <row r="142" spans="1:54" s="559" customFormat="1">
      <c r="A142" s="833">
        <v>42299</v>
      </c>
      <c r="B142" s="834"/>
      <c r="C142" s="834"/>
      <c r="D142" s="835"/>
      <c r="E142" s="622">
        <v>1100</v>
      </c>
      <c r="F142" s="719"/>
      <c r="G142" s="622">
        <v>200</v>
      </c>
      <c r="H142" s="622"/>
      <c r="I142" s="622">
        <v>1</v>
      </c>
      <c r="J142" s="719"/>
      <c r="K142" s="622">
        <v>175</v>
      </c>
      <c r="L142" s="622"/>
      <c r="M142" s="622"/>
      <c r="N142" s="622"/>
      <c r="O142" s="622"/>
      <c r="P142" s="622"/>
      <c r="Q142" s="622"/>
      <c r="R142" s="622"/>
      <c r="S142" s="835"/>
      <c r="T142" s="836"/>
      <c r="U142" s="835"/>
      <c r="V142" s="622">
        <f t="shared" si="25"/>
        <v>0</v>
      </c>
      <c r="W142" s="622">
        <f t="shared" si="26"/>
        <v>0</v>
      </c>
      <c r="X142" s="622">
        <f t="shared" si="27"/>
        <v>0</v>
      </c>
      <c r="Y142" s="835"/>
      <c r="Z142" s="837" t="s">
        <v>755</v>
      </c>
      <c r="AA142" s="626"/>
    </row>
    <row r="143" spans="1:54" s="559" customFormat="1">
      <c r="A143" s="833">
        <v>42300</v>
      </c>
      <c r="B143" s="834"/>
      <c r="C143" s="834"/>
      <c r="D143" s="835"/>
      <c r="E143" s="622">
        <v>1100</v>
      </c>
      <c r="F143" s="719"/>
      <c r="G143" s="622">
        <v>200</v>
      </c>
      <c r="H143" s="622"/>
      <c r="I143" s="622">
        <v>1</v>
      </c>
      <c r="J143" s="719"/>
      <c r="K143" s="622">
        <v>175</v>
      </c>
      <c r="L143" s="622"/>
      <c r="M143" s="622"/>
      <c r="N143" s="622"/>
      <c r="O143" s="622"/>
      <c r="P143" s="622"/>
      <c r="Q143" s="622"/>
      <c r="R143" s="622"/>
      <c r="S143" s="835"/>
      <c r="T143" s="836"/>
      <c r="U143" s="835"/>
      <c r="V143" s="622">
        <f t="shared" si="25"/>
        <v>0</v>
      </c>
      <c r="W143" s="622">
        <f t="shared" si="26"/>
        <v>0</v>
      </c>
      <c r="X143" s="622">
        <f t="shared" si="27"/>
        <v>0</v>
      </c>
      <c r="Y143" s="835"/>
      <c r="Z143" s="837" t="s">
        <v>755</v>
      </c>
      <c r="AA143" s="626"/>
    </row>
    <row r="144" spans="1:54" s="559" customFormat="1">
      <c r="A144" s="833">
        <v>42301</v>
      </c>
      <c r="B144" s="834"/>
      <c r="C144" s="834"/>
      <c r="D144" s="835"/>
      <c r="E144" s="622">
        <v>1100</v>
      </c>
      <c r="F144" s="719"/>
      <c r="G144" s="622">
        <v>200</v>
      </c>
      <c r="H144" s="622"/>
      <c r="I144" s="622">
        <v>1</v>
      </c>
      <c r="J144" s="719"/>
      <c r="K144" s="622">
        <v>175</v>
      </c>
      <c r="L144" s="622"/>
      <c r="M144" s="622"/>
      <c r="N144" s="622"/>
      <c r="O144" s="622"/>
      <c r="P144" s="622"/>
      <c r="Q144" s="622"/>
      <c r="R144" s="622"/>
      <c r="S144" s="835"/>
      <c r="T144" s="836"/>
      <c r="U144" s="835"/>
      <c r="V144" s="622">
        <f t="shared" si="25"/>
        <v>0</v>
      </c>
      <c r="W144" s="622">
        <f t="shared" si="26"/>
        <v>0</v>
      </c>
      <c r="X144" s="622">
        <f t="shared" si="27"/>
        <v>0</v>
      </c>
      <c r="Y144" s="835"/>
      <c r="Z144" s="837" t="s">
        <v>755</v>
      </c>
      <c r="AA144" s="626"/>
    </row>
    <row r="145" spans="1:54" s="559" customFormat="1">
      <c r="A145" s="833">
        <v>42302</v>
      </c>
      <c r="B145" s="834"/>
      <c r="C145" s="834"/>
      <c r="D145" s="835"/>
      <c r="E145" s="622">
        <v>1100</v>
      </c>
      <c r="F145" s="719"/>
      <c r="G145" s="622">
        <v>200</v>
      </c>
      <c r="H145" s="622"/>
      <c r="I145" s="622">
        <v>1</v>
      </c>
      <c r="J145" s="719"/>
      <c r="K145" s="622">
        <v>175</v>
      </c>
      <c r="L145" s="622"/>
      <c r="M145" s="622"/>
      <c r="N145" s="622"/>
      <c r="O145" s="622"/>
      <c r="P145" s="622"/>
      <c r="Q145" s="622"/>
      <c r="R145" s="622"/>
      <c r="S145" s="835"/>
      <c r="T145" s="836"/>
      <c r="U145" s="835"/>
      <c r="V145" s="622">
        <f t="shared" si="25"/>
        <v>0</v>
      </c>
      <c r="W145" s="622">
        <f t="shared" si="26"/>
        <v>0</v>
      </c>
      <c r="X145" s="622">
        <f t="shared" si="27"/>
        <v>0</v>
      </c>
      <c r="Y145" s="835"/>
      <c r="Z145" s="837" t="s">
        <v>755</v>
      </c>
      <c r="AA145" s="626"/>
    </row>
    <row r="146" spans="1:54" s="559" customFormat="1">
      <c r="A146" s="833">
        <v>42303</v>
      </c>
      <c r="B146" s="834"/>
      <c r="C146" s="834"/>
      <c r="D146" s="835"/>
      <c r="E146" s="622">
        <v>1100</v>
      </c>
      <c r="F146" s="719"/>
      <c r="G146" s="622">
        <v>200</v>
      </c>
      <c r="H146" s="622"/>
      <c r="I146" s="622">
        <v>1</v>
      </c>
      <c r="J146" s="719"/>
      <c r="K146" s="622">
        <v>175</v>
      </c>
      <c r="L146" s="622"/>
      <c r="M146" s="622"/>
      <c r="N146" s="622"/>
      <c r="O146" s="622"/>
      <c r="P146" s="622"/>
      <c r="Q146" s="622"/>
      <c r="R146" s="622"/>
      <c r="S146" s="835"/>
      <c r="T146" s="836"/>
      <c r="U146" s="835"/>
      <c r="V146" s="622">
        <f t="shared" si="25"/>
        <v>0</v>
      </c>
      <c r="W146" s="622">
        <f t="shared" si="26"/>
        <v>0</v>
      </c>
      <c r="X146" s="622">
        <f t="shared" si="27"/>
        <v>0</v>
      </c>
      <c r="Y146" s="835"/>
      <c r="Z146" s="837" t="s">
        <v>755</v>
      </c>
      <c r="AA146" s="626"/>
    </row>
    <row r="147" spans="1:54" s="559" customFormat="1">
      <c r="A147" s="833">
        <v>42304</v>
      </c>
      <c r="B147" s="834"/>
      <c r="C147" s="834"/>
      <c r="D147" s="835"/>
      <c r="E147" s="622">
        <v>1100</v>
      </c>
      <c r="F147" s="719"/>
      <c r="G147" s="622">
        <v>200</v>
      </c>
      <c r="H147" s="622"/>
      <c r="I147" s="622">
        <v>1</v>
      </c>
      <c r="J147" s="719"/>
      <c r="K147" s="622">
        <v>175</v>
      </c>
      <c r="L147" s="622"/>
      <c r="M147" s="622"/>
      <c r="N147" s="622"/>
      <c r="O147" s="622"/>
      <c r="P147" s="622"/>
      <c r="Q147" s="622"/>
      <c r="R147" s="622"/>
      <c r="S147" s="835"/>
      <c r="T147" s="836"/>
      <c r="U147" s="835"/>
      <c r="V147" s="622">
        <f t="shared" si="25"/>
        <v>0</v>
      </c>
      <c r="W147" s="622">
        <f t="shared" si="26"/>
        <v>0</v>
      </c>
      <c r="X147" s="622">
        <f t="shared" si="27"/>
        <v>0</v>
      </c>
      <c r="Y147" s="835"/>
      <c r="Z147" s="837" t="s">
        <v>755</v>
      </c>
      <c r="AA147" s="626"/>
    </row>
    <row r="148" spans="1:54" s="559" customFormat="1">
      <c r="A148" s="833">
        <v>42305</v>
      </c>
      <c r="B148" s="834"/>
      <c r="C148" s="834"/>
      <c r="D148" s="835"/>
      <c r="E148" s="622">
        <v>1100</v>
      </c>
      <c r="F148" s="719"/>
      <c r="G148" s="622">
        <v>200</v>
      </c>
      <c r="H148" s="622"/>
      <c r="I148" s="622">
        <v>1</v>
      </c>
      <c r="J148" s="719"/>
      <c r="K148" s="622">
        <v>175</v>
      </c>
      <c r="L148" s="622"/>
      <c r="M148" s="622"/>
      <c r="N148" s="622"/>
      <c r="O148" s="622"/>
      <c r="P148" s="622"/>
      <c r="Q148" s="622"/>
      <c r="R148" s="622"/>
      <c r="S148" s="835"/>
      <c r="T148" s="836"/>
      <c r="U148" s="835"/>
      <c r="V148" s="622">
        <f t="shared" si="25"/>
        <v>0</v>
      </c>
      <c r="W148" s="622">
        <f t="shared" si="26"/>
        <v>0</v>
      </c>
      <c r="X148" s="622">
        <f t="shared" si="27"/>
        <v>0</v>
      </c>
      <c r="Y148" s="835"/>
      <c r="Z148" s="837" t="s">
        <v>755</v>
      </c>
      <c r="AA148" s="626"/>
    </row>
    <row r="149" spans="1:54" s="559" customFormat="1">
      <c r="A149" s="833">
        <v>42306</v>
      </c>
      <c r="B149" s="834"/>
      <c r="C149" s="834"/>
      <c r="D149" s="835"/>
      <c r="E149" s="622">
        <v>1100</v>
      </c>
      <c r="F149" s="719"/>
      <c r="G149" s="622">
        <v>200</v>
      </c>
      <c r="H149" s="622"/>
      <c r="I149" s="622">
        <v>1</v>
      </c>
      <c r="J149" s="719"/>
      <c r="K149" s="622">
        <v>175</v>
      </c>
      <c r="L149" s="622"/>
      <c r="M149" s="622"/>
      <c r="N149" s="622"/>
      <c r="O149" s="622"/>
      <c r="P149" s="622"/>
      <c r="Q149" s="622"/>
      <c r="R149" s="622"/>
      <c r="S149" s="835"/>
      <c r="T149" s="836"/>
      <c r="U149" s="835"/>
      <c r="V149" s="622">
        <f t="shared" si="25"/>
        <v>0</v>
      </c>
      <c r="W149" s="622">
        <f t="shared" si="26"/>
        <v>0</v>
      </c>
      <c r="X149" s="622">
        <f t="shared" si="27"/>
        <v>0</v>
      </c>
      <c r="Y149" s="835"/>
      <c r="Z149" s="837" t="s">
        <v>755</v>
      </c>
      <c r="AA149" s="626"/>
    </row>
    <row r="150" spans="1:54" s="559" customFormat="1">
      <c r="A150" s="833">
        <v>42307</v>
      </c>
      <c r="B150" s="834"/>
      <c r="C150" s="834"/>
      <c r="D150" s="835"/>
      <c r="E150" s="622">
        <v>1100</v>
      </c>
      <c r="F150" s="719"/>
      <c r="G150" s="622">
        <v>200</v>
      </c>
      <c r="H150" s="622"/>
      <c r="I150" s="622">
        <v>1</v>
      </c>
      <c r="J150" s="719"/>
      <c r="K150" s="622">
        <v>175</v>
      </c>
      <c r="L150" s="622"/>
      <c r="M150" s="622"/>
      <c r="N150" s="622"/>
      <c r="O150" s="622"/>
      <c r="P150" s="622"/>
      <c r="Q150" s="622"/>
      <c r="R150" s="622"/>
      <c r="S150" s="835"/>
      <c r="T150" s="836"/>
      <c r="U150" s="835"/>
      <c r="V150" s="622">
        <f t="shared" si="25"/>
        <v>0</v>
      </c>
      <c r="W150" s="622">
        <f t="shared" si="26"/>
        <v>0</v>
      </c>
      <c r="X150" s="622">
        <f t="shared" si="27"/>
        <v>0</v>
      </c>
      <c r="Y150" s="835"/>
      <c r="Z150" s="837" t="s">
        <v>755</v>
      </c>
      <c r="AA150" s="626"/>
    </row>
    <row r="151" spans="1:54" s="559" customFormat="1">
      <c r="A151" s="833">
        <v>42308</v>
      </c>
      <c r="B151" s="834"/>
      <c r="C151" s="834"/>
      <c r="D151" s="835"/>
      <c r="E151" s="622">
        <v>1100</v>
      </c>
      <c r="F151" s="719"/>
      <c r="G151" s="622">
        <v>200</v>
      </c>
      <c r="H151" s="622"/>
      <c r="I151" s="622">
        <v>1</v>
      </c>
      <c r="J151" s="719"/>
      <c r="K151" s="622">
        <v>175</v>
      </c>
      <c r="L151" s="622"/>
      <c r="M151" s="622"/>
      <c r="N151" s="622"/>
      <c r="O151" s="622"/>
      <c r="P151" s="622"/>
      <c r="Q151" s="622"/>
      <c r="R151" s="622"/>
      <c r="S151" s="835"/>
      <c r="T151" s="836"/>
      <c r="U151" s="835"/>
      <c r="V151" s="622">
        <f t="shared" si="25"/>
        <v>0</v>
      </c>
      <c r="W151" s="622">
        <f t="shared" si="26"/>
        <v>0</v>
      </c>
      <c r="X151" s="622">
        <f t="shared" si="27"/>
        <v>0</v>
      </c>
      <c r="Y151" s="835"/>
      <c r="Z151" s="837" t="s">
        <v>755</v>
      </c>
      <c r="AA151" s="626"/>
    </row>
    <row r="152" spans="1:54" s="559" customFormat="1">
      <c r="A152" s="833">
        <v>42309</v>
      </c>
      <c r="B152" s="834"/>
      <c r="C152" s="834"/>
      <c r="D152" s="835"/>
      <c r="E152" s="622">
        <v>1100</v>
      </c>
      <c r="F152" s="719"/>
      <c r="G152" s="622">
        <v>200</v>
      </c>
      <c r="H152" s="622"/>
      <c r="I152" s="622">
        <v>1</v>
      </c>
      <c r="J152" s="719"/>
      <c r="K152" s="622">
        <v>175</v>
      </c>
      <c r="L152" s="622"/>
      <c r="M152" s="622"/>
      <c r="N152" s="622"/>
      <c r="O152" s="622"/>
      <c r="P152" s="622"/>
      <c r="Q152" s="622"/>
      <c r="R152" s="622"/>
      <c r="S152" s="835"/>
      <c r="T152" s="836"/>
      <c r="U152" s="835"/>
      <c r="V152" s="622">
        <f t="shared" ref="V152:V160" si="28">(D152*E152)+(F152*G152)+(H152*I152)+(J152*K152)</f>
        <v>0</v>
      </c>
      <c r="W152" s="622">
        <f t="shared" ref="W152:W160" si="29">(V152*5%)</f>
        <v>0</v>
      </c>
      <c r="X152" s="622">
        <f t="shared" ref="X152:X160" si="30">SUM(V152+W152)</f>
        <v>0</v>
      </c>
      <c r="Y152" s="835"/>
      <c r="Z152" s="837" t="s">
        <v>755</v>
      </c>
      <c r="AA152" s="626"/>
    </row>
    <row r="153" spans="1:54" s="559" customFormat="1">
      <c r="A153" s="833">
        <v>42310</v>
      </c>
      <c r="B153" s="834"/>
      <c r="C153" s="834"/>
      <c r="D153" s="835"/>
      <c r="E153" s="622">
        <v>1100</v>
      </c>
      <c r="F153" s="719"/>
      <c r="G153" s="622">
        <v>200</v>
      </c>
      <c r="H153" s="622"/>
      <c r="I153" s="622">
        <v>1</v>
      </c>
      <c r="J153" s="719"/>
      <c r="K153" s="622">
        <v>175</v>
      </c>
      <c r="L153" s="622"/>
      <c r="M153" s="622"/>
      <c r="N153" s="622"/>
      <c r="O153" s="622"/>
      <c r="P153" s="622"/>
      <c r="Q153" s="622"/>
      <c r="R153" s="622"/>
      <c r="S153" s="835"/>
      <c r="T153" s="836"/>
      <c r="U153" s="835"/>
      <c r="V153" s="622">
        <f t="shared" si="28"/>
        <v>0</v>
      </c>
      <c r="W153" s="622">
        <f t="shared" si="29"/>
        <v>0</v>
      </c>
      <c r="X153" s="622">
        <f t="shared" si="30"/>
        <v>0</v>
      </c>
      <c r="Y153" s="835"/>
      <c r="Z153" s="837" t="s">
        <v>755</v>
      </c>
      <c r="AA153" s="626"/>
    </row>
    <row r="154" spans="1:54" s="559" customFormat="1">
      <c r="A154" s="833">
        <v>42311</v>
      </c>
      <c r="B154" s="834"/>
      <c r="C154" s="834"/>
      <c r="D154" s="835"/>
      <c r="E154" s="622">
        <v>1100</v>
      </c>
      <c r="F154" s="719"/>
      <c r="G154" s="622">
        <v>200</v>
      </c>
      <c r="H154" s="622"/>
      <c r="I154" s="622">
        <v>1</v>
      </c>
      <c r="J154" s="719"/>
      <c r="K154" s="622">
        <v>175</v>
      </c>
      <c r="L154" s="622"/>
      <c r="M154" s="622"/>
      <c r="N154" s="622"/>
      <c r="O154" s="622"/>
      <c r="P154" s="622"/>
      <c r="Q154" s="622"/>
      <c r="R154" s="622"/>
      <c r="S154" s="835"/>
      <c r="T154" s="836"/>
      <c r="U154" s="835"/>
      <c r="V154" s="622">
        <f t="shared" si="28"/>
        <v>0</v>
      </c>
      <c r="W154" s="622">
        <f t="shared" si="29"/>
        <v>0</v>
      </c>
      <c r="X154" s="622">
        <f t="shared" si="30"/>
        <v>0</v>
      </c>
      <c r="Y154" s="835"/>
      <c r="Z154" s="837" t="s">
        <v>755</v>
      </c>
      <c r="AA154" s="626"/>
    </row>
    <row r="155" spans="1:54" s="559" customFormat="1">
      <c r="A155" s="833">
        <v>42312</v>
      </c>
      <c r="B155" s="834"/>
      <c r="C155" s="834"/>
      <c r="D155" s="835"/>
      <c r="E155" s="622">
        <v>1100</v>
      </c>
      <c r="F155" s="719"/>
      <c r="G155" s="622">
        <v>200</v>
      </c>
      <c r="H155" s="622"/>
      <c r="I155" s="622">
        <v>1</v>
      </c>
      <c r="J155" s="719"/>
      <c r="K155" s="622">
        <v>175</v>
      </c>
      <c r="L155" s="622"/>
      <c r="M155" s="622"/>
      <c r="N155" s="622"/>
      <c r="O155" s="622"/>
      <c r="P155" s="622"/>
      <c r="Q155" s="622"/>
      <c r="R155" s="622"/>
      <c r="S155" s="835"/>
      <c r="T155" s="836"/>
      <c r="U155" s="835"/>
      <c r="V155" s="622">
        <f t="shared" si="28"/>
        <v>0</v>
      </c>
      <c r="W155" s="622">
        <f t="shared" si="29"/>
        <v>0</v>
      </c>
      <c r="X155" s="622">
        <f t="shared" si="30"/>
        <v>0</v>
      </c>
      <c r="Y155" s="835"/>
      <c r="Z155" s="837" t="s">
        <v>755</v>
      </c>
      <c r="AA155" s="626"/>
    </row>
    <row r="156" spans="1:54" s="559" customFormat="1">
      <c r="A156" s="833">
        <v>42313</v>
      </c>
      <c r="B156" s="834"/>
      <c r="C156" s="834"/>
      <c r="D156" s="835"/>
      <c r="E156" s="622">
        <v>1100</v>
      </c>
      <c r="F156" s="719"/>
      <c r="G156" s="622">
        <v>200</v>
      </c>
      <c r="H156" s="622"/>
      <c r="I156" s="622">
        <v>1</v>
      </c>
      <c r="J156" s="719"/>
      <c r="K156" s="622">
        <v>175</v>
      </c>
      <c r="L156" s="622"/>
      <c r="M156" s="622"/>
      <c r="N156" s="622"/>
      <c r="O156" s="622"/>
      <c r="P156" s="622"/>
      <c r="Q156" s="622"/>
      <c r="R156" s="622"/>
      <c r="S156" s="835"/>
      <c r="T156" s="836"/>
      <c r="U156" s="835"/>
      <c r="V156" s="622">
        <f t="shared" si="28"/>
        <v>0</v>
      </c>
      <c r="W156" s="622">
        <f t="shared" si="29"/>
        <v>0</v>
      </c>
      <c r="X156" s="622">
        <f t="shared" si="30"/>
        <v>0</v>
      </c>
      <c r="Y156" s="835"/>
      <c r="Z156" s="837" t="s">
        <v>755</v>
      </c>
      <c r="AA156" s="626"/>
    </row>
    <row r="157" spans="1:54" s="559" customFormat="1">
      <c r="A157" s="833">
        <v>42314</v>
      </c>
      <c r="B157" s="834"/>
      <c r="C157" s="834"/>
      <c r="D157" s="835"/>
      <c r="E157" s="622">
        <v>1100</v>
      </c>
      <c r="F157" s="719"/>
      <c r="G157" s="622">
        <v>200</v>
      </c>
      <c r="H157" s="622"/>
      <c r="I157" s="622">
        <v>1</v>
      </c>
      <c r="J157" s="719"/>
      <c r="K157" s="622">
        <v>175</v>
      </c>
      <c r="L157" s="622"/>
      <c r="M157" s="622"/>
      <c r="N157" s="622"/>
      <c r="O157" s="622"/>
      <c r="P157" s="622"/>
      <c r="Q157" s="622"/>
      <c r="R157" s="622"/>
      <c r="S157" s="835"/>
      <c r="T157" s="836"/>
      <c r="U157" s="835"/>
      <c r="V157" s="622">
        <f t="shared" si="28"/>
        <v>0</v>
      </c>
      <c r="W157" s="622">
        <f t="shared" si="29"/>
        <v>0</v>
      </c>
      <c r="X157" s="622">
        <f t="shared" si="30"/>
        <v>0</v>
      </c>
      <c r="Y157" s="835"/>
      <c r="Z157" s="837" t="s">
        <v>755</v>
      </c>
      <c r="AA157" s="626"/>
    </row>
    <row r="158" spans="1:54" s="559" customFormat="1">
      <c r="A158" s="833">
        <v>42315</v>
      </c>
      <c r="B158" s="834"/>
      <c r="C158" s="834"/>
      <c r="D158" s="835"/>
      <c r="E158" s="622">
        <v>1100</v>
      </c>
      <c r="F158" s="719"/>
      <c r="G158" s="622">
        <v>200</v>
      </c>
      <c r="H158" s="622"/>
      <c r="I158" s="622">
        <v>1</v>
      </c>
      <c r="J158" s="719"/>
      <c r="K158" s="622">
        <v>175</v>
      </c>
      <c r="L158" s="622"/>
      <c r="M158" s="622"/>
      <c r="N158" s="622"/>
      <c r="O158" s="622"/>
      <c r="P158" s="622"/>
      <c r="Q158" s="622"/>
      <c r="R158" s="622"/>
      <c r="S158" s="835"/>
      <c r="T158" s="836"/>
      <c r="U158" s="835"/>
      <c r="V158" s="622">
        <f t="shared" si="28"/>
        <v>0</v>
      </c>
      <c r="W158" s="622">
        <f t="shared" si="29"/>
        <v>0</v>
      </c>
      <c r="X158" s="622">
        <f t="shared" si="30"/>
        <v>0</v>
      </c>
      <c r="Y158" s="835"/>
      <c r="Z158" s="837" t="s">
        <v>755</v>
      </c>
      <c r="AA158" s="626"/>
    </row>
    <row r="159" spans="1:54" s="559" customFormat="1">
      <c r="A159" s="833">
        <v>42316</v>
      </c>
      <c r="B159" s="834"/>
      <c r="C159" s="834"/>
      <c r="D159" s="835"/>
      <c r="E159" s="622">
        <v>1100</v>
      </c>
      <c r="F159" s="719"/>
      <c r="G159" s="622">
        <v>200</v>
      </c>
      <c r="H159" s="622"/>
      <c r="I159" s="622">
        <v>1</v>
      </c>
      <c r="J159" s="719"/>
      <c r="K159" s="622">
        <v>175</v>
      </c>
      <c r="L159" s="622"/>
      <c r="M159" s="622"/>
      <c r="N159" s="622"/>
      <c r="O159" s="622"/>
      <c r="P159" s="622"/>
      <c r="Q159" s="622"/>
      <c r="R159" s="622"/>
      <c r="S159" s="835"/>
      <c r="T159" s="836"/>
      <c r="U159" s="835"/>
      <c r="V159" s="622">
        <f t="shared" si="28"/>
        <v>0</v>
      </c>
      <c r="W159" s="622">
        <f t="shared" si="29"/>
        <v>0</v>
      </c>
      <c r="X159" s="622">
        <f t="shared" si="30"/>
        <v>0</v>
      </c>
      <c r="Y159" s="835"/>
      <c r="Z159" s="837" t="s">
        <v>755</v>
      </c>
      <c r="AA159" s="626"/>
    </row>
    <row r="160" spans="1:54" s="192" customFormat="1">
      <c r="A160" s="833">
        <v>42317</v>
      </c>
      <c r="B160" s="834"/>
      <c r="C160" s="834"/>
      <c r="D160" s="835"/>
      <c r="E160" s="622">
        <v>1100</v>
      </c>
      <c r="F160" s="719"/>
      <c r="G160" s="622">
        <v>200</v>
      </c>
      <c r="H160" s="622"/>
      <c r="I160" s="622">
        <v>1</v>
      </c>
      <c r="J160" s="719"/>
      <c r="K160" s="622">
        <v>175</v>
      </c>
      <c r="L160" s="622"/>
      <c r="M160" s="622"/>
      <c r="N160" s="622"/>
      <c r="O160" s="622"/>
      <c r="P160" s="622"/>
      <c r="Q160" s="622"/>
      <c r="R160" s="622"/>
      <c r="S160" s="835"/>
      <c r="T160" s="836"/>
      <c r="U160" s="835"/>
      <c r="V160" s="622">
        <f t="shared" si="28"/>
        <v>0</v>
      </c>
      <c r="W160" s="622">
        <f t="shared" si="29"/>
        <v>0</v>
      </c>
      <c r="X160" s="622">
        <f t="shared" si="30"/>
        <v>0</v>
      </c>
      <c r="Y160" s="835"/>
      <c r="Z160" s="837" t="s">
        <v>755</v>
      </c>
      <c r="AA160" s="626"/>
      <c r="AB160" s="559"/>
      <c r="AC160" s="559"/>
      <c r="AD160" s="559"/>
      <c r="AE160" s="559"/>
      <c r="AF160" s="559"/>
      <c r="AG160" s="559"/>
      <c r="AH160" s="559"/>
      <c r="AI160" s="559"/>
      <c r="AJ160" s="559"/>
      <c r="AK160" s="559"/>
      <c r="AL160" s="559"/>
      <c r="AM160" s="559"/>
      <c r="AN160" s="559"/>
      <c r="AO160" s="559"/>
      <c r="AP160" s="559"/>
      <c r="AQ160" s="559"/>
      <c r="AR160" s="559"/>
      <c r="AS160" s="559"/>
      <c r="AT160" s="559"/>
      <c r="AU160" s="559"/>
      <c r="AV160" s="559"/>
      <c r="AW160" s="559"/>
      <c r="AX160" s="559"/>
      <c r="AY160" s="559"/>
      <c r="AZ160" s="559"/>
      <c r="BA160" s="559"/>
      <c r="BB160" s="559"/>
    </row>
    <row r="161" spans="1:27" s="192" customFormat="1">
      <c r="A161" s="215">
        <v>42318</v>
      </c>
      <c r="B161" s="839"/>
      <c r="C161" s="839"/>
      <c r="D161" s="1038">
        <v>1</v>
      </c>
      <c r="E161" s="724">
        <v>1100</v>
      </c>
      <c r="F161" s="725">
        <v>1</v>
      </c>
      <c r="G161" s="724">
        <v>200</v>
      </c>
      <c r="H161" s="724"/>
      <c r="I161" s="724">
        <v>1</v>
      </c>
      <c r="J161" s="725">
        <v>1</v>
      </c>
      <c r="K161" s="724">
        <v>175</v>
      </c>
      <c r="L161" s="724"/>
      <c r="M161" s="724"/>
      <c r="N161" s="724"/>
      <c r="O161" s="724"/>
      <c r="P161" s="724"/>
      <c r="Q161" s="724"/>
      <c r="R161" s="724"/>
      <c r="S161" s="1038"/>
      <c r="T161" s="1039"/>
      <c r="U161" s="1038"/>
      <c r="V161" s="724">
        <f t="shared" ref="V161:V168" si="31">(D161*E161)+(F161*G161)+(H161*I161)+(J161*K161)</f>
        <v>1475</v>
      </c>
      <c r="W161" s="724">
        <f t="shared" ref="W161:W168" si="32">(V161*5%)</f>
        <v>73.75</v>
      </c>
      <c r="X161" s="724">
        <f t="shared" ref="X161:X168" si="33">SUM(V161+W161)</f>
        <v>1548.75</v>
      </c>
      <c r="Y161" s="1040">
        <v>55</v>
      </c>
      <c r="Z161" s="840"/>
      <c r="AA161" s="194"/>
    </row>
    <row r="162" spans="1:27" s="192" customFormat="1">
      <c r="A162" s="215">
        <v>42319</v>
      </c>
      <c r="B162" s="839"/>
      <c r="C162" s="839"/>
      <c r="D162" s="1038">
        <v>1</v>
      </c>
      <c r="E162" s="724">
        <v>1100</v>
      </c>
      <c r="F162" s="725">
        <v>1</v>
      </c>
      <c r="G162" s="724">
        <v>200</v>
      </c>
      <c r="H162" s="724"/>
      <c r="I162" s="724">
        <v>1</v>
      </c>
      <c r="J162" s="725">
        <v>1</v>
      </c>
      <c r="K162" s="724">
        <v>175</v>
      </c>
      <c r="L162" s="724"/>
      <c r="M162" s="724"/>
      <c r="N162" s="724"/>
      <c r="O162" s="724"/>
      <c r="P162" s="724"/>
      <c r="Q162" s="724"/>
      <c r="R162" s="724"/>
      <c r="S162" s="1038"/>
      <c r="T162" s="1039"/>
      <c r="U162" s="1038"/>
      <c r="V162" s="724">
        <f t="shared" si="31"/>
        <v>1475</v>
      </c>
      <c r="W162" s="724">
        <f t="shared" si="32"/>
        <v>73.75</v>
      </c>
      <c r="X162" s="724">
        <f t="shared" si="33"/>
        <v>1548.75</v>
      </c>
      <c r="Y162" s="1040">
        <v>55</v>
      </c>
      <c r="Z162" s="840"/>
      <c r="AA162" s="194"/>
    </row>
    <row r="163" spans="1:27" s="192" customFormat="1">
      <c r="A163" s="215">
        <v>42320</v>
      </c>
      <c r="B163" s="839"/>
      <c r="C163" s="839"/>
      <c r="D163" s="1038">
        <v>1</v>
      </c>
      <c r="E163" s="724">
        <v>1100</v>
      </c>
      <c r="F163" s="725">
        <v>1</v>
      </c>
      <c r="G163" s="724">
        <v>200</v>
      </c>
      <c r="H163" s="724"/>
      <c r="I163" s="724">
        <v>1</v>
      </c>
      <c r="J163" s="725">
        <v>1</v>
      </c>
      <c r="K163" s="724">
        <v>175</v>
      </c>
      <c r="L163" s="724"/>
      <c r="M163" s="724"/>
      <c r="N163" s="724"/>
      <c r="O163" s="724"/>
      <c r="P163" s="724"/>
      <c r="Q163" s="724"/>
      <c r="R163" s="724"/>
      <c r="S163" s="1038"/>
      <c r="T163" s="1039"/>
      <c r="U163" s="1038"/>
      <c r="V163" s="724">
        <f t="shared" si="31"/>
        <v>1475</v>
      </c>
      <c r="W163" s="724">
        <f t="shared" si="32"/>
        <v>73.75</v>
      </c>
      <c r="X163" s="724">
        <f t="shared" si="33"/>
        <v>1548.75</v>
      </c>
      <c r="Y163" s="1040">
        <v>55</v>
      </c>
      <c r="Z163" s="840"/>
      <c r="AA163" s="194"/>
    </row>
    <row r="164" spans="1:27" s="192" customFormat="1">
      <c r="A164" s="215">
        <v>42321</v>
      </c>
      <c r="B164" s="839"/>
      <c r="C164" s="839"/>
      <c r="D164" s="1038">
        <v>1</v>
      </c>
      <c r="E164" s="724">
        <v>1100</v>
      </c>
      <c r="F164" s="725">
        <v>1</v>
      </c>
      <c r="G164" s="724">
        <v>200</v>
      </c>
      <c r="H164" s="724"/>
      <c r="I164" s="724">
        <v>1</v>
      </c>
      <c r="J164" s="725">
        <v>1</v>
      </c>
      <c r="K164" s="724">
        <v>175</v>
      </c>
      <c r="L164" s="724"/>
      <c r="M164" s="724"/>
      <c r="N164" s="724"/>
      <c r="O164" s="724"/>
      <c r="P164" s="724"/>
      <c r="Q164" s="724"/>
      <c r="R164" s="724"/>
      <c r="S164" s="1038"/>
      <c r="T164" s="1039"/>
      <c r="U164" s="1038"/>
      <c r="V164" s="724">
        <f t="shared" si="31"/>
        <v>1475</v>
      </c>
      <c r="W164" s="724">
        <f t="shared" si="32"/>
        <v>73.75</v>
      </c>
      <c r="X164" s="724">
        <f t="shared" si="33"/>
        <v>1548.75</v>
      </c>
      <c r="Y164" s="1040">
        <v>55</v>
      </c>
      <c r="Z164" s="840"/>
      <c r="AA164" s="194"/>
    </row>
    <row r="165" spans="1:27" s="192" customFormat="1">
      <c r="A165" s="215">
        <v>42322</v>
      </c>
      <c r="B165" s="839"/>
      <c r="C165" s="839"/>
      <c r="D165" s="1038">
        <v>1</v>
      </c>
      <c r="E165" s="724">
        <v>1100</v>
      </c>
      <c r="F165" s="725">
        <v>1</v>
      </c>
      <c r="G165" s="724">
        <v>200</v>
      </c>
      <c r="H165" s="724"/>
      <c r="I165" s="724">
        <v>1</v>
      </c>
      <c r="J165" s="725">
        <v>1</v>
      </c>
      <c r="K165" s="724">
        <v>175</v>
      </c>
      <c r="L165" s="724"/>
      <c r="M165" s="724"/>
      <c r="N165" s="724"/>
      <c r="O165" s="724"/>
      <c r="P165" s="724"/>
      <c r="Q165" s="724"/>
      <c r="R165" s="724"/>
      <c r="S165" s="1038"/>
      <c r="T165" s="1039"/>
      <c r="U165" s="1038"/>
      <c r="V165" s="724">
        <f t="shared" si="31"/>
        <v>1475</v>
      </c>
      <c r="W165" s="724">
        <f t="shared" si="32"/>
        <v>73.75</v>
      </c>
      <c r="X165" s="724">
        <f t="shared" si="33"/>
        <v>1548.75</v>
      </c>
      <c r="Y165" s="1040">
        <v>55</v>
      </c>
      <c r="Z165" s="840"/>
      <c r="AA165" s="194"/>
    </row>
    <row r="166" spans="1:27" s="192" customFormat="1">
      <c r="A166" s="215">
        <v>42323</v>
      </c>
      <c r="B166" s="839"/>
      <c r="C166" s="839"/>
      <c r="D166" s="1038"/>
      <c r="E166" s="724">
        <v>1100</v>
      </c>
      <c r="F166" s="725"/>
      <c r="G166" s="724">
        <v>200</v>
      </c>
      <c r="H166" s="724"/>
      <c r="I166" s="724">
        <v>1</v>
      </c>
      <c r="J166" s="725"/>
      <c r="K166" s="724">
        <v>175</v>
      </c>
      <c r="L166" s="724"/>
      <c r="M166" s="724"/>
      <c r="N166" s="724"/>
      <c r="O166" s="724"/>
      <c r="P166" s="724"/>
      <c r="Q166" s="724"/>
      <c r="R166" s="724"/>
      <c r="S166" s="1038"/>
      <c r="T166" s="1039"/>
      <c r="U166" s="1038"/>
      <c r="V166" s="724">
        <f t="shared" si="31"/>
        <v>0</v>
      </c>
      <c r="W166" s="724">
        <f t="shared" si="32"/>
        <v>0</v>
      </c>
      <c r="X166" s="724">
        <f t="shared" si="33"/>
        <v>0</v>
      </c>
      <c r="Y166" s="1040">
        <v>55</v>
      </c>
      <c r="Z166" s="840"/>
      <c r="AA166" s="194"/>
    </row>
    <row r="167" spans="1:27" s="192" customFormat="1">
      <c r="A167" s="215">
        <v>42324</v>
      </c>
      <c r="B167" s="839"/>
      <c r="C167" s="839"/>
      <c r="D167" s="1038">
        <v>1</v>
      </c>
      <c r="E167" s="724">
        <v>1100</v>
      </c>
      <c r="F167" s="725">
        <v>1</v>
      </c>
      <c r="G167" s="724">
        <v>200</v>
      </c>
      <c r="H167" s="724"/>
      <c r="I167" s="724">
        <v>1</v>
      </c>
      <c r="J167" s="725">
        <v>1</v>
      </c>
      <c r="K167" s="724">
        <v>175</v>
      </c>
      <c r="L167" s="724"/>
      <c r="M167" s="724"/>
      <c r="N167" s="724"/>
      <c r="O167" s="724"/>
      <c r="P167" s="724"/>
      <c r="Q167" s="724"/>
      <c r="R167" s="724"/>
      <c r="S167" s="1038"/>
      <c r="T167" s="1039"/>
      <c r="U167" s="1038"/>
      <c r="V167" s="724">
        <f t="shared" si="31"/>
        <v>1475</v>
      </c>
      <c r="W167" s="724">
        <f t="shared" si="32"/>
        <v>73.75</v>
      </c>
      <c r="X167" s="724">
        <f t="shared" si="33"/>
        <v>1548.75</v>
      </c>
      <c r="Y167" s="1040">
        <v>55</v>
      </c>
      <c r="Z167" s="840"/>
      <c r="AA167" s="194"/>
    </row>
    <row r="168" spans="1:27" s="192" customFormat="1">
      <c r="A168" s="215">
        <v>42325</v>
      </c>
      <c r="B168" s="839"/>
      <c r="C168" s="839"/>
      <c r="D168" s="1038">
        <v>1</v>
      </c>
      <c r="E168" s="724">
        <v>1100</v>
      </c>
      <c r="F168" s="725">
        <v>1</v>
      </c>
      <c r="G168" s="724">
        <v>200</v>
      </c>
      <c r="H168" s="724"/>
      <c r="I168" s="724">
        <v>1</v>
      </c>
      <c r="J168" s="725">
        <v>1</v>
      </c>
      <c r="K168" s="724">
        <v>175</v>
      </c>
      <c r="L168" s="724"/>
      <c r="M168" s="724"/>
      <c r="N168" s="724"/>
      <c r="O168" s="724"/>
      <c r="P168" s="724"/>
      <c r="Q168" s="724"/>
      <c r="R168" s="724"/>
      <c r="S168" s="1038"/>
      <c r="T168" s="1039"/>
      <c r="U168" s="1038"/>
      <c r="V168" s="724">
        <f t="shared" si="31"/>
        <v>1475</v>
      </c>
      <c r="W168" s="724">
        <f t="shared" si="32"/>
        <v>73.75</v>
      </c>
      <c r="X168" s="724">
        <f t="shared" si="33"/>
        <v>1548.75</v>
      </c>
      <c r="Y168" s="1040">
        <v>55</v>
      </c>
      <c r="Z168" s="840"/>
      <c r="AA168" s="194"/>
    </row>
    <row r="169" spans="1:27" s="192" customFormat="1">
      <c r="A169" s="215">
        <v>42326</v>
      </c>
      <c r="B169" s="839"/>
      <c r="C169" s="839"/>
      <c r="D169" s="1038">
        <v>1</v>
      </c>
      <c r="E169" s="724">
        <v>1100</v>
      </c>
      <c r="F169" s="725">
        <v>1</v>
      </c>
      <c r="G169" s="724">
        <v>200</v>
      </c>
      <c r="H169" s="724"/>
      <c r="I169" s="724">
        <v>1</v>
      </c>
      <c r="J169" s="725">
        <v>1</v>
      </c>
      <c r="K169" s="724">
        <v>175</v>
      </c>
      <c r="L169" s="724"/>
      <c r="M169" s="724"/>
      <c r="N169" s="724"/>
      <c r="O169" s="724"/>
      <c r="P169" s="724"/>
      <c r="Q169" s="724"/>
      <c r="R169" s="724"/>
      <c r="S169" s="1038"/>
      <c r="T169" s="1039"/>
      <c r="U169" s="1038"/>
      <c r="V169" s="724">
        <f t="shared" ref="V169:V178" si="34">(D169*E169)+(F169*G169)+(H169*I169)+(J169*K169)</f>
        <v>1475</v>
      </c>
      <c r="W169" s="724">
        <f t="shared" ref="W169:W178" si="35">(V169*5%)</f>
        <v>73.75</v>
      </c>
      <c r="X169" s="724">
        <f t="shared" ref="X169:X178" si="36">SUM(V169+W169)</f>
        <v>1548.75</v>
      </c>
      <c r="Y169" s="1040">
        <v>55</v>
      </c>
      <c r="Z169" s="840"/>
      <c r="AA169" s="194"/>
    </row>
    <row r="170" spans="1:27" s="192" customFormat="1">
      <c r="A170" s="215">
        <v>42327</v>
      </c>
      <c r="B170" s="839"/>
      <c r="C170" s="839"/>
      <c r="D170" s="1038">
        <v>1</v>
      </c>
      <c r="E170" s="724">
        <v>1100</v>
      </c>
      <c r="F170" s="725">
        <v>1</v>
      </c>
      <c r="G170" s="724">
        <v>200</v>
      </c>
      <c r="H170" s="724"/>
      <c r="I170" s="724">
        <v>1</v>
      </c>
      <c r="J170" s="725">
        <v>1</v>
      </c>
      <c r="K170" s="724">
        <v>175</v>
      </c>
      <c r="L170" s="724"/>
      <c r="M170" s="724"/>
      <c r="N170" s="724"/>
      <c r="O170" s="724"/>
      <c r="P170" s="724"/>
      <c r="Q170" s="724"/>
      <c r="R170" s="724"/>
      <c r="S170" s="1038"/>
      <c r="T170" s="1039"/>
      <c r="U170" s="1038"/>
      <c r="V170" s="724">
        <f t="shared" si="34"/>
        <v>1475</v>
      </c>
      <c r="W170" s="724">
        <f t="shared" si="35"/>
        <v>73.75</v>
      </c>
      <c r="X170" s="724">
        <f t="shared" si="36"/>
        <v>1548.75</v>
      </c>
      <c r="Y170" s="1040">
        <v>55</v>
      </c>
      <c r="Z170" s="840"/>
      <c r="AA170" s="194"/>
    </row>
    <row r="171" spans="1:27" s="192" customFormat="1">
      <c r="A171" s="215">
        <v>42328</v>
      </c>
      <c r="B171" s="839"/>
      <c r="C171" s="839"/>
      <c r="D171" s="1038">
        <v>1</v>
      </c>
      <c r="E171" s="724">
        <v>1100</v>
      </c>
      <c r="F171" s="725">
        <v>1</v>
      </c>
      <c r="G171" s="724">
        <v>200</v>
      </c>
      <c r="H171" s="724"/>
      <c r="I171" s="724">
        <v>1</v>
      </c>
      <c r="J171" s="725">
        <v>1</v>
      </c>
      <c r="K171" s="724">
        <v>175</v>
      </c>
      <c r="L171" s="724"/>
      <c r="M171" s="724"/>
      <c r="N171" s="724"/>
      <c r="O171" s="724"/>
      <c r="P171" s="724"/>
      <c r="Q171" s="724"/>
      <c r="R171" s="724"/>
      <c r="S171" s="1038"/>
      <c r="T171" s="1039"/>
      <c r="U171" s="1038"/>
      <c r="V171" s="724">
        <f t="shared" si="34"/>
        <v>1475</v>
      </c>
      <c r="W171" s="724">
        <f t="shared" si="35"/>
        <v>73.75</v>
      </c>
      <c r="X171" s="724">
        <f t="shared" si="36"/>
        <v>1548.75</v>
      </c>
      <c r="Y171" s="1040">
        <v>55</v>
      </c>
      <c r="Z171" s="840"/>
      <c r="AA171" s="194"/>
    </row>
    <row r="172" spans="1:27" s="192" customFormat="1">
      <c r="A172" s="215">
        <v>42329</v>
      </c>
      <c r="B172" s="839"/>
      <c r="C172" s="839"/>
      <c r="D172" s="1038">
        <v>1</v>
      </c>
      <c r="E172" s="724">
        <v>1100</v>
      </c>
      <c r="F172" s="725">
        <v>1</v>
      </c>
      <c r="G172" s="724">
        <v>200</v>
      </c>
      <c r="H172" s="724"/>
      <c r="I172" s="724">
        <v>1</v>
      </c>
      <c r="J172" s="725">
        <v>1</v>
      </c>
      <c r="K172" s="724">
        <v>175</v>
      </c>
      <c r="L172" s="724"/>
      <c r="M172" s="724"/>
      <c r="N172" s="724"/>
      <c r="O172" s="724"/>
      <c r="P172" s="724"/>
      <c r="Q172" s="724"/>
      <c r="R172" s="724"/>
      <c r="S172" s="1038"/>
      <c r="T172" s="1039"/>
      <c r="U172" s="1038"/>
      <c r="V172" s="724">
        <f t="shared" si="34"/>
        <v>1475</v>
      </c>
      <c r="W172" s="724">
        <f t="shared" si="35"/>
        <v>73.75</v>
      </c>
      <c r="X172" s="724">
        <f t="shared" si="36"/>
        <v>1548.75</v>
      </c>
      <c r="Y172" s="1040">
        <v>55</v>
      </c>
      <c r="Z172" s="840"/>
      <c r="AA172" s="194"/>
    </row>
    <row r="173" spans="1:27" s="192" customFormat="1">
      <c r="A173" s="215">
        <v>42330</v>
      </c>
      <c r="B173" s="839"/>
      <c r="C173" s="839"/>
      <c r="D173" s="1038">
        <v>1</v>
      </c>
      <c r="E173" s="724">
        <v>1100</v>
      </c>
      <c r="F173" s="725">
        <v>1</v>
      </c>
      <c r="G173" s="724">
        <v>200</v>
      </c>
      <c r="H173" s="724"/>
      <c r="I173" s="724">
        <v>1</v>
      </c>
      <c r="J173" s="725">
        <v>1</v>
      </c>
      <c r="K173" s="724">
        <v>175</v>
      </c>
      <c r="L173" s="724"/>
      <c r="M173" s="724"/>
      <c r="N173" s="724"/>
      <c r="O173" s="724"/>
      <c r="P173" s="724"/>
      <c r="Q173" s="724"/>
      <c r="R173" s="724"/>
      <c r="S173" s="1038"/>
      <c r="T173" s="1039"/>
      <c r="U173" s="1038"/>
      <c r="V173" s="724">
        <f t="shared" si="34"/>
        <v>1475</v>
      </c>
      <c r="W173" s="724">
        <f t="shared" si="35"/>
        <v>73.75</v>
      </c>
      <c r="X173" s="724">
        <f t="shared" si="36"/>
        <v>1548.75</v>
      </c>
      <c r="Y173" s="1040">
        <v>55</v>
      </c>
      <c r="Z173" s="840"/>
      <c r="AA173" s="194"/>
    </row>
    <row r="174" spans="1:27" s="192" customFormat="1">
      <c r="A174" s="215">
        <v>42331</v>
      </c>
      <c r="B174" s="839"/>
      <c r="C174" s="839"/>
      <c r="D174" s="1038">
        <v>1</v>
      </c>
      <c r="E174" s="724">
        <v>1100</v>
      </c>
      <c r="F174" s="725">
        <v>1</v>
      </c>
      <c r="G174" s="724">
        <v>200</v>
      </c>
      <c r="H174" s="724"/>
      <c r="I174" s="724">
        <v>1</v>
      </c>
      <c r="J174" s="725">
        <v>1</v>
      </c>
      <c r="K174" s="724">
        <v>175</v>
      </c>
      <c r="L174" s="724"/>
      <c r="M174" s="724"/>
      <c r="N174" s="724"/>
      <c r="O174" s="724"/>
      <c r="P174" s="724"/>
      <c r="Q174" s="724"/>
      <c r="R174" s="724"/>
      <c r="S174" s="1038"/>
      <c r="T174" s="1039"/>
      <c r="U174" s="1038"/>
      <c r="V174" s="724">
        <f t="shared" si="34"/>
        <v>1475</v>
      </c>
      <c r="W174" s="724">
        <f t="shared" si="35"/>
        <v>73.75</v>
      </c>
      <c r="X174" s="724">
        <f t="shared" si="36"/>
        <v>1548.75</v>
      </c>
      <c r="Y174" s="1040">
        <v>55</v>
      </c>
      <c r="Z174" s="840"/>
      <c r="AA174" s="194"/>
    </row>
    <row r="175" spans="1:27" s="192" customFormat="1">
      <c r="A175" s="215">
        <v>42332</v>
      </c>
      <c r="B175" s="839"/>
      <c r="C175" s="839"/>
      <c r="D175" s="1038">
        <v>1</v>
      </c>
      <c r="E175" s="724">
        <v>1100</v>
      </c>
      <c r="F175" s="725">
        <v>1</v>
      </c>
      <c r="G175" s="724">
        <v>200</v>
      </c>
      <c r="H175" s="724"/>
      <c r="I175" s="724">
        <v>1</v>
      </c>
      <c r="J175" s="725">
        <v>1</v>
      </c>
      <c r="K175" s="724">
        <v>175</v>
      </c>
      <c r="L175" s="724"/>
      <c r="M175" s="724"/>
      <c r="N175" s="724"/>
      <c r="O175" s="724"/>
      <c r="P175" s="724"/>
      <c r="Q175" s="724"/>
      <c r="R175" s="724"/>
      <c r="S175" s="1038"/>
      <c r="T175" s="1039"/>
      <c r="U175" s="1038"/>
      <c r="V175" s="724">
        <f t="shared" si="34"/>
        <v>1475</v>
      </c>
      <c r="W175" s="724">
        <f t="shared" si="35"/>
        <v>73.75</v>
      </c>
      <c r="X175" s="724">
        <f t="shared" si="36"/>
        <v>1548.75</v>
      </c>
      <c r="Y175" s="1040">
        <v>55</v>
      </c>
      <c r="Z175" s="840"/>
      <c r="AA175" s="194"/>
    </row>
    <row r="176" spans="1:27" s="192" customFormat="1">
      <c r="A176" s="215">
        <v>42333</v>
      </c>
      <c r="B176" s="839"/>
      <c r="C176" s="839"/>
      <c r="D176" s="1038">
        <v>1</v>
      </c>
      <c r="E176" s="724">
        <v>1100</v>
      </c>
      <c r="F176" s="725">
        <v>1</v>
      </c>
      <c r="G176" s="724">
        <v>200</v>
      </c>
      <c r="H176" s="724"/>
      <c r="I176" s="724">
        <v>1</v>
      </c>
      <c r="J176" s="725">
        <v>1</v>
      </c>
      <c r="K176" s="724">
        <v>175</v>
      </c>
      <c r="L176" s="724"/>
      <c r="M176" s="724"/>
      <c r="N176" s="724"/>
      <c r="O176" s="724"/>
      <c r="P176" s="724"/>
      <c r="Q176" s="724"/>
      <c r="R176" s="724"/>
      <c r="S176" s="1038"/>
      <c r="T176" s="1039"/>
      <c r="U176" s="1038"/>
      <c r="V176" s="724">
        <f t="shared" si="34"/>
        <v>1475</v>
      </c>
      <c r="W176" s="724">
        <f t="shared" si="35"/>
        <v>73.75</v>
      </c>
      <c r="X176" s="724">
        <f t="shared" si="36"/>
        <v>1548.75</v>
      </c>
      <c r="Y176" s="1040">
        <v>55</v>
      </c>
      <c r="Z176" s="840"/>
      <c r="AA176" s="194"/>
    </row>
    <row r="177" spans="1:54" s="192" customFormat="1">
      <c r="A177" s="215">
        <v>42334</v>
      </c>
      <c r="B177" s="839"/>
      <c r="C177" s="839"/>
      <c r="D177" s="1038">
        <v>1</v>
      </c>
      <c r="E177" s="724">
        <v>1100</v>
      </c>
      <c r="F177" s="725">
        <v>1</v>
      </c>
      <c r="G177" s="724">
        <v>200</v>
      </c>
      <c r="H177" s="724"/>
      <c r="I177" s="724">
        <v>1</v>
      </c>
      <c r="J177" s="725">
        <v>1</v>
      </c>
      <c r="K177" s="724">
        <v>175</v>
      </c>
      <c r="L177" s="724"/>
      <c r="M177" s="724"/>
      <c r="N177" s="724"/>
      <c r="O177" s="724"/>
      <c r="P177" s="724"/>
      <c r="Q177" s="724"/>
      <c r="R177" s="724"/>
      <c r="S177" s="1038"/>
      <c r="T177" s="1039"/>
      <c r="U177" s="1038"/>
      <c r="V177" s="724">
        <f t="shared" si="34"/>
        <v>1475</v>
      </c>
      <c r="W177" s="724">
        <f t="shared" si="35"/>
        <v>73.75</v>
      </c>
      <c r="X177" s="724">
        <f t="shared" si="36"/>
        <v>1548.75</v>
      </c>
      <c r="Y177" s="1040">
        <v>55</v>
      </c>
      <c r="Z177" s="840"/>
      <c r="AA177" s="194"/>
    </row>
    <row r="178" spans="1:54" s="1049" customFormat="1">
      <c r="A178" s="215">
        <v>42335</v>
      </c>
      <c r="B178" s="839"/>
      <c r="C178" s="839"/>
      <c r="D178" s="1038">
        <v>1</v>
      </c>
      <c r="E178" s="724">
        <v>1100</v>
      </c>
      <c r="F178" s="725">
        <v>1</v>
      </c>
      <c r="G178" s="724">
        <v>200</v>
      </c>
      <c r="H178" s="724"/>
      <c r="I178" s="724">
        <v>1</v>
      </c>
      <c r="J178" s="725">
        <v>1</v>
      </c>
      <c r="K178" s="724">
        <v>175</v>
      </c>
      <c r="L178" s="724"/>
      <c r="M178" s="724"/>
      <c r="N178" s="724"/>
      <c r="O178" s="724"/>
      <c r="P178" s="724"/>
      <c r="Q178" s="724"/>
      <c r="R178" s="724"/>
      <c r="S178" s="1038"/>
      <c r="T178" s="1039"/>
      <c r="U178" s="1038"/>
      <c r="V178" s="724">
        <f t="shared" si="34"/>
        <v>1475</v>
      </c>
      <c r="W178" s="724">
        <f t="shared" si="35"/>
        <v>73.75</v>
      </c>
      <c r="X178" s="724">
        <f t="shared" si="36"/>
        <v>1548.75</v>
      </c>
      <c r="Y178" s="1040">
        <v>55</v>
      </c>
      <c r="Z178" s="840"/>
      <c r="AA178" s="194"/>
      <c r="AB178" s="192"/>
      <c r="AC178" s="192"/>
      <c r="AD178" s="192"/>
      <c r="AE178" s="192"/>
      <c r="AF178" s="192"/>
      <c r="AG178" s="192"/>
      <c r="AH178" s="192"/>
      <c r="AI178" s="192"/>
      <c r="AJ178" s="192"/>
      <c r="AK178" s="192"/>
      <c r="AL178" s="192"/>
      <c r="AM178" s="192"/>
      <c r="AN178" s="192"/>
      <c r="AO178" s="192"/>
      <c r="AP178" s="192"/>
      <c r="AQ178" s="192"/>
      <c r="AR178" s="192"/>
      <c r="AS178" s="192"/>
      <c r="AT178" s="192"/>
      <c r="AU178" s="192"/>
      <c r="AV178" s="192"/>
      <c r="AW178" s="192"/>
      <c r="AX178" s="192"/>
      <c r="AY178" s="192"/>
      <c r="AZ178" s="192"/>
      <c r="BA178" s="192"/>
      <c r="BB178" s="192"/>
    </row>
    <row r="179" spans="1:54" s="1049" customFormat="1">
      <c r="A179" s="1041">
        <v>42336</v>
      </c>
      <c r="B179" s="1042"/>
      <c r="C179" s="1042"/>
      <c r="D179" s="1043"/>
      <c r="E179" s="1044">
        <v>1100</v>
      </c>
      <c r="F179" s="1045"/>
      <c r="G179" s="1044">
        <v>200</v>
      </c>
      <c r="H179" s="1044"/>
      <c r="I179" s="1044">
        <v>1</v>
      </c>
      <c r="J179" s="1045"/>
      <c r="K179" s="1044">
        <v>175</v>
      </c>
      <c r="L179" s="1044"/>
      <c r="M179" s="1044"/>
      <c r="N179" s="1044"/>
      <c r="O179" s="1044"/>
      <c r="P179" s="1044"/>
      <c r="Q179" s="1044"/>
      <c r="R179" s="1044"/>
      <c r="S179" s="1043"/>
      <c r="T179" s="1046"/>
      <c r="U179" s="1043"/>
      <c r="V179" s="1044">
        <f t="shared" ref="V179:V188" si="37">(D179*E179)+(F179*G179)+(H179*I179)+(J179*K179)</f>
        <v>0</v>
      </c>
      <c r="W179" s="1044">
        <f t="shared" ref="W179:W188" si="38">(V179*5%)</f>
        <v>0</v>
      </c>
      <c r="X179" s="1044">
        <f t="shared" ref="X179:X188" si="39">SUM(V179+W179)</f>
        <v>0</v>
      </c>
      <c r="Y179" s="1047"/>
      <c r="Z179" s="1048"/>
      <c r="AA179" s="1047"/>
    </row>
    <row r="180" spans="1:54" s="1049" customFormat="1">
      <c r="A180" s="1041">
        <v>42337</v>
      </c>
      <c r="B180" s="1042"/>
      <c r="C180" s="1042"/>
      <c r="D180" s="1043"/>
      <c r="E180" s="1044">
        <v>1100</v>
      </c>
      <c r="F180" s="1045"/>
      <c r="G180" s="1044">
        <v>200</v>
      </c>
      <c r="H180" s="1044"/>
      <c r="I180" s="1044">
        <v>1</v>
      </c>
      <c r="J180" s="1045"/>
      <c r="K180" s="1044">
        <v>175</v>
      </c>
      <c r="L180" s="1044"/>
      <c r="M180" s="1044"/>
      <c r="N180" s="1044"/>
      <c r="O180" s="1044"/>
      <c r="P180" s="1044"/>
      <c r="Q180" s="1044"/>
      <c r="R180" s="1044"/>
      <c r="S180" s="1043"/>
      <c r="T180" s="1046"/>
      <c r="U180" s="1043"/>
      <c r="V180" s="1044">
        <f t="shared" si="37"/>
        <v>0</v>
      </c>
      <c r="W180" s="1044">
        <f t="shared" si="38"/>
        <v>0</v>
      </c>
      <c r="X180" s="1044">
        <f t="shared" si="39"/>
        <v>0</v>
      </c>
      <c r="Y180" s="1047"/>
      <c r="Z180" s="1048"/>
      <c r="AA180" s="1047"/>
    </row>
    <row r="181" spans="1:54" s="1049" customFormat="1">
      <c r="A181" s="1041">
        <v>42338</v>
      </c>
      <c r="B181" s="1042"/>
      <c r="C181" s="1042"/>
      <c r="D181" s="1043"/>
      <c r="E181" s="1044">
        <v>1100</v>
      </c>
      <c r="F181" s="1045"/>
      <c r="G181" s="1044">
        <v>200</v>
      </c>
      <c r="H181" s="1044"/>
      <c r="I181" s="1044">
        <v>1</v>
      </c>
      <c r="J181" s="1045"/>
      <c r="K181" s="1044">
        <v>175</v>
      </c>
      <c r="L181" s="1044"/>
      <c r="M181" s="1044"/>
      <c r="N181" s="1044"/>
      <c r="O181" s="1044"/>
      <c r="P181" s="1044"/>
      <c r="Q181" s="1044"/>
      <c r="R181" s="1044"/>
      <c r="S181" s="1043"/>
      <c r="T181" s="1046"/>
      <c r="U181" s="1043"/>
      <c r="V181" s="1044">
        <f t="shared" si="37"/>
        <v>0</v>
      </c>
      <c r="W181" s="1044">
        <f t="shared" si="38"/>
        <v>0</v>
      </c>
      <c r="X181" s="1044">
        <f t="shared" si="39"/>
        <v>0</v>
      </c>
      <c r="Y181" s="1047"/>
      <c r="Z181" s="1048"/>
      <c r="AA181" s="1047"/>
    </row>
    <row r="182" spans="1:54" s="1049" customFormat="1">
      <c r="A182" s="1041">
        <v>42339</v>
      </c>
      <c r="B182" s="1042"/>
      <c r="C182" s="1042"/>
      <c r="D182" s="1043"/>
      <c r="E182" s="1044">
        <v>1100</v>
      </c>
      <c r="F182" s="1045"/>
      <c r="G182" s="1044">
        <v>200</v>
      </c>
      <c r="H182" s="1044"/>
      <c r="I182" s="1044">
        <v>1</v>
      </c>
      <c r="J182" s="1045"/>
      <c r="K182" s="1044">
        <v>175</v>
      </c>
      <c r="L182" s="1044"/>
      <c r="M182" s="1044"/>
      <c r="N182" s="1044"/>
      <c r="O182" s="1044"/>
      <c r="P182" s="1044"/>
      <c r="Q182" s="1044"/>
      <c r="R182" s="1044"/>
      <c r="S182" s="1043"/>
      <c r="T182" s="1046"/>
      <c r="U182" s="1043"/>
      <c r="V182" s="1044">
        <f t="shared" si="37"/>
        <v>0</v>
      </c>
      <c r="W182" s="1044">
        <f t="shared" si="38"/>
        <v>0</v>
      </c>
      <c r="X182" s="1044">
        <f t="shared" si="39"/>
        <v>0</v>
      </c>
      <c r="Y182" s="1047"/>
      <c r="Z182" s="1048"/>
      <c r="AA182" s="1047"/>
    </row>
    <row r="183" spans="1:54" s="1049" customFormat="1">
      <c r="A183" s="1041">
        <v>42340</v>
      </c>
      <c r="B183" s="1042"/>
      <c r="C183" s="1042"/>
      <c r="D183" s="1043"/>
      <c r="E183" s="1044">
        <v>1100</v>
      </c>
      <c r="F183" s="1045"/>
      <c r="G183" s="1044">
        <v>200</v>
      </c>
      <c r="H183" s="1044"/>
      <c r="I183" s="1044">
        <v>1</v>
      </c>
      <c r="J183" s="1045"/>
      <c r="K183" s="1044">
        <v>175</v>
      </c>
      <c r="L183" s="1044"/>
      <c r="M183" s="1044"/>
      <c r="N183" s="1044"/>
      <c r="O183" s="1044"/>
      <c r="P183" s="1044"/>
      <c r="Q183" s="1044"/>
      <c r="R183" s="1044"/>
      <c r="S183" s="1043"/>
      <c r="T183" s="1046"/>
      <c r="U183" s="1043"/>
      <c r="V183" s="1044">
        <f t="shared" si="37"/>
        <v>0</v>
      </c>
      <c r="W183" s="1044">
        <f t="shared" si="38"/>
        <v>0</v>
      </c>
      <c r="X183" s="1044">
        <f t="shared" si="39"/>
        <v>0</v>
      </c>
      <c r="Y183" s="1047"/>
      <c r="Z183" s="1048"/>
      <c r="AA183" s="1047"/>
    </row>
    <row r="184" spans="1:54" s="1049" customFormat="1">
      <c r="A184" s="1041">
        <v>42341</v>
      </c>
      <c r="B184" s="1042"/>
      <c r="C184" s="1042"/>
      <c r="D184" s="1043"/>
      <c r="E184" s="1044">
        <v>1100</v>
      </c>
      <c r="F184" s="1045"/>
      <c r="G184" s="1044">
        <v>200</v>
      </c>
      <c r="H184" s="1044"/>
      <c r="I184" s="1044">
        <v>1</v>
      </c>
      <c r="J184" s="1045"/>
      <c r="K184" s="1044">
        <v>175</v>
      </c>
      <c r="L184" s="1044"/>
      <c r="M184" s="1044"/>
      <c r="N184" s="1044"/>
      <c r="O184" s="1044"/>
      <c r="P184" s="1044"/>
      <c r="Q184" s="1044"/>
      <c r="R184" s="1044"/>
      <c r="S184" s="1043"/>
      <c r="T184" s="1046"/>
      <c r="U184" s="1043"/>
      <c r="V184" s="1044">
        <f t="shared" si="37"/>
        <v>0</v>
      </c>
      <c r="W184" s="1044">
        <f t="shared" si="38"/>
        <v>0</v>
      </c>
      <c r="X184" s="1044">
        <f t="shared" si="39"/>
        <v>0</v>
      </c>
      <c r="Y184" s="1047"/>
      <c r="Z184" s="1048"/>
      <c r="AA184" s="1047"/>
    </row>
    <row r="185" spans="1:54" s="1049" customFormat="1">
      <c r="A185" s="1041">
        <v>42342</v>
      </c>
      <c r="B185" s="1042"/>
      <c r="C185" s="1042"/>
      <c r="D185" s="1043"/>
      <c r="E185" s="1044">
        <v>1100</v>
      </c>
      <c r="F185" s="1045"/>
      <c r="G185" s="1044">
        <v>200</v>
      </c>
      <c r="H185" s="1044"/>
      <c r="I185" s="1044">
        <v>1</v>
      </c>
      <c r="J185" s="1045"/>
      <c r="K185" s="1044">
        <v>175</v>
      </c>
      <c r="L185" s="1044"/>
      <c r="M185" s="1044"/>
      <c r="N185" s="1044"/>
      <c r="O185" s="1044"/>
      <c r="P185" s="1044"/>
      <c r="Q185" s="1044"/>
      <c r="R185" s="1044"/>
      <c r="S185" s="1043"/>
      <c r="T185" s="1046"/>
      <c r="U185" s="1043"/>
      <c r="V185" s="1044">
        <f t="shared" si="37"/>
        <v>0</v>
      </c>
      <c r="W185" s="1044">
        <f t="shared" si="38"/>
        <v>0</v>
      </c>
      <c r="X185" s="1044">
        <f t="shared" si="39"/>
        <v>0</v>
      </c>
      <c r="Y185" s="1047"/>
      <c r="Z185" s="1048"/>
      <c r="AA185" s="1047"/>
    </row>
    <row r="186" spans="1:54" s="1049" customFormat="1">
      <c r="A186" s="1041">
        <v>42343</v>
      </c>
      <c r="B186" s="1042"/>
      <c r="C186" s="1042"/>
      <c r="D186" s="1043"/>
      <c r="E186" s="1044">
        <v>1100</v>
      </c>
      <c r="F186" s="1045"/>
      <c r="G186" s="1044">
        <v>200</v>
      </c>
      <c r="H186" s="1044"/>
      <c r="I186" s="1044">
        <v>1</v>
      </c>
      <c r="J186" s="1045"/>
      <c r="K186" s="1044">
        <v>175</v>
      </c>
      <c r="L186" s="1044"/>
      <c r="M186" s="1044"/>
      <c r="N186" s="1044"/>
      <c r="O186" s="1044"/>
      <c r="P186" s="1044"/>
      <c r="Q186" s="1044"/>
      <c r="R186" s="1044"/>
      <c r="S186" s="1043"/>
      <c r="T186" s="1046"/>
      <c r="U186" s="1043"/>
      <c r="V186" s="1044">
        <f t="shared" si="37"/>
        <v>0</v>
      </c>
      <c r="W186" s="1044">
        <f t="shared" si="38"/>
        <v>0</v>
      </c>
      <c r="X186" s="1044">
        <f t="shared" si="39"/>
        <v>0</v>
      </c>
      <c r="Y186" s="1047"/>
      <c r="Z186" s="1048"/>
      <c r="AA186" s="1047"/>
    </row>
    <row r="187" spans="1:54" s="136" customFormat="1">
      <c r="A187" s="1041">
        <v>42344</v>
      </c>
      <c r="B187" s="1042"/>
      <c r="C187" s="1042"/>
      <c r="D187" s="1043"/>
      <c r="E187" s="1044">
        <v>1100</v>
      </c>
      <c r="F187" s="1045"/>
      <c r="G187" s="1044">
        <v>200</v>
      </c>
      <c r="H187" s="1044"/>
      <c r="I187" s="1044">
        <v>1</v>
      </c>
      <c r="J187" s="1045"/>
      <c r="K187" s="1044">
        <v>175</v>
      </c>
      <c r="L187" s="1044"/>
      <c r="M187" s="1044"/>
      <c r="N187" s="1044"/>
      <c r="O187" s="1044"/>
      <c r="P187" s="1044"/>
      <c r="Q187" s="1044"/>
      <c r="R187" s="1044"/>
      <c r="S187" s="1043"/>
      <c r="T187" s="1046"/>
      <c r="U187" s="1043"/>
      <c r="V187" s="1044">
        <f t="shared" si="37"/>
        <v>0</v>
      </c>
      <c r="W187" s="1044">
        <f t="shared" si="38"/>
        <v>0</v>
      </c>
      <c r="X187" s="1044">
        <f t="shared" si="39"/>
        <v>0</v>
      </c>
      <c r="Y187" s="1047"/>
      <c r="Z187" s="1048"/>
      <c r="AA187" s="1047"/>
      <c r="AB187" s="1049"/>
      <c r="AC187" s="1049"/>
      <c r="AD187" s="1049"/>
      <c r="AE187" s="1049"/>
      <c r="AF187" s="1049"/>
      <c r="AG187" s="1049"/>
      <c r="AH187" s="1049"/>
      <c r="AI187" s="1049"/>
      <c r="AJ187" s="1049"/>
      <c r="AK187" s="1049"/>
      <c r="AL187" s="1049"/>
      <c r="AM187" s="1049"/>
      <c r="AN187" s="1049"/>
      <c r="AO187" s="1049"/>
      <c r="AP187" s="1049"/>
      <c r="AQ187" s="1049"/>
      <c r="AR187" s="1049"/>
      <c r="AS187" s="1049"/>
      <c r="AT187" s="1049"/>
      <c r="AU187" s="1049"/>
      <c r="AV187" s="1049"/>
      <c r="AW187" s="1049"/>
      <c r="AX187" s="1049"/>
      <c r="AY187" s="1049"/>
      <c r="AZ187" s="1049"/>
      <c r="BA187" s="1049"/>
      <c r="BB187" s="1049"/>
    </row>
    <row r="188" spans="1:54" s="136" customFormat="1">
      <c r="A188" s="473">
        <v>42345</v>
      </c>
      <c r="B188" s="862"/>
      <c r="C188" s="862"/>
      <c r="D188" s="808">
        <v>1</v>
      </c>
      <c r="E188" s="809">
        <v>1100</v>
      </c>
      <c r="F188" s="810">
        <v>1</v>
      </c>
      <c r="G188" s="809">
        <v>200</v>
      </c>
      <c r="H188" s="809"/>
      <c r="I188" s="809">
        <v>1</v>
      </c>
      <c r="J188" s="810">
        <v>1</v>
      </c>
      <c r="K188" s="809">
        <v>175</v>
      </c>
      <c r="L188" s="809"/>
      <c r="M188" s="809"/>
      <c r="N188" s="809"/>
      <c r="O188" s="809"/>
      <c r="P188" s="809"/>
      <c r="Q188" s="809"/>
      <c r="R188" s="809"/>
      <c r="S188" s="808"/>
      <c r="T188" s="863"/>
      <c r="U188" s="808"/>
      <c r="V188" s="809">
        <f t="shared" si="37"/>
        <v>1475</v>
      </c>
      <c r="W188" s="809">
        <f t="shared" si="38"/>
        <v>73.75</v>
      </c>
      <c r="X188" s="809">
        <f t="shared" si="39"/>
        <v>1548.75</v>
      </c>
      <c r="Y188" s="148">
        <v>57</v>
      </c>
      <c r="Z188" s="816"/>
      <c r="AA188" s="148"/>
    </row>
    <row r="189" spans="1:54" s="136" customFormat="1">
      <c r="A189" s="473">
        <v>42346</v>
      </c>
      <c r="B189" s="862"/>
      <c r="C189" s="862"/>
      <c r="D189" s="808">
        <v>1</v>
      </c>
      <c r="E189" s="809">
        <v>1100</v>
      </c>
      <c r="F189" s="810">
        <v>1</v>
      </c>
      <c r="G189" s="809">
        <v>200</v>
      </c>
      <c r="H189" s="809"/>
      <c r="I189" s="809">
        <v>1</v>
      </c>
      <c r="J189" s="810">
        <v>1</v>
      </c>
      <c r="K189" s="809">
        <v>175</v>
      </c>
      <c r="L189" s="809"/>
      <c r="M189" s="809"/>
      <c r="N189" s="809"/>
      <c r="O189" s="809"/>
      <c r="P189" s="809"/>
      <c r="Q189" s="809"/>
      <c r="R189" s="809"/>
      <c r="S189" s="808"/>
      <c r="T189" s="863"/>
      <c r="U189" s="808"/>
      <c r="V189" s="809">
        <f t="shared" ref="V189:V195" si="40">(D189*E189)+(F189*G189)+(H189*I189)+(J189*K189)</f>
        <v>1475</v>
      </c>
      <c r="W189" s="809">
        <f t="shared" ref="W189:W195" si="41">(V189*5%)</f>
        <v>73.75</v>
      </c>
      <c r="X189" s="809">
        <f t="shared" ref="X189:X195" si="42">SUM(V189+W189)</f>
        <v>1548.75</v>
      </c>
      <c r="Y189" s="148">
        <v>57</v>
      </c>
      <c r="Z189" s="816"/>
      <c r="AA189" s="148"/>
    </row>
    <row r="190" spans="1:54" s="136" customFormat="1">
      <c r="A190" s="473">
        <v>42347</v>
      </c>
      <c r="B190" s="862"/>
      <c r="C190" s="862"/>
      <c r="D190" s="808">
        <v>1</v>
      </c>
      <c r="E190" s="809">
        <v>1100</v>
      </c>
      <c r="F190" s="810">
        <v>1</v>
      </c>
      <c r="G190" s="809">
        <v>200</v>
      </c>
      <c r="H190" s="809"/>
      <c r="I190" s="809">
        <v>1</v>
      </c>
      <c r="J190" s="810">
        <v>1</v>
      </c>
      <c r="K190" s="809">
        <v>175</v>
      </c>
      <c r="L190" s="809"/>
      <c r="M190" s="809"/>
      <c r="N190" s="809"/>
      <c r="O190" s="809"/>
      <c r="P190" s="809"/>
      <c r="Q190" s="809"/>
      <c r="R190" s="809"/>
      <c r="S190" s="808"/>
      <c r="T190" s="863"/>
      <c r="U190" s="808"/>
      <c r="V190" s="809">
        <f t="shared" si="40"/>
        <v>1475</v>
      </c>
      <c r="W190" s="809">
        <f t="shared" si="41"/>
        <v>73.75</v>
      </c>
      <c r="X190" s="809">
        <f t="shared" si="42"/>
        <v>1548.75</v>
      </c>
      <c r="Y190" s="148">
        <v>57</v>
      </c>
      <c r="Z190" s="816"/>
      <c r="AA190" s="148"/>
    </row>
    <row r="191" spans="1:54" s="136" customFormat="1">
      <c r="A191" s="473">
        <v>42348</v>
      </c>
      <c r="B191" s="862"/>
      <c r="C191" s="862"/>
      <c r="D191" s="808">
        <v>1</v>
      </c>
      <c r="E191" s="809">
        <v>1100</v>
      </c>
      <c r="F191" s="810">
        <v>1</v>
      </c>
      <c r="G191" s="809">
        <v>200</v>
      </c>
      <c r="H191" s="809"/>
      <c r="I191" s="809">
        <v>1</v>
      </c>
      <c r="J191" s="810">
        <v>1</v>
      </c>
      <c r="K191" s="809">
        <v>175</v>
      </c>
      <c r="L191" s="809"/>
      <c r="M191" s="809"/>
      <c r="N191" s="809"/>
      <c r="O191" s="809"/>
      <c r="P191" s="809"/>
      <c r="Q191" s="809"/>
      <c r="R191" s="809"/>
      <c r="S191" s="808"/>
      <c r="T191" s="863"/>
      <c r="U191" s="808"/>
      <c r="V191" s="809">
        <f t="shared" si="40"/>
        <v>1475</v>
      </c>
      <c r="W191" s="809">
        <f t="shared" si="41"/>
        <v>73.75</v>
      </c>
      <c r="X191" s="809">
        <f t="shared" si="42"/>
        <v>1548.75</v>
      </c>
      <c r="Y191" s="148">
        <v>57</v>
      </c>
      <c r="Z191" s="816"/>
      <c r="AA191" s="148"/>
    </row>
    <row r="192" spans="1:54" s="136" customFormat="1">
      <c r="A192" s="473">
        <v>42349</v>
      </c>
      <c r="B192" s="862"/>
      <c r="C192" s="862"/>
      <c r="D192" s="808">
        <v>1</v>
      </c>
      <c r="E192" s="809">
        <v>1100</v>
      </c>
      <c r="F192" s="810">
        <v>1</v>
      </c>
      <c r="G192" s="809">
        <v>200</v>
      </c>
      <c r="H192" s="809"/>
      <c r="I192" s="809">
        <v>1</v>
      </c>
      <c r="J192" s="810">
        <v>1</v>
      </c>
      <c r="K192" s="809">
        <v>175</v>
      </c>
      <c r="L192" s="809"/>
      <c r="M192" s="809"/>
      <c r="N192" s="809"/>
      <c r="O192" s="809"/>
      <c r="P192" s="809"/>
      <c r="Q192" s="809"/>
      <c r="R192" s="809"/>
      <c r="S192" s="808"/>
      <c r="T192" s="863"/>
      <c r="U192" s="808"/>
      <c r="V192" s="809">
        <f t="shared" si="40"/>
        <v>1475</v>
      </c>
      <c r="W192" s="809">
        <f t="shared" si="41"/>
        <v>73.75</v>
      </c>
      <c r="X192" s="809">
        <f t="shared" si="42"/>
        <v>1548.75</v>
      </c>
      <c r="Y192" s="148">
        <v>57</v>
      </c>
      <c r="Z192" s="816"/>
      <c r="AA192" s="148"/>
    </row>
    <row r="193" spans="1:27" s="136" customFormat="1">
      <c r="A193" s="473">
        <v>42350</v>
      </c>
      <c r="B193" s="862"/>
      <c r="C193" s="862"/>
      <c r="D193" s="808"/>
      <c r="E193" s="809">
        <v>1100</v>
      </c>
      <c r="F193" s="810"/>
      <c r="G193" s="809">
        <v>200</v>
      </c>
      <c r="H193" s="809"/>
      <c r="I193" s="809">
        <v>1</v>
      </c>
      <c r="J193" s="810"/>
      <c r="K193" s="809">
        <v>175</v>
      </c>
      <c r="L193" s="809"/>
      <c r="M193" s="809"/>
      <c r="N193" s="809"/>
      <c r="O193" s="809"/>
      <c r="P193" s="809"/>
      <c r="Q193" s="809"/>
      <c r="R193" s="809"/>
      <c r="S193" s="808"/>
      <c r="T193" s="863"/>
      <c r="U193" s="808"/>
      <c r="V193" s="809">
        <f t="shared" si="40"/>
        <v>0</v>
      </c>
      <c r="W193" s="809">
        <f t="shared" si="41"/>
        <v>0</v>
      </c>
      <c r="X193" s="809">
        <f t="shared" si="42"/>
        <v>0</v>
      </c>
      <c r="Y193" s="148">
        <v>57</v>
      </c>
      <c r="Z193" s="816"/>
      <c r="AA193" s="148"/>
    </row>
    <row r="194" spans="1:27" s="136" customFormat="1">
      <c r="A194" s="473">
        <v>42351</v>
      </c>
      <c r="B194" s="862"/>
      <c r="C194" s="862"/>
      <c r="D194" s="808"/>
      <c r="E194" s="809">
        <v>1100</v>
      </c>
      <c r="F194" s="810"/>
      <c r="G194" s="809">
        <v>200</v>
      </c>
      <c r="H194" s="809"/>
      <c r="I194" s="809">
        <v>1</v>
      </c>
      <c r="J194" s="810"/>
      <c r="K194" s="809">
        <v>175</v>
      </c>
      <c r="L194" s="809"/>
      <c r="M194" s="809"/>
      <c r="N194" s="809"/>
      <c r="O194" s="809"/>
      <c r="P194" s="809"/>
      <c r="Q194" s="809"/>
      <c r="R194" s="809"/>
      <c r="S194" s="808"/>
      <c r="T194" s="863"/>
      <c r="U194" s="808"/>
      <c r="V194" s="809">
        <f t="shared" si="40"/>
        <v>0</v>
      </c>
      <c r="W194" s="809">
        <f t="shared" si="41"/>
        <v>0</v>
      </c>
      <c r="X194" s="809">
        <f t="shared" si="42"/>
        <v>0</v>
      </c>
      <c r="Y194" s="148">
        <v>57</v>
      </c>
      <c r="Z194" s="816"/>
      <c r="AA194" s="148"/>
    </row>
    <row r="195" spans="1:27" s="136" customFormat="1">
      <c r="A195" s="473">
        <v>42352</v>
      </c>
      <c r="B195" s="862"/>
      <c r="C195" s="862"/>
      <c r="D195" s="808"/>
      <c r="E195" s="809">
        <v>1100</v>
      </c>
      <c r="F195" s="810"/>
      <c r="G195" s="809">
        <v>200</v>
      </c>
      <c r="H195" s="809"/>
      <c r="I195" s="809">
        <v>1</v>
      </c>
      <c r="J195" s="810"/>
      <c r="K195" s="809">
        <v>175</v>
      </c>
      <c r="L195" s="809"/>
      <c r="M195" s="809"/>
      <c r="N195" s="809"/>
      <c r="O195" s="809"/>
      <c r="P195" s="809"/>
      <c r="Q195" s="809"/>
      <c r="R195" s="809"/>
      <c r="S195" s="808"/>
      <c r="T195" s="863"/>
      <c r="U195" s="808"/>
      <c r="V195" s="809">
        <f t="shared" si="40"/>
        <v>0</v>
      </c>
      <c r="W195" s="809">
        <f t="shared" si="41"/>
        <v>0</v>
      </c>
      <c r="X195" s="809">
        <f t="shared" si="42"/>
        <v>0</v>
      </c>
      <c r="Y195" s="148">
        <v>57</v>
      </c>
      <c r="Z195" s="816"/>
      <c r="AA195" s="148"/>
    </row>
    <row r="196" spans="1:27" s="136" customFormat="1">
      <c r="A196" s="473">
        <v>42353</v>
      </c>
      <c r="B196" s="862"/>
      <c r="C196" s="862"/>
      <c r="D196" s="808"/>
      <c r="E196" s="809">
        <v>1100</v>
      </c>
      <c r="F196" s="810"/>
      <c r="G196" s="809">
        <v>200</v>
      </c>
      <c r="H196" s="809"/>
      <c r="I196" s="809">
        <v>1</v>
      </c>
      <c r="J196" s="810"/>
      <c r="K196" s="809">
        <v>175</v>
      </c>
      <c r="L196" s="809"/>
      <c r="M196" s="809"/>
      <c r="N196" s="809"/>
      <c r="O196" s="809"/>
      <c r="P196" s="809"/>
      <c r="Q196" s="809"/>
      <c r="R196" s="809"/>
      <c r="S196" s="808"/>
      <c r="T196" s="863"/>
      <c r="U196" s="808"/>
      <c r="V196" s="809">
        <f t="shared" ref="V196:V212" si="43">(D196*E196)+(F196*G196)+(H196*I196)+(J196*K196)</f>
        <v>0</v>
      </c>
      <c r="W196" s="809">
        <f t="shared" ref="W196:W212" si="44">(V196*5%)</f>
        <v>0</v>
      </c>
      <c r="X196" s="809">
        <f t="shared" ref="X196:X212" si="45">SUM(V196+W196)</f>
        <v>0</v>
      </c>
      <c r="Y196" s="148">
        <v>57</v>
      </c>
      <c r="Z196" s="816"/>
      <c r="AA196" s="148"/>
    </row>
    <row r="197" spans="1:27" s="136" customFormat="1">
      <c r="A197" s="473">
        <v>42354</v>
      </c>
      <c r="B197" s="862"/>
      <c r="C197" s="862"/>
      <c r="D197" s="808"/>
      <c r="E197" s="809">
        <v>1100</v>
      </c>
      <c r="F197" s="810"/>
      <c r="G197" s="809">
        <v>200</v>
      </c>
      <c r="H197" s="809"/>
      <c r="I197" s="809">
        <v>1</v>
      </c>
      <c r="J197" s="810"/>
      <c r="K197" s="809">
        <v>175</v>
      </c>
      <c r="L197" s="809"/>
      <c r="M197" s="809"/>
      <c r="N197" s="809"/>
      <c r="O197" s="809"/>
      <c r="P197" s="809"/>
      <c r="Q197" s="809"/>
      <c r="R197" s="809"/>
      <c r="S197" s="808"/>
      <c r="T197" s="863"/>
      <c r="U197" s="808"/>
      <c r="V197" s="809">
        <f t="shared" si="43"/>
        <v>0</v>
      </c>
      <c r="W197" s="809">
        <f t="shared" si="44"/>
        <v>0</v>
      </c>
      <c r="X197" s="809">
        <f t="shared" si="45"/>
        <v>0</v>
      </c>
      <c r="Y197" s="148">
        <v>57</v>
      </c>
      <c r="Z197" s="816"/>
      <c r="AA197" s="148"/>
    </row>
    <row r="198" spans="1:27" s="136" customFormat="1">
      <c r="A198" s="473">
        <v>42355</v>
      </c>
      <c r="B198" s="862"/>
      <c r="C198" s="862"/>
      <c r="D198" s="808"/>
      <c r="E198" s="809">
        <v>1100</v>
      </c>
      <c r="F198" s="810"/>
      <c r="G198" s="809">
        <v>200</v>
      </c>
      <c r="H198" s="809"/>
      <c r="I198" s="809">
        <v>1</v>
      </c>
      <c r="J198" s="810"/>
      <c r="K198" s="809">
        <v>175</v>
      </c>
      <c r="L198" s="809"/>
      <c r="M198" s="809"/>
      <c r="N198" s="809"/>
      <c r="O198" s="809"/>
      <c r="P198" s="809"/>
      <c r="Q198" s="809"/>
      <c r="R198" s="809"/>
      <c r="S198" s="808"/>
      <c r="T198" s="863"/>
      <c r="U198" s="808"/>
      <c r="V198" s="809">
        <f t="shared" si="43"/>
        <v>0</v>
      </c>
      <c r="W198" s="809">
        <f t="shared" si="44"/>
        <v>0</v>
      </c>
      <c r="X198" s="809">
        <f t="shared" si="45"/>
        <v>0</v>
      </c>
      <c r="Y198" s="148">
        <v>57</v>
      </c>
      <c r="Z198" s="816"/>
      <c r="AA198" s="148"/>
    </row>
    <row r="199" spans="1:27" s="136" customFormat="1">
      <c r="A199" s="473">
        <v>42356</v>
      </c>
      <c r="B199" s="862"/>
      <c r="C199" s="862"/>
      <c r="D199" s="808"/>
      <c r="E199" s="809">
        <v>1100</v>
      </c>
      <c r="F199" s="810"/>
      <c r="G199" s="809">
        <v>200</v>
      </c>
      <c r="H199" s="809"/>
      <c r="I199" s="809">
        <v>1</v>
      </c>
      <c r="J199" s="810"/>
      <c r="K199" s="809">
        <v>175</v>
      </c>
      <c r="L199" s="809"/>
      <c r="M199" s="809"/>
      <c r="N199" s="809"/>
      <c r="O199" s="809"/>
      <c r="P199" s="809"/>
      <c r="Q199" s="809"/>
      <c r="R199" s="809"/>
      <c r="S199" s="808"/>
      <c r="T199" s="863"/>
      <c r="U199" s="808"/>
      <c r="V199" s="809">
        <f t="shared" si="43"/>
        <v>0</v>
      </c>
      <c r="W199" s="809">
        <f t="shared" si="44"/>
        <v>0</v>
      </c>
      <c r="X199" s="809">
        <f t="shared" si="45"/>
        <v>0</v>
      </c>
      <c r="Y199" s="148">
        <v>57</v>
      </c>
      <c r="Z199" s="816"/>
      <c r="AA199" s="148"/>
    </row>
    <row r="200" spans="1:27" s="136" customFormat="1">
      <c r="A200" s="473">
        <v>42357</v>
      </c>
      <c r="B200" s="862"/>
      <c r="C200" s="862"/>
      <c r="D200" s="808"/>
      <c r="E200" s="809">
        <v>1100</v>
      </c>
      <c r="F200" s="810"/>
      <c r="G200" s="809">
        <v>200</v>
      </c>
      <c r="H200" s="809"/>
      <c r="I200" s="809">
        <v>1</v>
      </c>
      <c r="J200" s="810"/>
      <c r="K200" s="809">
        <v>175</v>
      </c>
      <c r="L200" s="809"/>
      <c r="M200" s="809"/>
      <c r="N200" s="809"/>
      <c r="O200" s="809"/>
      <c r="P200" s="809"/>
      <c r="Q200" s="809"/>
      <c r="R200" s="809"/>
      <c r="S200" s="808"/>
      <c r="T200" s="863"/>
      <c r="U200" s="808"/>
      <c r="V200" s="809">
        <f t="shared" si="43"/>
        <v>0</v>
      </c>
      <c r="W200" s="809">
        <f t="shared" si="44"/>
        <v>0</v>
      </c>
      <c r="X200" s="809">
        <f t="shared" si="45"/>
        <v>0</v>
      </c>
      <c r="Y200" s="148">
        <v>57</v>
      </c>
      <c r="Z200" s="816"/>
      <c r="AA200" s="148"/>
    </row>
    <row r="201" spans="1:27" s="136" customFormat="1">
      <c r="A201" s="473">
        <v>42358</v>
      </c>
      <c r="B201" s="862"/>
      <c r="C201" s="862"/>
      <c r="D201" s="808"/>
      <c r="E201" s="809">
        <v>1100</v>
      </c>
      <c r="F201" s="810"/>
      <c r="G201" s="809">
        <v>200</v>
      </c>
      <c r="H201" s="809"/>
      <c r="I201" s="809">
        <v>1</v>
      </c>
      <c r="J201" s="810"/>
      <c r="K201" s="809">
        <v>175</v>
      </c>
      <c r="L201" s="809"/>
      <c r="M201" s="809"/>
      <c r="N201" s="809"/>
      <c r="O201" s="809"/>
      <c r="P201" s="809"/>
      <c r="Q201" s="809"/>
      <c r="R201" s="809"/>
      <c r="S201" s="808"/>
      <c r="T201" s="863"/>
      <c r="U201" s="808"/>
      <c r="V201" s="809">
        <f t="shared" si="43"/>
        <v>0</v>
      </c>
      <c r="W201" s="809">
        <f t="shared" si="44"/>
        <v>0</v>
      </c>
      <c r="X201" s="809">
        <f t="shared" si="45"/>
        <v>0</v>
      </c>
      <c r="Y201" s="148">
        <v>57</v>
      </c>
      <c r="Z201" s="816"/>
      <c r="AA201" s="148"/>
    </row>
    <row r="202" spans="1:27" s="136" customFormat="1">
      <c r="A202" s="473">
        <v>42359</v>
      </c>
      <c r="B202" s="862"/>
      <c r="C202" s="862"/>
      <c r="D202" s="808"/>
      <c r="E202" s="809">
        <v>1100</v>
      </c>
      <c r="F202" s="810"/>
      <c r="G202" s="809">
        <v>200</v>
      </c>
      <c r="H202" s="809"/>
      <c r="I202" s="809">
        <v>1</v>
      </c>
      <c r="J202" s="810"/>
      <c r="K202" s="809">
        <v>175</v>
      </c>
      <c r="L202" s="809"/>
      <c r="M202" s="809"/>
      <c r="N202" s="809"/>
      <c r="O202" s="809"/>
      <c r="P202" s="809"/>
      <c r="Q202" s="809"/>
      <c r="R202" s="809"/>
      <c r="S202" s="808"/>
      <c r="T202" s="863"/>
      <c r="U202" s="808"/>
      <c r="V202" s="809">
        <f t="shared" si="43"/>
        <v>0</v>
      </c>
      <c r="W202" s="809">
        <f t="shared" si="44"/>
        <v>0</v>
      </c>
      <c r="X202" s="809">
        <f t="shared" si="45"/>
        <v>0</v>
      </c>
      <c r="Y202" s="148">
        <v>57</v>
      </c>
      <c r="Z202" s="816"/>
      <c r="AA202" s="148"/>
    </row>
    <row r="203" spans="1:27" s="136" customFormat="1">
      <c r="A203" s="473">
        <v>42360</v>
      </c>
      <c r="B203" s="862"/>
      <c r="C203" s="862"/>
      <c r="D203" s="808">
        <v>0.5</v>
      </c>
      <c r="E203" s="809">
        <v>1100</v>
      </c>
      <c r="F203" s="810"/>
      <c r="G203" s="809">
        <v>200</v>
      </c>
      <c r="H203" s="809"/>
      <c r="I203" s="809">
        <v>1</v>
      </c>
      <c r="J203" s="810"/>
      <c r="K203" s="809">
        <v>175</v>
      </c>
      <c r="L203" s="809"/>
      <c r="M203" s="809"/>
      <c r="N203" s="809"/>
      <c r="O203" s="809"/>
      <c r="P203" s="809"/>
      <c r="Q203" s="809"/>
      <c r="R203" s="809"/>
      <c r="S203" s="808"/>
      <c r="T203" s="863"/>
      <c r="U203" s="808"/>
      <c r="V203" s="809">
        <f t="shared" si="43"/>
        <v>550</v>
      </c>
      <c r="W203" s="809">
        <f t="shared" si="44"/>
        <v>27.5</v>
      </c>
      <c r="X203" s="809">
        <f t="shared" si="45"/>
        <v>577.5</v>
      </c>
      <c r="Y203" s="148">
        <v>57</v>
      </c>
      <c r="Z203" s="816"/>
      <c r="AA203" s="148"/>
    </row>
    <row r="204" spans="1:27" s="136" customFormat="1">
      <c r="A204" s="473">
        <v>42361</v>
      </c>
      <c r="B204" s="862"/>
      <c r="C204" s="862"/>
      <c r="D204" s="808"/>
      <c r="E204" s="809">
        <v>1100</v>
      </c>
      <c r="F204" s="810"/>
      <c r="G204" s="809">
        <v>200</v>
      </c>
      <c r="H204" s="809"/>
      <c r="I204" s="809">
        <v>1</v>
      </c>
      <c r="J204" s="810"/>
      <c r="K204" s="809">
        <v>175</v>
      </c>
      <c r="L204" s="809"/>
      <c r="M204" s="809"/>
      <c r="N204" s="809"/>
      <c r="O204" s="809"/>
      <c r="P204" s="809"/>
      <c r="Q204" s="809"/>
      <c r="R204" s="809"/>
      <c r="S204" s="808"/>
      <c r="T204" s="863"/>
      <c r="U204" s="808"/>
      <c r="V204" s="809">
        <f t="shared" si="43"/>
        <v>0</v>
      </c>
      <c r="W204" s="809">
        <f t="shared" si="44"/>
        <v>0</v>
      </c>
      <c r="X204" s="809">
        <f t="shared" si="45"/>
        <v>0</v>
      </c>
      <c r="Y204" s="148">
        <v>57</v>
      </c>
      <c r="Z204" s="816"/>
      <c r="AA204" s="148"/>
    </row>
    <row r="205" spans="1:27" s="136" customFormat="1">
      <c r="A205" s="473">
        <v>42362</v>
      </c>
      <c r="B205" s="862"/>
      <c r="C205" s="862"/>
      <c r="D205" s="808"/>
      <c r="E205" s="809">
        <v>1100</v>
      </c>
      <c r="F205" s="810"/>
      <c r="G205" s="809">
        <v>200</v>
      </c>
      <c r="H205" s="809"/>
      <c r="I205" s="809">
        <v>1</v>
      </c>
      <c r="J205" s="810"/>
      <c r="K205" s="809">
        <v>175</v>
      </c>
      <c r="L205" s="809"/>
      <c r="M205" s="809"/>
      <c r="N205" s="809"/>
      <c r="O205" s="809"/>
      <c r="P205" s="809"/>
      <c r="Q205" s="809"/>
      <c r="R205" s="809"/>
      <c r="S205" s="808"/>
      <c r="T205" s="863"/>
      <c r="U205" s="808"/>
      <c r="V205" s="809">
        <f t="shared" si="43"/>
        <v>0</v>
      </c>
      <c r="W205" s="809">
        <f t="shared" si="44"/>
        <v>0</v>
      </c>
      <c r="X205" s="809">
        <f t="shared" si="45"/>
        <v>0</v>
      </c>
      <c r="Y205" s="148">
        <v>57</v>
      </c>
      <c r="Z205" s="816"/>
      <c r="AA205" s="148"/>
    </row>
    <row r="206" spans="1:27" s="136" customFormat="1">
      <c r="A206" s="473">
        <v>42363</v>
      </c>
      <c r="B206" s="862"/>
      <c r="C206" s="862"/>
      <c r="D206" s="808"/>
      <c r="E206" s="809">
        <v>1100</v>
      </c>
      <c r="F206" s="810"/>
      <c r="G206" s="809">
        <v>200</v>
      </c>
      <c r="H206" s="809"/>
      <c r="I206" s="809">
        <v>1</v>
      </c>
      <c r="J206" s="810"/>
      <c r="K206" s="809">
        <v>175</v>
      </c>
      <c r="L206" s="809"/>
      <c r="M206" s="809"/>
      <c r="N206" s="809"/>
      <c r="O206" s="809"/>
      <c r="P206" s="809"/>
      <c r="Q206" s="809"/>
      <c r="R206" s="809"/>
      <c r="S206" s="808"/>
      <c r="T206" s="863"/>
      <c r="U206" s="808"/>
      <c r="V206" s="809">
        <f t="shared" si="43"/>
        <v>0</v>
      </c>
      <c r="W206" s="809">
        <f t="shared" si="44"/>
        <v>0</v>
      </c>
      <c r="X206" s="809">
        <f t="shared" si="45"/>
        <v>0</v>
      </c>
      <c r="Y206" s="148">
        <v>57</v>
      </c>
      <c r="Z206" s="816"/>
      <c r="AA206" s="148"/>
    </row>
    <row r="207" spans="1:27" s="136" customFormat="1">
      <c r="A207" s="473">
        <v>42364</v>
      </c>
      <c r="B207" s="862"/>
      <c r="C207" s="862"/>
      <c r="D207" s="808"/>
      <c r="E207" s="809">
        <v>1100</v>
      </c>
      <c r="F207" s="810"/>
      <c r="G207" s="809">
        <v>200</v>
      </c>
      <c r="H207" s="809"/>
      <c r="I207" s="809">
        <v>1</v>
      </c>
      <c r="J207" s="810"/>
      <c r="K207" s="809">
        <v>175</v>
      </c>
      <c r="L207" s="809"/>
      <c r="M207" s="809"/>
      <c r="N207" s="809"/>
      <c r="O207" s="809"/>
      <c r="P207" s="809"/>
      <c r="Q207" s="809"/>
      <c r="R207" s="809"/>
      <c r="S207" s="808"/>
      <c r="T207" s="863"/>
      <c r="U207" s="808"/>
      <c r="V207" s="809">
        <f t="shared" si="43"/>
        <v>0</v>
      </c>
      <c r="W207" s="809">
        <f t="shared" si="44"/>
        <v>0</v>
      </c>
      <c r="X207" s="809">
        <f t="shared" si="45"/>
        <v>0</v>
      </c>
      <c r="Y207" s="148">
        <v>57</v>
      </c>
      <c r="Z207" s="816"/>
      <c r="AA207" s="148"/>
    </row>
    <row r="208" spans="1:27" s="136" customFormat="1">
      <c r="A208" s="473">
        <v>42365</v>
      </c>
      <c r="B208" s="862"/>
      <c r="C208" s="862"/>
      <c r="D208" s="808"/>
      <c r="E208" s="809">
        <v>1100</v>
      </c>
      <c r="F208" s="810"/>
      <c r="G208" s="809">
        <v>200</v>
      </c>
      <c r="H208" s="809"/>
      <c r="I208" s="809">
        <v>1</v>
      </c>
      <c r="J208" s="810"/>
      <c r="K208" s="809">
        <v>175</v>
      </c>
      <c r="L208" s="809"/>
      <c r="M208" s="809"/>
      <c r="N208" s="809"/>
      <c r="O208" s="809"/>
      <c r="P208" s="809"/>
      <c r="Q208" s="809"/>
      <c r="R208" s="809"/>
      <c r="S208" s="808"/>
      <c r="T208" s="863"/>
      <c r="U208" s="808"/>
      <c r="V208" s="809">
        <f t="shared" si="43"/>
        <v>0</v>
      </c>
      <c r="W208" s="809">
        <f t="shared" si="44"/>
        <v>0</v>
      </c>
      <c r="X208" s="809">
        <f t="shared" si="45"/>
        <v>0</v>
      </c>
      <c r="Y208" s="148">
        <v>57</v>
      </c>
      <c r="Z208" s="816"/>
      <c r="AA208" s="148"/>
    </row>
    <row r="209" spans="1:54" s="136" customFormat="1">
      <c r="A209" s="473">
        <v>42366</v>
      </c>
      <c r="B209" s="862"/>
      <c r="C209" s="862"/>
      <c r="D209" s="808"/>
      <c r="E209" s="809">
        <v>1100</v>
      </c>
      <c r="F209" s="810"/>
      <c r="G209" s="809">
        <v>200</v>
      </c>
      <c r="H209" s="809"/>
      <c r="I209" s="809">
        <v>1</v>
      </c>
      <c r="J209" s="810"/>
      <c r="K209" s="809">
        <v>175</v>
      </c>
      <c r="L209" s="809"/>
      <c r="M209" s="809"/>
      <c r="N209" s="809"/>
      <c r="O209" s="809"/>
      <c r="P209" s="809"/>
      <c r="Q209" s="809"/>
      <c r="R209" s="809"/>
      <c r="S209" s="808"/>
      <c r="T209" s="863"/>
      <c r="U209" s="808"/>
      <c r="V209" s="809">
        <f t="shared" si="43"/>
        <v>0</v>
      </c>
      <c r="W209" s="809">
        <f t="shared" si="44"/>
        <v>0</v>
      </c>
      <c r="X209" s="809">
        <f t="shared" si="45"/>
        <v>0</v>
      </c>
      <c r="Y209" s="148">
        <v>57</v>
      </c>
      <c r="Z209" s="816"/>
      <c r="AA209" s="148"/>
    </row>
    <row r="210" spans="1:54" s="136" customFormat="1">
      <c r="A210" s="473">
        <v>42367</v>
      </c>
      <c r="B210" s="862"/>
      <c r="C210" s="862"/>
      <c r="D210" s="808"/>
      <c r="E210" s="809">
        <v>1100</v>
      </c>
      <c r="F210" s="810"/>
      <c r="G210" s="809">
        <v>200</v>
      </c>
      <c r="H210" s="809"/>
      <c r="I210" s="809">
        <v>1</v>
      </c>
      <c r="J210" s="810"/>
      <c r="K210" s="809">
        <v>175</v>
      </c>
      <c r="L210" s="809"/>
      <c r="M210" s="809"/>
      <c r="N210" s="809"/>
      <c r="O210" s="809"/>
      <c r="P210" s="809"/>
      <c r="Q210" s="809"/>
      <c r="R210" s="809"/>
      <c r="S210" s="808"/>
      <c r="T210" s="863"/>
      <c r="U210" s="808"/>
      <c r="V210" s="809">
        <f t="shared" si="43"/>
        <v>0</v>
      </c>
      <c r="W210" s="809">
        <f t="shared" si="44"/>
        <v>0</v>
      </c>
      <c r="X210" s="809">
        <f t="shared" si="45"/>
        <v>0</v>
      </c>
      <c r="Y210" s="148">
        <v>57</v>
      </c>
      <c r="Z210" s="816"/>
      <c r="AA210" s="148"/>
    </row>
    <row r="211" spans="1:54" s="136" customFormat="1">
      <c r="A211" s="473">
        <v>42368</v>
      </c>
      <c r="B211" s="862"/>
      <c r="C211" s="862"/>
      <c r="D211" s="808"/>
      <c r="E211" s="809">
        <v>1100</v>
      </c>
      <c r="F211" s="810"/>
      <c r="G211" s="809">
        <v>200</v>
      </c>
      <c r="H211" s="809"/>
      <c r="I211" s="809">
        <v>1</v>
      </c>
      <c r="J211" s="810"/>
      <c r="K211" s="809">
        <v>175</v>
      </c>
      <c r="L211" s="809"/>
      <c r="M211" s="809"/>
      <c r="N211" s="809"/>
      <c r="O211" s="809"/>
      <c r="P211" s="809"/>
      <c r="Q211" s="809"/>
      <c r="R211" s="809"/>
      <c r="S211" s="808"/>
      <c r="T211" s="863"/>
      <c r="U211" s="808"/>
      <c r="V211" s="809">
        <f t="shared" si="43"/>
        <v>0</v>
      </c>
      <c r="W211" s="809">
        <f t="shared" si="44"/>
        <v>0</v>
      </c>
      <c r="X211" s="809">
        <f t="shared" si="45"/>
        <v>0</v>
      </c>
      <c r="Y211" s="148">
        <v>57</v>
      </c>
      <c r="Z211" s="816"/>
      <c r="AA211" s="148"/>
    </row>
    <row r="212" spans="1:54">
      <c r="A212" s="473">
        <v>42369</v>
      </c>
      <c r="B212" s="862"/>
      <c r="C212" s="862"/>
      <c r="D212" s="808">
        <v>0.5</v>
      </c>
      <c r="E212" s="809">
        <v>1100</v>
      </c>
      <c r="F212" s="810"/>
      <c r="G212" s="809">
        <v>200</v>
      </c>
      <c r="H212" s="809"/>
      <c r="I212" s="809">
        <v>1</v>
      </c>
      <c r="J212" s="810"/>
      <c r="K212" s="809">
        <v>175</v>
      </c>
      <c r="L212" s="809"/>
      <c r="M212" s="809"/>
      <c r="N212" s="809"/>
      <c r="O212" s="809"/>
      <c r="P212" s="809"/>
      <c r="Q212" s="809"/>
      <c r="R212" s="809"/>
      <c r="S212" s="808"/>
      <c r="T212" s="863"/>
      <c r="U212" s="808"/>
      <c r="V212" s="809">
        <f t="shared" si="43"/>
        <v>550</v>
      </c>
      <c r="W212" s="809">
        <f t="shared" si="44"/>
        <v>27.5</v>
      </c>
      <c r="X212" s="809">
        <f t="shared" si="45"/>
        <v>577.5</v>
      </c>
      <c r="Y212" s="148">
        <v>57</v>
      </c>
      <c r="Z212" s="816"/>
      <c r="AA212" s="148"/>
      <c r="AB212" s="136"/>
      <c r="AC212" s="136"/>
      <c r="AD212" s="136"/>
      <c r="AE212" s="136"/>
      <c r="AF212" s="136"/>
      <c r="AG212" s="136"/>
      <c r="AH212" s="136"/>
      <c r="AI212" s="136"/>
      <c r="AJ212" s="136"/>
      <c r="AK212" s="136"/>
      <c r="AL212" s="136"/>
      <c r="AM212" s="136"/>
      <c r="AN212" s="136"/>
      <c r="AO212" s="136"/>
      <c r="AP212" s="136"/>
      <c r="AQ212" s="136"/>
      <c r="AR212" s="136"/>
      <c r="AS212" s="136"/>
      <c r="AT212" s="136"/>
      <c r="AU212" s="136"/>
      <c r="AV212" s="136"/>
      <c r="AW212" s="136"/>
      <c r="AX212" s="136"/>
      <c r="AY212" s="136"/>
      <c r="AZ212" s="136"/>
      <c r="BA212" s="136"/>
      <c r="BB212" s="136"/>
    </row>
    <row r="1048246" spans="20:20">
      <c r="T1048246" s="38"/>
    </row>
  </sheetData>
  <autoFilter ref="A4:AB4"/>
  <phoneticPr fontId="3" type="noConversion"/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0"/>
  </sheetPr>
  <dimension ref="A1:Z1048297"/>
  <sheetViews>
    <sheetView topLeftCell="M1" workbookViewId="0">
      <pane ySplit="5" topLeftCell="A59" activePane="bottomLeft" state="frozen"/>
      <selection activeCell="G1" sqref="G1"/>
      <selection pane="bottomLeft" activeCell="A65" sqref="A65:XFD67"/>
    </sheetView>
  </sheetViews>
  <sheetFormatPr baseColWidth="10" defaultColWidth="8.83203125" defaultRowHeight="12" x14ac:dyDescent="0.75"/>
  <cols>
    <col min="1" max="1" width="11.6640625" style="71" bestFit="1" customWidth="1"/>
    <col min="2" max="2" width="9.5" style="46" bestFit="1" customWidth="1"/>
    <col min="3" max="3" width="11.83203125" style="53" customWidth="1"/>
    <col min="4" max="4" width="13.5" style="71" customWidth="1"/>
    <col min="5" max="5" width="8.83203125" style="71"/>
    <col min="6" max="6" width="8.83203125" style="25"/>
    <col min="7" max="7" width="8.83203125" style="107"/>
    <col min="8" max="9" width="8.83203125" style="25"/>
    <col min="10" max="10" width="10.33203125" style="25" bestFit="1" customWidth="1"/>
    <col min="11" max="11" width="12.33203125" style="30" customWidth="1"/>
    <col min="12" max="14" width="9.1640625" style="25" customWidth="1"/>
    <col min="15" max="15" width="7.83203125" style="25" customWidth="1"/>
    <col min="16" max="16" width="7" style="25" customWidth="1"/>
    <col min="17" max="17" width="12.6640625" style="25" customWidth="1"/>
    <col min="18" max="18" width="11.83203125" style="71" customWidth="1"/>
    <col min="19" max="19" width="10.1640625" style="28" customWidth="1"/>
    <col min="20" max="20" width="8.83203125" style="71"/>
    <col min="21" max="21" width="11.33203125" style="71" bestFit="1" customWidth="1"/>
    <col min="22" max="23" width="10.33203125" style="71" bestFit="1" customWidth="1"/>
    <col min="24" max="24" width="13.83203125" style="71" customWidth="1"/>
    <col min="25" max="25" width="14.5" style="71" customWidth="1"/>
    <col min="26" max="26" width="11.33203125" bestFit="1" customWidth="1"/>
  </cols>
  <sheetData>
    <row r="1" spans="1:25">
      <c r="A1" s="24"/>
      <c r="C1" s="42"/>
      <c r="D1" s="30"/>
      <c r="E1" s="30"/>
      <c r="G1" s="30"/>
      <c r="R1" s="30"/>
      <c r="T1" s="25"/>
      <c r="U1" s="25"/>
      <c r="V1" s="25"/>
      <c r="W1" s="25"/>
      <c r="X1" s="25"/>
    </row>
    <row r="2" spans="1:25">
      <c r="A2" s="39" t="s">
        <v>1096</v>
      </c>
      <c r="C2" s="42"/>
      <c r="D2" s="30"/>
      <c r="E2" s="30"/>
      <c r="G2" s="30"/>
      <c r="R2" s="30"/>
      <c r="T2" s="25"/>
      <c r="U2" s="25"/>
      <c r="V2" s="25"/>
      <c r="W2" s="25"/>
      <c r="X2" s="25"/>
    </row>
    <row r="3" spans="1:25">
      <c r="A3" s="24"/>
      <c r="C3" s="42"/>
      <c r="D3" s="30"/>
      <c r="E3" s="30"/>
      <c r="G3" s="30"/>
      <c r="R3" s="30"/>
      <c r="T3" s="25"/>
      <c r="U3" s="25"/>
      <c r="V3" s="25"/>
      <c r="W3" s="25"/>
      <c r="X3" s="25"/>
    </row>
    <row r="4" spans="1:25" ht="51.75" customHeight="1">
      <c r="A4" s="36" t="s">
        <v>0</v>
      </c>
      <c r="B4" s="47" t="s">
        <v>8</v>
      </c>
      <c r="C4" s="43" t="s">
        <v>18</v>
      </c>
      <c r="D4" s="41" t="s">
        <v>11</v>
      </c>
      <c r="E4" s="41" t="s">
        <v>48</v>
      </c>
      <c r="F4" s="40" t="s">
        <v>21</v>
      </c>
      <c r="G4" s="41" t="s">
        <v>46</v>
      </c>
      <c r="H4" s="40" t="s">
        <v>21</v>
      </c>
      <c r="I4" s="40" t="s">
        <v>47</v>
      </c>
      <c r="J4" s="40" t="s">
        <v>21</v>
      </c>
      <c r="K4" s="41" t="s">
        <v>49</v>
      </c>
      <c r="L4" s="40" t="s">
        <v>21</v>
      </c>
      <c r="M4" s="40" t="s">
        <v>130</v>
      </c>
      <c r="N4" s="40" t="s">
        <v>26</v>
      </c>
      <c r="O4" s="40" t="s">
        <v>354</v>
      </c>
      <c r="P4" s="40" t="s">
        <v>26</v>
      </c>
      <c r="Q4" s="40" t="s">
        <v>355</v>
      </c>
      <c r="R4" s="41" t="s">
        <v>17</v>
      </c>
      <c r="S4" s="45" t="s">
        <v>20</v>
      </c>
      <c r="T4" s="40" t="s">
        <v>12</v>
      </c>
      <c r="U4" s="40" t="s">
        <v>13</v>
      </c>
      <c r="V4" s="40" t="s">
        <v>14</v>
      </c>
      <c r="W4" s="40" t="s">
        <v>9</v>
      </c>
      <c r="X4" s="40" t="s">
        <v>15</v>
      </c>
      <c r="Y4" s="55" t="s">
        <v>16</v>
      </c>
    </row>
    <row r="5" spans="1:25">
      <c r="A5" s="1169"/>
      <c r="B5" s="1200"/>
      <c r="C5" s="1170"/>
      <c r="D5" s="1191"/>
      <c r="E5" s="1191"/>
      <c r="F5" s="1172"/>
      <c r="G5" s="1191"/>
      <c r="H5" s="1172"/>
      <c r="I5" s="1172"/>
      <c r="J5" s="1172"/>
      <c r="K5" s="1191"/>
      <c r="L5" s="1172"/>
      <c r="M5" s="1172"/>
      <c r="N5" s="1172"/>
      <c r="O5" s="1172"/>
      <c r="P5" s="1172"/>
      <c r="Q5" s="1172"/>
      <c r="R5" s="1191"/>
      <c r="S5" s="1192"/>
      <c r="T5" s="1172"/>
      <c r="U5" s="1172"/>
      <c r="V5" s="1172"/>
      <c r="W5" s="1172"/>
      <c r="X5" s="1172"/>
      <c r="Y5" s="57">
        <f>SUM(U6:U74)</f>
        <v>18298</v>
      </c>
    </row>
    <row r="6" spans="1:25">
      <c r="A6" s="26">
        <v>42145</v>
      </c>
      <c r="B6" s="113">
        <v>5581</v>
      </c>
      <c r="C6" s="44">
        <v>8</v>
      </c>
      <c r="D6" s="31"/>
      <c r="E6" s="35"/>
      <c r="F6" s="27">
        <v>75</v>
      </c>
      <c r="G6" s="35">
        <v>8</v>
      </c>
      <c r="H6" s="27">
        <v>105</v>
      </c>
      <c r="I6" s="35">
        <v>70</v>
      </c>
      <c r="J6" s="27">
        <v>1</v>
      </c>
      <c r="K6" s="31"/>
      <c r="L6" s="27">
        <v>0</v>
      </c>
      <c r="M6" s="27"/>
      <c r="N6" s="27">
        <v>0</v>
      </c>
      <c r="O6" s="27"/>
      <c r="P6" s="27">
        <v>0</v>
      </c>
      <c r="Q6" s="27"/>
      <c r="R6" s="99">
        <f>C6*F6</f>
        <v>600</v>
      </c>
      <c r="S6" s="38"/>
      <c r="T6" s="27">
        <f t="shared" ref="T6:T22" si="0">I6*J6</f>
        <v>70</v>
      </c>
      <c r="U6" s="27">
        <f t="shared" ref="U6:U22" si="1">(E6*F6)+(G6*H6)+(I6*J6)+(K6*L6)</f>
        <v>910</v>
      </c>
      <c r="V6" s="27">
        <f t="shared" ref="V6:V37" si="2">(U6*5%)</f>
        <v>45.5</v>
      </c>
      <c r="W6" s="27">
        <f t="shared" ref="W6:W37" si="3">SUM(U6+V6)</f>
        <v>955.5</v>
      </c>
      <c r="X6" s="31">
        <v>1192</v>
      </c>
      <c r="Y6" s="342"/>
    </row>
    <row r="7" spans="1:25">
      <c r="A7" s="26">
        <v>42146</v>
      </c>
      <c r="B7" s="113">
        <v>5582</v>
      </c>
      <c r="C7" s="44">
        <v>2</v>
      </c>
      <c r="D7" s="35"/>
      <c r="E7" s="35"/>
      <c r="F7" s="27">
        <v>75</v>
      </c>
      <c r="G7" s="35">
        <v>2</v>
      </c>
      <c r="H7" s="27">
        <v>105</v>
      </c>
      <c r="I7" s="35">
        <v>20</v>
      </c>
      <c r="J7" s="27">
        <v>1</v>
      </c>
      <c r="K7" s="31"/>
      <c r="L7" s="27">
        <v>0</v>
      </c>
      <c r="M7" s="27"/>
      <c r="N7" s="27">
        <v>0</v>
      </c>
      <c r="O7" s="27"/>
      <c r="P7" s="27">
        <v>0</v>
      </c>
      <c r="Q7" s="27">
        <f t="shared" ref="Q7:Q22" si="4">SUM(N7,L7,J7,F7)</f>
        <v>76</v>
      </c>
      <c r="R7" s="99">
        <f>C7*F7</f>
        <v>150</v>
      </c>
      <c r="S7" s="38"/>
      <c r="T7" s="27">
        <f t="shared" si="0"/>
        <v>20</v>
      </c>
      <c r="U7" s="27">
        <f t="shared" si="1"/>
        <v>230</v>
      </c>
      <c r="V7" s="27">
        <f t="shared" si="2"/>
        <v>11.5</v>
      </c>
      <c r="W7" s="27">
        <f t="shared" si="3"/>
        <v>241.5</v>
      </c>
      <c r="X7" s="31">
        <v>1192</v>
      </c>
      <c r="Y7" s="105"/>
    </row>
    <row r="8" spans="1:25">
      <c r="A8" s="34">
        <v>42149</v>
      </c>
      <c r="B8" s="114">
        <v>5421</v>
      </c>
      <c r="C8" s="44">
        <v>2</v>
      </c>
      <c r="D8" s="35"/>
      <c r="E8" s="35">
        <v>2</v>
      </c>
      <c r="F8" s="27">
        <v>75</v>
      </c>
      <c r="G8" s="35"/>
      <c r="H8" s="27">
        <v>105</v>
      </c>
      <c r="I8" s="35">
        <v>0</v>
      </c>
      <c r="J8" s="27">
        <v>1</v>
      </c>
      <c r="K8" s="31">
        <v>0.5</v>
      </c>
      <c r="L8" s="27">
        <v>75</v>
      </c>
      <c r="M8" s="27"/>
      <c r="N8" s="27">
        <v>0</v>
      </c>
      <c r="O8" s="27"/>
      <c r="P8" s="27">
        <v>0</v>
      </c>
      <c r="Q8" s="27">
        <f t="shared" si="4"/>
        <v>151</v>
      </c>
      <c r="R8" s="27">
        <f>(C8*F8)+(K8*L8)</f>
        <v>187.5</v>
      </c>
      <c r="S8" s="38"/>
      <c r="T8" s="27">
        <f t="shared" si="0"/>
        <v>0</v>
      </c>
      <c r="U8" s="27">
        <f t="shared" si="1"/>
        <v>187.5</v>
      </c>
      <c r="V8" s="27">
        <f t="shared" si="2"/>
        <v>9.375</v>
      </c>
      <c r="W8" s="27">
        <f t="shared" si="3"/>
        <v>196.875</v>
      </c>
      <c r="X8" s="31">
        <v>1192</v>
      </c>
      <c r="Y8" s="105"/>
    </row>
    <row r="9" spans="1:25">
      <c r="A9" s="34">
        <v>42149</v>
      </c>
      <c r="B9" s="113">
        <v>5584</v>
      </c>
      <c r="C9" s="44">
        <v>2</v>
      </c>
      <c r="D9" s="35"/>
      <c r="E9" s="35"/>
      <c r="F9" s="27">
        <v>75</v>
      </c>
      <c r="G9" s="35">
        <v>2</v>
      </c>
      <c r="H9" s="27">
        <v>105</v>
      </c>
      <c r="I9" s="35">
        <v>0</v>
      </c>
      <c r="J9" s="27">
        <v>1</v>
      </c>
      <c r="K9" s="31"/>
      <c r="L9" s="27">
        <v>0</v>
      </c>
      <c r="M9" s="27"/>
      <c r="N9" s="27">
        <v>0</v>
      </c>
      <c r="O9" s="27"/>
      <c r="P9" s="27">
        <v>0</v>
      </c>
      <c r="Q9" s="27">
        <f t="shared" si="4"/>
        <v>76</v>
      </c>
      <c r="R9" s="99">
        <f>C9*F9</f>
        <v>150</v>
      </c>
      <c r="S9" s="38"/>
      <c r="T9" s="27">
        <f t="shared" si="0"/>
        <v>0</v>
      </c>
      <c r="U9" s="27">
        <f t="shared" si="1"/>
        <v>210</v>
      </c>
      <c r="V9" s="27">
        <f t="shared" si="2"/>
        <v>10.5</v>
      </c>
      <c r="W9" s="27">
        <f t="shared" si="3"/>
        <v>220.5</v>
      </c>
      <c r="X9" s="31">
        <v>1192</v>
      </c>
      <c r="Y9" s="105"/>
    </row>
    <row r="10" spans="1:25">
      <c r="A10" s="26">
        <v>42150</v>
      </c>
      <c r="B10" s="114">
        <v>5370</v>
      </c>
      <c r="C10" s="44">
        <v>6</v>
      </c>
      <c r="D10" s="35"/>
      <c r="E10" s="35">
        <v>6</v>
      </c>
      <c r="F10" s="27">
        <v>75</v>
      </c>
      <c r="G10" s="35"/>
      <c r="H10" s="27">
        <v>105</v>
      </c>
      <c r="I10" s="35">
        <v>0</v>
      </c>
      <c r="J10" s="27">
        <v>1</v>
      </c>
      <c r="K10" s="31"/>
      <c r="L10" s="27">
        <v>75</v>
      </c>
      <c r="M10" s="27"/>
      <c r="N10" s="27">
        <v>0</v>
      </c>
      <c r="O10" s="27"/>
      <c r="P10" s="27">
        <v>0</v>
      </c>
      <c r="Q10" s="27">
        <f t="shared" si="4"/>
        <v>151</v>
      </c>
      <c r="R10" s="27">
        <f t="shared" ref="R10:R22" si="5">(C10*F10)+(K10*L10)</f>
        <v>450</v>
      </c>
      <c r="S10" s="38"/>
      <c r="T10" s="27">
        <f t="shared" si="0"/>
        <v>0</v>
      </c>
      <c r="U10" s="27">
        <f t="shared" si="1"/>
        <v>450</v>
      </c>
      <c r="V10" s="27">
        <f t="shared" si="2"/>
        <v>22.5</v>
      </c>
      <c r="W10" s="27">
        <f t="shared" si="3"/>
        <v>472.5</v>
      </c>
      <c r="X10" s="31">
        <v>1192</v>
      </c>
      <c r="Y10" s="105"/>
    </row>
    <row r="11" spans="1:25">
      <c r="A11" s="26">
        <v>42150</v>
      </c>
      <c r="B11" s="113">
        <v>5372</v>
      </c>
      <c r="C11" s="44">
        <v>1.5</v>
      </c>
      <c r="D11" s="35"/>
      <c r="E11" s="35">
        <v>1.5</v>
      </c>
      <c r="F11" s="27">
        <v>75</v>
      </c>
      <c r="G11" s="35"/>
      <c r="H11" s="27">
        <v>105</v>
      </c>
      <c r="I11" s="35">
        <v>0</v>
      </c>
      <c r="J11" s="27">
        <v>1</v>
      </c>
      <c r="K11" s="31"/>
      <c r="L11" s="27">
        <v>75</v>
      </c>
      <c r="M11" s="27"/>
      <c r="N11" s="27">
        <v>0</v>
      </c>
      <c r="O11" s="27"/>
      <c r="P11" s="27">
        <v>0</v>
      </c>
      <c r="Q11" s="27">
        <f t="shared" si="4"/>
        <v>151</v>
      </c>
      <c r="R11" s="27">
        <f t="shared" si="5"/>
        <v>112.5</v>
      </c>
      <c r="S11" s="38"/>
      <c r="T11" s="27">
        <f t="shared" si="0"/>
        <v>0</v>
      </c>
      <c r="U11" s="27">
        <f t="shared" si="1"/>
        <v>112.5</v>
      </c>
      <c r="V11" s="27">
        <f t="shared" si="2"/>
        <v>5.625</v>
      </c>
      <c r="W11" s="27">
        <f t="shared" si="3"/>
        <v>118.125</v>
      </c>
      <c r="X11" s="31">
        <v>1192</v>
      </c>
      <c r="Y11" s="105"/>
    </row>
    <row r="12" spans="1:25">
      <c r="A12" s="26">
        <v>42150</v>
      </c>
      <c r="B12" s="113">
        <v>5426</v>
      </c>
      <c r="C12" s="44">
        <v>3</v>
      </c>
      <c r="D12" s="35"/>
      <c r="E12" s="35">
        <v>3</v>
      </c>
      <c r="F12" s="27">
        <v>75</v>
      </c>
      <c r="G12" s="35"/>
      <c r="H12" s="27">
        <v>105</v>
      </c>
      <c r="I12" s="35"/>
      <c r="J12" s="27">
        <v>1</v>
      </c>
      <c r="K12" s="31">
        <v>1.5</v>
      </c>
      <c r="L12" s="27">
        <v>75</v>
      </c>
      <c r="M12" s="27"/>
      <c r="N12" s="27">
        <v>0</v>
      </c>
      <c r="O12" s="27"/>
      <c r="P12" s="27">
        <v>0</v>
      </c>
      <c r="Q12" s="27">
        <f t="shared" si="4"/>
        <v>151</v>
      </c>
      <c r="R12" s="27">
        <f t="shared" si="5"/>
        <v>337.5</v>
      </c>
      <c r="S12" s="38"/>
      <c r="T12" s="27">
        <f t="shared" si="0"/>
        <v>0</v>
      </c>
      <c r="U12" s="27">
        <f t="shared" si="1"/>
        <v>337.5</v>
      </c>
      <c r="V12" s="27">
        <f t="shared" si="2"/>
        <v>16.875</v>
      </c>
      <c r="W12" s="27">
        <f t="shared" si="3"/>
        <v>354.375</v>
      </c>
      <c r="X12" s="31">
        <v>1192</v>
      </c>
      <c r="Y12" s="105"/>
    </row>
    <row r="13" spans="1:25">
      <c r="A13" s="26">
        <v>42151</v>
      </c>
      <c r="B13" s="113">
        <v>5427</v>
      </c>
      <c r="C13" s="44">
        <v>6</v>
      </c>
      <c r="D13" s="35"/>
      <c r="E13" s="35">
        <v>6</v>
      </c>
      <c r="F13" s="27">
        <v>75</v>
      </c>
      <c r="G13" s="35"/>
      <c r="H13" s="27">
        <v>105</v>
      </c>
      <c r="I13" s="35"/>
      <c r="J13" s="27">
        <v>1</v>
      </c>
      <c r="K13" s="31"/>
      <c r="L13" s="27">
        <v>75</v>
      </c>
      <c r="M13" s="27"/>
      <c r="N13" s="27">
        <v>0</v>
      </c>
      <c r="O13" s="27"/>
      <c r="P13" s="27">
        <v>0</v>
      </c>
      <c r="Q13" s="27">
        <f t="shared" si="4"/>
        <v>151</v>
      </c>
      <c r="R13" s="27">
        <f t="shared" si="5"/>
        <v>450</v>
      </c>
      <c r="S13" s="38"/>
      <c r="T13" s="27">
        <f t="shared" si="0"/>
        <v>0</v>
      </c>
      <c r="U13" s="27">
        <f t="shared" si="1"/>
        <v>450</v>
      </c>
      <c r="V13" s="27">
        <f t="shared" si="2"/>
        <v>22.5</v>
      </c>
      <c r="W13" s="27">
        <f t="shared" si="3"/>
        <v>472.5</v>
      </c>
      <c r="X13" s="31">
        <v>1192</v>
      </c>
      <c r="Y13" s="343"/>
    </row>
    <row r="14" spans="1:25">
      <c r="A14" s="26">
        <v>42151</v>
      </c>
      <c r="B14" s="113">
        <v>5590</v>
      </c>
      <c r="C14" s="44">
        <v>6</v>
      </c>
      <c r="D14" s="35"/>
      <c r="E14" s="35"/>
      <c r="F14" s="27">
        <v>75</v>
      </c>
      <c r="G14" s="35">
        <v>6</v>
      </c>
      <c r="H14" s="27">
        <v>105</v>
      </c>
      <c r="I14" s="35">
        <v>22</v>
      </c>
      <c r="J14" s="27">
        <v>1</v>
      </c>
      <c r="K14" s="35"/>
      <c r="L14" s="27">
        <v>75</v>
      </c>
      <c r="M14" s="27"/>
      <c r="N14" s="27">
        <v>0</v>
      </c>
      <c r="O14" s="27"/>
      <c r="P14" s="27">
        <v>0</v>
      </c>
      <c r="Q14" s="27">
        <f t="shared" si="4"/>
        <v>151</v>
      </c>
      <c r="R14" s="27">
        <f t="shared" si="5"/>
        <v>450</v>
      </c>
      <c r="S14" s="38"/>
      <c r="T14" s="27">
        <f t="shared" si="0"/>
        <v>22</v>
      </c>
      <c r="U14" s="27">
        <f t="shared" si="1"/>
        <v>652</v>
      </c>
      <c r="V14" s="27">
        <f t="shared" si="2"/>
        <v>32.6</v>
      </c>
      <c r="W14" s="27">
        <f t="shared" si="3"/>
        <v>684.6</v>
      </c>
      <c r="X14" s="31">
        <v>1192</v>
      </c>
      <c r="Y14" s="105"/>
    </row>
    <row r="15" spans="1:25">
      <c r="A15" s="26">
        <v>42152</v>
      </c>
      <c r="B15" s="113">
        <v>5375</v>
      </c>
      <c r="C15" s="44">
        <v>4</v>
      </c>
      <c r="D15" s="35"/>
      <c r="E15" s="35">
        <v>4</v>
      </c>
      <c r="F15" s="27">
        <v>75</v>
      </c>
      <c r="G15" s="35"/>
      <c r="H15" s="27">
        <v>105</v>
      </c>
      <c r="I15" s="35"/>
      <c r="J15" s="27">
        <v>1</v>
      </c>
      <c r="K15" s="35"/>
      <c r="L15" s="27">
        <v>75</v>
      </c>
      <c r="M15" s="27"/>
      <c r="N15" s="27">
        <v>140</v>
      </c>
      <c r="O15" s="27"/>
      <c r="P15" s="27">
        <v>0</v>
      </c>
      <c r="Q15" s="27">
        <f t="shared" si="4"/>
        <v>291</v>
      </c>
      <c r="R15" s="27">
        <f t="shared" si="5"/>
        <v>300</v>
      </c>
      <c r="S15" s="38"/>
      <c r="T15" s="27">
        <f t="shared" si="0"/>
        <v>0</v>
      </c>
      <c r="U15" s="27">
        <f t="shared" si="1"/>
        <v>300</v>
      </c>
      <c r="V15" s="27">
        <f t="shared" si="2"/>
        <v>15</v>
      </c>
      <c r="W15" s="27">
        <f t="shared" si="3"/>
        <v>315</v>
      </c>
      <c r="X15" s="31">
        <v>1192</v>
      </c>
      <c r="Y15" s="105"/>
    </row>
    <row r="16" spans="1:25">
      <c r="A16" s="26">
        <v>42153</v>
      </c>
      <c r="B16" s="113">
        <v>5376</v>
      </c>
      <c r="C16" s="44">
        <v>1</v>
      </c>
      <c r="D16" s="35"/>
      <c r="E16" s="35">
        <v>1</v>
      </c>
      <c r="F16" s="27">
        <v>75</v>
      </c>
      <c r="G16" s="35"/>
      <c r="H16" s="27">
        <v>105</v>
      </c>
      <c r="I16" s="35"/>
      <c r="J16" s="27">
        <v>1</v>
      </c>
      <c r="K16" s="35"/>
      <c r="L16" s="27">
        <v>75</v>
      </c>
      <c r="M16" s="27"/>
      <c r="N16" s="27">
        <v>140</v>
      </c>
      <c r="O16" s="27"/>
      <c r="P16" s="27">
        <v>0</v>
      </c>
      <c r="Q16" s="27">
        <f t="shared" si="4"/>
        <v>291</v>
      </c>
      <c r="R16" s="27">
        <f t="shared" si="5"/>
        <v>75</v>
      </c>
      <c r="S16" s="38"/>
      <c r="T16" s="27">
        <f t="shared" si="0"/>
        <v>0</v>
      </c>
      <c r="U16" s="27">
        <f t="shared" si="1"/>
        <v>75</v>
      </c>
      <c r="V16" s="27">
        <f t="shared" si="2"/>
        <v>3.75</v>
      </c>
      <c r="W16" s="27">
        <f t="shared" si="3"/>
        <v>78.75</v>
      </c>
      <c r="X16" s="31">
        <v>1192</v>
      </c>
      <c r="Y16" s="105"/>
    </row>
    <row r="17" spans="1:26">
      <c r="A17" s="26">
        <v>42156</v>
      </c>
      <c r="B17" s="113">
        <v>5378</v>
      </c>
      <c r="C17" s="44">
        <v>0.5</v>
      </c>
      <c r="D17" s="35"/>
      <c r="E17" s="35">
        <v>0.5</v>
      </c>
      <c r="F17" s="27">
        <v>75</v>
      </c>
      <c r="G17" s="35"/>
      <c r="H17" s="27">
        <v>105</v>
      </c>
      <c r="I17" s="35"/>
      <c r="J17" s="27">
        <v>1</v>
      </c>
      <c r="K17" s="35"/>
      <c r="L17" s="27">
        <v>75</v>
      </c>
      <c r="M17" s="27"/>
      <c r="N17" s="27">
        <v>140</v>
      </c>
      <c r="O17" s="27"/>
      <c r="P17" s="27">
        <v>0</v>
      </c>
      <c r="Q17" s="27">
        <f t="shared" si="4"/>
        <v>291</v>
      </c>
      <c r="R17" s="27">
        <f t="shared" si="5"/>
        <v>37.5</v>
      </c>
      <c r="S17" s="38"/>
      <c r="T17" s="27">
        <f t="shared" si="0"/>
        <v>0</v>
      </c>
      <c r="U17" s="27">
        <f t="shared" si="1"/>
        <v>37.5</v>
      </c>
      <c r="V17" s="27">
        <f t="shared" si="2"/>
        <v>1.875</v>
      </c>
      <c r="W17" s="27">
        <f t="shared" si="3"/>
        <v>39.375</v>
      </c>
      <c r="X17" s="31">
        <v>1192</v>
      </c>
      <c r="Y17" s="105"/>
      <c r="Z17" s="37"/>
    </row>
    <row r="18" spans="1:26">
      <c r="A18" s="26">
        <v>42157</v>
      </c>
      <c r="B18" s="113">
        <v>5380</v>
      </c>
      <c r="C18" s="44">
        <v>2</v>
      </c>
      <c r="D18" s="35"/>
      <c r="E18" s="35">
        <v>2</v>
      </c>
      <c r="F18" s="27">
        <v>75</v>
      </c>
      <c r="G18" s="35"/>
      <c r="H18" s="27">
        <v>105</v>
      </c>
      <c r="I18" s="35"/>
      <c r="J18" s="27">
        <v>1</v>
      </c>
      <c r="K18" s="35"/>
      <c r="L18" s="27">
        <v>75</v>
      </c>
      <c r="M18" s="27"/>
      <c r="N18" s="27">
        <v>140</v>
      </c>
      <c r="O18" s="27"/>
      <c r="P18" s="27">
        <v>0</v>
      </c>
      <c r="Q18" s="27">
        <f t="shared" si="4"/>
        <v>291</v>
      </c>
      <c r="R18" s="27">
        <f t="shared" si="5"/>
        <v>150</v>
      </c>
      <c r="S18" s="38"/>
      <c r="T18" s="27">
        <f t="shared" si="0"/>
        <v>0</v>
      </c>
      <c r="U18" s="27">
        <f t="shared" si="1"/>
        <v>150</v>
      </c>
      <c r="V18" s="27">
        <f t="shared" si="2"/>
        <v>7.5</v>
      </c>
      <c r="W18" s="27">
        <f t="shared" si="3"/>
        <v>157.5</v>
      </c>
      <c r="X18" s="31">
        <v>1192</v>
      </c>
      <c r="Y18" s="105"/>
      <c r="Z18" s="68"/>
    </row>
    <row r="19" spans="1:26">
      <c r="A19" s="26">
        <v>42160</v>
      </c>
      <c r="B19" s="113">
        <v>5383</v>
      </c>
      <c r="C19" s="44">
        <v>3</v>
      </c>
      <c r="D19" s="35"/>
      <c r="E19" s="35">
        <v>3</v>
      </c>
      <c r="F19" s="27">
        <v>75</v>
      </c>
      <c r="G19" s="35"/>
      <c r="H19" s="27">
        <v>105</v>
      </c>
      <c r="I19" s="35"/>
      <c r="J19" s="27">
        <v>1</v>
      </c>
      <c r="K19" s="35"/>
      <c r="L19" s="27">
        <v>75</v>
      </c>
      <c r="M19" s="27"/>
      <c r="N19" s="27">
        <v>140</v>
      </c>
      <c r="O19" s="27"/>
      <c r="P19" s="27">
        <v>0</v>
      </c>
      <c r="Q19" s="27">
        <f t="shared" si="4"/>
        <v>291</v>
      </c>
      <c r="R19" s="27">
        <f t="shared" si="5"/>
        <v>225</v>
      </c>
      <c r="S19" s="38"/>
      <c r="T19" s="27">
        <f t="shared" si="0"/>
        <v>0</v>
      </c>
      <c r="U19" s="27">
        <f t="shared" si="1"/>
        <v>225</v>
      </c>
      <c r="V19" s="27">
        <f t="shared" si="2"/>
        <v>11.25</v>
      </c>
      <c r="W19" s="27">
        <f t="shared" si="3"/>
        <v>236.25</v>
      </c>
      <c r="X19" s="31">
        <v>1192</v>
      </c>
      <c r="Y19" s="105"/>
    </row>
    <row r="20" spans="1:26">
      <c r="A20" s="26">
        <v>42163</v>
      </c>
      <c r="B20" s="113">
        <v>5386</v>
      </c>
      <c r="C20" s="44">
        <v>2</v>
      </c>
      <c r="D20" s="35"/>
      <c r="E20" s="35">
        <v>2</v>
      </c>
      <c r="F20" s="27">
        <v>75</v>
      </c>
      <c r="G20" s="35"/>
      <c r="H20" s="27">
        <v>105</v>
      </c>
      <c r="I20" s="35"/>
      <c r="J20" s="27">
        <v>1</v>
      </c>
      <c r="K20" s="35"/>
      <c r="L20" s="27">
        <v>75</v>
      </c>
      <c r="M20" s="27"/>
      <c r="N20" s="27">
        <v>140</v>
      </c>
      <c r="O20" s="27"/>
      <c r="P20" s="27">
        <v>0</v>
      </c>
      <c r="Q20" s="27">
        <f t="shared" si="4"/>
        <v>291</v>
      </c>
      <c r="R20" s="27">
        <f t="shared" si="5"/>
        <v>150</v>
      </c>
      <c r="S20" s="38"/>
      <c r="T20" s="27">
        <f t="shared" si="0"/>
        <v>0</v>
      </c>
      <c r="U20" s="27">
        <f t="shared" si="1"/>
        <v>150</v>
      </c>
      <c r="V20" s="27">
        <f t="shared" si="2"/>
        <v>7.5</v>
      </c>
      <c r="W20" s="27">
        <f t="shared" si="3"/>
        <v>157.5</v>
      </c>
      <c r="X20" s="31">
        <v>1192</v>
      </c>
      <c r="Y20" s="105"/>
    </row>
    <row r="21" spans="1:26">
      <c r="A21" s="26">
        <v>42163</v>
      </c>
      <c r="B21" s="113">
        <v>5604</v>
      </c>
      <c r="C21" s="44">
        <v>5</v>
      </c>
      <c r="D21" s="35"/>
      <c r="E21" s="35"/>
      <c r="F21" s="27">
        <v>75</v>
      </c>
      <c r="G21" s="35">
        <v>5</v>
      </c>
      <c r="H21" s="27">
        <v>105</v>
      </c>
      <c r="I21" s="35">
        <v>123</v>
      </c>
      <c r="J21" s="27">
        <v>1</v>
      </c>
      <c r="K21" s="35"/>
      <c r="L21" s="27">
        <v>75</v>
      </c>
      <c r="M21" s="27"/>
      <c r="N21" s="27">
        <v>140</v>
      </c>
      <c r="O21" s="27"/>
      <c r="P21" s="27">
        <v>0</v>
      </c>
      <c r="Q21" s="27">
        <f t="shared" si="4"/>
        <v>291</v>
      </c>
      <c r="R21" s="27">
        <f t="shared" si="5"/>
        <v>375</v>
      </c>
      <c r="S21" s="38"/>
      <c r="T21" s="27">
        <f t="shared" si="0"/>
        <v>123</v>
      </c>
      <c r="U21" s="27">
        <f t="shared" si="1"/>
        <v>648</v>
      </c>
      <c r="V21" s="27">
        <f t="shared" si="2"/>
        <v>32.4</v>
      </c>
      <c r="W21" s="27">
        <f t="shared" si="3"/>
        <v>680.4</v>
      </c>
      <c r="X21" s="31">
        <v>1192</v>
      </c>
      <c r="Y21" s="105"/>
    </row>
    <row r="22" spans="1:26">
      <c r="A22" s="26">
        <v>42164</v>
      </c>
      <c r="B22" s="113">
        <v>5606</v>
      </c>
      <c r="C22" s="44">
        <v>9</v>
      </c>
      <c r="D22" s="35"/>
      <c r="E22" s="35"/>
      <c r="F22" s="27">
        <v>75</v>
      </c>
      <c r="G22" s="35">
        <v>9</v>
      </c>
      <c r="H22" s="27">
        <v>105</v>
      </c>
      <c r="I22" s="35">
        <v>167</v>
      </c>
      <c r="J22" s="27">
        <v>1</v>
      </c>
      <c r="K22" s="50"/>
      <c r="L22" s="27">
        <v>75</v>
      </c>
      <c r="M22" s="27"/>
      <c r="N22" s="27">
        <v>140</v>
      </c>
      <c r="O22" s="27"/>
      <c r="P22" s="27">
        <v>0</v>
      </c>
      <c r="Q22" s="27">
        <f t="shared" si="4"/>
        <v>291</v>
      </c>
      <c r="R22" s="27">
        <f t="shared" si="5"/>
        <v>675</v>
      </c>
      <c r="S22" s="38"/>
      <c r="T22" s="27">
        <f t="shared" si="0"/>
        <v>167</v>
      </c>
      <c r="U22" s="27">
        <f t="shared" si="1"/>
        <v>1112</v>
      </c>
      <c r="V22" s="27">
        <f t="shared" si="2"/>
        <v>55.6</v>
      </c>
      <c r="W22" s="27">
        <f t="shared" si="3"/>
        <v>1167.5999999999999</v>
      </c>
      <c r="X22" s="31">
        <v>1192</v>
      </c>
      <c r="Y22" s="104"/>
      <c r="Z22" s="37"/>
    </row>
    <row r="23" spans="1:26">
      <c r="A23" s="26">
        <v>42165</v>
      </c>
      <c r="B23" s="114">
        <v>5608</v>
      </c>
      <c r="C23" s="44">
        <v>4</v>
      </c>
      <c r="D23" s="31"/>
      <c r="E23" s="31"/>
      <c r="F23" s="27">
        <v>75</v>
      </c>
      <c r="G23" s="31">
        <v>4</v>
      </c>
      <c r="H23" s="27">
        <v>105</v>
      </c>
      <c r="I23" s="31">
        <v>93</v>
      </c>
      <c r="J23" s="27">
        <v>1</v>
      </c>
      <c r="K23" s="27"/>
      <c r="L23" s="27">
        <v>75</v>
      </c>
      <c r="M23" s="27"/>
      <c r="N23" s="27">
        <v>140</v>
      </c>
      <c r="O23" s="27"/>
      <c r="P23" s="27"/>
      <c r="Q23" s="27"/>
      <c r="R23" s="27"/>
      <c r="S23" s="38"/>
      <c r="T23" s="27"/>
      <c r="U23" s="27">
        <f>(E23*F23)+(G23*H23)+(I23*J23)+(K23*L23)+(M23*N23)</f>
        <v>513</v>
      </c>
      <c r="V23" s="27">
        <f t="shared" si="2"/>
        <v>25.650000000000002</v>
      </c>
      <c r="W23" s="27">
        <f t="shared" si="3"/>
        <v>538.65</v>
      </c>
      <c r="X23" s="31">
        <v>1205</v>
      </c>
      <c r="Y23" s="105"/>
    </row>
    <row r="24" spans="1:26">
      <c r="A24" s="26">
        <v>42166</v>
      </c>
      <c r="B24" s="113">
        <v>5390</v>
      </c>
      <c r="C24" s="44">
        <v>4</v>
      </c>
      <c r="D24" s="31"/>
      <c r="E24" s="35">
        <v>4</v>
      </c>
      <c r="F24" s="27">
        <v>75</v>
      </c>
      <c r="G24" s="35"/>
      <c r="H24" s="27">
        <v>105</v>
      </c>
      <c r="I24" s="35"/>
      <c r="J24" s="27">
        <v>1</v>
      </c>
      <c r="K24" s="50"/>
      <c r="L24" s="27">
        <v>75</v>
      </c>
      <c r="M24" s="27"/>
      <c r="N24" s="27">
        <v>140</v>
      </c>
      <c r="O24" s="27"/>
      <c r="P24" s="27">
        <v>0</v>
      </c>
      <c r="Q24" s="27">
        <f>SUM(N24,L24,J24,F24)</f>
        <v>291</v>
      </c>
      <c r="R24" s="27">
        <f>(C24*F24)+(K24*L24)</f>
        <v>300</v>
      </c>
      <c r="S24" s="38"/>
      <c r="T24" s="27">
        <f>I24*J24</f>
        <v>0</v>
      </c>
      <c r="U24" s="27">
        <f>(E24*F24)+(G24*H24)+(I24*J24)+(K24*L24)</f>
        <v>300</v>
      </c>
      <c r="V24" s="27">
        <f t="shared" si="2"/>
        <v>15</v>
      </c>
      <c r="W24" s="27">
        <f t="shared" si="3"/>
        <v>315</v>
      </c>
      <c r="X24" s="31">
        <v>1194</v>
      </c>
      <c r="Y24" s="105"/>
      <c r="Z24" s="68"/>
    </row>
    <row r="25" spans="1:26">
      <c r="A25" s="26">
        <v>42167</v>
      </c>
      <c r="B25" s="113">
        <v>5387</v>
      </c>
      <c r="C25" s="44">
        <v>4</v>
      </c>
      <c r="D25" s="31"/>
      <c r="E25" s="35">
        <v>1</v>
      </c>
      <c r="F25" s="27">
        <v>75</v>
      </c>
      <c r="G25" s="35"/>
      <c r="H25" s="27">
        <v>105</v>
      </c>
      <c r="I25" s="35"/>
      <c r="J25" s="27">
        <v>1</v>
      </c>
      <c r="K25" s="103" t="s">
        <v>91</v>
      </c>
      <c r="L25" s="27">
        <v>75</v>
      </c>
      <c r="M25" s="27"/>
      <c r="N25" s="27">
        <v>140</v>
      </c>
      <c r="O25" s="27"/>
      <c r="P25" s="27">
        <v>0</v>
      </c>
      <c r="Q25" s="27">
        <f>SUM(N25,L25,J25,F25)</f>
        <v>291</v>
      </c>
      <c r="R25" s="27">
        <f>(C25*F25)+(K25*L25)</f>
        <v>525</v>
      </c>
      <c r="S25" s="38"/>
      <c r="T25" s="27">
        <f>I25*J25</f>
        <v>0</v>
      </c>
      <c r="U25" s="27">
        <f>(E25*F25)+(G25*H25)+(I25*J25)+(K25*L25)</f>
        <v>300</v>
      </c>
      <c r="V25" s="27">
        <f t="shared" si="2"/>
        <v>15</v>
      </c>
      <c r="W25" s="27">
        <f t="shared" si="3"/>
        <v>315</v>
      </c>
      <c r="X25" s="31">
        <v>1194</v>
      </c>
      <c r="Y25" s="105"/>
    </row>
    <row r="26" spans="1:26">
      <c r="A26" s="26">
        <v>42167</v>
      </c>
      <c r="B26" s="114">
        <v>5444</v>
      </c>
      <c r="C26" s="44">
        <v>1</v>
      </c>
      <c r="D26" s="31"/>
      <c r="E26" s="35">
        <v>1</v>
      </c>
      <c r="F26" s="27">
        <v>75</v>
      </c>
      <c r="G26" s="35"/>
      <c r="H26" s="27">
        <v>105</v>
      </c>
      <c r="I26" s="35"/>
      <c r="J26" s="27">
        <v>1</v>
      </c>
      <c r="K26" s="27"/>
      <c r="L26" s="27">
        <v>75</v>
      </c>
      <c r="M26" s="27"/>
      <c r="N26" s="27">
        <v>140</v>
      </c>
      <c r="O26" s="27"/>
      <c r="P26" s="27">
        <v>0</v>
      </c>
      <c r="Q26" s="27">
        <f>SUM(N26,L26,J26,F26)</f>
        <v>291</v>
      </c>
      <c r="R26" s="27">
        <f>(C26*F26)+(K26*L26)</f>
        <v>75</v>
      </c>
      <c r="S26" s="38"/>
      <c r="T26" s="27">
        <f>I26*J26</f>
        <v>0</v>
      </c>
      <c r="U26" s="27">
        <f>(E26*F26)+(G26*H26)+(I26*J26)+(K26*L26)</f>
        <v>75</v>
      </c>
      <c r="V26" s="27">
        <f t="shared" si="2"/>
        <v>3.75</v>
      </c>
      <c r="W26" s="27">
        <f t="shared" si="3"/>
        <v>78.75</v>
      </c>
      <c r="X26" s="31">
        <v>1194</v>
      </c>
      <c r="Y26" s="104"/>
    </row>
    <row r="27" spans="1:26">
      <c r="A27" s="63">
        <v>42167</v>
      </c>
      <c r="B27" s="114">
        <v>5613</v>
      </c>
      <c r="C27" s="31">
        <v>1.5</v>
      </c>
      <c r="D27" s="31"/>
      <c r="E27" s="31"/>
      <c r="F27" s="27">
        <v>75</v>
      </c>
      <c r="G27" s="31">
        <v>1.5</v>
      </c>
      <c r="H27" s="27">
        <v>105</v>
      </c>
      <c r="I27" s="31">
        <v>11</v>
      </c>
      <c r="J27" s="27">
        <v>1</v>
      </c>
      <c r="K27" s="27"/>
      <c r="L27" s="27">
        <v>75</v>
      </c>
      <c r="M27" s="27"/>
      <c r="N27" s="27">
        <v>140</v>
      </c>
      <c r="O27" s="27"/>
      <c r="P27" s="27"/>
      <c r="Q27" s="27"/>
      <c r="R27" s="27"/>
      <c r="S27" s="38"/>
      <c r="T27" s="27"/>
      <c r="U27" s="27">
        <f>(E27*F27)+(G27*H27)+(I27*J27)+(K27*L27)+(M27*N27)</f>
        <v>168.5</v>
      </c>
      <c r="V27" s="27">
        <f t="shared" si="2"/>
        <v>8.4250000000000007</v>
      </c>
      <c r="W27" s="27">
        <f t="shared" si="3"/>
        <v>176.92500000000001</v>
      </c>
      <c r="X27" s="31">
        <v>1205</v>
      </c>
      <c r="Y27" s="105"/>
    </row>
    <row r="28" spans="1:26">
      <c r="A28" s="63">
        <v>42170</v>
      </c>
      <c r="B28" s="114">
        <v>5445</v>
      </c>
      <c r="C28" s="52">
        <v>2</v>
      </c>
      <c r="D28" s="64"/>
      <c r="E28" s="66">
        <v>1</v>
      </c>
      <c r="F28" s="27">
        <v>75</v>
      </c>
      <c r="G28" s="66"/>
      <c r="H28" s="27">
        <v>105</v>
      </c>
      <c r="I28" s="35"/>
      <c r="J28" s="27">
        <v>1</v>
      </c>
      <c r="K28" s="102" t="s">
        <v>73</v>
      </c>
      <c r="L28" s="27">
        <v>75</v>
      </c>
      <c r="M28" s="27"/>
      <c r="N28" s="27">
        <v>140</v>
      </c>
      <c r="O28" s="27"/>
      <c r="P28" s="27">
        <v>0</v>
      </c>
      <c r="Q28" s="27">
        <f>SUM(N28,L28,J28,F28)</f>
        <v>291</v>
      </c>
      <c r="R28" s="27">
        <f>(C28*F28)+(K28*L28)</f>
        <v>225</v>
      </c>
      <c r="S28" s="38"/>
      <c r="T28" s="27">
        <f>I28*J28</f>
        <v>0</v>
      </c>
      <c r="U28" s="27">
        <f>(E28*F28)+(G28*H28)+(I28*J28)+(K28*L28)</f>
        <v>150</v>
      </c>
      <c r="V28" s="27">
        <f t="shared" si="2"/>
        <v>7.5</v>
      </c>
      <c r="W28" s="27">
        <f t="shared" si="3"/>
        <v>157.5</v>
      </c>
      <c r="X28" s="31">
        <v>1194</v>
      </c>
      <c r="Y28" s="105"/>
    </row>
    <row r="29" spans="1:26">
      <c r="A29" s="63">
        <v>42174</v>
      </c>
      <c r="B29" s="114">
        <v>5393</v>
      </c>
      <c r="C29" s="52">
        <v>2</v>
      </c>
      <c r="D29" s="64"/>
      <c r="E29" s="66">
        <v>2</v>
      </c>
      <c r="F29" s="27">
        <v>75</v>
      </c>
      <c r="G29" s="66"/>
      <c r="H29" s="27">
        <v>105</v>
      </c>
      <c r="I29" s="35"/>
      <c r="J29" s="27">
        <v>1</v>
      </c>
      <c r="K29" s="50"/>
      <c r="L29" s="27">
        <v>75</v>
      </c>
      <c r="M29" s="27">
        <v>1</v>
      </c>
      <c r="N29" s="27">
        <v>140</v>
      </c>
      <c r="O29" s="27"/>
      <c r="P29" s="27"/>
      <c r="Q29" s="27"/>
      <c r="R29" s="27"/>
      <c r="S29" s="38"/>
      <c r="T29" s="27"/>
      <c r="U29" s="27">
        <f>(E29*F29)+(G29*H29)+(I29*J29)+(K29*L29)+(M29*N29)</f>
        <v>290</v>
      </c>
      <c r="V29" s="27">
        <f t="shared" si="2"/>
        <v>14.5</v>
      </c>
      <c r="W29" s="27">
        <f t="shared" si="3"/>
        <v>304.5</v>
      </c>
      <c r="X29" s="31">
        <v>1204</v>
      </c>
      <c r="Y29" s="58"/>
    </row>
    <row r="30" spans="1:26">
      <c r="A30" s="63">
        <v>42177</v>
      </c>
      <c r="B30" s="113">
        <v>5397</v>
      </c>
      <c r="C30" s="52"/>
      <c r="D30" s="64"/>
      <c r="E30" s="66">
        <v>3</v>
      </c>
      <c r="F30" s="27">
        <v>75</v>
      </c>
      <c r="G30" s="66"/>
      <c r="H30" s="27">
        <v>105</v>
      </c>
      <c r="I30" s="35"/>
      <c r="J30" s="27">
        <v>1</v>
      </c>
      <c r="K30" s="50"/>
      <c r="L30" s="27">
        <v>75</v>
      </c>
      <c r="M30" s="50"/>
      <c r="N30" s="27">
        <v>140</v>
      </c>
      <c r="O30" s="31"/>
      <c r="P30" s="27"/>
      <c r="Q30" s="27"/>
      <c r="R30" s="31"/>
      <c r="S30" s="38"/>
      <c r="T30" s="64"/>
      <c r="U30" s="27">
        <f>(E30*F30)+(G30*H30)+(I30*J30)+(K30*L30)+(M30*N30)+(105*O30)</f>
        <v>225</v>
      </c>
      <c r="V30" s="27">
        <f t="shared" si="2"/>
        <v>11.25</v>
      </c>
      <c r="W30" s="27">
        <f t="shared" si="3"/>
        <v>236.25</v>
      </c>
      <c r="X30" s="31">
        <v>1204</v>
      </c>
      <c r="Y30" s="341"/>
    </row>
    <row r="31" spans="1:26">
      <c r="A31" s="63">
        <v>42177</v>
      </c>
      <c r="B31" s="113">
        <v>5615</v>
      </c>
      <c r="C31" s="31">
        <v>2</v>
      </c>
      <c r="D31" s="31"/>
      <c r="E31" s="31"/>
      <c r="F31" s="27">
        <v>75</v>
      </c>
      <c r="G31" s="31">
        <v>2</v>
      </c>
      <c r="H31" s="27">
        <v>105</v>
      </c>
      <c r="I31" s="31">
        <v>28</v>
      </c>
      <c r="J31" s="27">
        <v>1</v>
      </c>
      <c r="K31" s="27"/>
      <c r="L31" s="27">
        <v>75</v>
      </c>
      <c r="M31" s="27"/>
      <c r="N31" s="27">
        <v>140</v>
      </c>
      <c r="O31" s="27"/>
      <c r="P31" s="27"/>
      <c r="Q31" s="27"/>
      <c r="R31" s="27"/>
      <c r="S31" s="38"/>
      <c r="T31" s="27"/>
      <c r="U31" s="27">
        <f t="shared" ref="U31:U50" si="6">(E31*F31)+(G31*H31)+(I31*J31)+(K31*L31)+(M31*N31)</f>
        <v>238</v>
      </c>
      <c r="V31" s="27">
        <f t="shared" si="2"/>
        <v>11.9</v>
      </c>
      <c r="W31" s="27">
        <f t="shared" si="3"/>
        <v>249.9</v>
      </c>
      <c r="X31" s="31">
        <v>1205</v>
      </c>
      <c r="Y31" s="337"/>
    </row>
    <row r="32" spans="1:26">
      <c r="A32" s="63">
        <v>42178</v>
      </c>
      <c r="B32" s="114">
        <v>5399</v>
      </c>
      <c r="C32" s="52">
        <v>2</v>
      </c>
      <c r="D32" s="64"/>
      <c r="E32" s="66">
        <v>1</v>
      </c>
      <c r="F32" s="27">
        <v>75</v>
      </c>
      <c r="G32" s="66"/>
      <c r="H32" s="27">
        <v>105</v>
      </c>
      <c r="I32" s="35"/>
      <c r="J32" s="27">
        <v>1</v>
      </c>
      <c r="K32" s="50">
        <v>1</v>
      </c>
      <c r="L32" s="27">
        <v>75</v>
      </c>
      <c r="M32" s="27"/>
      <c r="N32" s="27">
        <v>140</v>
      </c>
      <c r="O32" s="27"/>
      <c r="P32" s="27">
        <v>0</v>
      </c>
      <c r="Q32" s="27">
        <f>SUM(N32,L32,J32,F32)</f>
        <v>291</v>
      </c>
      <c r="R32" s="27">
        <f>(C32*F32)+(K32*L32)</f>
        <v>225</v>
      </c>
      <c r="S32" s="38"/>
      <c r="T32" s="27">
        <f>I32*J32</f>
        <v>0</v>
      </c>
      <c r="U32" s="27">
        <f t="shared" si="6"/>
        <v>150</v>
      </c>
      <c r="V32" s="27">
        <f t="shared" si="2"/>
        <v>7.5</v>
      </c>
      <c r="W32" s="27">
        <f t="shared" si="3"/>
        <v>157.5</v>
      </c>
      <c r="X32" s="31">
        <v>1209</v>
      </c>
    </row>
    <row r="33" spans="1:26">
      <c r="A33" s="63">
        <v>42178</v>
      </c>
      <c r="B33" s="113">
        <v>5617</v>
      </c>
      <c r="C33" s="31">
        <v>2</v>
      </c>
      <c r="D33" s="31"/>
      <c r="E33" s="31"/>
      <c r="F33" s="27">
        <v>75</v>
      </c>
      <c r="G33" s="31">
        <v>2</v>
      </c>
      <c r="H33" s="27">
        <v>105</v>
      </c>
      <c r="I33" s="31"/>
      <c r="J33" s="27">
        <v>1</v>
      </c>
      <c r="K33" s="27"/>
      <c r="L33" s="27">
        <v>75</v>
      </c>
      <c r="M33" s="27"/>
      <c r="N33" s="27">
        <v>140</v>
      </c>
      <c r="O33" s="27"/>
      <c r="P33" s="27"/>
      <c r="Q33" s="27"/>
      <c r="R33" s="27"/>
      <c r="S33" s="38"/>
      <c r="T33" s="27"/>
      <c r="U33" s="27">
        <f t="shared" si="6"/>
        <v>210</v>
      </c>
      <c r="V33" s="27">
        <f t="shared" si="2"/>
        <v>10.5</v>
      </c>
      <c r="W33" s="27">
        <f t="shared" si="3"/>
        <v>220.5</v>
      </c>
      <c r="X33" s="31">
        <v>1205</v>
      </c>
    </row>
    <row r="34" spans="1:26">
      <c r="A34" s="67">
        <v>42179</v>
      </c>
      <c r="B34" s="113">
        <v>5620</v>
      </c>
      <c r="C34" s="31">
        <v>2</v>
      </c>
      <c r="D34" s="31"/>
      <c r="E34" s="31"/>
      <c r="F34" s="27">
        <v>75</v>
      </c>
      <c r="G34" s="31">
        <v>2</v>
      </c>
      <c r="H34" s="27">
        <v>105</v>
      </c>
      <c r="I34" s="31">
        <v>11</v>
      </c>
      <c r="J34" s="27">
        <v>1</v>
      </c>
      <c r="K34" s="27"/>
      <c r="L34" s="27">
        <v>75</v>
      </c>
      <c r="M34" s="27"/>
      <c r="N34" s="27">
        <v>140</v>
      </c>
      <c r="O34" s="27"/>
      <c r="P34" s="27"/>
      <c r="Q34" s="27"/>
      <c r="R34" s="27"/>
      <c r="S34" s="38"/>
      <c r="T34" s="27"/>
      <c r="U34" s="27">
        <f t="shared" si="6"/>
        <v>221</v>
      </c>
      <c r="V34" s="27">
        <f t="shared" si="2"/>
        <v>11.05</v>
      </c>
      <c r="W34" s="27">
        <f t="shared" si="3"/>
        <v>232.05</v>
      </c>
      <c r="X34" s="31">
        <v>1205</v>
      </c>
    </row>
    <row r="35" spans="1:26">
      <c r="A35" s="63">
        <v>42180</v>
      </c>
      <c r="B35" s="113">
        <v>5622</v>
      </c>
      <c r="C35" s="31">
        <v>2</v>
      </c>
      <c r="D35" s="31"/>
      <c r="E35" s="31"/>
      <c r="F35" s="27">
        <v>75</v>
      </c>
      <c r="G35" s="31">
        <v>2</v>
      </c>
      <c r="H35" s="27">
        <v>105</v>
      </c>
      <c r="I35" s="31"/>
      <c r="J35" s="27">
        <v>1</v>
      </c>
      <c r="K35" s="27"/>
      <c r="L35" s="27">
        <v>75</v>
      </c>
      <c r="M35" s="27"/>
      <c r="N35" s="27">
        <v>140</v>
      </c>
      <c r="O35" s="27"/>
      <c r="P35" s="27"/>
      <c r="Q35" s="27"/>
      <c r="R35" s="27"/>
      <c r="S35" s="38"/>
      <c r="T35" s="27"/>
      <c r="U35" s="27">
        <f t="shared" si="6"/>
        <v>210</v>
      </c>
      <c r="V35" s="27">
        <f t="shared" si="2"/>
        <v>10.5</v>
      </c>
      <c r="W35" s="27">
        <f t="shared" si="3"/>
        <v>220.5</v>
      </c>
      <c r="X35" s="31">
        <v>1205</v>
      </c>
    </row>
    <row r="36" spans="1:26">
      <c r="A36" s="63">
        <v>42180</v>
      </c>
      <c r="B36" s="113">
        <v>5701</v>
      </c>
      <c r="C36" s="52">
        <v>6</v>
      </c>
      <c r="D36" s="64"/>
      <c r="E36" s="66">
        <v>6</v>
      </c>
      <c r="F36" s="27">
        <v>75</v>
      </c>
      <c r="G36" s="66"/>
      <c r="H36" s="27">
        <v>105</v>
      </c>
      <c r="I36" s="35"/>
      <c r="J36" s="27">
        <v>1</v>
      </c>
      <c r="K36" s="50"/>
      <c r="L36" s="27">
        <v>75</v>
      </c>
      <c r="M36" s="27"/>
      <c r="N36" s="27">
        <v>140</v>
      </c>
      <c r="O36" s="27"/>
      <c r="P36" s="27"/>
      <c r="Q36" s="27"/>
      <c r="R36" s="27"/>
      <c r="S36" s="38"/>
      <c r="T36" s="27"/>
      <c r="U36" s="27">
        <f t="shared" si="6"/>
        <v>450</v>
      </c>
      <c r="V36" s="27">
        <f t="shared" si="2"/>
        <v>22.5</v>
      </c>
      <c r="W36" s="27">
        <f t="shared" si="3"/>
        <v>472.5</v>
      </c>
      <c r="X36" s="31">
        <v>1204</v>
      </c>
    </row>
    <row r="37" spans="1:26">
      <c r="A37" s="63">
        <v>42181</v>
      </c>
      <c r="B37" s="113">
        <v>5626</v>
      </c>
      <c r="C37" s="31">
        <v>2</v>
      </c>
      <c r="D37" s="31"/>
      <c r="E37" s="31"/>
      <c r="F37" s="27">
        <v>75</v>
      </c>
      <c r="G37" s="31">
        <v>2</v>
      </c>
      <c r="H37" s="27">
        <v>105</v>
      </c>
      <c r="I37" s="31">
        <v>22</v>
      </c>
      <c r="J37" s="27">
        <v>1</v>
      </c>
      <c r="K37" s="27"/>
      <c r="L37" s="27">
        <v>75</v>
      </c>
      <c r="M37" s="27"/>
      <c r="N37" s="27">
        <v>140</v>
      </c>
      <c r="O37" s="27"/>
      <c r="P37" s="27"/>
      <c r="Q37" s="27"/>
      <c r="R37" s="31"/>
      <c r="S37" s="38"/>
      <c r="T37" s="64"/>
      <c r="U37" s="27">
        <f t="shared" si="6"/>
        <v>232</v>
      </c>
      <c r="V37" s="27">
        <f t="shared" si="2"/>
        <v>11.600000000000001</v>
      </c>
      <c r="W37" s="27">
        <f t="shared" si="3"/>
        <v>243.6</v>
      </c>
      <c r="X37" s="31">
        <v>1205</v>
      </c>
    </row>
    <row r="38" spans="1:26">
      <c r="A38" s="26">
        <v>42181</v>
      </c>
      <c r="B38" s="114">
        <v>5702</v>
      </c>
      <c r="C38" s="44">
        <v>3</v>
      </c>
      <c r="D38" s="31"/>
      <c r="E38" s="31">
        <v>3</v>
      </c>
      <c r="F38" s="27">
        <v>75</v>
      </c>
      <c r="G38" s="31"/>
      <c r="H38" s="27">
        <v>105</v>
      </c>
      <c r="I38" s="31"/>
      <c r="J38" s="27">
        <v>1</v>
      </c>
      <c r="K38" s="27"/>
      <c r="L38" s="27">
        <v>75</v>
      </c>
      <c r="M38" s="27"/>
      <c r="N38" s="27">
        <v>140</v>
      </c>
      <c r="O38" s="27"/>
      <c r="P38" s="27"/>
      <c r="Q38" s="27"/>
      <c r="R38" s="27"/>
      <c r="S38" s="38"/>
      <c r="T38" s="27"/>
      <c r="U38" s="27">
        <f t="shared" si="6"/>
        <v>225</v>
      </c>
      <c r="V38" s="27">
        <f t="shared" ref="V38:V67" si="7">(U38*5%)</f>
        <v>11.25</v>
      </c>
      <c r="W38" s="27">
        <f t="shared" ref="W38:W67" si="8">SUM(U38+V38)</f>
        <v>236.25</v>
      </c>
      <c r="X38" s="31">
        <v>1204</v>
      </c>
    </row>
    <row r="39" spans="1:26">
      <c r="A39" s="63">
        <v>42184</v>
      </c>
      <c r="B39" s="113">
        <v>5627</v>
      </c>
      <c r="C39" s="31">
        <v>8</v>
      </c>
      <c r="D39" s="31"/>
      <c r="E39" s="31"/>
      <c r="F39" s="27">
        <v>75</v>
      </c>
      <c r="G39" s="31">
        <v>8</v>
      </c>
      <c r="H39" s="27">
        <v>105</v>
      </c>
      <c r="I39" s="31">
        <v>56</v>
      </c>
      <c r="J39" s="27">
        <v>1</v>
      </c>
      <c r="K39" s="27"/>
      <c r="L39" s="27">
        <v>75</v>
      </c>
      <c r="M39" s="27"/>
      <c r="N39" s="27">
        <v>140</v>
      </c>
      <c r="O39" s="27"/>
      <c r="P39" s="27"/>
      <c r="Q39" s="27"/>
      <c r="R39" s="31"/>
      <c r="S39" s="38"/>
      <c r="T39" s="64"/>
      <c r="U39" s="27">
        <f t="shared" si="6"/>
        <v>896</v>
      </c>
      <c r="V39" s="27">
        <f t="shared" si="7"/>
        <v>44.800000000000004</v>
      </c>
      <c r="W39" s="27">
        <f t="shared" si="8"/>
        <v>940.8</v>
      </c>
      <c r="X39" s="31">
        <v>1205</v>
      </c>
    </row>
    <row r="40" spans="1:26">
      <c r="A40" s="26">
        <v>42184</v>
      </c>
      <c r="B40" s="114">
        <v>5704</v>
      </c>
      <c r="C40" s="44">
        <v>4</v>
      </c>
      <c r="D40" s="31"/>
      <c r="E40" s="31">
        <v>4</v>
      </c>
      <c r="F40" s="27">
        <v>75</v>
      </c>
      <c r="G40" s="31"/>
      <c r="H40" s="27">
        <v>105</v>
      </c>
      <c r="I40" s="31"/>
      <c r="J40" s="27">
        <v>1</v>
      </c>
      <c r="K40" s="27"/>
      <c r="L40" s="27">
        <v>75</v>
      </c>
      <c r="M40" s="27"/>
      <c r="N40" s="27">
        <v>140</v>
      </c>
      <c r="O40" s="27"/>
      <c r="P40" s="27"/>
      <c r="Q40" s="27"/>
      <c r="R40" s="27"/>
      <c r="S40" s="38"/>
      <c r="T40" s="27"/>
      <c r="U40" s="27">
        <f t="shared" si="6"/>
        <v>300</v>
      </c>
      <c r="V40" s="27">
        <f t="shared" si="7"/>
        <v>15</v>
      </c>
      <c r="W40" s="27">
        <f t="shared" si="8"/>
        <v>315</v>
      </c>
      <c r="X40" s="31">
        <v>1204</v>
      </c>
      <c r="Y40" s="341"/>
    </row>
    <row r="41" spans="1:26" s="2" customFormat="1">
      <c r="A41" s="63">
        <v>42185</v>
      </c>
      <c r="B41" s="113">
        <v>5629</v>
      </c>
      <c r="C41" s="31">
        <v>2</v>
      </c>
      <c r="D41" s="31"/>
      <c r="E41" s="31"/>
      <c r="F41" s="27">
        <v>75</v>
      </c>
      <c r="G41" s="31">
        <v>2</v>
      </c>
      <c r="H41" s="27">
        <v>105</v>
      </c>
      <c r="I41" s="31">
        <v>10</v>
      </c>
      <c r="J41" s="27">
        <v>1</v>
      </c>
      <c r="K41" s="27"/>
      <c r="L41" s="27">
        <v>75</v>
      </c>
      <c r="M41" s="27"/>
      <c r="N41" s="27">
        <v>140</v>
      </c>
      <c r="O41" s="27"/>
      <c r="P41" s="27"/>
      <c r="Q41" s="27"/>
      <c r="R41" s="31"/>
      <c r="S41" s="38"/>
      <c r="T41" s="64"/>
      <c r="U41" s="27">
        <f t="shared" si="6"/>
        <v>220</v>
      </c>
      <c r="V41" s="27">
        <f t="shared" si="7"/>
        <v>11</v>
      </c>
      <c r="W41" s="27">
        <f t="shared" si="8"/>
        <v>231</v>
      </c>
      <c r="X41" s="31">
        <v>1205</v>
      </c>
      <c r="Y41" s="341"/>
    </row>
    <row r="42" spans="1:26" s="2" customFormat="1">
      <c r="A42" s="258">
        <v>42191</v>
      </c>
      <c r="B42" s="260">
        <v>5631</v>
      </c>
      <c r="C42" s="261">
        <v>4</v>
      </c>
      <c r="D42" s="263"/>
      <c r="E42" s="264"/>
      <c r="F42" s="265">
        <v>75</v>
      </c>
      <c r="G42" s="264">
        <v>4</v>
      </c>
      <c r="H42" s="265">
        <v>105</v>
      </c>
      <c r="I42" s="266">
        <v>32</v>
      </c>
      <c r="J42" s="265">
        <v>1</v>
      </c>
      <c r="K42" s="267"/>
      <c r="L42" s="265">
        <v>75</v>
      </c>
      <c r="M42" s="265"/>
      <c r="N42" s="265">
        <v>140</v>
      </c>
      <c r="O42" s="265"/>
      <c r="P42" s="265"/>
      <c r="Q42" s="265"/>
      <c r="R42" s="263"/>
      <c r="S42" s="268"/>
      <c r="T42" s="269"/>
      <c r="U42" s="265">
        <f t="shared" si="6"/>
        <v>452</v>
      </c>
      <c r="V42" s="265">
        <f t="shared" si="7"/>
        <v>22.6</v>
      </c>
      <c r="W42" s="265">
        <f t="shared" si="8"/>
        <v>474.6</v>
      </c>
      <c r="X42" s="31">
        <v>1205</v>
      </c>
      <c r="Y42" s="313"/>
    </row>
    <row r="43" spans="1:26" s="2" customFormat="1">
      <c r="A43" s="318">
        <v>42192</v>
      </c>
      <c r="B43" s="260">
        <v>5633</v>
      </c>
      <c r="C43" s="326">
        <v>2</v>
      </c>
      <c r="D43" s="263"/>
      <c r="E43" s="264"/>
      <c r="F43" s="265">
        <v>75</v>
      </c>
      <c r="G43" s="264">
        <v>2</v>
      </c>
      <c r="H43" s="265">
        <v>105</v>
      </c>
      <c r="I43" s="266">
        <v>14</v>
      </c>
      <c r="J43" s="265">
        <v>1</v>
      </c>
      <c r="K43" s="267"/>
      <c r="L43" s="265">
        <v>75</v>
      </c>
      <c r="M43" s="265"/>
      <c r="N43" s="265">
        <v>140</v>
      </c>
      <c r="O43" s="265"/>
      <c r="P43" s="265"/>
      <c r="Q43" s="265"/>
      <c r="R43" s="263"/>
      <c r="S43" s="268"/>
      <c r="T43" s="269"/>
      <c r="U43" s="265">
        <f t="shared" si="6"/>
        <v>224</v>
      </c>
      <c r="V43" s="265">
        <f t="shared" si="7"/>
        <v>11.200000000000001</v>
      </c>
      <c r="W43" s="265">
        <f t="shared" si="8"/>
        <v>235.2</v>
      </c>
      <c r="X43" s="269">
        <v>1219</v>
      </c>
      <c r="Y43" s="313"/>
    </row>
    <row r="44" spans="1:26" s="2" customFormat="1">
      <c r="A44" s="318">
        <v>42193</v>
      </c>
      <c r="B44" s="260">
        <v>5634</v>
      </c>
      <c r="C44" s="326">
        <v>2</v>
      </c>
      <c r="D44" s="263"/>
      <c r="E44" s="264"/>
      <c r="F44" s="265">
        <v>75</v>
      </c>
      <c r="G44" s="264">
        <v>2</v>
      </c>
      <c r="H44" s="265">
        <v>105</v>
      </c>
      <c r="I44" s="266">
        <v>0</v>
      </c>
      <c r="J44" s="265">
        <v>1</v>
      </c>
      <c r="K44" s="266"/>
      <c r="L44" s="265">
        <v>75</v>
      </c>
      <c r="M44" s="265"/>
      <c r="N44" s="265">
        <v>140</v>
      </c>
      <c r="O44" s="265"/>
      <c r="P44" s="265"/>
      <c r="Q44" s="265"/>
      <c r="R44" s="263"/>
      <c r="S44" s="268"/>
      <c r="T44" s="269"/>
      <c r="U44" s="265">
        <f t="shared" si="6"/>
        <v>210</v>
      </c>
      <c r="V44" s="265">
        <f t="shared" si="7"/>
        <v>10.5</v>
      </c>
      <c r="W44" s="265">
        <f t="shared" si="8"/>
        <v>220.5</v>
      </c>
      <c r="X44" s="269">
        <v>1219</v>
      </c>
      <c r="Y44" s="313"/>
    </row>
    <row r="45" spans="1:26" s="2" customFormat="1">
      <c r="A45" s="318">
        <v>42194</v>
      </c>
      <c r="B45" s="260">
        <v>5635</v>
      </c>
      <c r="C45" s="326">
        <v>3</v>
      </c>
      <c r="D45" s="263"/>
      <c r="E45" s="264"/>
      <c r="F45" s="265">
        <v>75</v>
      </c>
      <c r="G45" s="264">
        <v>3</v>
      </c>
      <c r="H45" s="265">
        <v>105</v>
      </c>
      <c r="I45" s="266">
        <v>23</v>
      </c>
      <c r="J45" s="265">
        <v>1</v>
      </c>
      <c r="K45" s="266"/>
      <c r="L45" s="265">
        <v>75</v>
      </c>
      <c r="M45" s="265"/>
      <c r="N45" s="265">
        <v>140</v>
      </c>
      <c r="O45" s="265"/>
      <c r="P45" s="265"/>
      <c r="Q45" s="265"/>
      <c r="R45" s="263"/>
      <c r="S45" s="298"/>
      <c r="T45" s="269"/>
      <c r="U45" s="265">
        <f t="shared" si="6"/>
        <v>338</v>
      </c>
      <c r="V45" s="265">
        <f t="shared" si="7"/>
        <v>16.900000000000002</v>
      </c>
      <c r="W45" s="265">
        <f t="shared" si="8"/>
        <v>354.9</v>
      </c>
      <c r="X45" s="269">
        <v>1219</v>
      </c>
      <c r="Y45" s="341"/>
      <c r="Z45" s="314"/>
    </row>
    <row r="46" spans="1:26">
      <c r="A46" s="63">
        <v>42194</v>
      </c>
      <c r="B46" s="113">
        <v>7055</v>
      </c>
      <c r="C46" s="256">
        <f>1.5+1.5</f>
        <v>3</v>
      </c>
      <c r="D46" s="64"/>
      <c r="E46" s="66"/>
      <c r="F46" s="27">
        <v>75</v>
      </c>
      <c r="G46" s="256">
        <f>1.5+1.5</f>
        <v>3</v>
      </c>
      <c r="H46" s="27">
        <v>105</v>
      </c>
      <c r="I46" s="35">
        <v>26</v>
      </c>
      <c r="J46" s="27">
        <v>1</v>
      </c>
      <c r="K46" s="35"/>
      <c r="L46" s="27">
        <v>75</v>
      </c>
      <c r="M46" s="27"/>
      <c r="N46" s="27">
        <v>140</v>
      </c>
      <c r="O46" s="27"/>
      <c r="P46" s="27"/>
      <c r="Q46" s="27"/>
      <c r="R46" s="31"/>
      <c r="S46" s="38"/>
      <c r="T46" s="64"/>
      <c r="U46" s="27">
        <f t="shared" si="6"/>
        <v>341</v>
      </c>
      <c r="V46" s="27">
        <f t="shared" si="7"/>
        <v>17.05</v>
      </c>
      <c r="W46" s="27">
        <f t="shared" si="8"/>
        <v>358.05</v>
      </c>
      <c r="X46" s="64">
        <v>1232</v>
      </c>
      <c r="Y46" s="341"/>
    </row>
    <row r="47" spans="1:26">
      <c r="A47" s="63">
        <v>42198</v>
      </c>
      <c r="B47" s="113">
        <v>7058</v>
      </c>
      <c r="C47" s="256">
        <v>3</v>
      </c>
      <c r="D47" s="64"/>
      <c r="E47" s="66"/>
      <c r="F47" s="27">
        <v>75</v>
      </c>
      <c r="G47" s="66">
        <v>3</v>
      </c>
      <c r="H47" s="27">
        <v>105</v>
      </c>
      <c r="I47" s="35"/>
      <c r="J47" s="27">
        <v>1</v>
      </c>
      <c r="K47" s="31"/>
      <c r="L47" s="27">
        <v>75</v>
      </c>
      <c r="M47" s="27"/>
      <c r="N47" s="27">
        <v>140</v>
      </c>
      <c r="O47" s="27"/>
      <c r="P47" s="27"/>
      <c r="Q47" s="27"/>
      <c r="R47" s="31"/>
      <c r="S47" s="38"/>
      <c r="T47" s="64"/>
      <c r="U47" s="27">
        <f t="shared" si="6"/>
        <v>315</v>
      </c>
      <c r="V47" s="27">
        <f t="shared" si="7"/>
        <v>15.75</v>
      </c>
      <c r="W47" s="27">
        <f t="shared" si="8"/>
        <v>330.75</v>
      </c>
      <c r="X47" s="64">
        <v>1232</v>
      </c>
      <c r="Y47" s="341"/>
    </row>
    <row r="48" spans="1:26">
      <c r="A48" s="63">
        <v>42200</v>
      </c>
      <c r="B48" s="113">
        <v>7063</v>
      </c>
      <c r="C48" s="256">
        <v>2</v>
      </c>
      <c r="D48" s="64"/>
      <c r="E48" s="66"/>
      <c r="F48" s="27">
        <v>75</v>
      </c>
      <c r="G48" s="66">
        <v>2</v>
      </c>
      <c r="H48" s="27">
        <v>105</v>
      </c>
      <c r="I48" s="35">
        <v>20</v>
      </c>
      <c r="J48" s="27">
        <v>1</v>
      </c>
      <c r="K48" s="35"/>
      <c r="L48" s="27">
        <v>75</v>
      </c>
      <c r="M48" s="27"/>
      <c r="N48" s="27">
        <v>140</v>
      </c>
      <c r="O48" s="27"/>
      <c r="P48" s="27"/>
      <c r="Q48" s="27"/>
      <c r="R48" s="31"/>
      <c r="S48" s="38"/>
      <c r="T48" s="64"/>
      <c r="U48" s="27">
        <f t="shared" si="6"/>
        <v>230</v>
      </c>
      <c r="V48" s="27">
        <f t="shared" si="7"/>
        <v>11.5</v>
      </c>
      <c r="W48" s="27">
        <f t="shared" si="8"/>
        <v>241.5</v>
      </c>
      <c r="X48" s="64">
        <v>1232</v>
      </c>
    </row>
    <row r="49" spans="1:25">
      <c r="A49" s="63">
        <v>42201</v>
      </c>
      <c r="B49" s="113">
        <v>7066</v>
      </c>
      <c r="C49" s="256">
        <v>1</v>
      </c>
      <c r="D49" s="64"/>
      <c r="E49" s="66"/>
      <c r="F49" s="27">
        <v>75</v>
      </c>
      <c r="G49" s="66">
        <v>1</v>
      </c>
      <c r="H49" s="27">
        <v>105</v>
      </c>
      <c r="I49" s="35"/>
      <c r="J49" s="27">
        <v>1</v>
      </c>
      <c r="K49" s="31"/>
      <c r="L49" s="27">
        <v>75</v>
      </c>
      <c r="M49" s="27"/>
      <c r="N49" s="27">
        <v>140</v>
      </c>
      <c r="O49" s="27"/>
      <c r="P49" s="27"/>
      <c r="Q49" s="27"/>
      <c r="R49" s="31"/>
      <c r="S49" s="38"/>
      <c r="T49" s="64"/>
      <c r="U49" s="27">
        <f t="shared" si="6"/>
        <v>105</v>
      </c>
      <c r="V49" s="27">
        <f t="shared" si="7"/>
        <v>5.25</v>
      </c>
      <c r="W49" s="27">
        <f t="shared" si="8"/>
        <v>110.25</v>
      </c>
      <c r="X49" s="64">
        <v>1232</v>
      </c>
    </row>
    <row r="50" spans="1:25">
      <c r="A50" s="63">
        <v>42205</v>
      </c>
      <c r="B50" s="113">
        <v>7075</v>
      </c>
      <c r="C50" s="256">
        <v>2</v>
      </c>
      <c r="D50" s="64"/>
      <c r="E50" s="66"/>
      <c r="F50" s="27">
        <v>75</v>
      </c>
      <c r="G50" s="66">
        <v>2.5</v>
      </c>
      <c r="H50" s="27">
        <v>105</v>
      </c>
      <c r="I50" s="31">
        <v>10</v>
      </c>
      <c r="J50" s="27">
        <v>1</v>
      </c>
      <c r="K50" s="27"/>
      <c r="L50" s="27">
        <v>75</v>
      </c>
      <c r="M50" s="27"/>
      <c r="N50" s="27">
        <v>140</v>
      </c>
      <c r="O50" s="27"/>
      <c r="P50" s="27"/>
      <c r="Q50" s="27"/>
      <c r="R50" s="31"/>
      <c r="S50" s="38"/>
      <c r="T50" s="64"/>
      <c r="U50" s="27">
        <f t="shared" si="6"/>
        <v>272.5</v>
      </c>
      <c r="V50" s="27">
        <f t="shared" si="7"/>
        <v>13.625</v>
      </c>
      <c r="W50" s="27">
        <f t="shared" si="8"/>
        <v>286.125</v>
      </c>
      <c r="X50" s="64">
        <v>1232</v>
      </c>
    </row>
    <row r="51" spans="1:25">
      <c r="A51" s="63">
        <v>42206</v>
      </c>
      <c r="B51" s="113">
        <v>7078</v>
      </c>
      <c r="C51" s="256"/>
      <c r="D51" s="64"/>
      <c r="E51" s="66"/>
      <c r="F51" s="27">
        <v>75</v>
      </c>
      <c r="G51" s="66">
        <v>3</v>
      </c>
      <c r="H51" s="27">
        <v>105</v>
      </c>
      <c r="I51" s="35">
        <v>63</v>
      </c>
      <c r="J51" s="27">
        <v>1</v>
      </c>
      <c r="K51" s="50"/>
      <c r="L51" s="27">
        <v>75</v>
      </c>
      <c r="M51" s="50"/>
      <c r="N51" s="27">
        <v>140</v>
      </c>
      <c r="O51" s="31">
        <v>1</v>
      </c>
      <c r="P51" s="27"/>
      <c r="Q51" s="31"/>
      <c r="R51" s="31"/>
      <c r="S51" s="38">
        <v>1</v>
      </c>
      <c r="T51" s="64">
        <v>63</v>
      </c>
      <c r="U51" s="27">
        <f>(E51*F51)+(G51*H51)+(I51*J51)+(K51*L51)+(M51*N51)+(105*O51)</f>
        <v>483</v>
      </c>
      <c r="V51" s="27">
        <f t="shared" si="7"/>
        <v>24.150000000000002</v>
      </c>
      <c r="W51" s="27">
        <f t="shared" si="8"/>
        <v>507.15</v>
      </c>
      <c r="X51" s="64">
        <v>1232</v>
      </c>
      <c r="Y51" s="341"/>
    </row>
    <row r="52" spans="1:25">
      <c r="A52" s="867">
        <v>42228</v>
      </c>
      <c r="B52" s="868">
        <v>7110</v>
      </c>
      <c r="C52" s="869"/>
      <c r="D52" s="776"/>
      <c r="E52" s="870">
        <v>1</v>
      </c>
      <c r="F52" s="27">
        <v>75</v>
      </c>
      <c r="G52" s="66"/>
      <c r="H52" s="27">
        <v>105</v>
      </c>
      <c r="I52" s="35"/>
      <c r="J52" s="27">
        <v>1</v>
      </c>
      <c r="K52" s="50"/>
      <c r="L52" s="27">
        <v>75</v>
      </c>
      <c r="M52" s="50"/>
      <c r="N52" s="27">
        <v>140</v>
      </c>
      <c r="O52" s="775"/>
      <c r="P52" s="774"/>
      <c r="Q52" s="775"/>
      <c r="R52" s="775"/>
      <c r="S52" s="871"/>
      <c r="T52" s="776"/>
      <c r="U52" s="27">
        <f>(E52*F52)+(G52*H52)+(I52*J52)+(K52*L52)+(M52*N52)+(105*O52)</f>
        <v>75</v>
      </c>
      <c r="V52" s="27">
        <f>(U52*5%)</f>
        <v>3.75</v>
      </c>
      <c r="W52" s="27">
        <f>SUM(U52+V52)</f>
        <v>78.75</v>
      </c>
      <c r="X52" s="64">
        <v>1232</v>
      </c>
    </row>
    <row r="53" spans="1:25">
      <c r="A53" s="63">
        <v>42207</v>
      </c>
      <c r="B53" s="113">
        <v>7081</v>
      </c>
      <c r="C53" s="256">
        <v>2</v>
      </c>
      <c r="D53" s="64"/>
      <c r="E53" s="66"/>
      <c r="F53" s="27">
        <v>75</v>
      </c>
      <c r="G53" s="66">
        <v>1.5</v>
      </c>
      <c r="H53" s="27">
        <v>105</v>
      </c>
      <c r="I53" s="35"/>
      <c r="J53" s="27">
        <v>1</v>
      </c>
      <c r="K53" s="50"/>
      <c r="L53" s="27">
        <v>75</v>
      </c>
      <c r="M53" s="27"/>
      <c r="N53" s="27">
        <v>140</v>
      </c>
      <c r="O53" s="27"/>
      <c r="P53" s="27"/>
      <c r="Q53" s="27"/>
      <c r="R53" s="31"/>
      <c r="S53" s="38"/>
      <c r="T53" s="64"/>
      <c r="U53" s="27">
        <f>(E53*F53)+(G53*H53)+(I53*J53)+(K53*L53)+(M53*N53)</f>
        <v>157.5</v>
      </c>
      <c r="V53" s="27">
        <f t="shared" si="7"/>
        <v>7.875</v>
      </c>
      <c r="W53" s="27">
        <f t="shared" si="8"/>
        <v>165.375</v>
      </c>
      <c r="X53" s="64">
        <v>1232</v>
      </c>
    </row>
    <row r="54" spans="1:25">
      <c r="A54" s="63">
        <v>42208</v>
      </c>
      <c r="B54" s="113">
        <v>7083</v>
      </c>
      <c r="C54" s="256">
        <v>1</v>
      </c>
      <c r="D54" s="64"/>
      <c r="E54" s="66"/>
      <c r="F54" s="27">
        <v>75</v>
      </c>
      <c r="G54" s="66">
        <v>1</v>
      </c>
      <c r="H54" s="27">
        <v>105</v>
      </c>
      <c r="I54" s="35">
        <v>10</v>
      </c>
      <c r="J54" s="27">
        <v>1</v>
      </c>
      <c r="K54" s="50"/>
      <c r="L54" s="27">
        <v>75</v>
      </c>
      <c r="M54" s="27"/>
      <c r="N54" s="27">
        <v>140</v>
      </c>
      <c r="O54" s="27"/>
      <c r="P54" s="27"/>
      <c r="Q54" s="27"/>
      <c r="R54" s="31"/>
      <c r="S54" s="38"/>
      <c r="T54" s="64"/>
      <c r="U54" s="27">
        <f>(E54*F54)+(G54*H54)+(I54*J54)+(K54*L54)+(M54*N54)</f>
        <v>115</v>
      </c>
      <c r="V54" s="27">
        <f t="shared" si="7"/>
        <v>5.75</v>
      </c>
      <c r="W54" s="27">
        <f t="shared" si="8"/>
        <v>120.75</v>
      </c>
      <c r="X54" s="64">
        <v>1232</v>
      </c>
    </row>
    <row r="55" spans="1:25">
      <c r="A55" s="67">
        <v>42212</v>
      </c>
      <c r="B55" s="113">
        <v>7089</v>
      </c>
      <c r="C55" s="256"/>
      <c r="D55" s="64"/>
      <c r="E55" s="66"/>
      <c r="F55" s="27">
        <v>75</v>
      </c>
      <c r="G55" s="66">
        <v>2</v>
      </c>
      <c r="H55" s="27">
        <v>105</v>
      </c>
      <c r="I55" s="35">
        <v>34</v>
      </c>
      <c r="J55" s="27">
        <v>1</v>
      </c>
      <c r="K55" s="50"/>
      <c r="L55" s="27">
        <v>75</v>
      </c>
      <c r="M55" s="50"/>
      <c r="N55" s="27">
        <v>140</v>
      </c>
      <c r="O55" s="27"/>
      <c r="P55" s="27"/>
      <c r="Q55" s="27"/>
      <c r="R55" s="31"/>
      <c r="S55" s="38"/>
      <c r="T55" s="64"/>
      <c r="U55" s="27">
        <f>(E55*F55)+(G55*H55)+(I55*J55)+(K55*L55)+(M55*N55)</f>
        <v>244</v>
      </c>
      <c r="V55" s="27">
        <f t="shared" si="7"/>
        <v>12.200000000000001</v>
      </c>
      <c r="W55" s="27">
        <f t="shared" si="8"/>
        <v>256.2</v>
      </c>
      <c r="X55" s="64">
        <v>1232</v>
      </c>
    </row>
    <row r="56" spans="1:25">
      <c r="A56" s="63">
        <v>42214</v>
      </c>
      <c r="B56" s="113">
        <v>7098</v>
      </c>
      <c r="C56" s="256"/>
      <c r="D56" s="64"/>
      <c r="E56" s="66"/>
      <c r="F56" s="27">
        <v>75</v>
      </c>
      <c r="G56" s="66"/>
      <c r="H56" s="27">
        <v>105</v>
      </c>
      <c r="I56" s="35">
        <v>34</v>
      </c>
      <c r="J56" s="27">
        <v>1</v>
      </c>
      <c r="K56" s="27"/>
      <c r="L56" s="27">
        <v>75</v>
      </c>
      <c r="M56" s="27"/>
      <c r="N56" s="27">
        <v>140</v>
      </c>
      <c r="O56" s="31">
        <v>3</v>
      </c>
      <c r="P56" s="27"/>
      <c r="Q56" s="31"/>
      <c r="R56" s="31"/>
      <c r="S56" s="38"/>
      <c r="T56" s="64">
        <v>34</v>
      </c>
      <c r="U56" s="27">
        <f t="shared" ref="U56:U61" si="9">(E56*F56)+(G56*H56)+(I56*J56)+(K56*L56)+(M56*N56)+(105*O56)</f>
        <v>349</v>
      </c>
      <c r="V56" s="27">
        <f t="shared" si="7"/>
        <v>17.45</v>
      </c>
      <c r="W56" s="27">
        <f t="shared" si="8"/>
        <v>366.45</v>
      </c>
      <c r="X56" s="64">
        <v>1232</v>
      </c>
      <c r="Y56" s="313"/>
    </row>
    <row r="57" spans="1:25">
      <c r="A57" s="318">
        <v>42215</v>
      </c>
      <c r="B57" s="260">
        <v>7003</v>
      </c>
      <c r="C57" s="326">
        <v>4</v>
      </c>
      <c r="D57" s="263"/>
      <c r="E57" s="264"/>
      <c r="F57" s="265">
        <v>75</v>
      </c>
      <c r="G57" s="264"/>
      <c r="H57" s="265">
        <v>105</v>
      </c>
      <c r="I57" s="266"/>
      <c r="J57" s="265">
        <v>1</v>
      </c>
      <c r="K57" s="266">
        <v>4</v>
      </c>
      <c r="L57" s="265">
        <v>75</v>
      </c>
      <c r="M57" s="265"/>
      <c r="N57" s="265">
        <v>140</v>
      </c>
      <c r="O57" s="265"/>
      <c r="P57" s="265"/>
      <c r="Q57" s="265"/>
      <c r="R57" s="263"/>
      <c r="S57" s="268"/>
      <c r="T57" s="269"/>
      <c r="U57" s="27">
        <f t="shared" si="9"/>
        <v>300</v>
      </c>
      <c r="V57" s="265">
        <f t="shared" si="7"/>
        <v>15</v>
      </c>
      <c r="W57" s="265">
        <f t="shared" si="8"/>
        <v>315</v>
      </c>
      <c r="X57" s="269">
        <v>1219</v>
      </c>
      <c r="Y57" s="341"/>
    </row>
    <row r="58" spans="1:25">
      <c r="A58" s="67">
        <v>42215</v>
      </c>
      <c r="B58" s="113">
        <v>7135</v>
      </c>
      <c r="C58" s="256"/>
      <c r="D58" s="64"/>
      <c r="E58" s="66"/>
      <c r="F58" s="27">
        <v>75</v>
      </c>
      <c r="G58" s="66">
        <v>2</v>
      </c>
      <c r="H58" s="27">
        <v>105</v>
      </c>
      <c r="I58" s="35"/>
      <c r="J58" s="27">
        <v>1</v>
      </c>
      <c r="K58" s="35"/>
      <c r="L58" s="27">
        <v>75</v>
      </c>
      <c r="M58" s="50"/>
      <c r="N58" s="27">
        <v>140</v>
      </c>
      <c r="O58" s="31"/>
      <c r="P58" s="27"/>
      <c r="Q58" s="31"/>
      <c r="R58" s="31"/>
      <c r="S58" s="38"/>
      <c r="T58" s="64"/>
      <c r="U58" s="27">
        <f t="shared" si="9"/>
        <v>210</v>
      </c>
      <c r="V58" s="27">
        <f t="shared" si="7"/>
        <v>10.5</v>
      </c>
      <c r="W58" s="27">
        <f t="shared" si="8"/>
        <v>220.5</v>
      </c>
      <c r="X58" s="64">
        <v>1235</v>
      </c>
      <c r="Y58" s="313"/>
    </row>
    <row r="59" spans="1:25">
      <c r="A59" s="318">
        <v>42216</v>
      </c>
      <c r="B59" s="260">
        <v>7005</v>
      </c>
      <c r="C59" s="326">
        <v>4</v>
      </c>
      <c r="D59" s="263"/>
      <c r="E59" s="264"/>
      <c r="F59" s="265">
        <v>75</v>
      </c>
      <c r="G59" s="264"/>
      <c r="H59" s="265">
        <v>105</v>
      </c>
      <c r="I59" s="266"/>
      <c r="J59" s="265">
        <v>1</v>
      </c>
      <c r="K59" s="266">
        <v>4</v>
      </c>
      <c r="L59" s="265">
        <v>75</v>
      </c>
      <c r="M59" s="265"/>
      <c r="N59" s="265">
        <v>140</v>
      </c>
      <c r="O59" s="265"/>
      <c r="P59" s="265"/>
      <c r="Q59" s="265"/>
      <c r="R59" s="263"/>
      <c r="S59" s="268"/>
      <c r="T59" s="269"/>
      <c r="U59" s="27">
        <f t="shared" si="9"/>
        <v>300</v>
      </c>
      <c r="V59" s="265">
        <f t="shared" si="7"/>
        <v>15</v>
      </c>
      <c r="W59" s="265">
        <f t="shared" si="8"/>
        <v>315</v>
      </c>
      <c r="X59" s="269">
        <v>1219</v>
      </c>
    </row>
    <row r="60" spans="1:25">
      <c r="A60" s="63">
        <v>42216</v>
      </c>
      <c r="B60" s="113">
        <v>7136</v>
      </c>
      <c r="C60" s="256"/>
      <c r="D60" s="64"/>
      <c r="E60" s="66"/>
      <c r="F60" s="27">
        <v>75</v>
      </c>
      <c r="G60" s="66">
        <v>3</v>
      </c>
      <c r="H60" s="27">
        <v>105</v>
      </c>
      <c r="I60" s="35">
        <v>22</v>
      </c>
      <c r="J60" s="27">
        <v>1</v>
      </c>
      <c r="K60" s="35"/>
      <c r="L60" s="27">
        <v>75</v>
      </c>
      <c r="M60" s="50"/>
      <c r="N60" s="27">
        <v>140</v>
      </c>
      <c r="O60" s="31"/>
      <c r="P60" s="27"/>
      <c r="Q60" s="31"/>
      <c r="R60" s="31"/>
      <c r="S60" s="38"/>
      <c r="T60" s="64"/>
      <c r="U60" s="27">
        <f t="shared" si="9"/>
        <v>337</v>
      </c>
      <c r="V60" s="27">
        <f t="shared" si="7"/>
        <v>16.850000000000001</v>
      </c>
      <c r="W60" s="27">
        <f t="shared" si="8"/>
        <v>353.85</v>
      </c>
      <c r="X60" s="64">
        <v>1235</v>
      </c>
    </row>
    <row r="61" spans="1:25">
      <c r="A61" s="63">
        <v>42220</v>
      </c>
      <c r="B61" s="113">
        <v>7139</v>
      </c>
      <c r="C61" s="256"/>
      <c r="D61" s="64"/>
      <c r="E61" s="66"/>
      <c r="F61" s="27">
        <v>75</v>
      </c>
      <c r="G61" s="66">
        <v>2</v>
      </c>
      <c r="H61" s="27">
        <v>105</v>
      </c>
      <c r="I61" s="35">
        <v>17</v>
      </c>
      <c r="J61" s="27">
        <v>1</v>
      </c>
      <c r="K61" s="35"/>
      <c r="L61" s="27">
        <v>75</v>
      </c>
      <c r="M61" s="50"/>
      <c r="N61" s="27">
        <v>140</v>
      </c>
      <c r="O61" s="31"/>
      <c r="P61" s="27"/>
      <c r="Q61" s="31"/>
      <c r="R61" s="31"/>
      <c r="S61" s="38"/>
      <c r="T61" s="64"/>
      <c r="U61" s="27">
        <f t="shared" si="9"/>
        <v>227</v>
      </c>
      <c r="V61" s="27">
        <f t="shared" si="7"/>
        <v>11.350000000000001</v>
      </c>
      <c r="W61" s="27">
        <f t="shared" si="8"/>
        <v>238.35</v>
      </c>
      <c r="X61" s="64">
        <v>1235</v>
      </c>
    </row>
    <row r="62" spans="1:25">
      <c r="A62" s="63">
        <v>42221</v>
      </c>
      <c r="B62" s="113">
        <v>7144</v>
      </c>
      <c r="C62" s="256"/>
      <c r="D62" s="64"/>
      <c r="E62" s="66"/>
      <c r="F62" s="27">
        <v>75</v>
      </c>
      <c r="G62" s="66">
        <v>4</v>
      </c>
      <c r="H62" s="27">
        <v>105</v>
      </c>
      <c r="I62" s="35">
        <v>43</v>
      </c>
      <c r="J62" s="27">
        <v>1</v>
      </c>
      <c r="K62" s="35"/>
      <c r="L62" s="27">
        <v>75</v>
      </c>
      <c r="M62" s="50"/>
      <c r="N62" s="27">
        <v>140</v>
      </c>
      <c r="O62" s="31"/>
      <c r="P62" s="27"/>
      <c r="Q62" s="31"/>
      <c r="R62" s="31"/>
      <c r="S62" s="38"/>
      <c r="T62" s="64"/>
      <c r="U62" s="27">
        <f>(E62*F62)+(G62*H62)+(I62*J62)+(K62*L62)+(M62*N62)+(105*O62)+(32*Q62)</f>
        <v>463</v>
      </c>
      <c r="V62" s="27">
        <f t="shared" si="7"/>
        <v>23.150000000000002</v>
      </c>
      <c r="W62" s="27">
        <f t="shared" si="8"/>
        <v>486.15</v>
      </c>
      <c r="X62" s="64">
        <v>1235</v>
      </c>
      <c r="Y62" s="58"/>
    </row>
    <row r="63" spans="1:25">
      <c r="A63" s="67">
        <v>42226</v>
      </c>
      <c r="B63" s="113">
        <v>5481</v>
      </c>
      <c r="C63" s="256"/>
      <c r="D63" s="64"/>
      <c r="E63" s="66"/>
      <c r="F63" s="27">
        <v>75</v>
      </c>
      <c r="G63" s="66"/>
      <c r="H63" s="27">
        <v>105</v>
      </c>
      <c r="I63" s="35"/>
      <c r="J63" s="27">
        <v>1</v>
      </c>
      <c r="K63" s="50"/>
      <c r="L63" s="27">
        <v>75</v>
      </c>
      <c r="M63" s="50"/>
      <c r="N63" s="27">
        <v>140</v>
      </c>
      <c r="O63" s="27"/>
      <c r="P63" s="27"/>
      <c r="Q63" s="31">
        <v>1</v>
      </c>
      <c r="R63" s="31"/>
      <c r="S63" s="38"/>
      <c r="T63" s="64"/>
      <c r="U63" s="27">
        <f>(E63*F63)+(G63*H63)+(I63*J63)+(K63*L63)+(M63*N63)+(105*O63)+(32*Q63)</f>
        <v>32</v>
      </c>
      <c r="V63" s="27">
        <f t="shared" si="7"/>
        <v>1.6</v>
      </c>
      <c r="W63" s="27">
        <f t="shared" si="8"/>
        <v>33.6</v>
      </c>
      <c r="X63" s="64">
        <v>1232</v>
      </c>
    </row>
    <row r="64" spans="1:25">
      <c r="A64" s="63">
        <v>42226</v>
      </c>
      <c r="B64" s="113">
        <v>7027</v>
      </c>
      <c r="C64" s="256"/>
      <c r="D64" s="64"/>
      <c r="E64" s="66">
        <v>1</v>
      </c>
      <c r="F64" s="27">
        <v>75</v>
      </c>
      <c r="G64" s="66"/>
      <c r="H64" s="27">
        <v>105</v>
      </c>
      <c r="I64" s="35"/>
      <c r="J64" s="27">
        <v>1</v>
      </c>
      <c r="K64" s="27"/>
      <c r="L64" s="27">
        <v>75</v>
      </c>
      <c r="M64" s="27"/>
      <c r="N64" s="27">
        <v>140</v>
      </c>
      <c r="O64" s="31"/>
      <c r="P64" s="27"/>
      <c r="Q64" s="27"/>
      <c r="R64" s="31"/>
      <c r="S64" s="38"/>
      <c r="T64" s="64"/>
      <c r="U64" s="27">
        <f>(E64*F64)+(G64*H64)+(I64*J64)+(K64*L64)+(M64*N64)+(105*O64)+(32*Q64)</f>
        <v>75</v>
      </c>
      <c r="V64" s="27">
        <f t="shared" si="7"/>
        <v>3.75</v>
      </c>
      <c r="W64" s="27">
        <f t="shared" si="8"/>
        <v>78.75</v>
      </c>
      <c r="X64" s="64">
        <v>1232</v>
      </c>
      <c r="Y64" s="341"/>
    </row>
    <row r="65" spans="1:25" s="2" customFormat="1">
      <c r="A65" s="773">
        <v>42264</v>
      </c>
      <c r="B65" s="933">
        <v>7314</v>
      </c>
      <c r="C65" s="934"/>
      <c r="D65" s="778"/>
      <c r="E65" s="777"/>
      <c r="F65" s="265">
        <v>75</v>
      </c>
      <c r="G65" s="264">
        <v>1</v>
      </c>
      <c r="H65" s="265">
        <v>105</v>
      </c>
      <c r="I65" s="266"/>
      <c r="J65" s="265">
        <v>1</v>
      </c>
      <c r="K65" s="265"/>
      <c r="L65" s="265">
        <v>75</v>
      </c>
      <c r="M65" s="265"/>
      <c r="N65" s="265">
        <v>140</v>
      </c>
      <c r="O65" s="935"/>
      <c r="P65" s="765"/>
      <c r="Q65" s="765"/>
      <c r="R65" s="935"/>
      <c r="S65" s="936"/>
      <c r="T65" s="778"/>
      <c r="U65" s="265">
        <f>(E65*F65)+(G65*H65)+(I65*J65)+(K65*L65)+(M65*N65)+(105*O65)+(32*Q65)</f>
        <v>105</v>
      </c>
      <c r="V65" s="265">
        <f>(U65*5%)</f>
        <v>5.25</v>
      </c>
      <c r="W65" s="265">
        <f>SUM(U65+V65)</f>
        <v>110.25</v>
      </c>
      <c r="X65" s="778">
        <v>1271</v>
      </c>
      <c r="Y65" s="316"/>
    </row>
    <row r="66" spans="1:25" s="2" customFormat="1">
      <c r="A66" s="318">
        <v>42298</v>
      </c>
      <c r="B66" s="260">
        <v>7558</v>
      </c>
      <c r="C66" s="326"/>
      <c r="D66" s="269"/>
      <c r="E66" s="264"/>
      <c r="F66" s="265">
        <v>75</v>
      </c>
      <c r="G66" s="264"/>
      <c r="H66" s="265">
        <v>105</v>
      </c>
      <c r="I66" s="266"/>
      <c r="J66" s="265">
        <v>1</v>
      </c>
      <c r="K66" s="266">
        <v>7</v>
      </c>
      <c r="L66" s="265">
        <v>75</v>
      </c>
      <c r="M66" s="267"/>
      <c r="N66" s="265">
        <v>140</v>
      </c>
      <c r="O66" s="263"/>
      <c r="P66" s="265"/>
      <c r="Q66" s="263"/>
      <c r="R66" s="263"/>
      <c r="S66" s="268"/>
      <c r="T66" s="269"/>
      <c r="U66" s="265">
        <f>(E66*F66)+(G66*H66)+(I66*J66)+(K66*L66)+(M66*N66)+(105*O66)</f>
        <v>525</v>
      </c>
      <c r="V66" s="265">
        <f t="shared" si="7"/>
        <v>26.25</v>
      </c>
      <c r="W66" s="265">
        <f t="shared" si="8"/>
        <v>551.25</v>
      </c>
      <c r="X66" s="269">
        <v>1301</v>
      </c>
      <c r="Y66" s="316"/>
    </row>
    <row r="67" spans="1:25" s="2" customFormat="1">
      <c r="A67" s="318">
        <v>42299</v>
      </c>
      <c r="B67" s="260">
        <v>7561</v>
      </c>
      <c r="C67" s="326"/>
      <c r="D67" s="269"/>
      <c r="E67" s="264"/>
      <c r="F67" s="265">
        <v>75</v>
      </c>
      <c r="G67" s="264"/>
      <c r="H67" s="265">
        <v>105</v>
      </c>
      <c r="I67" s="266"/>
      <c r="J67" s="265">
        <v>1</v>
      </c>
      <c r="K67" s="266">
        <v>2</v>
      </c>
      <c r="L67" s="265">
        <v>75</v>
      </c>
      <c r="M67" s="267"/>
      <c r="N67" s="265">
        <v>140</v>
      </c>
      <c r="O67" s="263"/>
      <c r="P67" s="265"/>
      <c r="Q67" s="263"/>
      <c r="R67" s="263"/>
      <c r="S67" s="268"/>
      <c r="T67" s="269"/>
      <c r="U67" s="265">
        <f>(E67*F67)+(G67*H67)+(I67*J67)+(K67*L67)+(M67*N67)+(105*O67)</f>
        <v>150</v>
      </c>
      <c r="V67" s="265">
        <f t="shared" si="7"/>
        <v>7.5</v>
      </c>
      <c r="W67" s="265">
        <f t="shared" si="8"/>
        <v>157.5</v>
      </c>
      <c r="X67" s="269">
        <v>1301</v>
      </c>
      <c r="Y67" s="316"/>
    </row>
    <row r="68" spans="1:25">
      <c r="A68" s="773">
        <v>42304</v>
      </c>
      <c r="B68" s="933">
        <v>7615</v>
      </c>
      <c r="C68" s="934"/>
      <c r="D68" s="778"/>
      <c r="E68" s="777"/>
      <c r="F68" s="265">
        <v>75</v>
      </c>
      <c r="G68" s="264">
        <v>0.5</v>
      </c>
      <c r="H68" s="265">
        <v>105</v>
      </c>
      <c r="I68" s="266"/>
      <c r="J68" s="265">
        <v>1</v>
      </c>
      <c r="K68" s="266"/>
      <c r="L68" s="265">
        <v>75</v>
      </c>
      <c r="M68" s="267"/>
      <c r="N68" s="265">
        <v>140</v>
      </c>
      <c r="O68" s="263"/>
      <c r="P68" s="765"/>
      <c r="Q68" s="935"/>
      <c r="R68" s="935"/>
      <c r="S68" s="936"/>
      <c r="T68" s="778"/>
      <c r="U68" s="265">
        <f>(E68*F68)+(G68*H68)+(I68*J68)+(K68*L68)+(M68*N68)+(105*O68)</f>
        <v>52.5</v>
      </c>
      <c r="V68" s="265">
        <f>(U68*5%)</f>
        <v>2.625</v>
      </c>
      <c r="W68" s="265">
        <f>SUM(U68+V68)</f>
        <v>55.125</v>
      </c>
      <c r="X68" s="778"/>
    </row>
    <row r="69" spans="1:25">
      <c r="A69" s="328"/>
      <c r="B69" s="412"/>
      <c r="C69" s="826"/>
      <c r="D69" s="471"/>
      <c r="E69" s="524"/>
      <c r="F69" s="518">
        <v>75</v>
      </c>
      <c r="G69" s="524"/>
      <c r="H69" s="518">
        <v>105</v>
      </c>
      <c r="I69" s="523"/>
      <c r="J69" s="518">
        <v>1</v>
      </c>
      <c r="K69" s="523"/>
      <c r="L69" s="518">
        <v>75</v>
      </c>
      <c r="M69" s="803"/>
      <c r="N69" s="518">
        <v>140</v>
      </c>
      <c r="O69" s="520"/>
      <c r="P69" s="518"/>
      <c r="Q69" s="520"/>
      <c r="R69" s="520"/>
      <c r="S69" s="827"/>
      <c r="T69" s="471"/>
      <c r="U69" s="518">
        <f t="shared" ref="U69:U82" si="10">(E69*F69)+(G69*H69)+(I69*J69)+(K69*L69)+(M69*N69)+(105*O69)</f>
        <v>0</v>
      </c>
      <c r="V69" s="518">
        <f t="shared" ref="V69:V82" si="11">(U69*5%)</f>
        <v>0</v>
      </c>
      <c r="W69" s="518">
        <f t="shared" ref="W69:W82" si="12">SUM(U69+V69)</f>
        <v>0</v>
      </c>
      <c r="X69" s="64"/>
    </row>
    <row r="70" spans="1:25">
      <c r="A70" s="63"/>
      <c r="B70" s="113"/>
      <c r="C70" s="256"/>
      <c r="D70" s="64"/>
      <c r="E70" s="66"/>
      <c r="F70" s="27">
        <v>75</v>
      </c>
      <c r="G70" s="66"/>
      <c r="H70" s="27">
        <v>105</v>
      </c>
      <c r="I70" s="35"/>
      <c r="J70" s="27">
        <v>1</v>
      </c>
      <c r="K70" s="35"/>
      <c r="L70" s="27">
        <v>75</v>
      </c>
      <c r="M70" s="50"/>
      <c r="N70" s="27">
        <v>140</v>
      </c>
      <c r="O70" s="31"/>
      <c r="P70" s="27"/>
      <c r="Q70" s="31"/>
      <c r="R70" s="31"/>
      <c r="S70" s="38"/>
      <c r="T70" s="64"/>
      <c r="U70" s="27">
        <f t="shared" si="10"/>
        <v>0</v>
      </c>
      <c r="V70" s="27">
        <f t="shared" si="11"/>
        <v>0</v>
      </c>
      <c r="W70" s="27">
        <f t="shared" si="12"/>
        <v>0</v>
      </c>
      <c r="X70" s="64"/>
    </row>
    <row r="71" spans="1:25">
      <c r="A71" s="63"/>
      <c r="B71" s="113"/>
      <c r="C71" s="256"/>
      <c r="D71" s="64"/>
      <c r="E71" s="66"/>
      <c r="F71" s="27">
        <v>75</v>
      </c>
      <c r="G71" s="66"/>
      <c r="H71" s="27">
        <v>105</v>
      </c>
      <c r="I71" s="35"/>
      <c r="J71" s="27">
        <v>1</v>
      </c>
      <c r="K71" s="35"/>
      <c r="L71" s="27">
        <v>75</v>
      </c>
      <c r="M71" s="50"/>
      <c r="N71" s="27">
        <v>140</v>
      </c>
      <c r="O71" s="31"/>
      <c r="P71" s="27"/>
      <c r="Q71" s="31"/>
      <c r="R71" s="31"/>
      <c r="S71" s="38"/>
      <c r="T71" s="64"/>
      <c r="U71" s="27">
        <f t="shared" si="10"/>
        <v>0</v>
      </c>
      <c r="V71" s="27">
        <f t="shared" si="11"/>
        <v>0</v>
      </c>
      <c r="W71" s="27">
        <f t="shared" si="12"/>
        <v>0</v>
      </c>
      <c r="X71" s="64"/>
    </row>
    <row r="72" spans="1:25">
      <c r="A72" s="63"/>
      <c r="B72" s="113"/>
      <c r="C72" s="256"/>
      <c r="D72" s="64"/>
      <c r="E72" s="66"/>
      <c r="F72" s="27">
        <v>75</v>
      </c>
      <c r="G72" s="66"/>
      <c r="H72" s="27">
        <v>105</v>
      </c>
      <c r="I72" s="35"/>
      <c r="J72" s="27">
        <v>1</v>
      </c>
      <c r="K72" s="35"/>
      <c r="L72" s="27">
        <v>75</v>
      </c>
      <c r="M72" s="50"/>
      <c r="N72" s="27">
        <v>140</v>
      </c>
      <c r="O72" s="31"/>
      <c r="P72" s="27"/>
      <c r="Q72" s="31"/>
      <c r="R72" s="31"/>
      <c r="S72" s="38"/>
      <c r="T72" s="64"/>
      <c r="U72" s="27">
        <f t="shared" si="10"/>
        <v>0</v>
      </c>
      <c r="V72" s="27">
        <f t="shared" si="11"/>
        <v>0</v>
      </c>
      <c r="W72" s="27">
        <f t="shared" si="12"/>
        <v>0</v>
      </c>
      <c r="X72" s="64"/>
    </row>
    <row r="73" spans="1:25">
      <c r="A73" s="63"/>
      <c r="B73" s="113"/>
      <c r="C73" s="256"/>
      <c r="D73" s="64"/>
      <c r="E73" s="66"/>
      <c r="F73" s="27">
        <v>75</v>
      </c>
      <c r="G73" s="66"/>
      <c r="H73" s="27">
        <v>105</v>
      </c>
      <c r="I73" s="35"/>
      <c r="J73" s="27">
        <v>1</v>
      </c>
      <c r="K73" s="35"/>
      <c r="L73" s="27">
        <v>75</v>
      </c>
      <c r="M73" s="50"/>
      <c r="N73" s="27">
        <v>140</v>
      </c>
      <c r="O73" s="31"/>
      <c r="P73" s="27"/>
      <c r="Q73" s="31"/>
      <c r="R73" s="31"/>
      <c r="S73" s="38"/>
      <c r="T73" s="64"/>
      <c r="U73" s="27">
        <f t="shared" si="10"/>
        <v>0</v>
      </c>
      <c r="V73" s="27">
        <f t="shared" si="11"/>
        <v>0</v>
      </c>
      <c r="W73" s="27">
        <f t="shared" si="12"/>
        <v>0</v>
      </c>
      <c r="X73" s="64"/>
    </row>
    <row r="74" spans="1:25">
      <c r="A74" s="63"/>
      <c r="B74" s="113"/>
      <c r="C74" s="256"/>
      <c r="D74" s="64"/>
      <c r="E74" s="66"/>
      <c r="F74" s="27">
        <v>75</v>
      </c>
      <c r="G74" s="66"/>
      <c r="H74" s="27">
        <v>105</v>
      </c>
      <c r="I74" s="35"/>
      <c r="J74" s="27">
        <v>1</v>
      </c>
      <c r="K74" s="35"/>
      <c r="L74" s="27">
        <v>75</v>
      </c>
      <c r="M74" s="50"/>
      <c r="N74" s="27">
        <v>140</v>
      </c>
      <c r="O74" s="31"/>
      <c r="P74" s="27"/>
      <c r="Q74" s="31"/>
      <c r="R74" s="31"/>
      <c r="S74" s="38"/>
      <c r="T74" s="64"/>
      <c r="U74" s="27">
        <f t="shared" si="10"/>
        <v>0</v>
      </c>
      <c r="V74" s="27">
        <f t="shared" si="11"/>
        <v>0</v>
      </c>
      <c r="W74" s="27">
        <f t="shared" si="12"/>
        <v>0</v>
      </c>
      <c r="X74" s="64"/>
    </row>
    <row r="75" spans="1:25">
      <c r="A75" s="63"/>
      <c r="B75" s="113"/>
      <c r="C75" s="256"/>
      <c r="D75" s="64"/>
      <c r="E75" s="66"/>
      <c r="F75" s="27">
        <v>75</v>
      </c>
      <c r="G75" s="66"/>
      <c r="H75" s="27">
        <v>105</v>
      </c>
      <c r="I75" s="35"/>
      <c r="J75" s="27">
        <v>1</v>
      </c>
      <c r="K75" s="35"/>
      <c r="L75" s="27">
        <v>75</v>
      </c>
      <c r="M75" s="50"/>
      <c r="N75" s="27">
        <v>140</v>
      </c>
      <c r="O75" s="31"/>
      <c r="P75" s="27"/>
      <c r="Q75" s="31"/>
      <c r="R75" s="31"/>
      <c r="S75" s="38"/>
      <c r="T75" s="64"/>
      <c r="U75" s="27">
        <f t="shared" si="10"/>
        <v>0</v>
      </c>
      <c r="V75" s="27">
        <f t="shared" si="11"/>
        <v>0</v>
      </c>
      <c r="W75" s="27">
        <f t="shared" si="12"/>
        <v>0</v>
      </c>
      <c r="X75" s="64"/>
    </row>
    <row r="76" spans="1:25">
      <c r="A76" s="63"/>
      <c r="B76" s="113"/>
      <c r="C76" s="256"/>
      <c r="D76" s="64"/>
      <c r="E76" s="66"/>
      <c r="F76" s="27">
        <v>75</v>
      </c>
      <c r="G76" s="66"/>
      <c r="H76" s="27">
        <v>105</v>
      </c>
      <c r="I76" s="35"/>
      <c r="J76" s="27">
        <v>1</v>
      </c>
      <c r="K76" s="35"/>
      <c r="L76" s="27">
        <v>75</v>
      </c>
      <c r="M76" s="50"/>
      <c r="N76" s="27">
        <v>140</v>
      </c>
      <c r="O76" s="31"/>
      <c r="P76" s="27"/>
      <c r="Q76" s="31"/>
      <c r="R76" s="31"/>
      <c r="S76" s="38"/>
      <c r="T76" s="64"/>
      <c r="U76" s="27">
        <f t="shared" si="10"/>
        <v>0</v>
      </c>
      <c r="V76" s="27">
        <f t="shared" si="11"/>
        <v>0</v>
      </c>
      <c r="W76" s="27">
        <f t="shared" si="12"/>
        <v>0</v>
      </c>
      <c r="X76" s="64"/>
    </row>
    <row r="77" spans="1:25">
      <c r="A77" s="63"/>
      <c r="B77" s="113"/>
      <c r="C77" s="256"/>
      <c r="D77" s="64"/>
      <c r="E77" s="66"/>
      <c r="F77" s="27">
        <v>75</v>
      </c>
      <c r="G77" s="66"/>
      <c r="H77" s="27">
        <v>105</v>
      </c>
      <c r="I77" s="35"/>
      <c r="J77" s="27">
        <v>1</v>
      </c>
      <c r="K77" s="35"/>
      <c r="L77" s="27">
        <v>75</v>
      </c>
      <c r="M77" s="50"/>
      <c r="N77" s="27">
        <v>140</v>
      </c>
      <c r="O77" s="31"/>
      <c r="P77" s="27"/>
      <c r="Q77" s="31"/>
      <c r="R77" s="31"/>
      <c r="S77" s="38"/>
      <c r="T77" s="64"/>
      <c r="U77" s="27">
        <f t="shared" si="10"/>
        <v>0</v>
      </c>
      <c r="V77" s="27">
        <f t="shared" si="11"/>
        <v>0</v>
      </c>
      <c r="W77" s="27">
        <f t="shared" si="12"/>
        <v>0</v>
      </c>
      <c r="X77" s="64"/>
    </row>
    <row r="78" spans="1:25">
      <c r="A78" s="63"/>
      <c r="B78" s="113"/>
      <c r="C78" s="256"/>
      <c r="D78" s="64"/>
      <c r="E78" s="66"/>
      <c r="F78" s="27">
        <v>75</v>
      </c>
      <c r="G78" s="66"/>
      <c r="H78" s="27">
        <v>105</v>
      </c>
      <c r="I78" s="35"/>
      <c r="J78" s="27">
        <v>1</v>
      </c>
      <c r="K78" s="35"/>
      <c r="L78" s="27">
        <v>75</v>
      </c>
      <c r="M78" s="50"/>
      <c r="N78" s="27">
        <v>140</v>
      </c>
      <c r="O78" s="31"/>
      <c r="P78" s="27"/>
      <c r="Q78" s="31"/>
      <c r="R78" s="31"/>
      <c r="S78" s="38"/>
      <c r="T78" s="64"/>
      <c r="U78" s="27">
        <f t="shared" si="10"/>
        <v>0</v>
      </c>
      <c r="V78" s="27">
        <f t="shared" si="11"/>
        <v>0</v>
      </c>
      <c r="W78" s="27">
        <f t="shared" si="12"/>
        <v>0</v>
      </c>
      <c r="X78" s="64"/>
    </row>
    <row r="79" spans="1:25">
      <c r="A79" s="63"/>
      <c r="B79" s="113"/>
      <c r="C79" s="256"/>
      <c r="D79" s="64"/>
      <c r="E79" s="66"/>
      <c r="F79" s="27">
        <v>75</v>
      </c>
      <c r="G79" s="66"/>
      <c r="H79" s="27">
        <v>105</v>
      </c>
      <c r="I79" s="35"/>
      <c r="J79" s="27">
        <v>1</v>
      </c>
      <c r="K79" s="35"/>
      <c r="L79" s="27">
        <v>75</v>
      </c>
      <c r="M79" s="50"/>
      <c r="N79" s="27">
        <v>140</v>
      </c>
      <c r="O79" s="31"/>
      <c r="P79" s="27"/>
      <c r="Q79" s="31"/>
      <c r="R79" s="31"/>
      <c r="S79" s="38"/>
      <c r="T79" s="64"/>
      <c r="U79" s="27">
        <f t="shared" si="10"/>
        <v>0</v>
      </c>
      <c r="V79" s="27">
        <f t="shared" si="11"/>
        <v>0</v>
      </c>
      <c r="W79" s="27">
        <f t="shared" si="12"/>
        <v>0</v>
      </c>
      <c r="X79" s="64"/>
    </row>
    <row r="80" spans="1:25">
      <c r="A80" s="63"/>
      <c r="B80" s="113"/>
      <c r="C80" s="256"/>
      <c r="D80" s="64"/>
      <c r="E80" s="66"/>
      <c r="F80" s="27">
        <v>75</v>
      </c>
      <c r="G80" s="66"/>
      <c r="H80" s="27">
        <v>105</v>
      </c>
      <c r="I80" s="35"/>
      <c r="J80" s="27">
        <v>1</v>
      </c>
      <c r="K80" s="35"/>
      <c r="L80" s="27">
        <v>75</v>
      </c>
      <c r="M80" s="50"/>
      <c r="N80" s="27">
        <v>140</v>
      </c>
      <c r="O80" s="31"/>
      <c r="P80" s="27"/>
      <c r="Q80" s="31"/>
      <c r="R80" s="31"/>
      <c r="S80" s="38"/>
      <c r="T80" s="64"/>
      <c r="U80" s="27">
        <f t="shared" si="10"/>
        <v>0</v>
      </c>
      <c r="V80" s="27">
        <f t="shared" si="11"/>
        <v>0</v>
      </c>
      <c r="W80" s="27">
        <f t="shared" si="12"/>
        <v>0</v>
      </c>
      <c r="X80" s="64"/>
    </row>
    <row r="81" spans="1:24">
      <c r="A81" s="63"/>
      <c r="B81" s="113"/>
      <c r="C81" s="256"/>
      <c r="D81" s="64"/>
      <c r="E81" s="66"/>
      <c r="F81" s="27">
        <v>75</v>
      </c>
      <c r="G81" s="66"/>
      <c r="H81" s="27">
        <v>105</v>
      </c>
      <c r="I81" s="35"/>
      <c r="J81" s="27">
        <v>1</v>
      </c>
      <c r="K81" s="35"/>
      <c r="L81" s="27">
        <v>75</v>
      </c>
      <c r="M81" s="50"/>
      <c r="N81" s="27">
        <v>140</v>
      </c>
      <c r="O81" s="31"/>
      <c r="P81" s="27"/>
      <c r="Q81" s="31"/>
      <c r="R81" s="31"/>
      <c r="S81" s="38"/>
      <c r="T81" s="64"/>
      <c r="U81" s="27">
        <f t="shared" si="10"/>
        <v>0</v>
      </c>
      <c r="V81" s="27">
        <f t="shared" si="11"/>
        <v>0</v>
      </c>
      <c r="W81" s="27">
        <f t="shared" si="12"/>
        <v>0</v>
      </c>
      <c r="X81" s="64"/>
    </row>
    <row r="82" spans="1:24">
      <c r="A82" s="63"/>
      <c r="B82" s="113"/>
      <c r="C82" s="256"/>
      <c r="D82" s="64"/>
      <c r="E82" s="66"/>
      <c r="F82" s="27">
        <v>75</v>
      </c>
      <c r="G82" s="66"/>
      <c r="H82" s="27">
        <v>105</v>
      </c>
      <c r="I82" s="35"/>
      <c r="J82" s="27">
        <v>1</v>
      </c>
      <c r="K82" s="35"/>
      <c r="L82" s="27">
        <v>75</v>
      </c>
      <c r="M82" s="50"/>
      <c r="N82" s="27">
        <v>140</v>
      </c>
      <c r="O82" s="31"/>
      <c r="P82" s="27"/>
      <c r="Q82" s="31"/>
      <c r="R82" s="31"/>
      <c r="S82" s="38"/>
      <c r="T82" s="64"/>
      <c r="U82" s="27">
        <f t="shared" si="10"/>
        <v>0</v>
      </c>
      <c r="V82" s="27">
        <f t="shared" si="11"/>
        <v>0</v>
      </c>
      <c r="W82" s="27">
        <f t="shared" si="12"/>
        <v>0</v>
      </c>
      <c r="X82" s="64"/>
    </row>
    <row r="1048297" spans="19:19">
      <c r="S1048297" s="38"/>
    </row>
  </sheetData>
  <autoFilter ref="A4:Z81"/>
  <sortState ref="A5:Y64">
    <sortCondition ref="A62"/>
  </sortState>
  <phoneticPr fontId="3" type="noConversion"/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0"/>
  </sheetPr>
  <dimension ref="A1:BM109"/>
  <sheetViews>
    <sheetView workbookViewId="0">
      <pane xSplit="1" ySplit="5" topLeftCell="H6" activePane="bottomRight" state="frozen"/>
      <selection activeCell="AI336" sqref="AI336"/>
      <selection pane="topRight" activeCell="AI336" sqref="AI336"/>
      <selection pane="bottomLeft" activeCell="AI336" sqref="AI336"/>
      <selection pane="bottomRight" activeCell="AA6" sqref="AA6:BM6"/>
    </sheetView>
  </sheetViews>
  <sheetFormatPr baseColWidth="10" defaultColWidth="8.83203125" defaultRowHeight="12" x14ac:dyDescent="0"/>
  <cols>
    <col min="1" max="1" width="11.6640625" style="118" customWidth="1"/>
    <col min="2" max="2" width="14.1640625" style="118" hidden="1" customWidth="1"/>
    <col min="3" max="3" width="14.1640625" style="118" customWidth="1"/>
    <col min="4" max="4" width="9.83203125" style="118" customWidth="1"/>
    <col min="5" max="6" width="9.83203125" style="120" customWidth="1"/>
    <col min="7" max="7" width="11.83203125" style="118" customWidth="1"/>
    <col min="8" max="9" width="8.83203125" style="25"/>
    <col min="10" max="10" width="10.33203125" style="25" bestFit="1" customWidth="1"/>
    <col min="11" max="12" width="10.33203125" style="25" customWidth="1"/>
    <col min="13" max="14" width="9.1640625" style="25" customWidth="1"/>
    <col min="15" max="22" width="9.1640625" style="25" hidden="1" customWidth="1"/>
    <col min="23" max="23" width="12" style="118" customWidth="1"/>
    <col min="24" max="25" width="10.33203125" style="118" bestFit="1" customWidth="1"/>
    <col min="26" max="26" width="14.1640625" style="118" customWidth="1"/>
    <col min="27" max="27" width="24.5" style="118" customWidth="1"/>
  </cols>
  <sheetData>
    <row r="1" spans="1:27">
      <c r="A1" s="24"/>
      <c r="B1" s="24"/>
      <c r="C1" s="24"/>
      <c r="D1" s="24"/>
      <c r="E1" s="24"/>
      <c r="F1" s="24"/>
      <c r="G1" s="30"/>
      <c r="W1" s="25"/>
      <c r="X1" s="25"/>
      <c r="Y1" s="25"/>
      <c r="Z1" s="25"/>
    </row>
    <row r="2" spans="1:27">
      <c r="A2" s="100" t="s">
        <v>1097</v>
      </c>
      <c r="B2" s="116"/>
      <c r="C2" s="116"/>
      <c r="D2" s="116"/>
      <c r="E2" s="116"/>
      <c r="F2" s="116"/>
      <c r="G2" s="30"/>
      <c r="W2" s="25"/>
      <c r="X2" s="25"/>
      <c r="Y2" s="25"/>
      <c r="Z2" s="25"/>
    </row>
    <row r="3" spans="1:27">
      <c r="A3" s="24"/>
      <c r="B3" s="24"/>
      <c r="C3" s="24"/>
      <c r="D3" s="24"/>
      <c r="E3" s="24"/>
      <c r="F3" s="24"/>
      <c r="G3" s="30"/>
      <c r="W3" s="25"/>
      <c r="X3" s="25"/>
      <c r="Y3" s="25"/>
      <c r="Z3" s="25"/>
    </row>
    <row r="4" spans="1:27" ht="51.75" customHeight="1">
      <c r="A4" s="36" t="s">
        <v>0</v>
      </c>
      <c r="B4" s="36" t="s">
        <v>147</v>
      </c>
      <c r="C4" s="1167" t="s">
        <v>1104</v>
      </c>
      <c r="D4" s="36" t="s">
        <v>174</v>
      </c>
      <c r="E4" s="36" t="s">
        <v>172</v>
      </c>
      <c r="F4" s="36" t="s">
        <v>175</v>
      </c>
      <c r="G4" s="41" t="s">
        <v>55</v>
      </c>
      <c r="H4" s="40" t="s">
        <v>21</v>
      </c>
      <c r="I4" s="40" t="s">
        <v>171</v>
      </c>
      <c r="J4" s="40" t="s">
        <v>21</v>
      </c>
      <c r="K4" s="40" t="s">
        <v>170</v>
      </c>
      <c r="L4" s="40" t="s">
        <v>138</v>
      </c>
      <c r="M4" s="40" t="s">
        <v>53</v>
      </c>
      <c r="N4" s="40" t="s">
        <v>21</v>
      </c>
      <c r="O4" s="40" t="s">
        <v>150</v>
      </c>
      <c r="P4" s="40" t="s">
        <v>26</v>
      </c>
      <c r="Q4" s="40" t="s">
        <v>161</v>
      </c>
      <c r="R4" s="40" t="s">
        <v>26</v>
      </c>
      <c r="S4" s="40" t="s">
        <v>165</v>
      </c>
      <c r="T4" s="40" t="s">
        <v>163</v>
      </c>
      <c r="U4" s="40" t="s">
        <v>164</v>
      </c>
      <c r="V4" s="40" t="s">
        <v>157</v>
      </c>
      <c r="W4" s="40" t="s">
        <v>13</v>
      </c>
      <c r="X4" s="40" t="s">
        <v>14</v>
      </c>
      <c r="Y4" s="40" t="s">
        <v>9</v>
      </c>
      <c r="Z4" s="40" t="s">
        <v>15</v>
      </c>
      <c r="AA4" s="55" t="s">
        <v>16</v>
      </c>
    </row>
    <row r="5" spans="1:27" s="371" customFormat="1">
      <c r="A5" s="1169"/>
      <c r="B5" s="1169"/>
      <c r="C5" s="1201"/>
      <c r="D5" s="1169"/>
      <c r="E5" s="1169"/>
      <c r="F5" s="1169"/>
      <c r="G5" s="1191"/>
      <c r="H5" s="1172"/>
      <c r="I5" s="1172"/>
      <c r="J5" s="1172"/>
      <c r="K5" s="1172"/>
      <c r="L5" s="1172"/>
      <c r="M5" s="1172"/>
      <c r="N5" s="1172"/>
      <c r="O5" s="1172"/>
      <c r="P5" s="1172"/>
      <c r="Q5" s="1172"/>
      <c r="R5" s="1172"/>
      <c r="S5" s="1172"/>
      <c r="T5" s="1172"/>
      <c r="U5" s="1172"/>
      <c r="V5" s="1172"/>
      <c r="W5" s="1172"/>
      <c r="X5" s="1172"/>
      <c r="Y5" s="1172"/>
      <c r="Z5" s="1172"/>
      <c r="AA5" s="302">
        <f>SUM(W6:W208)</f>
        <v>131560.70000000001</v>
      </c>
    </row>
    <row r="6" spans="1:27" s="371" customFormat="1">
      <c r="A6" s="405">
        <v>42163</v>
      </c>
      <c r="B6" s="915"/>
      <c r="C6" s="897">
        <v>1</v>
      </c>
      <c r="D6" s="916">
        <v>1000</v>
      </c>
      <c r="E6" s="915"/>
      <c r="F6" s="916">
        <v>125</v>
      </c>
      <c r="G6" s="122">
        <v>1</v>
      </c>
      <c r="H6" s="123">
        <v>150</v>
      </c>
      <c r="I6" s="122"/>
      <c r="J6" s="123">
        <v>0.9</v>
      </c>
      <c r="K6" s="124">
        <v>1</v>
      </c>
      <c r="L6" s="123">
        <v>50</v>
      </c>
      <c r="M6" s="124">
        <v>1</v>
      </c>
      <c r="N6" s="123">
        <v>150</v>
      </c>
      <c r="O6" s="124"/>
      <c r="P6" s="123"/>
      <c r="Q6" s="124"/>
      <c r="R6" s="123"/>
      <c r="S6" s="124"/>
      <c r="T6" s="124"/>
      <c r="U6" s="124"/>
      <c r="V6" s="124"/>
      <c r="W6" s="123">
        <f>(G6*H6)+(I6*J6)+(M6*N6)+(K6*L6)+(C6*D6)+(E6*F6)</f>
        <v>1350</v>
      </c>
      <c r="X6" s="123">
        <f t="shared" ref="X6:X30" si="0">(W6*5%)</f>
        <v>67.5</v>
      </c>
      <c r="Y6" s="123">
        <f t="shared" ref="Y6:Y30" si="1">SUM(W6+X6)</f>
        <v>1417.5</v>
      </c>
      <c r="Z6" s="122">
        <v>5420</v>
      </c>
      <c r="AA6" s="1204"/>
    </row>
    <row r="7" spans="1:27" s="371" customFormat="1">
      <c r="A7" s="405">
        <v>42164</v>
      </c>
      <c r="B7" s="915"/>
      <c r="C7" s="897">
        <v>1</v>
      </c>
      <c r="D7" s="916">
        <v>1000</v>
      </c>
      <c r="E7" s="915"/>
      <c r="F7" s="916">
        <v>125</v>
      </c>
      <c r="G7" s="122">
        <v>1</v>
      </c>
      <c r="H7" s="123">
        <v>150</v>
      </c>
      <c r="I7" s="122"/>
      <c r="J7" s="123">
        <v>0.9</v>
      </c>
      <c r="K7" s="124">
        <v>1</v>
      </c>
      <c r="L7" s="123">
        <v>50</v>
      </c>
      <c r="M7" s="124">
        <v>1</v>
      </c>
      <c r="N7" s="123">
        <v>150</v>
      </c>
      <c r="O7" s="124"/>
      <c r="P7" s="123"/>
      <c r="Q7" s="124"/>
      <c r="R7" s="123"/>
      <c r="S7" s="124"/>
      <c r="T7" s="124"/>
      <c r="U7" s="124"/>
      <c r="V7" s="124"/>
      <c r="W7" s="123">
        <f t="shared" ref="W7:W31" si="2">(G7*H7)+(I7*J7)+(M7*N7)+(K7*L7)+(C7*D7)+(E7*F7)</f>
        <v>1350</v>
      </c>
      <c r="X7" s="123">
        <f t="shared" si="0"/>
        <v>67.5</v>
      </c>
      <c r="Y7" s="123">
        <f t="shared" si="1"/>
        <v>1417.5</v>
      </c>
      <c r="Z7" s="122">
        <v>5420</v>
      </c>
      <c r="AA7" s="913"/>
    </row>
    <row r="8" spans="1:27" s="371" customFormat="1">
      <c r="A8" s="405">
        <v>42165</v>
      </c>
      <c r="B8" s="915"/>
      <c r="C8" s="897">
        <v>1</v>
      </c>
      <c r="D8" s="916">
        <v>1000</v>
      </c>
      <c r="E8" s="915"/>
      <c r="F8" s="916">
        <v>125</v>
      </c>
      <c r="G8" s="122">
        <v>1</v>
      </c>
      <c r="H8" s="123">
        <v>150</v>
      </c>
      <c r="I8" s="122"/>
      <c r="J8" s="123">
        <v>0.9</v>
      </c>
      <c r="K8" s="124">
        <v>1</v>
      </c>
      <c r="L8" s="123">
        <v>50</v>
      </c>
      <c r="M8" s="124">
        <v>1</v>
      </c>
      <c r="N8" s="123">
        <v>150</v>
      </c>
      <c r="O8" s="124"/>
      <c r="P8" s="123"/>
      <c r="Q8" s="124"/>
      <c r="R8" s="123"/>
      <c r="S8" s="124"/>
      <c r="T8" s="124"/>
      <c r="U8" s="124"/>
      <c r="V8" s="124"/>
      <c r="W8" s="123">
        <f t="shared" si="2"/>
        <v>1350</v>
      </c>
      <c r="X8" s="123">
        <f t="shared" si="0"/>
        <v>67.5</v>
      </c>
      <c r="Y8" s="123">
        <f t="shared" si="1"/>
        <v>1417.5</v>
      </c>
      <c r="Z8" s="122">
        <v>5420</v>
      </c>
      <c r="AA8" s="370"/>
    </row>
    <row r="9" spans="1:27" s="371" customFormat="1">
      <c r="A9" s="405">
        <v>42170</v>
      </c>
      <c r="B9" s="405"/>
      <c r="C9" s="897">
        <v>1</v>
      </c>
      <c r="D9" s="916">
        <v>1000</v>
      </c>
      <c r="E9" s="405"/>
      <c r="F9" s="916">
        <v>125</v>
      </c>
      <c r="G9" s="122">
        <v>1</v>
      </c>
      <c r="H9" s="123">
        <v>150</v>
      </c>
      <c r="I9" s="122"/>
      <c r="J9" s="123">
        <v>0.9</v>
      </c>
      <c r="K9" s="124">
        <v>1</v>
      </c>
      <c r="L9" s="123">
        <v>50</v>
      </c>
      <c r="M9" s="124">
        <v>1</v>
      </c>
      <c r="N9" s="123">
        <v>150</v>
      </c>
      <c r="O9" s="124"/>
      <c r="P9" s="123"/>
      <c r="Q9" s="124"/>
      <c r="R9" s="123"/>
      <c r="S9" s="124"/>
      <c r="T9" s="124"/>
      <c r="U9" s="124"/>
      <c r="V9" s="124"/>
      <c r="W9" s="123">
        <f t="shared" si="2"/>
        <v>1350</v>
      </c>
      <c r="X9" s="123">
        <f t="shared" si="0"/>
        <v>67.5</v>
      </c>
      <c r="Y9" s="123">
        <f t="shared" si="1"/>
        <v>1417.5</v>
      </c>
      <c r="Z9" s="122">
        <v>5420</v>
      </c>
      <c r="AA9" s="370"/>
    </row>
    <row r="10" spans="1:27" s="371" customFormat="1">
      <c r="A10" s="405">
        <v>42171</v>
      </c>
      <c r="B10" s="405"/>
      <c r="C10" s="897">
        <v>1</v>
      </c>
      <c r="D10" s="916">
        <v>1000</v>
      </c>
      <c r="E10" s="405"/>
      <c r="F10" s="916">
        <v>125</v>
      </c>
      <c r="G10" s="122">
        <v>1</v>
      </c>
      <c r="H10" s="123">
        <v>150</v>
      </c>
      <c r="I10" s="122"/>
      <c r="J10" s="123">
        <v>0.9</v>
      </c>
      <c r="K10" s="124">
        <v>1</v>
      </c>
      <c r="L10" s="123">
        <v>50</v>
      </c>
      <c r="M10" s="124">
        <v>1</v>
      </c>
      <c r="N10" s="123">
        <v>150</v>
      </c>
      <c r="O10" s="124"/>
      <c r="P10" s="123"/>
      <c r="Q10" s="124"/>
      <c r="R10" s="123"/>
      <c r="S10" s="124"/>
      <c r="T10" s="124"/>
      <c r="U10" s="124"/>
      <c r="V10" s="124"/>
      <c r="W10" s="123">
        <f t="shared" si="2"/>
        <v>1350</v>
      </c>
      <c r="X10" s="123">
        <f t="shared" si="0"/>
        <v>67.5</v>
      </c>
      <c r="Y10" s="123">
        <f t="shared" si="1"/>
        <v>1417.5</v>
      </c>
      <c r="Z10" s="122">
        <v>5420</v>
      </c>
      <c r="AA10" s="370"/>
    </row>
    <row r="11" spans="1:27" s="371" customFormat="1">
      <c r="A11" s="405">
        <v>42172</v>
      </c>
      <c r="B11" s="405"/>
      <c r="C11" s="897">
        <v>1</v>
      </c>
      <c r="D11" s="916">
        <v>1000</v>
      </c>
      <c r="E11" s="405"/>
      <c r="F11" s="916">
        <v>125</v>
      </c>
      <c r="G11" s="122">
        <v>1</v>
      </c>
      <c r="H11" s="123">
        <v>150</v>
      </c>
      <c r="I11" s="122"/>
      <c r="J11" s="123">
        <v>0.9</v>
      </c>
      <c r="K11" s="124">
        <v>1</v>
      </c>
      <c r="L11" s="123">
        <v>50</v>
      </c>
      <c r="M11" s="124">
        <v>1</v>
      </c>
      <c r="N11" s="123">
        <v>150</v>
      </c>
      <c r="O11" s="123"/>
      <c r="P11" s="123"/>
      <c r="Q11" s="124"/>
      <c r="R11" s="123"/>
      <c r="S11" s="124"/>
      <c r="T11" s="124"/>
      <c r="U11" s="124"/>
      <c r="V11" s="124"/>
      <c r="W11" s="123">
        <f t="shared" si="2"/>
        <v>1350</v>
      </c>
      <c r="X11" s="123">
        <f t="shared" si="0"/>
        <v>67.5</v>
      </c>
      <c r="Y11" s="123">
        <f t="shared" si="1"/>
        <v>1417.5</v>
      </c>
      <c r="Z11" s="122">
        <v>5420</v>
      </c>
      <c r="AA11" s="370"/>
    </row>
    <row r="12" spans="1:27" s="371" customFormat="1">
      <c r="A12" s="405">
        <v>42173</v>
      </c>
      <c r="B12" s="405"/>
      <c r="C12" s="897">
        <v>0.5</v>
      </c>
      <c r="D12" s="916">
        <v>1000</v>
      </c>
      <c r="E12" s="405"/>
      <c r="F12" s="916">
        <v>125</v>
      </c>
      <c r="G12" s="122">
        <v>0.5</v>
      </c>
      <c r="H12" s="123">
        <v>150</v>
      </c>
      <c r="I12" s="122"/>
      <c r="J12" s="123">
        <v>0.9</v>
      </c>
      <c r="K12" s="124">
        <v>0.5</v>
      </c>
      <c r="L12" s="123">
        <v>50</v>
      </c>
      <c r="M12" s="124">
        <v>0.5</v>
      </c>
      <c r="N12" s="123">
        <v>150</v>
      </c>
      <c r="O12" s="123"/>
      <c r="P12" s="123"/>
      <c r="Q12" s="124"/>
      <c r="R12" s="123"/>
      <c r="S12" s="124"/>
      <c r="T12" s="124"/>
      <c r="U12" s="124"/>
      <c r="V12" s="124"/>
      <c r="W12" s="123">
        <f t="shared" si="2"/>
        <v>675</v>
      </c>
      <c r="X12" s="123">
        <f t="shared" si="0"/>
        <v>33.75</v>
      </c>
      <c r="Y12" s="123">
        <f t="shared" si="1"/>
        <v>708.75</v>
      </c>
      <c r="Z12" s="122">
        <v>5420</v>
      </c>
      <c r="AA12" s="370"/>
    </row>
    <row r="13" spans="1:27" s="371" customFormat="1">
      <c r="A13" s="405">
        <v>42174</v>
      </c>
      <c r="B13" s="405"/>
      <c r="C13" s="897">
        <v>1</v>
      </c>
      <c r="D13" s="916">
        <v>1000</v>
      </c>
      <c r="E13" s="405"/>
      <c r="F13" s="916">
        <v>125</v>
      </c>
      <c r="G13" s="122">
        <v>1</v>
      </c>
      <c r="H13" s="123">
        <v>150</v>
      </c>
      <c r="I13" s="122">
        <v>30</v>
      </c>
      <c r="J13" s="123">
        <v>0.9</v>
      </c>
      <c r="K13" s="124">
        <v>1</v>
      </c>
      <c r="L13" s="123">
        <v>50</v>
      </c>
      <c r="M13" s="124">
        <v>1</v>
      </c>
      <c r="N13" s="123">
        <v>150</v>
      </c>
      <c r="O13" s="123"/>
      <c r="P13" s="123"/>
      <c r="Q13" s="124"/>
      <c r="R13" s="123"/>
      <c r="S13" s="124"/>
      <c r="T13" s="124"/>
      <c r="U13" s="124"/>
      <c r="V13" s="124"/>
      <c r="W13" s="123">
        <f t="shared" si="2"/>
        <v>1377</v>
      </c>
      <c r="X13" s="123">
        <f t="shared" si="0"/>
        <v>68.850000000000009</v>
      </c>
      <c r="Y13" s="123">
        <f t="shared" si="1"/>
        <v>1445.85</v>
      </c>
      <c r="Z13" s="122">
        <v>5420</v>
      </c>
      <c r="AA13" s="370"/>
    </row>
    <row r="14" spans="1:27" s="371" customFormat="1">
      <c r="A14" s="405">
        <v>42175</v>
      </c>
      <c r="B14" s="405"/>
      <c r="C14" s="897">
        <v>1</v>
      </c>
      <c r="D14" s="916">
        <v>1000</v>
      </c>
      <c r="E14" s="405"/>
      <c r="F14" s="916">
        <v>125</v>
      </c>
      <c r="G14" s="122">
        <v>1</v>
      </c>
      <c r="H14" s="123">
        <v>150</v>
      </c>
      <c r="I14" s="122">
        <v>30</v>
      </c>
      <c r="J14" s="123">
        <v>0.9</v>
      </c>
      <c r="K14" s="124">
        <v>1</v>
      </c>
      <c r="L14" s="123">
        <v>50</v>
      </c>
      <c r="M14" s="124">
        <v>1</v>
      </c>
      <c r="N14" s="123">
        <v>150</v>
      </c>
      <c r="O14" s="123"/>
      <c r="P14" s="123"/>
      <c r="Q14" s="124"/>
      <c r="R14" s="123"/>
      <c r="S14" s="124"/>
      <c r="T14" s="124"/>
      <c r="U14" s="124"/>
      <c r="V14" s="124"/>
      <c r="W14" s="123">
        <f t="shared" si="2"/>
        <v>1377</v>
      </c>
      <c r="X14" s="123">
        <f t="shared" si="0"/>
        <v>68.850000000000009</v>
      </c>
      <c r="Y14" s="123">
        <f t="shared" si="1"/>
        <v>1445.85</v>
      </c>
      <c r="Z14" s="122">
        <v>5420</v>
      </c>
      <c r="AA14" s="370"/>
    </row>
    <row r="15" spans="1:27" s="371" customFormat="1">
      <c r="A15" s="405">
        <v>42177</v>
      </c>
      <c r="B15" s="405"/>
      <c r="C15" s="897">
        <v>1</v>
      </c>
      <c r="D15" s="916">
        <v>1000</v>
      </c>
      <c r="E15" s="405"/>
      <c r="F15" s="916">
        <v>125</v>
      </c>
      <c r="G15" s="122">
        <v>1</v>
      </c>
      <c r="H15" s="123">
        <v>150</v>
      </c>
      <c r="I15" s="122"/>
      <c r="J15" s="123">
        <v>0.9</v>
      </c>
      <c r="K15" s="124">
        <v>1</v>
      </c>
      <c r="L15" s="123">
        <v>50</v>
      </c>
      <c r="M15" s="124">
        <v>1</v>
      </c>
      <c r="N15" s="123">
        <v>150</v>
      </c>
      <c r="O15" s="123"/>
      <c r="P15" s="123"/>
      <c r="Q15" s="124"/>
      <c r="R15" s="123"/>
      <c r="S15" s="123"/>
      <c r="T15" s="123"/>
      <c r="U15" s="123"/>
      <c r="V15" s="123"/>
      <c r="W15" s="123">
        <f t="shared" si="2"/>
        <v>1350</v>
      </c>
      <c r="X15" s="123">
        <f t="shared" si="0"/>
        <v>67.5</v>
      </c>
      <c r="Y15" s="123">
        <f t="shared" si="1"/>
        <v>1417.5</v>
      </c>
      <c r="Z15" s="122">
        <v>5420</v>
      </c>
      <c r="AA15" s="370"/>
    </row>
    <row r="16" spans="1:27" s="371" customFormat="1">
      <c r="A16" s="405">
        <v>42178</v>
      </c>
      <c r="B16" s="405"/>
      <c r="C16" s="897">
        <v>1</v>
      </c>
      <c r="D16" s="916">
        <v>1000</v>
      </c>
      <c r="E16" s="405"/>
      <c r="F16" s="916">
        <v>125</v>
      </c>
      <c r="G16" s="122">
        <v>1</v>
      </c>
      <c r="H16" s="123">
        <v>150</v>
      </c>
      <c r="I16" s="122">
        <v>20</v>
      </c>
      <c r="J16" s="123">
        <v>0.9</v>
      </c>
      <c r="K16" s="124">
        <v>1</v>
      </c>
      <c r="L16" s="123">
        <v>50</v>
      </c>
      <c r="M16" s="124">
        <v>1</v>
      </c>
      <c r="N16" s="123">
        <v>150</v>
      </c>
      <c r="O16" s="123"/>
      <c r="P16" s="123"/>
      <c r="Q16" s="124"/>
      <c r="R16" s="123"/>
      <c r="S16" s="123"/>
      <c r="T16" s="123"/>
      <c r="U16" s="123"/>
      <c r="V16" s="123"/>
      <c r="W16" s="123">
        <f t="shared" si="2"/>
        <v>1368</v>
      </c>
      <c r="X16" s="123">
        <f t="shared" si="0"/>
        <v>68.400000000000006</v>
      </c>
      <c r="Y16" s="123">
        <f t="shared" si="1"/>
        <v>1436.4</v>
      </c>
      <c r="Z16" s="122">
        <v>5420</v>
      </c>
      <c r="AA16" s="370"/>
    </row>
    <row r="17" spans="1:65" s="371" customFormat="1">
      <c r="A17" s="405">
        <v>42179</v>
      </c>
      <c r="B17" s="405"/>
      <c r="C17" s="897">
        <v>1</v>
      </c>
      <c r="D17" s="916">
        <v>1000</v>
      </c>
      <c r="E17" s="405"/>
      <c r="F17" s="916">
        <v>125</v>
      </c>
      <c r="G17" s="122">
        <v>1</v>
      </c>
      <c r="H17" s="123">
        <v>150</v>
      </c>
      <c r="I17" s="122">
        <v>7</v>
      </c>
      <c r="J17" s="123">
        <v>0.9</v>
      </c>
      <c r="K17" s="124">
        <v>1</v>
      </c>
      <c r="L17" s="123">
        <v>50</v>
      </c>
      <c r="M17" s="124">
        <v>1</v>
      </c>
      <c r="N17" s="123">
        <v>150</v>
      </c>
      <c r="O17" s="123"/>
      <c r="P17" s="123"/>
      <c r="Q17" s="124"/>
      <c r="R17" s="123"/>
      <c r="S17" s="123"/>
      <c r="T17" s="123"/>
      <c r="U17" s="123"/>
      <c r="V17" s="123"/>
      <c r="W17" s="123">
        <f t="shared" si="2"/>
        <v>1356.3</v>
      </c>
      <c r="X17" s="123">
        <f t="shared" si="0"/>
        <v>67.814999999999998</v>
      </c>
      <c r="Y17" s="123">
        <f t="shared" si="1"/>
        <v>1424.115</v>
      </c>
      <c r="Z17" s="122">
        <v>5420</v>
      </c>
      <c r="AA17" s="370"/>
    </row>
    <row r="18" spans="1:65" s="371" customFormat="1">
      <c r="A18" s="405">
        <v>42180</v>
      </c>
      <c r="B18" s="405"/>
      <c r="C18" s="897">
        <v>1</v>
      </c>
      <c r="D18" s="916">
        <v>1000</v>
      </c>
      <c r="E18" s="405"/>
      <c r="F18" s="916">
        <v>125</v>
      </c>
      <c r="G18" s="122">
        <v>1</v>
      </c>
      <c r="H18" s="123">
        <v>150</v>
      </c>
      <c r="I18" s="122">
        <v>67</v>
      </c>
      <c r="J18" s="123">
        <v>0.9</v>
      </c>
      <c r="K18" s="124">
        <v>1</v>
      </c>
      <c r="L18" s="123">
        <v>50</v>
      </c>
      <c r="M18" s="124">
        <v>1</v>
      </c>
      <c r="N18" s="123">
        <v>150</v>
      </c>
      <c r="O18" s="123"/>
      <c r="P18" s="123"/>
      <c r="Q18" s="124"/>
      <c r="R18" s="123"/>
      <c r="S18" s="123"/>
      <c r="T18" s="123"/>
      <c r="U18" s="123"/>
      <c r="V18" s="123"/>
      <c r="W18" s="123">
        <f t="shared" si="2"/>
        <v>1410.3</v>
      </c>
      <c r="X18" s="123">
        <f t="shared" si="0"/>
        <v>70.515000000000001</v>
      </c>
      <c r="Y18" s="123">
        <f t="shared" si="1"/>
        <v>1480.8150000000001</v>
      </c>
      <c r="Z18" s="122">
        <v>5420</v>
      </c>
      <c r="AA18" s="370"/>
    </row>
    <row r="19" spans="1:65" s="371" customFormat="1">
      <c r="A19" s="405">
        <v>42181</v>
      </c>
      <c r="B19" s="405"/>
      <c r="C19" s="897">
        <v>1</v>
      </c>
      <c r="D19" s="916">
        <v>1000</v>
      </c>
      <c r="E19" s="405"/>
      <c r="F19" s="916">
        <v>125</v>
      </c>
      <c r="G19" s="122">
        <v>1</v>
      </c>
      <c r="H19" s="123">
        <v>150</v>
      </c>
      <c r="I19" s="122">
        <v>10</v>
      </c>
      <c r="J19" s="123">
        <v>0.9</v>
      </c>
      <c r="K19" s="124">
        <v>1</v>
      </c>
      <c r="L19" s="123">
        <v>50</v>
      </c>
      <c r="M19" s="124">
        <v>1</v>
      </c>
      <c r="N19" s="123">
        <v>150</v>
      </c>
      <c r="O19" s="123"/>
      <c r="P19" s="123"/>
      <c r="Q19" s="124"/>
      <c r="R19" s="123"/>
      <c r="S19" s="123"/>
      <c r="T19" s="123"/>
      <c r="U19" s="123"/>
      <c r="V19" s="123"/>
      <c r="W19" s="123">
        <f t="shared" si="2"/>
        <v>1359</v>
      </c>
      <c r="X19" s="123">
        <f t="shared" si="0"/>
        <v>67.95</v>
      </c>
      <c r="Y19" s="123">
        <f t="shared" si="1"/>
        <v>1426.95</v>
      </c>
      <c r="Z19" s="122">
        <v>5420</v>
      </c>
      <c r="AA19" s="917"/>
    </row>
    <row r="20" spans="1:65" s="371" customFormat="1">
      <c r="A20" s="405">
        <v>42182</v>
      </c>
      <c r="B20" s="405"/>
      <c r="C20" s="897">
        <v>1</v>
      </c>
      <c r="D20" s="916">
        <v>1000</v>
      </c>
      <c r="E20" s="405"/>
      <c r="F20" s="916">
        <v>125</v>
      </c>
      <c r="G20" s="122">
        <v>1</v>
      </c>
      <c r="H20" s="123">
        <v>150</v>
      </c>
      <c r="I20" s="122">
        <v>36</v>
      </c>
      <c r="J20" s="123">
        <v>0.9</v>
      </c>
      <c r="K20" s="124">
        <v>1</v>
      </c>
      <c r="L20" s="123">
        <v>50</v>
      </c>
      <c r="M20" s="124">
        <v>1</v>
      </c>
      <c r="N20" s="123">
        <v>150</v>
      </c>
      <c r="O20" s="123"/>
      <c r="P20" s="123"/>
      <c r="Q20" s="124"/>
      <c r="R20" s="123"/>
      <c r="S20" s="123"/>
      <c r="T20" s="123"/>
      <c r="U20" s="123"/>
      <c r="V20" s="123"/>
      <c r="W20" s="123">
        <f t="shared" si="2"/>
        <v>1382.4</v>
      </c>
      <c r="X20" s="123">
        <f t="shared" si="0"/>
        <v>69.12</v>
      </c>
      <c r="Y20" s="123">
        <f t="shared" si="1"/>
        <v>1451.52</v>
      </c>
      <c r="Z20" s="122">
        <v>5420</v>
      </c>
      <c r="AA20" s="370"/>
    </row>
    <row r="21" spans="1:65" s="371" customFormat="1">
      <c r="A21" s="405">
        <v>42184</v>
      </c>
      <c r="B21" s="366"/>
      <c r="C21" s="897">
        <v>1</v>
      </c>
      <c r="D21" s="916">
        <v>1000</v>
      </c>
      <c r="E21" s="366"/>
      <c r="F21" s="916">
        <v>125</v>
      </c>
      <c r="G21" s="122">
        <v>1</v>
      </c>
      <c r="H21" s="123">
        <v>150</v>
      </c>
      <c r="I21" s="122">
        <v>15</v>
      </c>
      <c r="J21" s="123">
        <v>0.9</v>
      </c>
      <c r="K21" s="124">
        <v>1</v>
      </c>
      <c r="L21" s="123">
        <v>50</v>
      </c>
      <c r="M21" s="124">
        <v>1</v>
      </c>
      <c r="N21" s="123">
        <v>150</v>
      </c>
      <c r="O21" s="123"/>
      <c r="P21" s="123"/>
      <c r="Q21" s="123"/>
      <c r="R21" s="123"/>
      <c r="S21" s="123"/>
      <c r="T21" s="123"/>
      <c r="U21" s="123"/>
      <c r="V21" s="123"/>
      <c r="W21" s="123">
        <f t="shared" si="2"/>
        <v>1363.5</v>
      </c>
      <c r="X21" s="123">
        <f t="shared" si="0"/>
        <v>68.174999999999997</v>
      </c>
      <c r="Y21" s="123">
        <f t="shared" si="1"/>
        <v>1431.675</v>
      </c>
      <c r="Z21" s="122">
        <v>5420</v>
      </c>
      <c r="AA21" s="370"/>
    </row>
    <row r="22" spans="1:65" s="559" customFormat="1">
      <c r="A22" s="405">
        <v>42185</v>
      </c>
      <c r="B22" s="366"/>
      <c r="C22" s="897">
        <v>1</v>
      </c>
      <c r="D22" s="916">
        <v>1000</v>
      </c>
      <c r="E22" s="366"/>
      <c r="F22" s="916">
        <v>125</v>
      </c>
      <c r="G22" s="122">
        <v>1</v>
      </c>
      <c r="H22" s="123">
        <v>150</v>
      </c>
      <c r="I22" s="122"/>
      <c r="J22" s="123">
        <v>0.9</v>
      </c>
      <c r="K22" s="124">
        <v>1</v>
      </c>
      <c r="L22" s="123">
        <v>50</v>
      </c>
      <c r="M22" s="124">
        <v>1</v>
      </c>
      <c r="N22" s="123">
        <v>150</v>
      </c>
      <c r="O22" s="123"/>
      <c r="P22" s="123"/>
      <c r="Q22" s="123"/>
      <c r="R22" s="123"/>
      <c r="S22" s="123"/>
      <c r="T22" s="123"/>
      <c r="U22" s="123"/>
      <c r="V22" s="123"/>
      <c r="W22" s="123">
        <f t="shared" si="2"/>
        <v>1350</v>
      </c>
      <c r="X22" s="123">
        <f t="shared" si="0"/>
        <v>67.5</v>
      </c>
      <c r="Y22" s="123">
        <f t="shared" si="1"/>
        <v>1417.5</v>
      </c>
      <c r="Z22" s="472">
        <v>5420</v>
      </c>
      <c r="AA22" s="370"/>
      <c r="AB22" s="371"/>
      <c r="AC22" s="371"/>
      <c r="AD22" s="371"/>
      <c r="AE22" s="371"/>
      <c r="AF22" s="371"/>
      <c r="AG22" s="371"/>
      <c r="AH22" s="371"/>
      <c r="AI22" s="371"/>
      <c r="AJ22" s="371"/>
      <c r="AK22" s="371"/>
      <c r="AL22" s="371"/>
      <c r="AM22" s="371"/>
      <c r="AN22" s="371"/>
      <c r="AO22" s="371"/>
      <c r="AP22" s="371"/>
      <c r="AQ22" s="371"/>
      <c r="AR22" s="371"/>
      <c r="AS22" s="371"/>
      <c r="AT22" s="371"/>
      <c r="AU22" s="371"/>
      <c r="AV22" s="371"/>
      <c r="AW22" s="371"/>
      <c r="AX22" s="371"/>
      <c r="AY22" s="371"/>
      <c r="AZ22" s="371"/>
      <c r="BA22" s="371"/>
      <c r="BB22" s="371"/>
      <c r="BC22" s="371"/>
      <c r="BD22" s="371"/>
      <c r="BE22" s="371"/>
      <c r="BF22" s="371"/>
      <c r="BG22" s="371"/>
      <c r="BH22" s="371"/>
      <c r="BI22" s="371"/>
      <c r="BJ22" s="371"/>
      <c r="BK22" s="371"/>
      <c r="BL22" s="371"/>
      <c r="BM22" s="371"/>
    </row>
    <row r="23" spans="1:65" s="559" customFormat="1">
      <c r="A23" s="695">
        <v>42186</v>
      </c>
      <c r="B23" s="817"/>
      <c r="C23" s="697">
        <v>1</v>
      </c>
      <c r="D23" s="918">
        <v>1000</v>
      </c>
      <c r="E23" s="817"/>
      <c r="F23" s="918">
        <v>125</v>
      </c>
      <c r="G23" s="699">
        <v>1</v>
      </c>
      <c r="H23" s="700">
        <v>150</v>
      </c>
      <c r="I23" s="699"/>
      <c r="J23" s="700">
        <v>0.9</v>
      </c>
      <c r="K23" s="701">
        <v>1</v>
      </c>
      <c r="L23" s="700">
        <v>50</v>
      </c>
      <c r="M23" s="701">
        <v>1</v>
      </c>
      <c r="N23" s="700">
        <v>150</v>
      </c>
      <c r="O23" s="700"/>
      <c r="P23" s="700"/>
      <c r="Q23" s="700"/>
      <c r="R23" s="700"/>
      <c r="S23" s="700"/>
      <c r="T23" s="700"/>
      <c r="U23" s="700"/>
      <c r="V23" s="700"/>
      <c r="W23" s="700">
        <f t="shared" si="2"/>
        <v>1350</v>
      </c>
      <c r="X23" s="700">
        <f t="shared" si="0"/>
        <v>67.5</v>
      </c>
      <c r="Y23" s="700">
        <f t="shared" si="1"/>
        <v>1417.5</v>
      </c>
      <c r="Z23" s="818">
        <v>5459</v>
      </c>
      <c r="AA23" s="626"/>
    </row>
    <row r="24" spans="1:65" s="559" customFormat="1">
      <c r="A24" s="695">
        <v>42187</v>
      </c>
      <c r="B24" s="695"/>
      <c r="C24" s="697">
        <v>1</v>
      </c>
      <c r="D24" s="918">
        <v>1000</v>
      </c>
      <c r="E24" s="695"/>
      <c r="F24" s="918">
        <v>125</v>
      </c>
      <c r="G24" s="699">
        <v>1</v>
      </c>
      <c r="H24" s="700">
        <v>150</v>
      </c>
      <c r="I24" s="701">
        <v>24</v>
      </c>
      <c r="J24" s="700">
        <v>0.9</v>
      </c>
      <c r="K24" s="701">
        <v>1</v>
      </c>
      <c r="L24" s="700">
        <v>50</v>
      </c>
      <c r="M24" s="701">
        <v>1</v>
      </c>
      <c r="N24" s="700">
        <v>150</v>
      </c>
      <c r="O24" s="700"/>
      <c r="P24" s="700"/>
      <c r="Q24" s="700"/>
      <c r="R24" s="700"/>
      <c r="S24" s="700"/>
      <c r="T24" s="700"/>
      <c r="U24" s="700"/>
      <c r="V24" s="700"/>
      <c r="W24" s="700">
        <f t="shared" si="2"/>
        <v>1371.6</v>
      </c>
      <c r="X24" s="700">
        <f t="shared" si="0"/>
        <v>68.58</v>
      </c>
      <c r="Y24" s="700">
        <f t="shared" si="1"/>
        <v>1440.1799999999998</v>
      </c>
      <c r="Z24" s="818">
        <v>5459</v>
      </c>
      <c r="AA24" s="626"/>
    </row>
    <row r="25" spans="1:65" s="559" customFormat="1">
      <c r="A25" s="695">
        <v>42188</v>
      </c>
      <c r="B25" s="695"/>
      <c r="C25" s="697">
        <v>1</v>
      </c>
      <c r="D25" s="918">
        <v>1000</v>
      </c>
      <c r="E25" s="695"/>
      <c r="F25" s="918">
        <v>125</v>
      </c>
      <c r="G25" s="699">
        <v>1</v>
      </c>
      <c r="H25" s="700">
        <v>150</v>
      </c>
      <c r="I25" s="701"/>
      <c r="J25" s="700">
        <v>0.9</v>
      </c>
      <c r="K25" s="701">
        <v>1</v>
      </c>
      <c r="L25" s="700">
        <v>50</v>
      </c>
      <c r="M25" s="701">
        <v>1</v>
      </c>
      <c r="N25" s="700">
        <v>150</v>
      </c>
      <c r="O25" s="700"/>
      <c r="P25" s="700"/>
      <c r="Q25" s="700"/>
      <c r="R25" s="700"/>
      <c r="S25" s="700"/>
      <c r="T25" s="700"/>
      <c r="U25" s="700"/>
      <c r="V25" s="700"/>
      <c r="W25" s="700">
        <f t="shared" si="2"/>
        <v>1350</v>
      </c>
      <c r="X25" s="700">
        <f t="shared" si="0"/>
        <v>67.5</v>
      </c>
      <c r="Y25" s="700">
        <f t="shared" si="1"/>
        <v>1417.5</v>
      </c>
      <c r="Z25" s="818">
        <v>5459</v>
      </c>
      <c r="AA25" s="626"/>
    </row>
    <row r="26" spans="1:65" s="559" customFormat="1">
      <c r="A26" s="695">
        <v>42189</v>
      </c>
      <c r="B26" s="695"/>
      <c r="C26" s="697">
        <v>1</v>
      </c>
      <c r="D26" s="918">
        <v>1000</v>
      </c>
      <c r="E26" s="695"/>
      <c r="F26" s="918">
        <v>125</v>
      </c>
      <c r="G26" s="699">
        <v>1</v>
      </c>
      <c r="H26" s="700">
        <v>150</v>
      </c>
      <c r="I26" s="701"/>
      <c r="J26" s="700">
        <v>0.9</v>
      </c>
      <c r="K26" s="701">
        <v>1</v>
      </c>
      <c r="L26" s="700">
        <v>50</v>
      </c>
      <c r="M26" s="701">
        <v>1</v>
      </c>
      <c r="N26" s="700">
        <v>150</v>
      </c>
      <c r="O26" s="700"/>
      <c r="P26" s="700"/>
      <c r="Q26" s="700"/>
      <c r="R26" s="700"/>
      <c r="S26" s="700"/>
      <c r="T26" s="700"/>
      <c r="U26" s="700"/>
      <c r="V26" s="700"/>
      <c r="W26" s="700">
        <f t="shared" si="2"/>
        <v>1350</v>
      </c>
      <c r="X26" s="700">
        <f t="shared" si="0"/>
        <v>67.5</v>
      </c>
      <c r="Y26" s="700">
        <f t="shared" si="1"/>
        <v>1417.5</v>
      </c>
      <c r="Z26" s="818">
        <v>5459</v>
      </c>
      <c r="AA26" s="626"/>
    </row>
    <row r="27" spans="1:65" s="559" customFormat="1">
      <c r="A27" s="695">
        <v>42191</v>
      </c>
      <c r="B27" s="817"/>
      <c r="C27" s="697">
        <v>1</v>
      </c>
      <c r="D27" s="918">
        <v>1000</v>
      </c>
      <c r="E27" s="817"/>
      <c r="F27" s="918">
        <v>125</v>
      </c>
      <c r="G27" s="699">
        <v>1</v>
      </c>
      <c r="H27" s="700">
        <v>150</v>
      </c>
      <c r="I27" s="701">
        <v>10</v>
      </c>
      <c r="J27" s="700">
        <v>0.9</v>
      </c>
      <c r="K27" s="701">
        <v>1</v>
      </c>
      <c r="L27" s="700">
        <v>50</v>
      </c>
      <c r="M27" s="701">
        <v>1</v>
      </c>
      <c r="N27" s="700">
        <v>150</v>
      </c>
      <c r="O27" s="700"/>
      <c r="P27" s="700"/>
      <c r="Q27" s="700"/>
      <c r="R27" s="700"/>
      <c r="S27" s="700"/>
      <c r="T27" s="700"/>
      <c r="U27" s="700"/>
      <c r="V27" s="700"/>
      <c r="W27" s="700">
        <f t="shared" si="2"/>
        <v>1359</v>
      </c>
      <c r="X27" s="700">
        <f t="shared" si="0"/>
        <v>67.95</v>
      </c>
      <c r="Y27" s="700">
        <f t="shared" si="1"/>
        <v>1426.95</v>
      </c>
      <c r="Z27" s="818">
        <v>5459</v>
      </c>
      <c r="AA27" s="626"/>
    </row>
    <row r="28" spans="1:65" s="559" customFormat="1">
      <c r="A28" s="695">
        <v>42192</v>
      </c>
      <c r="B28" s="817"/>
      <c r="C28" s="697">
        <v>1</v>
      </c>
      <c r="D28" s="918">
        <v>1000</v>
      </c>
      <c r="E28" s="817"/>
      <c r="F28" s="918">
        <v>125</v>
      </c>
      <c r="G28" s="699">
        <v>1</v>
      </c>
      <c r="H28" s="700">
        <v>150</v>
      </c>
      <c r="I28" s="701">
        <v>20</v>
      </c>
      <c r="J28" s="700">
        <v>0.9</v>
      </c>
      <c r="K28" s="701">
        <v>1</v>
      </c>
      <c r="L28" s="700">
        <v>50</v>
      </c>
      <c r="M28" s="701">
        <v>1</v>
      </c>
      <c r="N28" s="700">
        <v>150</v>
      </c>
      <c r="O28" s="700"/>
      <c r="P28" s="700"/>
      <c r="Q28" s="700"/>
      <c r="R28" s="700"/>
      <c r="S28" s="700"/>
      <c r="T28" s="700"/>
      <c r="U28" s="700"/>
      <c r="V28" s="700"/>
      <c r="W28" s="700">
        <f t="shared" si="2"/>
        <v>1368</v>
      </c>
      <c r="X28" s="700">
        <f t="shared" si="0"/>
        <v>68.400000000000006</v>
      </c>
      <c r="Y28" s="700">
        <f t="shared" si="1"/>
        <v>1436.4</v>
      </c>
      <c r="Z28" s="818">
        <v>5459</v>
      </c>
      <c r="AA28" s="626"/>
    </row>
    <row r="29" spans="1:65" s="559" customFormat="1">
      <c r="A29" s="695">
        <v>42193</v>
      </c>
      <c r="B29" s="819"/>
      <c r="C29" s="697">
        <v>1</v>
      </c>
      <c r="D29" s="918">
        <v>1000</v>
      </c>
      <c r="E29" s="819"/>
      <c r="F29" s="918">
        <v>125</v>
      </c>
      <c r="G29" s="699">
        <v>1</v>
      </c>
      <c r="H29" s="700">
        <v>150</v>
      </c>
      <c r="I29" s="701"/>
      <c r="J29" s="700">
        <v>0.9</v>
      </c>
      <c r="K29" s="701">
        <v>1</v>
      </c>
      <c r="L29" s="700">
        <v>50</v>
      </c>
      <c r="M29" s="701">
        <v>1</v>
      </c>
      <c r="N29" s="700">
        <v>150</v>
      </c>
      <c r="O29" s="700"/>
      <c r="P29" s="700"/>
      <c r="Q29" s="700"/>
      <c r="R29" s="700"/>
      <c r="S29" s="700"/>
      <c r="T29" s="700"/>
      <c r="U29" s="700"/>
      <c r="V29" s="700"/>
      <c r="W29" s="700">
        <f t="shared" si="2"/>
        <v>1350</v>
      </c>
      <c r="X29" s="700">
        <f t="shared" si="0"/>
        <v>67.5</v>
      </c>
      <c r="Y29" s="700">
        <f t="shared" si="1"/>
        <v>1417.5</v>
      </c>
      <c r="Z29" s="818">
        <v>5459</v>
      </c>
      <c r="AA29" s="626"/>
    </row>
    <row r="30" spans="1:65" s="559" customFormat="1">
      <c r="A30" s="817">
        <v>42194</v>
      </c>
      <c r="B30" s="817"/>
      <c r="C30" s="697">
        <v>1</v>
      </c>
      <c r="D30" s="918">
        <v>1000</v>
      </c>
      <c r="E30" s="919"/>
      <c r="F30" s="918">
        <v>125</v>
      </c>
      <c r="G30" s="699">
        <v>1</v>
      </c>
      <c r="H30" s="700">
        <v>150</v>
      </c>
      <c r="I30" s="699">
        <v>10</v>
      </c>
      <c r="J30" s="700">
        <v>0.9</v>
      </c>
      <c r="K30" s="701">
        <v>1</v>
      </c>
      <c r="L30" s="700">
        <v>50</v>
      </c>
      <c r="M30" s="701">
        <v>1</v>
      </c>
      <c r="N30" s="700">
        <v>150</v>
      </c>
      <c r="O30" s="700"/>
      <c r="P30" s="700"/>
      <c r="Q30" s="700"/>
      <c r="R30" s="700"/>
      <c r="S30" s="700"/>
      <c r="T30" s="700"/>
      <c r="U30" s="700"/>
      <c r="V30" s="700"/>
      <c r="W30" s="700">
        <f t="shared" si="2"/>
        <v>1359</v>
      </c>
      <c r="X30" s="700">
        <f t="shared" si="0"/>
        <v>67.95</v>
      </c>
      <c r="Y30" s="700">
        <f t="shared" si="1"/>
        <v>1426.95</v>
      </c>
      <c r="Z30" s="818">
        <v>5459</v>
      </c>
      <c r="AA30" s="626"/>
    </row>
    <row r="31" spans="1:65" s="559" customFormat="1">
      <c r="A31" s="817">
        <v>42195</v>
      </c>
      <c r="B31" s="817"/>
      <c r="C31" s="697">
        <v>1</v>
      </c>
      <c r="D31" s="918">
        <v>1000</v>
      </c>
      <c r="E31" s="919"/>
      <c r="F31" s="918">
        <v>125</v>
      </c>
      <c r="G31" s="699">
        <v>1</v>
      </c>
      <c r="H31" s="700">
        <v>150</v>
      </c>
      <c r="I31" s="699">
        <v>13</v>
      </c>
      <c r="J31" s="700">
        <v>0.9</v>
      </c>
      <c r="K31" s="701">
        <v>1</v>
      </c>
      <c r="L31" s="700">
        <v>50</v>
      </c>
      <c r="M31" s="701">
        <v>1</v>
      </c>
      <c r="N31" s="700">
        <v>150</v>
      </c>
      <c r="O31" s="700"/>
      <c r="P31" s="700"/>
      <c r="Q31" s="700"/>
      <c r="R31" s="700"/>
      <c r="S31" s="700"/>
      <c r="T31" s="700"/>
      <c r="U31" s="700"/>
      <c r="V31" s="700"/>
      <c r="W31" s="700">
        <f t="shared" si="2"/>
        <v>1361.7</v>
      </c>
      <c r="X31" s="700">
        <f t="shared" ref="X31:X52" si="3">(W31*5%)</f>
        <v>68.085000000000008</v>
      </c>
      <c r="Y31" s="700">
        <f t="shared" ref="Y31:Y52" si="4">SUM(W31+X31)</f>
        <v>1429.7850000000001</v>
      </c>
      <c r="Z31" s="818">
        <v>5459</v>
      </c>
      <c r="AA31" s="626"/>
    </row>
    <row r="32" spans="1:65" s="559" customFormat="1">
      <c r="A32" s="817">
        <v>42196</v>
      </c>
      <c r="B32" s="817"/>
      <c r="C32" s="697">
        <v>1</v>
      </c>
      <c r="D32" s="918">
        <v>1000</v>
      </c>
      <c r="E32" s="919"/>
      <c r="F32" s="918">
        <v>125</v>
      </c>
      <c r="G32" s="699">
        <v>1</v>
      </c>
      <c r="H32" s="700">
        <v>150</v>
      </c>
      <c r="I32" s="699">
        <v>10</v>
      </c>
      <c r="J32" s="700">
        <v>0.9</v>
      </c>
      <c r="K32" s="701">
        <v>1</v>
      </c>
      <c r="L32" s="700">
        <v>50</v>
      </c>
      <c r="M32" s="701">
        <v>1</v>
      </c>
      <c r="N32" s="700">
        <v>150</v>
      </c>
      <c r="O32" s="700"/>
      <c r="P32" s="700"/>
      <c r="Q32" s="700"/>
      <c r="R32" s="700"/>
      <c r="S32" s="700"/>
      <c r="T32" s="700"/>
      <c r="U32" s="700"/>
      <c r="V32" s="700"/>
      <c r="W32" s="700">
        <f t="shared" ref="W32:W52" si="5">(G32*H32)+(I32*J32)+(M32*N32)+(K32*L32)+(C32*D32)+(E32*F32)</f>
        <v>1359</v>
      </c>
      <c r="X32" s="700">
        <f t="shared" si="3"/>
        <v>67.95</v>
      </c>
      <c r="Y32" s="700">
        <f t="shared" si="4"/>
        <v>1426.95</v>
      </c>
      <c r="Z32" s="818">
        <v>5459</v>
      </c>
      <c r="AA32" s="626"/>
    </row>
    <row r="33" spans="1:65" s="559" customFormat="1">
      <c r="A33" s="817">
        <v>42199</v>
      </c>
      <c r="B33" s="817"/>
      <c r="C33" s="697">
        <v>1</v>
      </c>
      <c r="D33" s="918">
        <v>1000</v>
      </c>
      <c r="E33" s="919"/>
      <c r="F33" s="918">
        <v>125</v>
      </c>
      <c r="G33" s="699">
        <v>1</v>
      </c>
      <c r="H33" s="700">
        <v>150</v>
      </c>
      <c r="I33" s="699">
        <v>50</v>
      </c>
      <c r="J33" s="700">
        <v>0.9</v>
      </c>
      <c r="K33" s="701">
        <v>1</v>
      </c>
      <c r="L33" s="700">
        <v>50</v>
      </c>
      <c r="M33" s="701">
        <v>1</v>
      </c>
      <c r="N33" s="700">
        <v>150</v>
      </c>
      <c r="O33" s="700"/>
      <c r="P33" s="700"/>
      <c r="Q33" s="700"/>
      <c r="R33" s="700"/>
      <c r="S33" s="700"/>
      <c r="T33" s="700"/>
      <c r="U33" s="700"/>
      <c r="V33" s="700"/>
      <c r="W33" s="700">
        <f t="shared" si="5"/>
        <v>1395</v>
      </c>
      <c r="X33" s="700">
        <f t="shared" si="3"/>
        <v>69.75</v>
      </c>
      <c r="Y33" s="700">
        <f t="shared" si="4"/>
        <v>1464.75</v>
      </c>
      <c r="Z33" s="818">
        <v>5459</v>
      </c>
      <c r="AA33" s="626"/>
    </row>
    <row r="34" spans="1:65" s="559" customFormat="1">
      <c r="A34" s="817">
        <v>42199</v>
      </c>
      <c r="B34" s="817"/>
      <c r="C34" s="697"/>
      <c r="D34" s="918">
        <v>1000</v>
      </c>
      <c r="E34" s="919">
        <v>10.5</v>
      </c>
      <c r="F34" s="918">
        <v>125</v>
      </c>
      <c r="G34" s="699">
        <v>1</v>
      </c>
      <c r="H34" s="700">
        <v>150</v>
      </c>
      <c r="I34" s="699"/>
      <c r="J34" s="700">
        <v>0.9</v>
      </c>
      <c r="K34" s="701">
        <v>1</v>
      </c>
      <c r="L34" s="700">
        <v>50</v>
      </c>
      <c r="M34" s="701"/>
      <c r="N34" s="700">
        <v>150</v>
      </c>
      <c r="O34" s="700"/>
      <c r="P34" s="700"/>
      <c r="Q34" s="700"/>
      <c r="R34" s="700"/>
      <c r="S34" s="700"/>
      <c r="T34" s="700"/>
      <c r="U34" s="700"/>
      <c r="V34" s="700"/>
      <c r="W34" s="700">
        <f t="shared" si="5"/>
        <v>1512.5</v>
      </c>
      <c r="X34" s="700">
        <f t="shared" si="3"/>
        <v>75.625</v>
      </c>
      <c r="Y34" s="700">
        <f t="shared" si="4"/>
        <v>1588.125</v>
      </c>
      <c r="Z34" s="818">
        <v>5459</v>
      </c>
      <c r="AA34" s="626"/>
    </row>
    <row r="35" spans="1:65" s="559" customFormat="1" ht="12" customHeight="1">
      <c r="A35" s="817">
        <v>42200</v>
      </c>
      <c r="B35" s="817"/>
      <c r="C35" s="697"/>
      <c r="D35" s="918">
        <v>1000</v>
      </c>
      <c r="E35" s="919">
        <v>12</v>
      </c>
      <c r="F35" s="918">
        <v>125</v>
      </c>
      <c r="G35" s="699">
        <v>1</v>
      </c>
      <c r="H35" s="700">
        <v>150</v>
      </c>
      <c r="I35" s="699"/>
      <c r="J35" s="700">
        <v>0.9</v>
      </c>
      <c r="K35" s="701">
        <v>1</v>
      </c>
      <c r="L35" s="700">
        <v>50</v>
      </c>
      <c r="M35" s="701"/>
      <c r="N35" s="700">
        <v>150</v>
      </c>
      <c r="O35" s="700"/>
      <c r="P35" s="700"/>
      <c r="Q35" s="700"/>
      <c r="R35" s="700"/>
      <c r="S35" s="700"/>
      <c r="T35" s="700"/>
      <c r="U35" s="700"/>
      <c r="V35" s="700"/>
      <c r="W35" s="700">
        <f t="shared" si="5"/>
        <v>1700</v>
      </c>
      <c r="X35" s="700">
        <f t="shared" si="3"/>
        <v>85</v>
      </c>
      <c r="Y35" s="700">
        <f t="shared" si="4"/>
        <v>1785</v>
      </c>
      <c r="Z35" s="818">
        <v>5459</v>
      </c>
      <c r="AA35" s="626"/>
    </row>
    <row r="36" spans="1:65" s="559" customFormat="1">
      <c r="A36" s="817">
        <v>42200</v>
      </c>
      <c r="B36" s="817"/>
      <c r="C36" s="697">
        <v>1</v>
      </c>
      <c r="D36" s="918">
        <v>1000</v>
      </c>
      <c r="E36" s="919"/>
      <c r="F36" s="918">
        <v>125</v>
      </c>
      <c r="G36" s="699">
        <v>1</v>
      </c>
      <c r="H36" s="700">
        <v>150</v>
      </c>
      <c r="I36" s="699"/>
      <c r="J36" s="700">
        <v>0.9</v>
      </c>
      <c r="K36" s="701">
        <v>1</v>
      </c>
      <c r="L36" s="700">
        <v>50</v>
      </c>
      <c r="M36" s="701">
        <v>1</v>
      </c>
      <c r="N36" s="700">
        <v>150</v>
      </c>
      <c r="O36" s="700"/>
      <c r="P36" s="700"/>
      <c r="Q36" s="700"/>
      <c r="R36" s="700"/>
      <c r="S36" s="700"/>
      <c r="T36" s="700"/>
      <c r="U36" s="700"/>
      <c r="V36" s="700"/>
      <c r="W36" s="700">
        <f t="shared" si="5"/>
        <v>1350</v>
      </c>
      <c r="X36" s="700">
        <f t="shared" si="3"/>
        <v>67.5</v>
      </c>
      <c r="Y36" s="700">
        <f t="shared" si="4"/>
        <v>1417.5</v>
      </c>
      <c r="Z36" s="818">
        <v>5459</v>
      </c>
      <c r="AA36" s="626"/>
    </row>
    <row r="37" spans="1:65" s="559" customFormat="1">
      <c r="A37" s="817">
        <v>42201</v>
      </c>
      <c r="B37" s="920"/>
      <c r="C37" s="888">
        <v>0.5</v>
      </c>
      <c r="D37" s="918">
        <v>1000</v>
      </c>
      <c r="E37" s="921">
        <v>4</v>
      </c>
      <c r="F37" s="918">
        <v>125</v>
      </c>
      <c r="G37" s="889">
        <v>1</v>
      </c>
      <c r="H37" s="700">
        <v>150</v>
      </c>
      <c r="I37" s="889"/>
      <c r="J37" s="700">
        <v>0.9</v>
      </c>
      <c r="K37" s="890">
        <v>1</v>
      </c>
      <c r="L37" s="700">
        <v>50</v>
      </c>
      <c r="M37" s="890">
        <v>0.5</v>
      </c>
      <c r="N37" s="700">
        <v>150</v>
      </c>
      <c r="O37" s="700"/>
      <c r="P37" s="700"/>
      <c r="Q37" s="700"/>
      <c r="R37" s="700"/>
      <c r="S37" s="700"/>
      <c r="T37" s="700"/>
      <c r="U37" s="700"/>
      <c r="V37" s="700"/>
      <c r="W37" s="700">
        <f t="shared" si="5"/>
        <v>1275</v>
      </c>
      <c r="X37" s="700">
        <f t="shared" si="3"/>
        <v>63.75</v>
      </c>
      <c r="Y37" s="700">
        <f t="shared" si="4"/>
        <v>1338.75</v>
      </c>
      <c r="Z37" s="818">
        <v>5459</v>
      </c>
      <c r="AA37" s="626"/>
    </row>
    <row r="38" spans="1:65" s="559" customFormat="1">
      <c r="A38" s="817">
        <v>42205</v>
      </c>
      <c r="B38" s="817"/>
      <c r="C38" s="697">
        <v>1</v>
      </c>
      <c r="D38" s="918">
        <v>1000</v>
      </c>
      <c r="E38" s="919">
        <v>1</v>
      </c>
      <c r="F38" s="918">
        <v>125</v>
      </c>
      <c r="G38" s="699">
        <v>1</v>
      </c>
      <c r="H38" s="700">
        <v>150</v>
      </c>
      <c r="I38" s="699">
        <v>17</v>
      </c>
      <c r="J38" s="700">
        <v>0.9</v>
      </c>
      <c r="K38" s="701">
        <v>1</v>
      </c>
      <c r="L38" s="700">
        <v>50</v>
      </c>
      <c r="M38" s="701">
        <v>1</v>
      </c>
      <c r="N38" s="700">
        <v>150</v>
      </c>
      <c r="O38" s="700"/>
      <c r="P38" s="700"/>
      <c r="Q38" s="700"/>
      <c r="R38" s="700"/>
      <c r="S38" s="700"/>
      <c r="T38" s="700"/>
      <c r="U38" s="700"/>
      <c r="V38" s="700"/>
      <c r="W38" s="700">
        <f t="shared" si="5"/>
        <v>1490.3</v>
      </c>
      <c r="X38" s="700">
        <f t="shared" si="3"/>
        <v>74.515000000000001</v>
      </c>
      <c r="Y38" s="700">
        <f t="shared" si="4"/>
        <v>1564.8150000000001</v>
      </c>
      <c r="Z38" s="818">
        <v>5459</v>
      </c>
      <c r="AA38" s="626"/>
    </row>
    <row r="39" spans="1:65" s="559" customFormat="1">
      <c r="A39" s="817">
        <v>42206</v>
      </c>
      <c r="B39" s="817"/>
      <c r="C39" s="697">
        <v>1</v>
      </c>
      <c r="D39" s="918">
        <v>1000</v>
      </c>
      <c r="E39" s="919"/>
      <c r="F39" s="918">
        <v>125</v>
      </c>
      <c r="G39" s="699">
        <v>1</v>
      </c>
      <c r="H39" s="700">
        <v>150</v>
      </c>
      <c r="I39" s="699">
        <v>64</v>
      </c>
      <c r="J39" s="700">
        <v>0.9</v>
      </c>
      <c r="K39" s="701">
        <v>1</v>
      </c>
      <c r="L39" s="700">
        <v>50</v>
      </c>
      <c r="M39" s="701">
        <v>1</v>
      </c>
      <c r="N39" s="700">
        <v>150</v>
      </c>
      <c r="O39" s="700"/>
      <c r="P39" s="700"/>
      <c r="Q39" s="700"/>
      <c r="R39" s="700"/>
      <c r="S39" s="700"/>
      <c r="T39" s="700"/>
      <c r="U39" s="700"/>
      <c r="V39" s="700"/>
      <c r="W39" s="700">
        <f t="shared" si="5"/>
        <v>1407.6</v>
      </c>
      <c r="X39" s="700">
        <f t="shared" si="3"/>
        <v>70.38</v>
      </c>
      <c r="Y39" s="700">
        <f t="shared" si="4"/>
        <v>1477.98</v>
      </c>
      <c r="Z39" s="818">
        <v>5459</v>
      </c>
      <c r="AA39" s="626"/>
    </row>
    <row r="40" spans="1:65" s="559" customFormat="1">
      <c r="A40" s="817">
        <v>42207</v>
      </c>
      <c r="B40" s="817"/>
      <c r="C40" s="697">
        <v>1</v>
      </c>
      <c r="D40" s="918">
        <v>1000</v>
      </c>
      <c r="E40" s="919"/>
      <c r="F40" s="918">
        <v>125</v>
      </c>
      <c r="G40" s="699">
        <v>1</v>
      </c>
      <c r="H40" s="700">
        <v>150</v>
      </c>
      <c r="I40" s="699">
        <v>94</v>
      </c>
      <c r="J40" s="700">
        <v>0.9</v>
      </c>
      <c r="K40" s="701">
        <v>1</v>
      </c>
      <c r="L40" s="700">
        <v>50</v>
      </c>
      <c r="M40" s="701">
        <v>1</v>
      </c>
      <c r="N40" s="700">
        <v>150</v>
      </c>
      <c r="O40" s="700"/>
      <c r="P40" s="700"/>
      <c r="Q40" s="700"/>
      <c r="R40" s="700"/>
      <c r="S40" s="700"/>
      <c r="T40" s="700"/>
      <c r="U40" s="700"/>
      <c r="V40" s="700"/>
      <c r="W40" s="700">
        <f t="shared" si="5"/>
        <v>1434.6</v>
      </c>
      <c r="X40" s="700">
        <f t="shared" si="3"/>
        <v>71.73</v>
      </c>
      <c r="Y40" s="700">
        <f t="shared" si="4"/>
        <v>1506.33</v>
      </c>
      <c r="Z40" s="818">
        <v>5459</v>
      </c>
      <c r="AA40" s="626"/>
    </row>
    <row r="41" spans="1:65" s="559" customFormat="1">
      <c r="A41" s="817">
        <v>42208</v>
      </c>
      <c r="B41" s="817"/>
      <c r="C41" s="697">
        <v>1</v>
      </c>
      <c r="D41" s="918">
        <v>1000</v>
      </c>
      <c r="E41" s="919"/>
      <c r="F41" s="918">
        <v>125</v>
      </c>
      <c r="G41" s="699">
        <v>1</v>
      </c>
      <c r="H41" s="700">
        <v>150</v>
      </c>
      <c r="I41" s="699">
        <v>57</v>
      </c>
      <c r="J41" s="700">
        <v>0.9</v>
      </c>
      <c r="K41" s="701">
        <v>1</v>
      </c>
      <c r="L41" s="700">
        <v>50</v>
      </c>
      <c r="M41" s="701">
        <v>1</v>
      </c>
      <c r="N41" s="700">
        <v>150</v>
      </c>
      <c r="O41" s="700"/>
      <c r="P41" s="700"/>
      <c r="Q41" s="700"/>
      <c r="R41" s="700"/>
      <c r="S41" s="700"/>
      <c r="T41" s="700"/>
      <c r="U41" s="700"/>
      <c r="V41" s="700"/>
      <c r="W41" s="700">
        <f t="shared" si="5"/>
        <v>1401.3</v>
      </c>
      <c r="X41" s="700">
        <f t="shared" si="3"/>
        <v>70.064999999999998</v>
      </c>
      <c r="Y41" s="700">
        <f t="shared" si="4"/>
        <v>1471.365</v>
      </c>
      <c r="Z41" s="818">
        <v>5459</v>
      </c>
      <c r="AA41" s="626"/>
    </row>
    <row r="42" spans="1:65" s="559" customFormat="1">
      <c r="A42" s="817">
        <v>42209</v>
      </c>
      <c r="B42" s="817"/>
      <c r="C42" s="697">
        <v>1</v>
      </c>
      <c r="D42" s="918">
        <v>1000</v>
      </c>
      <c r="E42" s="919"/>
      <c r="F42" s="918">
        <v>125</v>
      </c>
      <c r="G42" s="699">
        <v>1</v>
      </c>
      <c r="H42" s="700">
        <v>150</v>
      </c>
      <c r="I42" s="699">
        <v>47</v>
      </c>
      <c r="J42" s="700">
        <v>0.9</v>
      </c>
      <c r="K42" s="701">
        <v>1</v>
      </c>
      <c r="L42" s="700">
        <v>50</v>
      </c>
      <c r="M42" s="701">
        <v>1</v>
      </c>
      <c r="N42" s="700">
        <v>150</v>
      </c>
      <c r="O42" s="700"/>
      <c r="P42" s="700"/>
      <c r="Q42" s="700"/>
      <c r="R42" s="700"/>
      <c r="S42" s="700"/>
      <c r="T42" s="700"/>
      <c r="U42" s="700"/>
      <c r="V42" s="700"/>
      <c r="W42" s="700">
        <f t="shared" si="5"/>
        <v>1392.3</v>
      </c>
      <c r="X42" s="700">
        <f t="shared" si="3"/>
        <v>69.614999999999995</v>
      </c>
      <c r="Y42" s="700">
        <f t="shared" si="4"/>
        <v>1461.915</v>
      </c>
      <c r="Z42" s="818">
        <v>5459</v>
      </c>
      <c r="AA42" s="626"/>
    </row>
    <row r="43" spans="1:65" s="559" customFormat="1">
      <c r="A43" s="817">
        <v>42210</v>
      </c>
      <c r="B43" s="817"/>
      <c r="C43" s="697">
        <v>1</v>
      </c>
      <c r="D43" s="918">
        <v>1000</v>
      </c>
      <c r="E43" s="919"/>
      <c r="F43" s="918">
        <v>125</v>
      </c>
      <c r="G43" s="699">
        <v>1</v>
      </c>
      <c r="H43" s="700">
        <v>150</v>
      </c>
      <c r="I43" s="699">
        <v>100</v>
      </c>
      <c r="J43" s="700">
        <v>0.9</v>
      </c>
      <c r="K43" s="701">
        <v>1</v>
      </c>
      <c r="L43" s="700">
        <v>50</v>
      </c>
      <c r="M43" s="701">
        <v>1</v>
      </c>
      <c r="N43" s="700">
        <v>150</v>
      </c>
      <c r="O43" s="700"/>
      <c r="P43" s="700"/>
      <c r="Q43" s="700"/>
      <c r="R43" s="700"/>
      <c r="S43" s="700"/>
      <c r="T43" s="700"/>
      <c r="U43" s="700"/>
      <c r="V43" s="700"/>
      <c r="W43" s="700">
        <f t="shared" si="5"/>
        <v>1440</v>
      </c>
      <c r="X43" s="700">
        <f t="shared" si="3"/>
        <v>72</v>
      </c>
      <c r="Y43" s="700">
        <f t="shared" si="4"/>
        <v>1512</v>
      </c>
      <c r="Z43" s="818">
        <v>5459</v>
      </c>
      <c r="AA43" s="626"/>
    </row>
    <row r="44" spans="1:65" s="559" customFormat="1">
      <c r="A44" s="817">
        <v>42212</v>
      </c>
      <c r="B44" s="817"/>
      <c r="C44" s="697">
        <v>1</v>
      </c>
      <c r="D44" s="918">
        <v>1000</v>
      </c>
      <c r="E44" s="919"/>
      <c r="F44" s="918">
        <v>125</v>
      </c>
      <c r="G44" s="699">
        <v>1</v>
      </c>
      <c r="H44" s="700">
        <v>150</v>
      </c>
      <c r="I44" s="699">
        <v>50</v>
      </c>
      <c r="J44" s="700">
        <v>0.9</v>
      </c>
      <c r="K44" s="701">
        <v>1</v>
      </c>
      <c r="L44" s="700">
        <v>50</v>
      </c>
      <c r="M44" s="701">
        <v>1</v>
      </c>
      <c r="N44" s="700">
        <v>150</v>
      </c>
      <c r="O44" s="700"/>
      <c r="P44" s="700"/>
      <c r="Q44" s="700"/>
      <c r="R44" s="700"/>
      <c r="S44" s="700"/>
      <c r="T44" s="700"/>
      <c r="U44" s="700"/>
      <c r="V44" s="700"/>
      <c r="W44" s="700">
        <f t="shared" si="5"/>
        <v>1395</v>
      </c>
      <c r="X44" s="700">
        <f t="shared" si="3"/>
        <v>69.75</v>
      </c>
      <c r="Y44" s="700">
        <f t="shared" si="4"/>
        <v>1464.75</v>
      </c>
      <c r="Z44" s="818">
        <v>5459</v>
      </c>
      <c r="AA44" s="626"/>
    </row>
    <row r="45" spans="1:65" s="559" customFormat="1">
      <c r="A45" s="817">
        <v>42213</v>
      </c>
      <c r="B45" s="817"/>
      <c r="C45" s="697">
        <v>1</v>
      </c>
      <c r="D45" s="918">
        <v>1000</v>
      </c>
      <c r="E45" s="919"/>
      <c r="F45" s="918">
        <v>125</v>
      </c>
      <c r="G45" s="699">
        <v>1</v>
      </c>
      <c r="H45" s="700">
        <v>150</v>
      </c>
      <c r="I45" s="699">
        <v>20</v>
      </c>
      <c r="J45" s="700">
        <v>0.9</v>
      </c>
      <c r="K45" s="701">
        <v>1</v>
      </c>
      <c r="L45" s="700">
        <v>50</v>
      </c>
      <c r="M45" s="701">
        <v>1</v>
      </c>
      <c r="N45" s="700">
        <v>150</v>
      </c>
      <c r="O45" s="700"/>
      <c r="P45" s="700"/>
      <c r="Q45" s="700"/>
      <c r="R45" s="700"/>
      <c r="S45" s="700"/>
      <c r="T45" s="700"/>
      <c r="U45" s="700"/>
      <c r="V45" s="700"/>
      <c r="W45" s="700">
        <f t="shared" si="5"/>
        <v>1368</v>
      </c>
      <c r="X45" s="700">
        <f t="shared" si="3"/>
        <v>68.400000000000006</v>
      </c>
      <c r="Y45" s="700">
        <f t="shared" si="4"/>
        <v>1436.4</v>
      </c>
      <c r="Z45" s="818">
        <v>5459</v>
      </c>
      <c r="AA45" s="626"/>
    </row>
    <row r="46" spans="1:65" s="559" customFormat="1">
      <c r="A46" s="817">
        <v>42214</v>
      </c>
      <c r="B46" s="817"/>
      <c r="C46" s="697">
        <v>1</v>
      </c>
      <c r="D46" s="918">
        <v>1000</v>
      </c>
      <c r="E46" s="919"/>
      <c r="F46" s="918">
        <v>125</v>
      </c>
      <c r="G46" s="699">
        <v>1</v>
      </c>
      <c r="H46" s="700">
        <v>150</v>
      </c>
      <c r="I46" s="699">
        <v>0</v>
      </c>
      <c r="J46" s="700">
        <v>0.9</v>
      </c>
      <c r="K46" s="701">
        <v>1</v>
      </c>
      <c r="L46" s="700">
        <v>50</v>
      </c>
      <c r="M46" s="701">
        <v>1</v>
      </c>
      <c r="N46" s="700">
        <v>150</v>
      </c>
      <c r="O46" s="700"/>
      <c r="P46" s="700"/>
      <c r="Q46" s="700"/>
      <c r="R46" s="700"/>
      <c r="S46" s="700"/>
      <c r="T46" s="700"/>
      <c r="U46" s="700"/>
      <c r="V46" s="700"/>
      <c r="W46" s="700">
        <f t="shared" si="5"/>
        <v>1350</v>
      </c>
      <c r="X46" s="700">
        <f t="shared" si="3"/>
        <v>67.5</v>
      </c>
      <c r="Y46" s="700">
        <f t="shared" si="4"/>
        <v>1417.5</v>
      </c>
      <c r="Z46" s="818">
        <v>5459</v>
      </c>
      <c r="AA46" s="626"/>
    </row>
    <row r="47" spans="1:65" s="559" customFormat="1">
      <c r="A47" s="817">
        <v>42215</v>
      </c>
      <c r="B47" s="817"/>
      <c r="C47" s="697">
        <v>1</v>
      </c>
      <c r="D47" s="918">
        <v>1000</v>
      </c>
      <c r="E47" s="919"/>
      <c r="F47" s="918">
        <v>125</v>
      </c>
      <c r="G47" s="699">
        <v>1</v>
      </c>
      <c r="H47" s="700">
        <v>150</v>
      </c>
      <c r="I47" s="699">
        <v>0</v>
      </c>
      <c r="J47" s="700">
        <v>0.9</v>
      </c>
      <c r="K47" s="701">
        <v>1</v>
      </c>
      <c r="L47" s="700">
        <v>50</v>
      </c>
      <c r="M47" s="701">
        <v>1</v>
      </c>
      <c r="N47" s="700">
        <v>150</v>
      </c>
      <c r="O47" s="700"/>
      <c r="P47" s="700"/>
      <c r="Q47" s="700"/>
      <c r="R47" s="700"/>
      <c r="S47" s="700"/>
      <c r="T47" s="700"/>
      <c r="U47" s="700"/>
      <c r="V47" s="700"/>
      <c r="W47" s="700">
        <f t="shared" si="5"/>
        <v>1350</v>
      </c>
      <c r="X47" s="700">
        <f t="shared" si="3"/>
        <v>67.5</v>
      </c>
      <c r="Y47" s="700">
        <f t="shared" si="4"/>
        <v>1417.5</v>
      </c>
      <c r="Z47" s="818">
        <v>5459</v>
      </c>
      <c r="AA47" s="626"/>
    </row>
    <row r="48" spans="1:65" s="192" customFormat="1">
      <c r="A48" s="817">
        <v>42216</v>
      </c>
      <c r="B48" s="817"/>
      <c r="C48" s="697">
        <v>1</v>
      </c>
      <c r="D48" s="918">
        <v>1000</v>
      </c>
      <c r="E48" s="919"/>
      <c r="F48" s="918">
        <v>125</v>
      </c>
      <c r="G48" s="699">
        <v>1</v>
      </c>
      <c r="H48" s="700">
        <v>150</v>
      </c>
      <c r="I48" s="699">
        <v>26</v>
      </c>
      <c r="J48" s="700">
        <v>0.9</v>
      </c>
      <c r="K48" s="701">
        <v>1</v>
      </c>
      <c r="L48" s="700">
        <v>50</v>
      </c>
      <c r="M48" s="701">
        <v>1</v>
      </c>
      <c r="N48" s="700">
        <v>150</v>
      </c>
      <c r="O48" s="700"/>
      <c r="P48" s="700"/>
      <c r="Q48" s="700"/>
      <c r="R48" s="700"/>
      <c r="S48" s="700"/>
      <c r="T48" s="700"/>
      <c r="U48" s="700"/>
      <c r="V48" s="700"/>
      <c r="W48" s="700">
        <f t="shared" si="5"/>
        <v>1373.4</v>
      </c>
      <c r="X48" s="700">
        <f t="shared" si="3"/>
        <v>68.67</v>
      </c>
      <c r="Y48" s="700">
        <f t="shared" si="4"/>
        <v>1442.0700000000002</v>
      </c>
      <c r="Z48" s="818">
        <v>5459</v>
      </c>
      <c r="AA48" s="922"/>
      <c r="AB48" s="923"/>
      <c r="AC48" s="559"/>
      <c r="AD48" s="559"/>
      <c r="AE48" s="559"/>
      <c r="AF48" s="559"/>
      <c r="AG48" s="559"/>
      <c r="AH48" s="559"/>
      <c r="AI48" s="559"/>
      <c r="AJ48" s="559"/>
      <c r="AK48" s="559"/>
      <c r="AL48" s="559"/>
      <c r="AM48" s="559"/>
      <c r="AN48" s="559"/>
      <c r="AO48" s="559"/>
      <c r="AP48" s="559"/>
      <c r="AQ48" s="559"/>
      <c r="AR48" s="559"/>
      <c r="AS48" s="559"/>
      <c r="AT48" s="559"/>
      <c r="AU48" s="559"/>
      <c r="AV48" s="559"/>
      <c r="AW48" s="559"/>
      <c r="AX48" s="559"/>
      <c r="AY48" s="559"/>
      <c r="AZ48" s="559"/>
      <c r="BA48" s="559"/>
      <c r="BB48" s="559"/>
      <c r="BC48" s="559"/>
      <c r="BD48" s="559"/>
      <c r="BE48" s="559"/>
      <c r="BF48" s="559"/>
      <c r="BG48" s="559"/>
      <c r="BH48" s="559"/>
      <c r="BI48" s="559"/>
      <c r="BJ48" s="559"/>
      <c r="BK48" s="559"/>
      <c r="BL48" s="559"/>
      <c r="BM48" s="559"/>
    </row>
    <row r="49" spans="1:65" s="192" customFormat="1">
      <c r="A49" s="197">
        <v>42217</v>
      </c>
      <c r="B49" s="197"/>
      <c r="C49" s="499">
        <v>1</v>
      </c>
      <c r="D49" s="500">
        <v>1000</v>
      </c>
      <c r="E49" s="501"/>
      <c r="F49" s="500">
        <v>125</v>
      </c>
      <c r="G49" s="187">
        <v>1</v>
      </c>
      <c r="H49" s="188">
        <v>150</v>
      </c>
      <c r="I49" s="187">
        <v>50</v>
      </c>
      <c r="J49" s="188">
        <v>0.9</v>
      </c>
      <c r="K49" s="186">
        <v>1</v>
      </c>
      <c r="L49" s="188">
        <v>50</v>
      </c>
      <c r="M49" s="186">
        <v>1</v>
      </c>
      <c r="N49" s="188">
        <v>150</v>
      </c>
      <c r="O49" s="188"/>
      <c r="P49" s="188"/>
      <c r="Q49" s="188"/>
      <c r="R49" s="188"/>
      <c r="S49" s="188"/>
      <c r="T49" s="188"/>
      <c r="U49" s="188"/>
      <c r="V49" s="188"/>
      <c r="W49" s="188">
        <f t="shared" si="5"/>
        <v>1395</v>
      </c>
      <c r="X49" s="188">
        <f t="shared" si="3"/>
        <v>69.75</v>
      </c>
      <c r="Y49" s="188">
        <f t="shared" si="4"/>
        <v>1464.75</v>
      </c>
      <c r="Z49" s="199">
        <v>5502</v>
      </c>
      <c r="AA49" s="194"/>
    </row>
    <row r="50" spans="1:65" s="192" customFormat="1">
      <c r="A50" s="197">
        <v>42219</v>
      </c>
      <c r="B50" s="197"/>
      <c r="C50" s="499">
        <v>1</v>
      </c>
      <c r="D50" s="500">
        <v>1000</v>
      </c>
      <c r="E50" s="501"/>
      <c r="F50" s="500">
        <v>125</v>
      </c>
      <c r="G50" s="187">
        <v>1</v>
      </c>
      <c r="H50" s="188">
        <v>150</v>
      </c>
      <c r="I50" s="187">
        <v>61</v>
      </c>
      <c r="J50" s="188">
        <v>0.9</v>
      </c>
      <c r="K50" s="186">
        <v>1</v>
      </c>
      <c r="L50" s="188">
        <v>50</v>
      </c>
      <c r="M50" s="186">
        <v>1</v>
      </c>
      <c r="N50" s="188">
        <v>150</v>
      </c>
      <c r="O50" s="188"/>
      <c r="P50" s="188"/>
      <c r="Q50" s="188"/>
      <c r="R50" s="188"/>
      <c r="S50" s="188"/>
      <c r="T50" s="188"/>
      <c r="U50" s="188"/>
      <c r="V50" s="188"/>
      <c r="W50" s="188">
        <f t="shared" si="5"/>
        <v>1404.9</v>
      </c>
      <c r="X50" s="188">
        <f t="shared" si="3"/>
        <v>70.245000000000005</v>
      </c>
      <c r="Y50" s="188">
        <f t="shared" si="4"/>
        <v>1475.145</v>
      </c>
      <c r="Z50" s="199">
        <v>5502</v>
      </c>
      <c r="AA50" s="194"/>
    </row>
    <row r="51" spans="1:65" s="192" customFormat="1">
      <c r="A51" s="197">
        <v>42243</v>
      </c>
      <c r="B51" s="197"/>
      <c r="C51" s="499">
        <v>1</v>
      </c>
      <c r="D51" s="500">
        <v>1000</v>
      </c>
      <c r="E51" s="501"/>
      <c r="F51" s="500">
        <v>125</v>
      </c>
      <c r="G51" s="187">
        <v>1</v>
      </c>
      <c r="H51" s="188">
        <v>150</v>
      </c>
      <c r="I51" s="187"/>
      <c r="J51" s="188">
        <v>0.9</v>
      </c>
      <c r="K51" s="186">
        <v>1</v>
      </c>
      <c r="L51" s="188">
        <v>50</v>
      </c>
      <c r="M51" s="186">
        <v>1</v>
      </c>
      <c r="N51" s="188">
        <v>150</v>
      </c>
      <c r="O51" s="188"/>
      <c r="P51" s="188"/>
      <c r="Q51" s="188"/>
      <c r="R51" s="188"/>
      <c r="S51" s="188"/>
      <c r="T51" s="188"/>
      <c r="U51" s="188"/>
      <c r="V51" s="188"/>
      <c r="W51" s="188">
        <f t="shared" si="5"/>
        <v>1350</v>
      </c>
      <c r="X51" s="188">
        <f t="shared" si="3"/>
        <v>67.5</v>
      </c>
      <c r="Y51" s="188">
        <f t="shared" si="4"/>
        <v>1417.5</v>
      </c>
      <c r="Z51" s="199">
        <v>5502</v>
      </c>
      <c r="AA51" s="194"/>
    </row>
    <row r="52" spans="1:65" s="192" customFormat="1">
      <c r="A52" s="197">
        <v>42244</v>
      </c>
      <c r="B52" s="197"/>
      <c r="C52" s="499">
        <v>1</v>
      </c>
      <c r="D52" s="500">
        <v>1000</v>
      </c>
      <c r="E52" s="501"/>
      <c r="F52" s="500">
        <v>125</v>
      </c>
      <c r="G52" s="187">
        <v>1</v>
      </c>
      <c r="H52" s="188">
        <v>150</v>
      </c>
      <c r="I52" s="187"/>
      <c r="J52" s="188">
        <v>0.9</v>
      </c>
      <c r="K52" s="186">
        <v>1</v>
      </c>
      <c r="L52" s="188">
        <v>50</v>
      </c>
      <c r="M52" s="186">
        <v>1</v>
      </c>
      <c r="N52" s="188">
        <v>150</v>
      </c>
      <c r="O52" s="188"/>
      <c r="P52" s="188"/>
      <c r="Q52" s="188"/>
      <c r="R52" s="188"/>
      <c r="S52" s="188"/>
      <c r="T52" s="188"/>
      <c r="U52" s="188"/>
      <c r="V52" s="188"/>
      <c r="W52" s="188">
        <f t="shared" si="5"/>
        <v>1350</v>
      </c>
      <c r="X52" s="188">
        <f t="shared" si="3"/>
        <v>67.5</v>
      </c>
      <c r="Y52" s="188">
        <f t="shared" si="4"/>
        <v>1417.5</v>
      </c>
      <c r="Z52" s="199">
        <v>5502</v>
      </c>
      <c r="AA52" s="194"/>
    </row>
    <row r="53" spans="1:65" s="192" customFormat="1">
      <c r="A53" s="197">
        <v>42245</v>
      </c>
      <c r="B53" s="197"/>
      <c r="C53" s="499">
        <v>1</v>
      </c>
      <c r="D53" s="500">
        <v>1000</v>
      </c>
      <c r="E53" s="501"/>
      <c r="F53" s="500">
        <v>125</v>
      </c>
      <c r="G53" s="187">
        <v>1</v>
      </c>
      <c r="H53" s="188">
        <v>150</v>
      </c>
      <c r="I53" s="187"/>
      <c r="J53" s="188">
        <v>0.9</v>
      </c>
      <c r="K53" s="186">
        <v>1</v>
      </c>
      <c r="L53" s="188">
        <v>50</v>
      </c>
      <c r="M53" s="186">
        <v>1</v>
      </c>
      <c r="N53" s="188">
        <v>150</v>
      </c>
      <c r="O53" s="188"/>
      <c r="P53" s="188"/>
      <c r="Q53" s="188"/>
      <c r="R53" s="188"/>
      <c r="S53" s="188"/>
      <c r="T53" s="188"/>
      <c r="U53" s="188"/>
      <c r="V53" s="188"/>
      <c r="W53" s="188">
        <f t="shared" ref="W53:W58" si="6">(G53*H53)+(I53*J53)+(M53*N53)+(K53*L53)+(C53*D53)+(E53*F53)</f>
        <v>1350</v>
      </c>
      <c r="X53" s="188">
        <f t="shared" ref="X53:X58" si="7">(W53*5%)</f>
        <v>67.5</v>
      </c>
      <c r="Y53" s="188">
        <f t="shared" ref="Y53:Y58" si="8">SUM(W53+X53)</f>
        <v>1417.5</v>
      </c>
      <c r="Z53" s="199">
        <v>5502</v>
      </c>
      <c r="AA53" s="194"/>
    </row>
    <row r="54" spans="1:65" s="192" customFormat="1">
      <c r="A54" s="197">
        <v>42246</v>
      </c>
      <c r="B54" s="197"/>
      <c r="C54" s="499"/>
      <c r="D54" s="500">
        <v>1000</v>
      </c>
      <c r="E54" s="501"/>
      <c r="F54" s="500">
        <v>125</v>
      </c>
      <c r="G54" s="187"/>
      <c r="H54" s="188">
        <v>150</v>
      </c>
      <c r="I54" s="187"/>
      <c r="J54" s="188">
        <v>0.9</v>
      </c>
      <c r="K54" s="186"/>
      <c r="L54" s="188">
        <v>50</v>
      </c>
      <c r="M54" s="186"/>
      <c r="N54" s="188"/>
      <c r="O54" s="188"/>
      <c r="P54" s="188"/>
      <c r="Q54" s="188"/>
      <c r="R54" s="188"/>
      <c r="S54" s="188"/>
      <c r="T54" s="188"/>
      <c r="U54" s="188"/>
      <c r="V54" s="188"/>
      <c r="W54" s="188">
        <f t="shared" si="6"/>
        <v>0</v>
      </c>
      <c r="X54" s="188">
        <f t="shared" si="7"/>
        <v>0</v>
      </c>
      <c r="Y54" s="188">
        <f t="shared" si="8"/>
        <v>0</v>
      </c>
      <c r="Z54" s="199">
        <v>5502</v>
      </c>
      <c r="AA54" s="194"/>
    </row>
    <row r="55" spans="1:65" s="136" customFormat="1">
      <c r="A55" s="197">
        <v>42247</v>
      </c>
      <c r="B55" s="197"/>
      <c r="C55" s="499">
        <v>1</v>
      </c>
      <c r="D55" s="500">
        <v>1000</v>
      </c>
      <c r="E55" s="501"/>
      <c r="F55" s="500">
        <v>125</v>
      </c>
      <c r="G55" s="187">
        <v>1</v>
      </c>
      <c r="H55" s="188">
        <v>150</v>
      </c>
      <c r="I55" s="187"/>
      <c r="J55" s="188">
        <v>0.9</v>
      </c>
      <c r="K55" s="186">
        <v>1</v>
      </c>
      <c r="L55" s="188">
        <v>50</v>
      </c>
      <c r="M55" s="186">
        <v>1</v>
      </c>
      <c r="N55" s="188">
        <v>150</v>
      </c>
      <c r="O55" s="188"/>
      <c r="P55" s="188"/>
      <c r="Q55" s="188"/>
      <c r="R55" s="188"/>
      <c r="S55" s="188"/>
      <c r="T55" s="188"/>
      <c r="U55" s="188"/>
      <c r="V55" s="188"/>
      <c r="W55" s="188">
        <f t="shared" si="6"/>
        <v>1350</v>
      </c>
      <c r="X55" s="188">
        <f t="shared" si="7"/>
        <v>67.5</v>
      </c>
      <c r="Y55" s="188">
        <f t="shared" si="8"/>
        <v>1417.5</v>
      </c>
      <c r="Z55" s="199">
        <v>5502</v>
      </c>
      <c r="AA55" s="205" t="s">
        <v>405</v>
      </c>
      <c r="AB55" s="502">
        <v>8199.9</v>
      </c>
      <c r="AC55" s="192"/>
      <c r="AD55" s="192"/>
      <c r="AE55" s="192"/>
      <c r="AF55" s="192"/>
      <c r="AG55" s="192"/>
      <c r="AH55" s="192"/>
      <c r="AI55" s="192"/>
      <c r="AJ55" s="192"/>
      <c r="AK55" s="192"/>
      <c r="AL55" s="192"/>
      <c r="AM55" s="192"/>
      <c r="AN55" s="192"/>
      <c r="AO55" s="192"/>
      <c r="AP55" s="192"/>
      <c r="AQ55" s="192"/>
      <c r="AR55" s="192"/>
      <c r="AS55" s="192"/>
      <c r="AT55" s="192"/>
      <c r="AU55" s="192"/>
      <c r="AV55" s="192"/>
      <c r="AW55" s="192"/>
      <c r="AX55" s="192"/>
      <c r="AY55" s="192"/>
      <c r="AZ55" s="192"/>
      <c r="BA55" s="192"/>
      <c r="BB55" s="192"/>
      <c r="BC55" s="192"/>
      <c r="BD55" s="192"/>
      <c r="BE55" s="192"/>
      <c r="BF55" s="192"/>
      <c r="BG55" s="192"/>
      <c r="BH55" s="192"/>
      <c r="BI55" s="192"/>
      <c r="BJ55" s="192"/>
      <c r="BK55" s="192"/>
      <c r="BL55" s="192"/>
      <c r="BM55" s="192"/>
    </row>
    <row r="56" spans="1:65" s="136" customFormat="1">
      <c r="A56" s="137">
        <v>42248</v>
      </c>
      <c r="B56" s="137"/>
      <c r="C56" s="841">
        <v>1</v>
      </c>
      <c r="D56" s="924">
        <v>1000</v>
      </c>
      <c r="E56" s="667"/>
      <c r="F56" s="924">
        <v>125</v>
      </c>
      <c r="G56" s="131">
        <v>1</v>
      </c>
      <c r="H56" s="132">
        <v>150</v>
      </c>
      <c r="I56" s="131"/>
      <c r="J56" s="132">
        <v>0.9</v>
      </c>
      <c r="K56" s="133">
        <v>1</v>
      </c>
      <c r="L56" s="132">
        <v>50</v>
      </c>
      <c r="M56" s="133">
        <v>1</v>
      </c>
      <c r="N56" s="132">
        <v>150</v>
      </c>
      <c r="O56" s="132"/>
      <c r="P56" s="132"/>
      <c r="Q56" s="132"/>
      <c r="R56" s="132"/>
      <c r="S56" s="132"/>
      <c r="T56" s="132"/>
      <c r="U56" s="132"/>
      <c r="V56" s="132"/>
      <c r="W56" s="132">
        <f t="shared" si="6"/>
        <v>1350</v>
      </c>
      <c r="X56" s="132">
        <f t="shared" si="7"/>
        <v>67.5</v>
      </c>
      <c r="Y56" s="132">
        <f t="shared" si="8"/>
        <v>1417.5</v>
      </c>
      <c r="Z56" s="140">
        <v>5582</v>
      </c>
      <c r="AA56" s="925"/>
    </row>
    <row r="57" spans="1:65" s="136" customFormat="1">
      <c r="A57" s="137">
        <v>42249</v>
      </c>
      <c r="B57" s="137"/>
      <c r="C57" s="841">
        <v>1</v>
      </c>
      <c r="D57" s="924">
        <v>1000</v>
      </c>
      <c r="E57" s="667"/>
      <c r="F57" s="924">
        <v>125</v>
      </c>
      <c r="G57" s="131">
        <v>1</v>
      </c>
      <c r="H57" s="132">
        <v>150</v>
      </c>
      <c r="I57" s="131"/>
      <c r="J57" s="132">
        <v>0.9</v>
      </c>
      <c r="K57" s="133">
        <v>1</v>
      </c>
      <c r="L57" s="132">
        <v>50</v>
      </c>
      <c r="M57" s="133">
        <v>1</v>
      </c>
      <c r="N57" s="132">
        <v>150</v>
      </c>
      <c r="O57" s="132"/>
      <c r="P57" s="132"/>
      <c r="Q57" s="132"/>
      <c r="R57" s="132"/>
      <c r="S57" s="132"/>
      <c r="T57" s="132"/>
      <c r="U57" s="132"/>
      <c r="V57" s="132"/>
      <c r="W57" s="132">
        <f t="shared" si="6"/>
        <v>1350</v>
      </c>
      <c r="X57" s="132">
        <f t="shared" si="7"/>
        <v>67.5</v>
      </c>
      <c r="Y57" s="132">
        <f t="shared" si="8"/>
        <v>1417.5</v>
      </c>
      <c r="Z57" s="140">
        <v>5582</v>
      </c>
      <c r="AA57" s="148"/>
    </row>
    <row r="58" spans="1:65" s="136" customFormat="1" hidden="1">
      <c r="A58" s="137">
        <v>42250</v>
      </c>
      <c r="B58" s="137"/>
      <c r="C58" s="841">
        <v>1</v>
      </c>
      <c r="D58" s="924">
        <v>1000</v>
      </c>
      <c r="E58" s="667"/>
      <c r="F58" s="924">
        <v>125</v>
      </c>
      <c r="G58" s="131">
        <v>1</v>
      </c>
      <c r="H58" s="132">
        <v>150</v>
      </c>
      <c r="I58" s="131"/>
      <c r="J58" s="132">
        <v>0.9</v>
      </c>
      <c r="K58" s="133">
        <v>1</v>
      </c>
      <c r="L58" s="132">
        <v>50</v>
      </c>
      <c r="M58" s="133">
        <v>1</v>
      </c>
      <c r="N58" s="132">
        <v>150</v>
      </c>
      <c r="O58" s="132"/>
      <c r="P58" s="132"/>
      <c r="Q58" s="132"/>
      <c r="R58" s="132"/>
      <c r="S58" s="132"/>
      <c r="T58" s="132"/>
      <c r="U58" s="132"/>
      <c r="V58" s="132"/>
      <c r="W58" s="132">
        <f t="shared" si="6"/>
        <v>1350</v>
      </c>
      <c r="X58" s="132">
        <f t="shared" si="7"/>
        <v>67.5</v>
      </c>
      <c r="Y58" s="132">
        <f t="shared" si="8"/>
        <v>1417.5</v>
      </c>
      <c r="Z58" s="140">
        <v>5582</v>
      </c>
      <c r="AA58" s="148"/>
    </row>
    <row r="59" spans="1:65" s="136" customFormat="1" hidden="1">
      <c r="A59" s="137">
        <v>42251</v>
      </c>
      <c r="B59" s="137"/>
      <c r="C59" s="137"/>
      <c r="D59" s="137"/>
      <c r="E59" s="137"/>
      <c r="F59" s="137"/>
      <c r="G59" s="140"/>
      <c r="H59" s="132">
        <v>0</v>
      </c>
      <c r="I59" s="143"/>
      <c r="J59" s="132">
        <v>0</v>
      </c>
      <c r="K59" s="132"/>
      <c r="L59" s="132"/>
      <c r="M59" s="143"/>
      <c r="N59" s="132">
        <v>0</v>
      </c>
      <c r="O59" s="132"/>
      <c r="P59" s="132"/>
      <c r="Q59" s="132"/>
      <c r="R59" s="132"/>
      <c r="S59" s="132"/>
      <c r="T59" s="132"/>
      <c r="U59" s="132"/>
      <c r="V59" s="132"/>
      <c r="W59" s="132">
        <f t="shared" ref="W59:W67" si="9">(G59*H59)+(I59*J59)+(M59*N59)+(K59*L59)+(C59*D59)+(E59*F59)</f>
        <v>0</v>
      </c>
      <c r="X59" s="132">
        <f t="shared" ref="X59:X67" si="10">(W59*5%)</f>
        <v>0</v>
      </c>
      <c r="Y59" s="132">
        <f t="shared" ref="Y59:Y67" si="11">SUM(W59+X59)</f>
        <v>0</v>
      </c>
      <c r="Z59" s="140"/>
      <c r="AA59" s="148"/>
    </row>
    <row r="60" spans="1:65" s="136" customFormat="1" hidden="1">
      <c r="A60" s="137">
        <v>42252</v>
      </c>
      <c r="B60" s="137"/>
      <c r="C60" s="137"/>
      <c r="D60" s="137"/>
      <c r="E60" s="137"/>
      <c r="F60" s="137"/>
      <c r="G60" s="140"/>
      <c r="H60" s="132">
        <v>0</v>
      </c>
      <c r="I60" s="132"/>
      <c r="J60" s="132">
        <v>0</v>
      </c>
      <c r="K60" s="132"/>
      <c r="L60" s="132"/>
      <c r="M60" s="132"/>
      <c r="N60" s="132">
        <v>0</v>
      </c>
      <c r="O60" s="132"/>
      <c r="P60" s="132"/>
      <c r="Q60" s="132"/>
      <c r="R60" s="132"/>
      <c r="S60" s="132"/>
      <c r="T60" s="132"/>
      <c r="U60" s="132"/>
      <c r="V60" s="132"/>
      <c r="W60" s="132">
        <f t="shared" si="9"/>
        <v>0</v>
      </c>
      <c r="X60" s="132">
        <f t="shared" si="10"/>
        <v>0</v>
      </c>
      <c r="Y60" s="132">
        <f t="shared" si="11"/>
        <v>0</v>
      </c>
      <c r="Z60" s="140"/>
      <c r="AA60" s="148"/>
    </row>
    <row r="61" spans="1:65" s="136" customFormat="1" hidden="1">
      <c r="A61" s="137">
        <v>42253</v>
      </c>
      <c r="B61" s="137"/>
      <c r="C61" s="137"/>
      <c r="D61" s="137"/>
      <c r="E61" s="137"/>
      <c r="F61" s="137"/>
      <c r="G61" s="140"/>
      <c r="H61" s="132">
        <v>0</v>
      </c>
      <c r="I61" s="143"/>
      <c r="J61" s="132">
        <v>0</v>
      </c>
      <c r="K61" s="132"/>
      <c r="L61" s="132"/>
      <c r="M61" s="143"/>
      <c r="N61" s="132">
        <v>0</v>
      </c>
      <c r="O61" s="132"/>
      <c r="P61" s="132"/>
      <c r="Q61" s="132"/>
      <c r="R61" s="132"/>
      <c r="S61" s="132"/>
      <c r="T61" s="132"/>
      <c r="U61" s="132"/>
      <c r="V61" s="132"/>
      <c r="W61" s="132">
        <f t="shared" si="9"/>
        <v>0</v>
      </c>
      <c r="X61" s="132">
        <f t="shared" si="10"/>
        <v>0</v>
      </c>
      <c r="Y61" s="132">
        <f t="shared" si="11"/>
        <v>0</v>
      </c>
      <c r="Z61" s="140"/>
      <c r="AA61" s="148"/>
    </row>
    <row r="62" spans="1:65" s="136" customFormat="1" hidden="1">
      <c r="A62" s="137">
        <v>42254</v>
      </c>
      <c r="B62" s="137"/>
      <c r="C62" s="137"/>
      <c r="D62" s="137"/>
      <c r="E62" s="137"/>
      <c r="F62" s="137"/>
      <c r="G62" s="140"/>
      <c r="H62" s="132">
        <v>0</v>
      </c>
      <c r="I62" s="132"/>
      <c r="J62" s="132">
        <v>0</v>
      </c>
      <c r="K62" s="132"/>
      <c r="L62" s="132"/>
      <c r="M62" s="132"/>
      <c r="N62" s="132">
        <v>0</v>
      </c>
      <c r="O62" s="132"/>
      <c r="P62" s="132"/>
      <c r="Q62" s="132"/>
      <c r="R62" s="132"/>
      <c r="S62" s="132"/>
      <c r="T62" s="132"/>
      <c r="U62" s="132"/>
      <c r="V62" s="132"/>
      <c r="W62" s="132">
        <f t="shared" si="9"/>
        <v>0</v>
      </c>
      <c r="X62" s="132">
        <f t="shared" si="10"/>
        <v>0</v>
      </c>
      <c r="Y62" s="132">
        <f t="shared" si="11"/>
        <v>0</v>
      </c>
      <c r="Z62" s="140"/>
      <c r="AA62" s="148"/>
    </row>
    <row r="63" spans="1:65" s="136" customFormat="1" hidden="1">
      <c r="A63" s="137">
        <v>42255</v>
      </c>
      <c r="B63" s="137"/>
      <c r="C63" s="137"/>
      <c r="D63" s="137"/>
      <c r="E63" s="137"/>
      <c r="F63" s="137"/>
      <c r="G63" s="140"/>
      <c r="H63" s="132">
        <v>0</v>
      </c>
      <c r="I63" s="132"/>
      <c r="J63" s="132">
        <v>0</v>
      </c>
      <c r="K63" s="132"/>
      <c r="L63" s="132"/>
      <c r="M63" s="132"/>
      <c r="N63" s="132">
        <v>0</v>
      </c>
      <c r="O63" s="132"/>
      <c r="P63" s="132"/>
      <c r="Q63" s="132"/>
      <c r="R63" s="132"/>
      <c r="S63" s="132"/>
      <c r="T63" s="132"/>
      <c r="U63" s="132"/>
      <c r="V63" s="132"/>
      <c r="W63" s="132">
        <f t="shared" si="9"/>
        <v>0</v>
      </c>
      <c r="X63" s="132">
        <f t="shared" si="10"/>
        <v>0</v>
      </c>
      <c r="Y63" s="132">
        <f t="shared" si="11"/>
        <v>0</v>
      </c>
      <c r="Z63" s="140"/>
      <c r="AA63" s="148"/>
    </row>
    <row r="64" spans="1:65" s="136" customFormat="1" hidden="1">
      <c r="A64" s="137">
        <v>42256</v>
      </c>
      <c r="B64" s="137"/>
      <c r="C64" s="137"/>
      <c r="D64" s="137"/>
      <c r="E64" s="137"/>
      <c r="F64" s="137"/>
      <c r="G64" s="140"/>
      <c r="H64" s="132">
        <v>0</v>
      </c>
      <c r="I64" s="143"/>
      <c r="J64" s="132">
        <v>0</v>
      </c>
      <c r="K64" s="132"/>
      <c r="L64" s="132"/>
      <c r="M64" s="143"/>
      <c r="N64" s="132">
        <v>0</v>
      </c>
      <c r="O64" s="132"/>
      <c r="P64" s="132"/>
      <c r="Q64" s="132"/>
      <c r="R64" s="132"/>
      <c r="S64" s="132"/>
      <c r="T64" s="132"/>
      <c r="U64" s="132"/>
      <c r="V64" s="132"/>
      <c r="W64" s="132">
        <f t="shared" si="9"/>
        <v>0</v>
      </c>
      <c r="X64" s="132">
        <f t="shared" si="10"/>
        <v>0</v>
      </c>
      <c r="Y64" s="132">
        <f t="shared" si="11"/>
        <v>0</v>
      </c>
      <c r="Z64" s="140"/>
      <c r="AA64" s="148"/>
    </row>
    <row r="65" spans="1:27" s="136" customFormat="1">
      <c r="A65" s="137">
        <v>42257</v>
      </c>
      <c r="B65" s="142"/>
      <c r="C65" s="142"/>
      <c r="D65" s="142"/>
      <c r="E65" s="142"/>
      <c r="F65" s="142"/>
      <c r="G65" s="140"/>
      <c r="H65" s="132">
        <v>0</v>
      </c>
      <c r="I65" s="143"/>
      <c r="J65" s="132">
        <v>0</v>
      </c>
      <c r="K65" s="132"/>
      <c r="L65" s="132"/>
      <c r="M65" s="143"/>
      <c r="N65" s="132">
        <v>0</v>
      </c>
      <c r="O65" s="132"/>
      <c r="P65" s="132"/>
      <c r="Q65" s="132"/>
      <c r="R65" s="132"/>
      <c r="S65" s="132"/>
      <c r="T65" s="132"/>
      <c r="U65" s="132"/>
      <c r="V65" s="132"/>
      <c r="W65" s="132">
        <f t="shared" si="9"/>
        <v>0</v>
      </c>
      <c r="X65" s="132">
        <f t="shared" si="10"/>
        <v>0</v>
      </c>
      <c r="Y65" s="132">
        <f t="shared" si="11"/>
        <v>0</v>
      </c>
      <c r="Z65" s="140"/>
      <c r="AA65" s="148"/>
    </row>
    <row r="66" spans="1:27" s="136" customFormat="1">
      <c r="A66" s="137">
        <v>42258</v>
      </c>
      <c r="B66" s="137"/>
      <c r="C66" s="841">
        <v>1</v>
      </c>
      <c r="D66" s="924">
        <v>1000</v>
      </c>
      <c r="E66" s="667"/>
      <c r="F66" s="924">
        <v>125</v>
      </c>
      <c r="G66" s="131">
        <v>1</v>
      </c>
      <c r="H66" s="132">
        <v>150</v>
      </c>
      <c r="I66" s="131"/>
      <c r="J66" s="132">
        <v>0.9</v>
      </c>
      <c r="K66" s="133">
        <v>1</v>
      </c>
      <c r="L66" s="132">
        <v>50</v>
      </c>
      <c r="M66" s="133">
        <v>1</v>
      </c>
      <c r="N66" s="132">
        <v>150</v>
      </c>
      <c r="O66" s="132"/>
      <c r="P66" s="132"/>
      <c r="Q66" s="132"/>
      <c r="R66" s="132"/>
      <c r="S66" s="132"/>
      <c r="T66" s="132"/>
      <c r="U66" s="132"/>
      <c r="V66" s="132"/>
      <c r="W66" s="132">
        <f t="shared" si="9"/>
        <v>1350</v>
      </c>
      <c r="X66" s="132">
        <f t="shared" si="10"/>
        <v>67.5</v>
      </c>
      <c r="Y66" s="132">
        <f t="shared" si="11"/>
        <v>1417.5</v>
      </c>
      <c r="Z66" s="140">
        <v>5582</v>
      </c>
      <c r="AA66" s="148"/>
    </row>
    <row r="67" spans="1:27" s="136" customFormat="1">
      <c r="A67" s="137">
        <v>42259</v>
      </c>
      <c r="B67" s="137"/>
      <c r="C67" s="841">
        <v>1</v>
      </c>
      <c r="D67" s="924">
        <v>1000</v>
      </c>
      <c r="E67" s="667"/>
      <c r="F67" s="924">
        <v>125</v>
      </c>
      <c r="G67" s="131">
        <v>1</v>
      </c>
      <c r="H67" s="132">
        <v>150</v>
      </c>
      <c r="I67" s="131"/>
      <c r="J67" s="132">
        <v>0.9</v>
      </c>
      <c r="K67" s="133">
        <v>1</v>
      </c>
      <c r="L67" s="132">
        <v>50</v>
      </c>
      <c r="M67" s="133">
        <v>1</v>
      </c>
      <c r="N67" s="132">
        <v>150</v>
      </c>
      <c r="O67" s="132"/>
      <c r="P67" s="132"/>
      <c r="Q67" s="132"/>
      <c r="R67" s="132"/>
      <c r="S67" s="132"/>
      <c r="T67" s="132"/>
      <c r="U67" s="132"/>
      <c r="V67" s="132"/>
      <c r="W67" s="132">
        <f t="shared" si="9"/>
        <v>1350</v>
      </c>
      <c r="X67" s="132">
        <f t="shared" si="10"/>
        <v>67.5</v>
      </c>
      <c r="Y67" s="132">
        <f t="shared" si="11"/>
        <v>1417.5</v>
      </c>
      <c r="Z67" s="140">
        <v>5582</v>
      </c>
      <c r="AA67" s="148"/>
    </row>
    <row r="68" spans="1:27" s="136" customFormat="1">
      <c r="A68" s="137">
        <v>42260</v>
      </c>
      <c r="B68" s="137"/>
      <c r="C68" s="841">
        <v>0.5</v>
      </c>
      <c r="D68" s="924">
        <v>1000</v>
      </c>
      <c r="E68" s="667"/>
      <c r="F68" s="924">
        <v>125</v>
      </c>
      <c r="G68" s="131">
        <v>0.5</v>
      </c>
      <c r="H68" s="132">
        <v>150</v>
      </c>
      <c r="I68" s="131"/>
      <c r="J68" s="132">
        <v>0.9</v>
      </c>
      <c r="K68" s="133">
        <v>1</v>
      </c>
      <c r="L68" s="132">
        <v>50</v>
      </c>
      <c r="M68" s="133">
        <v>1</v>
      </c>
      <c r="N68" s="132">
        <v>150</v>
      </c>
      <c r="O68" s="132"/>
      <c r="P68" s="132"/>
      <c r="Q68" s="132"/>
      <c r="R68" s="132"/>
      <c r="S68" s="132"/>
      <c r="T68" s="132"/>
      <c r="U68" s="132"/>
      <c r="V68" s="132"/>
      <c r="W68" s="132">
        <f>(G68*H68)+(I68*J68)+(M68*N68)+(K68*L68)+(C68*D68)+(E68*F68)</f>
        <v>775</v>
      </c>
      <c r="X68" s="132">
        <f>(W68*5%)</f>
        <v>38.75</v>
      </c>
      <c r="Y68" s="132">
        <f>SUM(W68+X68)</f>
        <v>813.75</v>
      </c>
      <c r="Z68" s="140">
        <v>5582</v>
      </c>
      <c r="AA68" s="148"/>
    </row>
    <row r="69" spans="1:27" s="136" customFormat="1">
      <c r="A69" s="137">
        <v>42261</v>
      </c>
      <c r="B69" s="137"/>
      <c r="C69" s="841">
        <v>1</v>
      </c>
      <c r="D69" s="924">
        <v>1000</v>
      </c>
      <c r="E69" s="667"/>
      <c r="F69" s="924">
        <v>125</v>
      </c>
      <c r="G69" s="131">
        <v>1</v>
      </c>
      <c r="H69" s="132">
        <v>150</v>
      </c>
      <c r="I69" s="131"/>
      <c r="J69" s="132">
        <v>0.9</v>
      </c>
      <c r="K69" s="133">
        <v>1</v>
      </c>
      <c r="L69" s="132">
        <v>50</v>
      </c>
      <c r="M69" s="133">
        <v>1</v>
      </c>
      <c r="N69" s="132">
        <v>150</v>
      </c>
      <c r="O69" s="132"/>
      <c r="P69" s="132"/>
      <c r="Q69" s="132"/>
      <c r="R69" s="132"/>
      <c r="S69" s="132"/>
      <c r="T69" s="132"/>
      <c r="U69" s="132"/>
      <c r="V69" s="132"/>
      <c r="W69" s="132">
        <f>(G69*H69)+(I69*J69)+(M69*N69)+(K69*L69)+(C69*D69)+(E69*F69)</f>
        <v>1350</v>
      </c>
      <c r="X69" s="132">
        <f>(W69*5%)</f>
        <v>67.5</v>
      </c>
      <c r="Y69" s="132">
        <f>SUM(W69+X69)</f>
        <v>1417.5</v>
      </c>
      <c r="Z69" s="140">
        <v>5582</v>
      </c>
      <c r="AA69" s="148"/>
    </row>
    <row r="70" spans="1:27" s="136" customFormat="1" hidden="1">
      <c r="A70" s="137">
        <v>42262</v>
      </c>
      <c r="B70" s="137"/>
      <c r="C70" s="841">
        <v>1</v>
      </c>
      <c r="D70" s="924">
        <v>1000</v>
      </c>
      <c r="E70" s="667"/>
      <c r="F70" s="924">
        <v>125</v>
      </c>
      <c r="G70" s="131">
        <v>1</v>
      </c>
      <c r="H70" s="132">
        <v>150</v>
      </c>
      <c r="I70" s="131"/>
      <c r="J70" s="132">
        <v>0.9</v>
      </c>
      <c r="K70" s="133">
        <v>1</v>
      </c>
      <c r="L70" s="132">
        <v>50</v>
      </c>
      <c r="M70" s="133">
        <v>1</v>
      </c>
      <c r="N70" s="132">
        <v>150</v>
      </c>
      <c r="O70" s="132"/>
      <c r="P70" s="132"/>
      <c r="Q70" s="132"/>
      <c r="R70" s="132"/>
      <c r="S70" s="132"/>
      <c r="T70" s="132"/>
      <c r="U70" s="132"/>
      <c r="V70" s="132"/>
      <c r="W70" s="132">
        <f t="shared" ref="W70:W78" si="12">(G70*H70)+(I70*J70)+(M70*N70)+(K70*L70)+(C70*D70)+(E70*F70)</f>
        <v>1350</v>
      </c>
      <c r="X70" s="132">
        <f t="shared" ref="X70:X78" si="13">(W70*5%)</f>
        <v>67.5</v>
      </c>
      <c r="Y70" s="132">
        <f t="shared" ref="Y70:Y78" si="14">SUM(W70+X70)</f>
        <v>1417.5</v>
      </c>
      <c r="Z70" s="140">
        <v>5582</v>
      </c>
      <c r="AA70" s="148"/>
    </row>
    <row r="71" spans="1:27" s="136" customFormat="1" hidden="1">
      <c r="A71" s="137">
        <v>42263</v>
      </c>
      <c r="B71" s="137"/>
      <c r="C71" s="841">
        <v>0</v>
      </c>
      <c r="D71" s="924">
        <v>0</v>
      </c>
      <c r="E71" s="667"/>
      <c r="F71" s="924">
        <v>125</v>
      </c>
      <c r="G71" s="131">
        <v>0</v>
      </c>
      <c r="H71" s="132">
        <v>0</v>
      </c>
      <c r="I71" s="131"/>
      <c r="J71" s="132">
        <v>0</v>
      </c>
      <c r="K71" s="133">
        <v>0</v>
      </c>
      <c r="L71" s="132">
        <v>0</v>
      </c>
      <c r="M71" s="133">
        <v>0</v>
      </c>
      <c r="N71" s="132">
        <v>0</v>
      </c>
      <c r="O71" s="132"/>
      <c r="P71" s="132"/>
      <c r="Q71" s="132"/>
      <c r="R71" s="132"/>
      <c r="S71" s="132"/>
      <c r="T71" s="132"/>
      <c r="U71" s="132"/>
      <c r="V71" s="132"/>
      <c r="W71" s="132">
        <f t="shared" si="12"/>
        <v>0</v>
      </c>
      <c r="X71" s="132">
        <f t="shared" si="13"/>
        <v>0</v>
      </c>
      <c r="Y71" s="132">
        <f t="shared" si="14"/>
        <v>0</v>
      </c>
      <c r="Z71" s="140"/>
      <c r="AA71" s="148"/>
    </row>
    <row r="72" spans="1:27" s="136" customFormat="1">
      <c r="A72" s="137">
        <v>42264</v>
      </c>
      <c r="B72" s="137"/>
      <c r="C72" s="841">
        <v>0</v>
      </c>
      <c r="D72" s="924">
        <v>0</v>
      </c>
      <c r="E72" s="667"/>
      <c r="F72" s="924">
        <v>125</v>
      </c>
      <c r="G72" s="131">
        <v>0</v>
      </c>
      <c r="H72" s="132">
        <v>0</v>
      </c>
      <c r="I72" s="131"/>
      <c r="J72" s="132">
        <v>0</v>
      </c>
      <c r="K72" s="133">
        <v>0</v>
      </c>
      <c r="L72" s="132">
        <v>0</v>
      </c>
      <c r="M72" s="133">
        <v>0</v>
      </c>
      <c r="N72" s="132">
        <v>0</v>
      </c>
      <c r="O72" s="132"/>
      <c r="P72" s="132"/>
      <c r="Q72" s="132"/>
      <c r="R72" s="132"/>
      <c r="S72" s="132"/>
      <c r="T72" s="132"/>
      <c r="U72" s="132"/>
      <c r="V72" s="132"/>
      <c r="W72" s="132">
        <f t="shared" si="12"/>
        <v>0</v>
      </c>
      <c r="X72" s="132">
        <f t="shared" si="13"/>
        <v>0</v>
      </c>
      <c r="Y72" s="132">
        <f t="shared" si="14"/>
        <v>0</v>
      </c>
      <c r="Z72" s="140"/>
      <c r="AA72" s="148"/>
    </row>
    <row r="73" spans="1:27" s="136" customFormat="1">
      <c r="A73" s="137">
        <v>42265</v>
      </c>
      <c r="B73" s="137"/>
      <c r="C73" s="841">
        <v>1</v>
      </c>
      <c r="D73" s="924">
        <v>1000</v>
      </c>
      <c r="E73" s="667"/>
      <c r="F73" s="924">
        <v>125</v>
      </c>
      <c r="G73" s="131">
        <v>1</v>
      </c>
      <c r="H73" s="132">
        <v>150</v>
      </c>
      <c r="I73" s="131"/>
      <c r="J73" s="132">
        <v>0.9</v>
      </c>
      <c r="K73" s="133">
        <v>1</v>
      </c>
      <c r="L73" s="132">
        <v>50</v>
      </c>
      <c r="M73" s="133">
        <v>1</v>
      </c>
      <c r="N73" s="132">
        <v>150</v>
      </c>
      <c r="O73" s="132"/>
      <c r="P73" s="132"/>
      <c r="Q73" s="132"/>
      <c r="R73" s="132"/>
      <c r="S73" s="132"/>
      <c r="T73" s="132"/>
      <c r="U73" s="132"/>
      <c r="V73" s="132"/>
      <c r="W73" s="132">
        <f t="shared" si="12"/>
        <v>1350</v>
      </c>
      <c r="X73" s="132">
        <f t="shared" si="13"/>
        <v>67.5</v>
      </c>
      <c r="Y73" s="132">
        <f t="shared" si="14"/>
        <v>1417.5</v>
      </c>
      <c r="Z73" s="140">
        <v>5582</v>
      </c>
      <c r="AA73" s="148"/>
    </row>
    <row r="74" spans="1:27" s="136" customFormat="1">
      <c r="A74" s="137">
        <v>42266</v>
      </c>
      <c r="B74" s="137"/>
      <c r="C74" s="841">
        <v>1</v>
      </c>
      <c r="D74" s="924">
        <v>1000</v>
      </c>
      <c r="E74" s="667"/>
      <c r="F74" s="924">
        <v>125</v>
      </c>
      <c r="G74" s="131">
        <v>1</v>
      </c>
      <c r="H74" s="132">
        <v>150</v>
      </c>
      <c r="I74" s="131"/>
      <c r="J74" s="132">
        <v>0.9</v>
      </c>
      <c r="K74" s="133">
        <v>1</v>
      </c>
      <c r="L74" s="132">
        <v>50</v>
      </c>
      <c r="M74" s="133">
        <v>1</v>
      </c>
      <c r="N74" s="132">
        <v>150</v>
      </c>
      <c r="O74" s="132"/>
      <c r="P74" s="132"/>
      <c r="Q74" s="132"/>
      <c r="R74" s="132"/>
      <c r="S74" s="132"/>
      <c r="T74" s="132"/>
      <c r="U74" s="132"/>
      <c r="V74" s="132"/>
      <c r="W74" s="132">
        <f t="shared" si="12"/>
        <v>1350</v>
      </c>
      <c r="X74" s="132">
        <f t="shared" si="13"/>
        <v>67.5</v>
      </c>
      <c r="Y74" s="132">
        <f t="shared" si="14"/>
        <v>1417.5</v>
      </c>
      <c r="Z74" s="140">
        <v>5582</v>
      </c>
      <c r="AA74" s="148"/>
    </row>
    <row r="75" spans="1:27" s="136" customFormat="1">
      <c r="A75" s="137">
        <v>42267</v>
      </c>
      <c r="B75" s="137"/>
      <c r="C75" s="841">
        <v>1</v>
      </c>
      <c r="D75" s="924">
        <v>1000</v>
      </c>
      <c r="E75" s="667"/>
      <c r="F75" s="924">
        <v>125</v>
      </c>
      <c r="G75" s="131">
        <v>1</v>
      </c>
      <c r="H75" s="132">
        <v>150</v>
      </c>
      <c r="I75" s="131"/>
      <c r="J75" s="132">
        <v>0.9</v>
      </c>
      <c r="K75" s="133">
        <v>1</v>
      </c>
      <c r="L75" s="132">
        <v>50</v>
      </c>
      <c r="M75" s="133">
        <v>1</v>
      </c>
      <c r="N75" s="132">
        <v>150</v>
      </c>
      <c r="O75" s="132"/>
      <c r="P75" s="132"/>
      <c r="Q75" s="132"/>
      <c r="R75" s="132"/>
      <c r="S75" s="132"/>
      <c r="T75" s="132"/>
      <c r="U75" s="132"/>
      <c r="V75" s="132"/>
      <c r="W75" s="132">
        <f t="shared" si="12"/>
        <v>1350</v>
      </c>
      <c r="X75" s="132">
        <f t="shared" si="13"/>
        <v>67.5</v>
      </c>
      <c r="Y75" s="132">
        <f t="shared" si="14"/>
        <v>1417.5</v>
      </c>
      <c r="Z75" s="140">
        <v>5582</v>
      </c>
      <c r="AA75" s="148"/>
    </row>
    <row r="76" spans="1:27" s="136" customFormat="1">
      <c r="A76" s="137">
        <v>42268</v>
      </c>
      <c r="B76" s="137"/>
      <c r="C76" s="841">
        <v>1</v>
      </c>
      <c r="D76" s="924">
        <v>1000</v>
      </c>
      <c r="E76" s="667"/>
      <c r="F76" s="924">
        <v>125</v>
      </c>
      <c r="G76" s="131">
        <v>1</v>
      </c>
      <c r="H76" s="132">
        <v>150</v>
      </c>
      <c r="I76" s="131"/>
      <c r="J76" s="132">
        <v>0.9</v>
      </c>
      <c r="K76" s="133">
        <v>1</v>
      </c>
      <c r="L76" s="132">
        <v>50</v>
      </c>
      <c r="M76" s="133">
        <v>1</v>
      </c>
      <c r="N76" s="132">
        <v>150</v>
      </c>
      <c r="O76" s="132"/>
      <c r="P76" s="132"/>
      <c r="Q76" s="132"/>
      <c r="R76" s="132"/>
      <c r="S76" s="132"/>
      <c r="T76" s="132"/>
      <c r="U76" s="132"/>
      <c r="V76" s="132"/>
      <c r="W76" s="132">
        <f t="shared" si="12"/>
        <v>1350</v>
      </c>
      <c r="X76" s="132">
        <f t="shared" si="13"/>
        <v>67.5</v>
      </c>
      <c r="Y76" s="132">
        <f t="shared" si="14"/>
        <v>1417.5</v>
      </c>
      <c r="Z76" s="140">
        <v>5582</v>
      </c>
      <c r="AA76" s="148"/>
    </row>
    <row r="77" spans="1:27" s="136" customFormat="1">
      <c r="A77" s="137">
        <v>42269</v>
      </c>
      <c r="B77" s="137"/>
      <c r="C77" s="841">
        <v>1</v>
      </c>
      <c r="D77" s="924">
        <v>1000</v>
      </c>
      <c r="E77" s="667"/>
      <c r="F77" s="924">
        <v>125</v>
      </c>
      <c r="G77" s="131">
        <v>1</v>
      </c>
      <c r="H77" s="132">
        <v>150</v>
      </c>
      <c r="I77" s="131"/>
      <c r="J77" s="132">
        <v>0.9</v>
      </c>
      <c r="K77" s="133">
        <v>1</v>
      </c>
      <c r="L77" s="132">
        <v>50</v>
      </c>
      <c r="M77" s="133">
        <v>1</v>
      </c>
      <c r="N77" s="132">
        <v>150</v>
      </c>
      <c r="O77" s="132"/>
      <c r="P77" s="132"/>
      <c r="Q77" s="132"/>
      <c r="R77" s="132"/>
      <c r="S77" s="132"/>
      <c r="T77" s="132"/>
      <c r="U77" s="132"/>
      <c r="V77" s="132"/>
      <c r="W77" s="132">
        <f t="shared" si="12"/>
        <v>1350</v>
      </c>
      <c r="X77" s="132">
        <f t="shared" si="13"/>
        <v>67.5</v>
      </c>
      <c r="Y77" s="132">
        <f t="shared" si="14"/>
        <v>1417.5</v>
      </c>
      <c r="Z77" s="140">
        <v>5582</v>
      </c>
      <c r="AA77" s="148"/>
    </row>
    <row r="78" spans="1:27" s="136" customFormat="1">
      <c r="A78" s="137">
        <v>42270</v>
      </c>
      <c r="B78" s="137"/>
      <c r="C78" s="841">
        <v>1</v>
      </c>
      <c r="D78" s="924">
        <v>1000</v>
      </c>
      <c r="E78" s="667"/>
      <c r="F78" s="924">
        <v>125</v>
      </c>
      <c r="G78" s="131">
        <v>1</v>
      </c>
      <c r="H78" s="132">
        <v>150</v>
      </c>
      <c r="I78" s="131"/>
      <c r="J78" s="132">
        <v>0.9</v>
      </c>
      <c r="K78" s="133">
        <v>1</v>
      </c>
      <c r="L78" s="132">
        <v>50</v>
      </c>
      <c r="M78" s="133">
        <v>1</v>
      </c>
      <c r="N78" s="132">
        <v>150</v>
      </c>
      <c r="O78" s="132"/>
      <c r="P78" s="132"/>
      <c r="Q78" s="132"/>
      <c r="R78" s="132"/>
      <c r="S78" s="132"/>
      <c r="T78" s="132"/>
      <c r="U78" s="132"/>
      <c r="V78" s="132"/>
      <c r="W78" s="132">
        <f t="shared" si="12"/>
        <v>1350</v>
      </c>
      <c r="X78" s="132">
        <f t="shared" si="13"/>
        <v>67.5</v>
      </c>
      <c r="Y78" s="132">
        <f t="shared" si="14"/>
        <v>1417.5</v>
      </c>
      <c r="Z78" s="140">
        <v>5582</v>
      </c>
      <c r="AA78" s="148"/>
    </row>
    <row r="79" spans="1:27" s="136" customFormat="1">
      <c r="A79" s="137">
        <v>42271</v>
      </c>
      <c r="B79" s="137"/>
      <c r="C79" s="841">
        <v>1</v>
      </c>
      <c r="D79" s="924">
        <v>1000</v>
      </c>
      <c r="E79" s="667"/>
      <c r="F79" s="924">
        <v>125</v>
      </c>
      <c r="G79" s="131">
        <v>1</v>
      </c>
      <c r="H79" s="132">
        <v>150</v>
      </c>
      <c r="I79" s="131"/>
      <c r="J79" s="132">
        <v>0.9</v>
      </c>
      <c r="K79" s="133">
        <v>1</v>
      </c>
      <c r="L79" s="132">
        <v>50</v>
      </c>
      <c r="M79" s="133">
        <v>1</v>
      </c>
      <c r="N79" s="132">
        <v>150</v>
      </c>
      <c r="O79" s="132"/>
      <c r="P79" s="132"/>
      <c r="Q79" s="132"/>
      <c r="R79" s="132"/>
      <c r="S79" s="132"/>
      <c r="T79" s="132"/>
      <c r="U79" s="132"/>
      <c r="V79" s="132"/>
      <c r="W79" s="132">
        <f t="shared" ref="W79:W108" si="15">(G79*H79)+(I79*J79)+(M79*N79)+(K79*L79)+(C79*D79)+(E79*F79)</f>
        <v>1350</v>
      </c>
      <c r="X79" s="132">
        <f t="shared" ref="X79:X108" si="16">(W79*5%)</f>
        <v>67.5</v>
      </c>
      <c r="Y79" s="132">
        <f t="shared" ref="Y79:Y108" si="17">SUM(W79+X79)</f>
        <v>1417.5</v>
      </c>
      <c r="Z79" s="140">
        <v>5582</v>
      </c>
      <c r="AA79" s="148"/>
    </row>
    <row r="80" spans="1:27" s="136" customFormat="1">
      <c r="A80" s="137">
        <v>42272</v>
      </c>
      <c r="B80" s="137"/>
      <c r="C80" s="841">
        <v>1</v>
      </c>
      <c r="D80" s="924">
        <v>1000</v>
      </c>
      <c r="E80" s="667"/>
      <c r="F80" s="924">
        <v>125</v>
      </c>
      <c r="G80" s="131">
        <v>1</v>
      </c>
      <c r="H80" s="132">
        <v>150</v>
      </c>
      <c r="I80" s="131"/>
      <c r="J80" s="132">
        <v>0.9</v>
      </c>
      <c r="K80" s="133">
        <v>1</v>
      </c>
      <c r="L80" s="132">
        <v>50</v>
      </c>
      <c r="M80" s="133">
        <v>1</v>
      </c>
      <c r="N80" s="132">
        <v>150</v>
      </c>
      <c r="O80" s="132"/>
      <c r="P80" s="132"/>
      <c r="Q80" s="132"/>
      <c r="R80" s="132"/>
      <c r="S80" s="132"/>
      <c r="T80" s="132"/>
      <c r="U80" s="132"/>
      <c r="V80" s="132"/>
      <c r="W80" s="132">
        <f t="shared" si="15"/>
        <v>1350</v>
      </c>
      <c r="X80" s="132">
        <f t="shared" si="16"/>
        <v>67.5</v>
      </c>
      <c r="Y80" s="132">
        <f t="shared" si="17"/>
        <v>1417.5</v>
      </c>
      <c r="Z80" s="140">
        <v>5582</v>
      </c>
      <c r="AA80" s="148"/>
    </row>
    <row r="81" spans="1:65" s="136" customFormat="1">
      <c r="A81" s="137">
        <v>42273</v>
      </c>
      <c r="B81" s="137"/>
      <c r="C81" s="841">
        <v>1</v>
      </c>
      <c r="D81" s="924">
        <v>1000</v>
      </c>
      <c r="E81" s="667"/>
      <c r="F81" s="924">
        <v>125</v>
      </c>
      <c r="G81" s="131">
        <v>1</v>
      </c>
      <c r="H81" s="132">
        <v>150</v>
      </c>
      <c r="I81" s="131"/>
      <c r="J81" s="132">
        <v>0.9</v>
      </c>
      <c r="K81" s="133">
        <v>1</v>
      </c>
      <c r="L81" s="132">
        <v>50</v>
      </c>
      <c r="M81" s="133">
        <v>1</v>
      </c>
      <c r="N81" s="132">
        <v>150</v>
      </c>
      <c r="O81" s="132"/>
      <c r="P81" s="132"/>
      <c r="Q81" s="132"/>
      <c r="R81" s="132"/>
      <c r="S81" s="132"/>
      <c r="T81" s="132"/>
      <c r="U81" s="132"/>
      <c r="V81" s="132"/>
      <c r="W81" s="132">
        <f t="shared" si="15"/>
        <v>1350</v>
      </c>
      <c r="X81" s="132">
        <f t="shared" si="16"/>
        <v>67.5</v>
      </c>
      <c r="Y81" s="132">
        <f t="shared" si="17"/>
        <v>1417.5</v>
      </c>
      <c r="Z81" s="140">
        <v>5582</v>
      </c>
      <c r="AA81" s="148"/>
    </row>
    <row r="82" spans="1:65" s="136" customFormat="1">
      <c r="A82" s="137">
        <v>42274</v>
      </c>
      <c r="B82" s="137"/>
      <c r="C82" s="841">
        <v>1</v>
      </c>
      <c r="D82" s="924">
        <v>1000</v>
      </c>
      <c r="E82" s="667"/>
      <c r="F82" s="924">
        <v>125</v>
      </c>
      <c r="G82" s="131">
        <v>1</v>
      </c>
      <c r="H82" s="132">
        <v>150</v>
      </c>
      <c r="I82" s="131"/>
      <c r="J82" s="132">
        <v>0.9</v>
      </c>
      <c r="K82" s="133">
        <v>1</v>
      </c>
      <c r="L82" s="132">
        <v>50</v>
      </c>
      <c r="M82" s="133">
        <v>1</v>
      </c>
      <c r="N82" s="132">
        <v>150</v>
      </c>
      <c r="O82" s="132"/>
      <c r="P82" s="132"/>
      <c r="Q82" s="132"/>
      <c r="R82" s="132"/>
      <c r="S82" s="132"/>
      <c r="T82" s="132"/>
      <c r="U82" s="132"/>
      <c r="V82" s="132"/>
      <c r="W82" s="132">
        <f t="shared" si="15"/>
        <v>1350</v>
      </c>
      <c r="X82" s="132">
        <f t="shared" si="16"/>
        <v>67.5</v>
      </c>
      <c r="Y82" s="132">
        <f t="shared" si="17"/>
        <v>1417.5</v>
      </c>
      <c r="Z82" s="140">
        <v>5582</v>
      </c>
      <c r="AA82" s="148"/>
    </row>
    <row r="83" spans="1:65" s="136" customFormat="1">
      <c r="A83" s="137">
        <v>42275</v>
      </c>
      <c r="B83" s="137"/>
      <c r="C83" s="841">
        <v>1</v>
      </c>
      <c r="D83" s="924">
        <v>1000</v>
      </c>
      <c r="E83" s="667"/>
      <c r="F83" s="924">
        <v>125</v>
      </c>
      <c r="G83" s="131">
        <v>1</v>
      </c>
      <c r="H83" s="132">
        <v>150</v>
      </c>
      <c r="I83" s="131"/>
      <c r="J83" s="132">
        <v>0.9</v>
      </c>
      <c r="K83" s="133">
        <v>1</v>
      </c>
      <c r="L83" s="132">
        <v>50</v>
      </c>
      <c r="M83" s="133">
        <v>1</v>
      </c>
      <c r="N83" s="132">
        <v>150</v>
      </c>
      <c r="O83" s="132"/>
      <c r="P83" s="132"/>
      <c r="Q83" s="132"/>
      <c r="R83" s="132"/>
      <c r="S83" s="132"/>
      <c r="T83" s="132"/>
      <c r="U83" s="132"/>
      <c r="V83" s="132"/>
      <c r="W83" s="132">
        <f t="shared" si="15"/>
        <v>1350</v>
      </c>
      <c r="X83" s="132">
        <f t="shared" si="16"/>
        <v>67.5</v>
      </c>
      <c r="Y83" s="132">
        <f t="shared" si="17"/>
        <v>1417.5</v>
      </c>
      <c r="Z83" s="140">
        <v>5582</v>
      </c>
      <c r="AA83" s="148"/>
    </row>
    <row r="84" spans="1:65" s="136" customFormat="1">
      <c r="A84" s="137">
        <v>42276</v>
      </c>
      <c r="B84" s="137"/>
      <c r="C84" s="841">
        <v>1</v>
      </c>
      <c r="D84" s="924">
        <v>1000</v>
      </c>
      <c r="E84" s="667"/>
      <c r="F84" s="924">
        <v>125</v>
      </c>
      <c r="G84" s="131">
        <v>1</v>
      </c>
      <c r="H84" s="132">
        <v>150</v>
      </c>
      <c r="I84" s="131"/>
      <c r="J84" s="132">
        <v>0.9</v>
      </c>
      <c r="K84" s="133">
        <v>1</v>
      </c>
      <c r="L84" s="132">
        <v>50</v>
      </c>
      <c r="M84" s="133">
        <v>1</v>
      </c>
      <c r="N84" s="132">
        <v>150</v>
      </c>
      <c r="O84" s="132"/>
      <c r="P84" s="132"/>
      <c r="Q84" s="132"/>
      <c r="R84" s="132"/>
      <c r="S84" s="132"/>
      <c r="T84" s="132"/>
      <c r="U84" s="132"/>
      <c r="V84" s="132"/>
      <c r="W84" s="132">
        <f t="shared" si="15"/>
        <v>1350</v>
      </c>
      <c r="X84" s="132">
        <f t="shared" si="16"/>
        <v>67.5</v>
      </c>
      <c r="Y84" s="132">
        <f t="shared" si="17"/>
        <v>1417.5</v>
      </c>
      <c r="Z84" s="140">
        <v>5582</v>
      </c>
      <c r="AA84" s="148"/>
    </row>
    <row r="85" spans="1:65" s="371" customFormat="1">
      <c r="A85" s="137">
        <v>42277</v>
      </c>
      <c r="B85" s="137"/>
      <c r="C85" s="841">
        <v>1</v>
      </c>
      <c r="D85" s="924">
        <v>1000</v>
      </c>
      <c r="E85" s="667"/>
      <c r="F85" s="924">
        <v>125</v>
      </c>
      <c r="G85" s="131">
        <v>1</v>
      </c>
      <c r="H85" s="132">
        <v>150</v>
      </c>
      <c r="I85" s="131"/>
      <c r="J85" s="132">
        <v>0.9</v>
      </c>
      <c r="K85" s="133">
        <v>1</v>
      </c>
      <c r="L85" s="132">
        <v>50</v>
      </c>
      <c r="M85" s="133">
        <v>1</v>
      </c>
      <c r="N85" s="132">
        <v>150</v>
      </c>
      <c r="O85" s="132"/>
      <c r="P85" s="132"/>
      <c r="Q85" s="132"/>
      <c r="R85" s="132"/>
      <c r="S85" s="132"/>
      <c r="T85" s="132"/>
      <c r="U85" s="132"/>
      <c r="V85" s="132"/>
      <c r="W85" s="132">
        <f t="shared" si="15"/>
        <v>1350</v>
      </c>
      <c r="X85" s="132">
        <f t="shared" si="16"/>
        <v>67.5</v>
      </c>
      <c r="Y85" s="132">
        <f t="shared" si="17"/>
        <v>1417.5</v>
      </c>
      <c r="Z85" s="140">
        <v>5582</v>
      </c>
      <c r="AA85" s="430" t="s">
        <v>653</v>
      </c>
      <c r="AB85" s="136"/>
      <c r="AC85" s="136"/>
      <c r="AD85" s="136"/>
      <c r="AE85" s="136"/>
      <c r="AF85" s="136"/>
      <c r="AG85" s="136"/>
      <c r="AH85" s="136"/>
      <c r="AI85" s="136"/>
      <c r="AJ85" s="136"/>
      <c r="AK85" s="136"/>
      <c r="AL85" s="136"/>
      <c r="AM85" s="136"/>
      <c r="AN85" s="136"/>
      <c r="AO85" s="136"/>
      <c r="AP85" s="136"/>
      <c r="AQ85" s="136"/>
      <c r="AR85" s="136"/>
      <c r="AS85" s="136"/>
      <c r="AT85" s="136"/>
      <c r="AU85" s="136"/>
      <c r="AV85" s="136"/>
      <c r="AW85" s="136"/>
      <c r="AX85" s="136"/>
      <c r="AY85" s="136"/>
      <c r="AZ85" s="136"/>
      <c r="BA85" s="136"/>
      <c r="BB85" s="136"/>
      <c r="BC85" s="136"/>
      <c r="BD85" s="136"/>
      <c r="BE85" s="136"/>
      <c r="BF85" s="136"/>
      <c r="BG85" s="136"/>
      <c r="BH85" s="136"/>
      <c r="BI85" s="136"/>
      <c r="BJ85" s="136"/>
      <c r="BK85" s="136"/>
      <c r="BL85" s="136"/>
      <c r="BM85" s="136"/>
    </row>
    <row r="86" spans="1:65" s="371" customFormat="1">
      <c r="A86" s="366">
        <v>42278</v>
      </c>
      <c r="B86" s="366"/>
      <c r="C86" s="897">
        <v>1</v>
      </c>
      <c r="D86" s="916">
        <v>1000</v>
      </c>
      <c r="E86" s="472"/>
      <c r="F86" s="916">
        <v>125</v>
      </c>
      <c r="G86" s="122">
        <v>1</v>
      </c>
      <c r="H86" s="123">
        <v>150</v>
      </c>
      <c r="I86" s="122">
        <v>20</v>
      </c>
      <c r="J86" s="123">
        <v>0.9</v>
      </c>
      <c r="K86" s="124">
        <v>1</v>
      </c>
      <c r="L86" s="123">
        <v>50</v>
      </c>
      <c r="M86" s="124">
        <v>1</v>
      </c>
      <c r="N86" s="123">
        <v>150</v>
      </c>
      <c r="O86" s="123"/>
      <c r="P86" s="123"/>
      <c r="Q86" s="123"/>
      <c r="R86" s="123"/>
      <c r="S86" s="123"/>
      <c r="T86" s="123"/>
      <c r="U86" s="123"/>
      <c r="V86" s="123"/>
      <c r="W86" s="123">
        <f t="shared" si="15"/>
        <v>1368</v>
      </c>
      <c r="X86" s="123">
        <f t="shared" si="16"/>
        <v>68.400000000000006</v>
      </c>
      <c r="Y86" s="123">
        <f t="shared" si="17"/>
        <v>1436.4</v>
      </c>
      <c r="Z86" s="368">
        <v>5687</v>
      </c>
      <c r="AA86" s="370"/>
    </row>
    <row r="87" spans="1:65" s="371" customFormat="1">
      <c r="A87" s="366">
        <v>42279</v>
      </c>
      <c r="B87" s="366"/>
      <c r="C87" s="897">
        <v>1</v>
      </c>
      <c r="D87" s="916">
        <v>1000</v>
      </c>
      <c r="E87" s="472"/>
      <c r="F87" s="916">
        <v>125</v>
      </c>
      <c r="G87" s="122">
        <v>1</v>
      </c>
      <c r="H87" s="123">
        <v>150</v>
      </c>
      <c r="I87" s="122"/>
      <c r="J87" s="123">
        <v>0.9</v>
      </c>
      <c r="K87" s="124">
        <v>1</v>
      </c>
      <c r="L87" s="123">
        <v>50</v>
      </c>
      <c r="M87" s="124">
        <v>1</v>
      </c>
      <c r="N87" s="123">
        <v>150</v>
      </c>
      <c r="O87" s="123"/>
      <c r="P87" s="123"/>
      <c r="Q87" s="123"/>
      <c r="R87" s="123"/>
      <c r="S87" s="123"/>
      <c r="T87" s="123"/>
      <c r="U87" s="123"/>
      <c r="V87" s="123"/>
      <c r="W87" s="123">
        <f t="shared" si="15"/>
        <v>1350</v>
      </c>
      <c r="X87" s="123">
        <f t="shared" si="16"/>
        <v>67.5</v>
      </c>
      <c r="Y87" s="123">
        <f t="shared" si="17"/>
        <v>1417.5</v>
      </c>
      <c r="Z87" s="368">
        <v>5687</v>
      </c>
      <c r="AA87" s="370"/>
    </row>
    <row r="88" spans="1:65" s="371" customFormat="1">
      <c r="A88" s="366">
        <v>42280</v>
      </c>
      <c r="B88" s="366"/>
      <c r="C88" s="897">
        <v>1</v>
      </c>
      <c r="D88" s="916">
        <v>1000</v>
      </c>
      <c r="E88" s="472"/>
      <c r="F88" s="916">
        <v>125</v>
      </c>
      <c r="G88" s="122">
        <v>1</v>
      </c>
      <c r="H88" s="123">
        <v>150</v>
      </c>
      <c r="I88" s="122">
        <v>10</v>
      </c>
      <c r="J88" s="123">
        <v>0.9</v>
      </c>
      <c r="K88" s="124">
        <v>1</v>
      </c>
      <c r="L88" s="123">
        <v>50</v>
      </c>
      <c r="M88" s="124">
        <v>1</v>
      </c>
      <c r="N88" s="123">
        <v>150</v>
      </c>
      <c r="O88" s="123"/>
      <c r="P88" s="123"/>
      <c r="Q88" s="123"/>
      <c r="R88" s="123"/>
      <c r="S88" s="123"/>
      <c r="T88" s="123"/>
      <c r="U88" s="123"/>
      <c r="V88" s="123"/>
      <c r="W88" s="123">
        <f t="shared" si="15"/>
        <v>1359</v>
      </c>
      <c r="X88" s="123">
        <f t="shared" si="16"/>
        <v>67.95</v>
      </c>
      <c r="Y88" s="123">
        <f t="shared" si="17"/>
        <v>1426.95</v>
      </c>
      <c r="Z88" s="368">
        <v>5687</v>
      </c>
      <c r="AA88" s="370"/>
    </row>
    <row r="89" spans="1:65" s="371" customFormat="1">
      <c r="A89" s="366">
        <v>42281</v>
      </c>
      <c r="B89" s="366"/>
      <c r="C89" s="897">
        <v>1</v>
      </c>
      <c r="D89" s="916">
        <v>1000</v>
      </c>
      <c r="E89" s="472"/>
      <c r="F89" s="916">
        <v>125</v>
      </c>
      <c r="G89" s="122">
        <v>1</v>
      </c>
      <c r="H89" s="123">
        <v>150</v>
      </c>
      <c r="I89" s="122"/>
      <c r="J89" s="123">
        <v>0.9</v>
      </c>
      <c r="K89" s="124">
        <v>1</v>
      </c>
      <c r="L89" s="123">
        <v>50</v>
      </c>
      <c r="M89" s="124">
        <v>1</v>
      </c>
      <c r="N89" s="123">
        <v>150</v>
      </c>
      <c r="O89" s="123"/>
      <c r="P89" s="123"/>
      <c r="Q89" s="123"/>
      <c r="R89" s="123"/>
      <c r="S89" s="123"/>
      <c r="T89" s="123"/>
      <c r="U89" s="123"/>
      <c r="V89" s="123"/>
      <c r="W89" s="123">
        <f t="shared" si="15"/>
        <v>1350</v>
      </c>
      <c r="X89" s="123">
        <f t="shared" si="16"/>
        <v>67.5</v>
      </c>
      <c r="Y89" s="123">
        <f t="shared" si="17"/>
        <v>1417.5</v>
      </c>
      <c r="Z89" s="368">
        <v>5687</v>
      </c>
      <c r="AA89" s="370"/>
    </row>
    <row r="90" spans="1:65" s="371" customFormat="1">
      <c r="A90" s="366">
        <v>42282</v>
      </c>
      <c r="B90" s="366"/>
      <c r="C90" s="897">
        <v>1</v>
      </c>
      <c r="D90" s="916">
        <v>1000</v>
      </c>
      <c r="E90" s="472"/>
      <c r="F90" s="916">
        <v>125</v>
      </c>
      <c r="G90" s="122">
        <v>1</v>
      </c>
      <c r="H90" s="123">
        <v>150</v>
      </c>
      <c r="I90" s="122"/>
      <c r="J90" s="123">
        <v>0.9</v>
      </c>
      <c r="K90" s="124">
        <v>1</v>
      </c>
      <c r="L90" s="123">
        <v>50</v>
      </c>
      <c r="M90" s="124">
        <v>1</v>
      </c>
      <c r="N90" s="123">
        <v>150</v>
      </c>
      <c r="O90" s="123"/>
      <c r="P90" s="123"/>
      <c r="Q90" s="123"/>
      <c r="R90" s="123"/>
      <c r="S90" s="123"/>
      <c r="T90" s="123"/>
      <c r="U90" s="123"/>
      <c r="V90" s="123"/>
      <c r="W90" s="123">
        <f t="shared" si="15"/>
        <v>1350</v>
      </c>
      <c r="X90" s="123">
        <f t="shared" si="16"/>
        <v>67.5</v>
      </c>
      <c r="Y90" s="123">
        <f t="shared" si="17"/>
        <v>1417.5</v>
      </c>
      <c r="Z90" s="368">
        <v>5687</v>
      </c>
      <c r="AA90" s="370"/>
    </row>
    <row r="91" spans="1:65" s="371" customFormat="1">
      <c r="A91" s="366">
        <v>42283</v>
      </c>
      <c r="B91" s="366"/>
      <c r="C91" s="897">
        <v>1</v>
      </c>
      <c r="D91" s="916">
        <v>1000</v>
      </c>
      <c r="E91" s="472"/>
      <c r="F91" s="916">
        <v>125</v>
      </c>
      <c r="G91" s="122">
        <v>1</v>
      </c>
      <c r="H91" s="123">
        <v>150</v>
      </c>
      <c r="I91" s="122"/>
      <c r="J91" s="123">
        <v>0.9</v>
      </c>
      <c r="K91" s="124">
        <v>1</v>
      </c>
      <c r="L91" s="123">
        <v>50</v>
      </c>
      <c r="M91" s="124">
        <v>1</v>
      </c>
      <c r="N91" s="123">
        <v>150</v>
      </c>
      <c r="O91" s="123"/>
      <c r="P91" s="123"/>
      <c r="Q91" s="123"/>
      <c r="R91" s="123"/>
      <c r="S91" s="123"/>
      <c r="T91" s="123"/>
      <c r="U91" s="123"/>
      <c r="V91" s="123"/>
      <c r="W91" s="123">
        <f t="shared" si="15"/>
        <v>1350</v>
      </c>
      <c r="X91" s="123">
        <f t="shared" si="16"/>
        <v>67.5</v>
      </c>
      <c r="Y91" s="123">
        <f t="shared" si="17"/>
        <v>1417.5</v>
      </c>
      <c r="Z91" s="368">
        <v>5687</v>
      </c>
      <c r="AA91" s="370"/>
    </row>
    <row r="92" spans="1:65" s="371" customFormat="1">
      <c r="A92" s="366">
        <v>42284</v>
      </c>
      <c r="B92" s="366"/>
      <c r="C92" s="897">
        <v>1</v>
      </c>
      <c r="D92" s="916">
        <v>1000</v>
      </c>
      <c r="E92" s="472"/>
      <c r="F92" s="916">
        <v>125</v>
      </c>
      <c r="G92" s="122">
        <v>1</v>
      </c>
      <c r="H92" s="123">
        <v>150</v>
      </c>
      <c r="I92" s="122">
        <v>40</v>
      </c>
      <c r="J92" s="123">
        <v>0.9</v>
      </c>
      <c r="K92" s="124">
        <v>1</v>
      </c>
      <c r="L92" s="123">
        <v>50</v>
      </c>
      <c r="M92" s="124">
        <v>1</v>
      </c>
      <c r="N92" s="123">
        <v>150</v>
      </c>
      <c r="O92" s="123"/>
      <c r="P92" s="123"/>
      <c r="Q92" s="123"/>
      <c r="R92" s="123"/>
      <c r="S92" s="123"/>
      <c r="T92" s="123"/>
      <c r="U92" s="123"/>
      <c r="V92" s="123"/>
      <c r="W92" s="123">
        <f t="shared" si="15"/>
        <v>1386</v>
      </c>
      <c r="X92" s="123">
        <f t="shared" si="16"/>
        <v>69.3</v>
      </c>
      <c r="Y92" s="123">
        <f t="shared" si="17"/>
        <v>1455.3</v>
      </c>
      <c r="Z92" s="368">
        <v>5687</v>
      </c>
      <c r="AA92" s="370"/>
    </row>
    <row r="93" spans="1:65" s="371" customFormat="1">
      <c r="A93" s="366">
        <v>42285</v>
      </c>
      <c r="B93" s="366"/>
      <c r="C93" s="897">
        <v>1</v>
      </c>
      <c r="D93" s="916">
        <v>1000</v>
      </c>
      <c r="E93" s="472"/>
      <c r="F93" s="916">
        <v>125</v>
      </c>
      <c r="G93" s="122">
        <v>1</v>
      </c>
      <c r="H93" s="123">
        <v>150</v>
      </c>
      <c r="I93" s="122"/>
      <c r="J93" s="123">
        <v>0.9</v>
      </c>
      <c r="K93" s="124">
        <v>1</v>
      </c>
      <c r="L93" s="123">
        <v>50</v>
      </c>
      <c r="M93" s="124">
        <v>1</v>
      </c>
      <c r="N93" s="123">
        <v>150</v>
      </c>
      <c r="O93" s="123"/>
      <c r="P93" s="123"/>
      <c r="Q93" s="123"/>
      <c r="R93" s="123"/>
      <c r="S93" s="123"/>
      <c r="T93" s="123"/>
      <c r="U93" s="123"/>
      <c r="V93" s="123"/>
      <c r="W93" s="123">
        <f t="shared" si="15"/>
        <v>1350</v>
      </c>
      <c r="X93" s="123">
        <f t="shared" si="16"/>
        <v>67.5</v>
      </c>
      <c r="Y93" s="123">
        <f t="shared" si="17"/>
        <v>1417.5</v>
      </c>
      <c r="Z93" s="368">
        <v>5687</v>
      </c>
      <c r="AA93" s="370"/>
    </row>
    <row r="94" spans="1:65" s="371" customFormat="1">
      <c r="A94" s="366">
        <v>42291</v>
      </c>
      <c r="B94" s="366"/>
      <c r="C94" s="897">
        <v>1</v>
      </c>
      <c r="D94" s="916">
        <v>1000</v>
      </c>
      <c r="E94" s="472">
        <v>12</v>
      </c>
      <c r="F94" s="916">
        <v>125</v>
      </c>
      <c r="G94" s="122">
        <v>2</v>
      </c>
      <c r="H94" s="123">
        <v>150</v>
      </c>
      <c r="I94" s="122">
        <v>130</v>
      </c>
      <c r="J94" s="123">
        <v>0.9</v>
      </c>
      <c r="K94" s="124">
        <v>2</v>
      </c>
      <c r="L94" s="123">
        <v>50</v>
      </c>
      <c r="M94" s="124">
        <v>1</v>
      </c>
      <c r="N94" s="123">
        <v>150</v>
      </c>
      <c r="O94" s="123"/>
      <c r="P94" s="123"/>
      <c r="Q94" s="123"/>
      <c r="R94" s="123"/>
      <c r="S94" s="123"/>
      <c r="T94" s="123"/>
      <c r="U94" s="123"/>
      <c r="V94" s="123"/>
      <c r="W94" s="123">
        <f t="shared" si="15"/>
        <v>3167</v>
      </c>
      <c r="X94" s="123">
        <f t="shared" si="16"/>
        <v>158.35000000000002</v>
      </c>
      <c r="Y94" s="123">
        <f t="shared" si="17"/>
        <v>3325.35</v>
      </c>
      <c r="Z94" s="368">
        <v>5687</v>
      </c>
      <c r="AA94" s="370"/>
    </row>
    <row r="95" spans="1:65" s="371" customFormat="1">
      <c r="A95" s="366">
        <v>42292</v>
      </c>
      <c r="B95" s="366"/>
      <c r="C95" s="897">
        <v>1</v>
      </c>
      <c r="D95" s="916">
        <v>1000</v>
      </c>
      <c r="E95" s="472">
        <v>12</v>
      </c>
      <c r="F95" s="916">
        <v>125</v>
      </c>
      <c r="G95" s="122">
        <v>2</v>
      </c>
      <c r="H95" s="123">
        <v>150</v>
      </c>
      <c r="I95" s="122">
        <v>50</v>
      </c>
      <c r="J95" s="123">
        <v>0.9</v>
      </c>
      <c r="K95" s="124">
        <v>2</v>
      </c>
      <c r="L95" s="123">
        <v>50</v>
      </c>
      <c r="M95" s="124">
        <v>1</v>
      </c>
      <c r="N95" s="123">
        <v>150</v>
      </c>
      <c r="O95" s="123"/>
      <c r="P95" s="123"/>
      <c r="Q95" s="123"/>
      <c r="R95" s="123"/>
      <c r="S95" s="123"/>
      <c r="T95" s="123"/>
      <c r="U95" s="123"/>
      <c r="V95" s="123"/>
      <c r="W95" s="123">
        <f t="shared" si="15"/>
        <v>3095</v>
      </c>
      <c r="X95" s="123">
        <f t="shared" si="16"/>
        <v>154.75</v>
      </c>
      <c r="Y95" s="123">
        <f t="shared" si="17"/>
        <v>3249.75</v>
      </c>
      <c r="Z95" s="368">
        <v>5687</v>
      </c>
      <c r="AA95" s="370"/>
    </row>
    <row r="96" spans="1:65" s="371" customFormat="1">
      <c r="A96" s="366">
        <v>42293</v>
      </c>
      <c r="B96" s="366"/>
      <c r="C96" s="897">
        <v>1</v>
      </c>
      <c r="D96" s="916">
        <v>1000</v>
      </c>
      <c r="E96" s="472">
        <v>12</v>
      </c>
      <c r="F96" s="916">
        <v>125</v>
      </c>
      <c r="G96" s="122">
        <v>2</v>
      </c>
      <c r="H96" s="123">
        <v>150</v>
      </c>
      <c r="I96" s="122">
        <v>18</v>
      </c>
      <c r="J96" s="123">
        <v>0.9</v>
      </c>
      <c r="K96" s="124">
        <v>2</v>
      </c>
      <c r="L96" s="123">
        <v>50</v>
      </c>
      <c r="M96" s="124">
        <v>1</v>
      </c>
      <c r="N96" s="123">
        <v>150</v>
      </c>
      <c r="O96" s="123"/>
      <c r="P96" s="123"/>
      <c r="Q96" s="123"/>
      <c r="R96" s="123"/>
      <c r="S96" s="123"/>
      <c r="T96" s="123"/>
      <c r="U96" s="123"/>
      <c r="V96" s="123"/>
      <c r="W96" s="123">
        <f t="shared" si="15"/>
        <v>3066.2</v>
      </c>
      <c r="X96" s="123">
        <f t="shared" si="16"/>
        <v>153.31</v>
      </c>
      <c r="Y96" s="123">
        <f t="shared" si="17"/>
        <v>3219.5099999999998</v>
      </c>
      <c r="Z96" s="368">
        <v>5687</v>
      </c>
      <c r="AA96" s="370"/>
    </row>
    <row r="97" spans="1:65" s="371" customFormat="1">
      <c r="A97" s="366">
        <v>42294</v>
      </c>
      <c r="B97" s="366"/>
      <c r="C97" s="897">
        <v>1</v>
      </c>
      <c r="D97" s="916">
        <v>1000</v>
      </c>
      <c r="E97" s="472">
        <v>10</v>
      </c>
      <c r="F97" s="916">
        <v>125</v>
      </c>
      <c r="G97" s="122">
        <v>2</v>
      </c>
      <c r="H97" s="123">
        <v>150</v>
      </c>
      <c r="I97" s="122">
        <v>20</v>
      </c>
      <c r="J97" s="123">
        <v>0.9</v>
      </c>
      <c r="K97" s="124">
        <v>2</v>
      </c>
      <c r="L97" s="123">
        <v>50</v>
      </c>
      <c r="M97" s="124">
        <v>1</v>
      </c>
      <c r="N97" s="123">
        <v>150</v>
      </c>
      <c r="O97" s="123"/>
      <c r="P97" s="123"/>
      <c r="Q97" s="123"/>
      <c r="R97" s="123"/>
      <c r="S97" s="123"/>
      <c r="T97" s="123"/>
      <c r="U97" s="123"/>
      <c r="V97" s="123"/>
      <c r="W97" s="123">
        <f t="shared" si="15"/>
        <v>2818</v>
      </c>
      <c r="X97" s="123">
        <f t="shared" si="16"/>
        <v>140.9</v>
      </c>
      <c r="Y97" s="123">
        <f t="shared" si="17"/>
        <v>2958.9</v>
      </c>
      <c r="Z97" s="368">
        <v>5687</v>
      </c>
      <c r="AA97" s="370"/>
    </row>
    <row r="98" spans="1:65" s="371" customFormat="1">
      <c r="A98" s="366">
        <v>42295</v>
      </c>
      <c r="B98" s="366"/>
      <c r="C98" s="897">
        <v>1</v>
      </c>
      <c r="D98" s="916">
        <v>1000</v>
      </c>
      <c r="E98" s="472"/>
      <c r="F98" s="916">
        <v>125</v>
      </c>
      <c r="G98" s="122">
        <v>1</v>
      </c>
      <c r="H98" s="123">
        <v>150</v>
      </c>
      <c r="I98" s="122"/>
      <c r="J98" s="123">
        <v>0.9</v>
      </c>
      <c r="K98" s="124">
        <v>1</v>
      </c>
      <c r="L98" s="123">
        <v>50</v>
      </c>
      <c r="M98" s="124">
        <v>1</v>
      </c>
      <c r="N98" s="123">
        <v>150</v>
      </c>
      <c r="O98" s="123"/>
      <c r="P98" s="123"/>
      <c r="Q98" s="123"/>
      <c r="R98" s="123"/>
      <c r="S98" s="123"/>
      <c r="T98" s="123"/>
      <c r="U98" s="123"/>
      <c r="V98" s="123"/>
      <c r="W98" s="123">
        <f t="shared" si="15"/>
        <v>1350</v>
      </c>
      <c r="X98" s="123">
        <f t="shared" si="16"/>
        <v>67.5</v>
      </c>
      <c r="Y98" s="123">
        <f t="shared" si="17"/>
        <v>1417.5</v>
      </c>
      <c r="Z98" s="368">
        <v>5687</v>
      </c>
      <c r="AA98" s="370"/>
    </row>
    <row r="99" spans="1:65" s="371" customFormat="1">
      <c r="A99" s="366">
        <v>42296</v>
      </c>
      <c r="B99" s="366"/>
      <c r="C99" s="897">
        <v>1</v>
      </c>
      <c r="D99" s="916">
        <v>1000</v>
      </c>
      <c r="E99" s="472"/>
      <c r="F99" s="916">
        <v>125</v>
      </c>
      <c r="G99" s="122">
        <v>1</v>
      </c>
      <c r="H99" s="123">
        <v>150</v>
      </c>
      <c r="I99" s="122"/>
      <c r="J99" s="123">
        <v>0.9</v>
      </c>
      <c r="K99" s="124">
        <v>1</v>
      </c>
      <c r="L99" s="123">
        <v>50</v>
      </c>
      <c r="M99" s="124">
        <v>1</v>
      </c>
      <c r="N99" s="123">
        <v>150</v>
      </c>
      <c r="O99" s="123"/>
      <c r="P99" s="123"/>
      <c r="Q99" s="123"/>
      <c r="R99" s="123"/>
      <c r="S99" s="123"/>
      <c r="T99" s="123"/>
      <c r="U99" s="123"/>
      <c r="V99" s="123"/>
      <c r="W99" s="123">
        <f t="shared" si="15"/>
        <v>1350</v>
      </c>
      <c r="X99" s="123">
        <f t="shared" si="16"/>
        <v>67.5</v>
      </c>
      <c r="Y99" s="123">
        <f t="shared" si="17"/>
        <v>1417.5</v>
      </c>
      <c r="Z99" s="368">
        <v>5687</v>
      </c>
      <c r="AA99" s="370"/>
    </row>
    <row r="100" spans="1:65" s="371" customFormat="1">
      <c r="A100" s="366">
        <v>42297</v>
      </c>
      <c r="B100" s="366"/>
      <c r="C100" s="897">
        <v>1</v>
      </c>
      <c r="D100" s="916">
        <v>1000</v>
      </c>
      <c r="E100" s="472"/>
      <c r="F100" s="916">
        <v>125</v>
      </c>
      <c r="G100" s="122">
        <v>1</v>
      </c>
      <c r="H100" s="123">
        <v>150</v>
      </c>
      <c r="I100" s="122"/>
      <c r="J100" s="123">
        <v>0.9</v>
      </c>
      <c r="K100" s="124">
        <v>1</v>
      </c>
      <c r="L100" s="123">
        <v>50</v>
      </c>
      <c r="M100" s="124">
        <v>1</v>
      </c>
      <c r="N100" s="123">
        <v>150</v>
      </c>
      <c r="O100" s="123"/>
      <c r="P100" s="123"/>
      <c r="Q100" s="123"/>
      <c r="R100" s="123"/>
      <c r="S100" s="123"/>
      <c r="T100" s="123"/>
      <c r="U100" s="123"/>
      <c r="V100" s="123"/>
      <c r="W100" s="123">
        <f t="shared" si="15"/>
        <v>1350</v>
      </c>
      <c r="X100" s="123">
        <f t="shared" si="16"/>
        <v>67.5</v>
      </c>
      <c r="Y100" s="123">
        <f t="shared" si="17"/>
        <v>1417.5</v>
      </c>
      <c r="Z100" s="368">
        <v>5687</v>
      </c>
      <c r="AA100" s="370"/>
    </row>
    <row r="101" spans="1:65" s="371" customFormat="1">
      <c r="A101" s="366">
        <v>42298</v>
      </c>
      <c r="B101" s="366"/>
      <c r="C101" s="897">
        <v>1</v>
      </c>
      <c r="D101" s="916">
        <v>1000</v>
      </c>
      <c r="E101" s="472"/>
      <c r="F101" s="916">
        <v>125</v>
      </c>
      <c r="G101" s="122">
        <v>1</v>
      </c>
      <c r="H101" s="123">
        <v>150</v>
      </c>
      <c r="I101" s="122">
        <v>20</v>
      </c>
      <c r="J101" s="123">
        <v>0.9</v>
      </c>
      <c r="K101" s="124">
        <v>1</v>
      </c>
      <c r="L101" s="123">
        <v>50</v>
      </c>
      <c r="M101" s="124">
        <v>1</v>
      </c>
      <c r="N101" s="123">
        <v>150</v>
      </c>
      <c r="O101" s="123"/>
      <c r="P101" s="123"/>
      <c r="Q101" s="123"/>
      <c r="R101" s="123"/>
      <c r="S101" s="123"/>
      <c r="T101" s="123"/>
      <c r="U101" s="123"/>
      <c r="V101" s="123"/>
      <c r="W101" s="123">
        <f t="shared" si="15"/>
        <v>1368</v>
      </c>
      <c r="X101" s="123">
        <f t="shared" si="16"/>
        <v>68.400000000000006</v>
      </c>
      <c r="Y101" s="123">
        <f t="shared" si="17"/>
        <v>1436.4</v>
      </c>
      <c r="Z101" s="368">
        <v>5687</v>
      </c>
      <c r="AA101" s="370"/>
    </row>
    <row r="102" spans="1:65" s="371" customFormat="1">
      <c r="A102" s="366">
        <v>42299</v>
      </c>
      <c r="B102" s="366"/>
      <c r="C102" s="897">
        <v>1</v>
      </c>
      <c r="D102" s="916">
        <v>1000</v>
      </c>
      <c r="E102" s="472"/>
      <c r="F102" s="916">
        <v>125</v>
      </c>
      <c r="G102" s="122">
        <v>1</v>
      </c>
      <c r="H102" s="123">
        <v>150</v>
      </c>
      <c r="I102" s="122"/>
      <c r="J102" s="123">
        <v>0.9</v>
      </c>
      <c r="K102" s="124">
        <v>1</v>
      </c>
      <c r="L102" s="123">
        <v>50</v>
      </c>
      <c r="M102" s="124">
        <v>1</v>
      </c>
      <c r="N102" s="123">
        <v>150</v>
      </c>
      <c r="O102" s="123"/>
      <c r="P102" s="123"/>
      <c r="Q102" s="123"/>
      <c r="R102" s="123"/>
      <c r="S102" s="123"/>
      <c r="T102" s="123"/>
      <c r="U102" s="123"/>
      <c r="V102" s="123"/>
      <c r="W102" s="123">
        <f t="shared" si="15"/>
        <v>1350</v>
      </c>
      <c r="X102" s="123">
        <f t="shared" si="16"/>
        <v>67.5</v>
      </c>
      <c r="Y102" s="123">
        <f t="shared" si="17"/>
        <v>1417.5</v>
      </c>
      <c r="Z102" s="368">
        <v>5687</v>
      </c>
      <c r="AA102" s="370"/>
    </row>
    <row r="103" spans="1:65" s="371" customFormat="1">
      <c r="A103" s="366">
        <v>42300</v>
      </c>
      <c r="B103" s="366"/>
      <c r="C103" s="897">
        <v>1</v>
      </c>
      <c r="D103" s="916">
        <v>1000</v>
      </c>
      <c r="E103" s="472"/>
      <c r="F103" s="916">
        <v>125</v>
      </c>
      <c r="G103" s="122">
        <v>1</v>
      </c>
      <c r="H103" s="123">
        <v>150</v>
      </c>
      <c r="I103" s="122"/>
      <c r="J103" s="123">
        <v>0.9</v>
      </c>
      <c r="K103" s="124">
        <v>1</v>
      </c>
      <c r="L103" s="123">
        <v>50</v>
      </c>
      <c r="M103" s="124">
        <v>1</v>
      </c>
      <c r="N103" s="123">
        <v>150</v>
      </c>
      <c r="O103" s="123"/>
      <c r="P103" s="123"/>
      <c r="Q103" s="123"/>
      <c r="R103" s="123"/>
      <c r="S103" s="123"/>
      <c r="T103" s="123"/>
      <c r="U103" s="123"/>
      <c r="V103" s="123"/>
      <c r="W103" s="123">
        <f t="shared" si="15"/>
        <v>1350</v>
      </c>
      <c r="X103" s="123">
        <f t="shared" si="16"/>
        <v>67.5</v>
      </c>
      <c r="Y103" s="123">
        <f t="shared" si="17"/>
        <v>1417.5</v>
      </c>
      <c r="Z103" s="368">
        <v>5687</v>
      </c>
      <c r="AA103" s="370"/>
    </row>
    <row r="104" spans="1:65" s="371" customFormat="1">
      <c r="A104" s="366">
        <v>42301</v>
      </c>
      <c r="B104" s="366"/>
      <c r="C104" s="897">
        <v>1</v>
      </c>
      <c r="D104" s="916">
        <v>1000</v>
      </c>
      <c r="E104" s="472"/>
      <c r="F104" s="916">
        <v>125</v>
      </c>
      <c r="G104" s="122">
        <v>1</v>
      </c>
      <c r="H104" s="123">
        <v>150</v>
      </c>
      <c r="I104" s="122">
        <v>95</v>
      </c>
      <c r="J104" s="123">
        <v>0.9</v>
      </c>
      <c r="K104" s="124">
        <v>1</v>
      </c>
      <c r="L104" s="123">
        <v>50</v>
      </c>
      <c r="M104" s="124">
        <v>1</v>
      </c>
      <c r="N104" s="123">
        <v>150</v>
      </c>
      <c r="O104" s="123"/>
      <c r="P104" s="123"/>
      <c r="Q104" s="123"/>
      <c r="R104" s="123"/>
      <c r="S104" s="123"/>
      <c r="T104" s="123"/>
      <c r="U104" s="123"/>
      <c r="V104" s="123"/>
      <c r="W104" s="123">
        <f t="shared" si="15"/>
        <v>1435.5</v>
      </c>
      <c r="X104" s="123">
        <f t="shared" si="16"/>
        <v>71.775000000000006</v>
      </c>
      <c r="Y104" s="123">
        <f t="shared" si="17"/>
        <v>1507.2750000000001</v>
      </c>
      <c r="Z104" s="368">
        <v>5687</v>
      </c>
      <c r="AA104" s="370"/>
    </row>
    <row r="105" spans="1:65" s="371" customFormat="1">
      <c r="A105" s="366">
        <v>42302</v>
      </c>
      <c r="B105" s="366"/>
      <c r="C105" s="897">
        <v>1</v>
      </c>
      <c r="D105" s="916">
        <v>1000</v>
      </c>
      <c r="E105" s="472"/>
      <c r="F105" s="916">
        <v>125</v>
      </c>
      <c r="G105" s="122">
        <v>1</v>
      </c>
      <c r="H105" s="123">
        <v>150</v>
      </c>
      <c r="I105" s="122">
        <v>125</v>
      </c>
      <c r="J105" s="123">
        <v>0.9</v>
      </c>
      <c r="K105" s="124">
        <v>1</v>
      </c>
      <c r="L105" s="123">
        <v>50</v>
      </c>
      <c r="M105" s="124">
        <v>1</v>
      </c>
      <c r="N105" s="123">
        <v>150</v>
      </c>
      <c r="O105" s="123"/>
      <c r="P105" s="123"/>
      <c r="Q105" s="123"/>
      <c r="R105" s="123"/>
      <c r="S105" s="123"/>
      <c r="T105" s="123"/>
      <c r="U105" s="123"/>
      <c r="V105" s="123"/>
      <c r="W105" s="123">
        <f t="shared" si="15"/>
        <v>1462.5</v>
      </c>
      <c r="X105" s="123">
        <f t="shared" si="16"/>
        <v>73.125</v>
      </c>
      <c r="Y105" s="123">
        <f t="shared" si="17"/>
        <v>1535.625</v>
      </c>
      <c r="Z105" s="368">
        <v>5687</v>
      </c>
      <c r="AA105" s="370"/>
    </row>
    <row r="106" spans="1:65" s="371" customFormat="1">
      <c r="A106" s="366">
        <v>42303</v>
      </c>
      <c r="B106" s="366"/>
      <c r="C106" s="897">
        <v>1</v>
      </c>
      <c r="D106" s="916">
        <v>1000</v>
      </c>
      <c r="E106" s="472"/>
      <c r="F106" s="916">
        <v>125</v>
      </c>
      <c r="G106" s="122">
        <v>1</v>
      </c>
      <c r="H106" s="123">
        <v>150</v>
      </c>
      <c r="I106" s="122">
        <v>32</v>
      </c>
      <c r="J106" s="123">
        <v>0.9</v>
      </c>
      <c r="K106" s="124">
        <v>1</v>
      </c>
      <c r="L106" s="123">
        <v>50</v>
      </c>
      <c r="M106" s="124">
        <v>1</v>
      </c>
      <c r="N106" s="123">
        <v>150</v>
      </c>
      <c r="O106" s="123"/>
      <c r="P106" s="123"/>
      <c r="Q106" s="123"/>
      <c r="R106" s="123"/>
      <c r="S106" s="123"/>
      <c r="T106" s="123"/>
      <c r="U106" s="123"/>
      <c r="V106" s="123"/>
      <c r="W106" s="123">
        <f t="shared" si="15"/>
        <v>1378.8</v>
      </c>
      <c r="X106" s="123">
        <f t="shared" si="16"/>
        <v>68.94</v>
      </c>
      <c r="Y106" s="123">
        <f t="shared" si="17"/>
        <v>1447.74</v>
      </c>
      <c r="Z106" s="368">
        <v>5687</v>
      </c>
      <c r="AA106" s="370"/>
    </row>
    <row r="107" spans="1:65" s="371" customFormat="1">
      <c r="A107" s="366">
        <v>42305</v>
      </c>
      <c r="B107" s="366"/>
      <c r="C107" s="897">
        <v>1</v>
      </c>
      <c r="D107" s="916">
        <v>1000</v>
      </c>
      <c r="E107" s="472"/>
      <c r="F107" s="916">
        <v>125</v>
      </c>
      <c r="G107" s="122"/>
      <c r="H107" s="123">
        <v>150</v>
      </c>
      <c r="I107" s="122"/>
      <c r="J107" s="123">
        <v>0.9</v>
      </c>
      <c r="K107" s="124"/>
      <c r="L107" s="123">
        <v>50</v>
      </c>
      <c r="M107" s="124">
        <v>0</v>
      </c>
      <c r="N107" s="123">
        <v>150</v>
      </c>
      <c r="O107" s="123"/>
      <c r="P107" s="123"/>
      <c r="Q107" s="123"/>
      <c r="R107" s="123"/>
      <c r="S107" s="123"/>
      <c r="T107" s="123"/>
      <c r="U107" s="123"/>
      <c r="V107" s="123"/>
      <c r="W107" s="123">
        <f t="shared" si="15"/>
        <v>1000</v>
      </c>
      <c r="X107" s="123">
        <f t="shared" si="16"/>
        <v>50</v>
      </c>
      <c r="Y107" s="123">
        <f t="shared" si="17"/>
        <v>1050</v>
      </c>
      <c r="Z107" s="368">
        <v>5687</v>
      </c>
      <c r="AA107" s="370"/>
    </row>
    <row r="108" spans="1:65">
      <c r="A108" s="949" t="s">
        <v>823</v>
      </c>
      <c r="B108" s="949"/>
      <c r="C108" s="950"/>
      <c r="D108" s="916">
        <v>1000</v>
      </c>
      <c r="E108" s="951">
        <v>4</v>
      </c>
      <c r="F108" s="916">
        <v>125</v>
      </c>
      <c r="G108" s="952"/>
      <c r="H108" s="123">
        <v>150</v>
      </c>
      <c r="I108" s="952"/>
      <c r="J108" s="123">
        <v>0.9</v>
      </c>
      <c r="K108" s="953"/>
      <c r="L108" s="123">
        <v>50</v>
      </c>
      <c r="M108" s="953"/>
      <c r="N108" s="123">
        <v>150</v>
      </c>
      <c r="O108" s="946"/>
      <c r="P108" s="946"/>
      <c r="Q108" s="946"/>
      <c r="R108" s="946"/>
      <c r="S108" s="946"/>
      <c r="T108" s="946"/>
      <c r="U108" s="946"/>
      <c r="V108" s="946"/>
      <c r="W108" s="123">
        <f t="shared" si="15"/>
        <v>500</v>
      </c>
      <c r="X108" s="123">
        <f t="shared" si="16"/>
        <v>25</v>
      </c>
      <c r="Y108" s="123">
        <f t="shared" si="17"/>
        <v>525</v>
      </c>
      <c r="Z108" s="368">
        <v>5687</v>
      </c>
      <c r="AA108" s="370"/>
      <c r="AB108" s="371"/>
      <c r="AC108" s="371"/>
      <c r="AD108" s="371"/>
      <c r="AE108" s="371"/>
      <c r="AF108" s="371"/>
      <c r="AG108" s="371"/>
      <c r="AH108" s="371"/>
      <c r="AI108" s="371"/>
      <c r="AJ108" s="371"/>
      <c r="AK108" s="371"/>
      <c r="AL108" s="371"/>
      <c r="AM108" s="371"/>
      <c r="AN108" s="371"/>
      <c r="AO108" s="371"/>
      <c r="AP108" s="371"/>
      <c r="AQ108" s="371"/>
      <c r="AR108" s="371"/>
      <c r="AS108" s="371"/>
      <c r="AT108" s="371"/>
      <c r="AU108" s="371"/>
      <c r="AV108" s="371"/>
      <c r="AW108" s="371"/>
      <c r="AX108" s="371"/>
      <c r="AY108" s="371"/>
      <c r="AZ108" s="371"/>
      <c r="BA108" s="371"/>
      <c r="BB108" s="371"/>
      <c r="BC108" s="371"/>
      <c r="BD108" s="371"/>
      <c r="BE108" s="371"/>
      <c r="BF108" s="371"/>
      <c r="BG108" s="371"/>
      <c r="BH108" s="371"/>
      <c r="BI108" s="371"/>
      <c r="BJ108" s="371"/>
      <c r="BK108" s="371"/>
      <c r="BL108" s="371"/>
      <c r="BM108" s="371"/>
    </row>
    <row r="109" spans="1:65">
      <c r="A109" s="328"/>
      <c r="B109" s="328"/>
      <c r="C109" s="801"/>
      <c r="D109" s="802"/>
      <c r="E109" s="519"/>
      <c r="F109" s="802"/>
      <c r="G109" s="523"/>
      <c r="H109" s="518"/>
      <c r="I109" s="523"/>
      <c r="J109" s="518"/>
      <c r="K109" s="520"/>
      <c r="L109" s="518"/>
      <c r="M109" s="520"/>
      <c r="N109" s="518"/>
      <c r="O109" s="518"/>
      <c r="P109" s="518"/>
      <c r="Q109" s="518"/>
      <c r="R109" s="518"/>
      <c r="S109" s="518"/>
      <c r="T109" s="518"/>
      <c r="U109" s="518"/>
      <c r="V109" s="518"/>
      <c r="W109" s="518"/>
      <c r="X109" s="518"/>
      <c r="Y109" s="518"/>
      <c r="Z109" s="471"/>
      <c r="AA109" s="341"/>
    </row>
  </sheetData>
  <autoFilter ref="A4:AA4"/>
  <phoneticPr fontId="3" type="noConversion"/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theme="0"/>
    <pageSetUpPr fitToPage="1"/>
  </sheetPr>
  <dimension ref="A1:AE1048471"/>
  <sheetViews>
    <sheetView topLeftCell="N4" workbookViewId="0">
      <pane ySplit="4" topLeftCell="A24" activePane="bottomLeft" state="frozen"/>
      <selection activeCell="I4" sqref="I4"/>
      <selection pane="bottomLeft" activeCell="I8" sqref="A8:XFD8"/>
    </sheetView>
  </sheetViews>
  <sheetFormatPr baseColWidth="10" defaultColWidth="8.83203125" defaultRowHeight="12" x14ac:dyDescent="0.75"/>
  <cols>
    <col min="1" max="1" width="14.5" style="71" customWidth="1"/>
    <col min="2" max="2" width="16" style="46" customWidth="1"/>
    <col min="3" max="3" width="10.33203125" style="25" customWidth="1"/>
    <col min="4" max="4" width="11.5" style="25" customWidth="1"/>
    <col min="5" max="5" width="11.5" style="71" customWidth="1"/>
    <col min="6" max="6" width="11.5" style="25" customWidth="1"/>
    <col min="7" max="7" width="11" style="25" customWidth="1"/>
    <col min="8" max="8" width="11.83203125" style="25" customWidth="1"/>
    <col min="9" max="9" width="10.33203125" style="25" customWidth="1"/>
    <col min="10" max="11" width="11.6640625" style="25" customWidth="1"/>
    <col min="12" max="12" width="10.33203125" style="25" customWidth="1"/>
    <col min="13" max="13" width="11.5" style="25" customWidth="1"/>
    <col min="14" max="14" width="12.33203125" style="25" customWidth="1"/>
    <col min="15" max="15" width="11.5" style="25" customWidth="1"/>
    <col min="16" max="16" width="12.5" style="25" customWidth="1"/>
    <col min="17" max="17" width="10.5" style="25" customWidth="1"/>
    <col min="18" max="18" width="9.1640625" style="71" hidden="1" customWidth="1"/>
    <col min="19" max="19" width="14.5" style="28" hidden="1" customWidth="1"/>
    <col min="20" max="20" width="9.1640625" style="71" hidden="1" customWidth="1"/>
    <col min="21" max="21" width="10.6640625" style="126" customWidth="1"/>
    <col min="22" max="22" width="12.1640625" style="223" customWidth="1"/>
    <col min="23" max="23" width="12.5" style="223" customWidth="1"/>
    <col min="24" max="24" width="3.1640625" style="223" hidden="1" customWidth="1"/>
    <col min="25" max="25" width="12.33203125" style="71" bestFit="1" customWidth="1"/>
    <col min="26" max="26" width="11.33203125" style="71" bestFit="1" customWidth="1"/>
    <col min="27" max="27" width="15.1640625" style="71" customWidth="1"/>
    <col min="28" max="28" width="11.33203125" style="71" bestFit="1" customWidth="1"/>
    <col min="29" max="29" width="14.33203125" style="65" bestFit="1" customWidth="1"/>
    <col min="30" max="30" width="14.1640625" style="71" customWidth="1"/>
    <col min="31" max="31" width="11.33203125" bestFit="1" customWidth="1"/>
  </cols>
  <sheetData>
    <row r="1" spans="1:30">
      <c r="A1" s="24"/>
      <c r="E1" s="30"/>
      <c r="R1" s="30"/>
      <c r="T1" s="25"/>
      <c r="U1" s="25"/>
      <c r="V1" s="25"/>
      <c r="W1" s="25"/>
      <c r="X1" s="25"/>
      <c r="Y1" s="25"/>
      <c r="Z1" s="25"/>
      <c r="AA1" s="25"/>
      <c r="AB1" s="25"/>
    </row>
    <row r="2" spans="1:30">
      <c r="A2" s="39" t="s">
        <v>1108</v>
      </c>
      <c r="E2" s="30"/>
      <c r="R2" s="30"/>
      <c r="T2" s="25"/>
      <c r="U2" s="25"/>
      <c r="V2" s="25"/>
      <c r="W2" s="25"/>
      <c r="X2" s="25"/>
      <c r="Y2" s="25"/>
      <c r="Z2" s="25"/>
      <c r="AA2" s="25"/>
      <c r="AB2" s="25"/>
    </row>
    <row r="3" spans="1:30">
      <c r="A3" s="24"/>
      <c r="E3" s="30"/>
      <c r="R3" s="30"/>
      <c r="T3" s="25"/>
      <c r="U3" s="25"/>
      <c r="V3" s="25"/>
      <c r="W3" s="25"/>
      <c r="X3" s="25"/>
      <c r="Y3" s="25"/>
      <c r="Z3" s="25"/>
      <c r="AA3" s="25"/>
      <c r="AB3" s="25"/>
    </row>
    <row r="4" spans="1:30" ht="52.5" customHeight="1">
      <c r="A4" s="36" t="s">
        <v>0</v>
      </c>
      <c r="B4" s="47" t="s">
        <v>8</v>
      </c>
      <c r="C4" s="40" t="s">
        <v>59</v>
      </c>
      <c r="D4" s="40" t="s">
        <v>62</v>
      </c>
      <c r="E4" s="41" t="s">
        <v>51</v>
      </c>
      <c r="F4" s="40" t="s">
        <v>52</v>
      </c>
      <c r="G4" s="40" t="s">
        <v>98</v>
      </c>
      <c r="H4" s="40" t="s">
        <v>60</v>
      </c>
      <c r="I4" s="40" t="s">
        <v>56</v>
      </c>
      <c r="J4" s="40" t="s">
        <v>39</v>
      </c>
      <c r="K4" s="227" t="s">
        <v>297</v>
      </c>
      <c r="L4" s="40" t="s">
        <v>57</v>
      </c>
      <c r="M4" s="40" t="s">
        <v>53</v>
      </c>
      <c r="N4" s="40" t="s">
        <v>54</v>
      </c>
      <c r="O4" s="40" t="s">
        <v>104</v>
      </c>
      <c r="P4" s="40" t="s">
        <v>55</v>
      </c>
      <c r="Q4" s="40" t="s">
        <v>38</v>
      </c>
      <c r="R4" s="41" t="s">
        <v>17</v>
      </c>
      <c r="S4" s="45" t="s">
        <v>20</v>
      </c>
      <c r="T4" s="40" t="s">
        <v>12</v>
      </c>
      <c r="U4" s="40" t="s">
        <v>176</v>
      </c>
      <c r="V4" s="227" t="s">
        <v>1026</v>
      </c>
      <c r="W4" s="227" t="s">
        <v>1029</v>
      </c>
      <c r="X4" s="227"/>
      <c r="Y4" s="40" t="s">
        <v>13</v>
      </c>
      <c r="Z4" s="40" t="s">
        <v>14</v>
      </c>
      <c r="AA4" s="40" t="s">
        <v>9</v>
      </c>
      <c r="AB4" s="40" t="s">
        <v>15</v>
      </c>
      <c r="AC4" s="54" t="s">
        <v>7</v>
      </c>
      <c r="AD4" s="55" t="s">
        <v>16</v>
      </c>
    </row>
    <row r="5" spans="1:30" ht="19.5" customHeight="1">
      <c r="A5" s="224"/>
      <c r="B5" s="225"/>
      <c r="C5" s="227" t="s">
        <v>287</v>
      </c>
      <c r="D5" s="227" t="s">
        <v>287</v>
      </c>
      <c r="E5" s="227" t="s">
        <v>287</v>
      </c>
      <c r="F5" s="227" t="s">
        <v>287</v>
      </c>
      <c r="G5" s="227" t="s">
        <v>287</v>
      </c>
      <c r="H5" s="227" t="s">
        <v>287</v>
      </c>
      <c r="I5" s="227" t="s">
        <v>287</v>
      </c>
      <c r="J5" s="227" t="s">
        <v>287</v>
      </c>
      <c r="K5" s="227" t="s">
        <v>283</v>
      </c>
      <c r="L5" s="227" t="s">
        <v>287</v>
      </c>
      <c r="M5" s="227" t="s">
        <v>283</v>
      </c>
      <c r="N5" s="227" t="s">
        <v>283</v>
      </c>
      <c r="O5" s="227" t="s">
        <v>283</v>
      </c>
      <c r="P5" s="227" t="s">
        <v>287</v>
      </c>
      <c r="Q5" s="227" t="s">
        <v>288</v>
      </c>
      <c r="R5" s="226"/>
      <c r="S5" s="228"/>
      <c r="T5" s="227"/>
      <c r="U5" s="227" t="s">
        <v>287</v>
      </c>
      <c r="V5" s="227" t="s">
        <v>1027</v>
      </c>
      <c r="W5" s="227"/>
      <c r="X5" s="227"/>
      <c r="Y5" s="227"/>
      <c r="Z5" s="227"/>
      <c r="AA5" s="227"/>
      <c r="AB5" s="227"/>
      <c r="AC5" s="229"/>
      <c r="AD5" s="230"/>
    </row>
    <row r="6" spans="1:30" ht="19.5" customHeight="1">
      <c r="A6" s="224"/>
      <c r="B6" s="225"/>
      <c r="C6" s="227">
        <v>94.5</v>
      </c>
      <c r="D6" s="227">
        <v>90</v>
      </c>
      <c r="E6" s="290">
        <v>103.5</v>
      </c>
      <c r="F6" s="227">
        <v>144</v>
      </c>
      <c r="G6" s="227">
        <v>90</v>
      </c>
      <c r="H6" s="227">
        <v>54</v>
      </c>
      <c r="I6" s="227">
        <v>94.5</v>
      </c>
      <c r="J6" s="227">
        <v>90</v>
      </c>
      <c r="K6" s="227">
        <v>250</v>
      </c>
      <c r="L6" s="227">
        <v>112.5</v>
      </c>
      <c r="M6" s="227">
        <v>150</v>
      </c>
      <c r="N6" s="227">
        <v>500</v>
      </c>
      <c r="O6" s="227">
        <v>250</v>
      </c>
      <c r="P6" s="227">
        <v>23</v>
      </c>
      <c r="Q6" s="227">
        <v>1.1000000000000001</v>
      </c>
      <c r="R6" s="226">
        <v>0</v>
      </c>
      <c r="S6" s="226">
        <v>0</v>
      </c>
      <c r="T6" s="226">
        <v>0</v>
      </c>
      <c r="U6" s="227">
        <v>67.5</v>
      </c>
      <c r="V6" s="227">
        <v>135</v>
      </c>
      <c r="W6" s="227">
        <v>1</v>
      </c>
      <c r="X6" s="227"/>
      <c r="Y6" s="227"/>
      <c r="Z6" s="227"/>
      <c r="AA6" s="227"/>
      <c r="AB6" s="227"/>
      <c r="AC6" s="229"/>
      <c r="AD6" s="230"/>
    </row>
    <row r="7" spans="1:30" s="119" customFormat="1">
      <c r="A7" s="1169"/>
      <c r="B7" s="1200"/>
      <c r="C7" s="1172"/>
      <c r="D7" s="1172"/>
      <c r="E7" s="1202"/>
      <c r="F7" s="1172"/>
      <c r="G7" s="1172"/>
      <c r="H7" s="1172"/>
      <c r="I7" s="1172"/>
      <c r="J7" s="1205"/>
      <c r="K7" s="1205"/>
      <c r="L7" s="1205"/>
      <c r="M7" s="1205"/>
      <c r="N7" s="1205"/>
      <c r="O7" s="1205"/>
      <c r="P7" s="1205"/>
      <c r="Q7" s="1205"/>
      <c r="R7" s="1206"/>
      <c r="S7" s="1206"/>
      <c r="T7" s="1206"/>
      <c r="U7" s="1205"/>
      <c r="V7" s="1205"/>
      <c r="W7" s="1205"/>
      <c r="X7" s="1205"/>
      <c r="Y7" s="1205"/>
      <c r="Z7" s="1205"/>
      <c r="AA7" s="1205"/>
      <c r="AB7" s="1205"/>
      <c r="AC7" s="1207"/>
      <c r="AD7" s="289">
        <f>SUM(Y8:Y351)</f>
        <v>1224133.5050000001</v>
      </c>
    </row>
    <row r="8" spans="1:30" s="119" customFormat="1">
      <c r="A8" s="169">
        <v>42166</v>
      </c>
      <c r="B8" s="285" t="s">
        <v>61</v>
      </c>
      <c r="C8" s="159"/>
      <c r="D8" s="159">
        <v>0.5</v>
      </c>
      <c r="E8" s="170"/>
      <c r="F8" s="170"/>
      <c r="G8" s="170"/>
      <c r="H8" s="159"/>
      <c r="I8" s="159">
        <v>30</v>
      </c>
      <c r="J8" s="306"/>
      <c r="K8" s="307"/>
      <c r="L8" s="306">
        <v>25</v>
      </c>
      <c r="M8" s="159"/>
      <c r="N8" s="159"/>
      <c r="O8" s="159"/>
      <c r="P8" s="159"/>
      <c r="Q8" s="159"/>
      <c r="R8" s="159">
        <f>L8+J8+I8+H8+G8+F8+E8+D8+C8</f>
        <v>55.5</v>
      </c>
      <c r="S8" s="161"/>
      <c r="T8" s="159">
        <f>Q8</f>
        <v>0</v>
      </c>
      <c r="U8" s="160"/>
      <c r="V8" s="274"/>
      <c r="W8" s="274"/>
      <c r="X8" s="274"/>
      <c r="Y8" s="160">
        <f>SUM(C8*$C$6+D8*$D$6+E8*$E$6+F8*$F$6+G8*$G$6+H8*$H$6+I8*$I$6+J8*$J$6+K8*$K$6+L8*$L$6+M8*$M$6+N8*$N$6+O8*$O$6+P8*$P$6+Q8*$Q$6+U8*$U$6+V8*$V$6+W8*$W$6+X8*$X$6)</f>
        <v>5692.5</v>
      </c>
      <c r="Z8" s="160">
        <f t="shared" ref="Z8:Z15" si="0">(Y8*5%)</f>
        <v>284.625</v>
      </c>
      <c r="AA8" s="160">
        <f t="shared" ref="AA8:AA15" si="1">SUM(Y8+Z8)</f>
        <v>5977.125</v>
      </c>
      <c r="AB8" s="159">
        <v>33041</v>
      </c>
      <c r="AC8" s="163"/>
      <c r="AD8" s="289"/>
    </row>
    <row r="9" spans="1:30" s="119" customFormat="1">
      <c r="A9" s="169">
        <v>42166</v>
      </c>
      <c r="B9" s="285" t="s">
        <v>307</v>
      </c>
      <c r="C9" s="159">
        <v>8</v>
      </c>
      <c r="D9" s="159">
        <v>6</v>
      </c>
      <c r="E9" s="170">
        <v>22</v>
      </c>
      <c r="F9" s="170">
        <v>14</v>
      </c>
      <c r="G9" s="170"/>
      <c r="H9" s="159"/>
      <c r="I9" s="159">
        <v>20.5</v>
      </c>
      <c r="J9" s="306">
        <v>4</v>
      </c>
      <c r="K9" s="307"/>
      <c r="L9" s="159">
        <v>8.5</v>
      </c>
      <c r="M9" s="160"/>
      <c r="N9" s="286">
        <v>1</v>
      </c>
      <c r="O9" s="288"/>
      <c r="P9" s="286">
        <v>28</v>
      </c>
      <c r="Q9" s="286">
        <v>225</v>
      </c>
      <c r="R9" s="159">
        <f>L9+J9+I9+H9+G9+F9+E9+D9+C9</f>
        <v>83</v>
      </c>
      <c r="S9" s="161"/>
      <c r="T9" s="159">
        <f>Q9</f>
        <v>225</v>
      </c>
      <c r="U9" s="160"/>
      <c r="V9" s="274"/>
      <c r="W9" s="274"/>
      <c r="X9" s="274"/>
      <c r="Y9" s="160">
        <f t="shared" ref="Y9:Y35" si="2">SUM(C9*$C$6+D9*$D$6+E9*$E$6+F9*$F$6+G9*$G$6+H9*$H$6+I9*$I$6+J9*$J$6+K9*$K$6+L9*$L$6+M9*$M$6+N9*$N$6+O9*$O$6+P9*$P$6+Q9*$Q$6+U9*$U$6+V9*$V$6+W9*$W$6+X9*$X$6)</f>
        <v>10234</v>
      </c>
      <c r="Z9" s="160">
        <f t="shared" si="0"/>
        <v>511.70000000000005</v>
      </c>
      <c r="AA9" s="160">
        <f t="shared" si="1"/>
        <v>10745.7</v>
      </c>
      <c r="AB9" s="159">
        <v>33041</v>
      </c>
      <c r="AC9" s="163"/>
      <c r="AD9" s="284"/>
    </row>
    <row r="10" spans="1:30" s="119" customFormat="1">
      <c r="A10" s="340">
        <v>42226</v>
      </c>
      <c r="B10" s="275" t="s">
        <v>299</v>
      </c>
      <c r="C10" s="276"/>
      <c r="D10" s="276">
        <v>8.5</v>
      </c>
      <c r="E10" s="277"/>
      <c r="F10" s="278"/>
      <c r="G10" s="279"/>
      <c r="H10" s="276"/>
      <c r="I10" s="276">
        <v>18</v>
      </c>
      <c r="J10" s="280"/>
      <c r="K10" s="280"/>
      <c r="L10" s="276">
        <v>8</v>
      </c>
      <c r="M10" s="276"/>
      <c r="N10" s="274"/>
      <c r="O10" s="281"/>
      <c r="P10" s="281"/>
      <c r="Q10" s="276">
        <v>700</v>
      </c>
      <c r="R10" s="276"/>
      <c r="S10" s="282"/>
      <c r="T10" s="276"/>
      <c r="U10" s="276"/>
      <c r="V10" s="276"/>
      <c r="W10" s="276"/>
      <c r="X10" s="276"/>
      <c r="Y10" s="160">
        <f t="shared" si="2"/>
        <v>4136</v>
      </c>
      <c r="Z10" s="160">
        <f t="shared" si="0"/>
        <v>206.8</v>
      </c>
      <c r="AA10" s="160">
        <f t="shared" si="1"/>
        <v>4342.8</v>
      </c>
      <c r="AB10" s="159">
        <v>33041</v>
      </c>
      <c r="AC10" s="283"/>
      <c r="AD10" s="361"/>
    </row>
    <row r="11" spans="1:30" s="119" customFormat="1">
      <c r="A11" s="351">
        <v>42148</v>
      </c>
      <c r="B11" s="352">
        <v>10621</v>
      </c>
      <c r="C11" s="353"/>
      <c r="D11" s="353"/>
      <c r="E11" s="354"/>
      <c r="F11" s="355"/>
      <c r="G11" s="356"/>
      <c r="H11" s="353"/>
      <c r="I11" s="353"/>
      <c r="J11" s="357"/>
      <c r="K11" s="357"/>
      <c r="L11" s="353"/>
      <c r="M11" s="353"/>
      <c r="N11" s="358"/>
      <c r="O11" s="359"/>
      <c r="P11" s="359"/>
      <c r="Q11" s="353"/>
      <c r="R11" s="353"/>
      <c r="S11" s="360"/>
      <c r="T11" s="353"/>
      <c r="U11" s="353"/>
      <c r="V11" s="353"/>
      <c r="W11" s="353"/>
      <c r="X11" s="353"/>
      <c r="Y11" s="160">
        <v>494.75</v>
      </c>
      <c r="Z11" s="160">
        <f t="shared" si="0"/>
        <v>24.737500000000001</v>
      </c>
      <c r="AA11" s="160">
        <f t="shared" si="1"/>
        <v>519.48749999999995</v>
      </c>
      <c r="AB11" s="159">
        <v>33041</v>
      </c>
      <c r="AC11" s="362" t="s">
        <v>366</v>
      </c>
      <c r="AD11" s="361"/>
    </row>
    <row r="12" spans="1:30" s="119" customFormat="1">
      <c r="A12" s="351">
        <v>42164</v>
      </c>
      <c r="B12" s="352">
        <v>26367</v>
      </c>
      <c r="C12" s="353"/>
      <c r="D12" s="353"/>
      <c r="E12" s="354"/>
      <c r="F12" s="355"/>
      <c r="G12" s="356"/>
      <c r="H12" s="353"/>
      <c r="I12" s="353"/>
      <c r="J12" s="357"/>
      <c r="K12" s="357"/>
      <c r="L12" s="353"/>
      <c r="M12" s="353"/>
      <c r="N12" s="358"/>
      <c r="O12" s="359"/>
      <c r="P12" s="359"/>
      <c r="Q12" s="353"/>
      <c r="R12" s="353"/>
      <c r="S12" s="360"/>
      <c r="T12" s="353"/>
      <c r="U12" s="353"/>
      <c r="V12" s="353"/>
      <c r="W12" s="353"/>
      <c r="X12" s="353"/>
      <c r="Y12" s="160">
        <v>10399</v>
      </c>
      <c r="Z12" s="160">
        <f t="shared" si="0"/>
        <v>519.95000000000005</v>
      </c>
      <c r="AA12" s="160">
        <f t="shared" si="1"/>
        <v>10918.95</v>
      </c>
      <c r="AB12" s="159">
        <v>33041</v>
      </c>
      <c r="AC12" s="362" t="s">
        <v>367</v>
      </c>
      <c r="AD12" s="361"/>
    </row>
    <row r="13" spans="1:30" s="119" customFormat="1">
      <c r="A13" s="351">
        <v>42164</v>
      </c>
      <c r="B13" s="352">
        <v>28609518</v>
      </c>
      <c r="C13" s="353"/>
      <c r="D13" s="353"/>
      <c r="E13" s="354"/>
      <c r="F13" s="355"/>
      <c r="G13" s="356"/>
      <c r="H13" s="353"/>
      <c r="I13" s="353"/>
      <c r="J13" s="357"/>
      <c r="K13" s="357"/>
      <c r="L13" s="353"/>
      <c r="M13" s="353"/>
      <c r="N13" s="358"/>
      <c r="O13" s="359"/>
      <c r="P13" s="359"/>
      <c r="Q13" s="353"/>
      <c r="R13" s="353"/>
      <c r="S13" s="360"/>
      <c r="T13" s="353"/>
      <c r="U13" s="353"/>
      <c r="V13" s="353"/>
      <c r="W13" s="353"/>
      <c r="X13" s="353"/>
      <c r="Y13" s="160">
        <v>10</v>
      </c>
      <c r="Z13" s="160">
        <f>(Y13*5%)</f>
        <v>0.5</v>
      </c>
      <c r="AA13" s="160">
        <f>SUM(Y13+Z13)</f>
        <v>10.5</v>
      </c>
      <c r="AB13" s="159">
        <v>33041</v>
      </c>
      <c r="AC13" s="362"/>
      <c r="AD13" s="361"/>
    </row>
    <row r="14" spans="1:30" s="119" customFormat="1">
      <c r="A14" s="351">
        <v>42164</v>
      </c>
      <c r="B14" s="352">
        <v>28611176</v>
      </c>
      <c r="C14" s="353"/>
      <c r="D14" s="353"/>
      <c r="E14" s="354"/>
      <c r="F14" s="355"/>
      <c r="G14" s="356"/>
      <c r="H14" s="353"/>
      <c r="I14" s="353"/>
      <c r="J14" s="357"/>
      <c r="K14" s="357"/>
      <c r="L14" s="353"/>
      <c r="M14" s="353"/>
      <c r="N14" s="358"/>
      <c r="O14" s="359"/>
      <c r="P14" s="359"/>
      <c r="Q14" s="353"/>
      <c r="R14" s="353"/>
      <c r="S14" s="360"/>
      <c r="T14" s="353"/>
      <c r="U14" s="353"/>
      <c r="V14" s="353"/>
      <c r="W14" s="353"/>
      <c r="X14" s="353"/>
      <c r="Y14" s="160">
        <v>10</v>
      </c>
      <c r="Z14" s="160">
        <f>(Y14*5%)</f>
        <v>0.5</v>
      </c>
      <c r="AA14" s="160">
        <f>SUM(Y14+Z14)</f>
        <v>10.5</v>
      </c>
      <c r="AB14" s="159">
        <v>33041</v>
      </c>
      <c r="AC14" s="362"/>
      <c r="AD14" s="289"/>
    </row>
    <row r="15" spans="1:30" s="119" customFormat="1">
      <c r="A15" s="169">
        <v>42163</v>
      </c>
      <c r="B15" s="285">
        <v>1</v>
      </c>
      <c r="C15" s="159"/>
      <c r="D15" s="159"/>
      <c r="E15" s="170">
        <v>12</v>
      </c>
      <c r="F15" s="170">
        <v>21</v>
      </c>
      <c r="G15" s="170"/>
      <c r="H15" s="159"/>
      <c r="I15" s="159"/>
      <c r="J15" s="159">
        <v>4</v>
      </c>
      <c r="K15" s="276"/>
      <c r="L15" s="159"/>
      <c r="M15" s="159">
        <v>0</v>
      </c>
      <c r="N15" s="159">
        <v>2</v>
      </c>
      <c r="O15" s="159"/>
      <c r="P15" s="159">
        <v>33</v>
      </c>
      <c r="Q15" s="159">
        <v>84</v>
      </c>
      <c r="R15" s="159">
        <f>L15+J15+I15+H15+G15+F15+E15+D15+C15</f>
        <v>37</v>
      </c>
      <c r="S15" s="161"/>
      <c r="T15" s="159">
        <f>Q15</f>
        <v>84</v>
      </c>
      <c r="U15" s="160"/>
      <c r="V15" s="274"/>
      <c r="W15" s="274"/>
      <c r="X15" s="274"/>
      <c r="Y15" s="160">
        <f t="shared" si="2"/>
        <v>6477.4</v>
      </c>
      <c r="Z15" s="160">
        <f t="shared" si="0"/>
        <v>323.87</v>
      </c>
      <c r="AA15" s="160">
        <f t="shared" si="1"/>
        <v>6801.2699999999995</v>
      </c>
      <c r="AB15" s="159">
        <v>33041</v>
      </c>
      <c r="AC15" s="339" t="s">
        <v>350</v>
      </c>
      <c r="AD15" s="361"/>
    </row>
    <row r="16" spans="1:30" s="119" customFormat="1">
      <c r="A16" s="169">
        <v>42164</v>
      </c>
      <c r="B16" s="411" t="s">
        <v>376</v>
      </c>
      <c r="C16" s="353"/>
      <c r="D16" s="353">
        <v>8</v>
      </c>
      <c r="E16" s="409">
        <v>11</v>
      </c>
      <c r="F16" s="409">
        <v>23</v>
      </c>
      <c r="G16" s="409"/>
      <c r="H16" s="353"/>
      <c r="I16" s="353"/>
      <c r="J16" s="358"/>
      <c r="K16" s="358"/>
      <c r="L16" s="353"/>
      <c r="M16" s="353">
        <v>4</v>
      </c>
      <c r="N16" s="353">
        <v>2</v>
      </c>
      <c r="O16" s="353"/>
      <c r="P16" s="353">
        <v>34</v>
      </c>
      <c r="Q16" s="353"/>
      <c r="R16" s="353"/>
      <c r="S16" s="410"/>
      <c r="T16" s="353"/>
      <c r="U16" s="358"/>
      <c r="V16" s="358"/>
      <c r="W16" s="358"/>
      <c r="X16" s="358"/>
      <c r="Y16" s="160">
        <f t="shared" si="2"/>
        <v>7552.5</v>
      </c>
      <c r="Z16" s="160">
        <f>(Y16*5%)</f>
        <v>377.625</v>
      </c>
      <c r="AA16" s="160">
        <f>SUM(Y16+Z16)</f>
        <v>7930.125</v>
      </c>
      <c r="AB16" s="159">
        <v>33041</v>
      </c>
      <c r="AC16" s="362"/>
      <c r="AD16" s="289"/>
    </row>
    <row r="17" spans="1:31" s="119" customFormat="1">
      <c r="A17" s="169">
        <v>42165</v>
      </c>
      <c r="B17" s="412" t="s">
        <v>377</v>
      </c>
      <c r="C17" s="159"/>
      <c r="D17" s="159">
        <v>1</v>
      </c>
      <c r="E17" s="170">
        <v>12</v>
      </c>
      <c r="F17" s="170">
        <v>21</v>
      </c>
      <c r="G17" s="170"/>
      <c r="H17" s="159"/>
      <c r="I17" s="159"/>
      <c r="J17" s="160"/>
      <c r="K17" s="274"/>
      <c r="L17" s="306">
        <v>3</v>
      </c>
      <c r="M17" s="159">
        <v>4</v>
      </c>
      <c r="N17" s="159">
        <v>2</v>
      </c>
      <c r="O17" s="159"/>
      <c r="P17" s="159">
        <v>33</v>
      </c>
      <c r="Q17" s="159">
        <v>0</v>
      </c>
      <c r="R17" s="159">
        <f>L17+J17+I17+H17+G17+F17+E17+D17+C17</f>
        <v>37</v>
      </c>
      <c r="S17" s="161"/>
      <c r="T17" s="159">
        <f>Q17</f>
        <v>0</v>
      </c>
      <c r="U17" s="160"/>
      <c r="V17" s="274"/>
      <c r="W17" s="274"/>
      <c r="X17" s="274"/>
      <c r="Y17" s="160">
        <f t="shared" si="2"/>
        <v>7052.5</v>
      </c>
      <c r="Z17" s="160">
        <f>(Y17*5%)</f>
        <v>352.625</v>
      </c>
      <c r="AA17" s="160">
        <f>SUM(Y17+Z17)</f>
        <v>7405.125</v>
      </c>
      <c r="AB17" s="159">
        <v>33041</v>
      </c>
      <c r="AC17" s="339" t="s">
        <v>349</v>
      </c>
      <c r="AD17" s="289"/>
    </row>
    <row r="18" spans="1:31" s="119" customFormat="1">
      <c r="A18" s="169">
        <v>42166</v>
      </c>
      <c r="B18" s="285">
        <v>4</v>
      </c>
      <c r="C18" s="159">
        <v>6</v>
      </c>
      <c r="D18" s="159"/>
      <c r="E18" s="170">
        <v>13</v>
      </c>
      <c r="F18" s="170">
        <v>22.5</v>
      </c>
      <c r="G18" s="170"/>
      <c r="H18" s="159">
        <v>11.5</v>
      </c>
      <c r="I18" s="159"/>
      <c r="J18" s="160"/>
      <c r="K18" s="274"/>
      <c r="L18" s="306">
        <v>2</v>
      </c>
      <c r="M18" s="159">
        <v>4</v>
      </c>
      <c r="N18" s="159">
        <v>2</v>
      </c>
      <c r="O18" s="159"/>
      <c r="P18" s="159">
        <v>22.5</v>
      </c>
      <c r="Q18" s="159">
        <v>275</v>
      </c>
      <c r="R18" s="159">
        <f t="shared" ref="R18:R79" si="3">L18+J18+I18+H18+G18+F18+E18+D18+C18</f>
        <v>55</v>
      </c>
      <c r="S18" s="161"/>
      <c r="T18" s="159">
        <f t="shared" ref="T18:T79" si="4">Q18</f>
        <v>275</v>
      </c>
      <c r="U18" s="160"/>
      <c r="V18" s="274"/>
      <c r="W18" s="274"/>
      <c r="X18" s="274"/>
      <c r="Y18" s="160">
        <f t="shared" si="2"/>
        <v>8418.5</v>
      </c>
      <c r="Z18" s="160">
        <f t="shared" ref="Z18:Z79" si="5">(Y18*5%)</f>
        <v>420.92500000000001</v>
      </c>
      <c r="AA18" s="160">
        <f t="shared" ref="AA18:AA79" si="6">SUM(Y18+Z18)</f>
        <v>8839.4249999999993</v>
      </c>
      <c r="AB18" s="159">
        <v>33041</v>
      </c>
      <c r="AC18" s="163"/>
      <c r="AD18" s="289"/>
    </row>
    <row r="19" spans="1:31" s="119" customFormat="1">
      <c r="A19" s="169">
        <v>42167</v>
      </c>
      <c r="B19" s="285">
        <v>5</v>
      </c>
      <c r="C19" s="286">
        <v>4</v>
      </c>
      <c r="D19" s="159"/>
      <c r="E19" s="170">
        <v>11</v>
      </c>
      <c r="F19" s="170">
        <v>24</v>
      </c>
      <c r="G19" s="170"/>
      <c r="H19" s="159"/>
      <c r="I19" s="159"/>
      <c r="J19" s="306"/>
      <c r="K19" s="307"/>
      <c r="L19" s="159">
        <v>2</v>
      </c>
      <c r="M19" s="286">
        <v>4</v>
      </c>
      <c r="N19" s="286">
        <v>2</v>
      </c>
      <c r="O19" s="288"/>
      <c r="P19" s="286">
        <v>35</v>
      </c>
      <c r="Q19" s="160"/>
      <c r="R19" s="159">
        <f t="shared" si="3"/>
        <v>41</v>
      </c>
      <c r="S19" s="161"/>
      <c r="T19" s="159">
        <f t="shared" si="4"/>
        <v>0</v>
      </c>
      <c r="U19" s="160"/>
      <c r="V19" s="274"/>
      <c r="W19" s="274"/>
      <c r="X19" s="274"/>
      <c r="Y19" s="160">
        <f t="shared" si="2"/>
        <v>7602.5</v>
      </c>
      <c r="Z19" s="160">
        <f t="shared" si="5"/>
        <v>380.125</v>
      </c>
      <c r="AA19" s="160">
        <f t="shared" si="6"/>
        <v>7982.625</v>
      </c>
      <c r="AB19" s="159">
        <v>33041</v>
      </c>
      <c r="AC19" s="163"/>
      <c r="AD19" s="289"/>
    </row>
    <row r="20" spans="1:31" s="119" customFormat="1">
      <c r="A20" s="169">
        <v>42168</v>
      </c>
      <c r="B20" s="285">
        <v>6</v>
      </c>
      <c r="C20" s="159"/>
      <c r="D20" s="159"/>
      <c r="E20" s="170">
        <v>12</v>
      </c>
      <c r="F20" s="170">
        <v>20</v>
      </c>
      <c r="G20" s="170"/>
      <c r="H20" s="159"/>
      <c r="I20" s="159"/>
      <c r="J20" s="306"/>
      <c r="K20" s="307"/>
      <c r="L20" s="159">
        <v>1</v>
      </c>
      <c r="M20" s="286">
        <v>4</v>
      </c>
      <c r="N20" s="286">
        <v>2</v>
      </c>
      <c r="O20" s="288"/>
      <c r="P20" s="286">
        <v>32</v>
      </c>
      <c r="Q20" s="160"/>
      <c r="R20" s="159">
        <f t="shared" si="3"/>
        <v>33</v>
      </c>
      <c r="S20" s="161"/>
      <c r="T20" s="159">
        <f t="shared" si="4"/>
        <v>0</v>
      </c>
      <c r="U20" s="160"/>
      <c r="V20" s="274"/>
      <c r="W20" s="274"/>
      <c r="X20" s="274"/>
      <c r="Y20" s="160">
        <f t="shared" si="2"/>
        <v>6570.5</v>
      </c>
      <c r="Z20" s="160">
        <f t="shared" si="5"/>
        <v>328.52500000000003</v>
      </c>
      <c r="AA20" s="160">
        <f t="shared" si="6"/>
        <v>6899.0249999999996</v>
      </c>
      <c r="AB20" s="159">
        <v>33041</v>
      </c>
      <c r="AC20" s="163"/>
      <c r="AD20" s="289"/>
    </row>
    <row r="21" spans="1:31" s="119" customFormat="1">
      <c r="A21" s="169">
        <v>42170</v>
      </c>
      <c r="B21" s="285">
        <v>7</v>
      </c>
      <c r="C21" s="286">
        <v>2</v>
      </c>
      <c r="D21" s="159"/>
      <c r="E21" s="170">
        <v>12</v>
      </c>
      <c r="F21" s="170">
        <v>32</v>
      </c>
      <c r="G21" s="170"/>
      <c r="H21" s="159"/>
      <c r="I21" s="159"/>
      <c r="J21" s="287"/>
      <c r="K21" s="280"/>
      <c r="L21" s="159">
        <v>2</v>
      </c>
      <c r="M21" s="286">
        <v>4</v>
      </c>
      <c r="N21" s="286">
        <v>2</v>
      </c>
      <c r="O21" s="288"/>
      <c r="P21" s="286">
        <v>44</v>
      </c>
      <c r="Q21" s="160"/>
      <c r="R21" s="159">
        <f t="shared" si="3"/>
        <v>48</v>
      </c>
      <c r="S21" s="161"/>
      <c r="T21" s="159">
        <f t="shared" si="4"/>
        <v>0</v>
      </c>
      <c r="U21" s="160"/>
      <c r="V21" s="274"/>
      <c r="W21" s="274"/>
      <c r="X21" s="274"/>
      <c r="Y21" s="160">
        <f t="shared" si="2"/>
        <v>8876</v>
      </c>
      <c r="Z21" s="160">
        <f t="shared" si="5"/>
        <v>443.8</v>
      </c>
      <c r="AA21" s="160">
        <f t="shared" si="6"/>
        <v>9319.7999999999993</v>
      </c>
      <c r="AB21" s="159">
        <v>33041</v>
      </c>
      <c r="AC21" s="163"/>
      <c r="AD21" s="289"/>
    </row>
    <row r="22" spans="1:31" s="119" customFormat="1">
      <c r="A22" s="169">
        <v>42171</v>
      </c>
      <c r="B22" s="285">
        <v>8</v>
      </c>
      <c r="C22" s="286">
        <v>2</v>
      </c>
      <c r="D22" s="159"/>
      <c r="E22" s="170">
        <v>11</v>
      </c>
      <c r="F22" s="170">
        <v>33.5</v>
      </c>
      <c r="G22" s="170"/>
      <c r="H22" s="159"/>
      <c r="I22" s="159"/>
      <c r="J22" s="287"/>
      <c r="K22" s="280"/>
      <c r="L22" s="159">
        <v>2</v>
      </c>
      <c r="M22" s="286">
        <v>4</v>
      </c>
      <c r="N22" s="286">
        <v>3</v>
      </c>
      <c r="O22" s="288"/>
      <c r="P22" s="286">
        <v>44.5</v>
      </c>
      <c r="Q22" s="160"/>
      <c r="R22" s="159">
        <f t="shared" si="3"/>
        <v>48.5</v>
      </c>
      <c r="S22" s="161"/>
      <c r="T22" s="159">
        <f t="shared" si="4"/>
        <v>0</v>
      </c>
      <c r="U22" s="160"/>
      <c r="V22" s="274"/>
      <c r="W22" s="274"/>
      <c r="X22" s="274"/>
      <c r="Y22" s="160">
        <f t="shared" si="2"/>
        <v>9500</v>
      </c>
      <c r="Z22" s="160">
        <f t="shared" si="5"/>
        <v>475</v>
      </c>
      <c r="AA22" s="160">
        <f t="shared" si="6"/>
        <v>9975</v>
      </c>
      <c r="AB22" s="159">
        <v>33041</v>
      </c>
      <c r="AC22" s="163"/>
      <c r="AD22" s="289"/>
    </row>
    <row r="23" spans="1:31" s="119" customFormat="1">
      <c r="A23" s="169">
        <v>42172</v>
      </c>
      <c r="B23" s="285">
        <v>9</v>
      </c>
      <c r="C23" s="286">
        <v>2</v>
      </c>
      <c r="D23" s="159"/>
      <c r="E23" s="171">
        <v>12</v>
      </c>
      <c r="F23" s="170">
        <v>33.5</v>
      </c>
      <c r="G23" s="170"/>
      <c r="H23" s="159"/>
      <c r="I23" s="159"/>
      <c r="J23" s="287"/>
      <c r="K23" s="280"/>
      <c r="L23" s="159">
        <v>1</v>
      </c>
      <c r="M23" s="286">
        <v>4</v>
      </c>
      <c r="N23" s="286">
        <v>3</v>
      </c>
      <c r="O23" s="288"/>
      <c r="P23" s="286">
        <v>45.5</v>
      </c>
      <c r="Q23" s="160"/>
      <c r="R23" s="159">
        <f t="shared" si="3"/>
        <v>48.5</v>
      </c>
      <c r="S23" s="161"/>
      <c r="T23" s="159">
        <f t="shared" si="4"/>
        <v>0</v>
      </c>
      <c r="U23" s="160"/>
      <c r="V23" s="274"/>
      <c r="W23" s="274"/>
      <c r="X23" s="274"/>
      <c r="Y23" s="160">
        <f t="shared" si="2"/>
        <v>9514</v>
      </c>
      <c r="Z23" s="160">
        <f t="shared" si="5"/>
        <v>475.70000000000005</v>
      </c>
      <c r="AA23" s="160">
        <f t="shared" si="6"/>
        <v>9989.7000000000007</v>
      </c>
      <c r="AB23" s="159">
        <v>33041</v>
      </c>
      <c r="AC23" s="339" t="s">
        <v>348</v>
      </c>
      <c r="AD23" s="289"/>
    </row>
    <row r="24" spans="1:31" s="119" customFormat="1">
      <c r="A24" s="169">
        <v>42173</v>
      </c>
      <c r="B24" s="285">
        <v>10</v>
      </c>
      <c r="C24" s="159"/>
      <c r="D24" s="159">
        <v>1</v>
      </c>
      <c r="E24" s="170">
        <v>12</v>
      </c>
      <c r="F24" s="170">
        <v>32.5</v>
      </c>
      <c r="G24" s="170">
        <v>5</v>
      </c>
      <c r="H24" s="159"/>
      <c r="I24" s="159"/>
      <c r="J24" s="287"/>
      <c r="K24" s="280"/>
      <c r="L24" s="306"/>
      <c r="M24" s="286">
        <v>6</v>
      </c>
      <c r="N24" s="286">
        <v>3</v>
      </c>
      <c r="O24" s="288"/>
      <c r="P24" s="286">
        <v>44.5</v>
      </c>
      <c r="Q24" s="286">
        <v>110</v>
      </c>
      <c r="R24" s="159">
        <f t="shared" si="3"/>
        <v>50.5</v>
      </c>
      <c r="S24" s="161"/>
      <c r="T24" s="159">
        <f t="shared" si="4"/>
        <v>110</v>
      </c>
      <c r="U24" s="160"/>
      <c r="V24" s="274"/>
      <c r="W24" s="274"/>
      <c r="X24" s="274"/>
      <c r="Y24" s="160">
        <f t="shared" si="2"/>
        <v>10006.5</v>
      </c>
      <c r="Z24" s="160">
        <f t="shared" si="5"/>
        <v>500.32500000000005</v>
      </c>
      <c r="AA24" s="160">
        <f t="shared" si="6"/>
        <v>10506.825000000001</v>
      </c>
      <c r="AB24" s="159">
        <v>33041</v>
      </c>
      <c r="AC24" s="163"/>
      <c r="AD24" s="289"/>
      <c r="AE24" s="308"/>
    </row>
    <row r="25" spans="1:31" s="119" customFormat="1">
      <c r="A25" s="169">
        <v>42174</v>
      </c>
      <c r="B25" s="285">
        <v>11</v>
      </c>
      <c r="C25" s="159"/>
      <c r="D25" s="159"/>
      <c r="E25" s="170">
        <v>11</v>
      </c>
      <c r="F25" s="170">
        <v>22.5</v>
      </c>
      <c r="G25" s="170">
        <v>12</v>
      </c>
      <c r="H25" s="159">
        <v>5.5</v>
      </c>
      <c r="I25" s="159"/>
      <c r="J25" s="287"/>
      <c r="K25" s="280"/>
      <c r="L25" s="306"/>
      <c r="M25" s="286">
        <v>4</v>
      </c>
      <c r="N25" s="286">
        <v>2</v>
      </c>
      <c r="O25" s="288"/>
      <c r="P25" s="286">
        <v>45.5</v>
      </c>
      <c r="Q25" s="160"/>
      <c r="R25" s="159">
        <f t="shared" si="3"/>
        <v>51</v>
      </c>
      <c r="S25" s="161"/>
      <c r="T25" s="159">
        <f t="shared" si="4"/>
        <v>0</v>
      </c>
      <c r="U25" s="160"/>
      <c r="V25" s="274"/>
      <c r="W25" s="274"/>
      <c r="X25" s="274"/>
      <c r="Y25" s="160">
        <f t="shared" si="2"/>
        <v>8402</v>
      </c>
      <c r="Z25" s="160">
        <f t="shared" si="5"/>
        <v>420.1</v>
      </c>
      <c r="AA25" s="160">
        <f t="shared" si="6"/>
        <v>8822.1</v>
      </c>
      <c r="AB25" s="159">
        <v>33041</v>
      </c>
      <c r="AC25" s="339" t="s">
        <v>347</v>
      </c>
      <c r="AD25" s="289"/>
      <c r="AE25" s="309"/>
    </row>
    <row r="26" spans="1:31" s="119" customFormat="1">
      <c r="A26" s="169">
        <v>42174</v>
      </c>
      <c r="B26" s="285">
        <v>12</v>
      </c>
      <c r="C26" s="286">
        <v>6</v>
      </c>
      <c r="D26" s="159"/>
      <c r="E26" s="170"/>
      <c r="F26" s="170"/>
      <c r="G26" s="170"/>
      <c r="H26" s="159"/>
      <c r="I26" s="159"/>
      <c r="J26" s="287"/>
      <c r="K26" s="280"/>
      <c r="L26" s="306"/>
      <c r="M26" s="160"/>
      <c r="N26" s="160"/>
      <c r="O26" s="160"/>
      <c r="P26" s="160"/>
      <c r="Q26" s="160"/>
      <c r="R26" s="159">
        <f t="shared" si="3"/>
        <v>6</v>
      </c>
      <c r="S26" s="161"/>
      <c r="T26" s="159">
        <f t="shared" si="4"/>
        <v>0</v>
      </c>
      <c r="U26" s="160"/>
      <c r="V26" s="274"/>
      <c r="W26" s="274"/>
      <c r="X26" s="274"/>
      <c r="Y26" s="160">
        <f t="shared" si="2"/>
        <v>567</v>
      </c>
      <c r="Z26" s="160">
        <f t="shared" si="5"/>
        <v>28.35</v>
      </c>
      <c r="AA26" s="160">
        <f t="shared" si="6"/>
        <v>595.35</v>
      </c>
      <c r="AB26" s="159">
        <v>33041</v>
      </c>
      <c r="AC26" s="163"/>
      <c r="AD26" s="289"/>
    </row>
    <row r="27" spans="1:31" s="119" customFormat="1">
      <c r="A27" s="169">
        <v>42175</v>
      </c>
      <c r="B27" s="285">
        <v>13</v>
      </c>
      <c r="C27" s="159"/>
      <c r="D27" s="159"/>
      <c r="E27" s="170">
        <v>12</v>
      </c>
      <c r="F27" s="170">
        <v>26.5</v>
      </c>
      <c r="G27" s="170"/>
      <c r="H27" s="159"/>
      <c r="I27" s="159"/>
      <c r="J27" s="287"/>
      <c r="K27" s="280"/>
      <c r="L27" s="306"/>
      <c r="M27" s="286">
        <v>6</v>
      </c>
      <c r="N27" s="286">
        <v>2</v>
      </c>
      <c r="O27" s="286">
        <v>1</v>
      </c>
      <c r="P27" s="171">
        <v>38.5</v>
      </c>
      <c r="Q27" s="160"/>
      <c r="R27" s="159">
        <f t="shared" si="3"/>
        <v>38.5</v>
      </c>
      <c r="S27" s="161"/>
      <c r="T27" s="159">
        <f t="shared" si="4"/>
        <v>0</v>
      </c>
      <c r="U27" s="160"/>
      <c r="V27" s="274"/>
      <c r="W27" s="274"/>
      <c r="X27" s="274"/>
      <c r="Y27" s="160">
        <f t="shared" si="2"/>
        <v>8093.5</v>
      </c>
      <c r="Z27" s="160">
        <f t="shared" si="5"/>
        <v>404.67500000000001</v>
      </c>
      <c r="AA27" s="160">
        <f t="shared" si="6"/>
        <v>8498.1749999999993</v>
      </c>
      <c r="AB27" s="159">
        <v>33041</v>
      </c>
      <c r="AC27" s="163"/>
      <c r="AD27" s="289"/>
    </row>
    <row r="28" spans="1:31" s="119" customFormat="1">
      <c r="A28" s="169">
        <v>42177</v>
      </c>
      <c r="B28" s="285">
        <v>14</v>
      </c>
      <c r="C28" s="171">
        <v>6</v>
      </c>
      <c r="D28" s="159"/>
      <c r="E28" s="170">
        <v>11</v>
      </c>
      <c r="F28" s="171">
        <v>32</v>
      </c>
      <c r="G28" s="167"/>
      <c r="H28" s="159"/>
      <c r="I28" s="160"/>
      <c r="J28" s="287"/>
      <c r="K28" s="280"/>
      <c r="L28" s="159">
        <v>8</v>
      </c>
      <c r="M28" s="171">
        <v>6</v>
      </c>
      <c r="N28" s="171">
        <v>2</v>
      </c>
      <c r="O28" s="171">
        <v>2</v>
      </c>
      <c r="P28" s="171">
        <v>43</v>
      </c>
      <c r="Q28" s="171">
        <v>440</v>
      </c>
      <c r="R28" s="159">
        <f t="shared" si="3"/>
        <v>57</v>
      </c>
      <c r="S28" s="161"/>
      <c r="T28" s="159">
        <f t="shared" si="4"/>
        <v>440</v>
      </c>
      <c r="U28" s="160"/>
      <c r="V28" s="274"/>
      <c r="W28" s="274"/>
      <c r="X28" s="274"/>
      <c r="Y28" s="160">
        <f t="shared" si="2"/>
        <v>11086.5</v>
      </c>
      <c r="Z28" s="160">
        <f t="shared" si="5"/>
        <v>554.32500000000005</v>
      </c>
      <c r="AA28" s="160">
        <f t="shared" si="6"/>
        <v>11640.825000000001</v>
      </c>
      <c r="AB28" s="159">
        <v>33041</v>
      </c>
      <c r="AC28" s="163"/>
      <c r="AD28" s="289"/>
    </row>
    <row r="29" spans="1:31" s="119" customFormat="1">
      <c r="A29" s="169">
        <v>42178</v>
      </c>
      <c r="B29" s="285">
        <v>15</v>
      </c>
      <c r="C29" s="286">
        <v>8</v>
      </c>
      <c r="D29" s="159">
        <v>5</v>
      </c>
      <c r="E29" s="170">
        <v>11</v>
      </c>
      <c r="F29" s="171">
        <v>30</v>
      </c>
      <c r="G29" s="167"/>
      <c r="H29" s="159"/>
      <c r="I29" s="286">
        <v>0.5</v>
      </c>
      <c r="J29" s="287"/>
      <c r="K29" s="280"/>
      <c r="L29" s="159">
        <v>2</v>
      </c>
      <c r="M29" s="286">
        <v>6</v>
      </c>
      <c r="N29" s="286">
        <v>2</v>
      </c>
      <c r="O29" s="286">
        <v>1</v>
      </c>
      <c r="P29" s="286">
        <v>41</v>
      </c>
      <c r="Q29" s="159"/>
      <c r="R29" s="159">
        <f t="shared" si="3"/>
        <v>56.5</v>
      </c>
      <c r="S29" s="161"/>
      <c r="T29" s="159">
        <v>230</v>
      </c>
      <c r="U29" s="160"/>
      <c r="V29" s="274"/>
      <c r="W29" s="274"/>
      <c r="X29" s="274"/>
      <c r="Y29" s="160">
        <f t="shared" si="2"/>
        <v>10029.75</v>
      </c>
      <c r="Z29" s="160">
        <f>(Y29*5%)</f>
        <v>501.48750000000001</v>
      </c>
      <c r="AA29" s="160">
        <f>SUM(Y29+Z29)</f>
        <v>10531.237499999999</v>
      </c>
      <c r="AB29" s="159">
        <v>33041</v>
      </c>
      <c r="AC29" s="339" t="s">
        <v>346</v>
      </c>
      <c r="AD29" s="289"/>
      <c r="AE29" s="308"/>
    </row>
    <row r="30" spans="1:31" s="119" customFormat="1">
      <c r="A30" s="169">
        <v>42179</v>
      </c>
      <c r="B30" s="285">
        <v>16</v>
      </c>
      <c r="C30" s="286">
        <v>10</v>
      </c>
      <c r="D30" s="159"/>
      <c r="E30" s="170">
        <v>13</v>
      </c>
      <c r="F30" s="171">
        <v>30.5</v>
      </c>
      <c r="G30" s="167"/>
      <c r="H30" s="159"/>
      <c r="I30" s="286">
        <v>1</v>
      </c>
      <c r="J30" s="287"/>
      <c r="K30" s="280"/>
      <c r="L30" s="306"/>
      <c r="M30" s="286">
        <v>4</v>
      </c>
      <c r="N30" s="286">
        <v>3</v>
      </c>
      <c r="O30" s="160"/>
      <c r="P30" s="286">
        <v>33.5</v>
      </c>
      <c r="Q30" s="286">
        <v>230</v>
      </c>
      <c r="R30" s="159">
        <f t="shared" si="3"/>
        <v>54.5</v>
      </c>
      <c r="S30" s="161"/>
      <c r="T30" s="159">
        <f t="shared" si="4"/>
        <v>230</v>
      </c>
      <c r="U30" s="160"/>
      <c r="V30" s="274"/>
      <c r="W30" s="274"/>
      <c r="X30" s="274"/>
      <c r="Y30" s="160">
        <f t="shared" si="2"/>
        <v>9900.5</v>
      </c>
      <c r="Z30" s="160">
        <f t="shared" si="5"/>
        <v>495.02500000000003</v>
      </c>
      <c r="AA30" s="160">
        <f t="shared" si="6"/>
        <v>10395.525</v>
      </c>
      <c r="AB30" s="159">
        <v>33041</v>
      </c>
      <c r="AC30" s="339" t="s">
        <v>345</v>
      </c>
      <c r="AD30" s="289"/>
    </row>
    <row r="31" spans="1:31" s="119" customFormat="1">
      <c r="A31" s="169">
        <v>42180</v>
      </c>
      <c r="B31" s="285">
        <v>17</v>
      </c>
      <c r="C31" s="286">
        <v>9</v>
      </c>
      <c r="D31" s="159"/>
      <c r="E31" s="171">
        <v>12</v>
      </c>
      <c r="F31" s="171">
        <v>34</v>
      </c>
      <c r="G31" s="167"/>
      <c r="H31" s="159"/>
      <c r="I31" s="159"/>
      <c r="J31" s="306"/>
      <c r="K31" s="307"/>
      <c r="L31" s="159">
        <v>1</v>
      </c>
      <c r="M31" s="286">
        <v>4</v>
      </c>
      <c r="N31" s="286">
        <v>3</v>
      </c>
      <c r="O31" s="160"/>
      <c r="P31" s="286">
        <v>35</v>
      </c>
      <c r="Q31" s="286">
        <v>230</v>
      </c>
      <c r="R31" s="159">
        <f t="shared" si="3"/>
        <v>56</v>
      </c>
      <c r="S31" s="161"/>
      <c r="T31" s="159">
        <f t="shared" si="4"/>
        <v>230</v>
      </c>
      <c r="U31" s="160"/>
      <c r="V31" s="274"/>
      <c r="W31" s="274"/>
      <c r="X31" s="274"/>
      <c r="Y31" s="160">
        <f t="shared" si="2"/>
        <v>10259</v>
      </c>
      <c r="Z31" s="160">
        <f t="shared" si="5"/>
        <v>512.95000000000005</v>
      </c>
      <c r="AA31" s="160">
        <f t="shared" si="6"/>
        <v>10771.95</v>
      </c>
      <c r="AB31" s="159">
        <v>33041</v>
      </c>
      <c r="AC31" s="310"/>
      <c r="AD31" s="289"/>
      <c r="AE31" s="309"/>
    </row>
    <row r="32" spans="1:31" s="119" customFormat="1">
      <c r="A32" s="169">
        <v>42181</v>
      </c>
      <c r="B32" s="285">
        <v>18</v>
      </c>
      <c r="C32" s="286">
        <v>9</v>
      </c>
      <c r="D32" s="159"/>
      <c r="E32" s="170"/>
      <c r="F32" s="171">
        <v>36</v>
      </c>
      <c r="G32" s="167"/>
      <c r="H32" s="159"/>
      <c r="I32" s="159"/>
      <c r="J32" s="306"/>
      <c r="K32" s="307"/>
      <c r="L32" s="306"/>
      <c r="M32" s="286">
        <v>6</v>
      </c>
      <c r="N32" s="286">
        <v>3</v>
      </c>
      <c r="O32" s="160"/>
      <c r="P32" s="286">
        <v>36</v>
      </c>
      <c r="Q32" s="160"/>
      <c r="R32" s="159">
        <f t="shared" si="3"/>
        <v>45</v>
      </c>
      <c r="S32" s="161"/>
      <c r="T32" s="159">
        <f t="shared" si="4"/>
        <v>0</v>
      </c>
      <c r="U32" s="160"/>
      <c r="V32" s="274"/>
      <c r="W32" s="274"/>
      <c r="X32" s="274"/>
      <c r="Y32" s="160">
        <f t="shared" si="2"/>
        <v>9262.5</v>
      </c>
      <c r="Z32" s="160">
        <f t="shared" si="5"/>
        <v>463.125</v>
      </c>
      <c r="AA32" s="160">
        <f t="shared" si="6"/>
        <v>9725.625</v>
      </c>
      <c r="AB32" s="159">
        <v>33041</v>
      </c>
      <c r="AC32" s="339" t="s">
        <v>344</v>
      </c>
      <c r="AD32" s="289"/>
    </row>
    <row r="33" spans="1:30" s="119" customFormat="1">
      <c r="A33" s="169">
        <v>42182</v>
      </c>
      <c r="B33" s="285">
        <v>19</v>
      </c>
      <c r="C33" s="159"/>
      <c r="D33" s="159"/>
      <c r="E33" s="166"/>
      <c r="F33" s="171">
        <v>24.5</v>
      </c>
      <c r="G33" s="167"/>
      <c r="H33" s="159"/>
      <c r="I33" s="159"/>
      <c r="J33" s="287"/>
      <c r="K33" s="280"/>
      <c r="L33" s="306"/>
      <c r="M33" s="286">
        <v>6</v>
      </c>
      <c r="N33" s="286">
        <v>2</v>
      </c>
      <c r="O33" s="286">
        <v>1</v>
      </c>
      <c r="P33" s="286">
        <v>24.5</v>
      </c>
      <c r="Q33" s="160"/>
      <c r="R33" s="159">
        <f t="shared" si="3"/>
        <v>24.5</v>
      </c>
      <c r="S33" s="257"/>
      <c r="T33" s="159">
        <f t="shared" si="4"/>
        <v>0</v>
      </c>
      <c r="U33" s="160"/>
      <c r="V33" s="274"/>
      <c r="W33" s="274"/>
      <c r="X33" s="274"/>
      <c r="Y33" s="160">
        <f t="shared" si="2"/>
        <v>6241.5</v>
      </c>
      <c r="Z33" s="160">
        <f t="shared" si="5"/>
        <v>312.07500000000005</v>
      </c>
      <c r="AA33" s="160">
        <f t="shared" si="6"/>
        <v>6553.5749999999998</v>
      </c>
      <c r="AB33" s="159">
        <v>33041</v>
      </c>
      <c r="AC33" s="163"/>
      <c r="AD33" s="289"/>
    </row>
    <row r="34" spans="1:30" s="119" customFormat="1">
      <c r="A34" s="169">
        <v>42184</v>
      </c>
      <c r="B34" s="285">
        <v>20</v>
      </c>
      <c r="C34" s="159">
        <v>11</v>
      </c>
      <c r="D34" s="159">
        <v>0.5</v>
      </c>
      <c r="E34" s="166">
        <v>12</v>
      </c>
      <c r="F34" s="170">
        <v>33.5</v>
      </c>
      <c r="G34" s="167"/>
      <c r="H34" s="159"/>
      <c r="I34" s="159"/>
      <c r="J34" s="287"/>
      <c r="K34" s="280"/>
      <c r="L34" s="159">
        <v>3</v>
      </c>
      <c r="M34" s="171">
        <v>6</v>
      </c>
      <c r="N34" s="171">
        <v>2</v>
      </c>
      <c r="O34" s="171">
        <v>1</v>
      </c>
      <c r="P34" s="171">
        <v>45.5</v>
      </c>
      <c r="Q34" s="160"/>
      <c r="R34" s="159">
        <f t="shared" si="3"/>
        <v>60</v>
      </c>
      <c r="S34" s="257"/>
      <c r="T34" s="159">
        <f t="shared" si="4"/>
        <v>0</v>
      </c>
      <c r="U34" s="160"/>
      <c r="V34" s="274"/>
      <c r="W34" s="274"/>
      <c r="X34" s="274"/>
      <c r="Y34" s="160">
        <f t="shared" si="2"/>
        <v>10684.5</v>
      </c>
      <c r="Z34" s="160">
        <f t="shared" si="5"/>
        <v>534.22500000000002</v>
      </c>
      <c r="AA34" s="160">
        <f t="shared" si="6"/>
        <v>11218.725</v>
      </c>
      <c r="AB34" s="159">
        <v>33041</v>
      </c>
      <c r="AC34" s="163"/>
      <c r="AD34" s="289"/>
    </row>
    <row r="35" spans="1:30">
      <c r="A35" s="169">
        <v>42185</v>
      </c>
      <c r="B35" s="285">
        <v>21</v>
      </c>
      <c r="C35" s="159">
        <v>11</v>
      </c>
      <c r="D35" s="159"/>
      <c r="E35" s="166">
        <v>10</v>
      </c>
      <c r="F35" s="171">
        <v>15</v>
      </c>
      <c r="G35" s="167"/>
      <c r="H35" s="159"/>
      <c r="I35" s="159"/>
      <c r="J35" s="287"/>
      <c r="K35" s="280"/>
      <c r="L35" s="159">
        <v>1</v>
      </c>
      <c r="M35" s="159"/>
      <c r="N35" s="160"/>
      <c r="O35" s="286">
        <v>3</v>
      </c>
      <c r="P35" s="286">
        <v>15</v>
      </c>
      <c r="Q35" s="286">
        <v>283</v>
      </c>
      <c r="R35" s="159">
        <f t="shared" si="3"/>
        <v>37</v>
      </c>
      <c r="S35" s="257"/>
      <c r="T35" s="159">
        <f t="shared" si="4"/>
        <v>283</v>
      </c>
      <c r="U35" s="159"/>
      <c r="V35" s="276"/>
      <c r="W35" s="276"/>
      <c r="X35" s="276"/>
      <c r="Y35" s="160">
        <f t="shared" si="2"/>
        <v>5753.3</v>
      </c>
      <c r="Z35" s="265">
        <f t="shared" si="5"/>
        <v>287.66500000000002</v>
      </c>
      <c r="AA35" s="160">
        <f t="shared" si="6"/>
        <v>6040.9650000000001</v>
      </c>
      <c r="AB35" s="159">
        <v>33041</v>
      </c>
      <c r="AC35" s="163"/>
      <c r="AD35" s="57"/>
    </row>
    <row r="36" spans="1:30">
      <c r="A36" s="26">
        <v>42186</v>
      </c>
      <c r="B36" s="113">
        <v>22</v>
      </c>
      <c r="C36" s="31">
        <v>6</v>
      </c>
      <c r="D36" s="31"/>
      <c r="E36" s="66">
        <v>6</v>
      </c>
      <c r="F36" s="35"/>
      <c r="G36" s="218">
        <v>12</v>
      </c>
      <c r="H36" s="31"/>
      <c r="I36" s="27"/>
      <c r="J36" s="221"/>
      <c r="K36" s="255"/>
      <c r="L36" s="219"/>
      <c r="M36" s="31"/>
      <c r="N36" s="31"/>
      <c r="O36" s="31"/>
      <c r="P36" s="31"/>
      <c r="Q36" s="31">
        <v>515</v>
      </c>
      <c r="R36" s="31">
        <f t="shared" si="3"/>
        <v>24</v>
      </c>
      <c r="S36" s="29"/>
      <c r="T36" s="31">
        <f t="shared" si="4"/>
        <v>515</v>
      </c>
      <c r="U36" s="31"/>
      <c r="V36" s="232"/>
      <c r="W36" s="232"/>
      <c r="X36" s="232"/>
      <c r="Y36" s="265">
        <f t="shared" ref="Y36:Y79" si="7">SUM(C36*$C$6+D36*$D$6+E36*$E$6+F36*$F$6+G36*$G$6+H36*$H$6+I36*$I$6+J36*$J$6+K36*$K$6+L36*$L$6+M36*$M$6+N36*$N$6+O36*$O$6+P36*$P$6+Q36*$Q$6+U36*$U$6+V36*$V$6+W36*$W$6+X36*$X$6)</f>
        <v>2834.5</v>
      </c>
      <c r="Z36" s="265">
        <f t="shared" si="5"/>
        <v>141.72499999999999</v>
      </c>
      <c r="AA36" s="27">
        <f t="shared" si="6"/>
        <v>2976.2249999999999</v>
      </c>
      <c r="AB36" s="153">
        <v>33272</v>
      </c>
      <c r="AC36" s="56"/>
      <c r="AD36" s="57"/>
    </row>
    <row r="37" spans="1:30">
      <c r="A37" s="26">
        <v>42187</v>
      </c>
      <c r="B37" s="114" t="s">
        <v>384</v>
      </c>
      <c r="C37" s="111">
        <v>3</v>
      </c>
      <c r="D37" s="31"/>
      <c r="E37" s="111">
        <v>13</v>
      </c>
      <c r="F37" s="220">
        <v>33.5</v>
      </c>
      <c r="G37" s="27"/>
      <c r="H37" s="31"/>
      <c r="I37" s="27">
        <v>6</v>
      </c>
      <c r="J37" s="219"/>
      <c r="K37" s="254"/>
      <c r="L37" s="31">
        <v>6</v>
      </c>
      <c r="M37" s="111">
        <v>6</v>
      </c>
      <c r="N37" s="111">
        <v>2</v>
      </c>
      <c r="O37" s="111">
        <v>1</v>
      </c>
      <c r="P37" s="111">
        <v>35.5</v>
      </c>
      <c r="Q37" s="111">
        <v>280</v>
      </c>
      <c r="R37" s="31">
        <f t="shared" si="3"/>
        <v>61.5</v>
      </c>
      <c r="S37" s="29"/>
      <c r="T37" s="31">
        <f t="shared" si="4"/>
        <v>280</v>
      </c>
      <c r="U37" s="31"/>
      <c r="V37" s="232"/>
      <c r="W37" s="232"/>
      <c r="X37" s="232"/>
      <c r="Y37" s="265">
        <f t="shared" si="7"/>
        <v>10969.5</v>
      </c>
      <c r="Z37" s="265">
        <f t="shared" si="5"/>
        <v>548.47500000000002</v>
      </c>
      <c r="AA37" s="27">
        <f t="shared" si="6"/>
        <v>11517.975</v>
      </c>
      <c r="AB37" s="153">
        <v>33272</v>
      </c>
      <c r="AC37" s="56"/>
      <c r="AD37" s="57"/>
    </row>
    <row r="38" spans="1:30">
      <c r="A38" s="26">
        <v>42188</v>
      </c>
      <c r="B38" s="113" t="s">
        <v>400</v>
      </c>
      <c r="C38" s="31">
        <v>4</v>
      </c>
      <c r="D38" s="31">
        <v>1.5</v>
      </c>
      <c r="E38" s="31">
        <v>12</v>
      </c>
      <c r="F38" s="219">
        <v>36</v>
      </c>
      <c r="G38" s="27"/>
      <c r="H38" s="31"/>
      <c r="I38" s="27"/>
      <c r="J38" s="219"/>
      <c r="K38" s="254"/>
      <c r="L38" s="475">
        <v>2</v>
      </c>
      <c r="M38" s="31">
        <v>4</v>
      </c>
      <c r="N38" s="31">
        <v>2</v>
      </c>
      <c r="O38" s="31">
        <v>1</v>
      </c>
      <c r="P38" s="31">
        <v>24</v>
      </c>
      <c r="Q38" s="31">
        <v>450</v>
      </c>
      <c r="R38" s="31">
        <f t="shared" si="3"/>
        <v>55.5</v>
      </c>
      <c r="S38" s="29"/>
      <c r="T38" s="31">
        <f t="shared" si="4"/>
        <v>450</v>
      </c>
      <c r="U38" s="31"/>
      <c r="V38" s="232"/>
      <c r="W38" s="232"/>
      <c r="X38" s="232"/>
      <c r="Y38" s="265">
        <f t="shared" si="7"/>
        <v>10061</v>
      </c>
      <c r="Z38" s="265">
        <f t="shared" si="5"/>
        <v>503.05</v>
      </c>
      <c r="AA38" s="27">
        <f t="shared" si="6"/>
        <v>10564.05</v>
      </c>
      <c r="AB38" s="153">
        <v>33272</v>
      </c>
      <c r="AC38" s="56"/>
      <c r="AD38" s="57"/>
    </row>
    <row r="39" spans="1:30" ht="15" customHeight="1">
      <c r="A39" s="26">
        <v>42189</v>
      </c>
      <c r="B39" s="114">
        <v>25</v>
      </c>
      <c r="C39" s="31">
        <v>2</v>
      </c>
      <c r="D39" s="31"/>
      <c r="E39" s="31">
        <v>12</v>
      </c>
      <c r="F39" s="219">
        <v>30</v>
      </c>
      <c r="G39" s="27"/>
      <c r="H39" s="31"/>
      <c r="I39" s="27"/>
      <c r="J39" s="219"/>
      <c r="K39" s="254"/>
      <c r="L39" s="219"/>
      <c r="M39" s="31">
        <v>2</v>
      </c>
      <c r="N39" s="31">
        <v>3</v>
      </c>
      <c r="O39" s="31"/>
      <c r="P39" s="31">
        <v>30</v>
      </c>
      <c r="Q39" s="31">
        <v>220</v>
      </c>
      <c r="R39" s="31">
        <f t="shared" si="3"/>
        <v>44</v>
      </c>
      <c r="S39" s="29"/>
      <c r="T39" s="31">
        <f t="shared" si="4"/>
        <v>220</v>
      </c>
      <c r="U39" s="31"/>
      <c r="V39" s="232"/>
      <c r="W39" s="232"/>
      <c r="X39" s="232"/>
      <c r="Y39" s="265">
        <f t="shared" si="7"/>
        <v>8483</v>
      </c>
      <c r="Z39" s="265">
        <f t="shared" si="5"/>
        <v>424.15000000000003</v>
      </c>
      <c r="AA39" s="27">
        <f t="shared" si="6"/>
        <v>8907.15</v>
      </c>
      <c r="AB39" s="153">
        <v>33272</v>
      </c>
      <c r="AC39" s="56"/>
      <c r="AD39" s="57"/>
    </row>
    <row r="40" spans="1:30" ht="15" customHeight="1">
      <c r="A40" s="26">
        <v>42191</v>
      </c>
      <c r="B40" s="114">
        <v>26</v>
      </c>
      <c r="C40" s="31"/>
      <c r="D40" s="31"/>
      <c r="E40" s="31">
        <v>12</v>
      </c>
      <c r="F40" s="219">
        <v>35.5</v>
      </c>
      <c r="G40" s="27"/>
      <c r="H40" s="31"/>
      <c r="I40" s="27"/>
      <c r="J40" s="219"/>
      <c r="K40" s="254"/>
      <c r="L40" s="219"/>
      <c r="M40" s="31">
        <v>4</v>
      </c>
      <c r="N40" s="31">
        <v>2</v>
      </c>
      <c r="O40" s="31">
        <v>1</v>
      </c>
      <c r="P40" s="31">
        <v>47.5</v>
      </c>
      <c r="Q40" s="31"/>
      <c r="R40" s="31">
        <f t="shared" si="3"/>
        <v>47.5</v>
      </c>
      <c r="S40" s="29"/>
      <c r="T40" s="31">
        <f t="shared" si="4"/>
        <v>0</v>
      </c>
      <c r="U40" s="31"/>
      <c r="V40" s="232"/>
      <c r="W40" s="232"/>
      <c r="X40" s="232"/>
      <c r="Y40" s="265">
        <f t="shared" si="7"/>
        <v>9296.5</v>
      </c>
      <c r="Z40" s="265">
        <f t="shared" si="5"/>
        <v>464.82500000000005</v>
      </c>
      <c r="AA40" s="27">
        <f t="shared" si="6"/>
        <v>9761.3250000000007</v>
      </c>
      <c r="AB40" s="153">
        <v>33272</v>
      </c>
      <c r="AC40" s="56"/>
      <c r="AD40" s="57"/>
    </row>
    <row r="41" spans="1:30" ht="15" customHeight="1">
      <c r="A41" s="26">
        <v>42192</v>
      </c>
      <c r="B41" s="113" t="s">
        <v>404</v>
      </c>
      <c r="C41" s="31"/>
      <c r="D41" s="31">
        <v>2</v>
      </c>
      <c r="E41" s="31">
        <v>10</v>
      </c>
      <c r="F41" s="219">
        <v>33.5</v>
      </c>
      <c r="G41" s="27"/>
      <c r="H41" s="31"/>
      <c r="I41" s="27"/>
      <c r="J41" s="219"/>
      <c r="K41" s="254"/>
      <c r="L41" s="475">
        <v>2</v>
      </c>
      <c r="M41" s="31">
        <v>4</v>
      </c>
      <c r="N41" s="31">
        <v>2</v>
      </c>
      <c r="O41" s="31">
        <v>1</v>
      </c>
      <c r="P41" s="31">
        <v>43.5</v>
      </c>
      <c r="Q41" s="31"/>
      <c r="R41" s="31">
        <f t="shared" si="3"/>
        <v>47.5</v>
      </c>
      <c r="S41" s="29"/>
      <c r="T41" s="31">
        <f t="shared" si="4"/>
        <v>0</v>
      </c>
      <c r="U41" s="31"/>
      <c r="V41" s="232"/>
      <c r="W41" s="232"/>
      <c r="X41" s="232"/>
      <c r="Y41" s="265">
        <f t="shared" si="7"/>
        <v>9114.5</v>
      </c>
      <c r="Z41" s="265">
        <f t="shared" si="5"/>
        <v>455.72500000000002</v>
      </c>
      <c r="AA41" s="27">
        <f t="shared" si="6"/>
        <v>9570.2250000000004</v>
      </c>
      <c r="AB41" s="153">
        <v>33272</v>
      </c>
      <c r="AC41" s="56"/>
      <c r="AD41" s="57"/>
    </row>
    <row r="42" spans="1:30" ht="15" customHeight="1">
      <c r="A42" s="26">
        <v>42193</v>
      </c>
      <c r="B42" s="114">
        <v>28</v>
      </c>
      <c r="C42" s="31"/>
      <c r="D42" s="31">
        <v>2.5</v>
      </c>
      <c r="E42" s="31">
        <v>11</v>
      </c>
      <c r="F42" s="219">
        <v>34</v>
      </c>
      <c r="G42" s="27"/>
      <c r="H42" s="31"/>
      <c r="I42" s="27"/>
      <c r="J42" s="219"/>
      <c r="K42" s="254"/>
      <c r="L42" s="219"/>
      <c r="M42" s="31">
        <v>4</v>
      </c>
      <c r="N42" s="31">
        <v>2</v>
      </c>
      <c r="O42" s="31">
        <v>1</v>
      </c>
      <c r="P42" s="31">
        <v>45</v>
      </c>
      <c r="Q42" s="31"/>
      <c r="R42" s="31">
        <f t="shared" si="3"/>
        <v>47.5</v>
      </c>
      <c r="S42" s="29"/>
      <c r="T42" s="31">
        <f t="shared" si="4"/>
        <v>0</v>
      </c>
      <c r="U42" s="31"/>
      <c r="V42" s="232"/>
      <c r="W42" s="232"/>
      <c r="X42" s="232"/>
      <c r="Y42" s="265">
        <f t="shared" si="7"/>
        <v>9144.5</v>
      </c>
      <c r="Z42" s="265">
        <f t="shared" si="5"/>
        <v>457.22500000000002</v>
      </c>
      <c r="AA42" s="27">
        <f t="shared" si="6"/>
        <v>9601.7250000000004</v>
      </c>
      <c r="AB42" s="153">
        <v>33272</v>
      </c>
      <c r="AC42" s="56"/>
      <c r="AD42" s="57"/>
    </row>
    <row r="43" spans="1:30" ht="15" customHeight="1">
      <c r="A43" s="26">
        <v>42194</v>
      </c>
      <c r="B43" s="114" t="s">
        <v>385</v>
      </c>
      <c r="C43" s="31"/>
      <c r="D43" s="31">
        <v>5</v>
      </c>
      <c r="E43" s="31">
        <v>13</v>
      </c>
      <c r="F43" s="219">
        <v>35.5</v>
      </c>
      <c r="G43" s="27"/>
      <c r="H43" s="31"/>
      <c r="I43" s="31">
        <v>5</v>
      </c>
      <c r="J43" s="219"/>
      <c r="K43" s="254"/>
      <c r="L43" s="219">
        <v>2.5</v>
      </c>
      <c r="M43" s="31">
        <v>4</v>
      </c>
      <c r="N43" s="31">
        <v>3</v>
      </c>
      <c r="O43" s="31"/>
      <c r="P43" s="31">
        <v>48.5</v>
      </c>
      <c r="Q43" s="31"/>
      <c r="R43" s="31">
        <f t="shared" si="3"/>
        <v>61</v>
      </c>
      <c r="S43" s="29"/>
      <c r="T43" s="31">
        <f t="shared" si="4"/>
        <v>0</v>
      </c>
      <c r="U43" s="31">
        <v>0.5</v>
      </c>
      <c r="V43" s="232"/>
      <c r="W43" s="232"/>
      <c r="X43" s="232"/>
      <c r="Y43" s="265">
        <f t="shared" si="7"/>
        <v>10910.5</v>
      </c>
      <c r="Z43" s="265">
        <f t="shared" si="5"/>
        <v>545.52499999999998</v>
      </c>
      <c r="AA43" s="27">
        <f t="shared" si="6"/>
        <v>11456.025</v>
      </c>
      <c r="AB43" s="153">
        <v>33272</v>
      </c>
      <c r="AC43" s="56"/>
      <c r="AD43" s="57"/>
    </row>
    <row r="44" spans="1:30" ht="15" customHeight="1">
      <c r="A44" s="26">
        <v>42195</v>
      </c>
      <c r="B44" s="114" t="s">
        <v>383</v>
      </c>
      <c r="C44" s="31"/>
      <c r="D44" s="31">
        <v>4</v>
      </c>
      <c r="E44" s="31">
        <v>10</v>
      </c>
      <c r="F44" s="31">
        <v>35</v>
      </c>
      <c r="G44" s="27"/>
      <c r="H44" s="31"/>
      <c r="I44" s="31"/>
      <c r="J44" s="219"/>
      <c r="K44" s="254"/>
      <c r="L44" s="475">
        <v>2</v>
      </c>
      <c r="M44" s="31">
        <v>5</v>
      </c>
      <c r="N44" s="31">
        <v>3</v>
      </c>
      <c r="O44" s="31"/>
      <c r="P44" s="31">
        <v>45</v>
      </c>
      <c r="Q44" s="31"/>
      <c r="R44" s="31">
        <f t="shared" si="3"/>
        <v>51</v>
      </c>
      <c r="S44" s="29"/>
      <c r="T44" s="31">
        <f t="shared" si="4"/>
        <v>0</v>
      </c>
      <c r="U44" s="476">
        <v>2.5</v>
      </c>
      <c r="V44" s="232"/>
      <c r="W44" s="232"/>
      <c r="X44" s="232"/>
      <c r="Y44" s="265">
        <f t="shared" si="7"/>
        <v>10113.75</v>
      </c>
      <c r="Z44" s="265">
        <f t="shared" si="5"/>
        <v>505.6875</v>
      </c>
      <c r="AA44" s="27">
        <f t="shared" si="6"/>
        <v>10619.4375</v>
      </c>
      <c r="AB44" s="153">
        <v>33272</v>
      </c>
      <c r="AC44" s="56"/>
      <c r="AD44" s="57"/>
    </row>
    <row r="45" spans="1:30" ht="15" customHeight="1">
      <c r="A45" s="26">
        <v>42196</v>
      </c>
      <c r="B45" s="114">
        <v>31</v>
      </c>
      <c r="C45" s="31"/>
      <c r="D45" s="31"/>
      <c r="E45" s="31">
        <v>11</v>
      </c>
      <c r="F45" s="31">
        <v>32.5</v>
      </c>
      <c r="G45" s="27"/>
      <c r="H45" s="31"/>
      <c r="I45" s="31"/>
      <c r="J45" s="219"/>
      <c r="K45" s="254"/>
      <c r="L45" s="219"/>
      <c r="M45" s="31">
        <v>4</v>
      </c>
      <c r="N45" s="31">
        <v>2</v>
      </c>
      <c r="O45" s="31">
        <v>1</v>
      </c>
      <c r="P45" s="31">
        <v>43.5</v>
      </c>
      <c r="Q45" s="31"/>
      <c r="R45" s="31">
        <f t="shared" si="3"/>
        <v>43.5</v>
      </c>
      <c r="S45" s="29"/>
      <c r="T45" s="31">
        <f t="shared" si="4"/>
        <v>0</v>
      </c>
      <c r="U45" s="31"/>
      <c r="V45" s="232"/>
      <c r="W45" s="232"/>
      <c r="X45" s="232"/>
      <c r="Y45" s="265">
        <f t="shared" si="7"/>
        <v>8669</v>
      </c>
      <c r="Z45" s="265">
        <f t="shared" si="5"/>
        <v>433.45000000000005</v>
      </c>
      <c r="AA45" s="27">
        <f t="shared" si="6"/>
        <v>9102.4500000000007</v>
      </c>
      <c r="AB45" s="153">
        <v>33272</v>
      </c>
      <c r="AC45" s="56"/>
      <c r="AD45" s="57"/>
    </row>
    <row r="46" spans="1:30" ht="15" customHeight="1">
      <c r="A46" s="26">
        <v>42198</v>
      </c>
      <c r="B46" s="114">
        <v>32</v>
      </c>
      <c r="C46" s="31">
        <v>8</v>
      </c>
      <c r="D46" s="31">
        <v>2</v>
      </c>
      <c r="E46" s="31"/>
      <c r="F46" s="31"/>
      <c r="G46" s="27"/>
      <c r="H46" s="31"/>
      <c r="I46" s="31"/>
      <c r="J46" s="219"/>
      <c r="K46" s="254"/>
      <c r="L46" s="31">
        <v>3</v>
      </c>
      <c r="M46" s="31"/>
      <c r="N46" s="31"/>
      <c r="O46" s="31"/>
      <c r="P46" s="31"/>
      <c r="Q46" s="31"/>
      <c r="R46" s="31">
        <f t="shared" si="3"/>
        <v>13</v>
      </c>
      <c r="S46" s="29"/>
      <c r="T46" s="31">
        <f t="shared" si="4"/>
        <v>0</v>
      </c>
      <c r="U46" s="31"/>
      <c r="V46" s="232"/>
      <c r="W46" s="232"/>
      <c r="X46" s="232"/>
      <c r="Y46" s="265">
        <f t="shared" si="7"/>
        <v>1273.5</v>
      </c>
      <c r="Z46" s="265">
        <f t="shared" si="5"/>
        <v>63.675000000000004</v>
      </c>
      <c r="AA46" s="27">
        <f t="shared" si="6"/>
        <v>1337.175</v>
      </c>
      <c r="AB46" s="153">
        <v>33272</v>
      </c>
      <c r="AC46" s="56"/>
      <c r="AD46" s="57"/>
    </row>
    <row r="47" spans="1:30" ht="15" customHeight="1">
      <c r="A47" s="26">
        <v>42199</v>
      </c>
      <c r="B47" s="114">
        <v>33</v>
      </c>
      <c r="C47" s="31">
        <v>8</v>
      </c>
      <c r="D47" s="31"/>
      <c r="E47" s="31"/>
      <c r="F47" s="31"/>
      <c r="G47" s="31">
        <v>12</v>
      </c>
      <c r="H47" s="31"/>
      <c r="I47" s="31"/>
      <c r="J47" s="219"/>
      <c r="K47" s="254"/>
      <c r="L47" s="31">
        <v>1</v>
      </c>
      <c r="M47" s="31"/>
      <c r="N47" s="31"/>
      <c r="O47" s="31"/>
      <c r="P47" s="31"/>
      <c r="Q47" s="31"/>
      <c r="R47" s="31">
        <f t="shared" si="3"/>
        <v>21</v>
      </c>
      <c r="S47" s="29"/>
      <c r="T47" s="31">
        <f t="shared" si="4"/>
        <v>0</v>
      </c>
      <c r="U47" s="31"/>
      <c r="V47" s="232"/>
      <c r="W47" s="232"/>
      <c r="X47" s="232"/>
      <c r="Y47" s="265">
        <f t="shared" si="7"/>
        <v>1948.5</v>
      </c>
      <c r="Z47" s="265">
        <f t="shared" si="5"/>
        <v>97.425000000000011</v>
      </c>
      <c r="AA47" s="27">
        <f t="shared" si="6"/>
        <v>2045.925</v>
      </c>
      <c r="AB47" s="153">
        <v>33272</v>
      </c>
      <c r="AC47" s="56"/>
      <c r="AD47" s="57"/>
    </row>
    <row r="48" spans="1:30" ht="15" customHeight="1">
      <c r="A48" s="26">
        <v>42200</v>
      </c>
      <c r="B48" s="114">
        <v>34</v>
      </c>
      <c r="C48" s="31"/>
      <c r="D48" s="31">
        <v>0.5</v>
      </c>
      <c r="E48" s="31">
        <v>8</v>
      </c>
      <c r="F48" s="31">
        <v>35.5</v>
      </c>
      <c r="G48" s="31">
        <v>12</v>
      </c>
      <c r="H48" s="31"/>
      <c r="I48" s="31"/>
      <c r="J48" s="219"/>
      <c r="K48" s="254"/>
      <c r="L48" s="31">
        <v>1</v>
      </c>
      <c r="M48" s="31">
        <v>2</v>
      </c>
      <c r="N48" s="31">
        <v>3</v>
      </c>
      <c r="O48" s="31"/>
      <c r="P48" s="31">
        <v>55.5</v>
      </c>
      <c r="Q48" s="31"/>
      <c r="R48" s="31">
        <f t="shared" si="3"/>
        <v>57</v>
      </c>
      <c r="S48" s="29"/>
      <c r="T48" s="31">
        <f t="shared" si="4"/>
        <v>0</v>
      </c>
      <c r="U48" s="31"/>
      <c r="V48" s="232"/>
      <c r="W48" s="232"/>
      <c r="X48" s="232"/>
      <c r="Y48" s="265">
        <f t="shared" si="7"/>
        <v>10254</v>
      </c>
      <c r="Z48" s="265">
        <f t="shared" si="5"/>
        <v>512.70000000000005</v>
      </c>
      <c r="AA48" s="27">
        <f t="shared" si="6"/>
        <v>10766.7</v>
      </c>
      <c r="AB48" s="153">
        <v>33272</v>
      </c>
      <c r="AC48" s="56"/>
      <c r="AD48" s="57"/>
    </row>
    <row r="49" spans="1:30" ht="15" customHeight="1">
      <c r="A49" s="26">
        <v>42201</v>
      </c>
      <c r="B49" s="114">
        <v>35</v>
      </c>
      <c r="C49" s="31"/>
      <c r="D49" s="31"/>
      <c r="E49" s="31">
        <v>10</v>
      </c>
      <c r="F49" s="31">
        <v>17</v>
      </c>
      <c r="G49" s="31"/>
      <c r="H49" s="31"/>
      <c r="I49" s="31"/>
      <c r="J49" s="219"/>
      <c r="K49" s="254"/>
      <c r="L49" s="31">
        <v>1.5</v>
      </c>
      <c r="M49" s="31"/>
      <c r="N49" s="31">
        <v>1</v>
      </c>
      <c r="O49" s="31"/>
      <c r="P49" s="31">
        <v>27</v>
      </c>
      <c r="Q49" s="31"/>
      <c r="R49" s="31">
        <f t="shared" si="3"/>
        <v>28.5</v>
      </c>
      <c r="S49" s="29"/>
      <c r="T49" s="31">
        <f t="shared" si="4"/>
        <v>0</v>
      </c>
      <c r="U49" s="31"/>
      <c r="V49" s="232"/>
      <c r="W49" s="232"/>
      <c r="X49" s="232"/>
      <c r="Y49" s="265">
        <f t="shared" si="7"/>
        <v>4772.75</v>
      </c>
      <c r="Z49" s="265">
        <f t="shared" si="5"/>
        <v>238.63750000000002</v>
      </c>
      <c r="AA49" s="27">
        <f t="shared" si="6"/>
        <v>5011.3874999999998</v>
      </c>
      <c r="AB49" s="153">
        <v>33272</v>
      </c>
      <c r="AC49" s="56"/>
      <c r="AD49" s="57"/>
    </row>
    <row r="50" spans="1:30" ht="15" customHeight="1">
      <c r="A50" s="26">
        <v>42202</v>
      </c>
      <c r="B50" s="114">
        <v>36</v>
      </c>
      <c r="C50" s="31"/>
      <c r="D50" s="31">
        <v>4.5</v>
      </c>
      <c r="E50" s="31"/>
      <c r="F50" s="31"/>
      <c r="G50" s="31"/>
      <c r="H50" s="31"/>
      <c r="I50" s="31"/>
      <c r="J50" s="219"/>
      <c r="K50" s="254"/>
      <c r="L50" s="31">
        <v>1</v>
      </c>
      <c r="M50" s="31"/>
      <c r="N50" s="31"/>
      <c r="O50" s="31"/>
      <c r="P50" s="31"/>
      <c r="Q50" s="31"/>
      <c r="R50" s="31">
        <f t="shared" si="3"/>
        <v>5.5</v>
      </c>
      <c r="S50" s="29"/>
      <c r="T50" s="31">
        <f t="shared" si="4"/>
        <v>0</v>
      </c>
      <c r="U50" s="31"/>
      <c r="V50" s="232"/>
      <c r="W50" s="232"/>
      <c r="X50" s="232"/>
      <c r="Y50" s="265">
        <f t="shared" si="7"/>
        <v>517.5</v>
      </c>
      <c r="Z50" s="265">
        <f t="shared" si="5"/>
        <v>25.875</v>
      </c>
      <c r="AA50" s="27">
        <f t="shared" si="6"/>
        <v>543.375</v>
      </c>
      <c r="AB50" s="153">
        <v>33272</v>
      </c>
      <c r="AC50" s="56"/>
      <c r="AD50" s="57"/>
    </row>
    <row r="51" spans="1:30" ht="15" customHeight="1">
      <c r="A51" s="26">
        <v>42205</v>
      </c>
      <c r="B51" s="114" t="s">
        <v>382</v>
      </c>
      <c r="C51" s="31">
        <v>4</v>
      </c>
      <c r="D51" s="31">
        <v>5</v>
      </c>
      <c r="E51" s="31"/>
      <c r="F51" s="31">
        <v>23</v>
      </c>
      <c r="G51" s="31">
        <v>12</v>
      </c>
      <c r="H51" s="31"/>
      <c r="I51" s="31"/>
      <c r="J51" s="219"/>
      <c r="K51" s="254"/>
      <c r="L51" s="31">
        <v>1</v>
      </c>
      <c r="M51" s="31">
        <v>4</v>
      </c>
      <c r="N51" s="31">
        <v>2</v>
      </c>
      <c r="O51" s="31"/>
      <c r="P51" s="31">
        <v>23</v>
      </c>
      <c r="Q51" s="31">
        <v>260</v>
      </c>
      <c r="R51" s="31">
        <f t="shared" si="3"/>
        <v>45</v>
      </c>
      <c r="S51" s="29"/>
      <c r="T51" s="31">
        <f t="shared" si="4"/>
        <v>260</v>
      </c>
      <c r="U51" s="31"/>
      <c r="V51" s="232"/>
      <c r="W51" s="232"/>
      <c r="X51" s="232"/>
      <c r="Y51" s="265">
        <f t="shared" si="7"/>
        <v>7747.5</v>
      </c>
      <c r="Z51" s="265">
        <f t="shared" si="5"/>
        <v>387.375</v>
      </c>
      <c r="AA51" s="27">
        <f t="shared" si="6"/>
        <v>8134.875</v>
      </c>
      <c r="AB51" s="153">
        <v>33272</v>
      </c>
      <c r="AC51" s="56"/>
      <c r="AD51" s="57"/>
    </row>
    <row r="52" spans="1:30" ht="15" customHeight="1">
      <c r="A52" s="26">
        <v>42206</v>
      </c>
      <c r="B52" s="114" t="s">
        <v>378</v>
      </c>
      <c r="C52" s="31">
        <v>6</v>
      </c>
      <c r="D52" s="31">
        <v>4.5</v>
      </c>
      <c r="E52" s="31">
        <v>12</v>
      </c>
      <c r="F52" s="31">
        <v>32</v>
      </c>
      <c r="G52" s="31"/>
      <c r="H52" s="31"/>
      <c r="I52" s="31"/>
      <c r="J52" s="219"/>
      <c r="K52" s="254"/>
      <c r="L52" s="31">
        <v>2</v>
      </c>
      <c r="M52" s="31">
        <v>2</v>
      </c>
      <c r="N52" s="31">
        <v>1</v>
      </c>
      <c r="O52" s="31"/>
      <c r="P52" s="31">
        <v>34.5</v>
      </c>
      <c r="Q52" s="31">
        <v>200</v>
      </c>
      <c r="R52" s="31">
        <f t="shared" si="3"/>
        <v>56.5</v>
      </c>
      <c r="S52" s="29"/>
      <c r="T52" s="31">
        <f t="shared" si="4"/>
        <v>200</v>
      </c>
      <c r="U52" s="31"/>
      <c r="V52" s="232"/>
      <c r="W52" s="232"/>
      <c r="X52" s="232"/>
      <c r="Y52" s="265">
        <f t="shared" si="7"/>
        <v>8860.5</v>
      </c>
      <c r="Z52" s="265">
        <f t="shared" si="5"/>
        <v>443.02500000000003</v>
      </c>
      <c r="AA52" s="27">
        <f t="shared" si="6"/>
        <v>9303.5249999999996</v>
      </c>
      <c r="AB52" s="153">
        <v>33272</v>
      </c>
      <c r="AC52" s="56"/>
      <c r="AD52" s="57"/>
    </row>
    <row r="53" spans="1:30" ht="15" customHeight="1">
      <c r="A53" s="26">
        <v>42207</v>
      </c>
      <c r="B53" s="114" t="s">
        <v>379</v>
      </c>
      <c r="C53" s="31">
        <v>4</v>
      </c>
      <c r="D53" s="31">
        <v>7</v>
      </c>
      <c r="E53" s="31">
        <v>12</v>
      </c>
      <c r="F53" s="31">
        <v>34</v>
      </c>
      <c r="G53" s="31"/>
      <c r="H53" s="31"/>
      <c r="I53" s="31"/>
      <c r="J53" s="219"/>
      <c r="K53" s="254"/>
      <c r="L53" s="31">
        <v>2</v>
      </c>
      <c r="M53" s="31">
        <v>2</v>
      </c>
      <c r="N53" s="31">
        <v>2</v>
      </c>
      <c r="O53" s="31"/>
      <c r="P53" s="31">
        <v>46</v>
      </c>
      <c r="Q53" s="31"/>
      <c r="R53" s="31">
        <f t="shared" si="3"/>
        <v>59</v>
      </c>
      <c r="S53" s="29"/>
      <c r="T53" s="31">
        <f t="shared" si="4"/>
        <v>0</v>
      </c>
      <c r="U53" s="31"/>
      <c r="V53" s="232"/>
      <c r="W53" s="232"/>
      <c r="X53" s="232"/>
      <c r="Y53" s="265">
        <f t="shared" si="7"/>
        <v>9729</v>
      </c>
      <c r="Z53" s="265">
        <f t="shared" si="5"/>
        <v>486.45000000000005</v>
      </c>
      <c r="AA53" s="27">
        <f t="shared" si="6"/>
        <v>10215.450000000001</v>
      </c>
      <c r="AB53" s="153">
        <v>33272</v>
      </c>
      <c r="AC53" s="56"/>
      <c r="AD53" s="57"/>
    </row>
    <row r="54" spans="1:30" ht="15" customHeight="1">
      <c r="A54" s="26">
        <v>42208</v>
      </c>
      <c r="B54" s="114">
        <v>40</v>
      </c>
      <c r="C54" s="31">
        <v>6</v>
      </c>
      <c r="D54" s="31">
        <v>5.5</v>
      </c>
      <c r="E54" s="31">
        <v>12</v>
      </c>
      <c r="F54" s="31">
        <v>33</v>
      </c>
      <c r="G54" s="31"/>
      <c r="H54" s="31"/>
      <c r="I54" s="31"/>
      <c r="J54" s="219"/>
      <c r="K54" s="254"/>
      <c r="L54" s="31">
        <v>1</v>
      </c>
      <c r="M54" s="31">
        <v>4</v>
      </c>
      <c r="N54" s="31">
        <v>2</v>
      </c>
      <c r="O54" s="31"/>
      <c r="P54" s="31">
        <v>33</v>
      </c>
      <c r="Q54" s="31">
        <v>265</v>
      </c>
      <c r="R54" s="31">
        <f t="shared" si="3"/>
        <v>57.5</v>
      </c>
      <c r="S54" s="29"/>
      <c r="T54" s="31">
        <f t="shared" si="4"/>
        <v>265</v>
      </c>
      <c r="U54" s="31">
        <v>4</v>
      </c>
      <c r="V54" s="232"/>
      <c r="W54" s="232"/>
      <c r="X54" s="232"/>
      <c r="Y54" s="265">
        <f t="shared" si="7"/>
        <v>10089</v>
      </c>
      <c r="Z54" s="265">
        <f t="shared" si="5"/>
        <v>504.45000000000005</v>
      </c>
      <c r="AA54" s="27">
        <f t="shared" si="6"/>
        <v>10593.45</v>
      </c>
      <c r="AB54" s="153">
        <v>33272</v>
      </c>
      <c r="AC54" s="56"/>
      <c r="AD54" s="57"/>
    </row>
    <row r="55" spans="1:30" ht="15" customHeight="1">
      <c r="A55" s="26">
        <v>42209</v>
      </c>
      <c r="B55" s="113" t="s">
        <v>403</v>
      </c>
      <c r="C55" s="31">
        <v>3</v>
      </c>
      <c r="D55" s="31">
        <v>4</v>
      </c>
      <c r="E55" s="31">
        <v>10</v>
      </c>
      <c r="F55" s="31">
        <v>36</v>
      </c>
      <c r="G55" s="31"/>
      <c r="H55" s="31"/>
      <c r="I55" s="31"/>
      <c r="J55" s="219"/>
      <c r="K55" s="254"/>
      <c r="L55" s="476">
        <v>2</v>
      </c>
      <c r="M55" s="31">
        <v>4</v>
      </c>
      <c r="N55" s="31">
        <v>2</v>
      </c>
      <c r="O55" s="31"/>
      <c r="P55" s="31">
        <v>36</v>
      </c>
      <c r="Q55" s="31">
        <v>250</v>
      </c>
      <c r="R55" s="31">
        <f t="shared" si="3"/>
        <v>55</v>
      </c>
      <c r="S55" s="29"/>
      <c r="T55" s="31">
        <f t="shared" si="4"/>
        <v>250</v>
      </c>
      <c r="U55" s="31"/>
      <c r="V55" s="232"/>
      <c r="W55" s="232"/>
      <c r="X55" s="232"/>
      <c r="Y55" s="265">
        <f t="shared" si="7"/>
        <v>9790.5</v>
      </c>
      <c r="Z55" s="265">
        <f t="shared" si="5"/>
        <v>489.52500000000003</v>
      </c>
      <c r="AA55" s="27">
        <f t="shared" si="6"/>
        <v>10280.025</v>
      </c>
      <c r="AB55" s="153">
        <v>33272</v>
      </c>
      <c r="AC55" s="56"/>
      <c r="AD55" s="57"/>
    </row>
    <row r="56" spans="1:30" ht="15" customHeight="1">
      <c r="A56" s="26">
        <v>42210</v>
      </c>
      <c r="B56" s="114">
        <v>42</v>
      </c>
      <c r="C56" s="31">
        <v>2</v>
      </c>
      <c r="D56" s="31"/>
      <c r="E56" s="31">
        <v>12</v>
      </c>
      <c r="F56" s="31">
        <v>33.5</v>
      </c>
      <c r="G56" s="31"/>
      <c r="H56" s="31"/>
      <c r="I56" s="31"/>
      <c r="J56" s="219"/>
      <c r="K56" s="254"/>
      <c r="L56" s="31"/>
      <c r="M56" s="31">
        <v>4</v>
      </c>
      <c r="N56" s="31">
        <v>2</v>
      </c>
      <c r="O56" s="31"/>
      <c r="P56" s="31">
        <v>33.5</v>
      </c>
      <c r="Q56" s="31">
        <v>265</v>
      </c>
      <c r="R56" s="31">
        <f t="shared" si="3"/>
        <v>47.5</v>
      </c>
      <c r="S56" s="29"/>
      <c r="T56" s="31">
        <f t="shared" si="4"/>
        <v>265</v>
      </c>
      <c r="U56" s="31"/>
      <c r="V56" s="232"/>
      <c r="W56" s="232"/>
      <c r="X56" s="232"/>
      <c r="Y56" s="265">
        <f t="shared" si="7"/>
        <v>8917</v>
      </c>
      <c r="Z56" s="265">
        <f t="shared" si="5"/>
        <v>445.85</v>
      </c>
      <c r="AA56" s="27">
        <f t="shared" si="6"/>
        <v>9362.85</v>
      </c>
      <c r="AB56" s="153">
        <v>33272</v>
      </c>
      <c r="AC56" s="56"/>
      <c r="AD56" s="57"/>
    </row>
    <row r="57" spans="1:30" ht="15" customHeight="1">
      <c r="A57" s="26">
        <v>42211</v>
      </c>
      <c r="B57" s="113" t="s">
        <v>402</v>
      </c>
      <c r="C57" s="31"/>
      <c r="D57" s="31"/>
      <c r="E57" s="31"/>
      <c r="F57" s="31"/>
      <c r="G57" s="31">
        <v>8</v>
      </c>
      <c r="H57" s="31"/>
      <c r="I57" s="31"/>
      <c r="J57" s="219"/>
      <c r="K57" s="254"/>
      <c r="L57" s="476">
        <v>1.5</v>
      </c>
      <c r="M57" s="31"/>
      <c r="N57" s="31"/>
      <c r="O57" s="31"/>
      <c r="P57" s="31"/>
      <c r="Q57" s="31"/>
      <c r="R57" s="31">
        <f t="shared" si="3"/>
        <v>9.5</v>
      </c>
      <c r="S57" s="29"/>
      <c r="T57" s="31">
        <f t="shared" si="4"/>
        <v>0</v>
      </c>
      <c r="U57" s="31"/>
      <c r="V57" s="232"/>
      <c r="W57" s="232"/>
      <c r="X57" s="232"/>
      <c r="Y57" s="265">
        <f t="shared" si="7"/>
        <v>888.75</v>
      </c>
      <c r="Z57" s="265">
        <f t="shared" si="5"/>
        <v>44.4375</v>
      </c>
      <c r="AA57" s="27">
        <f t="shared" si="6"/>
        <v>933.1875</v>
      </c>
      <c r="AB57" s="153">
        <v>33272</v>
      </c>
      <c r="AC57" s="56"/>
      <c r="AD57" s="57"/>
    </row>
    <row r="58" spans="1:30" ht="15" customHeight="1">
      <c r="A58" s="26">
        <v>42212</v>
      </c>
      <c r="B58" s="114" t="s">
        <v>380</v>
      </c>
      <c r="C58" s="31">
        <v>7</v>
      </c>
      <c r="D58" s="31">
        <v>11</v>
      </c>
      <c r="E58" s="31">
        <v>12</v>
      </c>
      <c r="F58" s="31">
        <v>47</v>
      </c>
      <c r="G58" s="31">
        <v>12</v>
      </c>
      <c r="H58" s="31"/>
      <c r="I58" s="31"/>
      <c r="J58" s="219"/>
      <c r="K58" s="254"/>
      <c r="L58" s="31"/>
      <c r="M58" s="31">
        <v>7</v>
      </c>
      <c r="N58" s="31">
        <v>3</v>
      </c>
      <c r="O58" s="31"/>
      <c r="P58" s="31">
        <v>59</v>
      </c>
      <c r="Q58" s="31">
        <v>258</v>
      </c>
      <c r="R58" s="31">
        <f t="shared" si="3"/>
        <v>89</v>
      </c>
      <c r="S58" s="29"/>
      <c r="T58" s="31">
        <f t="shared" si="4"/>
        <v>258</v>
      </c>
      <c r="U58" s="31">
        <v>2</v>
      </c>
      <c r="V58" s="232"/>
      <c r="W58" s="232"/>
      <c r="X58" s="232"/>
      <c r="Y58" s="265">
        <f t="shared" si="7"/>
        <v>15067.3</v>
      </c>
      <c r="Z58" s="265">
        <f t="shared" si="5"/>
        <v>753.36500000000001</v>
      </c>
      <c r="AA58" s="27">
        <f t="shared" si="6"/>
        <v>15820.664999999999</v>
      </c>
      <c r="AB58" s="153">
        <v>33272</v>
      </c>
      <c r="AC58" s="56"/>
      <c r="AD58" s="57"/>
    </row>
    <row r="59" spans="1:30" ht="15" customHeight="1">
      <c r="A59" s="26">
        <v>42213</v>
      </c>
      <c r="B59" s="114" t="s">
        <v>381</v>
      </c>
      <c r="C59" s="31">
        <v>11</v>
      </c>
      <c r="D59" s="31">
        <v>7.75</v>
      </c>
      <c r="E59" s="31">
        <v>12</v>
      </c>
      <c r="F59" s="31">
        <v>46.5</v>
      </c>
      <c r="G59" s="31">
        <v>11</v>
      </c>
      <c r="H59" s="31"/>
      <c r="I59" s="31"/>
      <c r="J59" s="219"/>
      <c r="K59" s="254"/>
      <c r="L59" s="31">
        <v>1</v>
      </c>
      <c r="M59" s="31">
        <v>6</v>
      </c>
      <c r="N59" s="31">
        <v>2</v>
      </c>
      <c r="O59" s="31">
        <v>1</v>
      </c>
      <c r="P59" s="31">
        <v>69.5</v>
      </c>
      <c r="Q59" s="31"/>
      <c r="R59" s="31">
        <f t="shared" si="3"/>
        <v>89.25</v>
      </c>
      <c r="S59" s="29"/>
      <c r="T59" s="31">
        <f t="shared" si="4"/>
        <v>0</v>
      </c>
      <c r="U59" s="31"/>
      <c r="V59" s="232"/>
      <c r="W59" s="232"/>
      <c r="X59" s="232"/>
      <c r="Y59" s="265">
        <f t="shared" si="7"/>
        <v>14526</v>
      </c>
      <c r="Z59" s="265">
        <f t="shared" si="5"/>
        <v>726.30000000000007</v>
      </c>
      <c r="AA59" s="27">
        <f t="shared" si="6"/>
        <v>15252.3</v>
      </c>
      <c r="AB59" s="153">
        <v>33272</v>
      </c>
      <c r="AC59" s="56"/>
      <c r="AD59" s="57"/>
    </row>
    <row r="60" spans="1:30" ht="15" customHeight="1">
      <c r="A60" s="26">
        <v>42214</v>
      </c>
      <c r="B60" s="114">
        <v>46</v>
      </c>
      <c r="C60" s="31">
        <v>10</v>
      </c>
      <c r="D60" s="31">
        <v>9.25</v>
      </c>
      <c r="E60" s="31">
        <v>12</v>
      </c>
      <c r="F60" s="31">
        <v>57</v>
      </c>
      <c r="G60" s="31"/>
      <c r="H60" s="31"/>
      <c r="I60" s="31"/>
      <c r="J60" s="219"/>
      <c r="K60" s="254"/>
      <c r="L60" s="31">
        <v>1</v>
      </c>
      <c r="M60" s="31">
        <v>6</v>
      </c>
      <c r="N60" s="31">
        <v>2</v>
      </c>
      <c r="O60" s="31">
        <v>1</v>
      </c>
      <c r="P60" s="31">
        <v>57</v>
      </c>
      <c r="Q60" s="31">
        <v>293</v>
      </c>
      <c r="R60" s="31">
        <f t="shared" si="3"/>
        <v>89.25</v>
      </c>
      <c r="S60" s="29"/>
      <c r="T60" s="31">
        <f t="shared" si="4"/>
        <v>293</v>
      </c>
      <c r="U60" s="31"/>
      <c r="V60" s="232"/>
      <c r="W60" s="232"/>
      <c r="X60" s="232"/>
      <c r="Y60" s="265">
        <f t="shared" si="7"/>
        <v>15123.3</v>
      </c>
      <c r="Z60" s="265">
        <f t="shared" si="5"/>
        <v>756.16499999999996</v>
      </c>
      <c r="AA60" s="27">
        <f t="shared" si="6"/>
        <v>15879.465</v>
      </c>
      <c r="AB60" s="153">
        <v>33272</v>
      </c>
      <c r="AC60" s="56"/>
      <c r="AD60" s="57"/>
    </row>
    <row r="61" spans="1:30" ht="15" customHeight="1">
      <c r="A61" s="26">
        <v>42215</v>
      </c>
      <c r="B61" s="114">
        <v>47</v>
      </c>
      <c r="C61" s="31">
        <v>10</v>
      </c>
      <c r="D61" s="31">
        <v>3</v>
      </c>
      <c r="E61" s="31">
        <v>11</v>
      </c>
      <c r="F61" s="31">
        <v>46.5</v>
      </c>
      <c r="G61" s="31"/>
      <c r="H61" s="31"/>
      <c r="I61" s="31"/>
      <c r="J61" s="219"/>
      <c r="K61" s="254"/>
      <c r="L61" s="31">
        <v>3</v>
      </c>
      <c r="M61" s="31">
        <v>4</v>
      </c>
      <c r="N61" s="31">
        <v>1</v>
      </c>
      <c r="O61" s="31">
        <v>1</v>
      </c>
      <c r="P61" s="31">
        <v>45.5</v>
      </c>
      <c r="Q61" s="31">
        <v>268</v>
      </c>
      <c r="R61" s="31">
        <f t="shared" si="3"/>
        <v>73.5</v>
      </c>
      <c r="S61" s="29"/>
      <c r="T61" s="31">
        <f t="shared" si="4"/>
        <v>268</v>
      </c>
      <c r="U61" s="31"/>
      <c r="V61" s="232"/>
      <c r="W61" s="232"/>
      <c r="X61" s="232"/>
      <c r="Y61" s="265">
        <f t="shared" si="7"/>
        <v>12078.3</v>
      </c>
      <c r="Z61" s="265">
        <f t="shared" si="5"/>
        <v>603.91499999999996</v>
      </c>
      <c r="AA61" s="27">
        <f t="shared" si="6"/>
        <v>12682.215</v>
      </c>
      <c r="AB61" s="153">
        <v>33272</v>
      </c>
      <c r="AC61" s="56"/>
      <c r="AD61" s="57"/>
    </row>
    <row r="62" spans="1:30" ht="15" customHeight="1">
      <c r="A62" s="26">
        <v>42216</v>
      </c>
      <c r="B62" s="113" t="s">
        <v>401</v>
      </c>
      <c r="C62" s="31">
        <v>4</v>
      </c>
      <c r="D62" s="31"/>
      <c r="E62" s="31">
        <v>10</v>
      </c>
      <c r="F62" s="31">
        <v>31.5</v>
      </c>
      <c r="G62" s="31"/>
      <c r="H62" s="31"/>
      <c r="I62" s="31"/>
      <c r="J62" s="219"/>
      <c r="K62" s="254"/>
      <c r="L62" s="475">
        <v>2</v>
      </c>
      <c r="M62" s="31">
        <v>4</v>
      </c>
      <c r="N62" s="31">
        <v>2</v>
      </c>
      <c r="O62" s="31"/>
      <c r="P62" s="31">
        <v>19.5</v>
      </c>
      <c r="Q62" s="31">
        <v>508</v>
      </c>
      <c r="R62" s="31">
        <f t="shared" si="3"/>
        <v>47.5</v>
      </c>
      <c r="S62" s="29"/>
      <c r="T62" s="31">
        <f t="shared" si="4"/>
        <v>508</v>
      </c>
      <c r="U62" s="31"/>
      <c r="V62" s="232"/>
      <c r="W62" s="232"/>
      <c r="X62" s="232"/>
      <c r="Y62" s="265">
        <f t="shared" si="7"/>
        <v>8781.2999999999993</v>
      </c>
      <c r="Z62" s="265">
        <f t="shared" si="5"/>
        <v>439.065</v>
      </c>
      <c r="AA62" s="27">
        <f t="shared" si="6"/>
        <v>9220.3649999999998</v>
      </c>
      <c r="AB62" s="153">
        <v>33272</v>
      </c>
      <c r="AC62" s="56"/>
      <c r="AD62" s="537"/>
    </row>
    <row r="63" spans="1:30" ht="15" customHeight="1">
      <c r="A63" s="26">
        <v>42216</v>
      </c>
      <c r="B63" s="534" t="s">
        <v>453</v>
      </c>
      <c r="C63" s="508"/>
      <c r="D63" s="508"/>
      <c r="E63" s="508"/>
      <c r="F63" s="508"/>
      <c r="G63" s="508"/>
      <c r="H63" s="508"/>
      <c r="I63" s="508"/>
      <c r="J63" s="535"/>
      <c r="K63" s="535"/>
      <c r="L63" s="536"/>
      <c r="M63" s="508"/>
      <c r="N63" s="508"/>
      <c r="O63" s="508"/>
      <c r="P63" s="508"/>
      <c r="Q63" s="508"/>
      <c r="R63" s="508"/>
      <c r="S63" s="526">
        <v>2400</v>
      </c>
      <c r="T63" s="508"/>
      <c r="U63" s="508"/>
      <c r="V63" s="508"/>
      <c r="W63" s="508"/>
      <c r="X63" s="508"/>
      <c r="Y63" s="265">
        <f>SUM(C63*$C$6+D63*$D$6+E63*$E$6+F63*$F$6+G63*$G$6+H63*$H$6+I63*$I$6+J63*$J$6+K63*$K$6+L63*$L$6+M63*$M$6+N63*$N$6+O63*$O$6+P63*$P$6+Q63*$Q$6+U63*$U$6+V63*$V$6+W63*$W$6+X63*$X$6)+S63</f>
        <v>2400</v>
      </c>
      <c r="Z63" s="265">
        <f t="shared" si="5"/>
        <v>120</v>
      </c>
      <c r="AA63" s="27">
        <f t="shared" si="6"/>
        <v>2520</v>
      </c>
      <c r="AB63" s="153">
        <v>33272</v>
      </c>
      <c r="AC63" s="527"/>
      <c r="AD63" s="537"/>
    </row>
    <row r="64" spans="1:30" s="192" customFormat="1" ht="15" customHeight="1">
      <c r="A64" s="533">
        <v>42216</v>
      </c>
      <c r="B64" s="534" t="s">
        <v>454</v>
      </c>
      <c r="C64" s="508"/>
      <c r="D64" s="508"/>
      <c r="E64" s="508"/>
      <c r="F64" s="508"/>
      <c r="G64" s="508"/>
      <c r="H64" s="508"/>
      <c r="I64" s="508"/>
      <c r="J64" s="535"/>
      <c r="K64" s="535"/>
      <c r="L64" s="536"/>
      <c r="M64" s="508"/>
      <c r="N64" s="508"/>
      <c r="O64" s="508"/>
      <c r="P64" s="508"/>
      <c r="Q64" s="508"/>
      <c r="R64" s="508"/>
      <c r="S64" s="526">
        <v>124</v>
      </c>
      <c r="T64" s="508"/>
      <c r="U64" s="508"/>
      <c r="V64" s="508"/>
      <c r="W64" s="508"/>
      <c r="X64" s="508"/>
      <c r="Y64" s="265">
        <f>SUM(C64*$C$6+D64*$D$6+E64*$E$6+F64*$F$6+G64*$G$6+H64*$H$6+I64*$I$6+J64*$J$6+K64*$K$6+L64*$L$6+M64*$M$6+N64*$N$6+O64*$O$6+P64*$P$6+Q64*$Q$6+U64*$U$6+V64*$V$6+W64*$W$6+X64*$X$6)+S64</f>
        <v>124</v>
      </c>
      <c r="Z64" s="265">
        <f t="shared" si="5"/>
        <v>6.2</v>
      </c>
      <c r="AA64" s="27">
        <f t="shared" si="6"/>
        <v>130.19999999999999</v>
      </c>
      <c r="AB64" s="153">
        <v>33272</v>
      </c>
      <c r="AC64" s="527"/>
      <c r="AD64" s="191"/>
    </row>
    <row r="65" spans="1:30" s="192" customFormat="1">
      <c r="A65" s="184">
        <v>42217</v>
      </c>
      <c r="B65" s="669">
        <v>49</v>
      </c>
      <c r="C65" s="186"/>
      <c r="D65" s="186"/>
      <c r="E65" s="186"/>
      <c r="F65" s="186">
        <v>33</v>
      </c>
      <c r="G65" s="186"/>
      <c r="H65" s="186"/>
      <c r="I65" s="186"/>
      <c r="J65" s="670"/>
      <c r="K65" s="671"/>
      <c r="L65" s="186"/>
      <c r="M65" s="186">
        <v>4</v>
      </c>
      <c r="N65" s="186">
        <v>2</v>
      </c>
      <c r="O65" s="186"/>
      <c r="P65" s="186">
        <v>12</v>
      </c>
      <c r="Q65" s="186">
        <v>513</v>
      </c>
      <c r="R65" s="186">
        <f t="shared" si="3"/>
        <v>33</v>
      </c>
      <c r="S65" s="204"/>
      <c r="T65" s="186">
        <f t="shared" si="4"/>
        <v>513</v>
      </c>
      <c r="U65" s="186"/>
      <c r="V65" s="672"/>
      <c r="W65" s="672"/>
      <c r="X65" s="672"/>
      <c r="Y65" s="188">
        <f t="shared" si="7"/>
        <v>7192.3</v>
      </c>
      <c r="Z65" s="188">
        <f t="shared" si="5"/>
        <v>359.61500000000001</v>
      </c>
      <c r="AA65" s="188">
        <f t="shared" si="6"/>
        <v>7551.915</v>
      </c>
      <c r="AB65" s="186">
        <v>33529</v>
      </c>
      <c r="AC65" s="190"/>
      <c r="AD65" s="191"/>
    </row>
    <row r="66" spans="1:30" s="192" customFormat="1">
      <c r="A66" s="184">
        <v>42218</v>
      </c>
      <c r="B66" s="673">
        <v>50</v>
      </c>
      <c r="C66" s="188"/>
      <c r="D66" s="188"/>
      <c r="E66" s="186"/>
      <c r="F66" s="186"/>
      <c r="G66" s="187">
        <f>12+9.5</f>
        <v>21.5</v>
      </c>
      <c r="H66" s="186"/>
      <c r="I66" s="188"/>
      <c r="J66" s="186"/>
      <c r="K66" s="672"/>
      <c r="L66" s="186"/>
      <c r="M66" s="186"/>
      <c r="N66" s="186"/>
      <c r="O66" s="188"/>
      <c r="P66" s="186"/>
      <c r="Q66" s="186"/>
      <c r="R66" s="186">
        <f t="shared" si="3"/>
        <v>21.5</v>
      </c>
      <c r="S66" s="189"/>
      <c r="T66" s="186">
        <f t="shared" si="4"/>
        <v>0</v>
      </c>
      <c r="U66" s="186"/>
      <c r="V66" s="672"/>
      <c r="W66" s="672"/>
      <c r="X66" s="672"/>
      <c r="Y66" s="188">
        <f t="shared" si="7"/>
        <v>1935</v>
      </c>
      <c r="Z66" s="188">
        <f t="shared" si="5"/>
        <v>96.75</v>
      </c>
      <c r="AA66" s="188">
        <f t="shared" si="6"/>
        <v>2031.75</v>
      </c>
      <c r="AB66" s="186">
        <v>33529</v>
      </c>
      <c r="AC66" s="190"/>
      <c r="AD66" s="191"/>
    </row>
    <row r="67" spans="1:30" s="192" customFormat="1">
      <c r="A67" s="184">
        <v>42219</v>
      </c>
      <c r="B67" s="673">
        <v>51</v>
      </c>
      <c r="C67" s="186">
        <v>4</v>
      </c>
      <c r="D67" s="188"/>
      <c r="E67" s="186">
        <v>8</v>
      </c>
      <c r="F67" s="186">
        <f>12+12+12</f>
        <v>36</v>
      </c>
      <c r="G67" s="186"/>
      <c r="H67" s="186"/>
      <c r="I67" s="186"/>
      <c r="J67" s="186"/>
      <c r="K67" s="672"/>
      <c r="L67" s="186"/>
      <c r="M67" s="186">
        <v>2</v>
      </c>
      <c r="N67" s="186">
        <v>2</v>
      </c>
      <c r="O67" s="186"/>
      <c r="P67" s="186">
        <v>24</v>
      </c>
      <c r="Q67" s="186">
        <v>508</v>
      </c>
      <c r="R67" s="186">
        <f t="shared" si="3"/>
        <v>48</v>
      </c>
      <c r="S67" s="189"/>
      <c r="T67" s="186">
        <f t="shared" si="4"/>
        <v>508</v>
      </c>
      <c r="U67" s="186"/>
      <c r="V67" s="672"/>
      <c r="W67" s="672"/>
      <c r="X67" s="672"/>
      <c r="Y67" s="188">
        <f t="shared" si="7"/>
        <v>8800.7999999999993</v>
      </c>
      <c r="Z67" s="188">
        <f t="shared" si="5"/>
        <v>440.03999999999996</v>
      </c>
      <c r="AA67" s="188">
        <f t="shared" si="6"/>
        <v>9240.84</v>
      </c>
      <c r="AB67" s="186">
        <v>33529</v>
      </c>
      <c r="AC67" s="190"/>
      <c r="AD67" s="191"/>
    </row>
    <row r="68" spans="1:30" s="192" customFormat="1">
      <c r="A68" s="184">
        <v>42220</v>
      </c>
      <c r="B68" s="673">
        <v>52</v>
      </c>
      <c r="C68" s="186">
        <v>12</v>
      </c>
      <c r="D68" s="186">
        <v>2</v>
      </c>
      <c r="E68" s="186">
        <v>12</v>
      </c>
      <c r="F68" s="186">
        <f>12+13+11.5</f>
        <v>36.5</v>
      </c>
      <c r="G68" s="186"/>
      <c r="H68" s="186"/>
      <c r="I68" s="186"/>
      <c r="J68" s="186"/>
      <c r="K68" s="672"/>
      <c r="L68" s="186">
        <v>1</v>
      </c>
      <c r="M68" s="186"/>
      <c r="N68" s="186">
        <v>2</v>
      </c>
      <c r="O68" s="186"/>
      <c r="P68" s="186">
        <v>11.5</v>
      </c>
      <c r="Q68" s="186">
        <f>299+280+280</f>
        <v>859</v>
      </c>
      <c r="R68" s="186">
        <f t="shared" si="3"/>
        <v>63.5</v>
      </c>
      <c r="S68" s="189"/>
      <c r="T68" s="186">
        <f t="shared" si="4"/>
        <v>859</v>
      </c>
      <c r="U68" s="186"/>
      <c r="V68" s="672"/>
      <c r="W68" s="672"/>
      <c r="X68" s="672"/>
      <c r="Y68" s="188">
        <f t="shared" si="7"/>
        <v>10133.9</v>
      </c>
      <c r="Z68" s="188">
        <f t="shared" si="5"/>
        <v>506.69499999999999</v>
      </c>
      <c r="AA68" s="188">
        <f t="shared" si="6"/>
        <v>10640.594999999999</v>
      </c>
      <c r="AB68" s="186">
        <v>33529</v>
      </c>
      <c r="AC68" s="190"/>
      <c r="AD68" s="191"/>
    </row>
    <row r="69" spans="1:30" s="192" customFormat="1">
      <c r="A69" s="184">
        <v>42221</v>
      </c>
      <c r="B69" s="673">
        <v>53</v>
      </c>
      <c r="C69" s="186"/>
      <c r="D69" s="186">
        <v>1</v>
      </c>
      <c r="E69" s="186">
        <v>12</v>
      </c>
      <c r="F69" s="186">
        <f>12+12+12+12.5</f>
        <v>48.5</v>
      </c>
      <c r="G69" s="186"/>
      <c r="H69" s="186"/>
      <c r="I69" s="186">
        <v>12</v>
      </c>
      <c r="J69" s="186"/>
      <c r="K69" s="672"/>
      <c r="L69" s="186">
        <v>2.5</v>
      </c>
      <c r="M69" s="186">
        <v>2</v>
      </c>
      <c r="N69" s="186">
        <v>2</v>
      </c>
      <c r="O69" s="186">
        <v>1</v>
      </c>
      <c r="P69" s="186">
        <v>48</v>
      </c>
      <c r="Q69" s="186">
        <v>331</v>
      </c>
      <c r="R69" s="186">
        <f t="shared" si="3"/>
        <v>76</v>
      </c>
      <c r="S69" s="189"/>
      <c r="T69" s="186">
        <f t="shared" si="4"/>
        <v>331</v>
      </c>
      <c r="U69" s="186"/>
      <c r="V69" s="672"/>
      <c r="W69" s="672"/>
      <c r="X69" s="672"/>
      <c r="Y69" s="188">
        <f t="shared" si="7"/>
        <v>12749.35</v>
      </c>
      <c r="Z69" s="188">
        <f t="shared" si="5"/>
        <v>637.46750000000009</v>
      </c>
      <c r="AA69" s="188">
        <f t="shared" si="6"/>
        <v>13386.817500000001</v>
      </c>
      <c r="AB69" s="186">
        <v>33529</v>
      </c>
      <c r="AC69" s="190"/>
      <c r="AD69" s="191"/>
    </row>
    <row r="70" spans="1:30" s="192" customFormat="1">
      <c r="A70" s="184">
        <v>42222</v>
      </c>
      <c r="B70" s="673">
        <v>54</v>
      </c>
      <c r="C70" s="186">
        <v>8</v>
      </c>
      <c r="D70" s="186">
        <v>3</v>
      </c>
      <c r="E70" s="186">
        <v>11</v>
      </c>
      <c r="F70" s="186">
        <v>47.5</v>
      </c>
      <c r="G70" s="186"/>
      <c r="H70" s="186"/>
      <c r="I70" s="186"/>
      <c r="J70" s="186"/>
      <c r="K70" s="672"/>
      <c r="L70" s="186">
        <v>1</v>
      </c>
      <c r="M70" s="186">
        <v>2</v>
      </c>
      <c r="N70" s="186">
        <v>3</v>
      </c>
      <c r="O70" s="186"/>
      <c r="P70" s="186">
        <v>58.5</v>
      </c>
      <c r="Q70" s="186"/>
      <c r="R70" s="186">
        <f t="shared" si="3"/>
        <v>70.5</v>
      </c>
      <c r="S70" s="189"/>
      <c r="T70" s="186">
        <f t="shared" si="4"/>
        <v>0</v>
      </c>
      <c r="U70" s="186"/>
      <c r="V70" s="672"/>
      <c r="W70" s="672"/>
      <c r="X70" s="672"/>
      <c r="Y70" s="188">
        <f t="shared" si="7"/>
        <v>12262.5</v>
      </c>
      <c r="Z70" s="188">
        <f t="shared" si="5"/>
        <v>613.125</v>
      </c>
      <c r="AA70" s="188">
        <f t="shared" si="6"/>
        <v>12875.625</v>
      </c>
      <c r="AB70" s="186">
        <v>33529</v>
      </c>
      <c r="AC70" s="190"/>
      <c r="AD70" s="191"/>
    </row>
    <row r="71" spans="1:30" s="192" customFormat="1">
      <c r="A71" s="184">
        <v>42223</v>
      </c>
      <c r="B71" s="673">
        <v>55</v>
      </c>
      <c r="C71" s="186"/>
      <c r="D71" s="186">
        <v>3</v>
      </c>
      <c r="E71" s="186">
        <v>12</v>
      </c>
      <c r="F71" s="186">
        <f>9.5+12+12+11</f>
        <v>44.5</v>
      </c>
      <c r="G71" s="187"/>
      <c r="H71" s="186"/>
      <c r="I71" s="186">
        <v>6</v>
      </c>
      <c r="J71" s="186"/>
      <c r="K71" s="672"/>
      <c r="L71" s="186"/>
      <c r="M71" s="186">
        <v>2</v>
      </c>
      <c r="N71" s="186">
        <v>2</v>
      </c>
      <c r="O71" s="186">
        <v>1</v>
      </c>
      <c r="P71" s="186">
        <f>9.5+12+12+11</f>
        <v>44.5</v>
      </c>
      <c r="Q71" s="186">
        <v>286</v>
      </c>
      <c r="R71" s="186">
        <f t="shared" si="3"/>
        <v>65.5</v>
      </c>
      <c r="S71" s="189"/>
      <c r="T71" s="186">
        <f t="shared" si="4"/>
        <v>286</v>
      </c>
      <c r="U71" s="186"/>
      <c r="V71" s="672"/>
      <c r="W71" s="672"/>
      <c r="X71" s="672"/>
      <c r="Y71" s="188">
        <f t="shared" si="7"/>
        <v>11375.1</v>
      </c>
      <c r="Z71" s="188">
        <f t="shared" si="5"/>
        <v>568.755</v>
      </c>
      <c r="AA71" s="188">
        <f t="shared" si="6"/>
        <v>11943.855</v>
      </c>
      <c r="AB71" s="186">
        <v>33529</v>
      </c>
      <c r="AC71" s="190"/>
      <c r="AD71" s="191"/>
    </row>
    <row r="72" spans="1:30" s="192" customFormat="1">
      <c r="A72" s="184">
        <v>42224</v>
      </c>
      <c r="B72" s="673">
        <v>56</v>
      </c>
      <c r="C72" s="186">
        <v>5</v>
      </c>
      <c r="D72" s="186"/>
      <c r="E72" s="186">
        <v>11</v>
      </c>
      <c r="F72" s="186">
        <v>45.5</v>
      </c>
      <c r="G72" s="187"/>
      <c r="H72" s="186"/>
      <c r="I72" s="186"/>
      <c r="J72" s="186"/>
      <c r="K72" s="672"/>
      <c r="L72" s="186"/>
      <c r="M72" s="186"/>
      <c r="N72" s="186">
        <v>2</v>
      </c>
      <c r="O72" s="186"/>
      <c r="P72" s="186">
        <v>44.5</v>
      </c>
      <c r="Q72" s="186">
        <v>285</v>
      </c>
      <c r="R72" s="186">
        <f t="shared" si="3"/>
        <v>61.5</v>
      </c>
      <c r="S72" s="189"/>
      <c r="T72" s="186">
        <f t="shared" si="4"/>
        <v>285</v>
      </c>
      <c r="U72" s="186"/>
      <c r="V72" s="672"/>
      <c r="W72" s="672"/>
      <c r="X72" s="672"/>
      <c r="Y72" s="188">
        <f t="shared" si="7"/>
        <v>10500</v>
      </c>
      <c r="Z72" s="188">
        <f t="shared" si="5"/>
        <v>525</v>
      </c>
      <c r="AA72" s="188">
        <f t="shared" si="6"/>
        <v>11025</v>
      </c>
      <c r="AB72" s="186">
        <v>33529</v>
      </c>
      <c r="AC72" s="190"/>
      <c r="AD72" s="191"/>
    </row>
    <row r="73" spans="1:30" s="192" customFormat="1">
      <c r="A73" s="184">
        <v>42225</v>
      </c>
      <c r="B73" s="673">
        <v>57</v>
      </c>
      <c r="C73" s="186"/>
      <c r="D73" s="186"/>
      <c r="E73" s="186"/>
      <c r="F73" s="186"/>
      <c r="G73" s="187">
        <v>12</v>
      </c>
      <c r="H73" s="186"/>
      <c r="I73" s="188"/>
      <c r="J73" s="186"/>
      <c r="K73" s="672"/>
      <c r="L73" s="186"/>
      <c r="M73" s="186"/>
      <c r="N73" s="186"/>
      <c r="O73" s="186"/>
      <c r="P73" s="186"/>
      <c r="Q73" s="186"/>
      <c r="R73" s="186">
        <f t="shared" si="3"/>
        <v>12</v>
      </c>
      <c r="S73" s="204"/>
      <c r="T73" s="186">
        <f t="shared" si="4"/>
        <v>0</v>
      </c>
      <c r="U73" s="186"/>
      <c r="V73" s="672"/>
      <c r="W73" s="672"/>
      <c r="X73" s="672"/>
      <c r="Y73" s="188">
        <f t="shared" si="7"/>
        <v>1080</v>
      </c>
      <c r="Z73" s="188">
        <f t="shared" si="5"/>
        <v>54</v>
      </c>
      <c r="AA73" s="188">
        <f t="shared" si="6"/>
        <v>1134</v>
      </c>
      <c r="AB73" s="186">
        <v>33529</v>
      </c>
      <c r="AC73" s="190"/>
      <c r="AD73" s="191"/>
    </row>
    <row r="74" spans="1:30" s="192" customFormat="1">
      <c r="A74" s="184">
        <v>42226</v>
      </c>
      <c r="B74" s="673">
        <v>58</v>
      </c>
      <c r="C74" s="186">
        <v>18</v>
      </c>
      <c r="D74" s="186">
        <v>1.5</v>
      </c>
      <c r="E74" s="186">
        <v>12</v>
      </c>
      <c r="F74" s="186">
        <v>45.5</v>
      </c>
      <c r="G74" s="187"/>
      <c r="H74" s="186"/>
      <c r="I74" s="188"/>
      <c r="J74" s="186"/>
      <c r="K74" s="672">
        <v>1</v>
      </c>
      <c r="L74" s="186">
        <v>6</v>
      </c>
      <c r="M74" s="186">
        <v>2</v>
      </c>
      <c r="N74" s="186">
        <v>2</v>
      </c>
      <c r="O74" s="186"/>
      <c r="P74" s="186">
        <v>24</v>
      </c>
      <c r="Q74" s="186">
        <v>1358</v>
      </c>
      <c r="R74" s="186">
        <f t="shared" si="3"/>
        <v>83</v>
      </c>
      <c r="S74" s="189"/>
      <c r="T74" s="186">
        <f t="shared" si="4"/>
        <v>1358</v>
      </c>
      <c r="U74" s="186">
        <v>0.25</v>
      </c>
      <c r="V74" s="672"/>
      <c r="W74" s="672"/>
      <c r="X74" s="672"/>
      <c r="Y74" s="188">
        <f t="shared" si="7"/>
        <v>13917.674999999999</v>
      </c>
      <c r="Z74" s="188">
        <f t="shared" si="5"/>
        <v>695.88374999999996</v>
      </c>
      <c r="AA74" s="188">
        <f t="shared" si="6"/>
        <v>14613.55875</v>
      </c>
      <c r="AB74" s="186">
        <v>33529</v>
      </c>
      <c r="AC74" s="190"/>
      <c r="AD74" s="191"/>
    </row>
    <row r="75" spans="1:30" s="192" customFormat="1">
      <c r="A75" s="184">
        <v>42227</v>
      </c>
      <c r="B75" s="673">
        <v>59</v>
      </c>
      <c r="C75" s="186">
        <v>12</v>
      </c>
      <c r="D75" s="186">
        <v>4</v>
      </c>
      <c r="E75" s="186">
        <v>14</v>
      </c>
      <c r="F75" s="186">
        <v>37</v>
      </c>
      <c r="G75" s="187"/>
      <c r="H75" s="186"/>
      <c r="I75" s="188"/>
      <c r="J75" s="186"/>
      <c r="K75" s="672">
        <v>1</v>
      </c>
      <c r="L75" s="186"/>
      <c r="M75" s="186"/>
      <c r="N75" s="186">
        <v>2</v>
      </c>
      <c r="O75" s="186"/>
      <c r="P75" s="186">
        <v>39</v>
      </c>
      <c r="Q75" s="186">
        <v>595</v>
      </c>
      <c r="R75" s="186">
        <f t="shared" si="3"/>
        <v>67</v>
      </c>
      <c r="S75" s="189"/>
      <c r="T75" s="186">
        <f t="shared" si="4"/>
        <v>595</v>
      </c>
      <c r="U75" s="186">
        <v>4</v>
      </c>
      <c r="V75" s="672"/>
      <c r="W75" s="672"/>
      <c r="X75" s="672"/>
      <c r="Y75" s="188">
        <f t="shared" si="7"/>
        <v>11342.5</v>
      </c>
      <c r="Z75" s="188">
        <f t="shared" si="5"/>
        <v>567.125</v>
      </c>
      <c r="AA75" s="188">
        <f t="shared" si="6"/>
        <v>11909.625</v>
      </c>
      <c r="AB75" s="186">
        <v>33529</v>
      </c>
      <c r="AC75" s="190"/>
      <c r="AD75" s="191"/>
    </row>
    <row r="76" spans="1:30" s="192" customFormat="1">
      <c r="A76" s="184">
        <v>42228</v>
      </c>
      <c r="B76" s="669">
        <v>60</v>
      </c>
      <c r="C76" s="186">
        <v>12</v>
      </c>
      <c r="D76" s="186"/>
      <c r="E76" s="186">
        <v>12</v>
      </c>
      <c r="F76" s="186">
        <v>51</v>
      </c>
      <c r="G76" s="186"/>
      <c r="H76" s="186"/>
      <c r="I76" s="186">
        <v>8</v>
      </c>
      <c r="J76" s="186"/>
      <c r="K76" s="672"/>
      <c r="L76" s="186">
        <v>5.5</v>
      </c>
      <c r="M76" s="186">
        <v>2</v>
      </c>
      <c r="N76" s="186">
        <v>2</v>
      </c>
      <c r="O76" s="186"/>
      <c r="P76" s="186">
        <v>37</v>
      </c>
      <c r="Q76" s="186">
        <v>1676</v>
      </c>
      <c r="R76" s="186">
        <f t="shared" si="3"/>
        <v>88.5</v>
      </c>
      <c r="S76" s="204"/>
      <c r="T76" s="186">
        <f t="shared" si="4"/>
        <v>1676</v>
      </c>
      <c r="U76" s="186">
        <v>2</v>
      </c>
      <c r="V76" s="672"/>
      <c r="W76" s="672"/>
      <c r="X76" s="672"/>
      <c r="Y76" s="188">
        <f t="shared" si="7"/>
        <v>15224.35</v>
      </c>
      <c r="Z76" s="188">
        <f t="shared" si="5"/>
        <v>761.21750000000009</v>
      </c>
      <c r="AA76" s="188">
        <f t="shared" si="6"/>
        <v>15985.567500000001</v>
      </c>
      <c r="AB76" s="186">
        <v>33529</v>
      </c>
      <c r="AC76" s="190"/>
      <c r="AD76" s="191"/>
    </row>
    <row r="77" spans="1:30" s="192" customFormat="1">
      <c r="A77" s="184">
        <v>42229</v>
      </c>
      <c r="B77" s="673">
        <v>61</v>
      </c>
      <c r="C77" s="186">
        <v>8</v>
      </c>
      <c r="D77" s="186">
        <v>6</v>
      </c>
      <c r="E77" s="186">
        <v>12</v>
      </c>
      <c r="F77" s="186">
        <v>36.5</v>
      </c>
      <c r="G77" s="187">
        <v>12</v>
      </c>
      <c r="H77" s="186"/>
      <c r="I77" s="186">
        <v>4</v>
      </c>
      <c r="J77" s="187"/>
      <c r="K77" s="674"/>
      <c r="L77" s="186">
        <v>12</v>
      </c>
      <c r="M77" s="186">
        <v>2</v>
      </c>
      <c r="N77" s="186">
        <v>2</v>
      </c>
      <c r="O77" s="186"/>
      <c r="P77" s="186">
        <v>35.5</v>
      </c>
      <c r="Q77" s="186">
        <v>1079</v>
      </c>
      <c r="R77" s="186">
        <f t="shared" si="3"/>
        <v>90.5</v>
      </c>
      <c r="S77" s="204"/>
      <c r="T77" s="186">
        <f t="shared" si="4"/>
        <v>1079</v>
      </c>
      <c r="U77" s="186"/>
      <c r="V77" s="672"/>
      <c r="W77" s="672"/>
      <c r="X77" s="672"/>
      <c r="Y77" s="188">
        <f t="shared" si="7"/>
        <v>13905.4</v>
      </c>
      <c r="Z77" s="188">
        <f t="shared" si="5"/>
        <v>695.27</v>
      </c>
      <c r="AA77" s="188">
        <f t="shared" si="6"/>
        <v>14600.67</v>
      </c>
      <c r="AB77" s="186">
        <v>33529</v>
      </c>
      <c r="AC77" s="190"/>
      <c r="AD77" s="191"/>
    </row>
    <row r="78" spans="1:30" s="192" customFormat="1">
      <c r="A78" s="184">
        <v>42230</v>
      </c>
      <c r="B78" s="669">
        <v>62</v>
      </c>
      <c r="C78" s="186">
        <v>9</v>
      </c>
      <c r="D78" s="186"/>
      <c r="E78" s="186">
        <v>11</v>
      </c>
      <c r="F78" s="186">
        <v>33</v>
      </c>
      <c r="G78" s="187">
        <v>16.5</v>
      </c>
      <c r="H78" s="186"/>
      <c r="I78" s="186"/>
      <c r="J78" s="187"/>
      <c r="K78" s="674"/>
      <c r="L78" s="186"/>
      <c r="M78" s="186">
        <v>2</v>
      </c>
      <c r="N78" s="186">
        <v>3</v>
      </c>
      <c r="O78" s="186"/>
      <c r="P78" s="186">
        <v>44</v>
      </c>
      <c r="Q78" s="186">
        <v>474</v>
      </c>
      <c r="R78" s="186">
        <f t="shared" si="3"/>
        <v>69.5</v>
      </c>
      <c r="S78" s="204"/>
      <c r="T78" s="186">
        <f t="shared" si="4"/>
        <v>474</v>
      </c>
      <c r="U78" s="186"/>
      <c r="V78" s="672"/>
      <c r="W78" s="672"/>
      <c r="X78" s="672"/>
      <c r="Y78" s="188">
        <f t="shared" si="7"/>
        <v>11559.4</v>
      </c>
      <c r="Z78" s="188">
        <f t="shared" si="5"/>
        <v>577.97</v>
      </c>
      <c r="AA78" s="188">
        <f t="shared" si="6"/>
        <v>12137.369999999999</v>
      </c>
      <c r="AB78" s="186">
        <v>33529</v>
      </c>
      <c r="AC78" s="190"/>
      <c r="AD78" s="191"/>
    </row>
    <row r="79" spans="1:30" s="192" customFormat="1">
      <c r="A79" s="184">
        <v>42231</v>
      </c>
      <c r="B79" s="673">
        <v>63</v>
      </c>
      <c r="C79" s="186"/>
      <c r="D79" s="186"/>
      <c r="E79" s="186">
        <v>10</v>
      </c>
      <c r="F79" s="186">
        <v>35</v>
      </c>
      <c r="G79" s="187">
        <v>11</v>
      </c>
      <c r="H79" s="186"/>
      <c r="I79" s="186"/>
      <c r="J79" s="187"/>
      <c r="K79" s="674"/>
      <c r="L79" s="186"/>
      <c r="M79" s="186">
        <v>1</v>
      </c>
      <c r="N79" s="186">
        <v>3</v>
      </c>
      <c r="O79" s="186"/>
      <c r="P79" s="186">
        <v>46</v>
      </c>
      <c r="Q79" s="186">
        <v>230</v>
      </c>
      <c r="R79" s="186">
        <f t="shared" si="3"/>
        <v>56</v>
      </c>
      <c r="S79" s="204"/>
      <c r="T79" s="186">
        <f t="shared" si="4"/>
        <v>230</v>
      </c>
      <c r="U79" s="186"/>
      <c r="V79" s="672"/>
      <c r="W79" s="672"/>
      <c r="X79" s="672"/>
      <c r="Y79" s="188">
        <f t="shared" si="7"/>
        <v>10026</v>
      </c>
      <c r="Z79" s="188">
        <f t="shared" si="5"/>
        <v>501.3</v>
      </c>
      <c r="AA79" s="188">
        <f t="shared" si="6"/>
        <v>10527.3</v>
      </c>
      <c r="AB79" s="186">
        <v>33529</v>
      </c>
      <c r="AC79" s="190"/>
      <c r="AD79" s="191"/>
    </row>
    <row r="80" spans="1:30" s="192" customFormat="1">
      <c r="A80" s="184">
        <v>42232</v>
      </c>
      <c r="B80" s="669"/>
      <c r="C80" s="186"/>
      <c r="D80" s="186"/>
      <c r="E80" s="186"/>
      <c r="F80" s="186"/>
      <c r="G80" s="187"/>
      <c r="H80" s="186"/>
      <c r="I80" s="188"/>
      <c r="J80" s="675"/>
      <c r="K80" s="676"/>
      <c r="L80" s="188"/>
      <c r="M80" s="186"/>
      <c r="N80" s="186"/>
      <c r="O80" s="186"/>
      <c r="P80" s="186"/>
      <c r="Q80" s="186"/>
      <c r="R80" s="186">
        <f t="shared" ref="R80:R143" si="8">L80+J80+I80+H80+G80+F80+E80+D80+C80</f>
        <v>0</v>
      </c>
      <c r="S80" s="189"/>
      <c r="T80" s="186">
        <f t="shared" ref="T80:T143" si="9">Q80</f>
        <v>0</v>
      </c>
      <c r="U80" s="186"/>
      <c r="V80" s="672"/>
      <c r="W80" s="672"/>
      <c r="X80" s="672"/>
      <c r="Y80" s="188">
        <f t="shared" ref="Y80:Y144" si="10">SUM(C80*$C$6+D80*$D$6+E80*$E$6+F80*$F$6+G80*$G$6+H80*$H$6+I80*$I$6+J80*$J$6+K80*$K$6+L80*$L$6+M80*$M$6+N80*$N$6+O80*$O$6+P80*$P$6+Q80*$Q$6+U80*$U$6+V80*$V$6+W80*$W$6+X80*$X$6)</f>
        <v>0</v>
      </c>
      <c r="Z80" s="188">
        <f t="shared" ref="Z80:Z143" si="11">(Y80*5%)</f>
        <v>0</v>
      </c>
      <c r="AA80" s="188">
        <f t="shared" ref="AA80:AA143" si="12">SUM(Y80+Z80)</f>
        <v>0</v>
      </c>
      <c r="AB80" s="186">
        <v>33529</v>
      </c>
      <c r="AC80" s="190"/>
      <c r="AD80" s="191"/>
    </row>
    <row r="81" spans="1:30" s="192" customFormat="1">
      <c r="A81" s="184">
        <v>42233</v>
      </c>
      <c r="B81" s="673">
        <v>64</v>
      </c>
      <c r="C81" s="186">
        <v>22</v>
      </c>
      <c r="D81" s="186"/>
      <c r="E81" s="186">
        <v>12</v>
      </c>
      <c r="F81" s="186">
        <v>48.5</v>
      </c>
      <c r="G81" s="187"/>
      <c r="H81" s="186"/>
      <c r="I81" s="188"/>
      <c r="J81" s="675"/>
      <c r="K81" s="676"/>
      <c r="L81" s="188"/>
      <c r="M81" s="186"/>
      <c r="N81" s="186">
        <v>3</v>
      </c>
      <c r="O81" s="186"/>
      <c r="P81" s="186">
        <v>48</v>
      </c>
      <c r="Q81" s="186">
        <v>268</v>
      </c>
      <c r="R81" s="186">
        <f t="shared" si="8"/>
        <v>82.5</v>
      </c>
      <c r="S81" s="189"/>
      <c r="T81" s="186">
        <f t="shared" si="9"/>
        <v>268</v>
      </c>
      <c r="U81" s="186">
        <v>2</v>
      </c>
      <c r="V81" s="672"/>
      <c r="W81" s="672"/>
      <c r="X81" s="672"/>
      <c r="Y81" s="188">
        <f t="shared" si="10"/>
        <v>13338.8</v>
      </c>
      <c r="Z81" s="188">
        <f t="shared" si="11"/>
        <v>666.94</v>
      </c>
      <c r="AA81" s="188">
        <f t="shared" si="12"/>
        <v>14005.74</v>
      </c>
      <c r="AB81" s="186">
        <v>33529</v>
      </c>
      <c r="AC81" s="190"/>
      <c r="AD81" s="191"/>
    </row>
    <row r="82" spans="1:30" s="192" customFormat="1">
      <c r="A82" s="184">
        <v>42234</v>
      </c>
      <c r="B82" s="669">
        <v>65</v>
      </c>
      <c r="C82" s="186">
        <v>5</v>
      </c>
      <c r="D82" s="186">
        <v>1</v>
      </c>
      <c r="E82" s="186">
        <v>12</v>
      </c>
      <c r="F82" s="186">
        <f>13+13+12+12</f>
        <v>50</v>
      </c>
      <c r="G82" s="186"/>
      <c r="H82" s="186"/>
      <c r="I82" s="188"/>
      <c r="J82" s="670"/>
      <c r="K82" s="671"/>
      <c r="L82" s="188"/>
      <c r="M82" s="186"/>
      <c r="N82" s="186">
        <v>3</v>
      </c>
      <c r="O82" s="186"/>
      <c r="P82" s="186">
        <v>49</v>
      </c>
      <c r="Q82" s="186">
        <v>277</v>
      </c>
      <c r="R82" s="186">
        <f t="shared" si="8"/>
        <v>68</v>
      </c>
      <c r="S82" s="204"/>
      <c r="T82" s="186">
        <f t="shared" si="9"/>
        <v>277</v>
      </c>
      <c r="U82" s="186"/>
      <c r="V82" s="672"/>
      <c r="W82" s="672"/>
      <c r="X82" s="672"/>
      <c r="Y82" s="188">
        <f t="shared" si="10"/>
        <v>11936.2</v>
      </c>
      <c r="Z82" s="188">
        <f t="shared" si="11"/>
        <v>596.81000000000006</v>
      </c>
      <c r="AA82" s="188">
        <f t="shared" si="12"/>
        <v>12533.01</v>
      </c>
      <c r="AB82" s="186">
        <v>33529</v>
      </c>
      <c r="AC82" s="190"/>
      <c r="AD82" s="191"/>
    </row>
    <row r="83" spans="1:30" s="192" customFormat="1">
      <c r="A83" s="184">
        <v>42235</v>
      </c>
      <c r="B83" s="673">
        <v>66</v>
      </c>
      <c r="C83" s="186">
        <v>10</v>
      </c>
      <c r="D83" s="186">
        <v>5.5</v>
      </c>
      <c r="E83" s="186">
        <v>12</v>
      </c>
      <c r="F83" s="186">
        <f>10.5+12+16</f>
        <v>38.5</v>
      </c>
      <c r="G83" s="187">
        <f>14+10.5</f>
        <v>24.5</v>
      </c>
      <c r="H83" s="186"/>
      <c r="I83" s="188"/>
      <c r="J83" s="675">
        <v>1</v>
      </c>
      <c r="K83" s="676"/>
      <c r="L83" s="188"/>
      <c r="M83" s="186"/>
      <c r="N83" s="186">
        <v>3</v>
      </c>
      <c r="O83" s="186">
        <v>1</v>
      </c>
      <c r="P83" s="186">
        <f>10.5+14+12+16+10.5+1</f>
        <v>64</v>
      </c>
      <c r="Q83" s="186">
        <v>262</v>
      </c>
      <c r="R83" s="186">
        <f t="shared" si="8"/>
        <v>91.5</v>
      </c>
      <c r="S83" s="204"/>
      <c r="T83" s="186">
        <f t="shared" si="9"/>
        <v>262</v>
      </c>
      <c r="U83" s="186">
        <v>0.25</v>
      </c>
      <c r="V83" s="672"/>
      <c r="W83" s="672"/>
      <c r="X83" s="672"/>
      <c r="Y83" s="188">
        <f t="shared" si="10"/>
        <v>14048.075000000001</v>
      </c>
      <c r="Z83" s="188">
        <f t="shared" si="11"/>
        <v>702.40375000000006</v>
      </c>
      <c r="AA83" s="188">
        <f t="shared" si="12"/>
        <v>14750.47875</v>
      </c>
      <c r="AB83" s="186">
        <v>33529</v>
      </c>
      <c r="AC83" s="190"/>
      <c r="AD83" s="191"/>
    </row>
    <row r="84" spans="1:30" s="192" customFormat="1">
      <c r="A84" s="184">
        <v>42236</v>
      </c>
      <c r="B84" s="673">
        <v>67</v>
      </c>
      <c r="C84" s="186"/>
      <c r="D84" s="186"/>
      <c r="E84" s="186">
        <v>13</v>
      </c>
      <c r="F84" s="186">
        <v>46</v>
      </c>
      <c r="G84" s="187"/>
      <c r="H84" s="186"/>
      <c r="I84" s="188"/>
      <c r="J84" s="675"/>
      <c r="K84" s="676"/>
      <c r="L84" s="188"/>
      <c r="M84" s="186">
        <v>2</v>
      </c>
      <c r="N84" s="186">
        <v>3</v>
      </c>
      <c r="O84" s="186"/>
      <c r="P84" s="186">
        <f>11+12.5+10.5+13</f>
        <v>47</v>
      </c>
      <c r="Q84" s="186">
        <v>261</v>
      </c>
      <c r="R84" s="186">
        <f t="shared" si="8"/>
        <v>59</v>
      </c>
      <c r="S84" s="189"/>
      <c r="T84" s="186">
        <f t="shared" si="9"/>
        <v>261</v>
      </c>
      <c r="U84" s="186"/>
      <c r="V84" s="672"/>
      <c r="W84" s="672"/>
      <c r="X84" s="672"/>
      <c r="Y84" s="188">
        <f t="shared" si="10"/>
        <v>11137.6</v>
      </c>
      <c r="Z84" s="188">
        <f t="shared" si="11"/>
        <v>556.88</v>
      </c>
      <c r="AA84" s="188">
        <f t="shared" si="12"/>
        <v>11694.48</v>
      </c>
      <c r="AB84" s="186">
        <v>33529</v>
      </c>
      <c r="AC84" s="190"/>
      <c r="AD84" s="191"/>
    </row>
    <row r="85" spans="1:30" s="192" customFormat="1">
      <c r="A85" s="184">
        <v>42237</v>
      </c>
      <c r="B85" s="673">
        <v>68</v>
      </c>
      <c r="C85" s="186"/>
      <c r="D85" s="186">
        <v>1</v>
      </c>
      <c r="E85" s="186">
        <v>11</v>
      </c>
      <c r="F85" s="186">
        <v>47.5</v>
      </c>
      <c r="G85" s="187"/>
      <c r="H85" s="186"/>
      <c r="I85" s="188"/>
      <c r="J85" s="675"/>
      <c r="K85" s="676"/>
      <c r="L85" s="188"/>
      <c r="M85" s="186">
        <v>2</v>
      </c>
      <c r="N85" s="186">
        <v>3</v>
      </c>
      <c r="O85" s="186"/>
      <c r="P85" s="186">
        <v>58.5</v>
      </c>
      <c r="Q85" s="186">
        <v>0</v>
      </c>
      <c r="R85" s="186">
        <f t="shared" si="8"/>
        <v>59.5</v>
      </c>
      <c r="S85" s="204"/>
      <c r="T85" s="186">
        <f t="shared" si="9"/>
        <v>0</v>
      </c>
      <c r="U85" s="186"/>
      <c r="V85" s="672"/>
      <c r="W85" s="672"/>
      <c r="X85" s="672"/>
      <c r="Y85" s="188">
        <f>SUM(C85*$C$6+D85*$D$6+E85*$E$6+F85*$F$6+G85*$G$6+H85*$H$6+I85*$I$6+J85*$J$6+K85*$K$6+L85*$L$6+M85*$M$6+N85*$N$6+O85*$O$6+P85*$P$6+Q85*$Q$6+U85*$U$6+V85*$V$6+W85*$W$6+X85*$X$6)</f>
        <v>11214</v>
      </c>
      <c r="Z85" s="188">
        <f t="shared" si="11"/>
        <v>560.70000000000005</v>
      </c>
      <c r="AA85" s="188">
        <f t="shared" si="12"/>
        <v>11774.7</v>
      </c>
      <c r="AB85" s="186">
        <v>33529</v>
      </c>
      <c r="AC85" s="190"/>
      <c r="AD85" s="191"/>
    </row>
    <row r="86" spans="1:30" s="192" customFormat="1">
      <c r="A86" s="184">
        <v>42238</v>
      </c>
      <c r="B86" s="669">
        <v>69</v>
      </c>
      <c r="C86" s="186"/>
      <c r="D86" s="186"/>
      <c r="E86" s="186"/>
      <c r="F86" s="186">
        <v>23</v>
      </c>
      <c r="G86" s="187">
        <v>21.5</v>
      </c>
      <c r="H86" s="186"/>
      <c r="I86" s="188"/>
      <c r="J86" s="675"/>
      <c r="K86" s="676"/>
      <c r="L86" s="188"/>
      <c r="M86" s="186"/>
      <c r="N86" s="186">
        <v>3</v>
      </c>
      <c r="O86" s="186"/>
      <c r="P86" s="186">
        <v>22.5</v>
      </c>
      <c r="Q86" s="186">
        <v>531</v>
      </c>
      <c r="R86" s="186">
        <f t="shared" si="8"/>
        <v>44.5</v>
      </c>
      <c r="S86" s="204"/>
      <c r="T86" s="186">
        <f t="shared" si="9"/>
        <v>531</v>
      </c>
      <c r="U86" s="186"/>
      <c r="V86" s="672"/>
      <c r="W86" s="672"/>
      <c r="X86" s="672"/>
      <c r="Y86" s="188">
        <f t="shared" si="10"/>
        <v>7848.6</v>
      </c>
      <c r="Z86" s="188">
        <f t="shared" si="11"/>
        <v>392.43000000000006</v>
      </c>
      <c r="AA86" s="188">
        <f t="shared" si="12"/>
        <v>8241.0300000000007</v>
      </c>
      <c r="AB86" s="186">
        <v>33529</v>
      </c>
      <c r="AC86" s="190"/>
      <c r="AD86" s="191"/>
    </row>
    <row r="87" spans="1:30" s="192" customFormat="1">
      <c r="A87" s="184">
        <v>42239</v>
      </c>
      <c r="B87" s="673">
        <v>70</v>
      </c>
      <c r="C87" s="186"/>
      <c r="D87" s="186"/>
      <c r="E87" s="186"/>
      <c r="F87" s="186"/>
      <c r="G87" s="187">
        <v>15</v>
      </c>
      <c r="H87" s="186"/>
      <c r="I87" s="188"/>
      <c r="J87" s="675"/>
      <c r="K87" s="676"/>
      <c r="L87" s="188"/>
      <c r="M87" s="186"/>
      <c r="N87" s="186"/>
      <c r="O87" s="186"/>
      <c r="P87" s="186"/>
      <c r="Q87" s="186"/>
      <c r="R87" s="186">
        <f t="shared" si="8"/>
        <v>15</v>
      </c>
      <c r="S87" s="189"/>
      <c r="T87" s="186">
        <f t="shared" si="9"/>
        <v>0</v>
      </c>
      <c r="U87" s="186"/>
      <c r="V87" s="672"/>
      <c r="W87" s="672"/>
      <c r="X87" s="672"/>
      <c r="Y87" s="188">
        <f t="shared" si="10"/>
        <v>1350</v>
      </c>
      <c r="Z87" s="188">
        <f t="shared" si="11"/>
        <v>67.5</v>
      </c>
      <c r="AA87" s="188">
        <f t="shared" si="12"/>
        <v>1417.5</v>
      </c>
      <c r="AB87" s="186">
        <v>33529</v>
      </c>
      <c r="AC87" s="190"/>
      <c r="AD87" s="191"/>
    </row>
    <row r="88" spans="1:30" s="192" customFormat="1">
      <c r="A88" s="184">
        <v>42240</v>
      </c>
      <c r="B88" s="669">
        <v>71</v>
      </c>
      <c r="C88" s="186">
        <v>10</v>
      </c>
      <c r="D88" s="186">
        <v>0.5</v>
      </c>
      <c r="E88" s="186">
        <v>12</v>
      </c>
      <c r="F88" s="186">
        <v>46.5</v>
      </c>
      <c r="G88" s="187">
        <v>10.5</v>
      </c>
      <c r="H88" s="186"/>
      <c r="I88" s="188"/>
      <c r="J88" s="675"/>
      <c r="K88" s="676"/>
      <c r="L88" s="188"/>
      <c r="M88" s="186">
        <v>2</v>
      </c>
      <c r="N88" s="186">
        <v>3</v>
      </c>
      <c r="O88" s="188"/>
      <c r="P88" s="186">
        <v>45.5</v>
      </c>
      <c r="Q88" s="186">
        <v>509</v>
      </c>
      <c r="R88" s="186">
        <f t="shared" si="8"/>
        <v>79.5</v>
      </c>
      <c r="S88" s="204"/>
      <c r="T88" s="186">
        <f t="shared" si="9"/>
        <v>509</v>
      </c>
      <c r="U88" s="186"/>
      <c r="V88" s="672"/>
      <c r="W88" s="672"/>
      <c r="X88" s="672"/>
      <c r="Y88" s="188">
        <f t="shared" si="10"/>
        <v>13279.4</v>
      </c>
      <c r="Z88" s="188">
        <f t="shared" si="11"/>
        <v>663.97</v>
      </c>
      <c r="AA88" s="188">
        <f t="shared" si="12"/>
        <v>13943.369999999999</v>
      </c>
      <c r="AB88" s="186">
        <v>33529</v>
      </c>
      <c r="AC88" s="190"/>
      <c r="AD88" s="191"/>
    </row>
    <row r="89" spans="1:30" s="192" customFormat="1">
      <c r="A89" s="184">
        <v>42241</v>
      </c>
      <c r="B89" s="669">
        <v>72</v>
      </c>
      <c r="C89" s="186">
        <v>11</v>
      </c>
      <c r="D89" s="186"/>
      <c r="E89" s="186">
        <v>11.5</v>
      </c>
      <c r="F89" s="186">
        <v>48.5</v>
      </c>
      <c r="G89" s="186">
        <v>10</v>
      </c>
      <c r="H89" s="186"/>
      <c r="I89" s="188"/>
      <c r="J89" s="670"/>
      <c r="K89" s="671"/>
      <c r="L89" s="188"/>
      <c r="M89" s="186">
        <v>2</v>
      </c>
      <c r="N89" s="186">
        <v>1</v>
      </c>
      <c r="O89" s="186">
        <v>3</v>
      </c>
      <c r="P89" s="186">
        <v>59</v>
      </c>
      <c r="Q89" s="186">
        <v>263</v>
      </c>
      <c r="R89" s="186">
        <f t="shared" si="8"/>
        <v>81</v>
      </c>
      <c r="S89" s="204"/>
      <c r="T89" s="186">
        <f t="shared" si="9"/>
        <v>263</v>
      </c>
      <c r="U89" s="186"/>
      <c r="V89" s="672"/>
      <c r="W89" s="672"/>
      <c r="X89" s="672"/>
      <c r="Y89" s="188">
        <f t="shared" si="10"/>
        <v>13310.05</v>
      </c>
      <c r="Z89" s="188">
        <f t="shared" si="11"/>
        <v>665.50250000000005</v>
      </c>
      <c r="AA89" s="188">
        <f t="shared" si="12"/>
        <v>13975.5525</v>
      </c>
      <c r="AB89" s="186">
        <v>33529</v>
      </c>
      <c r="AC89" s="190"/>
      <c r="AD89" s="191"/>
    </row>
    <row r="90" spans="1:30" s="192" customFormat="1">
      <c r="A90" s="184">
        <v>42242</v>
      </c>
      <c r="B90" s="669">
        <v>73</v>
      </c>
      <c r="C90" s="186">
        <v>11</v>
      </c>
      <c r="D90" s="186"/>
      <c r="E90" s="186">
        <v>13</v>
      </c>
      <c r="F90" s="186">
        <v>47</v>
      </c>
      <c r="G90" s="186">
        <v>8</v>
      </c>
      <c r="H90" s="186"/>
      <c r="I90" s="188"/>
      <c r="J90" s="670"/>
      <c r="K90" s="671"/>
      <c r="L90" s="188"/>
      <c r="M90" s="186"/>
      <c r="N90" s="186">
        <v>2</v>
      </c>
      <c r="O90" s="186">
        <v>1</v>
      </c>
      <c r="P90" s="186">
        <v>56</v>
      </c>
      <c r="Q90" s="186">
        <v>284</v>
      </c>
      <c r="R90" s="186">
        <f t="shared" si="8"/>
        <v>79</v>
      </c>
      <c r="S90" s="204"/>
      <c r="T90" s="186">
        <f t="shared" si="9"/>
        <v>284</v>
      </c>
      <c r="U90" s="186"/>
      <c r="V90" s="672"/>
      <c r="W90" s="672"/>
      <c r="X90" s="672"/>
      <c r="Y90" s="188">
        <f t="shared" si="10"/>
        <v>12723.4</v>
      </c>
      <c r="Z90" s="188">
        <f t="shared" si="11"/>
        <v>636.17000000000007</v>
      </c>
      <c r="AA90" s="188">
        <f t="shared" si="12"/>
        <v>13359.57</v>
      </c>
      <c r="AB90" s="186">
        <v>33529</v>
      </c>
      <c r="AC90" s="190"/>
      <c r="AD90" s="191"/>
    </row>
    <row r="91" spans="1:30" s="192" customFormat="1">
      <c r="A91" s="184">
        <v>42243</v>
      </c>
      <c r="B91" s="499">
        <v>74</v>
      </c>
      <c r="C91" s="186"/>
      <c r="D91" s="186">
        <v>1.5</v>
      </c>
      <c r="E91" s="186">
        <v>12</v>
      </c>
      <c r="F91" s="186">
        <f>10+12+4+8+12</f>
        <v>46</v>
      </c>
      <c r="G91" s="187"/>
      <c r="H91" s="186"/>
      <c r="I91" s="186"/>
      <c r="J91" s="187"/>
      <c r="K91" s="674"/>
      <c r="L91" s="186"/>
      <c r="M91" s="186">
        <v>2</v>
      </c>
      <c r="N91" s="186">
        <v>2</v>
      </c>
      <c r="O91" s="186">
        <v>1</v>
      </c>
      <c r="P91" s="186">
        <f>46+12</f>
        <v>58</v>
      </c>
      <c r="Q91" s="186"/>
      <c r="R91" s="186">
        <f t="shared" si="8"/>
        <v>59.5</v>
      </c>
      <c r="S91" s="187"/>
      <c r="T91" s="186">
        <f t="shared" si="9"/>
        <v>0</v>
      </c>
      <c r="U91" s="186"/>
      <c r="V91" s="672"/>
      <c r="W91" s="672"/>
      <c r="X91" s="672"/>
      <c r="Y91" s="188">
        <f t="shared" si="10"/>
        <v>10885</v>
      </c>
      <c r="Z91" s="188">
        <f t="shared" si="11"/>
        <v>544.25</v>
      </c>
      <c r="AA91" s="188">
        <f t="shared" si="12"/>
        <v>11429.25</v>
      </c>
      <c r="AB91" s="186">
        <v>33529</v>
      </c>
      <c r="AC91" s="677"/>
      <c r="AD91" s="191"/>
    </row>
    <row r="92" spans="1:30" s="192" customFormat="1">
      <c r="A92" s="184">
        <v>42244</v>
      </c>
      <c r="B92" s="499">
        <v>75</v>
      </c>
      <c r="C92" s="186"/>
      <c r="D92" s="186">
        <v>2</v>
      </c>
      <c r="E92" s="186">
        <v>12</v>
      </c>
      <c r="F92" s="186">
        <f>10.5+12+14+13</f>
        <v>49.5</v>
      </c>
      <c r="G92" s="187"/>
      <c r="H92" s="186"/>
      <c r="I92" s="186">
        <v>8</v>
      </c>
      <c r="J92" s="187"/>
      <c r="K92" s="674"/>
      <c r="L92" s="186"/>
      <c r="M92" s="186">
        <v>1</v>
      </c>
      <c r="N92" s="186">
        <v>3</v>
      </c>
      <c r="O92" s="186"/>
      <c r="P92" s="186">
        <f>49.5+12</f>
        <v>61.5</v>
      </c>
      <c r="Q92" s="186"/>
      <c r="R92" s="186">
        <f t="shared" si="8"/>
        <v>71.5</v>
      </c>
      <c r="S92" s="186"/>
      <c r="T92" s="186">
        <f t="shared" si="9"/>
        <v>0</v>
      </c>
      <c r="U92" s="186"/>
      <c r="V92" s="672"/>
      <c r="W92" s="672"/>
      <c r="X92" s="672"/>
      <c r="Y92" s="188">
        <f t="shared" si="10"/>
        <v>12370.5</v>
      </c>
      <c r="Z92" s="188">
        <f t="shared" si="11"/>
        <v>618.52500000000009</v>
      </c>
      <c r="AA92" s="188">
        <f t="shared" si="12"/>
        <v>12989.025</v>
      </c>
      <c r="AB92" s="186">
        <v>33529</v>
      </c>
      <c r="AC92" s="190"/>
      <c r="AD92" s="191"/>
    </row>
    <row r="93" spans="1:30" s="192" customFormat="1">
      <c r="A93" s="184">
        <v>42245</v>
      </c>
      <c r="B93" s="499">
        <v>76</v>
      </c>
      <c r="C93" s="186"/>
      <c r="D93" s="186"/>
      <c r="E93" s="186">
        <v>5</v>
      </c>
      <c r="F93" s="186">
        <f>11+12+12+11</f>
        <v>46</v>
      </c>
      <c r="G93" s="187"/>
      <c r="H93" s="186"/>
      <c r="I93" s="186">
        <v>12</v>
      </c>
      <c r="J93" s="187"/>
      <c r="K93" s="674"/>
      <c r="L93" s="186"/>
      <c r="M93" s="186">
        <v>2</v>
      </c>
      <c r="N93" s="186">
        <v>2</v>
      </c>
      <c r="O93" s="186">
        <v>1</v>
      </c>
      <c r="P93" s="186">
        <v>46</v>
      </c>
      <c r="Q93" s="186">
        <v>175</v>
      </c>
      <c r="R93" s="186">
        <f t="shared" si="8"/>
        <v>63</v>
      </c>
      <c r="S93" s="187"/>
      <c r="T93" s="186">
        <f t="shared" si="9"/>
        <v>175</v>
      </c>
      <c r="U93" s="186"/>
      <c r="V93" s="672"/>
      <c r="W93" s="672"/>
      <c r="X93" s="672"/>
      <c r="Y93" s="188">
        <f t="shared" si="10"/>
        <v>11076</v>
      </c>
      <c r="Z93" s="188">
        <f t="shared" si="11"/>
        <v>553.80000000000007</v>
      </c>
      <c r="AA93" s="188">
        <f t="shared" si="12"/>
        <v>11629.8</v>
      </c>
      <c r="AB93" s="186">
        <v>33529</v>
      </c>
      <c r="AC93" s="190"/>
      <c r="AD93" s="191"/>
    </row>
    <row r="94" spans="1:30" s="192" customFormat="1">
      <c r="A94" s="184">
        <v>42246</v>
      </c>
      <c r="B94" s="499">
        <v>77</v>
      </c>
      <c r="C94" s="186"/>
      <c r="D94" s="186"/>
      <c r="E94" s="186"/>
      <c r="F94" s="186"/>
      <c r="G94" s="187">
        <v>10</v>
      </c>
      <c r="H94" s="186"/>
      <c r="I94" s="186"/>
      <c r="J94" s="187"/>
      <c r="K94" s="674"/>
      <c r="L94" s="186"/>
      <c r="M94" s="186"/>
      <c r="N94" s="186"/>
      <c r="O94" s="186"/>
      <c r="P94" s="186"/>
      <c r="Q94" s="186"/>
      <c r="R94" s="186">
        <f t="shared" si="8"/>
        <v>10</v>
      </c>
      <c r="S94" s="186"/>
      <c r="T94" s="186">
        <f t="shared" si="9"/>
        <v>0</v>
      </c>
      <c r="U94" s="186"/>
      <c r="V94" s="672"/>
      <c r="W94" s="672"/>
      <c r="X94" s="672"/>
      <c r="Y94" s="188">
        <f t="shared" si="10"/>
        <v>900</v>
      </c>
      <c r="Z94" s="188">
        <f t="shared" si="11"/>
        <v>45</v>
      </c>
      <c r="AA94" s="188">
        <f t="shared" si="12"/>
        <v>945</v>
      </c>
      <c r="AB94" s="186">
        <v>33529</v>
      </c>
      <c r="AC94" s="677"/>
      <c r="AD94" s="191"/>
    </row>
    <row r="95" spans="1:30" s="192" customFormat="1">
      <c r="A95" s="184">
        <v>42247</v>
      </c>
      <c r="B95" s="499">
        <v>78</v>
      </c>
      <c r="C95" s="186"/>
      <c r="D95" s="186">
        <v>1</v>
      </c>
      <c r="E95" s="186">
        <v>11</v>
      </c>
      <c r="F95" s="186">
        <f>12.5+12+12+10.5</f>
        <v>47</v>
      </c>
      <c r="G95" s="187"/>
      <c r="H95" s="186"/>
      <c r="I95" s="186">
        <v>12</v>
      </c>
      <c r="J95" s="187"/>
      <c r="K95" s="674"/>
      <c r="L95" s="186">
        <v>2</v>
      </c>
      <c r="M95" s="186"/>
      <c r="N95" s="186">
        <v>2</v>
      </c>
      <c r="O95" s="186"/>
      <c r="P95" s="186">
        <f>47+11</f>
        <v>58</v>
      </c>
      <c r="Q95" s="186"/>
      <c r="R95" s="186">
        <f t="shared" si="8"/>
        <v>73</v>
      </c>
      <c r="S95" s="186"/>
      <c r="T95" s="186">
        <f t="shared" si="9"/>
        <v>0</v>
      </c>
      <c r="U95" s="186">
        <v>2.25</v>
      </c>
      <c r="V95" s="672"/>
      <c r="W95" s="672"/>
      <c r="X95" s="672"/>
      <c r="Y95" s="188">
        <f t="shared" si="10"/>
        <v>11841.375</v>
      </c>
      <c r="Z95" s="188">
        <f t="shared" si="11"/>
        <v>592.06875000000002</v>
      </c>
      <c r="AA95" s="188">
        <f t="shared" si="12"/>
        <v>12433.44375</v>
      </c>
      <c r="AB95" s="186">
        <v>33529</v>
      </c>
      <c r="AC95" s="190"/>
      <c r="AD95" s="683"/>
    </row>
    <row r="96" spans="1:30" s="136" customFormat="1">
      <c r="A96" s="678">
        <v>42247</v>
      </c>
      <c r="B96" s="679" t="s">
        <v>662</v>
      </c>
      <c r="C96" s="680"/>
      <c r="D96" s="680"/>
      <c r="E96" s="680"/>
      <c r="F96" s="680"/>
      <c r="G96" s="681"/>
      <c r="H96" s="680"/>
      <c r="I96" s="680"/>
      <c r="J96" s="681"/>
      <c r="K96" s="681"/>
      <c r="L96" s="680"/>
      <c r="M96" s="680"/>
      <c r="N96" s="680"/>
      <c r="O96" s="680"/>
      <c r="P96" s="680"/>
      <c r="Q96" s="680"/>
      <c r="R96" s="680"/>
      <c r="S96" s="684">
        <v>2079.6799999999998</v>
      </c>
      <c r="T96" s="685"/>
      <c r="U96" s="685"/>
      <c r="V96" s="685"/>
      <c r="W96" s="685"/>
      <c r="X96" s="685"/>
      <c r="Y96" s="188">
        <f>SUM(C96*$C$6+D96*$D$6+E96*$E$6+F96*$F$6+G96*$G$6+H96*$H$6+I96*$I$6+J96*$J$6+K96*$K$6+L96*$L$6+M96*$M$6+N96*$N$6+O96*$O$6+P96*$P$6+Q96*$Q$6+U96*$U$6+V96*$V$6+W96*$W$6+X96*$X$6)+S96</f>
        <v>2079.6799999999998</v>
      </c>
      <c r="Z96" s="188">
        <f t="shared" si="11"/>
        <v>103.98399999999999</v>
      </c>
      <c r="AA96" s="188">
        <f t="shared" si="12"/>
        <v>2183.6639999999998</v>
      </c>
      <c r="AB96" s="186">
        <v>33529</v>
      </c>
      <c r="AC96" s="682"/>
      <c r="AD96" s="210"/>
    </row>
    <row r="97" spans="1:30" s="136" customFormat="1">
      <c r="A97" s="157">
        <v>42248</v>
      </c>
      <c r="B97" s="841">
        <v>79</v>
      </c>
      <c r="C97" s="133">
        <v>12</v>
      </c>
      <c r="D97" s="133">
        <v>2.5</v>
      </c>
      <c r="E97" s="133">
        <v>10</v>
      </c>
      <c r="F97" s="133">
        <f>11+10+12+12</f>
        <v>45</v>
      </c>
      <c r="G97" s="131"/>
      <c r="H97" s="133"/>
      <c r="I97" s="133"/>
      <c r="J97" s="133"/>
      <c r="K97" s="842"/>
      <c r="L97" s="133">
        <v>4</v>
      </c>
      <c r="M97" s="133"/>
      <c r="N97" s="133">
        <v>3</v>
      </c>
      <c r="O97" s="133"/>
      <c r="P97" s="133">
        <v>45</v>
      </c>
      <c r="Q97" s="133">
        <v>265</v>
      </c>
      <c r="R97" s="133">
        <f t="shared" si="8"/>
        <v>73.5</v>
      </c>
      <c r="S97" s="131"/>
      <c r="T97" s="133">
        <f t="shared" si="9"/>
        <v>265</v>
      </c>
      <c r="U97" s="133"/>
      <c r="V97" s="842"/>
      <c r="W97" s="842"/>
      <c r="X97" s="842"/>
      <c r="Y97" s="132">
        <f t="shared" si="10"/>
        <v>12150.5</v>
      </c>
      <c r="Z97" s="132">
        <f t="shared" si="11"/>
        <v>607.52499999999998</v>
      </c>
      <c r="AA97" s="132">
        <f t="shared" si="12"/>
        <v>12758.025</v>
      </c>
      <c r="AB97" s="133">
        <v>33794</v>
      </c>
      <c r="AC97" s="141"/>
      <c r="AD97" s="847"/>
    </row>
    <row r="98" spans="1:30" s="136" customFormat="1">
      <c r="A98" s="157">
        <v>42249</v>
      </c>
      <c r="B98" s="843">
        <v>80</v>
      </c>
      <c r="C98" s="844">
        <v>8</v>
      </c>
      <c r="D98" s="844">
        <v>1</v>
      </c>
      <c r="E98" s="844">
        <v>12</v>
      </c>
      <c r="F98" s="844">
        <f>11+12+10</f>
        <v>33</v>
      </c>
      <c r="G98" s="845">
        <v>10</v>
      </c>
      <c r="H98" s="844"/>
      <c r="I98" s="844"/>
      <c r="J98" s="844"/>
      <c r="K98" s="844"/>
      <c r="L98" s="844">
        <v>5</v>
      </c>
      <c r="M98" s="844"/>
      <c r="N98" s="844">
        <v>3</v>
      </c>
      <c r="O98" s="844"/>
      <c r="P98" s="844">
        <v>35</v>
      </c>
      <c r="Q98" s="844">
        <v>475</v>
      </c>
      <c r="R98" s="133">
        <f t="shared" si="8"/>
        <v>69</v>
      </c>
      <c r="S98" s="845"/>
      <c r="T98" s="133">
        <f t="shared" si="9"/>
        <v>475</v>
      </c>
      <c r="U98" s="844"/>
      <c r="V98" s="844"/>
      <c r="W98" s="844"/>
      <c r="X98" s="844"/>
      <c r="Y98" s="132">
        <f t="shared" si="10"/>
        <v>11130</v>
      </c>
      <c r="Z98" s="132">
        <f>(Y98*5%)</f>
        <v>556.5</v>
      </c>
      <c r="AA98" s="132">
        <f>SUM(Y98+Z98)</f>
        <v>11686.5</v>
      </c>
      <c r="AB98" s="133">
        <v>33794</v>
      </c>
      <c r="AC98" s="846"/>
      <c r="AD98" s="210"/>
    </row>
    <row r="99" spans="1:30" s="136" customFormat="1">
      <c r="A99" s="157">
        <v>42250</v>
      </c>
      <c r="B99" s="841">
        <v>81</v>
      </c>
      <c r="C99" s="133">
        <v>10</v>
      </c>
      <c r="D99" s="133"/>
      <c r="E99" s="133">
        <v>12</v>
      </c>
      <c r="F99" s="133">
        <f>10.5+12+13</f>
        <v>35.5</v>
      </c>
      <c r="G99" s="131"/>
      <c r="H99" s="133"/>
      <c r="I99" s="133"/>
      <c r="J99" s="133"/>
      <c r="K99" s="842"/>
      <c r="L99" s="133">
        <v>5</v>
      </c>
      <c r="M99" s="133"/>
      <c r="N99" s="133">
        <v>2</v>
      </c>
      <c r="O99" s="133">
        <v>1</v>
      </c>
      <c r="P99" s="133">
        <f>35.5+12</f>
        <v>47.5</v>
      </c>
      <c r="Q99" s="133"/>
      <c r="R99" s="133">
        <f t="shared" si="8"/>
        <v>62.5</v>
      </c>
      <c r="S99" s="131"/>
      <c r="T99" s="133">
        <f t="shared" si="9"/>
        <v>0</v>
      </c>
      <c r="U99" s="133"/>
      <c r="V99" s="842"/>
      <c r="W99" s="842"/>
      <c r="X99" s="842"/>
      <c r="Y99" s="132">
        <f t="shared" si="10"/>
        <v>10204</v>
      </c>
      <c r="Z99" s="132">
        <f t="shared" si="11"/>
        <v>510.20000000000005</v>
      </c>
      <c r="AA99" s="132">
        <f t="shared" si="12"/>
        <v>10714.2</v>
      </c>
      <c r="AB99" s="133">
        <v>33794</v>
      </c>
      <c r="AC99" s="141"/>
      <c r="AD99" s="210"/>
    </row>
    <row r="100" spans="1:30" s="136" customFormat="1">
      <c r="A100" s="157">
        <v>42251</v>
      </c>
      <c r="B100" s="841">
        <v>82</v>
      </c>
      <c r="C100" s="133">
        <v>9</v>
      </c>
      <c r="D100" s="133"/>
      <c r="E100" s="133"/>
      <c r="F100" s="133"/>
      <c r="G100" s="131"/>
      <c r="H100" s="133"/>
      <c r="I100" s="133"/>
      <c r="J100" s="131"/>
      <c r="K100" s="848"/>
      <c r="L100" s="133">
        <v>5</v>
      </c>
      <c r="M100" s="133"/>
      <c r="N100" s="133"/>
      <c r="O100" s="133"/>
      <c r="P100" s="133"/>
      <c r="Q100" s="133"/>
      <c r="R100" s="133">
        <f t="shared" si="8"/>
        <v>14</v>
      </c>
      <c r="S100" s="131"/>
      <c r="T100" s="133">
        <f t="shared" si="9"/>
        <v>0</v>
      </c>
      <c r="U100" s="133"/>
      <c r="V100" s="842"/>
      <c r="W100" s="842"/>
      <c r="X100" s="842"/>
      <c r="Y100" s="132">
        <f t="shared" si="10"/>
        <v>1413</v>
      </c>
      <c r="Z100" s="132">
        <f t="shared" si="11"/>
        <v>70.650000000000006</v>
      </c>
      <c r="AA100" s="132">
        <f t="shared" si="12"/>
        <v>1483.65</v>
      </c>
      <c r="AB100" s="133">
        <v>33794</v>
      </c>
      <c r="AC100" s="141"/>
      <c r="AD100" s="210"/>
    </row>
    <row r="101" spans="1:30" s="136" customFormat="1">
      <c r="A101" s="157">
        <v>42252</v>
      </c>
      <c r="B101" s="667">
        <v>83</v>
      </c>
      <c r="C101" s="133">
        <v>10</v>
      </c>
      <c r="D101" s="133"/>
      <c r="E101" s="133"/>
      <c r="F101" s="133"/>
      <c r="G101" s="133"/>
      <c r="H101" s="133"/>
      <c r="I101" s="133"/>
      <c r="J101" s="133"/>
      <c r="K101" s="842"/>
      <c r="L101" s="133">
        <v>8</v>
      </c>
      <c r="M101" s="133"/>
      <c r="N101" s="133"/>
      <c r="O101" s="133"/>
      <c r="P101" s="133"/>
      <c r="Q101" s="133"/>
      <c r="R101" s="133">
        <f t="shared" si="8"/>
        <v>18</v>
      </c>
      <c r="S101" s="131"/>
      <c r="T101" s="133">
        <f t="shared" si="9"/>
        <v>0</v>
      </c>
      <c r="U101" s="133"/>
      <c r="V101" s="842"/>
      <c r="W101" s="842"/>
      <c r="X101" s="842"/>
      <c r="Y101" s="132">
        <f t="shared" si="10"/>
        <v>1845</v>
      </c>
      <c r="Z101" s="132">
        <f t="shared" si="11"/>
        <v>92.25</v>
      </c>
      <c r="AA101" s="132">
        <f t="shared" si="12"/>
        <v>1937.25</v>
      </c>
      <c r="AB101" s="133">
        <v>33794</v>
      </c>
      <c r="AC101" s="141"/>
      <c r="AD101" s="210"/>
    </row>
    <row r="102" spans="1:30" s="136" customFormat="1">
      <c r="A102" s="157">
        <v>42253</v>
      </c>
      <c r="B102" s="667">
        <v>84</v>
      </c>
      <c r="C102" s="133">
        <v>3</v>
      </c>
      <c r="D102" s="133"/>
      <c r="E102" s="133"/>
      <c r="F102" s="133"/>
      <c r="G102" s="133"/>
      <c r="H102" s="133"/>
      <c r="I102" s="133"/>
      <c r="J102" s="133"/>
      <c r="K102" s="842"/>
      <c r="L102" s="133"/>
      <c r="M102" s="133"/>
      <c r="N102" s="133"/>
      <c r="O102" s="133"/>
      <c r="P102" s="133"/>
      <c r="Q102" s="133"/>
      <c r="R102" s="133">
        <f t="shared" si="8"/>
        <v>3</v>
      </c>
      <c r="S102" s="133"/>
      <c r="T102" s="133">
        <f t="shared" si="9"/>
        <v>0</v>
      </c>
      <c r="U102" s="133"/>
      <c r="V102" s="842"/>
      <c r="W102" s="842"/>
      <c r="X102" s="842"/>
      <c r="Y102" s="132">
        <f t="shared" si="10"/>
        <v>283.5</v>
      </c>
      <c r="Z102" s="132">
        <f t="shared" si="11"/>
        <v>14.175000000000001</v>
      </c>
      <c r="AA102" s="132">
        <f t="shared" si="12"/>
        <v>297.67500000000001</v>
      </c>
      <c r="AB102" s="133">
        <v>33794</v>
      </c>
      <c r="AC102" s="141"/>
      <c r="AD102" s="210"/>
    </row>
    <row r="103" spans="1:30" s="136" customFormat="1">
      <c r="A103" s="157">
        <v>42254</v>
      </c>
      <c r="B103" s="667">
        <v>85</v>
      </c>
      <c r="C103" s="133">
        <v>6</v>
      </c>
      <c r="D103" s="133"/>
      <c r="E103" s="133"/>
      <c r="F103" s="133"/>
      <c r="G103" s="133"/>
      <c r="H103" s="133"/>
      <c r="I103" s="133"/>
      <c r="J103" s="133"/>
      <c r="K103" s="842"/>
      <c r="L103" s="133"/>
      <c r="M103" s="133"/>
      <c r="N103" s="133"/>
      <c r="O103" s="133"/>
      <c r="P103" s="133"/>
      <c r="Q103" s="133"/>
      <c r="R103" s="133">
        <f t="shared" si="8"/>
        <v>6</v>
      </c>
      <c r="S103" s="133"/>
      <c r="T103" s="133">
        <f t="shared" si="9"/>
        <v>0</v>
      </c>
      <c r="U103" s="133"/>
      <c r="V103" s="842"/>
      <c r="W103" s="842"/>
      <c r="X103" s="842"/>
      <c r="Y103" s="132">
        <f t="shared" si="10"/>
        <v>567</v>
      </c>
      <c r="Z103" s="132">
        <f t="shared" si="11"/>
        <v>28.35</v>
      </c>
      <c r="AA103" s="132">
        <f t="shared" si="12"/>
        <v>595.35</v>
      </c>
      <c r="AB103" s="133">
        <v>33794</v>
      </c>
      <c r="AC103" s="141"/>
      <c r="AD103" s="210"/>
    </row>
    <row r="104" spans="1:30" s="136" customFormat="1">
      <c r="A104" s="157">
        <v>42255</v>
      </c>
      <c r="B104" s="667">
        <v>86</v>
      </c>
      <c r="C104" s="133">
        <v>8</v>
      </c>
      <c r="D104" s="133"/>
      <c r="E104" s="133"/>
      <c r="F104" s="133"/>
      <c r="G104" s="133"/>
      <c r="H104" s="133"/>
      <c r="I104" s="133"/>
      <c r="J104" s="133"/>
      <c r="K104" s="842"/>
      <c r="L104" s="133">
        <v>2</v>
      </c>
      <c r="M104" s="133"/>
      <c r="N104" s="133"/>
      <c r="O104" s="133"/>
      <c r="P104" s="133"/>
      <c r="Q104" s="133"/>
      <c r="R104" s="133">
        <f t="shared" si="8"/>
        <v>10</v>
      </c>
      <c r="S104" s="133"/>
      <c r="T104" s="133">
        <f t="shared" si="9"/>
        <v>0</v>
      </c>
      <c r="U104" s="133"/>
      <c r="V104" s="842"/>
      <c r="W104" s="842"/>
      <c r="X104" s="842"/>
      <c r="Y104" s="132">
        <f t="shared" si="10"/>
        <v>981</v>
      </c>
      <c r="Z104" s="132">
        <f t="shared" si="11"/>
        <v>49.050000000000004</v>
      </c>
      <c r="AA104" s="132">
        <f t="shared" si="12"/>
        <v>1030.05</v>
      </c>
      <c r="AB104" s="133">
        <v>33794</v>
      </c>
      <c r="AC104" s="141"/>
      <c r="AD104" s="210"/>
    </row>
    <row r="105" spans="1:30" s="136" customFormat="1">
      <c r="A105" s="157">
        <v>42256</v>
      </c>
      <c r="B105" s="667">
        <v>87</v>
      </c>
      <c r="C105" s="133">
        <v>2</v>
      </c>
      <c r="D105" s="133"/>
      <c r="E105" s="133"/>
      <c r="F105" s="133"/>
      <c r="G105" s="133"/>
      <c r="H105" s="133"/>
      <c r="I105" s="133"/>
      <c r="J105" s="133"/>
      <c r="K105" s="842"/>
      <c r="L105" s="133"/>
      <c r="M105" s="133"/>
      <c r="N105" s="133"/>
      <c r="O105" s="133"/>
      <c r="P105" s="133"/>
      <c r="Q105" s="133"/>
      <c r="R105" s="133">
        <f t="shared" si="8"/>
        <v>2</v>
      </c>
      <c r="S105" s="133"/>
      <c r="T105" s="133">
        <f t="shared" si="9"/>
        <v>0</v>
      </c>
      <c r="U105" s="133"/>
      <c r="V105" s="842"/>
      <c r="W105" s="842"/>
      <c r="X105" s="842"/>
      <c r="Y105" s="132">
        <f t="shared" si="10"/>
        <v>189</v>
      </c>
      <c r="Z105" s="132">
        <f t="shared" si="11"/>
        <v>9.4500000000000011</v>
      </c>
      <c r="AA105" s="132">
        <f t="shared" si="12"/>
        <v>198.45</v>
      </c>
      <c r="AB105" s="133">
        <v>33794</v>
      </c>
      <c r="AC105" s="141"/>
      <c r="AD105" s="210"/>
    </row>
    <row r="106" spans="1:30" s="136" customFormat="1">
      <c r="A106" s="157">
        <v>42257</v>
      </c>
      <c r="B106" s="667">
        <v>88</v>
      </c>
      <c r="C106" s="133">
        <v>6</v>
      </c>
      <c r="D106" s="133"/>
      <c r="E106" s="133">
        <v>12</v>
      </c>
      <c r="F106" s="133">
        <f>10.5+10</f>
        <v>20.5</v>
      </c>
      <c r="G106" s="133"/>
      <c r="H106" s="133"/>
      <c r="I106" s="133"/>
      <c r="J106" s="133"/>
      <c r="K106" s="842"/>
      <c r="L106" s="133"/>
      <c r="M106" s="133"/>
      <c r="N106" s="133">
        <v>2</v>
      </c>
      <c r="O106" s="133"/>
      <c r="P106" s="133">
        <v>32.5</v>
      </c>
      <c r="Q106" s="133"/>
      <c r="R106" s="133">
        <f t="shared" si="8"/>
        <v>38.5</v>
      </c>
      <c r="S106" s="133"/>
      <c r="T106" s="133">
        <f t="shared" si="9"/>
        <v>0</v>
      </c>
      <c r="U106" s="133"/>
      <c r="V106" s="842"/>
      <c r="W106" s="842"/>
      <c r="X106" s="842"/>
      <c r="Y106" s="132">
        <f t="shared" si="10"/>
        <v>6508.5</v>
      </c>
      <c r="Z106" s="132">
        <f t="shared" si="11"/>
        <v>325.42500000000001</v>
      </c>
      <c r="AA106" s="132">
        <f t="shared" si="12"/>
        <v>6833.9250000000002</v>
      </c>
      <c r="AB106" s="133">
        <v>33794</v>
      </c>
      <c r="AC106" s="141"/>
      <c r="AD106" s="210"/>
    </row>
    <row r="107" spans="1:30" s="136" customFormat="1">
      <c r="A107" s="157">
        <v>42258</v>
      </c>
      <c r="B107" s="667">
        <v>89</v>
      </c>
      <c r="C107" s="133">
        <v>11</v>
      </c>
      <c r="D107" s="133"/>
      <c r="E107" s="133">
        <v>10</v>
      </c>
      <c r="F107" s="133">
        <f>10+10.5+12+12</f>
        <v>44.5</v>
      </c>
      <c r="G107" s="133"/>
      <c r="H107" s="133"/>
      <c r="I107" s="133"/>
      <c r="J107" s="133"/>
      <c r="K107" s="842"/>
      <c r="L107" s="133"/>
      <c r="M107" s="133"/>
      <c r="N107" s="844">
        <v>3</v>
      </c>
      <c r="O107" s="133"/>
      <c r="P107" s="133">
        <v>54.5</v>
      </c>
      <c r="Q107" s="133"/>
      <c r="R107" s="133">
        <f t="shared" si="8"/>
        <v>65.5</v>
      </c>
      <c r="S107" s="133"/>
      <c r="T107" s="133">
        <f t="shared" si="9"/>
        <v>0</v>
      </c>
      <c r="U107" s="133"/>
      <c r="V107" s="842"/>
      <c r="W107" s="842"/>
      <c r="X107" s="842"/>
      <c r="Y107" s="132">
        <f t="shared" si="10"/>
        <v>11236</v>
      </c>
      <c r="Z107" s="132">
        <f t="shared" si="11"/>
        <v>561.80000000000007</v>
      </c>
      <c r="AA107" s="132">
        <f t="shared" si="12"/>
        <v>11797.8</v>
      </c>
      <c r="AB107" s="133">
        <v>33794</v>
      </c>
      <c r="AC107" s="141"/>
      <c r="AD107" s="210"/>
    </row>
    <row r="108" spans="1:30" s="136" customFormat="1">
      <c r="A108" s="157">
        <v>42259</v>
      </c>
      <c r="B108" s="841">
        <v>90</v>
      </c>
      <c r="C108" s="133"/>
      <c r="D108" s="133"/>
      <c r="E108" s="133">
        <v>4</v>
      </c>
      <c r="F108" s="133">
        <f>11+10+12</f>
        <v>33</v>
      </c>
      <c r="G108" s="131"/>
      <c r="H108" s="133"/>
      <c r="I108" s="133"/>
      <c r="J108" s="133"/>
      <c r="K108" s="842"/>
      <c r="L108" s="133"/>
      <c r="M108" s="133"/>
      <c r="N108" s="133">
        <v>3</v>
      </c>
      <c r="O108" s="133"/>
      <c r="P108" s="133">
        <v>33</v>
      </c>
      <c r="Q108" s="133">
        <v>160</v>
      </c>
      <c r="R108" s="133">
        <f t="shared" si="8"/>
        <v>37</v>
      </c>
      <c r="S108" s="131"/>
      <c r="T108" s="133">
        <f t="shared" si="9"/>
        <v>160</v>
      </c>
      <c r="U108" s="133"/>
      <c r="V108" s="842"/>
      <c r="W108" s="842"/>
      <c r="X108" s="842"/>
      <c r="Y108" s="132">
        <f t="shared" si="10"/>
        <v>7601</v>
      </c>
      <c r="Z108" s="132">
        <f t="shared" si="11"/>
        <v>380.05</v>
      </c>
      <c r="AA108" s="132">
        <f t="shared" si="12"/>
        <v>7981.05</v>
      </c>
      <c r="AB108" s="133">
        <v>33794</v>
      </c>
      <c r="AC108" s="141"/>
      <c r="AD108" s="210"/>
    </row>
    <row r="109" spans="1:30" s="136" customFormat="1">
      <c r="A109" s="157">
        <v>42260</v>
      </c>
      <c r="B109" s="841">
        <v>91</v>
      </c>
      <c r="C109" s="133"/>
      <c r="D109" s="133"/>
      <c r="E109" s="133">
        <v>6</v>
      </c>
      <c r="F109" s="133">
        <v>31</v>
      </c>
      <c r="G109" s="131">
        <v>10</v>
      </c>
      <c r="H109" s="133"/>
      <c r="I109" s="133"/>
      <c r="J109" s="131"/>
      <c r="K109" s="848"/>
      <c r="L109" s="133"/>
      <c r="M109" s="133"/>
      <c r="N109" s="133">
        <v>3</v>
      </c>
      <c r="O109" s="133"/>
      <c r="P109" s="133">
        <v>37</v>
      </c>
      <c r="Q109" s="133">
        <v>210</v>
      </c>
      <c r="R109" s="133">
        <f t="shared" si="8"/>
        <v>47</v>
      </c>
      <c r="S109" s="131"/>
      <c r="T109" s="133">
        <f t="shared" si="9"/>
        <v>210</v>
      </c>
      <c r="U109" s="133"/>
      <c r="V109" s="842"/>
      <c r="W109" s="842"/>
      <c r="X109" s="842"/>
      <c r="Y109" s="132">
        <f t="shared" si="10"/>
        <v>8567</v>
      </c>
      <c r="Z109" s="132">
        <f t="shared" si="11"/>
        <v>428.35</v>
      </c>
      <c r="AA109" s="132">
        <f t="shared" si="12"/>
        <v>8995.35</v>
      </c>
      <c r="AB109" s="133">
        <v>33794</v>
      </c>
      <c r="AC109" s="141"/>
      <c r="AD109" s="210"/>
    </row>
    <row r="110" spans="1:30" s="136" customFormat="1">
      <c r="A110" s="157">
        <v>42261</v>
      </c>
      <c r="B110" s="841">
        <v>92</v>
      </c>
      <c r="C110" s="133">
        <v>12</v>
      </c>
      <c r="D110" s="133">
        <v>1</v>
      </c>
      <c r="E110" s="133">
        <v>11</v>
      </c>
      <c r="F110" s="133">
        <f>5+6+11.5+11.5</f>
        <v>34</v>
      </c>
      <c r="G110" s="131">
        <f>12+9.5</f>
        <v>21.5</v>
      </c>
      <c r="H110" s="133"/>
      <c r="I110" s="133"/>
      <c r="J110" s="131"/>
      <c r="K110" s="848"/>
      <c r="L110" s="133">
        <v>5</v>
      </c>
      <c r="M110" s="133">
        <v>1</v>
      </c>
      <c r="N110" s="133">
        <v>3</v>
      </c>
      <c r="O110" s="133"/>
      <c r="P110" s="133">
        <v>66.5</v>
      </c>
      <c r="Q110" s="133"/>
      <c r="R110" s="133">
        <f t="shared" si="8"/>
        <v>84.5</v>
      </c>
      <c r="S110" s="131"/>
      <c r="T110" s="133">
        <f t="shared" si="9"/>
        <v>0</v>
      </c>
      <c r="U110" s="133"/>
      <c r="V110" s="842"/>
      <c r="W110" s="842"/>
      <c r="X110" s="842"/>
      <c r="Y110" s="132">
        <f t="shared" si="10"/>
        <v>12935.5</v>
      </c>
      <c r="Z110" s="132">
        <f t="shared" si="11"/>
        <v>646.77500000000009</v>
      </c>
      <c r="AA110" s="132">
        <f t="shared" si="12"/>
        <v>13582.275</v>
      </c>
      <c r="AB110" s="133">
        <v>33794</v>
      </c>
      <c r="AC110" s="141"/>
      <c r="AD110" s="210"/>
    </row>
    <row r="111" spans="1:30" s="136" customFormat="1">
      <c r="A111" s="157">
        <v>42262</v>
      </c>
      <c r="B111" s="841">
        <v>93</v>
      </c>
      <c r="C111" s="133">
        <v>5</v>
      </c>
      <c r="D111" s="133">
        <v>0.5</v>
      </c>
      <c r="E111" s="133">
        <v>8</v>
      </c>
      <c r="F111" s="133">
        <f>4+8+6</f>
        <v>18</v>
      </c>
      <c r="G111" s="131"/>
      <c r="H111" s="133"/>
      <c r="I111" s="133"/>
      <c r="J111" s="133"/>
      <c r="K111" s="842"/>
      <c r="L111" s="133">
        <v>3</v>
      </c>
      <c r="M111" s="133"/>
      <c r="N111" s="133">
        <v>1</v>
      </c>
      <c r="O111" s="133">
        <v>2</v>
      </c>
      <c r="P111" s="133">
        <v>8</v>
      </c>
      <c r="Q111" s="133">
        <v>435</v>
      </c>
      <c r="R111" s="133">
        <f t="shared" si="8"/>
        <v>34.5</v>
      </c>
      <c r="S111" s="131"/>
      <c r="T111" s="133">
        <f t="shared" si="9"/>
        <v>435</v>
      </c>
      <c r="U111" s="133"/>
      <c r="V111" s="842"/>
      <c r="W111" s="842"/>
      <c r="X111" s="842"/>
      <c r="Y111" s="132">
        <f t="shared" si="10"/>
        <v>5937.5</v>
      </c>
      <c r="Z111" s="132">
        <f t="shared" si="11"/>
        <v>296.875</v>
      </c>
      <c r="AA111" s="132">
        <f t="shared" si="12"/>
        <v>6234.375</v>
      </c>
      <c r="AB111" s="133">
        <v>33794</v>
      </c>
      <c r="AC111" s="141"/>
      <c r="AD111" s="210"/>
    </row>
    <row r="112" spans="1:30" s="136" customFormat="1">
      <c r="A112" s="157">
        <v>42263</v>
      </c>
      <c r="B112" s="841">
        <v>94</v>
      </c>
      <c r="C112" s="133">
        <v>12</v>
      </c>
      <c r="D112" s="133">
        <v>0.5</v>
      </c>
      <c r="E112" s="133">
        <v>8</v>
      </c>
      <c r="F112" s="133">
        <v>11.5</v>
      </c>
      <c r="G112" s="131"/>
      <c r="H112" s="133"/>
      <c r="I112" s="133"/>
      <c r="J112" s="131"/>
      <c r="K112" s="848"/>
      <c r="L112" s="133">
        <v>2</v>
      </c>
      <c r="M112" s="133"/>
      <c r="N112" s="133">
        <v>1</v>
      </c>
      <c r="O112" s="133"/>
      <c r="P112" s="133">
        <v>11.5</v>
      </c>
      <c r="Q112" s="133">
        <v>180</v>
      </c>
      <c r="R112" s="133">
        <f t="shared" si="8"/>
        <v>34</v>
      </c>
      <c r="S112" s="131"/>
      <c r="T112" s="133">
        <f t="shared" si="9"/>
        <v>180</v>
      </c>
      <c r="U112" s="133"/>
      <c r="V112" s="842"/>
      <c r="W112" s="842"/>
      <c r="X112" s="842"/>
      <c r="Y112" s="132">
        <f t="shared" si="10"/>
        <v>4850.5</v>
      </c>
      <c r="Z112" s="132">
        <f t="shared" si="11"/>
        <v>242.52500000000001</v>
      </c>
      <c r="AA112" s="132">
        <f t="shared" si="12"/>
        <v>5093.0249999999996</v>
      </c>
      <c r="AB112" s="133">
        <v>33794</v>
      </c>
      <c r="AC112" s="141"/>
      <c r="AD112" s="210"/>
    </row>
    <row r="113" spans="1:31" s="136" customFormat="1">
      <c r="A113" s="157">
        <v>42264</v>
      </c>
      <c r="B113" s="841">
        <v>95</v>
      </c>
      <c r="C113" s="133">
        <v>12</v>
      </c>
      <c r="D113" s="133">
        <v>1</v>
      </c>
      <c r="E113" s="133">
        <v>11</v>
      </c>
      <c r="F113" s="133">
        <f>10.5+11</f>
        <v>21.5</v>
      </c>
      <c r="G113" s="131">
        <v>8</v>
      </c>
      <c r="H113" s="133"/>
      <c r="I113" s="133"/>
      <c r="J113" s="131"/>
      <c r="K113" s="848"/>
      <c r="L113" s="133">
        <v>2</v>
      </c>
      <c r="M113" s="133"/>
      <c r="N113" s="133">
        <v>2</v>
      </c>
      <c r="O113" s="133"/>
      <c r="P113" s="133">
        <v>21.5</v>
      </c>
      <c r="Q113" s="133">
        <f>229+260</f>
        <v>489</v>
      </c>
      <c r="R113" s="133">
        <f t="shared" si="8"/>
        <v>55.5</v>
      </c>
      <c r="S113" s="131"/>
      <c r="T113" s="133">
        <f t="shared" si="9"/>
        <v>489</v>
      </c>
      <c r="U113" s="133"/>
      <c r="V113" s="842"/>
      <c r="W113" s="842"/>
      <c r="X113" s="842"/>
      <c r="Y113" s="132">
        <f t="shared" si="10"/>
        <v>8435.9</v>
      </c>
      <c r="Z113" s="132">
        <f t="shared" si="11"/>
        <v>421.79500000000002</v>
      </c>
      <c r="AA113" s="132">
        <f t="shared" si="12"/>
        <v>8857.6949999999997</v>
      </c>
      <c r="AB113" s="133">
        <v>33794</v>
      </c>
      <c r="AC113" s="141"/>
      <c r="AD113" s="210"/>
    </row>
    <row r="114" spans="1:31" s="136" customFormat="1">
      <c r="A114" s="157">
        <v>42265</v>
      </c>
      <c r="B114" s="667">
        <v>96</v>
      </c>
      <c r="C114" s="133">
        <v>5</v>
      </c>
      <c r="D114" s="133"/>
      <c r="E114" s="133">
        <v>11</v>
      </c>
      <c r="F114" s="133">
        <v>22.5</v>
      </c>
      <c r="G114" s="133"/>
      <c r="H114" s="133"/>
      <c r="I114" s="133"/>
      <c r="J114" s="133"/>
      <c r="K114" s="842"/>
      <c r="L114" s="133"/>
      <c r="M114" s="133"/>
      <c r="N114" s="133">
        <v>2</v>
      </c>
      <c r="O114" s="133"/>
      <c r="P114" s="133">
        <v>22.5</v>
      </c>
      <c r="Q114" s="133">
        <v>250</v>
      </c>
      <c r="R114" s="133">
        <f t="shared" si="8"/>
        <v>38.5</v>
      </c>
      <c r="S114" s="133"/>
      <c r="T114" s="133">
        <f t="shared" si="9"/>
        <v>250</v>
      </c>
      <c r="U114" s="133"/>
      <c r="V114" s="842"/>
      <c r="W114" s="842"/>
      <c r="X114" s="842"/>
      <c r="Y114" s="132">
        <f t="shared" si="10"/>
        <v>6643.5</v>
      </c>
      <c r="Z114" s="132">
        <f t="shared" si="11"/>
        <v>332.17500000000001</v>
      </c>
      <c r="AA114" s="132">
        <f t="shared" si="12"/>
        <v>6975.6750000000002</v>
      </c>
      <c r="AB114" s="133">
        <v>33794</v>
      </c>
      <c r="AC114" s="141"/>
      <c r="AD114" s="210"/>
    </row>
    <row r="115" spans="1:31" s="136" customFormat="1">
      <c r="A115" s="157">
        <v>42266</v>
      </c>
      <c r="B115" s="667">
        <v>97</v>
      </c>
      <c r="C115" s="133">
        <v>8</v>
      </c>
      <c r="D115" s="133"/>
      <c r="E115" s="133">
        <v>12</v>
      </c>
      <c r="F115" s="133">
        <v>36</v>
      </c>
      <c r="G115" s="133"/>
      <c r="H115" s="133"/>
      <c r="I115" s="133"/>
      <c r="J115" s="133"/>
      <c r="K115" s="842"/>
      <c r="L115" s="133"/>
      <c r="M115" s="133"/>
      <c r="N115" s="133">
        <v>2</v>
      </c>
      <c r="O115" s="133"/>
      <c r="P115" s="133">
        <v>36</v>
      </c>
      <c r="Q115" s="133">
        <v>260</v>
      </c>
      <c r="R115" s="133">
        <f t="shared" si="8"/>
        <v>56</v>
      </c>
      <c r="S115" s="133"/>
      <c r="T115" s="133">
        <f t="shared" si="9"/>
        <v>260</v>
      </c>
      <c r="U115" s="133"/>
      <c r="V115" s="842"/>
      <c r="W115" s="842"/>
      <c r="X115" s="842"/>
      <c r="Y115" s="132">
        <f t="shared" si="10"/>
        <v>9296</v>
      </c>
      <c r="Z115" s="132">
        <f t="shared" si="11"/>
        <v>464.8</v>
      </c>
      <c r="AA115" s="132">
        <f t="shared" si="12"/>
        <v>9760.7999999999993</v>
      </c>
      <c r="AB115" s="133">
        <v>33794</v>
      </c>
      <c r="AC115" s="141"/>
      <c r="AD115" s="210"/>
    </row>
    <row r="116" spans="1:31" s="136" customFormat="1">
      <c r="A116" s="157">
        <v>42267</v>
      </c>
      <c r="B116" s="667"/>
      <c r="C116" s="133"/>
      <c r="D116" s="133"/>
      <c r="E116" s="133"/>
      <c r="F116" s="133"/>
      <c r="G116" s="133"/>
      <c r="H116" s="133"/>
      <c r="I116" s="133"/>
      <c r="J116" s="133"/>
      <c r="K116" s="842"/>
      <c r="L116" s="133"/>
      <c r="M116" s="133"/>
      <c r="N116" s="133"/>
      <c r="O116" s="133"/>
      <c r="P116" s="133"/>
      <c r="Q116" s="133"/>
      <c r="R116" s="133">
        <f t="shared" si="8"/>
        <v>0</v>
      </c>
      <c r="S116" s="133"/>
      <c r="T116" s="133">
        <f t="shared" si="9"/>
        <v>0</v>
      </c>
      <c r="U116" s="133"/>
      <c r="V116" s="842"/>
      <c r="W116" s="842"/>
      <c r="X116" s="842"/>
      <c r="Y116" s="132">
        <f t="shared" si="10"/>
        <v>0</v>
      </c>
      <c r="Z116" s="132">
        <f t="shared" si="11"/>
        <v>0</v>
      </c>
      <c r="AA116" s="132">
        <f t="shared" si="12"/>
        <v>0</v>
      </c>
      <c r="AB116" s="133">
        <v>33794</v>
      </c>
      <c r="AC116" s="141"/>
      <c r="AD116" s="210"/>
    </row>
    <row r="117" spans="1:31" s="136" customFormat="1">
      <c r="A117" s="157">
        <v>42268</v>
      </c>
      <c r="B117" s="667">
        <v>98</v>
      </c>
      <c r="C117" s="133">
        <v>12</v>
      </c>
      <c r="D117" s="133"/>
      <c r="E117" s="133">
        <v>11</v>
      </c>
      <c r="F117" s="133">
        <v>33.5</v>
      </c>
      <c r="G117" s="133">
        <v>12</v>
      </c>
      <c r="H117" s="133"/>
      <c r="I117" s="133"/>
      <c r="J117" s="133"/>
      <c r="K117" s="842"/>
      <c r="L117" s="133">
        <v>4</v>
      </c>
      <c r="M117" s="133"/>
      <c r="N117" s="133">
        <v>3</v>
      </c>
      <c r="O117" s="133"/>
      <c r="P117" s="133">
        <v>56.5</v>
      </c>
      <c r="Q117" s="133"/>
      <c r="R117" s="133">
        <f t="shared" si="8"/>
        <v>72.5</v>
      </c>
      <c r="S117" s="133"/>
      <c r="T117" s="133">
        <f t="shared" si="9"/>
        <v>0</v>
      </c>
      <c r="U117" s="133"/>
      <c r="V117" s="842"/>
      <c r="W117" s="842"/>
      <c r="X117" s="842"/>
      <c r="Y117" s="132">
        <f t="shared" si="10"/>
        <v>11426</v>
      </c>
      <c r="Z117" s="132">
        <f t="shared" si="11"/>
        <v>571.30000000000007</v>
      </c>
      <c r="AA117" s="132">
        <f t="shared" si="12"/>
        <v>11997.3</v>
      </c>
      <c r="AB117" s="133">
        <v>33794</v>
      </c>
      <c r="AC117" s="141"/>
      <c r="AD117" s="210"/>
    </row>
    <row r="118" spans="1:31" s="136" customFormat="1">
      <c r="A118" s="157">
        <v>42269</v>
      </c>
      <c r="B118" s="667">
        <v>99</v>
      </c>
      <c r="C118" s="133">
        <v>12</v>
      </c>
      <c r="D118" s="133"/>
      <c r="E118" s="133">
        <v>11</v>
      </c>
      <c r="F118" s="133">
        <v>27.5</v>
      </c>
      <c r="G118" s="133">
        <v>11</v>
      </c>
      <c r="H118" s="133"/>
      <c r="I118" s="133"/>
      <c r="J118" s="133"/>
      <c r="K118" s="842"/>
      <c r="L118" s="133">
        <v>2</v>
      </c>
      <c r="M118" s="133"/>
      <c r="N118" s="133">
        <v>2</v>
      </c>
      <c r="O118" s="133"/>
      <c r="P118" s="133">
        <v>49.5</v>
      </c>
      <c r="Q118" s="133"/>
      <c r="R118" s="133">
        <f t="shared" si="8"/>
        <v>63.5</v>
      </c>
      <c r="S118" s="133"/>
      <c r="T118" s="133">
        <f t="shared" si="9"/>
        <v>0</v>
      </c>
      <c r="U118" s="133"/>
      <c r="V118" s="842"/>
      <c r="W118" s="842"/>
      <c r="X118" s="842"/>
      <c r="Y118" s="132">
        <f t="shared" si="10"/>
        <v>9586</v>
      </c>
      <c r="Z118" s="132">
        <f t="shared" si="11"/>
        <v>479.3</v>
      </c>
      <c r="AA118" s="132">
        <f t="shared" si="12"/>
        <v>10065.299999999999</v>
      </c>
      <c r="AB118" s="133">
        <v>33794</v>
      </c>
      <c r="AC118" s="141"/>
      <c r="AD118" s="210"/>
    </row>
    <row r="119" spans="1:31" s="136" customFormat="1">
      <c r="A119" s="157">
        <v>42270</v>
      </c>
      <c r="B119" s="667">
        <v>100</v>
      </c>
      <c r="C119" s="133">
        <v>10</v>
      </c>
      <c r="D119" s="133"/>
      <c r="E119" s="133">
        <v>11</v>
      </c>
      <c r="F119" s="133">
        <v>34</v>
      </c>
      <c r="G119" s="133"/>
      <c r="H119" s="133"/>
      <c r="I119" s="133"/>
      <c r="J119" s="133"/>
      <c r="K119" s="842"/>
      <c r="L119" s="133">
        <v>2</v>
      </c>
      <c r="M119" s="133"/>
      <c r="N119" s="133">
        <v>2</v>
      </c>
      <c r="O119" s="133"/>
      <c r="P119" s="133">
        <v>34</v>
      </c>
      <c r="Q119" s="133">
        <v>240</v>
      </c>
      <c r="R119" s="133">
        <f t="shared" si="8"/>
        <v>57</v>
      </c>
      <c r="S119" s="133"/>
      <c r="T119" s="133">
        <f t="shared" si="9"/>
        <v>240</v>
      </c>
      <c r="U119" s="133"/>
      <c r="V119" s="842"/>
      <c r="W119" s="842"/>
      <c r="X119" s="842"/>
      <c r="Y119" s="132">
        <f t="shared" si="10"/>
        <v>9250.5</v>
      </c>
      <c r="Z119" s="132">
        <f t="shared" si="11"/>
        <v>462.52500000000003</v>
      </c>
      <c r="AA119" s="132">
        <f t="shared" si="12"/>
        <v>9713.0249999999996</v>
      </c>
      <c r="AB119" s="133">
        <v>33794</v>
      </c>
      <c r="AC119" s="141"/>
      <c r="AD119" s="850"/>
    </row>
    <row r="120" spans="1:31" s="136" customFormat="1">
      <c r="A120" s="157">
        <v>42271</v>
      </c>
      <c r="B120" s="849">
        <v>101</v>
      </c>
      <c r="C120" s="635">
        <v>9</v>
      </c>
      <c r="D120" s="635"/>
      <c r="E120" s="635">
        <v>6</v>
      </c>
      <c r="F120" s="635">
        <v>34.5</v>
      </c>
      <c r="G120" s="635">
        <v>11</v>
      </c>
      <c r="H120" s="635"/>
      <c r="I120" s="635"/>
      <c r="J120" s="635"/>
      <c r="K120" s="635"/>
      <c r="L120" s="635">
        <v>1</v>
      </c>
      <c r="M120" s="635">
        <v>2</v>
      </c>
      <c r="N120" s="635">
        <v>2</v>
      </c>
      <c r="O120" s="635">
        <v>1</v>
      </c>
      <c r="P120" s="635">
        <v>45.5</v>
      </c>
      <c r="Q120" s="635">
        <v>180</v>
      </c>
      <c r="R120" s="635"/>
      <c r="S120" s="635"/>
      <c r="T120" s="635"/>
      <c r="U120" s="635"/>
      <c r="V120" s="635"/>
      <c r="W120" s="635"/>
      <c r="X120" s="635"/>
      <c r="Y120" s="132">
        <f>SUM(C120*$C$6+D120*$D$6+E120*$E$6+F120*$F$6+G120*$G$6+H120*$H$6+I120*$I$6+J120*$J$6+K120*$K$6+L120*$L$6+M120*$M$6+N120*$N$6+O120*$O$6+P120*$P$6+Q120*$Q$6+U120*$U$6+V120*$V$6+W120*$W$6+X120*$X$6)</f>
        <v>10336.5</v>
      </c>
      <c r="Z120" s="132">
        <f>(Y120*5%)</f>
        <v>516.82500000000005</v>
      </c>
      <c r="AA120" s="132">
        <f>SUM(Y120+Z120)</f>
        <v>10853.325000000001</v>
      </c>
      <c r="AB120" s="133">
        <v>33794</v>
      </c>
      <c r="AC120" s="637"/>
      <c r="AD120" s="850"/>
    </row>
    <row r="121" spans="1:31" s="136" customFormat="1">
      <c r="A121" s="634">
        <v>42272</v>
      </c>
      <c r="B121" s="849" t="s">
        <v>767</v>
      </c>
      <c r="C121" s="635">
        <v>11</v>
      </c>
      <c r="D121" s="635"/>
      <c r="E121" s="635">
        <v>10</v>
      </c>
      <c r="F121" s="635">
        <v>37.5</v>
      </c>
      <c r="G121" s="635"/>
      <c r="H121" s="635"/>
      <c r="I121" s="635"/>
      <c r="J121" s="635"/>
      <c r="K121" s="635"/>
      <c r="L121" s="635">
        <v>3</v>
      </c>
      <c r="M121" s="635">
        <v>2</v>
      </c>
      <c r="N121" s="635">
        <v>3</v>
      </c>
      <c r="O121" s="635"/>
      <c r="P121" s="635">
        <v>47.5</v>
      </c>
      <c r="Q121" s="635"/>
      <c r="R121" s="635"/>
      <c r="S121" s="635"/>
      <c r="T121" s="635"/>
      <c r="U121" s="635">
        <v>0.5</v>
      </c>
      <c r="V121" s="635"/>
      <c r="W121" s="635"/>
      <c r="X121" s="635"/>
      <c r="Y121" s="132">
        <f>SUM(C121*$C$6+D121*$D$6+E121*$E$6+F121*$F$6+G121*$G$6+H121*$H$6+I121*$I$6+J121*$J$6+K121*$K$6+L121*$L$6+M121*$M$6+N121*$N$6+O121*$O$6+P121*$P$6+Q121*$Q$6+U121*$U$6+V121*$V$6+W121*$W$6+X121*$X$6)</f>
        <v>10738.25</v>
      </c>
      <c r="Z121" s="132">
        <f>(Y121*5%)</f>
        <v>536.91250000000002</v>
      </c>
      <c r="AA121" s="132">
        <f>SUM(Y121+Z121)</f>
        <v>11275.1625</v>
      </c>
      <c r="AB121" s="133">
        <v>33794</v>
      </c>
      <c r="AC121" s="637"/>
      <c r="AD121" s="850"/>
    </row>
    <row r="122" spans="1:31" s="136" customFormat="1">
      <c r="A122" s="634">
        <v>42273</v>
      </c>
      <c r="B122" s="849">
        <v>102</v>
      </c>
      <c r="C122" s="635">
        <v>7</v>
      </c>
      <c r="D122" s="635"/>
      <c r="E122" s="635"/>
      <c r="F122" s="635">
        <v>36.5</v>
      </c>
      <c r="G122" s="635"/>
      <c r="H122" s="635"/>
      <c r="I122" s="635"/>
      <c r="J122" s="635"/>
      <c r="K122" s="635"/>
      <c r="L122" s="635"/>
      <c r="M122" s="635">
        <v>2</v>
      </c>
      <c r="N122" s="635">
        <v>2</v>
      </c>
      <c r="O122" s="635">
        <v>1</v>
      </c>
      <c r="P122" s="635">
        <v>36.5</v>
      </c>
      <c r="Q122" s="635"/>
      <c r="R122" s="635"/>
      <c r="S122" s="635"/>
      <c r="T122" s="635"/>
      <c r="U122" s="635"/>
      <c r="V122" s="635"/>
      <c r="W122" s="635"/>
      <c r="X122" s="635"/>
      <c r="Y122" s="132">
        <f>SUM(C122*$C$6+D122*$D$6+E122*$E$6+F122*$F$6+G122*$G$6+H122*$H$6+I122*$I$6+J122*$J$6+K122*$K$6+L122*$L$6+M122*$M$6+N122*$N$6+O122*$O$6+P122*$P$6+Q122*$Q$6+U122*$U$6+V122*$V$6+W122*$W$6+X122*$X$6)</f>
        <v>8307</v>
      </c>
      <c r="Z122" s="132">
        <f>(Y122*5%)</f>
        <v>415.35</v>
      </c>
      <c r="AA122" s="132">
        <f>SUM(Y122+Z122)</f>
        <v>8722.35</v>
      </c>
      <c r="AB122" s="133">
        <v>33794</v>
      </c>
      <c r="AC122" s="637"/>
      <c r="AD122" s="210"/>
      <c r="AE122" s="146"/>
    </row>
    <row r="123" spans="1:31" s="136" customFormat="1">
      <c r="A123" s="157">
        <v>42275</v>
      </c>
      <c r="B123" s="667">
        <v>104</v>
      </c>
      <c r="C123" s="131">
        <v>12</v>
      </c>
      <c r="D123" s="133"/>
      <c r="E123" s="133">
        <v>12</v>
      </c>
      <c r="F123" s="133">
        <v>29.5</v>
      </c>
      <c r="G123" s="133"/>
      <c r="H123" s="133"/>
      <c r="I123" s="133"/>
      <c r="J123" s="133"/>
      <c r="K123" s="842"/>
      <c r="L123" s="133"/>
      <c r="M123" s="133"/>
      <c r="N123" s="133">
        <v>3</v>
      </c>
      <c r="O123" s="133"/>
      <c r="P123" s="133">
        <v>35.5</v>
      </c>
      <c r="Q123" s="133">
        <v>220</v>
      </c>
      <c r="R123" s="133"/>
      <c r="S123" s="133"/>
      <c r="T123" s="133">
        <f t="shared" si="9"/>
        <v>220</v>
      </c>
      <c r="U123" s="133">
        <v>0.25</v>
      </c>
      <c r="V123" s="842"/>
      <c r="W123" s="842"/>
      <c r="X123" s="842"/>
      <c r="Y123" s="132">
        <f>SUM(C123*$C$6+D123*$D$6+E123*$E$6+F123*$F$6+G123*$G$6+H123*$H$6+I123*$I$6+J123*$J$6+K123*$K$6+L123*$L$6+M123*$M$6+N123*$N$6+O123*$O$6+P123*$P$6+Q123*$Q$6+U123*$U$6+V123*$V$6+W123*$W$6+X123*$X$6)</f>
        <v>9199.375</v>
      </c>
      <c r="Z123" s="132">
        <f>(Y123*5%)</f>
        <v>459.96875</v>
      </c>
      <c r="AA123" s="132">
        <f>SUM(Y123+Z123)</f>
        <v>9659.34375</v>
      </c>
      <c r="AB123" s="133">
        <v>33794</v>
      </c>
      <c r="AC123" s="141"/>
      <c r="AD123" s="210"/>
    </row>
    <row r="124" spans="1:31" s="136" customFormat="1">
      <c r="A124" s="157">
        <v>42276</v>
      </c>
      <c r="B124" s="667">
        <v>105</v>
      </c>
      <c r="C124" s="133">
        <v>14</v>
      </c>
      <c r="D124" s="133"/>
      <c r="E124" s="133">
        <v>12</v>
      </c>
      <c r="F124" s="133">
        <v>21.5</v>
      </c>
      <c r="G124" s="133"/>
      <c r="H124" s="133"/>
      <c r="I124" s="133"/>
      <c r="J124" s="133"/>
      <c r="K124" s="842"/>
      <c r="L124" s="133"/>
      <c r="M124" s="133"/>
      <c r="N124" s="133">
        <v>2</v>
      </c>
      <c r="O124" s="133"/>
      <c r="P124" s="133">
        <v>33.5</v>
      </c>
      <c r="Q124" s="133"/>
      <c r="R124" s="133">
        <f t="shared" si="8"/>
        <v>47.5</v>
      </c>
      <c r="S124" s="133"/>
      <c r="T124" s="133">
        <f t="shared" si="9"/>
        <v>0</v>
      </c>
      <c r="U124" s="133"/>
      <c r="V124" s="842"/>
      <c r="W124" s="842"/>
      <c r="X124" s="842"/>
      <c r="Y124" s="132">
        <f t="shared" si="10"/>
        <v>7431.5</v>
      </c>
      <c r="Z124" s="132">
        <f t="shared" si="11"/>
        <v>371.57500000000005</v>
      </c>
      <c r="AA124" s="132">
        <f t="shared" si="12"/>
        <v>7803.0749999999998</v>
      </c>
      <c r="AB124" s="133">
        <v>33794</v>
      </c>
      <c r="AC124" s="141"/>
      <c r="AD124" s="210"/>
    </row>
    <row r="125" spans="1:31" s="136" customFormat="1">
      <c r="A125" s="157">
        <v>42277</v>
      </c>
      <c r="B125" s="667" t="s">
        <v>751</v>
      </c>
      <c r="C125" s="133">
        <v>10.5</v>
      </c>
      <c r="D125" s="133"/>
      <c r="E125" s="133">
        <v>12</v>
      </c>
      <c r="F125" s="133">
        <v>22</v>
      </c>
      <c r="G125" s="133">
        <v>11</v>
      </c>
      <c r="H125" s="133"/>
      <c r="I125" s="133"/>
      <c r="J125" s="133"/>
      <c r="K125" s="842"/>
      <c r="L125" s="133">
        <v>2</v>
      </c>
      <c r="M125" s="133"/>
      <c r="N125" s="133">
        <v>2</v>
      </c>
      <c r="O125" s="133"/>
      <c r="P125" s="133">
        <v>45</v>
      </c>
      <c r="Q125" s="133"/>
      <c r="R125" s="133">
        <f t="shared" si="8"/>
        <v>57.5</v>
      </c>
      <c r="S125" s="133"/>
      <c r="T125" s="133">
        <f t="shared" si="9"/>
        <v>0</v>
      </c>
      <c r="U125" s="133"/>
      <c r="V125" s="842"/>
      <c r="W125" s="842"/>
      <c r="X125" s="842"/>
      <c r="Y125" s="132">
        <f t="shared" si="10"/>
        <v>8652.25</v>
      </c>
      <c r="Z125" s="132">
        <f t="shared" si="11"/>
        <v>432.61250000000001</v>
      </c>
      <c r="AA125" s="132">
        <f t="shared" si="12"/>
        <v>9084.8624999999993</v>
      </c>
      <c r="AB125" s="133">
        <v>33794</v>
      </c>
      <c r="AC125" s="141"/>
      <c r="AD125" s="855"/>
    </row>
    <row r="126" spans="1:31" s="136" customFormat="1">
      <c r="A126" s="851">
        <v>42277</v>
      </c>
      <c r="B126" s="852" t="s">
        <v>768</v>
      </c>
      <c r="C126" s="853"/>
      <c r="D126" s="853"/>
      <c r="E126" s="853"/>
      <c r="F126" s="853"/>
      <c r="G126" s="853"/>
      <c r="H126" s="853"/>
      <c r="I126" s="853"/>
      <c r="J126" s="853"/>
      <c r="K126" s="853"/>
      <c r="L126" s="853"/>
      <c r="M126" s="853"/>
      <c r="N126" s="853"/>
      <c r="O126" s="853"/>
      <c r="P126" s="853"/>
      <c r="Q126" s="853"/>
      <c r="R126" s="853"/>
      <c r="S126" s="853"/>
      <c r="T126" s="853"/>
      <c r="U126" s="853"/>
      <c r="V126" s="853"/>
      <c r="W126" s="853"/>
      <c r="X126" s="853"/>
      <c r="Y126" s="811">
        <v>1800</v>
      </c>
      <c r="Z126" s="132">
        <f>(Y126*5%)</f>
        <v>90</v>
      </c>
      <c r="AA126" s="132">
        <f>SUM(Y126+Z126)</f>
        <v>1890</v>
      </c>
      <c r="AB126" s="133">
        <v>33794</v>
      </c>
      <c r="AC126" s="854"/>
      <c r="AD126" s="855"/>
    </row>
    <row r="127" spans="1:31" s="192" customFormat="1">
      <c r="A127" s="852">
        <v>29352388</v>
      </c>
      <c r="B127" s="856" t="s">
        <v>769</v>
      </c>
      <c r="C127" s="853"/>
      <c r="D127" s="853"/>
      <c r="E127" s="853"/>
      <c r="F127" s="853"/>
      <c r="G127" s="853"/>
      <c r="H127" s="853"/>
      <c r="I127" s="853"/>
      <c r="J127" s="853"/>
      <c r="K127" s="853"/>
      <c r="L127" s="853"/>
      <c r="M127" s="853"/>
      <c r="N127" s="853"/>
      <c r="O127" s="853"/>
      <c r="P127" s="853"/>
      <c r="Q127" s="853"/>
      <c r="R127" s="853"/>
      <c r="S127" s="853"/>
      <c r="T127" s="853"/>
      <c r="U127" s="853"/>
      <c r="V127" s="853"/>
      <c r="W127" s="853"/>
      <c r="X127" s="853"/>
      <c r="Y127" s="811">
        <v>10</v>
      </c>
      <c r="Z127" s="132">
        <f>(Y127*5%)</f>
        <v>0.5</v>
      </c>
      <c r="AA127" s="132">
        <f>SUM(Y127+Z127)</f>
        <v>10.5</v>
      </c>
      <c r="AB127" s="133">
        <v>33794</v>
      </c>
      <c r="AC127" s="854"/>
      <c r="AD127" s="191"/>
    </row>
    <row r="128" spans="1:31" s="192" customFormat="1">
      <c r="A128" s="184">
        <v>42278</v>
      </c>
      <c r="B128" s="501">
        <v>107</v>
      </c>
      <c r="C128" s="186">
        <v>4</v>
      </c>
      <c r="D128" s="186"/>
      <c r="E128" s="186">
        <v>12</v>
      </c>
      <c r="F128" s="186">
        <v>20</v>
      </c>
      <c r="G128" s="186">
        <v>12</v>
      </c>
      <c r="H128" s="186"/>
      <c r="I128" s="186"/>
      <c r="J128" s="186"/>
      <c r="K128" s="672"/>
      <c r="L128" s="186">
        <v>0.5</v>
      </c>
      <c r="M128" s="186"/>
      <c r="N128" s="186">
        <v>2</v>
      </c>
      <c r="O128" s="186"/>
      <c r="P128" s="186">
        <v>44</v>
      </c>
      <c r="Q128" s="186"/>
      <c r="R128" s="186">
        <f t="shared" si="8"/>
        <v>48.5</v>
      </c>
      <c r="S128" s="186"/>
      <c r="T128" s="186">
        <f t="shared" si="9"/>
        <v>0</v>
      </c>
      <c r="U128" s="186"/>
      <c r="V128" s="672"/>
      <c r="W128" s="672"/>
      <c r="X128" s="672"/>
      <c r="Y128" s="188">
        <f t="shared" si="10"/>
        <v>7648.25</v>
      </c>
      <c r="Z128" s="188">
        <f t="shared" si="11"/>
        <v>382.41250000000002</v>
      </c>
      <c r="AA128" s="188">
        <f t="shared" si="12"/>
        <v>8030.6625000000004</v>
      </c>
      <c r="AB128" s="1040">
        <v>34210</v>
      </c>
      <c r="AC128" s="190"/>
      <c r="AD128" s="191"/>
    </row>
    <row r="129" spans="1:30" s="192" customFormat="1">
      <c r="A129" s="184">
        <v>42279</v>
      </c>
      <c r="B129" s="501">
        <v>108</v>
      </c>
      <c r="C129" s="186">
        <v>12</v>
      </c>
      <c r="D129" s="186">
        <v>9</v>
      </c>
      <c r="E129" s="186">
        <v>12</v>
      </c>
      <c r="F129" s="186">
        <v>21</v>
      </c>
      <c r="G129" s="186">
        <v>8</v>
      </c>
      <c r="H129" s="186"/>
      <c r="I129" s="186">
        <v>4</v>
      </c>
      <c r="J129" s="186"/>
      <c r="K129" s="672"/>
      <c r="L129" s="186"/>
      <c r="M129" s="186"/>
      <c r="N129" s="186">
        <v>2</v>
      </c>
      <c r="O129" s="186"/>
      <c r="P129" s="186">
        <v>33</v>
      </c>
      <c r="Q129" s="186"/>
      <c r="R129" s="186">
        <f t="shared" si="8"/>
        <v>66</v>
      </c>
      <c r="S129" s="186"/>
      <c r="T129" s="186">
        <f t="shared" si="9"/>
        <v>0</v>
      </c>
      <c r="U129" s="186"/>
      <c r="V129" s="672"/>
      <c r="W129" s="672"/>
      <c r="X129" s="672"/>
      <c r="Y129" s="188">
        <f t="shared" si="10"/>
        <v>9067</v>
      </c>
      <c r="Z129" s="188">
        <f t="shared" si="11"/>
        <v>453.35</v>
      </c>
      <c r="AA129" s="188">
        <f t="shared" si="12"/>
        <v>9520.35</v>
      </c>
      <c r="AB129" s="1040">
        <v>34210</v>
      </c>
      <c r="AC129" s="190"/>
      <c r="AD129" s="191"/>
    </row>
    <row r="130" spans="1:30" s="192" customFormat="1">
      <c r="A130" s="184">
        <v>42280</v>
      </c>
      <c r="B130" s="501">
        <v>109</v>
      </c>
      <c r="C130" s="186">
        <v>5</v>
      </c>
      <c r="D130" s="186"/>
      <c r="E130" s="186">
        <v>10.5</v>
      </c>
      <c r="F130" s="186">
        <v>23.5</v>
      </c>
      <c r="G130" s="186">
        <v>4</v>
      </c>
      <c r="H130" s="186"/>
      <c r="I130" s="186"/>
      <c r="J130" s="186"/>
      <c r="K130" s="672"/>
      <c r="L130" s="186"/>
      <c r="M130" s="186"/>
      <c r="N130" s="186">
        <v>2</v>
      </c>
      <c r="O130" s="186"/>
      <c r="P130" s="186">
        <v>34</v>
      </c>
      <c r="Q130" s="186"/>
      <c r="R130" s="186">
        <f t="shared" si="8"/>
        <v>43</v>
      </c>
      <c r="S130" s="186"/>
      <c r="T130" s="186">
        <f t="shared" si="9"/>
        <v>0</v>
      </c>
      <c r="U130" s="186"/>
      <c r="V130" s="672"/>
      <c r="W130" s="672"/>
      <c r="X130" s="672"/>
      <c r="Y130" s="188">
        <f t="shared" si="10"/>
        <v>7085.25</v>
      </c>
      <c r="Z130" s="188">
        <f t="shared" si="11"/>
        <v>354.26250000000005</v>
      </c>
      <c r="AA130" s="188">
        <f t="shared" si="12"/>
        <v>7439.5124999999998</v>
      </c>
      <c r="AB130" s="1040">
        <v>34210</v>
      </c>
      <c r="AC130" s="190"/>
      <c r="AD130" s="191"/>
    </row>
    <row r="131" spans="1:30" s="192" customFormat="1">
      <c r="A131" s="184">
        <v>42281</v>
      </c>
      <c r="B131" s="501">
        <v>110</v>
      </c>
      <c r="C131" s="186">
        <v>7</v>
      </c>
      <c r="D131" s="186"/>
      <c r="E131" s="186">
        <v>6</v>
      </c>
      <c r="F131" s="186">
        <v>11.5</v>
      </c>
      <c r="G131" s="186"/>
      <c r="H131" s="186"/>
      <c r="I131" s="186"/>
      <c r="J131" s="186"/>
      <c r="K131" s="672"/>
      <c r="L131" s="186"/>
      <c r="M131" s="186"/>
      <c r="N131" s="186">
        <v>1</v>
      </c>
      <c r="O131" s="186"/>
      <c r="P131" s="186">
        <v>11.5</v>
      </c>
      <c r="Q131" s="186">
        <v>190</v>
      </c>
      <c r="R131" s="186">
        <f t="shared" si="8"/>
        <v>24.5</v>
      </c>
      <c r="S131" s="186"/>
      <c r="T131" s="186">
        <f t="shared" si="9"/>
        <v>190</v>
      </c>
      <c r="U131" s="186"/>
      <c r="V131" s="672"/>
      <c r="W131" s="672"/>
      <c r="X131" s="672"/>
      <c r="Y131" s="188">
        <f t="shared" si="10"/>
        <v>3912</v>
      </c>
      <c r="Z131" s="188">
        <f t="shared" si="11"/>
        <v>195.60000000000002</v>
      </c>
      <c r="AA131" s="188">
        <f t="shared" si="12"/>
        <v>4107.6000000000004</v>
      </c>
      <c r="AB131" s="1040">
        <v>34210</v>
      </c>
      <c r="AC131" s="190"/>
      <c r="AD131" s="191"/>
    </row>
    <row r="132" spans="1:30" s="192" customFormat="1">
      <c r="A132" s="184">
        <v>42282</v>
      </c>
      <c r="B132" s="501">
        <v>111</v>
      </c>
      <c r="C132" s="186">
        <v>12</v>
      </c>
      <c r="D132" s="186">
        <v>5</v>
      </c>
      <c r="E132" s="186">
        <v>12</v>
      </c>
      <c r="F132" s="186">
        <v>21</v>
      </c>
      <c r="G132" s="186"/>
      <c r="H132" s="186"/>
      <c r="I132" s="186">
        <v>7</v>
      </c>
      <c r="J132" s="186"/>
      <c r="K132" s="672"/>
      <c r="L132" s="186">
        <v>2</v>
      </c>
      <c r="M132" s="186"/>
      <c r="N132" s="186">
        <v>2</v>
      </c>
      <c r="O132" s="186"/>
      <c r="P132" s="186">
        <v>23</v>
      </c>
      <c r="Q132" s="186">
        <v>213</v>
      </c>
      <c r="R132" s="186">
        <f t="shared" si="8"/>
        <v>59</v>
      </c>
      <c r="S132" s="186"/>
      <c r="T132" s="186">
        <f t="shared" si="9"/>
        <v>213</v>
      </c>
      <c r="U132" s="186"/>
      <c r="V132" s="672"/>
      <c r="W132" s="672"/>
      <c r="X132" s="672"/>
      <c r="Y132" s="188">
        <f t="shared" si="10"/>
        <v>8499.7999999999993</v>
      </c>
      <c r="Z132" s="188">
        <f t="shared" si="11"/>
        <v>424.99</v>
      </c>
      <c r="AA132" s="188">
        <f t="shared" si="12"/>
        <v>8924.7899999999991</v>
      </c>
      <c r="AB132" s="1040">
        <v>34210</v>
      </c>
      <c r="AC132" s="190"/>
      <c r="AD132" s="191"/>
    </row>
    <row r="133" spans="1:30" s="192" customFormat="1">
      <c r="A133" s="184">
        <v>42283</v>
      </c>
      <c r="B133" s="501">
        <v>112</v>
      </c>
      <c r="C133" s="186">
        <v>7</v>
      </c>
      <c r="D133" s="186">
        <v>5</v>
      </c>
      <c r="E133" s="186">
        <v>11.5</v>
      </c>
      <c r="F133" s="186">
        <v>19.5</v>
      </c>
      <c r="G133" s="186"/>
      <c r="H133" s="186"/>
      <c r="I133" s="186"/>
      <c r="J133" s="186"/>
      <c r="K133" s="672"/>
      <c r="L133" s="186">
        <v>2</v>
      </c>
      <c r="M133" s="186"/>
      <c r="N133" s="186">
        <v>2</v>
      </c>
      <c r="O133" s="186"/>
      <c r="P133" s="186">
        <v>31</v>
      </c>
      <c r="Q133" s="186"/>
      <c r="R133" s="186">
        <f t="shared" si="8"/>
        <v>45</v>
      </c>
      <c r="S133" s="186"/>
      <c r="T133" s="186">
        <f t="shared" si="9"/>
        <v>0</v>
      </c>
      <c r="U133" s="186"/>
      <c r="V133" s="672"/>
      <c r="W133" s="672"/>
      <c r="X133" s="672"/>
      <c r="Y133" s="188">
        <f t="shared" si="10"/>
        <v>7047.75</v>
      </c>
      <c r="Z133" s="188">
        <f t="shared" si="11"/>
        <v>352.38750000000005</v>
      </c>
      <c r="AA133" s="188">
        <f t="shared" si="12"/>
        <v>7400.1374999999998</v>
      </c>
      <c r="AB133" s="1040">
        <v>34210</v>
      </c>
      <c r="AC133" s="190"/>
      <c r="AD133" s="191"/>
    </row>
    <row r="134" spans="1:30" s="192" customFormat="1">
      <c r="A134" s="184">
        <v>42284</v>
      </c>
      <c r="B134" s="501">
        <v>113</v>
      </c>
      <c r="C134" s="186">
        <v>12</v>
      </c>
      <c r="D134" s="186">
        <v>5</v>
      </c>
      <c r="E134" s="186">
        <v>11</v>
      </c>
      <c r="F134" s="186">
        <v>23</v>
      </c>
      <c r="G134" s="186">
        <v>12</v>
      </c>
      <c r="H134" s="186"/>
      <c r="I134" s="186"/>
      <c r="J134" s="186"/>
      <c r="K134" s="672"/>
      <c r="L134" s="186">
        <v>2</v>
      </c>
      <c r="M134" s="186"/>
      <c r="N134" s="186">
        <v>2</v>
      </c>
      <c r="O134" s="186"/>
      <c r="P134" s="186">
        <v>35</v>
      </c>
      <c r="Q134" s="186">
        <v>260</v>
      </c>
      <c r="R134" s="186">
        <f t="shared" si="8"/>
        <v>65</v>
      </c>
      <c r="S134" s="186"/>
      <c r="T134" s="186">
        <f t="shared" si="9"/>
        <v>260</v>
      </c>
      <c r="U134" s="186"/>
      <c r="V134" s="672"/>
      <c r="W134" s="672"/>
      <c r="X134" s="672"/>
      <c r="Y134" s="188">
        <f t="shared" si="10"/>
        <v>9430.5</v>
      </c>
      <c r="Z134" s="188">
        <f t="shared" si="11"/>
        <v>471.52500000000003</v>
      </c>
      <c r="AA134" s="188">
        <f>SUM(Y134+Z134)</f>
        <v>9902.0249999999996</v>
      </c>
      <c r="AB134" s="1040">
        <v>34210</v>
      </c>
      <c r="AC134" s="190"/>
      <c r="AD134" s="191"/>
    </row>
    <row r="135" spans="1:30" s="192" customFormat="1">
      <c r="A135" s="184">
        <v>42285</v>
      </c>
      <c r="B135" s="501">
        <v>114</v>
      </c>
      <c r="C135" s="186">
        <v>10</v>
      </c>
      <c r="D135" s="186">
        <v>1</v>
      </c>
      <c r="E135" s="186">
        <v>10</v>
      </c>
      <c r="F135" s="186"/>
      <c r="G135" s="186">
        <v>12</v>
      </c>
      <c r="H135" s="186"/>
      <c r="I135" s="186">
        <v>8</v>
      </c>
      <c r="J135" s="186"/>
      <c r="K135" s="672"/>
      <c r="L135" s="186">
        <v>3</v>
      </c>
      <c r="M135" s="186"/>
      <c r="N135" s="186"/>
      <c r="O135" s="186"/>
      <c r="P135" s="186">
        <v>22</v>
      </c>
      <c r="Q135" s="186"/>
      <c r="R135" s="186">
        <f t="shared" si="8"/>
        <v>44</v>
      </c>
      <c r="S135" s="186"/>
      <c r="T135" s="186">
        <f t="shared" si="9"/>
        <v>0</v>
      </c>
      <c r="U135" s="186">
        <v>5</v>
      </c>
      <c r="V135" s="672"/>
      <c r="W135" s="672"/>
      <c r="X135" s="672"/>
      <c r="Y135" s="188">
        <f t="shared" si="10"/>
        <v>5087</v>
      </c>
      <c r="Z135" s="188">
        <f t="shared" si="11"/>
        <v>254.35000000000002</v>
      </c>
      <c r="AA135" s="188">
        <f t="shared" si="12"/>
        <v>5341.35</v>
      </c>
      <c r="AB135" s="1040">
        <v>34210</v>
      </c>
      <c r="AC135" s="190"/>
      <c r="AD135" s="191"/>
    </row>
    <row r="136" spans="1:30" s="192" customFormat="1">
      <c r="A136" s="184">
        <v>42286</v>
      </c>
      <c r="B136" s="501">
        <v>115</v>
      </c>
      <c r="C136" s="186">
        <v>7</v>
      </c>
      <c r="D136" s="186">
        <v>9</v>
      </c>
      <c r="E136" s="186"/>
      <c r="F136" s="186"/>
      <c r="G136" s="186"/>
      <c r="H136" s="186"/>
      <c r="I136" s="186"/>
      <c r="J136" s="186"/>
      <c r="K136" s="672"/>
      <c r="L136" s="186">
        <v>1</v>
      </c>
      <c r="M136" s="186"/>
      <c r="N136" s="186"/>
      <c r="O136" s="186"/>
      <c r="P136" s="186"/>
      <c r="Q136" s="186"/>
      <c r="R136" s="186">
        <f t="shared" si="8"/>
        <v>17</v>
      </c>
      <c r="S136" s="186"/>
      <c r="T136" s="186">
        <f t="shared" si="9"/>
        <v>0</v>
      </c>
      <c r="U136" s="186"/>
      <c r="V136" s="672"/>
      <c r="W136" s="672"/>
      <c r="X136" s="672"/>
      <c r="Y136" s="188">
        <f t="shared" si="10"/>
        <v>1584</v>
      </c>
      <c r="Z136" s="188">
        <f t="shared" si="11"/>
        <v>79.2</v>
      </c>
      <c r="AA136" s="188">
        <f t="shared" si="12"/>
        <v>1663.2</v>
      </c>
      <c r="AB136" s="1040">
        <v>34210</v>
      </c>
      <c r="AC136" s="190"/>
      <c r="AD136" s="191"/>
    </row>
    <row r="137" spans="1:30" s="192" customFormat="1">
      <c r="A137" s="184">
        <v>42287</v>
      </c>
      <c r="B137" s="501">
        <v>116</v>
      </c>
      <c r="C137" s="186">
        <v>2</v>
      </c>
      <c r="D137" s="186"/>
      <c r="E137" s="186"/>
      <c r="F137" s="186"/>
      <c r="G137" s="186"/>
      <c r="H137" s="186"/>
      <c r="I137" s="186"/>
      <c r="J137" s="186"/>
      <c r="K137" s="672"/>
      <c r="L137" s="186"/>
      <c r="M137" s="186"/>
      <c r="N137" s="186"/>
      <c r="O137" s="186"/>
      <c r="P137" s="186"/>
      <c r="Q137" s="186"/>
      <c r="R137" s="186">
        <f t="shared" si="8"/>
        <v>2</v>
      </c>
      <c r="S137" s="186"/>
      <c r="T137" s="186">
        <f t="shared" si="9"/>
        <v>0</v>
      </c>
      <c r="U137" s="186"/>
      <c r="V137" s="672"/>
      <c r="W137" s="672"/>
      <c r="X137" s="672"/>
      <c r="Y137" s="188">
        <f t="shared" si="10"/>
        <v>189</v>
      </c>
      <c r="Z137" s="188">
        <f t="shared" si="11"/>
        <v>9.4500000000000011</v>
      </c>
      <c r="AA137" s="188">
        <f t="shared" si="12"/>
        <v>198.45</v>
      </c>
      <c r="AB137" s="1040">
        <v>34210</v>
      </c>
      <c r="AC137" s="190"/>
      <c r="AD137" s="191"/>
    </row>
    <row r="138" spans="1:30" s="192" customFormat="1">
      <c r="A138" s="184">
        <v>42288</v>
      </c>
      <c r="B138" s="501">
        <v>117</v>
      </c>
      <c r="C138" s="186"/>
      <c r="D138" s="186"/>
      <c r="E138" s="186">
        <v>8</v>
      </c>
      <c r="F138" s="186">
        <v>13</v>
      </c>
      <c r="G138" s="186"/>
      <c r="H138" s="186"/>
      <c r="I138" s="186"/>
      <c r="J138" s="186"/>
      <c r="K138" s="672"/>
      <c r="L138" s="186">
        <v>5</v>
      </c>
      <c r="M138" s="186"/>
      <c r="N138" s="186"/>
      <c r="O138" s="186"/>
      <c r="P138" s="186">
        <v>4</v>
      </c>
      <c r="Q138" s="186">
        <v>449</v>
      </c>
      <c r="R138" s="186">
        <f t="shared" si="8"/>
        <v>26</v>
      </c>
      <c r="S138" s="186"/>
      <c r="T138" s="186">
        <f t="shared" si="9"/>
        <v>449</v>
      </c>
      <c r="U138" s="186"/>
      <c r="V138" s="672"/>
      <c r="W138" s="672"/>
      <c r="X138" s="672"/>
      <c r="Y138" s="188">
        <f t="shared" si="10"/>
        <v>3848.4</v>
      </c>
      <c r="Z138" s="188">
        <f t="shared" si="11"/>
        <v>192.42000000000002</v>
      </c>
      <c r="AA138" s="188">
        <f t="shared" si="12"/>
        <v>4040.82</v>
      </c>
      <c r="AB138" s="1040">
        <v>34210</v>
      </c>
      <c r="AC138" s="190"/>
      <c r="AD138" s="191"/>
    </row>
    <row r="139" spans="1:30" s="192" customFormat="1">
      <c r="A139" s="184">
        <v>42289</v>
      </c>
      <c r="B139" s="501" t="s">
        <v>827</v>
      </c>
      <c r="C139" s="186"/>
      <c r="D139" s="186"/>
      <c r="E139" s="186"/>
      <c r="F139" s="186"/>
      <c r="G139" s="186"/>
      <c r="H139" s="186"/>
      <c r="I139" s="186"/>
      <c r="J139" s="186"/>
      <c r="K139" s="672"/>
      <c r="L139" s="186"/>
      <c r="M139" s="186"/>
      <c r="N139" s="186"/>
      <c r="O139" s="186"/>
      <c r="P139" s="186"/>
      <c r="Q139" s="186"/>
      <c r="R139" s="186">
        <f t="shared" si="8"/>
        <v>0</v>
      </c>
      <c r="S139" s="186"/>
      <c r="T139" s="186">
        <f t="shared" si="9"/>
        <v>0</v>
      </c>
      <c r="U139" s="186"/>
      <c r="V139" s="672"/>
      <c r="W139" s="672"/>
      <c r="X139" s="672"/>
      <c r="Y139" s="188">
        <f t="shared" si="10"/>
        <v>0</v>
      </c>
      <c r="Z139" s="188">
        <f t="shared" si="11"/>
        <v>0</v>
      </c>
      <c r="AA139" s="188">
        <f t="shared" si="12"/>
        <v>0</v>
      </c>
      <c r="AB139" s="1040">
        <v>34210</v>
      </c>
      <c r="AC139" s="190"/>
      <c r="AD139" s="191"/>
    </row>
    <row r="140" spans="1:30" s="192" customFormat="1">
      <c r="A140" s="184">
        <v>42290</v>
      </c>
      <c r="B140" s="501" t="s">
        <v>827</v>
      </c>
      <c r="C140" s="186"/>
      <c r="D140" s="186"/>
      <c r="E140" s="186"/>
      <c r="F140" s="186"/>
      <c r="G140" s="186"/>
      <c r="H140" s="186"/>
      <c r="I140" s="186"/>
      <c r="J140" s="186"/>
      <c r="K140" s="672"/>
      <c r="L140" s="186"/>
      <c r="M140" s="186"/>
      <c r="N140" s="186"/>
      <c r="O140" s="186"/>
      <c r="P140" s="186"/>
      <c r="Q140" s="186"/>
      <c r="R140" s="186">
        <f t="shared" si="8"/>
        <v>0</v>
      </c>
      <c r="S140" s="186"/>
      <c r="T140" s="186">
        <f t="shared" si="9"/>
        <v>0</v>
      </c>
      <c r="U140" s="186"/>
      <c r="V140" s="672"/>
      <c r="W140" s="672"/>
      <c r="X140" s="672"/>
      <c r="Y140" s="188">
        <f t="shared" si="10"/>
        <v>0</v>
      </c>
      <c r="Z140" s="188">
        <f t="shared" si="11"/>
        <v>0</v>
      </c>
      <c r="AA140" s="188">
        <f t="shared" si="12"/>
        <v>0</v>
      </c>
      <c r="AB140" s="1040">
        <v>34210</v>
      </c>
      <c r="AC140" s="190"/>
      <c r="AD140" s="191"/>
    </row>
    <row r="141" spans="1:30" s="192" customFormat="1">
      <c r="A141" s="184">
        <v>42291</v>
      </c>
      <c r="B141" s="501">
        <v>118</v>
      </c>
      <c r="C141" s="186">
        <v>2</v>
      </c>
      <c r="D141" s="186">
        <v>1</v>
      </c>
      <c r="E141" s="186">
        <v>12</v>
      </c>
      <c r="F141" s="186">
        <v>11.5</v>
      </c>
      <c r="G141" s="186"/>
      <c r="H141" s="186"/>
      <c r="I141" s="186"/>
      <c r="J141" s="186"/>
      <c r="K141" s="672"/>
      <c r="L141" s="186">
        <v>1</v>
      </c>
      <c r="M141" s="186"/>
      <c r="N141" s="186">
        <v>1</v>
      </c>
      <c r="O141" s="186"/>
      <c r="P141" s="186">
        <v>23.5</v>
      </c>
      <c r="Q141" s="186"/>
      <c r="R141" s="186">
        <f t="shared" si="8"/>
        <v>27.5</v>
      </c>
      <c r="S141" s="186"/>
      <c r="T141" s="186">
        <f t="shared" si="9"/>
        <v>0</v>
      </c>
      <c r="U141" s="186"/>
      <c r="V141" s="672"/>
      <c r="W141" s="672"/>
      <c r="X141" s="672"/>
      <c r="Y141" s="188">
        <f t="shared" si="10"/>
        <v>4330</v>
      </c>
      <c r="Z141" s="188">
        <f t="shared" si="11"/>
        <v>216.5</v>
      </c>
      <c r="AA141" s="188">
        <f t="shared" si="12"/>
        <v>4546.5</v>
      </c>
      <c r="AB141" s="1040">
        <v>34210</v>
      </c>
      <c r="AC141" s="190"/>
      <c r="AD141" s="191"/>
    </row>
    <row r="142" spans="1:30" s="192" customFormat="1">
      <c r="A142" s="184">
        <v>42292</v>
      </c>
      <c r="B142" s="501">
        <v>119</v>
      </c>
      <c r="C142" s="186">
        <v>3</v>
      </c>
      <c r="D142" s="186">
        <v>1.5</v>
      </c>
      <c r="E142" s="186">
        <v>12</v>
      </c>
      <c r="F142" s="186">
        <v>6</v>
      </c>
      <c r="G142" s="186"/>
      <c r="H142" s="186"/>
      <c r="I142" s="186"/>
      <c r="J142" s="186"/>
      <c r="K142" s="672"/>
      <c r="L142" s="186">
        <v>2</v>
      </c>
      <c r="M142" s="186"/>
      <c r="N142" s="186"/>
      <c r="O142" s="186">
        <v>1</v>
      </c>
      <c r="P142" s="186"/>
      <c r="Q142" s="186">
        <v>389</v>
      </c>
      <c r="R142" s="186">
        <f t="shared" si="8"/>
        <v>24.5</v>
      </c>
      <c r="S142" s="186"/>
      <c r="T142" s="186">
        <f t="shared" si="9"/>
        <v>389</v>
      </c>
      <c r="U142" s="186">
        <v>2</v>
      </c>
      <c r="V142" s="672"/>
      <c r="W142" s="672"/>
      <c r="X142" s="672"/>
      <c r="Y142" s="188">
        <f t="shared" si="10"/>
        <v>3562.4</v>
      </c>
      <c r="Z142" s="188">
        <f t="shared" si="11"/>
        <v>178.12</v>
      </c>
      <c r="AA142" s="188">
        <f t="shared" si="12"/>
        <v>3740.52</v>
      </c>
      <c r="AB142" s="1040">
        <v>34210</v>
      </c>
      <c r="AC142" s="190"/>
      <c r="AD142" s="191"/>
    </row>
    <row r="143" spans="1:30" s="192" customFormat="1">
      <c r="A143" s="184">
        <v>42293</v>
      </c>
      <c r="B143" s="501">
        <v>120</v>
      </c>
      <c r="C143" s="186">
        <v>6</v>
      </c>
      <c r="D143" s="186"/>
      <c r="E143" s="186"/>
      <c r="F143" s="186">
        <v>6</v>
      </c>
      <c r="G143" s="186"/>
      <c r="H143" s="186"/>
      <c r="I143" s="186"/>
      <c r="J143" s="186"/>
      <c r="K143" s="672"/>
      <c r="L143" s="186">
        <v>2</v>
      </c>
      <c r="M143" s="186"/>
      <c r="N143" s="186"/>
      <c r="O143" s="186"/>
      <c r="P143" s="186"/>
      <c r="Q143" s="186">
        <v>126</v>
      </c>
      <c r="R143" s="186">
        <f t="shared" si="8"/>
        <v>14</v>
      </c>
      <c r="S143" s="186"/>
      <c r="T143" s="186">
        <f t="shared" si="9"/>
        <v>126</v>
      </c>
      <c r="U143" s="186"/>
      <c r="V143" s="672"/>
      <c r="W143" s="672"/>
      <c r="X143" s="672"/>
      <c r="Y143" s="188">
        <f t="shared" si="10"/>
        <v>1794.6</v>
      </c>
      <c r="Z143" s="188">
        <f t="shared" si="11"/>
        <v>89.73</v>
      </c>
      <c r="AA143" s="188">
        <f t="shared" si="12"/>
        <v>1884.33</v>
      </c>
      <c r="AB143" s="1040">
        <v>34210</v>
      </c>
      <c r="AC143" s="190"/>
      <c r="AD143" s="191"/>
    </row>
    <row r="144" spans="1:30" s="192" customFormat="1">
      <c r="A144" s="184">
        <v>42294</v>
      </c>
      <c r="B144" s="501">
        <v>121</v>
      </c>
      <c r="C144" s="186">
        <v>5.5</v>
      </c>
      <c r="D144" s="186"/>
      <c r="E144" s="186">
        <v>11</v>
      </c>
      <c r="F144" s="186">
        <v>8</v>
      </c>
      <c r="G144" s="186">
        <v>4</v>
      </c>
      <c r="H144" s="186"/>
      <c r="I144" s="186"/>
      <c r="J144" s="186"/>
      <c r="K144" s="672"/>
      <c r="L144" s="186"/>
      <c r="M144" s="186"/>
      <c r="N144" s="186"/>
      <c r="O144" s="186">
        <v>1</v>
      </c>
      <c r="P144" s="186">
        <v>23</v>
      </c>
      <c r="Q144" s="186"/>
      <c r="R144" s="186">
        <f t="shared" ref="R144:R156" si="13">L144+J144+I144+H144+G144+F144+E144+D144+C144</f>
        <v>28.5</v>
      </c>
      <c r="S144" s="186"/>
      <c r="T144" s="186">
        <f t="shared" ref="T144:T156" si="14">Q144</f>
        <v>0</v>
      </c>
      <c r="U144" s="186"/>
      <c r="V144" s="672"/>
      <c r="W144" s="672"/>
      <c r="X144" s="672"/>
      <c r="Y144" s="188">
        <f t="shared" si="10"/>
        <v>3949.25</v>
      </c>
      <c r="Z144" s="188">
        <f t="shared" ref="Z144:Z156" si="15">(Y144*5%)</f>
        <v>197.46250000000001</v>
      </c>
      <c r="AA144" s="188">
        <f t="shared" ref="AA144:AA156" si="16">SUM(Y144+Z144)</f>
        <v>4146.7124999999996</v>
      </c>
      <c r="AB144" s="1040">
        <v>34210</v>
      </c>
      <c r="AC144" s="190"/>
      <c r="AD144" s="191"/>
    </row>
    <row r="145" spans="1:30" s="192" customFormat="1">
      <c r="A145" s="184">
        <v>42295</v>
      </c>
      <c r="B145" s="501" t="s">
        <v>827</v>
      </c>
      <c r="C145" s="186"/>
      <c r="D145" s="186"/>
      <c r="E145" s="186"/>
      <c r="F145" s="186"/>
      <c r="G145" s="186"/>
      <c r="H145" s="186"/>
      <c r="I145" s="186"/>
      <c r="J145" s="186"/>
      <c r="K145" s="672"/>
      <c r="L145" s="186"/>
      <c r="M145" s="186"/>
      <c r="N145" s="186"/>
      <c r="O145" s="186"/>
      <c r="P145" s="186"/>
      <c r="Q145" s="186"/>
      <c r="R145" s="186">
        <f t="shared" si="13"/>
        <v>0</v>
      </c>
      <c r="S145" s="186"/>
      <c r="T145" s="186">
        <f t="shared" si="14"/>
        <v>0</v>
      </c>
      <c r="U145" s="186"/>
      <c r="V145" s="672"/>
      <c r="W145" s="672"/>
      <c r="X145" s="672"/>
      <c r="Y145" s="188">
        <f t="shared" ref="Y145:Y156" si="17">SUM(C145*$C$6+D145*$D$6+E145*$E$6+F145*$F$6+G145*$G$6+H145*$H$6+I145*$I$6+J145*$J$6+K145*$K$6+L145*$L$6+M145*$M$6+N145*$N$6+O145*$O$6+P145*$P$6+Q145*$Q$6+U145*$U$6+V145*$V$6+W145*$W$6+X145*$X$6)</f>
        <v>0</v>
      </c>
      <c r="Z145" s="188">
        <f t="shared" si="15"/>
        <v>0</v>
      </c>
      <c r="AA145" s="188">
        <f t="shared" si="16"/>
        <v>0</v>
      </c>
      <c r="AB145" s="1040">
        <v>34210</v>
      </c>
      <c r="AC145" s="190"/>
      <c r="AD145" s="191"/>
    </row>
    <row r="146" spans="1:30" s="192" customFormat="1">
      <c r="A146" s="184">
        <v>42296</v>
      </c>
      <c r="B146" s="501">
        <v>122</v>
      </c>
      <c r="C146" s="186">
        <v>8</v>
      </c>
      <c r="D146" s="186">
        <v>4.5</v>
      </c>
      <c r="E146" s="186">
        <v>11</v>
      </c>
      <c r="F146" s="186">
        <v>10</v>
      </c>
      <c r="G146" s="186">
        <v>14</v>
      </c>
      <c r="H146" s="186"/>
      <c r="I146" s="186">
        <v>0</v>
      </c>
      <c r="J146" s="186"/>
      <c r="K146" s="672"/>
      <c r="L146" s="186">
        <v>1</v>
      </c>
      <c r="M146" s="186"/>
      <c r="N146" s="186">
        <v>1</v>
      </c>
      <c r="O146" s="186"/>
      <c r="P146" s="186">
        <v>35</v>
      </c>
      <c r="Q146" s="186"/>
      <c r="R146" s="186">
        <f t="shared" si="13"/>
        <v>48.5</v>
      </c>
      <c r="S146" s="186"/>
      <c r="T146" s="186">
        <f t="shared" si="14"/>
        <v>0</v>
      </c>
      <c r="U146" s="186"/>
      <c r="V146" s="672"/>
      <c r="W146" s="672"/>
      <c r="X146" s="672"/>
      <c r="Y146" s="188">
        <f t="shared" si="17"/>
        <v>6417</v>
      </c>
      <c r="Z146" s="188">
        <f t="shared" si="15"/>
        <v>320.85000000000002</v>
      </c>
      <c r="AA146" s="188">
        <f t="shared" si="16"/>
        <v>6737.85</v>
      </c>
      <c r="AB146" s="1040">
        <v>34210</v>
      </c>
      <c r="AC146" s="190"/>
      <c r="AD146" s="191"/>
    </row>
    <row r="147" spans="1:30" s="192" customFormat="1">
      <c r="A147" s="184">
        <v>42297</v>
      </c>
      <c r="B147" s="501">
        <v>123</v>
      </c>
      <c r="C147" s="186">
        <v>8</v>
      </c>
      <c r="D147" s="186"/>
      <c r="E147" s="186">
        <v>11</v>
      </c>
      <c r="F147" s="186">
        <v>11</v>
      </c>
      <c r="G147" s="186">
        <v>11</v>
      </c>
      <c r="H147" s="186"/>
      <c r="I147" s="186"/>
      <c r="J147" s="186">
        <v>2</v>
      </c>
      <c r="K147" s="672"/>
      <c r="L147" s="186">
        <v>2</v>
      </c>
      <c r="M147" s="186"/>
      <c r="N147" s="186">
        <v>1</v>
      </c>
      <c r="O147" s="186"/>
      <c r="P147" s="186">
        <v>33</v>
      </c>
      <c r="Q147" s="186"/>
      <c r="R147" s="186">
        <f t="shared" si="13"/>
        <v>45</v>
      </c>
      <c r="S147" s="186"/>
      <c r="T147" s="186">
        <f t="shared" si="14"/>
        <v>0</v>
      </c>
      <c r="U147" s="186"/>
      <c r="V147" s="672"/>
      <c r="W147" s="672"/>
      <c r="X147" s="672"/>
      <c r="Y147" s="188">
        <f t="shared" si="17"/>
        <v>6132.5</v>
      </c>
      <c r="Z147" s="188">
        <f t="shared" si="15"/>
        <v>306.625</v>
      </c>
      <c r="AA147" s="188">
        <f t="shared" si="16"/>
        <v>6439.125</v>
      </c>
      <c r="AB147" s="1040">
        <v>34210</v>
      </c>
      <c r="AC147" s="190"/>
      <c r="AD147" s="191"/>
    </row>
    <row r="148" spans="1:30" s="192" customFormat="1">
      <c r="A148" s="184">
        <v>42298</v>
      </c>
      <c r="B148" s="501">
        <v>124</v>
      </c>
      <c r="C148" s="186">
        <v>6</v>
      </c>
      <c r="D148" s="186"/>
      <c r="E148" s="186">
        <v>10.5</v>
      </c>
      <c r="F148" s="186">
        <v>1.5</v>
      </c>
      <c r="G148" s="186">
        <v>23</v>
      </c>
      <c r="H148" s="186"/>
      <c r="I148" s="186"/>
      <c r="J148" s="186"/>
      <c r="K148" s="672"/>
      <c r="L148" s="186">
        <v>3</v>
      </c>
      <c r="M148" s="186"/>
      <c r="N148" s="186"/>
      <c r="O148" s="186"/>
      <c r="P148" s="186">
        <v>21.5</v>
      </c>
      <c r="Q148" s="186">
        <v>352</v>
      </c>
      <c r="R148" s="186">
        <f t="shared" si="13"/>
        <v>44</v>
      </c>
      <c r="S148" s="186"/>
      <c r="T148" s="186">
        <f t="shared" si="14"/>
        <v>352</v>
      </c>
      <c r="U148" s="186"/>
      <c r="V148" s="672"/>
      <c r="W148" s="672"/>
      <c r="X148" s="672"/>
      <c r="Y148" s="188">
        <f t="shared" si="17"/>
        <v>5158.95</v>
      </c>
      <c r="Z148" s="188">
        <f t="shared" si="15"/>
        <v>257.94749999999999</v>
      </c>
      <c r="AA148" s="188">
        <f t="shared" si="16"/>
        <v>5416.8975</v>
      </c>
      <c r="AB148" s="1040">
        <v>34210</v>
      </c>
      <c r="AC148" s="190"/>
      <c r="AD148" s="191"/>
    </row>
    <row r="149" spans="1:30" s="192" customFormat="1">
      <c r="A149" s="184">
        <v>42299</v>
      </c>
      <c r="B149" s="501">
        <v>125</v>
      </c>
      <c r="C149" s="186">
        <v>4</v>
      </c>
      <c r="D149" s="186"/>
      <c r="E149" s="186">
        <v>6</v>
      </c>
      <c r="F149" s="186">
        <v>10</v>
      </c>
      <c r="G149" s="186">
        <v>22.5</v>
      </c>
      <c r="H149" s="186"/>
      <c r="I149" s="186"/>
      <c r="J149" s="186"/>
      <c r="K149" s="672"/>
      <c r="L149" s="186"/>
      <c r="M149" s="186"/>
      <c r="N149" s="186">
        <v>1</v>
      </c>
      <c r="O149" s="186"/>
      <c r="P149" s="186">
        <v>32.5</v>
      </c>
      <c r="Q149" s="186">
        <v>200</v>
      </c>
      <c r="R149" s="186">
        <f t="shared" si="13"/>
        <v>42.5</v>
      </c>
      <c r="S149" s="186"/>
      <c r="T149" s="186">
        <f t="shared" si="14"/>
        <v>200</v>
      </c>
      <c r="U149" s="186"/>
      <c r="V149" s="672"/>
      <c r="W149" s="672"/>
      <c r="X149" s="672"/>
      <c r="Y149" s="188">
        <f t="shared" si="17"/>
        <v>5931.5</v>
      </c>
      <c r="Z149" s="188">
        <f t="shared" si="15"/>
        <v>296.57499999999999</v>
      </c>
      <c r="AA149" s="188">
        <f t="shared" si="16"/>
        <v>6228.0749999999998</v>
      </c>
      <c r="AB149" s="1040">
        <v>34210</v>
      </c>
      <c r="AC149" s="190"/>
      <c r="AD149" s="191"/>
    </row>
    <row r="150" spans="1:30" s="192" customFormat="1">
      <c r="A150" s="184">
        <v>42300</v>
      </c>
      <c r="B150" s="501">
        <v>126</v>
      </c>
      <c r="C150" s="186">
        <v>4</v>
      </c>
      <c r="D150" s="186"/>
      <c r="E150" s="186">
        <v>10</v>
      </c>
      <c r="F150" s="186">
        <v>10</v>
      </c>
      <c r="G150" s="186">
        <v>12</v>
      </c>
      <c r="H150" s="186"/>
      <c r="I150" s="186"/>
      <c r="J150" s="186"/>
      <c r="K150" s="672"/>
      <c r="L150" s="186">
        <v>2</v>
      </c>
      <c r="M150" s="186"/>
      <c r="N150" s="186">
        <v>1</v>
      </c>
      <c r="O150" s="186"/>
      <c r="P150" s="186">
        <v>32</v>
      </c>
      <c r="Q150" s="186"/>
      <c r="R150" s="186">
        <f t="shared" si="13"/>
        <v>38</v>
      </c>
      <c r="S150" s="186"/>
      <c r="T150" s="186">
        <f t="shared" si="14"/>
        <v>0</v>
      </c>
      <c r="U150" s="186"/>
      <c r="V150" s="672"/>
      <c r="W150" s="672"/>
      <c r="X150" s="672"/>
      <c r="Y150" s="188">
        <f t="shared" si="17"/>
        <v>5394</v>
      </c>
      <c r="Z150" s="188">
        <f t="shared" si="15"/>
        <v>269.7</v>
      </c>
      <c r="AA150" s="188">
        <f t="shared" si="16"/>
        <v>5663.7</v>
      </c>
      <c r="AB150" s="1040">
        <v>34210</v>
      </c>
      <c r="AC150" s="190"/>
      <c r="AD150" s="191"/>
    </row>
    <row r="151" spans="1:30" s="192" customFormat="1">
      <c r="A151" s="184">
        <v>42301</v>
      </c>
      <c r="B151" s="501">
        <v>127</v>
      </c>
      <c r="C151" s="186">
        <v>4</v>
      </c>
      <c r="D151" s="186"/>
      <c r="E151" s="186">
        <v>10.5</v>
      </c>
      <c r="F151" s="186">
        <v>10</v>
      </c>
      <c r="G151" s="186">
        <v>12</v>
      </c>
      <c r="H151" s="186"/>
      <c r="I151" s="186"/>
      <c r="J151" s="186"/>
      <c r="K151" s="672"/>
      <c r="L151" s="186"/>
      <c r="M151" s="186"/>
      <c r="N151" s="186">
        <v>1</v>
      </c>
      <c r="O151" s="186"/>
      <c r="P151" s="186">
        <v>32.5</v>
      </c>
      <c r="Q151" s="186"/>
      <c r="R151" s="186">
        <f t="shared" si="13"/>
        <v>36.5</v>
      </c>
      <c r="S151" s="186"/>
      <c r="T151" s="186">
        <f t="shared" si="14"/>
        <v>0</v>
      </c>
      <c r="U151" s="186"/>
      <c r="V151" s="672"/>
      <c r="W151" s="672"/>
      <c r="X151" s="672"/>
      <c r="Y151" s="188">
        <f t="shared" si="17"/>
        <v>5232.25</v>
      </c>
      <c r="Z151" s="188">
        <f t="shared" si="15"/>
        <v>261.61250000000001</v>
      </c>
      <c r="AA151" s="188">
        <f t="shared" si="16"/>
        <v>5493.8625000000002</v>
      </c>
      <c r="AB151" s="1040">
        <v>34210</v>
      </c>
      <c r="AC151" s="190"/>
      <c r="AD151" s="191"/>
    </row>
    <row r="152" spans="1:30" s="192" customFormat="1">
      <c r="A152" s="184">
        <v>42302</v>
      </c>
      <c r="B152" s="859" t="s">
        <v>712</v>
      </c>
      <c r="C152" s="186"/>
      <c r="D152" s="186"/>
      <c r="E152" s="186">
        <v>5</v>
      </c>
      <c r="F152" s="186"/>
      <c r="G152" s="186">
        <v>9</v>
      </c>
      <c r="H152" s="186"/>
      <c r="I152" s="188"/>
      <c r="J152" s="188"/>
      <c r="K152" s="504"/>
      <c r="L152" s="188"/>
      <c r="M152" s="188"/>
      <c r="N152" s="186">
        <v>1</v>
      </c>
      <c r="O152" s="186"/>
      <c r="P152" s="186">
        <v>5</v>
      </c>
      <c r="Q152" s="186">
        <v>130</v>
      </c>
      <c r="R152" s="186">
        <f t="shared" si="13"/>
        <v>14</v>
      </c>
      <c r="S152" s="204"/>
      <c r="T152" s="186">
        <f t="shared" si="14"/>
        <v>130</v>
      </c>
      <c r="U152" s="186"/>
      <c r="V152" s="672"/>
      <c r="W152" s="672"/>
      <c r="X152" s="672"/>
      <c r="Y152" s="188">
        <f t="shared" si="17"/>
        <v>2085.5</v>
      </c>
      <c r="Z152" s="188">
        <f t="shared" si="15"/>
        <v>104.27500000000001</v>
      </c>
      <c r="AA152" s="188">
        <f t="shared" si="16"/>
        <v>2189.7750000000001</v>
      </c>
      <c r="AB152" s="1040">
        <v>34210</v>
      </c>
      <c r="AC152" s="190"/>
      <c r="AD152" s="191"/>
    </row>
    <row r="153" spans="1:30" s="192" customFormat="1">
      <c r="A153" s="184">
        <v>42303</v>
      </c>
      <c r="B153" s="668" t="s">
        <v>723</v>
      </c>
      <c r="C153" s="186">
        <v>8</v>
      </c>
      <c r="D153" s="186">
        <v>0.5</v>
      </c>
      <c r="E153" s="186"/>
      <c r="F153" s="186"/>
      <c r="G153" s="186">
        <v>8</v>
      </c>
      <c r="H153" s="186"/>
      <c r="I153" s="188"/>
      <c r="J153" s="188">
        <v>2.5</v>
      </c>
      <c r="K153" s="504"/>
      <c r="L153" s="188">
        <v>1</v>
      </c>
      <c r="M153" s="188"/>
      <c r="N153" s="186"/>
      <c r="O153" s="186"/>
      <c r="P153" s="186">
        <v>8</v>
      </c>
      <c r="Q153" s="186">
        <v>84</v>
      </c>
      <c r="R153" s="186">
        <f t="shared" si="13"/>
        <v>20</v>
      </c>
      <c r="S153" s="204"/>
      <c r="T153" s="186">
        <f t="shared" si="14"/>
        <v>84</v>
      </c>
      <c r="U153" s="186"/>
      <c r="V153" s="672"/>
      <c r="W153" s="672"/>
      <c r="X153" s="672"/>
      <c r="Y153" s="188">
        <f t="shared" si="17"/>
        <v>2134.9</v>
      </c>
      <c r="Z153" s="188">
        <f t="shared" si="15"/>
        <v>106.745</v>
      </c>
      <c r="AA153" s="188">
        <f t="shared" si="16"/>
        <v>2241.645</v>
      </c>
      <c r="AB153" s="1040">
        <v>34210</v>
      </c>
      <c r="AC153" s="190"/>
      <c r="AD153" s="191"/>
    </row>
    <row r="154" spans="1:30" s="192" customFormat="1">
      <c r="A154" s="184">
        <v>42304</v>
      </c>
      <c r="B154" s="668" t="s">
        <v>748</v>
      </c>
      <c r="C154" s="186">
        <v>10</v>
      </c>
      <c r="D154" s="186">
        <v>1</v>
      </c>
      <c r="E154" s="186"/>
      <c r="F154" s="186"/>
      <c r="G154" s="186">
        <v>4</v>
      </c>
      <c r="H154" s="186"/>
      <c r="I154" s="188"/>
      <c r="J154" s="188"/>
      <c r="K154" s="504"/>
      <c r="L154" s="188">
        <v>4</v>
      </c>
      <c r="M154" s="188"/>
      <c r="N154" s="186"/>
      <c r="O154" s="186"/>
      <c r="P154" s="186"/>
      <c r="Q154" s="186"/>
      <c r="R154" s="186">
        <f t="shared" si="13"/>
        <v>19</v>
      </c>
      <c r="S154" s="204"/>
      <c r="T154" s="186">
        <f t="shared" si="14"/>
        <v>0</v>
      </c>
      <c r="U154" s="186"/>
      <c r="V154" s="672"/>
      <c r="W154" s="672"/>
      <c r="X154" s="672"/>
      <c r="Y154" s="188">
        <f t="shared" si="17"/>
        <v>1845</v>
      </c>
      <c r="Z154" s="188">
        <f t="shared" si="15"/>
        <v>92.25</v>
      </c>
      <c r="AA154" s="188">
        <f t="shared" si="16"/>
        <v>1937.25</v>
      </c>
      <c r="AB154" s="1040">
        <v>34210</v>
      </c>
      <c r="AC154" s="190"/>
      <c r="AD154" s="191"/>
    </row>
    <row r="155" spans="1:30" s="192" customFormat="1">
      <c r="A155" s="184">
        <v>42305</v>
      </c>
      <c r="B155" s="668" t="s">
        <v>749</v>
      </c>
      <c r="C155" s="186">
        <v>8</v>
      </c>
      <c r="D155" s="186"/>
      <c r="E155" s="186"/>
      <c r="F155" s="186"/>
      <c r="G155" s="186"/>
      <c r="H155" s="186"/>
      <c r="I155" s="188"/>
      <c r="J155" s="188"/>
      <c r="K155" s="504"/>
      <c r="L155" s="188">
        <v>2</v>
      </c>
      <c r="M155" s="188"/>
      <c r="N155" s="186"/>
      <c r="O155" s="186"/>
      <c r="P155" s="186"/>
      <c r="Q155" s="186"/>
      <c r="R155" s="186">
        <f t="shared" si="13"/>
        <v>10</v>
      </c>
      <c r="S155" s="204"/>
      <c r="T155" s="186">
        <f t="shared" si="14"/>
        <v>0</v>
      </c>
      <c r="U155" s="186">
        <v>7</v>
      </c>
      <c r="V155" s="672"/>
      <c r="W155" s="672"/>
      <c r="X155" s="672"/>
      <c r="Y155" s="188">
        <f t="shared" si="17"/>
        <v>1453.5</v>
      </c>
      <c r="Z155" s="188">
        <f t="shared" si="15"/>
        <v>72.674999999999997</v>
      </c>
      <c r="AA155" s="188">
        <f t="shared" si="16"/>
        <v>1526.175</v>
      </c>
      <c r="AB155" s="1040">
        <v>34210</v>
      </c>
      <c r="AC155" s="190"/>
      <c r="AD155" s="191"/>
    </row>
    <row r="156" spans="1:30" s="192" customFormat="1">
      <c r="A156" s="184">
        <v>42306</v>
      </c>
      <c r="B156" s="668" t="s">
        <v>750</v>
      </c>
      <c r="C156" s="186">
        <v>8</v>
      </c>
      <c r="D156" s="186">
        <v>2</v>
      </c>
      <c r="E156" s="186"/>
      <c r="F156" s="186"/>
      <c r="G156" s="186">
        <v>4</v>
      </c>
      <c r="H156" s="186"/>
      <c r="I156" s="188"/>
      <c r="J156" s="188"/>
      <c r="K156" s="504"/>
      <c r="L156" s="188">
        <v>3</v>
      </c>
      <c r="M156" s="188"/>
      <c r="N156" s="186"/>
      <c r="O156" s="186"/>
      <c r="P156" s="186">
        <v>4</v>
      </c>
      <c r="Q156" s="186"/>
      <c r="R156" s="186">
        <f t="shared" si="13"/>
        <v>17</v>
      </c>
      <c r="S156" s="204"/>
      <c r="T156" s="186">
        <f t="shared" si="14"/>
        <v>0</v>
      </c>
      <c r="U156" s="186">
        <v>2</v>
      </c>
      <c r="V156" s="672"/>
      <c r="W156" s="672"/>
      <c r="X156" s="672"/>
      <c r="Y156" s="188">
        <f t="shared" si="17"/>
        <v>1860.5</v>
      </c>
      <c r="Z156" s="188">
        <f t="shared" si="15"/>
        <v>93.025000000000006</v>
      </c>
      <c r="AA156" s="188">
        <f t="shared" si="16"/>
        <v>1953.5250000000001</v>
      </c>
      <c r="AB156" s="1040">
        <v>34210</v>
      </c>
      <c r="AC156" s="190"/>
      <c r="AD156" s="191"/>
    </row>
    <row r="157" spans="1:30" s="192" customFormat="1">
      <c r="A157" s="184">
        <v>42307</v>
      </c>
      <c r="B157" s="668" t="s">
        <v>763</v>
      </c>
      <c r="C157" s="186">
        <v>8</v>
      </c>
      <c r="D157" s="186"/>
      <c r="E157" s="186"/>
      <c r="F157" s="186">
        <v>10</v>
      </c>
      <c r="G157" s="186">
        <v>6</v>
      </c>
      <c r="H157" s="186"/>
      <c r="I157" s="188"/>
      <c r="J157" s="188"/>
      <c r="K157" s="504"/>
      <c r="L157" s="188">
        <v>0.5</v>
      </c>
      <c r="M157" s="188"/>
      <c r="N157" s="186">
        <v>1</v>
      </c>
      <c r="O157" s="186"/>
      <c r="P157" s="186">
        <v>16</v>
      </c>
      <c r="Q157" s="186"/>
      <c r="R157" s="186">
        <f t="shared" ref="R157:R181" si="18">L157+J157+I157+H157+G157+F157+E157+D157+C157</f>
        <v>24.5</v>
      </c>
      <c r="S157" s="204"/>
      <c r="T157" s="186">
        <f t="shared" ref="T157:T181" si="19">Q157</f>
        <v>0</v>
      </c>
      <c r="U157" s="186"/>
      <c r="V157" s="672"/>
      <c r="W157" s="672"/>
      <c r="X157" s="672"/>
      <c r="Y157" s="188">
        <f t="shared" ref="Y157:Y181" si="20">SUM(C157*$C$6+D157*$D$6+E157*$E$6+F157*$F$6+G157*$G$6+H157*$H$6+I157*$I$6+J157*$J$6+K157*$K$6+L157*$L$6+M157*$M$6+N157*$N$6+O157*$O$6+P157*$P$6+Q157*$Q$6+U157*$U$6+V157*$V$6+W157*$W$6+X157*$X$6)</f>
        <v>3660.25</v>
      </c>
      <c r="Z157" s="188">
        <f t="shared" ref="Z157:Z181" si="21">(Y157*5%)</f>
        <v>183.01250000000002</v>
      </c>
      <c r="AA157" s="188">
        <f t="shared" ref="AA157:AA181" si="22">SUM(Y157+Z157)</f>
        <v>3843.2624999999998</v>
      </c>
      <c r="AB157" s="1040">
        <v>34210</v>
      </c>
      <c r="AC157" s="190"/>
      <c r="AD157" s="191"/>
    </row>
    <row r="158" spans="1:30" s="192" customFormat="1">
      <c r="A158" s="184">
        <v>42308</v>
      </c>
      <c r="B158" s="668" t="s">
        <v>764</v>
      </c>
      <c r="C158" s="186"/>
      <c r="D158" s="186"/>
      <c r="E158" s="186">
        <v>2</v>
      </c>
      <c r="F158" s="186">
        <v>10</v>
      </c>
      <c r="G158" s="186"/>
      <c r="H158" s="186"/>
      <c r="I158" s="188"/>
      <c r="J158" s="188"/>
      <c r="K158" s="504"/>
      <c r="L158" s="188"/>
      <c r="M158" s="188"/>
      <c r="N158" s="186">
        <v>1</v>
      </c>
      <c r="O158" s="186"/>
      <c r="P158" s="186">
        <v>10</v>
      </c>
      <c r="Q158" s="186">
        <v>80</v>
      </c>
      <c r="R158" s="186">
        <f t="shared" si="18"/>
        <v>12</v>
      </c>
      <c r="S158" s="204"/>
      <c r="T158" s="186">
        <f t="shared" si="19"/>
        <v>80</v>
      </c>
      <c r="U158" s="186"/>
      <c r="V158" s="672"/>
      <c r="W158" s="672"/>
      <c r="X158" s="672"/>
      <c r="Y158" s="188">
        <f t="shared" si="20"/>
        <v>2465</v>
      </c>
      <c r="Z158" s="188">
        <f t="shared" si="21"/>
        <v>123.25</v>
      </c>
      <c r="AA158" s="188">
        <f t="shared" si="22"/>
        <v>2588.25</v>
      </c>
      <c r="AB158" s="1040">
        <v>34210</v>
      </c>
      <c r="AC158" s="190"/>
      <c r="AD158" s="1066"/>
    </row>
    <row r="159" spans="1:30" s="617" customFormat="1">
      <c r="A159" s="1060" t="s">
        <v>825</v>
      </c>
      <c r="B159" s="1061" t="s">
        <v>768</v>
      </c>
      <c r="C159" s="1062"/>
      <c r="D159" s="1062"/>
      <c r="E159" s="1062"/>
      <c r="F159" s="1062"/>
      <c r="G159" s="1062"/>
      <c r="H159" s="1062"/>
      <c r="I159" s="1063"/>
      <c r="J159" s="1063"/>
      <c r="K159" s="1063"/>
      <c r="L159" s="1063"/>
      <c r="M159" s="1063"/>
      <c r="N159" s="1062"/>
      <c r="O159" s="1062"/>
      <c r="P159" s="1062"/>
      <c r="Q159" s="1062"/>
      <c r="R159" s="1062"/>
      <c r="S159" s="1064"/>
      <c r="T159" s="1062"/>
      <c r="U159" s="1062"/>
      <c r="V159" s="1062"/>
      <c r="W159" s="1062"/>
      <c r="X159" s="1062"/>
      <c r="Y159" s="1063">
        <v>1800</v>
      </c>
      <c r="Z159" s="1063"/>
      <c r="AA159" s="1063"/>
      <c r="AB159" s="1040">
        <v>34210</v>
      </c>
      <c r="AC159" s="1065"/>
      <c r="AD159" s="1096"/>
    </row>
    <row r="160" spans="1:30" s="617" customFormat="1">
      <c r="A160" s="666">
        <v>42309</v>
      </c>
      <c r="B160" s="627" t="s">
        <v>770</v>
      </c>
      <c r="C160" s="542"/>
      <c r="D160" s="542"/>
      <c r="E160" s="542"/>
      <c r="F160" s="542">
        <v>4</v>
      </c>
      <c r="G160" s="542"/>
      <c r="H160" s="542"/>
      <c r="I160" s="541"/>
      <c r="J160" s="541"/>
      <c r="K160" s="1094"/>
      <c r="L160" s="541"/>
      <c r="M160" s="541"/>
      <c r="N160" s="542"/>
      <c r="O160" s="542"/>
      <c r="P160" s="542"/>
      <c r="Q160" s="542">
        <v>100</v>
      </c>
      <c r="R160" s="542">
        <f t="shared" si="18"/>
        <v>4</v>
      </c>
      <c r="S160" s="543"/>
      <c r="T160" s="542">
        <f t="shared" si="19"/>
        <v>100</v>
      </c>
      <c r="U160" s="542"/>
      <c r="V160" s="1095"/>
      <c r="W160" s="1095"/>
      <c r="X160" s="1095"/>
      <c r="Y160" s="541">
        <f t="shared" si="20"/>
        <v>686</v>
      </c>
      <c r="Z160" s="541">
        <f t="shared" si="21"/>
        <v>34.300000000000004</v>
      </c>
      <c r="AA160" s="541">
        <f t="shared" si="22"/>
        <v>720.3</v>
      </c>
      <c r="AB160" s="540">
        <v>34605</v>
      </c>
      <c r="AC160" s="544"/>
      <c r="AD160" s="1096"/>
    </row>
    <row r="161" spans="1:30" s="617" customFormat="1">
      <c r="A161" s="666">
        <v>42310</v>
      </c>
      <c r="B161" s="627" t="s">
        <v>771</v>
      </c>
      <c r="C161" s="542">
        <v>8</v>
      </c>
      <c r="D161" s="542"/>
      <c r="E161" s="542"/>
      <c r="F161" s="542"/>
      <c r="G161" s="542">
        <v>4</v>
      </c>
      <c r="H161" s="542"/>
      <c r="I161" s="541"/>
      <c r="J161" s="541"/>
      <c r="K161" s="1094"/>
      <c r="L161" s="541">
        <v>0.5</v>
      </c>
      <c r="M161" s="541"/>
      <c r="N161" s="542"/>
      <c r="O161" s="542"/>
      <c r="P161" s="542"/>
      <c r="Q161" s="542"/>
      <c r="R161" s="542">
        <f t="shared" si="18"/>
        <v>12.5</v>
      </c>
      <c r="S161" s="543"/>
      <c r="T161" s="542">
        <f t="shared" si="19"/>
        <v>0</v>
      </c>
      <c r="U161" s="542"/>
      <c r="V161" s="1095"/>
      <c r="W161" s="1095"/>
      <c r="X161" s="1095"/>
      <c r="Y161" s="541">
        <f t="shared" si="20"/>
        <v>1172.25</v>
      </c>
      <c r="Z161" s="541">
        <f t="shared" si="21"/>
        <v>58.612500000000004</v>
      </c>
      <c r="AA161" s="541">
        <f t="shared" si="22"/>
        <v>1230.8625</v>
      </c>
      <c r="AB161" s="540">
        <v>34605</v>
      </c>
      <c r="AC161" s="544"/>
      <c r="AD161" s="1096"/>
    </row>
    <row r="162" spans="1:30" s="617" customFormat="1">
      <c r="A162" s="666">
        <v>42311</v>
      </c>
      <c r="B162" s="1097" t="s">
        <v>775</v>
      </c>
      <c r="C162" s="542">
        <v>4</v>
      </c>
      <c r="D162" s="542"/>
      <c r="E162" s="542"/>
      <c r="F162" s="542">
        <v>11</v>
      </c>
      <c r="G162" s="542"/>
      <c r="H162" s="542"/>
      <c r="I162" s="541"/>
      <c r="J162" s="541"/>
      <c r="K162" s="1094"/>
      <c r="L162" s="541"/>
      <c r="M162" s="541"/>
      <c r="N162" s="542">
        <v>1</v>
      </c>
      <c r="O162" s="542"/>
      <c r="P162" s="542">
        <v>11</v>
      </c>
      <c r="Q162" s="542"/>
      <c r="R162" s="542">
        <f t="shared" si="18"/>
        <v>15</v>
      </c>
      <c r="S162" s="543"/>
      <c r="T162" s="542">
        <f t="shared" si="19"/>
        <v>0</v>
      </c>
      <c r="U162" s="542">
        <v>1</v>
      </c>
      <c r="V162" s="1095"/>
      <c r="W162" s="1095"/>
      <c r="X162" s="1095"/>
      <c r="Y162" s="541">
        <f t="shared" si="20"/>
        <v>2782.5</v>
      </c>
      <c r="Z162" s="541">
        <f t="shared" si="21"/>
        <v>139.125</v>
      </c>
      <c r="AA162" s="541">
        <f t="shared" si="22"/>
        <v>2921.625</v>
      </c>
      <c r="AB162" s="540">
        <v>34605</v>
      </c>
      <c r="AC162" s="544"/>
      <c r="AD162" s="1096"/>
    </row>
    <row r="163" spans="1:30" s="617" customFormat="1">
      <c r="A163" s="666">
        <v>42312</v>
      </c>
      <c r="B163" s="627" t="s">
        <v>783</v>
      </c>
      <c r="C163" s="542">
        <v>11</v>
      </c>
      <c r="D163" s="542"/>
      <c r="E163" s="542"/>
      <c r="F163" s="542">
        <v>7</v>
      </c>
      <c r="G163" s="542"/>
      <c r="H163" s="542"/>
      <c r="I163" s="541"/>
      <c r="J163" s="541"/>
      <c r="K163" s="1094"/>
      <c r="L163" s="541"/>
      <c r="M163" s="541"/>
      <c r="N163" s="542">
        <v>1</v>
      </c>
      <c r="O163" s="542"/>
      <c r="P163" s="542">
        <v>2</v>
      </c>
      <c r="Q163" s="542">
        <v>120</v>
      </c>
      <c r="R163" s="542">
        <f t="shared" si="18"/>
        <v>18</v>
      </c>
      <c r="S163" s="543"/>
      <c r="T163" s="542">
        <f t="shared" si="19"/>
        <v>120</v>
      </c>
      <c r="U163" s="542">
        <v>1</v>
      </c>
      <c r="V163" s="1095"/>
      <c r="W163" s="1095"/>
      <c r="X163" s="1095"/>
      <c r="Y163" s="541">
        <f t="shared" si="20"/>
        <v>2793</v>
      </c>
      <c r="Z163" s="541">
        <f t="shared" si="21"/>
        <v>139.65</v>
      </c>
      <c r="AA163" s="541">
        <f t="shared" si="22"/>
        <v>2932.65</v>
      </c>
      <c r="AB163" s="540">
        <v>34605</v>
      </c>
      <c r="AC163" s="544"/>
      <c r="AD163" s="1096"/>
    </row>
    <row r="164" spans="1:30" s="617" customFormat="1">
      <c r="A164" s="666">
        <v>42313</v>
      </c>
      <c r="B164" s="1097" t="s">
        <v>796</v>
      </c>
      <c r="C164" s="542">
        <v>12</v>
      </c>
      <c r="D164" s="542">
        <v>2.5</v>
      </c>
      <c r="E164" s="542"/>
      <c r="F164" s="542"/>
      <c r="G164" s="542"/>
      <c r="H164" s="542"/>
      <c r="I164" s="541"/>
      <c r="J164" s="541"/>
      <c r="K164" s="1094"/>
      <c r="L164" s="541">
        <v>3</v>
      </c>
      <c r="M164" s="541"/>
      <c r="N164" s="542"/>
      <c r="O164" s="542"/>
      <c r="P164" s="542"/>
      <c r="Q164" s="542"/>
      <c r="R164" s="542">
        <f t="shared" si="18"/>
        <v>17.5</v>
      </c>
      <c r="S164" s="543"/>
      <c r="T164" s="542">
        <f t="shared" si="19"/>
        <v>0</v>
      </c>
      <c r="U164" s="542"/>
      <c r="V164" s="1095"/>
      <c r="W164" s="1095"/>
      <c r="X164" s="1095"/>
      <c r="Y164" s="541">
        <f t="shared" si="20"/>
        <v>1696.5</v>
      </c>
      <c r="Z164" s="541">
        <f t="shared" si="21"/>
        <v>84.825000000000003</v>
      </c>
      <c r="AA164" s="541">
        <f t="shared" si="22"/>
        <v>1781.325</v>
      </c>
      <c r="AB164" s="540">
        <v>34605</v>
      </c>
      <c r="AC164" s="544"/>
      <c r="AD164" s="1096"/>
    </row>
    <row r="165" spans="1:30" s="617" customFormat="1">
      <c r="A165" s="666">
        <v>42314</v>
      </c>
      <c r="B165" s="1097" t="s">
        <v>797</v>
      </c>
      <c r="C165" s="542">
        <v>4</v>
      </c>
      <c r="D165" s="542"/>
      <c r="E165" s="542"/>
      <c r="F165" s="542">
        <v>10.5</v>
      </c>
      <c r="G165" s="542"/>
      <c r="H165" s="542"/>
      <c r="I165" s="541"/>
      <c r="J165" s="541"/>
      <c r="K165" s="1094"/>
      <c r="L165" s="541"/>
      <c r="M165" s="541"/>
      <c r="N165" s="542">
        <v>1</v>
      </c>
      <c r="O165" s="542"/>
      <c r="P165" s="542"/>
      <c r="Q165" s="542">
        <v>245</v>
      </c>
      <c r="R165" s="542">
        <f t="shared" si="18"/>
        <v>14.5</v>
      </c>
      <c r="S165" s="543"/>
      <c r="T165" s="542">
        <f t="shared" si="19"/>
        <v>245</v>
      </c>
      <c r="U165" s="542"/>
      <c r="V165" s="1095"/>
      <c r="W165" s="1095"/>
      <c r="X165" s="1095"/>
      <c r="Y165" s="541">
        <f t="shared" si="20"/>
        <v>2659.5</v>
      </c>
      <c r="Z165" s="541">
        <f t="shared" si="21"/>
        <v>132.97499999999999</v>
      </c>
      <c r="AA165" s="541">
        <f t="shared" si="22"/>
        <v>2792.4749999999999</v>
      </c>
      <c r="AB165" s="540">
        <v>34605</v>
      </c>
      <c r="AC165" s="544"/>
      <c r="AD165" s="1096"/>
    </row>
    <row r="166" spans="1:30" s="617" customFormat="1">
      <c r="A166" s="666">
        <v>42315</v>
      </c>
      <c r="B166" s="627" t="s">
        <v>803</v>
      </c>
      <c r="C166" s="542"/>
      <c r="D166" s="542">
        <v>2</v>
      </c>
      <c r="E166" s="542"/>
      <c r="F166" s="542"/>
      <c r="G166" s="542"/>
      <c r="H166" s="542"/>
      <c r="I166" s="541"/>
      <c r="J166" s="541"/>
      <c r="K166" s="1094"/>
      <c r="L166" s="541"/>
      <c r="M166" s="541"/>
      <c r="N166" s="542"/>
      <c r="O166" s="542"/>
      <c r="P166" s="542"/>
      <c r="Q166" s="542"/>
      <c r="R166" s="542">
        <f t="shared" si="18"/>
        <v>2</v>
      </c>
      <c r="S166" s="543"/>
      <c r="T166" s="542">
        <f t="shared" si="19"/>
        <v>0</v>
      </c>
      <c r="U166" s="542"/>
      <c r="V166" s="1095"/>
      <c r="W166" s="1095"/>
      <c r="X166" s="1095"/>
      <c r="Y166" s="541">
        <f t="shared" si="20"/>
        <v>180</v>
      </c>
      <c r="Z166" s="541">
        <f t="shared" si="21"/>
        <v>9</v>
      </c>
      <c r="AA166" s="541">
        <f t="shared" si="22"/>
        <v>189</v>
      </c>
      <c r="AB166" s="540">
        <v>34605</v>
      </c>
      <c r="AC166" s="544"/>
      <c r="AD166" s="1096"/>
    </row>
    <row r="167" spans="1:30" s="617" customFormat="1">
      <c r="A167" s="666">
        <v>42316</v>
      </c>
      <c r="B167" s="627" t="s">
        <v>813</v>
      </c>
      <c r="C167" s="542">
        <v>7</v>
      </c>
      <c r="D167" s="542">
        <v>1.5</v>
      </c>
      <c r="E167" s="542"/>
      <c r="F167" s="542"/>
      <c r="G167" s="542"/>
      <c r="H167" s="542"/>
      <c r="I167" s="541">
        <v>7</v>
      </c>
      <c r="J167" s="541"/>
      <c r="K167" s="1094"/>
      <c r="L167" s="541">
        <v>0.5</v>
      </c>
      <c r="M167" s="541"/>
      <c r="N167" s="542"/>
      <c r="O167" s="542"/>
      <c r="P167" s="542"/>
      <c r="Q167" s="542"/>
      <c r="R167" s="542">
        <f t="shared" si="18"/>
        <v>16</v>
      </c>
      <c r="S167" s="543"/>
      <c r="T167" s="542">
        <f t="shared" si="19"/>
        <v>0</v>
      </c>
      <c r="U167" s="542"/>
      <c r="V167" s="1095"/>
      <c r="W167" s="1095"/>
      <c r="X167" s="1095"/>
      <c r="Y167" s="541">
        <f t="shared" si="20"/>
        <v>1514.25</v>
      </c>
      <c r="Z167" s="541">
        <f t="shared" si="21"/>
        <v>75.712500000000006</v>
      </c>
      <c r="AA167" s="541">
        <f t="shared" si="22"/>
        <v>1589.9625000000001</v>
      </c>
      <c r="AB167" s="540">
        <v>34605</v>
      </c>
      <c r="AC167" s="544"/>
      <c r="AD167" s="1096"/>
    </row>
    <row r="168" spans="1:30" s="617" customFormat="1">
      <c r="A168" s="666">
        <v>42317</v>
      </c>
      <c r="B168" s="627" t="s">
        <v>814</v>
      </c>
      <c r="C168" s="542">
        <v>10</v>
      </c>
      <c r="D168" s="542"/>
      <c r="E168" s="542"/>
      <c r="F168" s="542">
        <v>13</v>
      </c>
      <c r="G168" s="542"/>
      <c r="H168" s="542"/>
      <c r="I168" s="541"/>
      <c r="J168" s="541"/>
      <c r="K168" s="1094"/>
      <c r="L168" s="541"/>
      <c r="M168" s="541"/>
      <c r="N168" s="542">
        <v>1</v>
      </c>
      <c r="O168" s="542"/>
      <c r="P168" s="542">
        <v>1</v>
      </c>
      <c r="Q168" s="542">
        <v>273</v>
      </c>
      <c r="R168" s="542">
        <f t="shared" si="18"/>
        <v>23</v>
      </c>
      <c r="S168" s="543"/>
      <c r="T168" s="542">
        <f t="shared" si="19"/>
        <v>273</v>
      </c>
      <c r="U168" s="542"/>
      <c r="V168" s="1095"/>
      <c r="W168" s="1095"/>
      <c r="X168" s="1095"/>
      <c r="Y168" s="541">
        <f t="shared" si="20"/>
        <v>3640.3</v>
      </c>
      <c r="Z168" s="541">
        <f t="shared" si="21"/>
        <v>182.01500000000001</v>
      </c>
      <c r="AA168" s="541">
        <f t="shared" si="22"/>
        <v>3822.3150000000001</v>
      </c>
      <c r="AB168" s="540">
        <v>34605</v>
      </c>
      <c r="AC168" s="544"/>
      <c r="AD168" s="1096"/>
    </row>
    <row r="169" spans="1:30" s="617" customFormat="1">
      <c r="A169" s="666">
        <v>42318</v>
      </c>
      <c r="B169" s="627" t="s">
        <v>815</v>
      </c>
      <c r="C169" s="542">
        <v>11</v>
      </c>
      <c r="D169" s="542"/>
      <c r="E169" s="542"/>
      <c r="F169" s="542">
        <v>8</v>
      </c>
      <c r="G169" s="542"/>
      <c r="H169" s="542"/>
      <c r="I169" s="541"/>
      <c r="J169" s="541"/>
      <c r="K169" s="1094"/>
      <c r="L169" s="541">
        <v>0.5</v>
      </c>
      <c r="M169" s="541"/>
      <c r="N169" s="542">
        <v>1</v>
      </c>
      <c r="O169" s="542"/>
      <c r="P169" s="542"/>
      <c r="Q169" s="542">
        <v>220</v>
      </c>
      <c r="R169" s="542">
        <f t="shared" si="18"/>
        <v>19.5</v>
      </c>
      <c r="S169" s="543"/>
      <c r="T169" s="542">
        <f t="shared" si="19"/>
        <v>220</v>
      </c>
      <c r="U169" s="542"/>
      <c r="V169" s="1095"/>
      <c r="W169" s="1095"/>
      <c r="X169" s="1095"/>
      <c r="Y169" s="541">
        <f t="shared" si="20"/>
        <v>2989.75</v>
      </c>
      <c r="Z169" s="541">
        <f t="shared" si="21"/>
        <v>149.48750000000001</v>
      </c>
      <c r="AA169" s="541">
        <f t="shared" si="22"/>
        <v>3139.2375000000002</v>
      </c>
      <c r="AB169" s="540">
        <v>34605</v>
      </c>
      <c r="AC169" s="544"/>
      <c r="AD169" s="1096"/>
    </row>
    <row r="170" spans="1:30" s="617" customFormat="1">
      <c r="A170" s="666">
        <v>42319</v>
      </c>
      <c r="B170" s="627" t="s">
        <v>816</v>
      </c>
      <c r="C170" s="542">
        <v>10</v>
      </c>
      <c r="D170" s="542">
        <v>5.5</v>
      </c>
      <c r="E170" s="542"/>
      <c r="F170" s="542">
        <v>6</v>
      </c>
      <c r="G170" s="542"/>
      <c r="H170" s="542"/>
      <c r="I170" s="541"/>
      <c r="J170" s="541"/>
      <c r="K170" s="1094"/>
      <c r="L170" s="541"/>
      <c r="M170" s="541"/>
      <c r="N170" s="542">
        <v>1</v>
      </c>
      <c r="O170" s="542"/>
      <c r="P170" s="542"/>
      <c r="Q170" s="542">
        <v>210</v>
      </c>
      <c r="R170" s="542">
        <f t="shared" si="18"/>
        <v>21.5</v>
      </c>
      <c r="S170" s="543"/>
      <c r="T170" s="542">
        <f t="shared" si="19"/>
        <v>210</v>
      </c>
      <c r="U170" s="542"/>
      <c r="V170" s="1095"/>
      <c r="W170" s="1095"/>
      <c r="X170" s="1095"/>
      <c r="Y170" s="541">
        <f t="shared" si="20"/>
        <v>3035</v>
      </c>
      <c r="Z170" s="541">
        <f t="shared" si="21"/>
        <v>151.75</v>
      </c>
      <c r="AA170" s="541">
        <f t="shared" si="22"/>
        <v>3186.75</v>
      </c>
      <c r="AB170" s="540">
        <v>34605</v>
      </c>
      <c r="AC170" s="544"/>
      <c r="AD170" s="1096"/>
    </row>
    <row r="171" spans="1:30" s="617" customFormat="1">
      <c r="A171" s="666">
        <v>42320</v>
      </c>
      <c r="B171" s="627" t="s">
        <v>827</v>
      </c>
      <c r="C171" s="542"/>
      <c r="D171" s="542"/>
      <c r="E171" s="542"/>
      <c r="F171" s="542"/>
      <c r="G171" s="542"/>
      <c r="H171" s="542"/>
      <c r="I171" s="541"/>
      <c r="J171" s="541"/>
      <c r="K171" s="1094"/>
      <c r="L171" s="541"/>
      <c r="M171" s="541"/>
      <c r="N171" s="542"/>
      <c r="O171" s="542"/>
      <c r="P171" s="542"/>
      <c r="Q171" s="542"/>
      <c r="R171" s="542">
        <f t="shared" si="18"/>
        <v>0</v>
      </c>
      <c r="S171" s="543"/>
      <c r="T171" s="542">
        <f t="shared" si="19"/>
        <v>0</v>
      </c>
      <c r="U171" s="542"/>
      <c r="V171" s="1095"/>
      <c r="W171" s="1095"/>
      <c r="X171" s="1095"/>
      <c r="Y171" s="541">
        <f t="shared" si="20"/>
        <v>0</v>
      </c>
      <c r="Z171" s="541">
        <f t="shared" si="21"/>
        <v>0</v>
      </c>
      <c r="AA171" s="541">
        <f t="shared" si="22"/>
        <v>0</v>
      </c>
      <c r="AB171" s="540">
        <v>34605</v>
      </c>
      <c r="AC171" s="544"/>
      <c r="AD171" s="1096"/>
    </row>
    <row r="172" spans="1:30" s="617" customFormat="1">
      <c r="A172" s="666">
        <v>42321</v>
      </c>
      <c r="B172" s="627" t="s">
        <v>828</v>
      </c>
      <c r="C172" s="542">
        <v>7.5</v>
      </c>
      <c r="D172" s="542">
        <v>10</v>
      </c>
      <c r="E172" s="542">
        <v>10</v>
      </c>
      <c r="F172" s="542"/>
      <c r="G172" s="542"/>
      <c r="H172" s="542"/>
      <c r="I172" s="541"/>
      <c r="J172" s="541"/>
      <c r="K172" s="1094"/>
      <c r="L172" s="541">
        <v>1</v>
      </c>
      <c r="M172" s="541"/>
      <c r="N172" s="542"/>
      <c r="O172" s="542"/>
      <c r="P172" s="542">
        <v>10</v>
      </c>
      <c r="Q172" s="542"/>
      <c r="R172" s="542">
        <f t="shared" si="18"/>
        <v>28.5</v>
      </c>
      <c r="S172" s="543"/>
      <c r="T172" s="542">
        <f t="shared" si="19"/>
        <v>0</v>
      </c>
      <c r="U172" s="542"/>
      <c r="V172" s="1095"/>
      <c r="W172" s="1095"/>
      <c r="X172" s="1095"/>
      <c r="Y172" s="541">
        <f t="shared" si="20"/>
        <v>2986.25</v>
      </c>
      <c r="Z172" s="541">
        <f t="shared" si="21"/>
        <v>149.3125</v>
      </c>
      <c r="AA172" s="541">
        <f t="shared" si="22"/>
        <v>3135.5625</v>
      </c>
      <c r="AB172" s="540">
        <v>34605</v>
      </c>
      <c r="AC172" s="544"/>
      <c r="AD172" s="1096"/>
    </row>
    <row r="173" spans="1:30" s="617" customFormat="1">
      <c r="A173" s="666">
        <v>42322</v>
      </c>
      <c r="B173" s="627" t="s">
        <v>829</v>
      </c>
      <c r="C173" s="542">
        <v>2</v>
      </c>
      <c r="D173" s="542"/>
      <c r="E173" s="542">
        <v>3</v>
      </c>
      <c r="F173" s="542"/>
      <c r="G173" s="542"/>
      <c r="H173" s="542"/>
      <c r="I173" s="541"/>
      <c r="J173" s="541"/>
      <c r="K173" s="1094"/>
      <c r="L173" s="541"/>
      <c r="M173" s="541"/>
      <c r="N173" s="542"/>
      <c r="O173" s="542"/>
      <c r="P173" s="542"/>
      <c r="Q173" s="542">
        <v>160</v>
      </c>
      <c r="R173" s="542">
        <f t="shared" si="18"/>
        <v>5</v>
      </c>
      <c r="S173" s="543"/>
      <c r="T173" s="542">
        <f t="shared" si="19"/>
        <v>160</v>
      </c>
      <c r="U173" s="542"/>
      <c r="V173" s="1095"/>
      <c r="W173" s="1095"/>
      <c r="X173" s="1095"/>
      <c r="Y173" s="541">
        <f t="shared" si="20"/>
        <v>675.5</v>
      </c>
      <c r="Z173" s="541">
        <f t="shared" si="21"/>
        <v>33.774999999999999</v>
      </c>
      <c r="AA173" s="541">
        <f t="shared" si="22"/>
        <v>709.27499999999998</v>
      </c>
      <c r="AB173" s="540">
        <v>34605</v>
      </c>
      <c r="AC173" s="544"/>
      <c r="AD173" s="1096"/>
    </row>
    <row r="174" spans="1:30" s="617" customFormat="1">
      <c r="A174" s="666">
        <v>42323</v>
      </c>
      <c r="B174" s="627" t="s">
        <v>830</v>
      </c>
      <c r="C174" s="542"/>
      <c r="D174" s="542">
        <v>10</v>
      </c>
      <c r="E174" s="542"/>
      <c r="F174" s="542"/>
      <c r="G174" s="542"/>
      <c r="H174" s="542"/>
      <c r="I174" s="541"/>
      <c r="J174" s="541"/>
      <c r="K174" s="1094"/>
      <c r="L174" s="541"/>
      <c r="M174" s="541"/>
      <c r="N174" s="542"/>
      <c r="O174" s="542"/>
      <c r="P174" s="542"/>
      <c r="Q174" s="542"/>
      <c r="R174" s="542">
        <f t="shared" si="18"/>
        <v>10</v>
      </c>
      <c r="S174" s="543"/>
      <c r="T174" s="542">
        <f t="shared" si="19"/>
        <v>0</v>
      </c>
      <c r="U174" s="542"/>
      <c r="V174" s="1095"/>
      <c r="W174" s="1095"/>
      <c r="X174" s="1095"/>
      <c r="Y174" s="541">
        <f t="shared" si="20"/>
        <v>900</v>
      </c>
      <c r="Z174" s="541">
        <f t="shared" si="21"/>
        <v>45</v>
      </c>
      <c r="AA174" s="541">
        <f t="shared" si="22"/>
        <v>945</v>
      </c>
      <c r="AB174" s="540">
        <v>34605</v>
      </c>
      <c r="AC174" s="544"/>
      <c r="AD174" s="1096"/>
    </row>
    <row r="175" spans="1:30" s="617" customFormat="1">
      <c r="A175" s="666">
        <v>42324</v>
      </c>
      <c r="B175" s="627" t="s">
        <v>831</v>
      </c>
      <c r="C175" s="542">
        <v>12</v>
      </c>
      <c r="D175" s="542">
        <v>4.5</v>
      </c>
      <c r="E175" s="542"/>
      <c r="F175" s="542"/>
      <c r="G175" s="542">
        <v>10</v>
      </c>
      <c r="H175" s="542"/>
      <c r="I175" s="541"/>
      <c r="J175" s="541"/>
      <c r="K175" s="1094"/>
      <c r="L175" s="541">
        <v>1</v>
      </c>
      <c r="M175" s="541"/>
      <c r="N175" s="542">
        <v>1</v>
      </c>
      <c r="O175" s="542"/>
      <c r="P175" s="542">
        <v>10</v>
      </c>
      <c r="Q175" s="542"/>
      <c r="R175" s="542">
        <f t="shared" si="18"/>
        <v>27.5</v>
      </c>
      <c r="S175" s="543"/>
      <c r="T175" s="542">
        <f t="shared" si="19"/>
        <v>0</v>
      </c>
      <c r="U175" s="542"/>
      <c r="V175" s="1095"/>
      <c r="W175" s="1095"/>
      <c r="X175" s="1095"/>
      <c r="Y175" s="541">
        <f t="shared" si="20"/>
        <v>3281.5</v>
      </c>
      <c r="Z175" s="541">
        <f t="shared" si="21"/>
        <v>164.07500000000002</v>
      </c>
      <c r="AA175" s="541">
        <f t="shared" si="22"/>
        <v>3445.5749999999998</v>
      </c>
      <c r="AB175" s="540">
        <v>34605</v>
      </c>
      <c r="AC175" s="544"/>
      <c r="AD175" s="1096"/>
    </row>
    <row r="176" spans="1:30" s="617" customFormat="1">
      <c r="A176" s="666">
        <v>42325</v>
      </c>
      <c r="B176" s="1097" t="s">
        <v>114</v>
      </c>
      <c r="C176" s="542">
        <v>9</v>
      </c>
      <c r="D176" s="542">
        <v>4.5</v>
      </c>
      <c r="E176" s="542"/>
      <c r="F176" s="542">
        <v>7</v>
      </c>
      <c r="G176" s="542"/>
      <c r="H176" s="542"/>
      <c r="I176" s="541"/>
      <c r="J176" s="541"/>
      <c r="K176" s="1094"/>
      <c r="L176" s="541"/>
      <c r="M176" s="541"/>
      <c r="N176" s="542"/>
      <c r="O176" s="542">
        <v>1</v>
      </c>
      <c r="P176" s="542">
        <v>7</v>
      </c>
      <c r="Q176" s="542"/>
      <c r="R176" s="542">
        <f t="shared" si="18"/>
        <v>20.5</v>
      </c>
      <c r="S176" s="543"/>
      <c r="T176" s="542">
        <f t="shared" si="19"/>
        <v>0</v>
      </c>
      <c r="U176" s="542"/>
      <c r="V176" s="1095"/>
      <c r="W176" s="1095"/>
      <c r="X176" s="1095"/>
      <c r="Y176" s="541">
        <f t="shared" si="20"/>
        <v>2674.5</v>
      </c>
      <c r="Z176" s="541">
        <f t="shared" si="21"/>
        <v>133.72499999999999</v>
      </c>
      <c r="AA176" s="541">
        <f t="shared" si="22"/>
        <v>2808.2249999999999</v>
      </c>
      <c r="AB176" s="540">
        <v>34605</v>
      </c>
      <c r="AC176" s="544"/>
      <c r="AD176" s="1096"/>
    </row>
    <row r="177" spans="1:30" s="617" customFormat="1">
      <c r="A177" s="666">
        <v>42326</v>
      </c>
      <c r="B177" s="1097" t="s">
        <v>940</v>
      </c>
      <c r="C177" s="542">
        <v>12</v>
      </c>
      <c r="D177" s="542"/>
      <c r="E177" s="542"/>
      <c r="F177" s="542">
        <v>11</v>
      </c>
      <c r="G177" s="542"/>
      <c r="H177" s="542"/>
      <c r="I177" s="541"/>
      <c r="J177" s="541"/>
      <c r="K177" s="1094"/>
      <c r="L177" s="541"/>
      <c r="M177" s="541"/>
      <c r="N177" s="542">
        <v>1</v>
      </c>
      <c r="O177" s="542"/>
      <c r="P177" s="542">
        <v>11</v>
      </c>
      <c r="Q177" s="542"/>
      <c r="R177" s="542">
        <f t="shared" si="18"/>
        <v>23</v>
      </c>
      <c r="S177" s="543"/>
      <c r="T177" s="542">
        <f t="shared" si="19"/>
        <v>0</v>
      </c>
      <c r="U177" s="542"/>
      <c r="V177" s="1095"/>
      <c r="W177" s="1095"/>
      <c r="X177" s="1095"/>
      <c r="Y177" s="541">
        <f t="shared" si="20"/>
        <v>3471</v>
      </c>
      <c r="Z177" s="541">
        <f t="shared" si="21"/>
        <v>173.55</v>
      </c>
      <c r="AA177" s="541">
        <f t="shared" si="22"/>
        <v>3644.55</v>
      </c>
      <c r="AB177" s="540">
        <v>34605</v>
      </c>
      <c r="AC177" s="544"/>
      <c r="AD177" s="1096"/>
    </row>
    <row r="178" spans="1:30" s="617" customFormat="1">
      <c r="A178" s="666">
        <v>42327</v>
      </c>
      <c r="B178" s="1097" t="s">
        <v>941</v>
      </c>
      <c r="C178" s="542">
        <v>12.5</v>
      </c>
      <c r="D178" s="542"/>
      <c r="E178" s="542"/>
      <c r="F178" s="542">
        <v>12</v>
      </c>
      <c r="G178" s="542"/>
      <c r="H178" s="542"/>
      <c r="I178" s="541"/>
      <c r="J178" s="541"/>
      <c r="K178" s="1094"/>
      <c r="L178" s="541"/>
      <c r="M178" s="541"/>
      <c r="N178" s="542">
        <v>1</v>
      </c>
      <c r="O178" s="542"/>
      <c r="P178" s="542">
        <v>12</v>
      </c>
      <c r="Q178" s="542"/>
      <c r="R178" s="542">
        <f t="shared" si="18"/>
        <v>24.5</v>
      </c>
      <c r="S178" s="543"/>
      <c r="T178" s="542">
        <f t="shared" si="19"/>
        <v>0</v>
      </c>
      <c r="U178" s="542"/>
      <c r="V178" s="1095"/>
      <c r="W178" s="1095"/>
      <c r="X178" s="1095"/>
      <c r="Y178" s="541">
        <f t="shared" si="20"/>
        <v>3685.25</v>
      </c>
      <c r="Z178" s="541">
        <f t="shared" si="21"/>
        <v>184.26250000000002</v>
      </c>
      <c r="AA178" s="541">
        <f t="shared" si="22"/>
        <v>3869.5124999999998</v>
      </c>
      <c r="AB178" s="540">
        <v>34605</v>
      </c>
      <c r="AC178" s="544"/>
      <c r="AD178" s="1096"/>
    </row>
    <row r="179" spans="1:30" s="617" customFormat="1">
      <c r="A179" s="666">
        <v>42328</v>
      </c>
      <c r="B179" s="1097" t="s">
        <v>942</v>
      </c>
      <c r="C179" s="542">
        <v>12</v>
      </c>
      <c r="D179" s="542"/>
      <c r="E179" s="542"/>
      <c r="F179" s="542">
        <v>10</v>
      </c>
      <c r="G179" s="542"/>
      <c r="H179" s="542"/>
      <c r="I179" s="541"/>
      <c r="J179" s="541"/>
      <c r="K179" s="1094"/>
      <c r="L179" s="541"/>
      <c r="M179" s="541"/>
      <c r="N179" s="542">
        <v>1</v>
      </c>
      <c r="O179" s="542"/>
      <c r="P179" s="542">
        <v>10</v>
      </c>
      <c r="Q179" s="542"/>
      <c r="R179" s="542">
        <f t="shared" si="18"/>
        <v>22</v>
      </c>
      <c r="S179" s="543"/>
      <c r="T179" s="542">
        <f t="shared" si="19"/>
        <v>0</v>
      </c>
      <c r="U179" s="542"/>
      <c r="V179" s="1095"/>
      <c r="W179" s="1095"/>
      <c r="X179" s="1095"/>
      <c r="Y179" s="541">
        <f t="shared" si="20"/>
        <v>3304</v>
      </c>
      <c r="Z179" s="541">
        <f t="shared" si="21"/>
        <v>165.20000000000002</v>
      </c>
      <c r="AA179" s="541">
        <f t="shared" si="22"/>
        <v>3469.2</v>
      </c>
      <c r="AB179" s="540">
        <v>34605</v>
      </c>
      <c r="AC179" s="544"/>
      <c r="AD179" s="1096"/>
    </row>
    <row r="180" spans="1:30" s="617" customFormat="1">
      <c r="A180" s="666">
        <v>42329</v>
      </c>
      <c r="B180" s="1097" t="s">
        <v>943</v>
      </c>
      <c r="C180" s="542">
        <v>8</v>
      </c>
      <c r="D180" s="542"/>
      <c r="E180" s="542"/>
      <c r="F180" s="542">
        <v>4</v>
      </c>
      <c r="G180" s="542"/>
      <c r="H180" s="542"/>
      <c r="I180" s="541"/>
      <c r="J180" s="541"/>
      <c r="K180" s="1094"/>
      <c r="L180" s="541"/>
      <c r="M180" s="541"/>
      <c r="N180" s="542"/>
      <c r="O180" s="542"/>
      <c r="P180" s="542"/>
      <c r="Q180" s="542">
        <v>100</v>
      </c>
      <c r="R180" s="542">
        <f t="shared" si="18"/>
        <v>12</v>
      </c>
      <c r="S180" s="543"/>
      <c r="T180" s="542">
        <f t="shared" si="19"/>
        <v>100</v>
      </c>
      <c r="U180" s="542"/>
      <c r="V180" s="1095"/>
      <c r="W180" s="1095"/>
      <c r="X180" s="1095"/>
      <c r="Y180" s="541">
        <f t="shared" si="20"/>
        <v>1442</v>
      </c>
      <c r="Z180" s="541">
        <f t="shared" si="21"/>
        <v>72.100000000000009</v>
      </c>
      <c r="AA180" s="541">
        <f t="shared" si="22"/>
        <v>1514.1</v>
      </c>
      <c r="AB180" s="540">
        <v>34605</v>
      </c>
      <c r="AC180" s="544"/>
      <c r="AD180" s="1096"/>
    </row>
    <row r="181" spans="1:30" s="617" customFormat="1">
      <c r="A181" s="666">
        <v>42330</v>
      </c>
      <c r="B181" s="627" t="s">
        <v>827</v>
      </c>
      <c r="C181" s="542"/>
      <c r="D181" s="542"/>
      <c r="E181" s="542"/>
      <c r="F181" s="542"/>
      <c r="G181" s="542"/>
      <c r="H181" s="542"/>
      <c r="I181" s="541"/>
      <c r="J181" s="541"/>
      <c r="K181" s="1094"/>
      <c r="L181" s="541"/>
      <c r="M181" s="541"/>
      <c r="N181" s="542"/>
      <c r="O181" s="542"/>
      <c r="P181" s="542"/>
      <c r="Q181" s="542"/>
      <c r="R181" s="542">
        <f t="shared" si="18"/>
        <v>0</v>
      </c>
      <c r="S181" s="543"/>
      <c r="T181" s="542">
        <f t="shared" si="19"/>
        <v>0</v>
      </c>
      <c r="U181" s="542"/>
      <c r="V181" s="1095"/>
      <c r="W181" s="1095"/>
      <c r="X181" s="1095"/>
      <c r="Y181" s="541">
        <f t="shared" si="20"/>
        <v>0</v>
      </c>
      <c r="Z181" s="541">
        <f t="shared" si="21"/>
        <v>0</v>
      </c>
      <c r="AA181" s="541">
        <f t="shared" si="22"/>
        <v>0</v>
      </c>
      <c r="AB181" s="540">
        <v>34605</v>
      </c>
      <c r="AC181" s="544"/>
      <c r="AD181" s="1096"/>
    </row>
    <row r="182" spans="1:30" s="617" customFormat="1">
      <c r="A182" s="666">
        <v>42331</v>
      </c>
      <c r="B182" s="627" t="s">
        <v>947</v>
      </c>
      <c r="C182" s="542">
        <v>11.5</v>
      </c>
      <c r="D182" s="542"/>
      <c r="E182" s="542">
        <v>10</v>
      </c>
      <c r="F182" s="542">
        <v>9</v>
      </c>
      <c r="G182" s="542"/>
      <c r="H182" s="542"/>
      <c r="I182" s="541"/>
      <c r="J182" s="541"/>
      <c r="K182" s="1094"/>
      <c r="L182" s="541">
        <v>0.5</v>
      </c>
      <c r="M182" s="541"/>
      <c r="N182" s="542">
        <v>1</v>
      </c>
      <c r="O182" s="542"/>
      <c r="P182" s="542">
        <v>19</v>
      </c>
      <c r="Q182" s="542"/>
      <c r="R182" s="542">
        <f t="shared" ref="R182:R199" si="23">L182+J182+I182+H182+G182+F182+E182+D182+C182</f>
        <v>31</v>
      </c>
      <c r="S182" s="543"/>
      <c r="T182" s="542">
        <f t="shared" ref="T182:T199" si="24">Q182</f>
        <v>0</v>
      </c>
      <c r="U182" s="542"/>
      <c r="V182" s="1095"/>
      <c r="W182" s="1095"/>
      <c r="X182" s="1095"/>
      <c r="Y182" s="541">
        <f t="shared" ref="Y182:Y199" si="25">SUM(C182*$C$6+D182*$D$6+E182*$E$6+F182*$F$6+G182*$G$6+H182*$H$6+I182*$I$6+J182*$J$6+K182*$K$6+L182*$L$6+M182*$M$6+N182*$N$6+O182*$O$6+P182*$P$6+Q182*$Q$6+U182*$U$6+V182*$V$6+W182*$W$6+X182*$X$6)</f>
        <v>4411</v>
      </c>
      <c r="Z182" s="541">
        <f t="shared" ref="Z182:Z199" si="26">(Y182*5%)</f>
        <v>220.55</v>
      </c>
      <c r="AA182" s="541">
        <f t="shared" ref="AA182:AA199" si="27">SUM(Y182+Z182)</f>
        <v>4631.55</v>
      </c>
      <c r="AB182" s="540">
        <v>34605</v>
      </c>
      <c r="AC182" s="544"/>
      <c r="AD182" s="1096"/>
    </row>
    <row r="183" spans="1:30" s="617" customFormat="1">
      <c r="A183" s="666">
        <v>42332</v>
      </c>
      <c r="B183" s="627" t="s">
        <v>948</v>
      </c>
      <c r="C183" s="542">
        <v>12</v>
      </c>
      <c r="D183" s="542"/>
      <c r="E183" s="542"/>
      <c r="F183" s="542">
        <v>10</v>
      </c>
      <c r="G183" s="542"/>
      <c r="H183" s="542"/>
      <c r="I183" s="541"/>
      <c r="J183" s="541"/>
      <c r="K183" s="1094"/>
      <c r="L183" s="541"/>
      <c r="M183" s="541"/>
      <c r="N183" s="542">
        <v>1</v>
      </c>
      <c r="O183" s="542"/>
      <c r="P183" s="542"/>
      <c r="Q183" s="542">
        <v>235</v>
      </c>
      <c r="R183" s="542">
        <f t="shared" si="23"/>
        <v>22</v>
      </c>
      <c r="S183" s="543"/>
      <c r="T183" s="542">
        <f t="shared" si="24"/>
        <v>235</v>
      </c>
      <c r="U183" s="542"/>
      <c r="V183" s="1095"/>
      <c r="W183" s="1095"/>
      <c r="X183" s="1095"/>
      <c r="Y183" s="541">
        <f t="shared" si="25"/>
        <v>3332.5</v>
      </c>
      <c r="Z183" s="541">
        <f t="shared" si="26"/>
        <v>166.625</v>
      </c>
      <c r="AA183" s="541">
        <f t="shared" si="27"/>
        <v>3499.125</v>
      </c>
      <c r="AB183" s="540">
        <v>34605</v>
      </c>
      <c r="AC183" s="544"/>
      <c r="AD183" s="1096"/>
    </row>
    <row r="184" spans="1:30" s="617" customFormat="1">
      <c r="A184" s="666">
        <v>42333</v>
      </c>
      <c r="B184" s="627" t="s">
        <v>965</v>
      </c>
      <c r="C184" s="542">
        <v>12.5</v>
      </c>
      <c r="D184" s="542">
        <v>2</v>
      </c>
      <c r="E184" s="542"/>
      <c r="F184" s="542">
        <v>10</v>
      </c>
      <c r="G184" s="542"/>
      <c r="H184" s="542"/>
      <c r="I184" s="541"/>
      <c r="J184" s="541"/>
      <c r="K184" s="1094"/>
      <c r="L184" s="541">
        <v>1</v>
      </c>
      <c r="M184" s="541"/>
      <c r="N184" s="542">
        <v>1</v>
      </c>
      <c r="O184" s="542"/>
      <c r="P184" s="542">
        <v>10</v>
      </c>
      <c r="Q184" s="542"/>
      <c r="R184" s="542">
        <f t="shared" si="23"/>
        <v>25.5</v>
      </c>
      <c r="S184" s="543"/>
      <c r="T184" s="542">
        <f t="shared" si="24"/>
        <v>0</v>
      </c>
      <c r="U184" s="542"/>
      <c r="V184" s="1095"/>
      <c r="W184" s="1095"/>
      <c r="X184" s="1095"/>
      <c r="Y184" s="541">
        <f t="shared" si="25"/>
        <v>3643.75</v>
      </c>
      <c r="Z184" s="541">
        <f t="shared" si="26"/>
        <v>182.1875</v>
      </c>
      <c r="AA184" s="541">
        <f t="shared" si="27"/>
        <v>3825.9375</v>
      </c>
      <c r="AB184" s="540">
        <v>34605</v>
      </c>
      <c r="AC184" s="544"/>
      <c r="AD184" s="1096"/>
    </row>
    <row r="185" spans="1:30" s="617" customFormat="1">
      <c r="A185" s="666">
        <v>42334</v>
      </c>
      <c r="B185" s="627" t="s">
        <v>966</v>
      </c>
      <c r="C185" s="542">
        <v>2</v>
      </c>
      <c r="D185" s="542">
        <v>9</v>
      </c>
      <c r="E185" s="542">
        <v>1.5</v>
      </c>
      <c r="F185" s="542">
        <v>9</v>
      </c>
      <c r="G185" s="542"/>
      <c r="H185" s="542"/>
      <c r="I185" s="541"/>
      <c r="J185" s="541"/>
      <c r="K185" s="1094"/>
      <c r="L185" s="541">
        <v>2</v>
      </c>
      <c r="M185" s="541"/>
      <c r="N185" s="542">
        <v>1</v>
      </c>
      <c r="O185" s="542"/>
      <c r="P185" s="542">
        <v>1.5</v>
      </c>
      <c r="Q185" s="542">
        <v>198</v>
      </c>
      <c r="R185" s="542">
        <f t="shared" si="23"/>
        <v>23.5</v>
      </c>
      <c r="S185" s="543"/>
      <c r="T185" s="542">
        <f t="shared" si="24"/>
        <v>198</v>
      </c>
      <c r="U185" s="542">
        <v>2</v>
      </c>
      <c r="V185" s="1095"/>
      <c r="W185" s="1095"/>
      <c r="X185" s="1095"/>
      <c r="Y185" s="541">
        <f t="shared" si="25"/>
        <v>3562.55</v>
      </c>
      <c r="Z185" s="541">
        <f t="shared" si="26"/>
        <v>178.12750000000003</v>
      </c>
      <c r="AA185" s="541">
        <f t="shared" si="27"/>
        <v>3740.6775000000002</v>
      </c>
      <c r="AB185" s="540">
        <v>34605</v>
      </c>
      <c r="AC185" s="544"/>
      <c r="AD185" s="1096"/>
    </row>
    <row r="186" spans="1:30" s="617" customFormat="1">
      <c r="A186" s="666">
        <v>42335</v>
      </c>
      <c r="B186" s="627" t="s">
        <v>975</v>
      </c>
      <c r="C186" s="542"/>
      <c r="D186" s="542">
        <v>8</v>
      </c>
      <c r="E186" s="542"/>
      <c r="F186" s="542"/>
      <c r="G186" s="542"/>
      <c r="H186" s="542"/>
      <c r="I186" s="541"/>
      <c r="J186" s="541"/>
      <c r="K186" s="1094"/>
      <c r="L186" s="541">
        <v>1</v>
      </c>
      <c r="M186" s="541"/>
      <c r="N186" s="542"/>
      <c r="O186" s="542"/>
      <c r="P186" s="542"/>
      <c r="Q186" s="542"/>
      <c r="R186" s="542">
        <f t="shared" si="23"/>
        <v>9</v>
      </c>
      <c r="S186" s="543"/>
      <c r="T186" s="542">
        <f t="shared" si="24"/>
        <v>0</v>
      </c>
      <c r="U186" s="542"/>
      <c r="V186" s="1095"/>
      <c r="W186" s="1095"/>
      <c r="X186" s="1095"/>
      <c r="Y186" s="541">
        <f t="shared" si="25"/>
        <v>832.5</v>
      </c>
      <c r="Z186" s="541">
        <f t="shared" si="26"/>
        <v>41.625</v>
      </c>
      <c r="AA186" s="541">
        <f t="shared" si="27"/>
        <v>874.125</v>
      </c>
      <c r="AB186" s="540">
        <v>34605</v>
      </c>
      <c r="AC186" s="544"/>
      <c r="AD186" s="1096"/>
    </row>
    <row r="187" spans="1:30" s="617" customFormat="1">
      <c r="A187" s="666">
        <v>42336</v>
      </c>
      <c r="B187" s="627" t="s">
        <v>976</v>
      </c>
      <c r="C187" s="542"/>
      <c r="D187" s="542">
        <v>8.5</v>
      </c>
      <c r="E187" s="542"/>
      <c r="F187" s="542"/>
      <c r="G187" s="542"/>
      <c r="H187" s="542"/>
      <c r="I187" s="541"/>
      <c r="J187" s="541"/>
      <c r="K187" s="1094"/>
      <c r="L187" s="541"/>
      <c r="M187" s="541"/>
      <c r="N187" s="542"/>
      <c r="O187" s="542"/>
      <c r="P187" s="542"/>
      <c r="Q187" s="542"/>
      <c r="R187" s="542">
        <f t="shared" si="23"/>
        <v>8.5</v>
      </c>
      <c r="S187" s="543"/>
      <c r="T187" s="542">
        <f t="shared" si="24"/>
        <v>0</v>
      </c>
      <c r="U187" s="542"/>
      <c r="V187" s="1095"/>
      <c r="W187" s="1095"/>
      <c r="X187" s="1095"/>
      <c r="Y187" s="541">
        <f t="shared" si="25"/>
        <v>765</v>
      </c>
      <c r="Z187" s="541">
        <f t="shared" si="26"/>
        <v>38.25</v>
      </c>
      <c r="AA187" s="541">
        <f t="shared" si="27"/>
        <v>803.25</v>
      </c>
      <c r="AB187" s="540">
        <v>34605</v>
      </c>
      <c r="AC187" s="544"/>
      <c r="AD187" s="1096"/>
    </row>
    <row r="188" spans="1:30" s="617" customFormat="1">
      <c r="A188" s="666">
        <v>42337</v>
      </c>
      <c r="B188" s="627" t="s">
        <v>977</v>
      </c>
      <c r="C188" s="542"/>
      <c r="D188" s="542">
        <v>8</v>
      </c>
      <c r="E188" s="542"/>
      <c r="F188" s="542"/>
      <c r="G188" s="542"/>
      <c r="H188" s="542"/>
      <c r="I188" s="541"/>
      <c r="J188" s="541"/>
      <c r="K188" s="1094"/>
      <c r="L188" s="541"/>
      <c r="M188" s="541"/>
      <c r="N188" s="542"/>
      <c r="O188" s="542"/>
      <c r="P188" s="542"/>
      <c r="Q188" s="542"/>
      <c r="R188" s="542">
        <f t="shared" si="23"/>
        <v>8</v>
      </c>
      <c r="S188" s="543"/>
      <c r="T188" s="542">
        <f t="shared" si="24"/>
        <v>0</v>
      </c>
      <c r="U188" s="542"/>
      <c r="V188" s="1095"/>
      <c r="W188" s="1095"/>
      <c r="X188" s="1095"/>
      <c r="Y188" s="541">
        <f t="shared" si="25"/>
        <v>720</v>
      </c>
      <c r="Z188" s="541">
        <f t="shared" si="26"/>
        <v>36</v>
      </c>
      <c r="AA188" s="541">
        <f t="shared" si="27"/>
        <v>756</v>
      </c>
      <c r="AB188" s="540">
        <v>34605</v>
      </c>
      <c r="AC188" s="544"/>
      <c r="AD188" s="1096"/>
    </row>
    <row r="189" spans="1:30" s="617" customFormat="1">
      <c r="A189" s="666">
        <v>42338</v>
      </c>
      <c r="B189" s="627" t="s">
        <v>978</v>
      </c>
      <c r="C189" s="542">
        <v>5</v>
      </c>
      <c r="D189" s="542">
        <v>15.5</v>
      </c>
      <c r="E189" s="542"/>
      <c r="F189" s="542">
        <v>12</v>
      </c>
      <c r="G189" s="542"/>
      <c r="H189" s="542"/>
      <c r="I189" s="541"/>
      <c r="J189" s="541"/>
      <c r="K189" s="1094"/>
      <c r="L189" s="541">
        <v>1</v>
      </c>
      <c r="M189" s="541"/>
      <c r="N189" s="542">
        <v>1</v>
      </c>
      <c r="O189" s="542"/>
      <c r="P189" s="542">
        <v>12</v>
      </c>
      <c r="Q189" s="542"/>
      <c r="R189" s="542">
        <f t="shared" si="23"/>
        <v>33.5</v>
      </c>
      <c r="S189" s="543"/>
      <c r="T189" s="542">
        <f t="shared" si="24"/>
        <v>0</v>
      </c>
      <c r="U189" s="542"/>
      <c r="V189" s="1095"/>
      <c r="W189" s="1095"/>
      <c r="X189" s="1095"/>
      <c r="Y189" s="541">
        <f t="shared" si="25"/>
        <v>4484</v>
      </c>
      <c r="Z189" s="541">
        <f t="shared" si="26"/>
        <v>224.20000000000002</v>
      </c>
      <c r="AA189" s="541">
        <f t="shared" si="27"/>
        <v>4708.2</v>
      </c>
      <c r="AB189" s="540">
        <v>34605</v>
      </c>
      <c r="AC189" s="544"/>
      <c r="AD189" s="1104"/>
    </row>
    <row r="190" spans="1:30" s="559" customFormat="1">
      <c r="A190" s="1098" t="s">
        <v>1016</v>
      </c>
      <c r="B190" s="1099" t="s">
        <v>1008</v>
      </c>
      <c r="C190" s="1100"/>
      <c r="D190" s="1100"/>
      <c r="E190" s="1100"/>
      <c r="F190" s="1100"/>
      <c r="G190" s="1100"/>
      <c r="H190" s="1100"/>
      <c r="I190" s="1101"/>
      <c r="J190" s="1101"/>
      <c r="K190" s="1101"/>
      <c r="L190" s="1101"/>
      <c r="M190" s="1101"/>
      <c r="N190" s="1100"/>
      <c r="O190" s="1100"/>
      <c r="P190" s="1100"/>
      <c r="Q190" s="1100"/>
      <c r="R190" s="1100"/>
      <c r="S190" s="1102"/>
      <c r="T190" s="1100"/>
      <c r="U190" s="1100"/>
      <c r="V190" s="1100"/>
      <c r="W190" s="1100"/>
      <c r="X190" s="1100"/>
      <c r="Y190" s="1101">
        <v>600</v>
      </c>
      <c r="Z190" s="541">
        <f t="shared" ref="Z190" si="28">(Y190*5%)</f>
        <v>30</v>
      </c>
      <c r="AA190" s="541">
        <f t="shared" ref="AA190" si="29">SUM(Y190+Z190)</f>
        <v>630</v>
      </c>
      <c r="AB190" s="540">
        <v>34605</v>
      </c>
      <c r="AC190" s="1103"/>
      <c r="AD190" s="1132"/>
    </row>
    <row r="191" spans="1:30" s="559" customFormat="1">
      <c r="A191" s="695">
        <v>42339</v>
      </c>
      <c r="B191" s="901" t="s">
        <v>979</v>
      </c>
      <c r="C191" s="701">
        <v>2</v>
      </c>
      <c r="D191" s="701">
        <v>16.5</v>
      </c>
      <c r="E191" s="701"/>
      <c r="F191" s="701">
        <v>7</v>
      </c>
      <c r="G191" s="701"/>
      <c r="H191" s="701"/>
      <c r="I191" s="700"/>
      <c r="J191" s="700"/>
      <c r="K191" s="1070"/>
      <c r="L191" s="700">
        <v>1.5</v>
      </c>
      <c r="M191" s="700"/>
      <c r="N191" s="701">
        <v>1</v>
      </c>
      <c r="O191" s="701"/>
      <c r="P191" s="701">
        <v>7</v>
      </c>
      <c r="Q191" s="701"/>
      <c r="R191" s="701">
        <f t="shared" si="23"/>
        <v>27</v>
      </c>
      <c r="S191" s="829"/>
      <c r="T191" s="701">
        <f t="shared" si="24"/>
        <v>0</v>
      </c>
      <c r="U191" s="701">
        <v>7</v>
      </c>
      <c r="V191" s="890"/>
      <c r="W191" s="890"/>
      <c r="X191" s="890"/>
      <c r="Y191" s="700">
        <f t="shared" si="25"/>
        <v>3984.25</v>
      </c>
      <c r="Z191" s="700">
        <f t="shared" si="26"/>
        <v>199.21250000000001</v>
      </c>
      <c r="AA191" s="700">
        <f t="shared" si="27"/>
        <v>4183.4624999999996</v>
      </c>
      <c r="AB191" s="818">
        <v>34968</v>
      </c>
      <c r="AC191" s="830"/>
      <c r="AD191" s="1132"/>
    </row>
    <row r="192" spans="1:30" s="559" customFormat="1">
      <c r="A192" s="695">
        <v>42340</v>
      </c>
      <c r="B192" s="901" t="s">
        <v>980</v>
      </c>
      <c r="C192" s="701">
        <v>2</v>
      </c>
      <c r="D192" s="701">
        <v>11.5</v>
      </c>
      <c r="E192" s="701"/>
      <c r="F192" s="701">
        <v>6.5</v>
      </c>
      <c r="G192" s="701"/>
      <c r="H192" s="701"/>
      <c r="I192" s="700"/>
      <c r="J192" s="700"/>
      <c r="K192" s="1070"/>
      <c r="L192" s="700">
        <v>5</v>
      </c>
      <c r="M192" s="700"/>
      <c r="N192" s="701">
        <v>0.5</v>
      </c>
      <c r="O192" s="701"/>
      <c r="P192" s="701">
        <v>6.5</v>
      </c>
      <c r="Q192" s="701"/>
      <c r="R192" s="701">
        <f t="shared" si="23"/>
        <v>25</v>
      </c>
      <c r="S192" s="829"/>
      <c r="T192" s="701">
        <f t="shared" si="24"/>
        <v>0</v>
      </c>
      <c r="U192" s="701"/>
      <c r="V192" s="890"/>
      <c r="W192" s="890"/>
      <c r="X192" s="890"/>
      <c r="Y192" s="700">
        <f t="shared" si="25"/>
        <v>3122</v>
      </c>
      <c r="Z192" s="700">
        <f t="shared" si="26"/>
        <v>156.10000000000002</v>
      </c>
      <c r="AA192" s="700">
        <f t="shared" si="27"/>
        <v>3278.1</v>
      </c>
      <c r="AB192" s="818">
        <v>34968</v>
      </c>
      <c r="AC192" s="830"/>
      <c r="AD192" s="1132"/>
    </row>
    <row r="193" spans="1:30" s="559" customFormat="1">
      <c r="A193" s="695">
        <v>42341</v>
      </c>
      <c r="B193" s="901" t="s">
        <v>981</v>
      </c>
      <c r="C193" s="701">
        <v>10</v>
      </c>
      <c r="D193" s="701">
        <v>17.5</v>
      </c>
      <c r="E193" s="701"/>
      <c r="F193" s="701">
        <v>8</v>
      </c>
      <c r="G193" s="701"/>
      <c r="H193" s="701"/>
      <c r="I193" s="700"/>
      <c r="J193" s="700"/>
      <c r="K193" s="1070"/>
      <c r="L193" s="700">
        <v>1.5</v>
      </c>
      <c r="M193" s="700"/>
      <c r="N193" s="701">
        <v>1</v>
      </c>
      <c r="O193" s="701"/>
      <c r="P193" s="701"/>
      <c r="Q193" s="701">
        <v>220</v>
      </c>
      <c r="R193" s="701">
        <f t="shared" si="23"/>
        <v>37</v>
      </c>
      <c r="S193" s="829"/>
      <c r="T193" s="701">
        <f t="shared" si="24"/>
        <v>220</v>
      </c>
      <c r="U193" s="701"/>
      <c r="V193" s="890"/>
      <c r="W193" s="890"/>
      <c r="X193" s="890"/>
      <c r="Y193" s="700">
        <f t="shared" si="25"/>
        <v>4582.75</v>
      </c>
      <c r="Z193" s="700">
        <f t="shared" si="26"/>
        <v>229.13750000000002</v>
      </c>
      <c r="AA193" s="700">
        <f t="shared" si="27"/>
        <v>4811.8874999999998</v>
      </c>
      <c r="AB193" s="818">
        <v>34968</v>
      </c>
      <c r="AC193" s="830"/>
      <c r="AD193" s="1132"/>
    </row>
    <row r="194" spans="1:30" s="559" customFormat="1">
      <c r="A194" s="695">
        <v>42342</v>
      </c>
      <c r="B194" s="901" t="s">
        <v>982</v>
      </c>
      <c r="C194" s="701">
        <v>3</v>
      </c>
      <c r="D194" s="701">
        <v>12.5</v>
      </c>
      <c r="E194" s="701"/>
      <c r="F194" s="701">
        <v>4</v>
      </c>
      <c r="G194" s="701"/>
      <c r="H194" s="701"/>
      <c r="I194" s="700"/>
      <c r="J194" s="700"/>
      <c r="K194" s="1070"/>
      <c r="L194" s="700"/>
      <c r="M194" s="700"/>
      <c r="N194" s="701"/>
      <c r="O194" s="701"/>
      <c r="P194" s="701">
        <v>4</v>
      </c>
      <c r="Q194" s="701"/>
      <c r="R194" s="701">
        <f t="shared" si="23"/>
        <v>19.5</v>
      </c>
      <c r="S194" s="829"/>
      <c r="T194" s="701">
        <f t="shared" si="24"/>
        <v>0</v>
      </c>
      <c r="U194" s="701"/>
      <c r="V194" s="890"/>
      <c r="W194" s="890"/>
      <c r="X194" s="890"/>
      <c r="Y194" s="700">
        <f t="shared" si="25"/>
        <v>2076.5</v>
      </c>
      <c r="Z194" s="700">
        <f t="shared" si="26"/>
        <v>103.825</v>
      </c>
      <c r="AA194" s="700">
        <f t="shared" si="27"/>
        <v>2180.3249999999998</v>
      </c>
      <c r="AB194" s="818">
        <v>34968</v>
      </c>
      <c r="AC194" s="830"/>
      <c r="AD194" s="1132"/>
    </row>
    <row r="195" spans="1:30" s="559" customFormat="1">
      <c r="A195" s="695">
        <v>42343</v>
      </c>
      <c r="B195" s="901" t="s">
        <v>983</v>
      </c>
      <c r="C195" s="701"/>
      <c r="D195" s="701">
        <v>8</v>
      </c>
      <c r="E195" s="701"/>
      <c r="F195" s="701"/>
      <c r="G195" s="701"/>
      <c r="H195" s="701"/>
      <c r="I195" s="700"/>
      <c r="J195" s="700"/>
      <c r="K195" s="1070"/>
      <c r="L195" s="700"/>
      <c r="M195" s="700"/>
      <c r="N195" s="701"/>
      <c r="O195" s="701"/>
      <c r="P195" s="701"/>
      <c r="Q195" s="701"/>
      <c r="R195" s="701">
        <f t="shared" si="23"/>
        <v>8</v>
      </c>
      <c r="S195" s="829"/>
      <c r="T195" s="701">
        <f t="shared" si="24"/>
        <v>0</v>
      </c>
      <c r="U195" s="701"/>
      <c r="V195" s="890"/>
      <c r="W195" s="890"/>
      <c r="X195" s="890"/>
      <c r="Y195" s="700">
        <f t="shared" si="25"/>
        <v>720</v>
      </c>
      <c r="Z195" s="700">
        <f t="shared" si="26"/>
        <v>36</v>
      </c>
      <c r="AA195" s="700">
        <f t="shared" si="27"/>
        <v>756</v>
      </c>
      <c r="AB195" s="818">
        <v>34968</v>
      </c>
      <c r="AC195" s="830"/>
      <c r="AD195" s="1132"/>
    </row>
    <row r="196" spans="1:30" s="559" customFormat="1">
      <c r="A196" s="695">
        <v>42344</v>
      </c>
      <c r="B196" s="901" t="s">
        <v>984</v>
      </c>
      <c r="C196" s="701"/>
      <c r="D196" s="701"/>
      <c r="E196" s="701"/>
      <c r="F196" s="701"/>
      <c r="G196" s="701"/>
      <c r="H196" s="701"/>
      <c r="I196" s="700"/>
      <c r="J196" s="700"/>
      <c r="K196" s="1070"/>
      <c r="L196" s="700">
        <v>3.5</v>
      </c>
      <c r="M196" s="700"/>
      <c r="N196" s="701"/>
      <c r="O196" s="701"/>
      <c r="P196" s="701"/>
      <c r="Q196" s="701"/>
      <c r="R196" s="701">
        <f t="shared" si="23"/>
        <v>3.5</v>
      </c>
      <c r="S196" s="829"/>
      <c r="T196" s="701">
        <f t="shared" si="24"/>
        <v>0</v>
      </c>
      <c r="U196" s="701"/>
      <c r="V196" s="890"/>
      <c r="W196" s="890"/>
      <c r="X196" s="890"/>
      <c r="Y196" s="700">
        <f t="shared" si="25"/>
        <v>393.75</v>
      </c>
      <c r="Z196" s="700">
        <f t="shared" si="26"/>
        <v>19.6875</v>
      </c>
      <c r="AA196" s="700">
        <f t="shared" si="27"/>
        <v>413.4375</v>
      </c>
      <c r="AB196" s="818">
        <v>34968</v>
      </c>
      <c r="AC196" s="830"/>
      <c r="AD196" s="1132"/>
    </row>
    <row r="197" spans="1:30" s="559" customFormat="1">
      <c r="A197" s="695">
        <v>42345</v>
      </c>
      <c r="B197" s="901" t="s">
        <v>985</v>
      </c>
      <c r="C197" s="701"/>
      <c r="D197" s="701">
        <v>8.5</v>
      </c>
      <c r="E197" s="701"/>
      <c r="F197" s="701">
        <v>8</v>
      </c>
      <c r="G197" s="701"/>
      <c r="H197" s="701"/>
      <c r="I197" s="700"/>
      <c r="J197" s="700"/>
      <c r="K197" s="1070"/>
      <c r="L197" s="700">
        <v>4</v>
      </c>
      <c r="M197" s="700"/>
      <c r="N197" s="701">
        <v>1</v>
      </c>
      <c r="O197" s="701"/>
      <c r="P197" s="701"/>
      <c r="Q197" s="701">
        <v>200</v>
      </c>
      <c r="R197" s="701">
        <f t="shared" si="23"/>
        <v>20.5</v>
      </c>
      <c r="S197" s="829"/>
      <c r="T197" s="701">
        <f t="shared" si="24"/>
        <v>200</v>
      </c>
      <c r="U197" s="701">
        <v>3</v>
      </c>
      <c r="V197" s="890"/>
      <c r="W197" s="890"/>
      <c r="X197" s="890"/>
      <c r="Y197" s="700">
        <f t="shared" si="25"/>
        <v>3289.5</v>
      </c>
      <c r="Z197" s="700">
        <f t="shared" si="26"/>
        <v>164.47500000000002</v>
      </c>
      <c r="AA197" s="700">
        <f t="shared" si="27"/>
        <v>3453.9749999999999</v>
      </c>
      <c r="AB197" s="818">
        <v>34968</v>
      </c>
      <c r="AC197" s="830"/>
      <c r="AD197" s="1132"/>
    </row>
    <row r="198" spans="1:30" s="559" customFormat="1">
      <c r="A198" s="695">
        <v>42346</v>
      </c>
      <c r="B198" s="901" t="s">
        <v>997</v>
      </c>
      <c r="C198" s="701">
        <v>1.5</v>
      </c>
      <c r="D198" s="701">
        <v>0.5</v>
      </c>
      <c r="E198" s="701"/>
      <c r="F198" s="701">
        <v>12</v>
      </c>
      <c r="G198" s="701"/>
      <c r="H198" s="701"/>
      <c r="I198" s="700"/>
      <c r="J198" s="700"/>
      <c r="K198" s="1070"/>
      <c r="L198" s="700">
        <v>1</v>
      </c>
      <c r="M198" s="700"/>
      <c r="N198" s="701">
        <v>1</v>
      </c>
      <c r="O198" s="701"/>
      <c r="P198" s="701">
        <v>12</v>
      </c>
      <c r="Q198" s="701"/>
      <c r="R198" s="701">
        <f t="shared" si="23"/>
        <v>15</v>
      </c>
      <c r="S198" s="829"/>
      <c r="T198" s="701">
        <f t="shared" si="24"/>
        <v>0</v>
      </c>
      <c r="U198" s="701"/>
      <c r="V198" s="890"/>
      <c r="W198" s="890"/>
      <c r="X198" s="890"/>
      <c r="Y198" s="700">
        <f t="shared" si="25"/>
        <v>2803.25</v>
      </c>
      <c r="Z198" s="700">
        <f t="shared" si="26"/>
        <v>140.16249999999999</v>
      </c>
      <c r="AA198" s="700">
        <f t="shared" si="27"/>
        <v>2943.4124999999999</v>
      </c>
      <c r="AB198" s="818">
        <v>34968</v>
      </c>
      <c r="AC198" s="830"/>
      <c r="AD198" s="1132"/>
    </row>
    <row r="199" spans="1:30" s="559" customFormat="1">
      <c r="A199" s="695">
        <v>42347</v>
      </c>
      <c r="B199" s="901" t="s">
        <v>998</v>
      </c>
      <c r="C199" s="701">
        <v>2</v>
      </c>
      <c r="D199" s="701">
        <v>6.5</v>
      </c>
      <c r="E199" s="701"/>
      <c r="F199" s="701"/>
      <c r="G199" s="701"/>
      <c r="H199" s="701"/>
      <c r="I199" s="700"/>
      <c r="J199" s="700"/>
      <c r="K199" s="1070"/>
      <c r="L199" s="700">
        <v>1</v>
      </c>
      <c r="M199" s="700"/>
      <c r="N199" s="701"/>
      <c r="O199" s="701"/>
      <c r="P199" s="701"/>
      <c r="Q199" s="701"/>
      <c r="R199" s="701">
        <f t="shared" si="23"/>
        <v>9.5</v>
      </c>
      <c r="S199" s="829"/>
      <c r="T199" s="701">
        <f t="shared" si="24"/>
        <v>0</v>
      </c>
      <c r="U199" s="701"/>
      <c r="V199" s="890"/>
      <c r="W199" s="890"/>
      <c r="X199" s="890"/>
      <c r="Y199" s="700">
        <f t="shared" si="25"/>
        <v>886.5</v>
      </c>
      <c r="Z199" s="700">
        <f t="shared" si="26"/>
        <v>44.325000000000003</v>
      </c>
      <c r="AA199" s="700">
        <f t="shared" si="27"/>
        <v>930.82500000000005</v>
      </c>
      <c r="AB199" s="818">
        <v>34968</v>
      </c>
      <c r="AC199" s="830"/>
      <c r="AD199" s="1132"/>
    </row>
    <row r="200" spans="1:30" s="559" customFormat="1">
      <c r="A200" s="695">
        <v>42348</v>
      </c>
      <c r="B200" s="901" t="s">
        <v>999</v>
      </c>
      <c r="C200" s="701"/>
      <c r="D200" s="701">
        <v>6</v>
      </c>
      <c r="E200" s="701"/>
      <c r="F200" s="701"/>
      <c r="G200" s="701"/>
      <c r="H200" s="701"/>
      <c r="I200" s="700"/>
      <c r="J200" s="700"/>
      <c r="K200" s="1070"/>
      <c r="L200" s="700">
        <v>1</v>
      </c>
      <c r="M200" s="700"/>
      <c r="N200" s="701"/>
      <c r="O200" s="701"/>
      <c r="P200" s="701"/>
      <c r="Q200" s="701"/>
      <c r="R200" s="701">
        <f t="shared" ref="R200:R239" si="30">L200+J200+I200+H200+G200+F200+E200+D200+C200</f>
        <v>7</v>
      </c>
      <c r="S200" s="829"/>
      <c r="T200" s="701">
        <f t="shared" ref="T200:T239" si="31">Q200</f>
        <v>0</v>
      </c>
      <c r="U200" s="701"/>
      <c r="V200" s="890"/>
      <c r="W200" s="890"/>
      <c r="X200" s="890"/>
      <c r="Y200" s="700">
        <f t="shared" ref="Y200:Y239" si="32">SUM(C200*$C$6+D200*$D$6+E200*$E$6+F200*$F$6+G200*$G$6+H200*$H$6+I200*$I$6+J200*$J$6+K200*$K$6+L200*$L$6+M200*$M$6+N200*$N$6+O200*$O$6+P200*$P$6+Q200*$Q$6+U200*$U$6+V200*$V$6+W200*$W$6+X200*$X$6)</f>
        <v>652.5</v>
      </c>
      <c r="Z200" s="700">
        <f t="shared" ref="Z200:Z239" si="33">(Y200*5%)</f>
        <v>32.625</v>
      </c>
      <c r="AA200" s="700">
        <f t="shared" ref="AA200:AA239" si="34">SUM(Y200+Z200)</f>
        <v>685.125</v>
      </c>
      <c r="AB200" s="818">
        <v>34968</v>
      </c>
      <c r="AC200" s="830"/>
      <c r="AD200" s="1132"/>
    </row>
    <row r="201" spans="1:30" s="559" customFormat="1">
      <c r="A201" s="695">
        <v>42349</v>
      </c>
      <c r="B201" s="901" t="s">
        <v>1000</v>
      </c>
      <c r="C201" s="701">
        <v>7</v>
      </c>
      <c r="D201" s="701"/>
      <c r="E201" s="701"/>
      <c r="F201" s="701"/>
      <c r="G201" s="701">
        <v>4</v>
      </c>
      <c r="H201" s="701"/>
      <c r="I201" s="700"/>
      <c r="J201" s="700"/>
      <c r="K201" s="1070"/>
      <c r="L201" s="700"/>
      <c r="M201" s="700"/>
      <c r="N201" s="701">
        <v>0.5</v>
      </c>
      <c r="O201" s="701"/>
      <c r="P201" s="701">
        <v>4</v>
      </c>
      <c r="Q201" s="701"/>
      <c r="R201" s="701">
        <f t="shared" si="30"/>
        <v>11</v>
      </c>
      <c r="S201" s="829"/>
      <c r="T201" s="701">
        <f t="shared" si="31"/>
        <v>0</v>
      </c>
      <c r="U201" s="701"/>
      <c r="V201" s="890"/>
      <c r="W201" s="890"/>
      <c r="X201" s="890"/>
      <c r="Y201" s="700">
        <f t="shared" si="32"/>
        <v>1363.5</v>
      </c>
      <c r="Z201" s="700">
        <f t="shared" si="33"/>
        <v>68.174999999999997</v>
      </c>
      <c r="AA201" s="700">
        <f t="shared" si="34"/>
        <v>1431.675</v>
      </c>
      <c r="AB201" s="818">
        <v>34968</v>
      </c>
      <c r="AC201" s="830"/>
      <c r="AD201" s="1132"/>
    </row>
    <row r="202" spans="1:30" s="559" customFormat="1">
      <c r="A202" s="695">
        <v>42350</v>
      </c>
      <c r="B202" s="901" t="s">
        <v>1001</v>
      </c>
      <c r="C202" s="701"/>
      <c r="D202" s="701"/>
      <c r="E202" s="701"/>
      <c r="F202" s="701"/>
      <c r="G202" s="701">
        <v>4</v>
      </c>
      <c r="H202" s="701"/>
      <c r="I202" s="700"/>
      <c r="J202" s="700"/>
      <c r="K202" s="1070"/>
      <c r="L202" s="700"/>
      <c r="M202" s="700"/>
      <c r="N202" s="701">
        <v>0.5</v>
      </c>
      <c r="O202" s="701"/>
      <c r="P202" s="701">
        <v>4</v>
      </c>
      <c r="Q202" s="701"/>
      <c r="R202" s="701">
        <f t="shared" si="30"/>
        <v>4</v>
      </c>
      <c r="S202" s="829"/>
      <c r="T202" s="701">
        <f t="shared" si="31"/>
        <v>0</v>
      </c>
      <c r="U202" s="701"/>
      <c r="V202" s="890"/>
      <c r="W202" s="890"/>
      <c r="X202" s="890"/>
      <c r="Y202" s="700">
        <f t="shared" si="32"/>
        <v>702</v>
      </c>
      <c r="Z202" s="700">
        <f t="shared" si="33"/>
        <v>35.1</v>
      </c>
      <c r="AA202" s="700">
        <f t="shared" si="34"/>
        <v>737.1</v>
      </c>
      <c r="AB202" s="818">
        <v>34968</v>
      </c>
      <c r="AC202" s="830"/>
      <c r="AD202" s="1132"/>
    </row>
    <row r="203" spans="1:30" s="559" customFormat="1">
      <c r="A203" s="695">
        <v>42351</v>
      </c>
      <c r="B203" s="901" t="s">
        <v>1002</v>
      </c>
      <c r="C203" s="701"/>
      <c r="D203" s="701"/>
      <c r="E203" s="701">
        <v>5</v>
      </c>
      <c r="F203" s="701"/>
      <c r="G203" s="701"/>
      <c r="H203" s="701"/>
      <c r="I203" s="700"/>
      <c r="J203" s="700"/>
      <c r="K203" s="1070"/>
      <c r="L203" s="700"/>
      <c r="M203" s="700"/>
      <c r="N203" s="701"/>
      <c r="O203" s="701"/>
      <c r="P203" s="701"/>
      <c r="Q203" s="701"/>
      <c r="R203" s="701">
        <f t="shared" si="30"/>
        <v>5</v>
      </c>
      <c r="S203" s="829"/>
      <c r="T203" s="701">
        <f t="shared" si="31"/>
        <v>0</v>
      </c>
      <c r="U203" s="701"/>
      <c r="V203" s="890"/>
      <c r="W203" s="890"/>
      <c r="X203" s="890"/>
      <c r="Y203" s="700">
        <f t="shared" si="32"/>
        <v>517.5</v>
      </c>
      <c r="Z203" s="700">
        <f t="shared" si="33"/>
        <v>25.875</v>
      </c>
      <c r="AA203" s="700">
        <f t="shared" si="34"/>
        <v>543.375</v>
      </c>
      <c r="AB203" s="818">
        <v>34968</v>
      </c>
      <c r="AC203" s="830"/>
      <c r="AD203" s="1132"/>
    </row>
    <row r="204" spans="1:30" s="559" customFormat="1">
      <c r="A204" s="695">
        <v>42352</v>
      </c>
      <c r="B204" s="901" t="s">
        <v>1003</v>
      </c>
      <c r="C204" s="701">
        <v>9</v>
      </c>
      <c r="D204" s="701"/>
      <c r="E204" s="701"/>
      <c r="F204" s="701"/>
      <c r="G204" s="701"/>
      <c r="H204" s="701"/>
      <c r="I204" s="700"/>
      <c r="J204" s="700"/>
      <c r="K204" s="1070"/>
      <c r="L204" s="700">
        <v>1</v>
      </c>
      <c r="M204" s="700"/>
      <c r="N204" s="701"/>
      <c r="O204" s="701"/>
      <c r="P204" s="701"/>
      <c r="Q204" s="701"/>
      <c r="R204" s="701">
        <f t="shared" si="30"/>
        <v>10</v>
      </c>
      <c r="S204" s="829"/>
      <c r="T204" s="701">
        <f t="shared" si="31"/>
        <v>0</v>
      </c>
      <c r="U204" s="701"/>
      <c r="V204" s="890"/>
      <c r="W204" s="890"/>
      <c r="X204" s="890"/>
      <c r="Y204" s="700">
        <f t="shared" si="32"/>
        <v>963</v>
      </c>
      <c r="Z204" s="700">
        <f t="shared" si="33"/>
        <v>48.150000000000006</v>
      </c>
      <c r="AA204" s="700">
        <f t="shared" si="34"/>
        <v>1011.15</v>
      </c>
      <c r="AB204" s="818">
        <v>34968</v>
      </c>
      <c r="AC204" s="830"/>
      <c r="AD204" s="1132"/>
    </row>
    <row r="205" spans="1:30" s="559" customFormat="1">
      <c r="A205" s="695">
        <v>42353</v>
      </c>
      <c r="B205" s="901" t="s">
        <v>827</v>
      </c>
      <c r="C205" s="701"/>
      <c r="D205" s="701"/>
      <c r="E205" s="701"/>
      <c r="F205" s="701"/>
      <c r="G205" s="701"/>
      <c r="H205" s="701"/>
      <c r="I205" s="700"/>
      <c r="J205" s="700"/>
      <c r="K205" s="1070"/>
      <c r="L205" s="700"/>
      <c r="M205" s="700"/>
      <c r="N205" s="701"/>
      <c r="O205" s="701"/>
      <c r="P205" s="701"/>
      <c r="Q205" s="701"/>
      <c r="R205" s="701">
        <f t="shared" si="30"/>
        <v>0</v>
      </c>
      <c r="S205" s="829"/>
      <c r="T205" s="701">
        <f t="shared" si="31"/>
        <v>0</v>
      </c>
      <c r="U205" s="701"/>
      <c r="V205" s="890"/>
      <c r="W205" s="890"/>
      <c r="X205" s="890"/>
      <c r="Y205" s="700">
        <f t="shared" si="32"/>
        <v>0</v>
      </c>
      <c r="Z205" s="700">
        <f t="shared" si="33"/>
        <v>0</v>
      </c>
      <c r="AA205" s="700">
        <f t="shared" si="34"/>
        <v>0</v>
      </c>
      <c r="AB205" s="818"/>
      <c r="AC205" s="830"/>
      <c r="AD205" s="1132"/>
    </row>
    <row r="206" spans="1:30" s="559" customFormat="1">
      <c r="A206" s="695">
        <v>42354</v>
      </c>
      <c r="B206" s="901" t="s">
        <v>1011</v>
      </c>
      <c r="C206" s="701"/>
      <c r="D206" s="701">
        <v>10</v>
      </c>
      <c r="E206" s="701"/>
      <c r="F206" s="701"/>
      <c r="G206" s="701"/>
      <c r="H206" s="701"/>
      <c r="I206" s="700"/>
      <c r="J206" s="700"/>
      <c r="K206" s="1070"/>
      <c r="L206" s="700"/>
      <c r="M206" s="700"/>
      <c r="N206" s="701"/>
      <c r="O206" s="701"/>
      <c r="P206" s="701"/>
      <c r="Q206" s="701"/>
      <c r="R206" s="701">
        <f t="shared" si="30"/>
        <v>10</v>
      </c>
      <c r="S206" s="829"/>
      <c r="T206" s="701">
        <f t="shared" si="31"/>
        <v>0</v>
      </c>
      <c r="U206" s="701"/>
      <c r="V206" s="890"/>
      <c r="W206" s="890"/>
      <c r="X206" s="890"/>
      <c r="Y206" s="700">
        <f t="shared" si="32"/>
        <v>900</v>
      </c>
      <c r="Z206" s="700">
        <f t="shared" si="33"/>
        <v>45</v>
      </c>
      <c r="AA206" s="700">
        <f t="shared" si="34"/>
        <v>945</v>
      </c>
      <c r="AB206" s="818">
        <v>34968</v>
      </c>
      <c r="AC206" s="830"/>
      <c r="AD206" s="1132"/>
    </row>
    <row r="207" spans="1:30" s="559" customFormat="1">
      <c r="A207" s="695">
        <v>42355</v>
      </c>
      <c r="B207" s="901" t="s">
        <v>1012</v>
      </c>
      <c r="C207" s="701"/>
      <c r="D207" s="701">
        <v>10.5</v>
      </c>
      <c r="E207" s="701"/>
      <c r="F207" s="701"/>
      <c r="G207" s="701">
        <v>7</v>
      </c>
      <c r="H207" s="701"/>
      <c r="I207" s="700"/>
      <c r="J207" s="700"/>
      <c r="K207" s="1070"/>
      <c r="L207" s="700"/>
      <c r="M207" s="700"/>
      <c r="N207" s="701">
        <v>1</v>
      </c>
      <c r="O207" s="701"/>
      <c r="P207" s="701">
        <v>3</v>
      </c>
      <c r="Q207" s="701"/>
      <c r="R207" s="701">
        <f t="shared" si="30"/>
        <v>17.5</v>
      </c>
      <c r="S207" s="829"/>
      <c r="T207" s="701">
        <f t="shared" si="31"/>
        <v>0</v>
      </c>
      <c r="U207" s="701"/>
      <c r="V207" s="890"/>
      <c r="W207" s="890"/>
      <c r="X207" s="890"/>
      <c r="Y207" s="700">
        <f t="shared" si="32"/>
        <v>2144</v>
      </c>
      <c r="Z207" s="700">
        <f t="shared" si="33"/>
        <v>107.2</v>
      </c>
      <c r="AA207" s="700">
        <f t="shared" si="34"/>
        <v>2251.1999999999998</v>
      </c>
      <c r="AB207" s="818">
        <v>34968</v>
      </c>
      <c r="AC207" s="830"/>
      <c r="AD207" s="1132"/>
    </row>
    <row r="208" spans="1:30" s="559" customFormat="1">
      <c r="A208" s="695">
        <v>42356</v>
      </c>
      <c r="B208" s="901" t="s">
        <v>1013</v>
      </c>
      <c r="C208" s="701"/>
      <c r="D208" s="701"/>
      <c r="E208" s="701"/>
      <c r="F208" s="701"/>
      <c r="G208" s="701"/>
      <c r="H208" s="701"/>
      <c r="I208" s="700"/>
      <c r="J208" s="700"/>
      <c r="K208" s="1070"/>
      <c r="L208" s="700"/>
      <c r="M208" s="700"/>
      <c r="N208" s="701"/>
      <c r="O208" s="701"/>
      <c r="P208" s="701"/>
      <c r="Q208" s="701"/>
      <c r="R208" s="701">
        <f t="shared" si="30"/>
        <v>0</v>
      </c>
      <c r="S208" s="829"/>
      <c r="T208" s="701">
        <f t="shared" si="31"/>
        <v>0</v>
      </c>
      <c r="U208" s="701">
        <v>0.25</v>
      </c>
      <c r="V208" s="890"/>
      <c r="W208" s="890"/>
      <c r="X208" s="890"/>
      <c r="Y208" s="700">
        <f t="shared" si="32"/>
        <v>16.875</v>
      </c>
      <c r="Z208" s="700">
        <f t="shared" si="33"/>
        <v>0.84375</v>
      </c>
      <c r="AA208" s="700">
        <f t="shared" si="34"/>
        <v>17.71875</v>
      </c>
      <c r="AB208" s="818">
        <v>34968</v>
      </c>
      <c r="AC208" s="830"/>
      <c r="AD208" s="1132"/>
    </row>
    <row r="209" spans="1:30" s="559" customFormat="1">
      <c r="A209" s="695">
        <v>42357</v>
      </c>
      <c r="B209" s="901" t="s">
        <v>827</v>
      </c>
      <c r="C209" s="701"/>
      <c r="D209" s="701"/>
      <c r="E209" s="701"/>
      <c r="F209" s="701"/>
      <c r="G209" s="701"/>
      <c r="H209" s="701"/>
      <c r="I209" s="700"/>
      <c r="J209" s="700"/>
      <c r="K209" s="1070"/>
      <c r="L209" s="700"/>
      <c r="M209" s="700"/>
      <c r="N209" s="701"/>
      <c r="O209" s="701"/>
      <c r="P209" s="701"/>
      <c r="Q209" s="701"/>
      <c r="R209" s="701">
        <f t="shared" si="30"/>
        <v>0</v>
      </c>
      <c r="S209" s="829"/>
      <c r="T209" s="701">
        <f t="shared" si="31"/>
        <v>0</v>
      </c>
      <c r="U209" s="701"/>
      <c r="V209" s="890"/>
      <c r="W209" s="890"/>
      <c r="X209" s="890"/>
      <c r="Y209" s="700">
        <f t="shared" si="32"/>
        <v>0</v>
      </c>
      <c r="Z209" s="700">
        <f t="shared" si="33"/>
        <v>0</v>
      </c>
      <c r="AA209" s="700">
        <f t="shared" si="34"/>
        <v>0</v>
      </c>
      <c r="AB209" s="818"/>
      <c r="AC209" s="830"/>
      <c r="AD209" s="1132"/>
    </row>
    <row r="210" spans="1:30" s="559" customFormat="1">
      <c r="A210" s="695">
        <v>42358</v>
      </c>
      <c r="B210" s="901" t="s">
        <v>827</v>
      </c>
      <c r="C210" s="701"/>
      <c r="D210" s="701"/>
      <c r="E210" s="701"/>
      <c r="F210" s="701"/>
      <c r="G210" s="701"/>
      <c r="H210" s="701"/>
      <c r="I210" s="700"/>
      <c r="J210" s="700"/>
      <c r="K210" s="1070"/>
      <c r="L210" s="700"/>
      <c r="M210" s="700"/>
      <c r="N210" s="701"/>
      <c r="O210" s="701"/>
      <c r="P210" s="701"/>
      <c r="Q210" s="701"/>
      <c r="R210" s="701">
        <f t="shared" si="30"/>
        <v>0</v>
      </c>
      <c r="S210" s="829"/>
      <c r="T210" s="701">
        <f t="shared" si="31"/>
        <v>0</v>
      </c>
      <c r="U210" s="701"/>
      <c r="V210" s="890"/>
      <c r="W210" s="890"/>
      <c r="X210" s="890"/>
      <c r="Y210" s="700">
        <f t="shared" si="32"/>
        <v>0</v>
      </c>
      <c r="Z210" s="700">
        <f t="shared" si="33"/>
        <v>0</v>
      </c>
      <c r="AA210" s="700">
        <f t="shared" si="34"/>
        <v>0</v>
      </c>
      <c r="AB210" s="818"/>
      <c r="AC210" s="830"/>
      <c r="AD210" s="1132"/>
    </row>
    <row r="211" spans="1:30" s="559" customFormat="1">
      <c r="A211" s="695">
        <v>42359</v>
      </c>
      <c r="B211" s="901" t="s">
        <v>827</v>
      </c>
      <c r="C211" s="701"/>
      <c r="D211" s="701"/>
      <c r="E211" s="701"/>
      <c r="F211" s="701"/>
      <c r="G211" s="701"/>
      <c r="H211" s="701"/>
      <c r="I211" s="700"/>
      <c r="J211" s="700"/>
      <c r="K211" s="1070"/>
      <c r="L211" s="700"/>
      <c r="M211" s="700"/>
      <c r="N211" s="701"/>
      <c r="O211" s="701"/>
      <c r="P211" s="701"/>
      <c r="Q211" s="701"/>
      <c r="R211" s="701">
        <f t="shared" si="30"/>
        <v>0</v>
      </c>
      <c r="S211" s="829"/>
      <c r="T211" s="701">
        <f t="shared" si="31"/>
        <v>0</v>
      </c>
      <c r="U211" s="701"/>
      <c r="V211" s="890"/>
      <c r="W211" s="890"/>
      <c r="X211" s="890"/>
      <c r="Y211" s="700">
        <f t="shared" si="32"/>
        <v>0</v>
      </c>
      <c r="Z211" s="700">
        <f t="shared" si="33"/>
        <v>0</v>
      </c>
      <c r="AA211" s="700">
        <f t="shared" si="34"/>
        <v>0</v>
      </c>
      <c r="AB211" s="818"/>
      <c r="AC211" s="830"/>
      <c r="AD211" s="1132"/>
    </row>
    <row r="212" spans="1:30" s="559" customFormat="1">
      <c r="A212" s="695">
        <v>42360</v>
      </c>
      <c r="B212" s="901" t="s">
        <v>827</v>
      </c>
      <c r="C212" s="701"/>
      <c r="D212" s="701"/>
      <c r="E212" s="701"/>
      <c r="F212" s="701"/>
      <c r="G212" s="701"/>
      <c r="H212" s="701"/>
      <c r="I212" s="700"/>
      <c r="J212" s="700"/>
      <c r="K212" s="1070"/>
      <c r="L212" s="700"/>
      <c r="M212" s="700"/>
      <c r="N212" s="701"/>
      <c r="O212" s="701"/>
      <c r="P212" s="701"/>
      <c r="Q212" s="701"/>
      <c r="R212" s="701">
        <f t="shared" si="30"/>
        <v>0</v>
      </c>
      <c r="S212" s="829"/>
      <c r="T212" s="701">
        <f t="shared" si="31"/>
        <v>0</v>
      </c>
      <c r="U212" s="701"/>
      <c r="V212" s="890"/>
      <c r="W212" s="890"/>
      <c r="X212" s="890"/>
      <c r="Y212" s="700">
        <f t="shared" si="32"/>
        <v>0</v>
      </c>
      <c r="Z212" s="700">
        <f t="shared" si="33"/>
        <v>0</v>
      </c>
      <c r="AA212" s="700">
        <f t="shared" si="34"/>
        <v>0</v>
      </c>
      <c r="AB212" s="818"/>
      <c r="AC212" s="830"/>
      <c r="AD212" s="1132"/>
    </row>
    <row r="213" spans="1:30" s="559" customFormat="1">
      <c r="A213" s="695">
        <v>42361</v>
      </c>
      <c r="B213" s="901" t="s">
        <v>827</v>
      </c>
      <c r="C213" s="701"/>
      <c r="D213" s="701"/>
      <c r="E213" s="701"/>
      <c r="F213" s="701"/>
      <c r="G213" s="701"/>
      <c r="H213" s="701"/>
      <c r="I213" s="700"/>
      <c r="J213" s="700"/>
      <c r="K213" s="1070"/>
      <c r="L213" s="700"/>
      <c r="M213" s="700"/>
      <c r="N213" s="701"/>
      <c r="O213" s="701"/>
      <c r="P213" s="701"/>
      <c r="Q213" s="701"/>
      <c r="R213" s="701">
        <f t="shared" si="30"/>
        <v>0</v>
      </c>
      <c r="S213" s="829"/>
      <c r="T213" s="701">
        <f t="shared" si="31"/>
        <v>0</v>
      </c>
      <c r="U213" s="701"/>
      <c r="V213" s="890"/>
      <c r="W213" s="890"/>
      <c r="X213" s="890"/>
      <c r="Y213" s="700">
        <f t="shared" si="32"/>
        <v>0</v>
      </c>
      <c r="Z213" s="700">
        <f t="shared" si="33"/>
        <v>0</v>
      </c>
      <c r="AA213" s="700">
        <f t="shared" si="34"/>
        <v>0</v>
      </c>
      <c r="AB213" s="818"/>
      <c r="AC213" s="830"/>
      <c r="AD213" s="1132"/>
    </row>
    <row r="214" spans="1:30" s="559" customFormat="1">
      <c r="A214" s="695">
        <v>42362</v>
      </c>
      <c r="B214" s="901" t="s">
        <v>827</v>
      </c>
      <c r="C214" s="701"/>
      <c r="D214" s="701"/>
      <c r="E214" s="701"/>
      <c r="F214" s="701"/>
      <c r="G214" s="701"/>
      <c r="H214" s="701"/>
      <c r="I214" s="700"/>
      <c r="J214" s="700"/>
      <c r="K214" s="1070"/>
      <c r="L214" s="700"/>
      <c r="M214" s="700"/>
      <c r="N214" s="701"/>
      <c r="O214" s="701"/>
      <c r="P214" s="701"/>
      <c r="Q214" s="701"/>
      <c r="R214" s="701">
        <f t="shared" si="30"/>
        <v>0</v>
      </c>
      <c r="S214" s="829"/>
      <c r="T214" s="701">
        <f t="shared" si="31"/>
        <v>0</v>
      </c>
      <c r="U214" s="701"/>
      <c r="V214" s="890"/>
      <c r="W214" s="890"/>
      <c r="X214" s="890"/>
      <c r="Y214" s="700">
        <f t="shared" si="32"/>
        <v>0</v>
      </c>
      <c r="Z214" s="700">
        <f t="shared" si="33"/>
        <v>0</v>
      </c>
      <c r="AA214" s="700">
        <f t="shared" si="34"/>
        <v>0</v>
      </c>
      <c r="AB214" s="818"/>
      <c r="AC214" s="830"/>
      <c r="AD214" s="1132"/>
    </row>
    <row r="215" spans="1:30" s="559" customFormat="1">
      <c r="A215" s="695">
        <v>42363</v>
      </c>
      <c r="B215" s="901" t="s">
        <v>827</v>
      </c>
      <c r="C215" s="701"/>
      <c r="D215" s="701"/>
      <c r="E215" s="701"/>
      <c r="F215" s="701"/>
      <c r="G215" s="701"/>
      <c r="H215" s="701"/>
      <c r="I215" s="700"/>
      <c r="J215" s="700"/>
      <c r="K215" s="1070"/>
      <c r="L215" s="700"/>
      <c r="M215" s="700"/>
      <c r="N215" s="701"/>
      <c r="O215" s="701"/>
      <c r="P215" s="701"/>
      <c r="Q215" s="701"/>
      <c r="R215" s="701">
        <f t="shared" si="30"/>
        <v>0</v>
      </c>
      <c r="S215" s="829"/>
      <c r="T215" s="701">
        <f t="shared" si="31"/>
        <v>0</v>
      </c>
      <c r="U215" s="701"/>
      <c r="V215" s="890"/>
      <c r="W215" s="890"/>
      <c r="X215" s="890"/>
      <c r="Y215" s="700">
        <f t="shared" si="32"/>
        <v>0</v>
      </c>
      <c r="Z215" s="700">
        <f t="shared" si="33"/>
        <v>0</v>
      </c>
      <c r="AA215" s="700">
        <f t="shared" si="34"/>
        <v>0</v>
      </c>
      <c r="AB215" s="818"/>
      <c r="AC215" s="830"/>
      <c r="AD215" s="1132"/>
    </row>
    <row r="216" spans="1:30" s="559" customFormat="1">
      <c r="A216" s="695">
        <v>42364</v>
      </c>
      <c r="B216" s="901" t="s">
        <v>827</v>
      </c>
      <c r="C216" s="701"/>
      <c r="D216" s="701"/>
      <c r="E216" s="701"/>
      <c r="F216" s="701"/>
      <c r="G216" s="701"/>
      <c r="H216" s="701"/>
      <c r="I216" s="700"/>
      <c r="J216" s="700"/>
      <c r="K216" s="1070"/>
      <c r="L216" s="700"/>
      <c r="M216" s="700"/>
      <c r="N216" s="701"/>
      <c r="O216" s="701"/>
      <c r="P216" s="701"/>
      <c r="Q216" s="701"/>
      <c r="R216" s="701">
        <f t="shared" si="30"/>
        <v>0</v>
      </c>
      <c r="S216" s="829"/>
      <c r="T216" s="701">
        <f t="shared" si="31"/>
        <v>0</v>
      </c>
      <c r="U216" s="701"/>
      <c r="V216" s="890"/>
      <c r="W216" s="890"/>
      <c r="X216" s="890"/>
      <c r="Y216" s="700">
        <f t="shared" si="32"/>
        <v>0</v>
      </c>
      <c r="Z216" s="700">
        <f t="shared" si="33"/>
        <v>0</v>
      </c>
      <c r="AA216" s="700">
        <f t="shared" si="34"/>
        <v>0</v>
      </c>
      <c r="AB216" s="818"/>
      <c r="AC216" s="830"/>
      <c r="AD216" s="1132"/>
    </row>
    <row r="217" spans="1:30" s="559" customFormat="1">
      <c r="A217" s="695">
        <v>42365</v>
      </c>
      <c r="B217" s="901" t="s">
        <v>827</v>
      </c>
      <c r="C217" s="701"/>
      <c r="D217" s="701"/>
      <c r="E217" s="701"/>
      <c r="F217" s="701"/>
      <c r="G217" s="701"/>
      <c r="H217" s="701"/>
      <c r="I217" s="700"/>
      <c r="J217" s="700"/>
      <c r="K217" s="1070"/>
      <c r="L217" s="700"/>
      <c r="M217" s="700"/>
      <c r="N217" s="701"/>
      <c r="O217" s="701"/>
      <c r="P217" s="701"/>
      <c r="Q217" s="701"/>
      <c r="R217" s="701">
        <f t="shared" si="30"/>
        <v>0</v>
      </c>
      <c r="S217" s="829"/>
      <c r="T217" s="701">
        <f t="shared" si="31"/>
        <v>0</v>
      </c>
      <c r="U217" s="701"/>
      <c r="V217" s="890"/>
      <c r="W217" s="890"/>
      <c r="X217" s="890"/>
      <c r="Y217" s="700">
        <f t="shared" si="32"/>
        <v>0</v>
      </c>
      <c r="Z217" s="700">
        <f t="shared" si="33"/>
        <v>0</v>
      </c>
      <c r="AA217" s="700">
        <f t="shared" si="34"/>
        <v>0</v>
      </c>
      <c r="AB217" s="818"/>
      <c r="AC217" s="830"/>
      <c r="AD217" s="1132"/>
    </row>
    <row r="218" spans="1:30" s="559" customFormat="1">
      <c r="A218" s="695">
        <v>42366</v>
      </c>
      <c r="B218" s="901" t="s">
        <v>827</v>
      </c>
      <c r="C218" s="701"/>
      <c r="D218" s="701"/>
      <c r="E218" s="701"/>
      <c r="F218" s="701"/>
      <c r="G218" s="701"/>
      <c r="H218" s="701"/>
      <c r="I218" s="700"/>
      <c r="J218" s="700"/>
      <c r="K218" s="1070"/>
      <c r="L218" s="700"/>
      <c r="M218" s="700"/>
      <c r="N218" s="701"/>
      <c r="O218" s="701"/>
      <c r="P218" s="701"/>
      <c r="Q218" s="701"/>
      <c r="R218" s="701">
        <f t="shared" si="30"/>
        <v>0</v>
      </c>
      <c r="S218" s="829"/>
      <c r="T218" s="701">
        <f t="shared" si="31"/>
        <v>0</v>
      </c>
      <c r="U218" s="701"/>
      <c r="V218" s="890"/>
      <c r="W218" s="890"/>
      <c r="X218" s="890"/>
      <c r="Y218" s="700">
        <f t="shared" si="32"/>
        <v>0</v>
      </c>
      <c r="Z218" s="700">
        <f t="shared" si="33"/>
        <v>0</v>
      </c>
      <c r="AA218" s="700">
        <f t="shared" si="34"/>
        <v>0</v>
      </c>
      <c r="AB218" s="818"/>
      <c r="AC218" s="830"/>
      <c r="AD218" s="1132"/>
    </row>
    <row r="219" spans="1:30" s="559" customFormat="1">
      <c r="A219" s="695">
        <v>42367</v>
      </c>
      <c r="B219" s="901" t="s">
        <v>827</v>
      </c>
      <c r="C219" s="701"/>
      <c r="D219" s="701"/>
      <c r="E219" s="701"/>
      <c r="F219" s="701"/>
      <c r="G219" s="701"/>
      <c r="H219" s="701"/>
      <c r="I219" s="700"/>
      <c r="J219" s="700"/>
      <c r="K219" s="1070"/>
      <c r="L219" s="700"/>
      <c r="M219" s="700"/>
      <c r="N219" s="701"/>
      <c r="O219" s="701"/>
      <c r="P219" s="701"/>
      <c r="Q219" s="701"/>
      <c r="R219" s="701">
        <f t="shared" si="30"/>
        <v>0</v>
      </c>
      <c r="S219" s="829"/>
      <c r="T219" s="701">
        <f t="shared" si="31"/>
        <v>0</v>
      </c>
      <c r="U219" s="701"/>
      <c r="V219" s="890"/>
      <c r="W219" s="890"/>
      <c r="X219" s="890"/>
      <c r="Y219" s="700">
        <f t="shared" si="32"/>
        <v>0</v>
      </c>
      <c r="Z219" s="700">
        <f t="shared" si="33"/>
        <v>0</v>
      </c>
      <c r="AA219" s="700">
        <f t="shared" si="34"/>
        <v>0</v>
      </c>
      <c r="AB219" s="818"/>
      <c r="AC219" s="830"/>
      <c r="AD219" s="1132"/>
    </row>
    <row r="220" spans="1:30" s="559" customFormat="1">
      <c r="A220" s="695">
        <v>42368</v>
      </c>
      <c r="B220" s="901" t="s">
        <v>827</v>
      </c>
      <c r="C220" s="701"/>
      <c r="D220" s="701"/>
      <c r="E220" s="701"/>
      <c r="F220" s="701"/>
      <c r="G220" s="701"/>
      <c r="H220" s="701"/>
      <c r="I220" s="700"/>
      <c r="J220" s="700"/>
      <c r="K220" s="1070"/>
      <c r="L220" s="700"/>
      <c r="M220" s="700"/>
      <c r="N220" s="701"/>
      <c r="O220" s="701"/>
      <c r="P220" s="701"/>
      <c r="Q220" s="701"/>
      <c r="R220" s="701">
        <f t="shared" si="30"/>
        <v>0</v>
      </c>
      <c r="S220" s="829"/>
      <c r="T220" s="701">
        <f t="shared" si="31"/>
        <v>0</v>
      </c>
      <c r="U220" s="701"/>
      <c r="V220" s="890"/>
      <c r="W220" s="890"/>
      <c r="X220" s="890"/>
      <c r="Y220" s="700">
        <f t="shared" si="32"/>
        <v>0</v>
      </c>
      <c r="Z220" s="700">
        <f t="shared" si="33"/>
        <v>0</v>
      </c>
      <c r="AA220" s="700">
        <f t="shared" si="34"/>
        <v>0</v>
      </c>
      <c r="AB220" s="818"/>
      <c r="AC220" s="830"/>
      <c r="AD220" s="1141"/>
    </row>
    <row r="221" spans="1:30" s="1145" customFormat="1">
      <c r="A221" s="1135">
        <v>42369</v>
      </c>
      <c r="B221" s="1136" t="s">
        <v>827</v>
      </c>
      <c r="C221" s="1137"/>
      <c r="D221" s="1137"/>
      <c r="E221" s="1137"/>
      <c r="F221" s="1137"/>
      <c r="G221" s="1137"/>
      <c r="H221" s="1137"/>
      <c r="I221" s="763"/>
      <c r="J221" s="763"/>
      <c r="K221" s="763"/>
      <c r="L221" s="763"/>
      <c r="M221" s="763"/>
      <c r="N221" s="1137"/>
      <c r="O221" s="1137"/>
      <c r="P221" s="1137"/>
      <c r="Q221" s="1137"/>
      <c r="R221" s="1137">
        <f t="shared" si="30"/>
        <v>0</v>
      </c>
      <c r="S221" s="1138"/>
      <c r="T221" s="1137">
        <f t="shared" si="31"/>
        <v>0</v>
      </c>
      <c r="U221" s="1137"/>
      <c r="V221" s="1137"/>
      <c r="W221" s="1137"/>
      <c r="X221" s="1137"/>
      <c r="Y221" s="763">
        <f t="shared" si="32"/>
        <v>0</v>
      </c>
      <c r="Z221" s="763">
        <f t="shared" si="33"/>
        <v>0</v>
      </c>
      <c r="AA221" s="763">
        <f t="shared" si="34"/>
        <v>0</v>
      </c>
      <c r="AB221" s="1139"/>
      <c r="AC221" s="1140"/>
      <c r="AD221" s="1134"/>
    </row>
    <row r="222" spans="1:30" s="1152" customFormat="1">
      <c r="A222" s="1134" t="s">
        <v>1019</v>
      </c>
      <c r="B222" s="1142" t="s">
        <v>1020</v>
      </c>
      <c r="C222" s="1133"/>
      <c r="D222" s="1133"/>
      <c r="E222" s="1134"/>
      <c r="F222" s="1133"/>
      <c r="G222" s="1133"/>
      <c r="H222" s="1133"/>
      <c r="I222" s="1133"/>
      <c r="J222" s="1133"/>
      <c r="K222" s="1133"/>
      <c r="L222" s="1133"/>
      <c r="M222" s="1133"/>
      <c r="N222" s="1133"/>
      <c r="O222" s="1133"/>
      <c r="P222" s="1133"/>
      <c r="Q222" s="1133"/>
      <c r="R222" s="1134"/>
      <c r="S222" s="1143"/>
      <c r="T222" s="1134"/>
      <c r="U222" s="1134"/>
      <c r="V222" s="1134"/>
      <c r="W222" s="1134"/>
      <c r="X222" s="1134"/>
      <c r="Y222" s="1133">
        <v>600</v>
      </c>
      <c r="Z222" s="1133">
        <f t="shared" ref="Z222" si="35">(Y222*5%)</f>
        <v>30</v>
      </c>
      <c r="AA222" s="1133">
        <f t="shared" ref="AA222" si="36">SUM(Y222+Z222)</f>
        <v>630</v>
      </c>
      <c r="AB222" s="1134">
        <v>34968</v>
      </c>
      <c r="AC222" s="1144"/>
      <c r="AD222" s="1040"/>
    </row>
    <row r="223" spans="1:30" s="192" customFormat="1">
      <c r="A223" s="1151">
        <v>42370</v>
      </c>
      <c r="B223" s="1061" t="s">
        <v>827</v>
      </c>
      <c r="C223" s="1063"/>
      <c r="D223" s="1063"/>
      <c r="E223" s="1040"/>
      <c r="F223" s="1063"/>
      <c r="G223" s="1063"/>
      <c r="H223" s="1063"/>
      <c r="I223" s="1063"/>
      <c r="J223" s="1063"/>
      <c r="K223" s="1063"/>
      <c r="L223" s="1063"/>
      <c r="M223" s="1063"/>
      <c r="N223" s="1063"/>
      <c r="O223" s="1063"/>
      <c r="P223" s="1063"/>
      <c r="Q223" s="1063"/>
      <c r="R223" s="1040"/>
      <c r="S223" s="1064"/>
      <c r="T223" s="1040"/>
      <c r="U223" s="1040"/>
      <c r="V223" s="1040"/>
      <c r="W223" s="1040"/>
      <c r="X223" s="1040"/>
      <c r="Y223" s="1063"/>
      <c r="Z223" s="1063"/>
      <c r="AA223" s="1063"/>
      <c r="AB223" s="1040">
        <v>35396</v>
      </c>
      <c r="AC223" s="1065"/>
      <c r="AD223" s="1158"/>
    </row>
    <row r="224" spans="1:30" s="192" customFormat="1">
      <c r="A224" s="1151">
        <v>42371</v>
      </c>
      <c r="B224" s="1153" t="s">
        <v>827</v>
      </c>
      <c r="C224" s="1154"/>
      <c r="D224" s="1154"/>
      <c r="E224" s="1154"/>
      <c r="F224" s="1154"/>
      <c r="G224" s="1154"/>
      <c r="H224" s="1154"/>
      <c r="I224" s="1155"/>
      <c r="J224" s="1155"/>
      <c r="K224" s="1155"/>
      <c r="L224" s="1155"/>
      <c r="M224" s="1155"/>
      <c r="N224" s="1154"/>
      <c r="O224" s="1154"/>
      <c r="P224" s="1154"/>
      <c r="Q224" s="1154"/>
      <c r="R224" s="1154">
        <f t="shared" si="30"/>
        <v>0</v>
      </c>
      <c r="S224" s="1156"/>
      <c r="T224" s="1154">
        <f t="shared" si="31"/>
        <v>0</v>
      </c>
      <c r="U224" s="1154"/>
      <c r="V224" s="1154"/>
      <c r="W224" s="1154"/>
      <c r="X224" s="1154"/>
      <c r="Y224" s="1155">
        <f t="shared" si="32"/>
        <v>0</v>
      </c>
      <c r="Z224" s="1155">
        <f t="shared" si="33"/>
        <v>0</v>
      </c>
      <c r="AA224" s="1155">
        <f t="shared" si="34"/>
        <v>0</v>
      </c>
      <c r="AB224" s="1040">
        <v>35396</v>
      </c>
      <c r="AC224" s="1157"/>
      <c r="AD224" s="191"/>
    </row>
    <row r="225" spans="1:30" s="192" customFormat="1">
      <c r="A225" s="184">
        <v>42372</v>
      </c>
      <c r="B225" s="668" t="s">
        <v>1024</v>
      </c>
      <c r="C225" s="186"/>
      <c r="D225" s="186"/>
      <c r="E225" s="186">
        <v>2</v>
      </c>
      <c r="F225" s="186"/>
      <c r="G225" s="186"/>
      <c r="H225" s="186"/>
      <c r="I225" s="188"/>
      <c r="J225" s="188"/>
      <c r="K225" s="504"/>
      <c r="L225" s="188"/>
      <c r="M225" s="188"/>
      <c r="N225" s="186"/>
      <c r="O225" s="186"/>
      <c r="P225" s="186"/>
      <c r="Q225" s="186"/>
      <c r="R225" s="186">
        <f t="shared" si="30"/>
        <v>2</v>
      </c>
      <c r="S225" s="204"/>
      <c r="T225" s="186">
        <f t="shared" si="31"/>
        <v>0</v>
      </c>
      <c r="U225" s="186"/>
      <c r="V225" s="672"/>
      <c r="W225" s="672"/>
      <c r="X225" s="672"/>
      <c r="Y225" s="188">
        <f t="shared" si="32"/>
        <v>207</v>
      </c>
      <c r="Z225" s="188">
        <f t="shared" si="33"/>
        <v>10.350000000000001</v>
      </c>
      <c r="AA225" s="188">
        <f t="shared" si="34"/>
        <v>217.35</v>
      </c>
      <c r="AB225" s="1040">
        <v>35396</v>
      </c>
      <c r="AC225" s="190"/>
      <c r="AD225" s="191"/>
    </row>
    <row r="226" spans="1:30" s="192" customFormat="1">
      <c r="A226" s="184">
        <v>42373</v>
      </c>
      <c r="B226" s="668" t="s">
        <v>1025</v>
      </c>
      <c r="C226" s="186"/>
      <c r="D226" s="186">
        <v>9.5</v>
      </c>
      <c r="E226" s="186"/>
      <c r="F226" s="186">
        <v>10</v>
      </c>
      <c r="G226" s="186"/>
      <c r="H226" s="186"/>
      <c r="I226" s="188"/>
      <c r="J226" s="188"/>
      <c r="K226" s="504"/>
      <c r="L226" s="188"/>
      <c r="M226" s="188">
        <v>2</v>
      </c>
      <c r="N226" s="186">
        <v>1</v>
      </c>
      <c r="O226" s="186"/>
      <c r="P226" s="186">
        <v>10</v>
      </c>
      <c r="Q226" s="186"/>
      <c r="R226" s="186">
        <f t="shared" si="30"/>
        <v>19.5</v>
      </c>
      <c r="S226" s="204"/>
      <c r="T226" s="186">
        <f t="shared" si="31"/>
        <v>0</v>
      </c>
      <c r="U226" s="186">
        <v>0.5</v>
      </c>
      <c r="V226" s="672">
        <v>1.5</v>
      </c>
      <c r="W226" s="672"/>
      <c r="X226" s="672"/>
      <c r="Y226" s="188">
        <f>SUM(C226*$C$6+D226*$D$6+E226*$E$6+F226*$F$6+G226*$G$6+H226*$H$6+I226*$I$6+J226*$J$6+K226*$K$6+L226*$L$6+M226*$M$6+N226*$N$6+O226*$O$6+P226*$P$6+Q226*$Q$6+U226*$U$6+V226*$V$6+W226*$W$6+X226*$X$6)</f>
        <v>3561.25</v>
      </c>
      <c r="Z226" s="188">
        <f t="shared" si="33"/>
        <v>178.0625</v>
      </c>
      <c r="AA226" s="188">
        <f t="shared" si="34"/>
        <v>3739.3125</v>
      </c>
      <c r="AB226" s="1040">
        <v>35396</v>
      </c>
      <c r="AC226" s="190"/>
      <c r="AD226" s="191"/>
    </row>
    <row r="227" spans="1:30" s="192" customFormat="1">
      <c r="A227" s="184">
        <v>42374</v>
      </c>
      <c r="B227" s="668" t="s">
        <v>1028</v>
      </c>
      <c r="C227" s="186"/>
      <c r="D227" s="186">
        <v>16.5</v>
      </c>
      <c r="E227" s="186"/>
      <c r="F227" s="186">
        <v>11</v>
      </c>
      <c r="G227" s="186"/>
      <c r="H227" s="186"/>
      <c r="I227" s="188"/>
      <c r="J227" s="188"/>
      <c r="K227" s="504"/>
      <c r="L227" s="188"/>
      <c r="M227" s="188">
        <v>2</v>
      </c>
      <c r="N227" s="186">
        <v>1</v>
      </c>
      <c r="O227" s="186"/>
      <c r="P227" s="186">
        <v>11</v>
      </c>
      <c r="Q227" s="186"/>
      <c r="R227" s="186">
        <f t="shared" si="30"/>
        <v>27.5</v>
      </c>
      <c r="S227" s="204"/>
      <c r="T227" s="186">
        <f t="shared" si="31"/>
        <v>0</v>
      </c>
      <c r="U227" s="186"/>
      <c r="V227" s="672">
        <v>1.5</v>
      </c>
      <c r="W227" s="672">
        <v>105</v>
      </c>
      <c r="X227" s="672"/>
      <c r="Y227" s="188">
        <f t="shared" si="32"/>
        <v>4429.5</v>
      </c>
      <c r="Z227" s="188">
        <f t="shared" si="33"/>
        <v>221.47500000000002</v>
      </c>
      <c r="AA227" s="188">
        <f t="shared" si="34"/>
        <v>4650.9750000000004</v>
      </c>
      <c r="AB227" s="1040">
        <v>35396</v>
      </c>
      <c r="AC227" s="190"/>
      <c r="AD227" s="191"/>
    </row>
    <row r="228" spans="1:30" s="192" customFormat="1">
      <c r="A228" s="184">
        <v>42375</v>
      </c>
      <c r="B228" s="668" t="s">
        <v>1030</v>
      </c>
      <c r="C228" s="186"/>
      <c r="D228" s="186">
        <v>12.5</v>
      </c>
      <c r="E228" s="186"/>
      <c r="F228" s="186">
        <v>10.5</v>
      </c>
      <c r="G228" s="186"/>
      <c r="H228" s="186"/>
      <c r="I228" s="188"/>
      <c r="J228" s="188"/>
      <c r="K228" s="504"/>
      <c r="L228" s="188">
        <v>2</v>
      </c>
      <c r="M228" s="188">
        <v>2</v>
      </c>
      <c r="N228" s="186">
        <v>1</v>
      </c>
      <c r="O228" s="186"/>
      <c r="P228" s="186">
        <v>10.5</v>
      </c>
      <c r="Q228" s="186"/>
      <c r="R228" s="186">
        <f t="shared" si="30"/>
        <v>25</v>
      </c>
      <c r="S228" s="204"/>
      <c r="T228" s="186">
        <f t="shared" si="31"/>
        <v>0</v>
      </c>
      <c r="U228" s="186">
        <v>7</v>
      </c>
      <c r="V228" s="672">
        <v>1.5</v>
      </c>
      <c r="W228" s="672">
        <v>210</v>
      </c>
      <c r="X228" s="672"/>
      <c r="Y228" s="188">
        <f t="shared" si="32"/>
        <v>4788.5</v>
      </c>
      <c r="Z228" s="188">
        <f t="shared" si="33"/>
        <v>239.42500000000001</v>
      </c>
      <c r="AA228" s="188">
        <f t="shared" si="34"/>
        <v>5027.9250000000002</v>
      </c>
      <c r="AB228" s="1040">
        <v>35396</v>
      </c>
      <c r="AC228" s="190"/>
      <c r="AD228" s="191"/>
    </row>
    <row r="229" spans="1:30" s="192" customFormat="1">
      <c r="A229" s="184">
        <v>42376</v>
      </c>
      <c r="B229" s="668" t="s">
        <v>1031</v>
      </c>
      <c r="C229" s="186"/>
      <c r="D229" s="186">
        <v>16.75</v>
      </c>
      <c r="E229" s="186"/>
      <c r="F229" s="186">
        <v>10.5</v>
      </c>
      <c r="G229" s="186"/>
      <c r="H229" s="186"/>
      <c r="I229" s="188"/>
      <c r="J229" s="188"/>
      <c r="K229" s="504"/>
      <c r="L229" s="188">
        <v>2</v>
      </c>
      <c r="M229" s="188">
        <v>2</v>
      </c>
      <c r="N229" s="186">
        <v>1</v>
      </c>
      <c r="O229" s="186"/>
      <c r="P229" s="186">
        <v>10.5</v>
      </c>
      <c r="Q229" s="186"/>
      <c r="R229" s="186">
        <f t="shared" si="30"/>
        <v>29.25</v>
      </c>
      <c r="S229" s="204"/>
      <c r="T229" s="186">
        <f t="shared" si="31"/>
        <v>0</v>
      </c>
      <c r="U229" s="186"/>
      <c r="V229" s="672">
        <v>1.5</v>
      </c>
      <c r="W229" s="672">
        <v>75</v>
      </c>
      <c r="X229" s="672"/>
      <c r="Y229" s="188">
        <f t="shared" si="32"/>
        <v>4563.5</v>
      </c>
      <c r="Z229" s="188">
        <f t="shared" si="33"/>
        <v>228.17500000000001</v>
      </c>
      <c r="AA229" s="188">
        <f t="shared" si="34"/>
        <v>4791.6750000000002</v>
      </c>
      <c r="AB229" s="1040">
        <v>35396</v>
      </c>
      <c r="AC229" s="190"/>
      <c r="AD229" s="191"/>
    </row>
    <row r="230" spans="1:30" s="192" customFormat="1">
      <c r="A230" s="184">
        <v>42377</v>
      </c>
      <c r="B230" s="668" t="s">
        <v>1032</v>
      </c>
      <c r="C230" s="186"/>
      <c r="D230" s="186">
        <v>9.25</v>
      </c>
      <c r="E230" s="186"/>
      <c r="F230" s="186"/>
      <c r="G230" s="186"/>
      <c r="H230" s="186"/>
      <c r="I230" s="188"/>
      <c r="J230" s="188"/>
      <c r="K230" s="504"/>
      <c r="L230" s="188"/>
      <c r="M230" s="188"/>
      <c r="N230" s="186"/>
      <c r="O230" s="186"/>
      <c r="P230" s="186"/>
      <c r="Q230" s="186"/>
      <c r="R230" s="186">
        <f t="shared" si="30"/>
        <v>9.25</v>
      </c>
      <c r="S230" s="204"/>
      <c r="T230" s="186">
        <f t="shared" si="31"/>
        <v>0</v>
      </c>
      <c r="U230" s="186"/>
      <c r="V230" s="672">
        <v>1</v>
      </c>
      <c r="W230" s="672"/>
      <c r="X230" s="672"/>
      <c r="Y230" s="188">
        <f>SUM(C230*$C$6+D230*$D$6+E230*$E$6+F230*$F$6+G230*$G$6+H230*$H$6+I230*$I$6+J230*$J$6+K230*$K$6+L230*$L$6+M230*$M$6+N230*$N$6+O230*$O$6+P230*$P$6+Q230*$Q$6+U230*$U$6+V230*$V$6+W230*$W$6+X230*$X$6)</f>
        <v>967.5</v>
      </c>
      <c r="Z230" s="188">
        <f t="shared" si="33"/>
        <v>48.375</v>
      </c>
      <c r="AA230" s="188">
        <f t="shared" si="34"/>
        <v>1015.875</v>
      </c>
      <c r="AB230" s="1040">
        <v>35396</v>
      </c>
      <c r="AC230" s="190"/>
      <c r="AD230" s="191"/>
    </row>
    <row r="231" spans="1:30" s="192" customFormat="1">
      <c r="A231" s="184">
        <v>42378</v>
      </c>
      <c r="B231" s="668" t="s">
        <v>1033</v>
      </c>
      <c r="C231" s="186"/>
      <c r="D231" s="186">
        <v>6</v>
      </c>
      <c r="E231" s="186"/>
      <c r="F231" s="186"/>
      <c r="G231" s="186"/>
      <c r="H231" s="186"/>
      <c r="I231" s="188"/>
      <c r="J231" s="188"/>
      <c r="K231" s="504"/>
      <c r="L231" s="188"/>
      <c r="M231" s="188"/>
      <c r="N231" s="186"/>
      <c r="O231" s="186"/>
      <c r="P231" s="186"/>
      <c r="Q231" s="186"/>
      <c r="R231" s="186">
        <f t="shared" si="30"/>
        <v>6</v>
      </c>
      <c r="S231" s="204"/>
      <c r="T231" s="186">
        <f t="shared" si="31"/>
        <v>0</v>
      </c>
      <c r="U231" s="186"/>
      <c r="V231" s="672"/>
      <c r="W231" s="672"/>
      <c r="X231" s="672"/>
      <c r="Y231" s="188">
        <f t="shared" si="32"/>
        <v>540</v>
      </c>
      <c r="Z231" s="188">
        <f t="shared" si="33"/>
        <v>27</v>
      </c>
      <c r="AA231" s="188">
        <f t="shared" si="34"/>
        <v>567</v>
      </c>
      <c r="AB231" s="1040">
        <v>35396</v>
      </c>
      <c r="AC231" s="190"/>
      <c r="AD231" s="191"/>
    </row>
    <row r="232" spans="1:30" s="192" customFormat="1">
      <c r="A232" s="184">
        <v>42379</v>
      </c>
      <c r="B232" s="668" t="s">
        <v>827</v>
      </c>
      <c r="C232" s="186"/>
      <c r="D232" s="186"/>
      <c r="E232" s="186"/>
      <c r="F232" s="186"/>
      <c r="G232" s="186"/>
      <c r="H232" s="186"/>
      <c r="I232" s="188"/>
      <c r="J232" s="188"/>
      <c r="K232" s="504"/>
      <c r="L232" s="188"/>
      <c r="M232" s="188"/>
      <c r="N232" s="186"/>
      <c r="O232" s="186"/>
      <c r="P232" s="186"/>
      <c r="Q232" s="186"/>
      <c r="R232" s="186">
        <f t="shared" si="30"/>
        <v>0</v>
      </c>
      <c r="S232" s="204"/>
      <c r="T232" s="186">
        <f t="shared" si="31"/>
        <v>0</v>
      </c>
      <c r="U232" s="186"/>
      <c r="V232" s="672"/>
      <c r="W232" s="672"/>
      <c r="X232" s="672"/>
      <c r="Y232" s="188">
        <f t="shared" si="32"/>
        <v>0</v>
      </c>
      <c r="Z232" s="188">
        <f t="shared" si="33"/>
        <v>0</v>
      </c>
      <c r="AA232" s="188">
        <f t="shared" si="34"/>
        <v>0</v>
      </c>
      <c r="AB232" s="1040">
        <v>35396</v>
      </c>
      <c r="AC232" s="190"/>
      <c r="AD232" s="191"/>
    </row>
    <row r="233" spans="1:30" s="192" customFormat="1">
      <c r="A233" s="184">
        <v>42380</v>
      </c>
      <c r="B233" s="668" t="s">
        <v>1034</v>
      </c>
      <c r="C233" s="186"/>
      <c r="D233" s="186">
        <v>21.25</v>
      </c>
      <c r="E233" s="186"/>
      <c r="F233" s="186"/>
      <c r="G233" s="186"/>
      <c r="H233" s="186"/>
      <c r="I233" s="188"/>
      <c r="J233" s="188"/>
      <c r="K233" s="504"/>
      <c r="L233" s="188"/>
      <c r="M233" s="188"/>
      <c r="N233" s="186"/>
      <c r="O233" s="186"/>
      <c r="P233" s="186"/>
      <c r="Q233" s="186"/>
      <c r="R233" s="186">
        <f t="shared" si="30"/>
        <v>21.25</v>
      </c>
      <c r="S233" s="204"/>
      <c r="T233" s="186">
        <f t="shared" si="31"/>
        <v>0</v>
      </c>
      <c r="U233" s="186"/>
      <c r="V233" s="672"/>
      <c r="W233" s="672"/>
      <c r="X233" s="672"/>
      <c r="Y233" s="188">
        <f t="shared" si="32"/>
        <v>1912.5</v>
      </c>
      <c r="Z233" s="188">
        <f t="shared" si="33"/>
        <v>95.625</v>
      </c>
      <c r="AA233" s="188">
        <f t="shared" si="34"/>
        <v>2008.125</v>
      </c>
      <c r="AB233" s="1040">
        <v>35396</v>
      </c>
      <c r="AC233" s="190"/>
      <c r="AD233" s="191"/>
    </row>
    <row r="234" spans="1:30" s="192" customFormat="1">
      <c r="A234" s="184">
        <v>42381</v>
      </c>
      <c r="B234" s="668" t="s">
        <v>1035</v>
      </c>
      <c r="C234" s="186"/>
      <c r="D234" s="186">
        <v>18.5</v>
      </c>
      <c r="E234" s="186"/>
      <c r="F234" s="186"/>
      <c r="G234" s="186"/>
      <c r="H234" s="186"/>
      <c r="I234" s="188"/>
      <c r="J234" s="188"/>
      <c r="K234" s="504"/>
      <c r="L234" s="188">
        <v>1</v>
      </c>
      <c r="M234" s="188"/>
      <c r="N234" s="186"/>
      <c r="O234" s="186"/>
      <c r="P234" s="186"/>
      <c r="Q234" s="186"/>
      <c r="R234" s="186">
        <f t="shared" si="30"/>
        <v>19.5</v>
      </c>
      <c r="S234" s="204"/>
      <c r="T234" s="186">
        <f t="shared" si="31"/>
        <v>0</v>
      </c>
      <c r="U234" s="186"/>
      <c r="V234" s="672"/>
      <c r="W234" s="672"/>
      <c r="X234" s="672"/>
      <c r="Y234" s="188">
        <f t="shared" si="32"/>
        <v>1777.5</v>
      </c>
      <c r="Z234" s="188">
        <f t="shared" si="33"/>
        <v>88.875</v>
      </c>
      <c r="AA234" s="188">
        <f t="shared" si="34"/>
        <v>1866.375</v>
      </c>
      <c r="AB234" s="1040">
        <v>35396</v>
      </c>
      <c r="AC234" s="190"/>
      <c r="AD234" s="191"/>
    </row>
    <row r="235" spans="1:30" s="192" customFormat="1">
      <c r="A235" s="184">
        <v>42382</v>
      </c>
      <c r="B235" s="668" t="s">
        <v>1036</v>
      </c>
      <c r="C235" s="186"/>
      <c r="D235" s="186">
        <v>15.5</v>
      </c>
      <c r="E235" s="186"/>
      <c r="F235" s="186"/>
      <c r="G235" s="186"/>
      <c r="H235" s="186"/>
      <c r="I235" s="188"/>
      <c r="J235" s="188"/>
      <c r="K235" s="504"/>
      <c r="L235" s="188"/>
      <c r="M235" s="188"/>
      <c r="N235" s="186"/>
      <c r="O235" s="186"/>
      <c r="P235" s="186"/>
      <c r="Q235" s="186"/>
      <c r="R235" s="186">
        <f t="shared" si="30"/>
        <v>15.5</v>
      </c>
      <c r="S235" s="204"/>
      <c r="T235" s="186">
        <f t="shared" si="31"/>
        <v>0</v>
      </c>
      <c r="U235" s="186"/>
      <c r="V235" s="672">
        <v>1</v>
      </c>
      <c r="W235" s="672"/>
      <c r="X235" s="672"/>
      <c r="Y235" s="188">
        <f t="shared" si="32"/>
        <v>1530</v>
      </c>
      <c r="Z235" s="188">
        <f t="shared" si="33"/>
        <v>76.5</v>
      </c>
      <c r="AA235" s="188">
        <f t="shared" si="34"/>
        <v>1606.5</v>
      </c>
      <c r="AB235" s="1040">
        <v>35396</v>
      </c>
      <c r="AC235" s="190"/>
      <c r="AD235" s="191"/>
    </row>
    <row r="236" spans="1:30" s="192" customFormat="1">
      <c r="A236" s="184">
        <v>42383</v>
      </c>
      <c r="B236" s="668" t="s">
        <v>1037</v>
      </c>
      <c r="C236" s="186"/>
      <c r="D236" s="186">
        <v>24.5</v>
      </c>
      <c r="E236" s="186"/>
      <c r="F236" s="186"/>
      <c r="G236" s="186"/>
      <c r="H236" s="186"/>
      <c r="I236" s="188"/>
      <c r="J236" s="188"/>
      <c r="K236" s="504"/>
      <c r="L236" s="188">
        <v>1</v>
      </c>
      <c r="M236" s="188"/>
      <c r="N236" s="186"/>
      <c r="O236" s="186"/>
      <c r="P236" s="186"/>
      <c r="Q236" s="186"/>
      <c r="R236" s="186">
        <f t="shared" si="30"/>
        <v>25.5</v>
      </c>
      <c r="S236" s="204"/>
      <c r="T236" s="186">
        <f t="shared" si="31"/>
        <v>0</v>
      </c>
      <c r="U236" s="186"/>
      <c r="V236" s="672">
        <v>1</v>
      </c>
      <c r="W236" s="672"/>
      <c r="X236" s="672"/>
      <c r="Y236" s="188">
        <f t="shared" si="32"/>
        <v>2452.5</v>
      </c>
      <c r="Z236" s="188">
        <f t="shared" si="33"/>
        <v>122.625</v>
      </c>
      <c r="AA236" s="188">
        <f t="shared" si="34"/>
        <v>2575.125</v>
      </c>
      <c r="AB236" s="1040">
        <v>35396</v>
      </c>
      <c r="AC236" s="190"/>
      <c r="AD236" s="191"/>
    </row>
    <row r="237" spans="1:30" s="192" customFormat="1">
      <c r="A237" s="184">
        <v>42384</v>
      </c>
      <c r="B237" s="668" t="s">
        <v>1038</v>
      </c>
      <c r="C237" s="186"/>
      <c r="D237" s="186">
        <v>11</v>
      </c>
      <c r="E237" s="186"/>
      <c r="F237" s="186"/>
      <c r="G237" s="186"/>
      <c r="H237" s="186"/>
      <c r="I237" s="188"/>
      <c r="J237" s="188"/>
      <c r="K237" s="504"/>
      <c r="L237" s="188"/>
      <c r="M237" s="188"/>
      <c r="N237" s="186"/>
      <c r="O237" s="186"/>
      <c r="P237" s="186"/>
      <c r="Q237" s="186"/>
      <c r="R237" s="186">
        <f t="shared" si="30"/>
        <v>11</v>
      </c>
      <c r="S237" s="204"/>
      <c r="T237" s="186">
        <f t="shared" si="31"/>
        <v>0</v>
      </c>
      <c r="U237" s="186"/>
      <c r="V237" s="672"/>
      <c r="W237" s="672"/>
      <c r="X237" s="672"/>
      <c r="Y237" s="188">
        <f t="shared" si="32"/>
        <v>990</v>
      </c>
      <c r="Z237" s="188">
        <f t="shared" si="33"/>
        <v>49.5</v>
      </c>
      <c r="AA237" s="188">
        <f t="shared" si="34"/>
        <v>1039.5</v>
      </c>
      <c r="AB237" s="1040">
        <v>35396</v>
      </c>
      <c r="AC237" s="190"/>
      <c r="AD237" s="191"/>
    </row>
    <row r="238" spans="1:30" s="192" customFormat="1">
      <c r="A238" s="184">
        <v>42385</v>
      </c>
      <c r="B238" s="668" t="s">
        <v>1039</v>
      </c>
      <c r="C238" s="186"/>
      <c r="D238" s="186">
        <v>8</v>
      </c>
      <c r="E238" s="186"/>
      <c r="F238" s="186"/>
      <c r="G238" s="186"/>
      <c r="H238" s="186"/>
      <c r="I238" s="188"/>
      <c r="J238" s="188"/>
      <c r="K238" s="504"/>
      <c r="L238" s="188"/>
      <c r="M238" s="188"/>
      <c r="N238" s="186"/>
      <c r="O238" s="186"/>
      <c r="P238" s="186"/>
      <c r="Q238" s="186"/>
      <c r="R238" s="186">
        <f t="shared" si="30"/>
        <v>8</v>
      </c>
      <c r="S238" s="204"/>
      <c r="T238" s="186">
        <f t="shared" si="31"/>
        <v>0</v>
      </c>
      <c r="U238" s="186"/>
      <c r="V238" s="672"/>
      <c r="W238" s="672"/>
      <c r="X238" s="672"/>
      <c r="Y238" s="188">
        <f t="shared" si="32"/>
        <v>720</v>
      </c>
      <c r="Z238" s="188">
        <f t="shared" si="33"/>
        <v>36</v>
      </c>
      <c r="AA238" s="188">
        <f t="shared" si="34"/>
        <v>756</v>
      </c>
      <c r="AB238" s="1040">
        <v>35396</v>
      </c>
      <c r="AC238" s="190"/>
      <c r="AD238" s="191"/>
    </row>
    <row r="239" spans="1:30" s="192" customFormat="1">
      <c r="A239" s="184">
        <v>42386</v>
      </c>
      <c r="B239" s="668" t="s">
        <v>827</v>
      </c>
      <c r="C239" s="186"/>
      <c r="D239" s="186"/>
      <c r="E239" s="186"/>
      <c r="F239" s="186"/>
      <c r="G239" s="186"/>
      <c r="H239" s="186"/>
      <c r="I239" s="188"/>
      <c r="J239" s="188"/>
      <c r="K239" s="504"/>
      <c r="L239" s="188"/>
      <c r="M239" s="188"/>
      <c r="N239" s="186"/>
      <c r="O239" s="186"/>
      <c r="P239" s="186"/>
      <c r="Q239" s="186"/>
      <c r="R239" s="186">
        <f t="shared" si="30"/>
        <v>0</v>
      </c>
      <c r="S239" s="204"/>
      <c r="T239" s="186">
        <f t="shared" si="31"/>
        <v>0</v>
      </c>
      <c r="U239" s="186"/>
      <c r="V239" s="672"/>
      <c r="W239" s="672"/>
      <c r="X239" s="672"/>
      <c r="Y239" s="188">
        <f t="shared" si="32"/>
        <v>0</v>
      </c>
      <c r="Z239" s="188">
        <f t="shared" si="33"/>
        <v>0</v>
      </c>
      <c r="AA239" s="188">
        <f t="shared" si="34"/>
        <v>0</v>
      </c>
      <c r="AB239" s="1040">
        <v>35396</v>
      </c>
      <c r="AC239" s="190"/>
      <c r="AD239" s="191"/>
    </row>
    <row r="240" spans="1:30" s="192" customFormat="1">
      <c r="A240" s="184">
        <v>42387</v>
      </c>
      <c r="B240" s="668" t="s">
        <v>1040</v>
      </c>
      <c r="C240" s="186"/>
      <c r="D240" s="186"/>
      <c r="E240" s="186"/>
      <c r="F240" s="186"/>
      <c r="G240" s="186"/>
      <c r="H240" s="186"/>
      <c r="I240" s="188"/>
      <c r="J240" s="188"/>
      <c r="K240" s="504"/>
      <c r="L240" s="188">
        <v>1</v>
      </c>
      <c r="M240" s="188"/>
      <c r="N240" s="186"/>
      <c r="O240" s="186"/>
      <c r="P240" s="186"/>
      <c r="Q240" s="186"/>
      <c r="R240" s="186">
        <f t="shared" ref="R240:R283" si="37">L240+J240+I240+H240+G240+F240+E240+D240+C240</f>
        <v>1</v>
      </c>
      <c r="S240" s="204"/>
      <c r="T240" s="186">
        <f t="shared" ref="T240:T283" si="38">Q240</f>
        <v>0</v>
      </c>
      <c r="U240" s="186"/>
      <c r="V240" s="672"/>
      <c r="W240" s="672"/>
      <c r="X240" s="672"/>
      <c r="Y240" s="188">
        <f t="shared" ref="Y240:Y283" si="39">SUM(C240*$C$6+D240*$D$6+E240*$E$6+F240*$F$6+G240*$G$6+H240*$H$6+I240*$I$6+J240*$J$6+K240*$K$6+L240*$L$6+M240*$M$6+N240*$N$6+O240*$O$6+P240*$P$6+Q240*$Q$6+U240*$U$6+V240*$V$6+W240*$W$6+X240*$X$6)</f>
        <v>112.5</v>
      </c>
      <c r="Z240" s="188">
        <f t="shared" ref="Z240:Z283" si="40">(Y240*5%)</f>
        <v>5.625</v>
      </c>
      <c r="AA240" s="188">
        <f t="shared" ref="AA240:AA283" si="41">SUM(Y240+Z240)</f>
        <v>118.125</v>
      </c>
      <c r="AB240" s="1040">
        <v>35396</v>
      </c>
      <c r="AC240" s="190"/>
      <c r="AD240" s="191"/>
    </row>
    <row r="241" spans="1:30" s="192" customFormat="1">
      <c r="A241" s="184">
        <v>42388</v>
      </c>
      <c r="B241" s="668" t="s">
        <v>1041</v>
      </c>
      <c r="C241" s="186"/>
      <c r="D241" s="186">
        <v>5.5</v>
      </c>
      <c r="E241" s="186"/>
      <c r="F241" s="186"/>
      <c r="G241" s="186"/>
      <c r="H241" s="186"/>
      <c r="I241" s="188"/>
      <c r="J241" s="188"/>
      <c r="K241" s="504"/>
      <c r="L241" s="188"/>
      <c r="M241" s="188"/>
      <c r="N241" s="186"/>
      <c r="O241" s="186"/>
      <c r="P241" s="186"/>
      <c r="Q241" s="186"/>
      <c r="R241" s="186">
        <f t="shared" si="37"/>
        <v>5.5</v>
      </c>
      <c r="S241" s="204"/>
      <c r="T241" s="186">
        <f t="shared" si="38"/>
        <v>0</v>
      </c>
      <c r="U241" s="186"/>
      <c r="V241" s="672"/>
      <c r="W241" s="672"/>
      <c r="X241" s="672"/>
      <c r="Y241" s="188">
        <f t="shared" si="39"/>
        <v>495</v>
      </c>
      <c r="Z241" s="188">
        <f t="shared" si="40"/>
        <v>24.75</v>
      </c>
      <c r="AA241" s="188">
        <f t="shared" si="41"/>
        <v>519.75</v>
      </c>
      <c r="AB241" s="1040">
        <v>35396</v>
      </c>
      <c r="AC241" s="190"/>
      <c r="AD241" s="191"/>
    </row>
    <row r="242" spans="1:30" s="192" customFormat="1">
      <c r="A242" s="184">
        <v>42389</v>
      </c>
      <c r="B242" s="668" t="s">
        <v>1042</v>
      </c>
      <c r="C242" s="186"/>
      <c r="D242" s="186">
        <v>7</v>
      </c>
      <c r="E242" s="186"/>
      <c r="F242" s="186"/>
      <c r="G242" s="186"/>
      <c r="H242" s="186"/>
      <c r="I242" s="188"/>
      <c r="J242" s="188"/>
      <c r="K242" s="504"/>
      <c r="L242" s="188"/>
      <c r="M242" s="188"/>
      <c r="N242" s="186"/>
      <c r="O242" s="186"/>
      <c r="P242" s="186"/>
      <c r="Q242" s="186"/>
      <c r="R242" s="186">
        <f t="shared" si="37"/>
        <v>7</v>
      </c>
      <c r="S242" s="204"/>
      <c r="T242" s="186">
        <f t="shared" si="38"/>
        <v>0</v>
      </c>
      <c r="U242" s="186"/>
      <c r="V242" s="672"/>
      <c r="W242" s="672"/>
      <c r="X242" s="672"/>
      <c r="Y242" s="188">
        <f t="shared" si="39"/>
        <v>630</v>
      </c>
      <c r="Z242" s="188">
        <f t="shared" si="40"/>
        <v>31.5</v>
      </c>
      <c r="AA242" s="188">
        <f t="shared" si="41"/>
        <v>661.5</v>
      </c>
      <c r="AB242" s="1040">
        <v>35396</v>
      </c>
      <c r="AC242" s="190"/>
      <c r="AD242" s="191"/>
    </row>
    <row r="243" spans="1:30" s="192" customFormat="1">
      <c r="A243" s="184">
        <v>42390</v>
      </c>
      <c r="B243" s="668" t="s">
        <v>1043</v>
      </c>
      <c r="C243" s="186"/>
      <c r="D243" s="186">
        <v>1</v>
      </c>
      <c r="E243" s="186"/>
      <c r="F243" s="186"/>
      <c r="G243" s="186"/>
      <c r="H243" s="186"/>
      <c r="I243" s="188"/>
      <c r="J243" s="188"/>
      <c r="K243" s="504"/>
      <c r="L243" s="188">
        <v>1</v>
      </c>
      <c r="M243" s="188"/>
      <c r="N243" s="186"/>
      <c r="O243" s="186"/>
      <c r="P243" s="186"/>
      <c r="Q243" s="186"/>
      <c r="R243" s="186">
        <f t="shared" si="37"/>
        <v>2</v>
      </c>
      <c r="S243" s="204"/>
      <c r="T243" s="186">
        <f t="shared" si="38"/>
        <v>0</v>
      </c>
      <c r="U243" s="186"/>
      <c r="V243" s="672"/>
      <c r="W243" s="672"/>
      <c r="X243" s="672"/>
      <c r="Y243" s="188">
        <f t="shared" si="39"/>
        <v>202.5</v>
      </c>
      <c r="Z243" s="188">
        <f t="shared" si="40"/>
        <v>10.125</v>
      </c>
      <c r="AA243" s="188">
        <f t="shared" si="41"/>
        <v>212.625</v>
      </c>
      <c r="AB243" s="1040">
        <v>35396</v>
      </c>
      <c r="AC243" s="190"/>
      <c r="AD243" s="191"/>
    </row>
    <row r="244" spans="1:30" s="192" customFormat="1">
      <c r="A244" s="184">
        <v>42391</v>
      </c>
      <c r="B244" s="668" t="s">
        <v>1044</v>
      </c>
      <c r="C244" s="186"/>
      <c r="D244" s="186"/>
      <c r="E244" s="186"/>
      <c r="F244" s="186"/>
      <c r="G244" s="186"/>
      <c r="H244" s="186"/>
      <c r="I244" s="188"/>
      <c r="J244" s="188"/>
      <c r="K244" s="504"/>
      <c r="L244" s="188">
        <v>2</v>
      </c>
      <c r="M244" s="188"/>
      <c r="N244" s="186"/>
      <c r="O244" s="186"/>
      <c r="P244" s="186"/>
      <c r="Q244" s="186"/>
      <c r="R244" s="186">
        <f t="shared" si="37"/>
        <v>2</v>
      </c>
      <c r="S244" s="204"/>
      <c r="T244" s="186">
        <f t="shared" si="38"/>
        <v>0</v>
      </c>
      <c r="U244" s="186"/>
      <c r="V244" s="672"/>
      <c r="W244" s="672"/>
      <c r="X244" s="672"/>
      <c r="Y244" s="188">
        <f t="shared" si="39"/>
        <v>225</v>
      </c>
      <c r="Z244" s="188">
        <f t="shared" si="40"/>
        <v>11.25</v>
      </c>
      <c r="AA244" s="188">
        <f t="shared" si="41"/>
        <v>236.25</v>
      </c>
      <c r="AB244" s="1040">
        <v>35396</v>
      </c>
      <c r="AC244" s="190"/>
      <c r="AD244" s="191"/>
    </row>
    <row r="245" spans="1:30" s="192" customFormat="1">
      <c r="A245" s="184">
        <v>42392</v>
      </c>
      <c r="B245" s="668" t="s">
        <v>827</v>
      </c>
      <c r="C245" s="186"/>
      <c r="D245" s="186"/>
      <c r="E245" s="186"/>
      <c r="F245" s="186"/>
      <c r="G245" s="186"/>
      <c r="H245" s="186"/>
      <c r="I245" s="188"/>
      <c r="J245" s="188"/>
      <c r="K245" s="504"/>
      <c r="L245" s="188"/>
      <c r="M245" s="188"/>
      <c r="N245" s="186"/>
      <c r="O245" s="186"/>
      <c r="P245" s="186"/>
      <c r="Q245" s="186"/>
      <c r="R245" s="186">
        <f t="shared" si="37"/>
        <v>0</v>
      </c>
      <c r="S245" s="204"/>
      <c r="T245" s="186">
        <f t="shared" si="38"/>
        <v>0</v>
      </c>
      <c r="U245" s="186"/>
      <c r="V245" s="672"/>
      <c r="W245" s="672"/>
      <c r="X245" s="672"/>
      <c r="Y245" s="188">
        <f t="shared" si="39"/>
        <v>0</v>
      </c>
      <c r="Z245" s="188">
        <f t="shared" si="40"/>
        <v>0</v>
      </c>
      <c r="AA245" s="188">
        <f t="shared" si="41"/>
        <v>0</v>
      </c>
      <c r="AB245" s="1040">
        <v>35396</v>
      </c>
      <c r="AC245" s="190"/>
      <c r="AD245" s="191"/>
    </row>
    <row r="246" spans="1:30" s="192" customFormat="1">
      <c r="A246" s="184">
        <v>42393</v>
      </c>
      <c r="B246" s="668" t="s">
        <v>827</v>
      </c>
      <c r="C246" s="186"/>
      <c r="D246" s="186"/>
      <c r="E246" s="186"/>
      <c r="F246" s="186"/>
      <c r="G246" s="186"/>
      <c r="H246" s="186"/>
      <c r="I246" s="188"/>
      <c r="J246" s="188"/>
      <c r="K246" s="504"/>
      <c r="L246" s="188"/>
      <c r="M246" s="188"/>
      <c r="N246" s="186"/>
      <c r="O246" s="186"/>
      <c r="P246" s="186"/>
      <c r="Q246" s="186"/>
      <c r="R246" s="186">
        <f t="shared" si="37"/>
        <v>0</v>
      </c>
      <c r="S246" s="204"/>
      <c r="T246" s="186">
        <f t="shared" si="38"/>
        <v>0</v>
      </c>
      <c r="U246" s="186"/>
      <c r="V246" s="672"/>
      <c r="W246" s="672"/>
      <c r="X246" s="672"/>
      <c r="Y246" s="188">
        <f t="shared" si="39"/>
        <v>0</v>
      </c>
      <c r="Z246" s="188">
        <f t="shared" si="40"/>
        <v>0</v>
      </c>
      <c r="AA246" s="188">
        <f t="shared" si="41"/>
        <v>0</v>
      </c>
      <c r="AB246" s="1040">
        <v>35396</v>
      </c>
      <c r="AC246" s="190"/>
      <c r="AD246" s="191"/>
    </row>
    <row r="247" spans="1:30" s="192" customFormat="1">
      <c r="A247" s="184">
        <v>42394</v>
      </c>
      <c r="B247" s="668" t="s">
        <v>1045</v>
      </c>
      <c r="C247" s="186"/>
      <c r="D247" s="186">
        <v>0.5</v>
      </c>
      <c r="E247" s="186"/>
      <c r="F247" s="186"/>
      <c r="G247" s="186"/>
      <c r="H247" s="186"/>
      <c r="I247" s="188"/>
      <c r="J247" s="188"/>
      <c r="K247" s="504"/>
      <c r="L247" s="188">
        <v>2</v>
      </c>
      <c r="M247" s="188"/>
      <c r="N247" s="186"/>
      <c r="O247" s="186"/>
      <c r="P247" s="186"/>
      <c r="Q247" s="186"/>
      <c r="R247" s="186">
        <f t="shared" si="37"/>
        <v>2.5</v>
      </c>
      <c r="S247" s="204"/>
      <c r="T247" s="186">
        <f t="shared" si="38"/>
        <v>0</v>
      </c>
      <c r="U247" s="186"/>
      <c r="V247" s="672"/>
      <c r="W247" s="672"/>
      <c r="X247" s="672"/>
      <c r="Y247" s="188">
        <f t="shared" si="39"/>
        <v>270</v>
      </c>
      <c r="Z247" s="188">
        <f t="shared" si="40"/>
        <v>13.5</v>
      </c>
      <c r="AA247" s="188">
        <f t="shared" si="41"/>
        <v>283.5</v>
      </c>
      <c r="AB247" s="1040">
        <v>35396</v>
      </c>
      <c r="AC247" s="190"/>
      <c r="AD247" s="191"/>
    </row>
    <row r="248" spans="1:30" s="192" customFormat="1">
      <c r="A248" s="184">
        <v>42395</v>
      </c>
      <c r="B248" s="668" t="s">
        <v>1046</v>
      </c>
      <c r="C248" s="186"/>
      <c r="D248" s="186">
        <v>2</v>
      </c>
      <c r="E248" s="186"/>
      <c r="F248" s="186"/>
      <c r="G248" s="186"/>
      <c r="H248" s="186"/>
      <c r="I248" s="188"/>
      <c r="J248" s="188"/>
      <c r="K248" s="504"/>
      <c r="L248" s="188">
        <v>2</v>
      </c>
      <c r="M248" s="188"/>
      <c r="N248" s="186"/>
      <c r="O248" s="186"/>
      <c r="P248" s="186"/>
      <c r="Q248" s="186"/>
      <c r="R248" s="186">
        <f t="shared" si="37"/>
        <v>4</v>
      </c>
      <c r="S248" s="204"/>
      <c r="T248" s="186">
        <f t="shared" si="38"/>
        <v>0</v>
      </c>
      <c r="U248" s="186"/>
      <c r="V248" s="672"/>
      <c r="W248" s="672"/>
      <c r="X248" s="672"/>
      <c r="Y248" s="188">
        <f t="shared" si="39"/>
        <v>405</v>
      </c>
      <c r="Z248" s="188">
        <f t="shared" si="40"/>
        <v>20.25</v>
      </c>
      <c r="AA248" s="188">
        <f t="shared" si="41"/>
        <v>425.25</v>
      </c>
      <c r="AB248" s="1040">
        <v>35396</v>
      </c>
      <c r="AC248" s="190"/>
      <c r="AD248" s="191"/>
    </row>
    <row r="249" spans="1:30" s="192" customFormat="1">
      <c r="A249" s="184">
        <v>42396</v>
      </c>
      <c r="B249" s="668" t="s">
        <v>827</v>
      </c>
      <c r="C249" s="186"/>
      <c r="D249" s="186"/>
      <c r="E249" s="186"/>
      <c r="F249" s="186"/>
      <c r="G249" s="186"/>
      <c r="H249" s="186"/>
      <c r="I249" s="188"/>
      <c r="J249" s="188"/>
      <c r="K249" s="504"/>
      <c r="L249" s="188"/>
      <c r="M249" s="188"/>
      <c r="N249" s="186"/>
      <c r="O249" s="186"/>
      <c r="P249" s="186"/>
      <c r="Q249" s="186"/>
      <c r="R249" s="186">
        <f t="shared" si="37"/>
        <v>0</v>
      </c>
      <c r="S249" s="204"/>
      <c r="T249" s="186">
        <f t="shared" si="38"/>
        <v>0</v>
      </c>
      <c r="U249" s="186"/>
      <c r="V249" s="672"/>
      <c r="W249" s="672"/>
      <c r="X249" s="672"/>
      <c r="Y249" s="188">
        <f t="shared" si="39"/>
        <v>0</v>
      </c>
      <c r="Z249" s="188">
        <f t="shared" si="40"/>
        <v>0</v>
      </c>
      <c r="AA249" s="188">
        <f t="shared" si="41"/>
        <v>0</v>
      </c>
      <c r="AB249" s="1040">
        <v>35396</v>
      </c>
      <c r="AC249" s="190"/>
      <c r="AD249" s="191"/>
    </row>
    <row r="250" spans="1:30" s="192" customFormat="1">
      <c r="A250" s="184">
        <v>42397</v>
      </c>
      <c r="B250" s="668" t="s">
        <v>1047</v>
      </c>
      <c r="C250" s="186"/>
      <c r="D250" s="186">
        <v>0.5</v>
      </c>
      <c r="E250" s="186"/>
      <c r="F250" s="186"/>
      <c r="G250" s="186"/>
      <c r="H250" s="186"/>
      <c r="I250" s="188"/>
      <c r="J250" s="188"/>
      <c r="K250" s="504"/>
      <c r="L250" s="188">
        <v>1</v>
      </c>
      <c r="M250" s="188"/>
      <c r="N250" s="186"/>
      <c r="O250" s="186"/>
      <c r="P250" s="186"/>
      <c r="Q250" s="186"/>
      <c r="R250" s="186">
        <f t="shared" si="37"/>
        <v>1.5</v>
      </c>
      <c r="S250" s="204"/>
      <c r="T250" s="186">
        <f t="shared" si="38"/>
        <v>0</v>
      </c>
      <c r="U250" s="186"/>
      <c r="V250" s="672"/>
      <c r="W250" s="672"/>
      <c r="X250" s="672"/>
      <c r="Y250" s="188">
        <f t="shared" si="39"/>
        <v>157.5</v>
      </c>
      <c r="Z250" s="188">
        <f t="shared" si="40"/>
        <v>7.875</v>
      </c>
      <c r="AA250" s="188">
        <f t="shared" si="41"/>
        <v>165.375</v>
      </c>
      <c r="AB250" s="1040">
        <v>35396</v>
      </c>
      <c r="AC250" s="190"/>
      <c r="AD250" s="191"/>
    </row>
    <row r="251" spans="1:30" s="192" customFormat="1">
      <c r="A251" s="184">
        <v>42398</v>
      </c>
      <c r="B251" s="668" t="s">
        <v>1048</v>
      </c>
      <c r="C251" s="186"/>
      <c r="D251" s="186"/>
      <c r="E251" s="186"/>
      <c r="F251" s="186"/>
      <c r="G251" s="186"/>
      <c r="H251" s="186"/>
      <c r="I251" s="188"/>
      <c r="J251" s="188"/>
      <c r="K251" s="504"/>
      <c r="L251" s="188">
        <v>1</v>
      </c>
      <c r="M251" s="188"/>
      <c r="N251" s="186"/>
      <c r="O251" s="186"/>
      <c r="P251" s="186"/>
      <c r="Q251" s="186"/>
      <c r="R251" s="186">
        <f t="shared" si="37"/>
        <v>1</v>
      </c>
      <c r="S251" s="204"/>
      <c r="T251" s="186">
        <f t="shared" si="38"/>
        <v>0</v>
      </c>
      <c r="U251" s="186"/>
      <c r="V251" s="672"/>
      <c r="W251" s="672"/>
      <c r="X251" s="672"/>
      <c r="Y251" s="188">
        <f t="shared" si="39"/>
        <v>112.5</v>
      </c>
      <c r="Z251" s="188">
        <f t="shared" si="40"/>
        <v>5.625</v>
      </c>
      <c r="AA251" s="188">
        <f t="shared" si="41"/>
        <v>118.125</v>
      </c>
      <c r="AB251" s="1040">
        <v>35396</v>
      </c>
      <c r="AC251" s="190"/>
      <c r="AD251" s="191"/>
    </row>
    <row r="252" spans="1:30" s="192" customFormat="1">
      <c r="A252" s="184">
        <v>42399</v>
      </c>
      <c r="B252" s="668" t="s">
        <v>827</v>
      </c>
      <c r="C252" s="186"/>
      <c r="D252" s="186"/>
      <c r="E252" s="186"/>
      <c r="F252" s="186"/>
      <c r="G252" s="186"/>
      <c r="H252" s="186"/>
      <c r="I252" s="188"/>
      <c r="J252" s="188"/>
      <c r="K252" s="504"/>
      <c r="L252" s="188"/>
      <c r="M252" s="188"/>
      <c r="N252" s="186"/>
      <c r="O252" s="186"/>
      <c r="P252" s="186"/>
      <c r="Q252" s="186"/>
      <c r="R252" s="186">
        <f t="shared" si="37"/>
        <v>0</v>
      </c>
      <c r="S252" s="204"/>
      <c r="T252" s="186">
        <f t="shared" si="38"/>
        <v>0</v>
      </c>
      <c r="U252" s="186"/>
      <c r="V252" s="672"/>
      <c r="W252" s="672"/>
      <c r="X252" s="672"/>
      <c r="Y252" s="188">
        <f t="shared" si="39"/>
        <v>0</v>
      </c>
      <c r="Z252" s="188">
        <f t="shared" si="40"/>
        <v>0</v>
      </c>
      <c r="AA252" s="188">
        <f t="shared" si="41"/>
        <v>0</v>
      </c>
      <c r="AB252" s="1040">
        <v>35396</v>
      </c>
      <c r="AC252" s="190"/>
      <c r="AD252" s="191"/>
    </row>
    <row r="253" spans="1:30" s="136" customFormat="1">
      <c r="A253" s="184">
        <v>42400</v>
      </c>
      <c r="B253" s="668" t="s">
        <v>1049</v>
      </c>
      <c r="C253" s="186"/>
      <c r="D253" s="186"/>
      <c r="E253" s="186"/>
      <c r="F253" s="186"/>
      <c r="G253" s="186"/>
      <c r="H253" s="186"/>
      <c r="I253" s="188"/>
      <c r="J253" s="188"/>
      <c r="K253" s="504"/>
      <c r="L253" s="188"/>
      <c r="M253" s="188"/>
      <c r="N253" s="186"/>
      <c r="O253" s="186"/>
      <c r="P253" s="186"/>
      <c r="Q253" s="186"/>
      <c r="R253" s="186">
        <f t="shared" si="37"/>
        <v>0</v>
      </c>
      <c r="S253" s="204"/>
      <c r="T253" s="186">
        <f t="shared" si="38"/>
        <v>0</v>
      </c>
      <c r="U253" s="186"/>
      <c r="V253" s="672"/>
      <c r="W253" s="672"/>
      <c r="X253" s="672"/>
      <c r="Y253" s="188">
        <v>12.6</v>
      </c>
      <c r="Z253" s="188">
        <f t="shared" si="40"/>
        <v>0.63</v>
      </c>
      <c r="AA253" s="188">
        <f t="shared" si="41"/>
        <v>13.23</v>
      </c>
      <c r="AB253" s="1040">
        <v>35396</v>
      </c>
      <c r="AC253" s="190"/>
      <c r="AD253" s="210"/>
    </row>
    <row r="254" spans="1:30" s="136" customFormat="1">
      <c r="A254" s="157">
        <v>42401</v>
      </c>
      <c r="B254" s="558" t="s">
        <v>1050</v>
      </c>
      <c r="C254" s="133"/>
      <c r="D254" s="133">
        <v>0.5</v>
      </c>
      <c r="E254" s="133"/>
      <c r="F254" s="133"/>
      <c r="G254" s="133">
        <v>1</v>
      </c>
      <c r="H254" s="133"/>
      <c r="I254" s="132"/>
      <c r="J254" s="132"/>
      <c r="K254" s="423"/>
      <c r="L254" s="132">
        <v>1</v>
      </c>
      <c r="M254" s="132"/>
      <c r="N254" s="133"/>
      <c r="O254" s="133"/>
      <c r="P254" s="133"/>
      <c r="Q254" s="133"/>
      <c r="R254" s="133">
        <f t="shared" si="37"/>
        <v>2.5</v>
      </c>
      <c r="S254" s="134"/>
      <c r="T254" s="133">
        <f t="shared" si="38"/>
        <v>0</v>
      </c>
      <c r="U254" s="133"/>
      <c r="V254" s="842"/>
      <c r="W254" s="842"/>
      <c r="X254" s="842"/>
      <c r="Y254" s="132">
        <f t="shared" si="39"/>
        <v>247.5</v>
      </c>
      <c r="Z254" s="132">
        <f t="shared" si="40"/>
        <v>12.375</v>
      </c>
      <c r="AA254" s="132">
        <f t="shared" si="41"/>
        <v>259.875</v>
      </c>
      <c r="AB254" s="140">
        <v>35403</v>
      </c>
      <c r="AC254" s="141"/>
      <c r="AD254" s="210"/>
    </row>
    <row r="255" spans="1:30" s="136" customFormat="1">
      <c r="A255" s="157">
        <v>42402</v>
      </c>
      <c r="B255" s="558" t="s">
        <v>1051</v>
      </c>
      <c r="C255" s="133"/>
      <c r="D255" s="133">
        <v>1</v>
      </c>
      <c r="E255" s="133"/>
      <c r="F255" s="133">
        <v>8</v>
      </c>
      <c r="G255" s="133">
        <v>0.5</v>
      </c>
      <c r="H255" s="133"/>
      <c r="I255" s="132"/>
      <c r="J255" s="132"/>
      <c r="K255" s="423"/>
      <c r="L255" s="132"/>
      <c r="M255" s="132"/>
      <c r="N255" s="133">
        <v>1</v>
      </c>
      <c r="O255" s="133"/>
      <c r="P255" s="133">
        <v>8</v>
      </c>
      <c r="Q255" s="133"/>
      <c r="R255" s="133">
        <f t="shared" si="37"/>
        <v>9.5</v>
      </c>
      <c r="S255" s="134"/>
      <c r="T255" s="133">
        <f t="shared" si="38"/>
        <v>0</v>
      </c>
      <c r="U255" s="133"/>
      <c r="V255" s="842"/>
      <c r="W255" s="842"/>
      <c r="X255" s="842"/>
      <c r="Y255" s="132">
        <f t="shared" si="39"/>
        <v>1971</v>
      </c>
      <c r="Z255" s="132">
        <f t="shared" si="40"/>
        <v>98.550000000000011</v>
      </c>
      <c r="AA255" s="132">
        <f t="shared" si="41"/>
        <v>2069.5500000000002</v>
      </c>
      <c r="AB255" s="140">
        <v>35403</v>
      </c>
      <c r="AC255" s="141"/>
      <c r="AD255" s="210"/>
    </row>
    <row r="256" spans="1:30" s="136" customFormat="1">
      <c r="A256" s="157">
        <v>42403</v>
      </c>
      <c r="B256" s="558" t="s">
        <v>1052</v>
      </c>
      <c r="C256" s="133"/>
      <c r="D256" s="133">
        <v>0.75</v>
      </c>
      <c r="E256" s="133"/>
      <c r="F256" s="133"/>
      <c r="G256" s="133"/>
      <c r="H256" s="133"/>
      <c r="I256" s="132"/>
      <c r="J256" s="132"/>
      <c r="K256" s="423"/>
      <c r="L256" s="132">
        <v>1</v>
      </c>
      <c r="M256" s="132"/>
      <c r="N256" s="133"/>
      <c r="O256" s="133"/>
      <c r="P256" s="133"/>
      <c r="Q256" s="133"/>
      <c r="R256" s="133">
        <f t="shared" si="37"/>
        <v>1.75</v>
      </c>
      <c r="S256" s="134"/>
      <c r="T256" s="133">
        <f t="shared" si="38"/>
        <v>0</v>
      </c>
      <c r="U256" s="133"/>
      <c r="V256" s="842"/>
      <c r="W256" s="842"/>
      <c r="X256" s="842"/>
      <c r="Y256" s="132">
        <f t="shared" si="39"/>
        <v>180</v>
      </c>
      <c r="Z256" s="132">
        <f t="shared" si="40"/>
        <v>9</v>
      </c>
      <c r="AA256" s="132">
        <f t="shared" si="41"/>
        <v>189</v>
      </c>
      <c r="AB256" s="140">
        <v>35403</v>
      </c>
      <c r="AC256" s="141"/>
      <c r="AD256" s="210"/>
    </row>
    <row r="257" spans="1:30" s="136" customFormat="1">
      <c r="A257" s="157">
        <v>42404</v>
      </c>
      <c r="B257" s="558" t="s">
        <v>1053</v>
      </c>
      <c r="C257" s="133"/>
      <c r="D257" s="133"/>
      <c r="E257" s="133"/>
      <c r="F257" s="133"/>
      <c r="G257" s="133"/>
      <c r="H257" s="133"/>
      <c r="I257" s="132"/>
      <c r="J257" s="132"/>
      <c r="K257" s="423"/>
      <c r="L257" s="132">
        <v>1</v>
      </c>
      <c r="M257" s="132"/>
      <c r="N257" s="133"/>
      <c r="O257" s="133"/>
      <c r="P257" s="133"/>
      <c r="Q257" s="133"/>
      <c r="R257" s="133">
        <f t="shared" si="37"/>
        <v>1</v>
      </c>
      <c r="S257" s="134"/>
      <c r="T257" s="133">
        <f t="shared" si="38"/>
        <v>0</v>
      </c>
      <c r="U257" s="133"/>
      <c r="V257" s="842"/>
      <c r="W257" s="842"/>
      <c r="X257" s="842"/>
      <c r="Y257" s="132">
        <f t="shared" si="39"/>
        <v>112.5</v>
      </c>
      <c r="Z257" s="132">
        <f t="shared" si="40"/>
        <v>5.625</v>
      </c>
      <c r="AA257" s="132">
        <f t="shared" si="41"/>
        <v>118.125</v>
      </c>
      <c r="AB257" s="140">
        <v>35403</v>
      </c>
      <c r="AC257" s="141"/>
      <c r="AD257" s="210"/>
    </row>
    <row r="258" spans="1:30" s="136" customFormat="1">
      <c r="A258" s="157">
        <v>42405</v>
      </c>
      <c r="B258" s="558" t="s">
        <v>1054</v>
      </c>
      <c r="C258" s="133"/>
      <c r="D258" s="133"/>
      <c r="E258" s="133"/>
      <c r="F258" s="133"/>
      <c r="G258" s="133"/>
      <c r="H258" s="133"/>
      <c r="I258" s="132"/>
      <c r="J258" s="132"/>
      <c r="K258" s="423"/>
      <c r="L258" s="132">
        <v>1</v>
      </c>
      <c r="M258" s="132"/>
      <c r="N258" s="133"/>
      <c r="O258" s="133"/>
      <c r="P258" s="133"/>
      <c r="Q258" s="133"/>
      <c r="R258" s="133">
        <f t="shared" si="37"/>
        <v>1</v>
      </c>
      <c r="S258" s="134"/>
      <c r="T258" s="133">
        <f t="shared" si="38"/>
        <v>0</v>
      </c>
      <c r="U258" s="133"/>
      <c r="V258" s="842"/>
      <c r="W258" s="842"/>
      <c r="X258" s="842"/>
      <c r="Y258" s="132">
        <f t="shared" si="39"/>
        <v>112.5</v>
      </c>
      <c r="Z258" s="132">
        <f t="shared" si="40"/>
        <v>5.625</v>
      </c>
      <c r="AA258" s="132">
        <f t="shared" si="41"/>
        <v>118.125</v>
      </c>
      <c r="AB258" s="140">
        <v>35403</v>
      </c>
      <c r="AC258" s="141"/>
      <c r="AD258" s="210"/>
    </row>
    <row r="259" spans="1:30" s="136" customFormat="1">
      <c r="A259" s="157">
        <v>42406</v>
      </c>
      <c r="B259" s="558" t="s">
        <v>1055</v>
      </c>
      <c r="C259" s="133"/>
      <c r="D259" s="133"/>
      <c r="E259" s="133"/>
      <c r="F259" s="133"/>
      <c r="G259" s="133"/>
      <c r="H259" s="133"/>
      <c r="I259" s="132"/>
      <c r="J259" s="132"/>
      <c r="K259" s="423"/>
      <c r="L259" s="132"/>
      <c r="M259" s="132"/>
      <c r="N259" s="133"/>
      <c r="O259" s="133"/>
      <c r="P259" s="133"/>
      <c r="Q259" s="133"/>
      <c r="R259" s="133">
        <f t="shared" si="37"/>
        <v>0</v>
      </c>
      <c r="S259" s="134"/>
      <c r="T259" s="133">
        <f t="shared" si="38"/>
        <v>0</v>
      </c>
      <c r="U259" s="133"/>
      <c r="V259" s="842"/>
      <c r="W259" s="842"/>
      <c r="X259" s="842"/>
      <c r="Y259" s="132">
        <f t="shared" si="39"/>
        <v>0</v>
      </c>
      <c r="Z259" s="132">
        <f t="shared" si="40"/>
        <v>0</v>
      </c>
      <c r="AA259" s="132">
        <f t="shared" si="41"/>
        <v>0</v>
      </c>
      <c r="AB259" s="140">
        <v>35403</v>
      </c>
      <c r="AC259" s="141"/>
      <c r="AD259" s="210"/>
    </row>
    <row r="260" spans="1:30" s="136" customFormat="1">
      <c r="A260" s="157">
        <v>42407</v>
      </c>
      <c r="B260" s="558" t="s">
        <v>827</v>
      </c>
      <c r="C260" s="133"/>
      <c r="D260" s="133"/>
      <c r="E260" s="133"/>
      <c r="F260" s="133"/>
      <c r="G260" s="133"/>
      <c r="H260" s="133"/>
      <c r="I260" s="132"/>
      <c r="J260" s="132"/>
      <c r="K260" s="423"/>
      <c r="L260" s="132"/>
      <c r="M260" s="132"/>
      <c r="N260" s="133"/>
      <c r="O260" s="133"/>
      <c r="P260" s="133"/>
      <c r="Q260" s="133"/>
      <c r="R260" s="133">
        <f t="shared" si="37"/>
        <v>0</v>
      </c>
      <c r="S260" s="134"/>
      <c r="T260" s="133">
        <f t="shared" si="38"/>
        <v>0</v>
      </c>
      <c r="U260" s="133"/>
      <c r="V260" s="842"/>
      <c r="W260" s="842"/>
      <c r="X260" s="842"/>
      <c r="Y260" s="132">
        <f t="shared" si="39"/>
        <v>0</v>
      </c>
      <c r="Z260" s="132">
        <f t="shared" si="40"/>
        <v>0</v>
      </c>
      <c r="AA260" s="132">
        <f t="shared" si="41"/>
        <v>0</v>
      </c>
      <c r="AB260" s="140">
        <v>35403</v>
      </c>
      <c r="AC260" s="141"/>
      <c r="AD260" s="210"/>
    </row>
    <row r="261" spans="1:30" s="136" customFormat="1">
      <c r="A261" s="157">
        <v>42408</v>
      </c>
      <c r="B261" s="558" t="s">
        <v>1056</v>
      </c>
      <c r="C261" s="133"/>
      <c r="D261" s="133"/>
      <c r="E261" s="133"/>
      <c r="F261" s="133"/>
      <c r="G261" s="133"/>
      <c r="H261" s="133"/>
      <c r="I261" s="132"/>
      <c r="J261" s="132"/>
      <c r="K261" s="423"/>
      <c r="L261" s="132">
        <v>0.5</v>
      </c>
      <c r="M261" s="132"/>
      <c r="N261" s="133"/>
      <c r="O261" s="133"/>
      <c r="P261" s="133"/>
      <c r="Q261" s="133"/>
      <c r="R261" s="133">
        <f t="shared" si="37"/>
        <v>0.5</v>
      </c>
      <c r="S261" s="134"/>
      <c r="T261" s="133">
        <f t="shared" si="38"/>
        <v>0</v>
      </c>
      <c r="U261" s="133"/>
      <c r="V261" s="842"/>
      <c r="W261" s="842"/>
      <c r="X261" s="842"/>
      <c r="Y261" s="132">
        <f t="shared" si="39"/>
        <v>56.25</v>
      </c>
      <c r="Z261" s="132">
        <f t="shared" si="40"/>
        <v>2.8125</v>
      </c>
      <c r="AA261" s="132">
        <f t="shared" si="41"/>
        <v>59.0625</v>
      </c>
      <c r="AB261" s="140">
        <v>35403</v>
      </c>
      <c r="AC261" s="141"/>
      <c r="AD261" s="210"/>
    </row>
    <row r="262" spans="1:30" s="136" customFormat="1">
      <c r="A262" s="157">
        <v>42409</v>
      </c>
      <c r="B262" s="558" t="s">
        <v>1057</v>
      </c>
      <c r="C262" s="133"/>
      <c r="D262" s="133"/>
      <c r="E262" s="133"/>
      <c r="F262" s="133"/>
      <c r="G262" s="133"/>
      <c r="H262" s="133"/>
      <c r="I262" s="132"/>
      <c r="J262" s="132"/>
      <c r="K262" s="423"/>
      <c r="L262" s="132">
        <v>5</v>
      </c>
      <c r="M262" s="132"/>
      <c r="N262" s="133"/>
      <c r="O262" s="133"/>
      <c r="P262" s="133"/>
      <c r="Q262" s="133"/>
      <c r="R262" s="133">
        <f t="shared" si="37"/>
        <v>5</v>
      </c>
      <c r="S262" s="134"/>
      <c r="T262" s="133">
        <f t="shared" si="38"/>
        <v>0</v>
      </c>
      <c r="U262" s="133"/>
      <c r="V262" s="842"/>
      <c r="W262" s="842"/>
      <c r="X262" s="842"/>
      <c r="Y262" s="132">
        <f t="shared" si="39"/>
        <v>562.5</v>
      </c>
      <c r="Z262" s="132">
        <f t="shared" si="40"/>
        <v>28.125</v>
      </c>
      <c r="AA262" s="132">
        <f t="shared" si="41"/>
        <v>590.625</v>
      </c>
      <c r="AB262" s="140">
        <v>35403</v>
      </c>
      <c r="AC262" s="141"/>
      <c r="AD262" s="210"/>
    </row>
    <row r="263" spans="1:30" s="136" customFormat="1">
      <c r="A263" s="157">
        <v>42410</v>
      </c>
      <c r="B263" s="558" t="s">
        <v>1058</v>
      </c>
      <c r="C263" s="133"/>
      <c r="D263" s="133"/>
      <c r="E263" s="133"/>
      <c r="F263" s="133"/>
      <c r="G263" s="133"/>
      <c r="H263" s="133"/>
      <c r="I263" s="132"/>
      <c r="J263" s="132"/>
      <c r="K263" s="423"/>
      <c r="L263" s="132">
        <v>3</v>
      </c>
      <c r="M263" s="132"/>
      <c r="N263" s="133"/>
      <c r="O263" s="133"/>
      <c r="P263" s="133"/>
      <c r="Q263" s="133"/>
      <c r="R263" s="133">
        <f t="shared" si="37"/>
        <v>3</v>
      </c>
      <c r="S263" s="134"/>
      <c r="T263" s="133">
        <f t="shared" si="38"/>
        <v>0</v>
      </c>
      <c r="U263" s="133"/>
      <c r="V263" s="842"/>
      <c r="W263" s="842"/>
      <c r="X263" s="842"/>
      <c r="Y263" s="132">
        <f t="shared" si="39"/>
        <v>337.5</v>
      </c>
      <c r="Z263" s="132">
        <f t="shared" si="40"/>
        <v>16.875</v>
      </c>
      <c r="AA263" s="132">
        <f t="shared" si="41"/>
        <v>354.375</v>
      </c>
      <c r="AB263" s="140">
        <v>35403</v>
      </c>
      <c r="AC263" s="141"/>
      <c r="AD263" s="210"/>
    </row>
    <row r="264" spans="1:30" s="136" customFormat="1">
      <c r="A264" s="157">
        <v>42411</v>
      </c>
      <c r="B264" s="558" t="s">
        <v>1059</v>
      </c>
      <c r="C264" s="133"/>
      <c r="D264" s="133"/>
      <c r="E264" s="133"/>
      <c r="F264" s="133"/>
      <c r="G264" s="133"/>
      <c r="H264" s="133"/>
      <c r="I264" s="132"/>
      <c r="J264" s="132"/>
      <c r="K264" s="423"/>
      <c r="L264" s="132">
        <v>1</v>
      </c>
      <c r="M264" s="132"/>
      <c r="N264" s="133"/>
      <c r="O264" s="133"/>
      <c r="P264" s="133"/>
      <c r="Q264" s="133"/>
      <c r="R264" s="133">
        <f t="shared" si="37"/>
        <v>1</v>
      </c>
      <c r="S264" s="134"/>
      <c r="T264" s="133">
        <f t="shared" si="38"/>
        <v>0</v>
      </c>
      <c r="U264" s="133"/>
      <c r="V264" s="842"/>
      <c r="W264" s="842"/>
      <c r="X264" s="842"/>
      <c r="Y264" s="132">
        <f t="shared" si="39"/>
        <v>112.5</v>
      </c>
      <c r="Z264" s="132">
        <f t="shared" si="40"/>
        <v>5.625</v>
      </c>
      <c r="AA264" s="132">
        <f t="shared" si="41"/>
        <v>118.125</v>
      </c>
      <c r="AB264" s="140">
        <v>35403</v>
      </c>
      <c r="AC264" s="141"/>
      <c r="AD264" s="210"/>
    </row>
    <row r="265" spans="1:30" s="136" customFormat="1">
      <c r="A265" s="157">
        <v>42412</v>
      </c>
      <c r="B265" s="558" t="s">
        <v>1060</v>
      </c>
      <c r="C265" s="133"/>
      <c r="D265" s="133"/>
      <c r="E265" s="133"/>
      <c r="F265" s="133">
        <v>9.5</v>
      </c>
      <c r="G265" s="133"/>
      <c r="H265" s="133"/>
      <c r="I265" s="132"/>
      <c r="J265" s="132"/>
      <c r="K265" s="423"/>
      <c r="L265" s="132"/>
      <c r="M265" s="132"/>
      <c r="N265" s="133">
        <v>1</v>
      </c>
      <c r="O265" s="133"/>
      <c r="P265" s="133">
        <v>9.5</v>
      </c>
      <c r="Q265" s="133"/>
      <c r="R265" s="133">
        <f t="shared" si="37"/>
        <v>9.5</v>
      </c>
      <c r="S265" s="134"/>
      <c r="T265" s="133">
        <f t="shared" si="38"/>
        <v>0</v>
      </c>
      <c r="U265" s="133"/>
      <c r="V265" s="842"/>
      <c r="W265" s="842"/>
      <c r="X265" s="842"/>
      <c r="Y265" s="132">
        <f t="shared" si="39"/>
        <v>2086.5</v>
      </c>
      <c r="Z265" s="132">
        <f t="shared" si="40"/>
        <v>104.325</v>
      </c>
      <c r="AA265" s="132">
        <f t="shared" si="41"/>
        <v>2190.8249999999998</v>
      </c>
      <c r="AB265" s="140">
        <v>35403</v>
      </c>
      <c r="AC265" s="141"/>
      <c r="AD265" s="210"/>
    </row>
    <row r="266" spans="1:30" s="136" customFormat="1">
      <c r="A266" s="157">
        <v>42413</v>
      </c>
      <c r="B266" s="558" t="s">
        <v>827</v>
      </c>
      <c r="C266" s="133"/>
      <c r="D266" s="133"/>
      <c r="E266" s="133"/>
      <c r="F266" s="133"/>
      <c r="G266" s="133"/>
      <c r="H266" s="133"/>
      <c r="I266" s="132"/>
      <c r="J266" s="132"/>
      <c r="K266" s="423"/>
      <c r="L266" s="132"/>
      <c r="M266" s="132"/>
      <c r="N266" s="133"/>
      <c r="O266" s="133"/>
      <c r="P266" s="133"/>
      <c r="Q266" s="133"/>
      <c r="R266" s="133">
        <f t="shared" si="37"/>
        <v>0</v>
      </c>
      <c r="S266" s="134"/>
      <c r="T266" s="133">
        <f t="shared" si="38"/>
        <v>0</v>
      </c>
      <c r="U266" s="133"/>
      <c r="V266" s="842"/>
      <c r="W266" s="842"/>
      <c r="X266" s="842"/>
      <c r="Y266" s="132">
        <f t="shared" si="39"/>
        <v>0</v>
      </c>
      <c r="Z266" s="132">
        <f t="shared" si="40"/>
        <v>0</v>
      </c>
      <c r="AA266" s="132">
        <f t="shared" si="41"/>
        <v>0</v>
      </c>
      <c r="AB266" s="140">
        <v>35403</v>
      </c>
      <c r="AC266" s="141"/>
      <c r="AD266" s="210"/>
    </row>
    <row r="267" spans="1:30" s="136" customFormat="1">
      <c r="A267" s="157">
        <v>42414</v>
      </c>
      <c r="B267" s="558" t="s">
        <v>827</v>
      </c>
      <c r="C267" s="133"/>
      <c r="D267" s="133"/>
      <c r="E267" s="133"/>
      <c r="F267" s="133"/>
      <c r="G267" s="133"/>
      <c r="H267" s="133"/>
      <c r="I267" s="132"/>
      <c r="J267" s="132"/>
      <c r="K267" s="423"/>
      <c r="L267" s="132"/>
      <c r="M267" s="132"/>
      <c r="N267" s="133"/>
      <c r="O267" s="133"/>
      <c r="P267" s="133"/>
      <c r="Q267" s="133"/>
      <c r="R267" s="133">
        <f t="shared" si="37"/>
        <v>0</v>
      </c>
      <c r="S267" s="134"/>
      <c r="T267" s="133">
        <f t="shared" si="38"/>
        <v>0</v>
      </c>
      <c r="U267" s="133"/>
      <c r="V267" s="842"/>
      <c r="W267" s="842"/>
      <c r="X267" s="842"/>
      <c r="Y267" s="132">
        <f t="shared" si="39"/>
        <v>0</v>
      </c>
      <c r="Z267" s="132">
        <f t="shared" si="40"/>
        <v>0</v>
      </c>
      <c r="AA267" s="132">
        <f t="shared" si="41"/>
        <v>0</v>
      </c>
      <c r="AB267" s="140">
        <v>35403</v>
      </c>
      <c r="AC267" s="141"/>
      <c r="AD267" s="210"/>
    </row>
    <row r="268" spans="1:30" s="136" customFormat="1">
      <c r="A268" s="157">
        <v>42415</v>
      </c>
      <c r="B268" s="558" t="s">
        <v>827</v>
      </c>
      <c r="C268" s="133"/>
      <c r="D268" s="133"/>
      <c r="E268" s="133"/>
      <c r="F268" s="133"/>
      <c r="G268" s="133"/>
      <c r="H268" s="133"/>
      <c r="I268" s="132"/>
      <c r="J268" s="132"/>
      <c r="K268" s="423"/>
      <c r="L268" s="132"/>
      <c r="M268" s="132"/>
      <c r="N268" s="133"/>
      <c r="O268" s="133"/>
      <c r="P268" s="133"/>
      <c r="Q268" s="133"/>
      <c r="R268" s="133">
        <f t="shared" si="37"/>
        <v>0</v>
      </c>
      <c r="S268" s="134"/>
      <c r="T268" s="133">
        <f t="shared" si="38"/>
        <v>0</v>
      </c>
      <c r="U268" s="133"/>
      <c r="V268" s="842"/>
      <c r="W268" s="842"/>
      <c r="X268" s="842"/>
      <c r="Y268" s="132">
        <f t="shared" si="39"/>
        <v>0</v>
      </c>
      <c r="Z268" s="132">
        <f t="shared" si="40"/>
        <v>0</v>
      </c>
      <c r="AA268" s="132">
        <f t="shared" si="41"/>
        <v>0</v>
      </c>
      <c r="AB268" s="140">
        <v>35403</v>
      </c>
      <c r="AC268" s="141"/>
      <c r="AD268" s="210"/>
    </row>
    <row r="269" spans="1:30" s="136" customFormat="1">
      <c r="A269" s="157">
        <v>42416</v>
      </c>
      <c r="B269" s="558" t="s">
        <v>827</v>
      </c>
      <c r="C269" s="133"/>
      <c r="D269" s="133"/>
      <c r="E269" s="133"/>
      <c r="F269" s="133"/>
      <c r="G269" s="133"/>
      <c r="H269" s="133"/>
      <c r="I269" s="132"/>
      <c r="J269" s="132"/>
      <c r="K269" s="423"/>
      <c r="L269" s="132"/>
      <c r="M269" s="132"/>
      <c r="N269" s="133"/>
      <c r="O269" s="133"/>
      <c r="P269" s="133"/>
      <c r="Q269" s="133"/>
      <c r="R269" s="133">
        <f t="shared" si="37"/>
        <v>0</v>
      </c>
      <c r="S269" s="134"/>
      <c r="T269" s="133">
        <f t="shared" si="38"/>
        <v>0</v>
      </c>
      <c r="U269" s="133"/>
      <c r="V269" s="842"/>
      <c r="W269" s="842"/>
      <c r="X269" s="842"/>
      <c r="Y269" s="132">
        <f t="shared" si="39"/>
        <v>0</v>
      </c>
      <c r="Z269" s="132">
        <f t="shared" si="40"/>
        <v>0</v>
      </c>
      <c r="AA269" s="132">
        <f t="shared" si="41"/>
        <v>0</v>
      </c>
      <c r="AB269" s="140">
        <v>35403</v>
      </c>
      <c r="AC269" s="141"/>
      <c r="AD269" s="210"/>
    </row>
    <row r="270" spans="1:30" s="136" customFormat="1">
      <c r="A270" s="157">
        <v>42417</v>
      </c>
      <c r="B270" s="558" t="s">
        <v>1061</v>
      </c>
      <c r="C270" s="133">
        <v>5</v>
      </c>
      <c r="D270" s="133">
        <v>0.75</v>
      </c>
      <c r="E270" s="133"/>
      <c r="F270" s="133"/>
      <c r="G270" s="133"/>
      <c r="H270" s="133"/>
      <c r="I270" s="132"/>
      <c r="J270" s="132"/>
      <c r="K270" s="423"/>
      <c r="L270" s="132"/>
      <c r="M270" s="132"/>
      <c r="N270" s="133"/>
      <c r="O270" s="133"/>
      <c r="P270" s="133"/>
      <c r="Q270" s="133"/>
      <c r="R270" s="133">
        <f t="shared" si="37"/>
        <v>5.75</v>
      </c>
      <c r="S270" s="134"/>
      <c r="T270" s="133">
        <f t="shared" si="38"/>
        <v>0</v>
      </c>
      <c r="U270" s="133"/>
      <c r="V270" s="842"/>
      <c r="W270" s="842"/>
      <c r="X270" s="842"/>
      <c r="Y270" s="132">
        <f t="shared" si="39"/>
        <v>540</v>
      </c>
      <c r="Z270" s="132">
        <f t="shared" si="40"/>
        <v>27</v>
      </c>
      <c r="AA270" s="132">
        <f t="shared" si="41"/>
        <v>567</v>
      </c>
      <c r="AB270" s="140">
        <v>35403</v>
      </c>
      <c r="AC270" s="141"/>
      <c r="AD270" s="210"/>
    </row>
    <row r="271" spans="1:30" s="136" customFormat="1">
      <c r="A271" s="157">
        <v>42418</v>
      </c>
      <c r="B271" s="558" t="s">
        <v>1062</v>
      </c>
      <c r="C271" s="133">
        <v>8</v>
      </c>
      <c r="D271" s="133"/>
      <c r="E271" s="133"/>
      <c r="F271" s="133"/>
      <c r="G271" s="133"/>
      <c r="H271" s="133"/>
      <c r="I271" s="132"/>
      <c r="J271" s="132"/>
      <c r="K271" s="423"/>
      <c r="L271" s="132"/>
      <c r="M271" s="132"/>
      <c r="N271" s="133"/>
      <c r="O271" s="133"/>
      <c r="P271" s="133"/>
      <c r="Q271" s="133"/>
      <c r="R271" s="133">
        <f t="shared" si="37"/>
        <v>8</v>
      </c>
      <c r="S271" s="134"/>
      <c r="T271" s="133">
        <f t="shared" si="38"/>
        <v>0</v>
      </c>
      <c r="U271" s="133"/>
      <c r="V271" s="842">
        <v>2.5</v>
      </c>
      <c r="W271" s="842"/>
      <c r="X271" s="842"/>
      <c r="Y271" s="132">
        <f t="shared" si="39"/>
        <v>1093.5</v>
      </c>
      <c r="Z271" s="132">
        <f t="shared" si="40"/>
        <v>54.675000000000004</v>
      </c>
      <c r="AA271" s="132">
        <f t="shared" si="41"/>
        <v>1148.175</v>
      </c>
      <c r="AB271" s="140">
        <v>35403</v>
      </c>
      <c r="AC271" s="141"/>
      <c r="AD271" s="210"/>
    </row>
    <row r="272" spans="1:30" s="136" customFormat="1">
      <c r="A272" s="157">
        <v>42419</v>
      </c>
      <c r="B272" s="558" t="s">
        <v>1063</v>
      </c>
      <c r="C272" s="133">
        <v>8</v>
      </c>
      <c r="D272" s="133"/>
      <c r="E272" s="133"/>
      <c r="F272" s="133">
        <v>8</v>
      </c>
      <c r="G272" s="133"/>
      <c r="H272" s="133"/>
      <c r="I272" s="132"/>
      <c r="J272" s="132"/>
      <c r="K272" s="423"/>
      <c r="L272" s="132"/>
      <c r="M272" s="132"/>
      <c r="N272" s="133">
        <v>1</v>
      </c>
      <c r="O272" s="133"/>
      <c r="P272" s="133">
        <v>8</v>
      </c>
      <c r="Q272" s="133"/>
      <c r="R272" s="133">
        <f t="shared" si="37"/>
        <v>16</v>
      </c>
      <c r="S272" s="134"/>
      <c r="T272" s="133">
        <f t="shared" si="38"/>
        <v>0</v>
      </c>
      <c r="U272" s="133"/>
      <c r="V272" s="842"/>
      <c r="W272" s="842">
        <v>30</v>
      </c>
      <c r="X272" s="842"/>
      <c r="Y272" s="132">
        <f t="shared" si="39"/>
        <v>2622</v>
      </c>
      <c r="Z272" s="132">
        <f t="shared" si="40"/>
        <v>131.1</v>
      </c>
      <c r="AA272" s="132">
        <f t="shared" si="41"/>
        <v>2753.1</v>
      </c>
      <c r="AB272" s="140">
        <v>35403</v>
      </c>
      <c r="AC272" s="141"/>
      <c r="AD272" s="210"/>
    </row>
    <row r="273" spans="1:30" s="136" customFormat="1">
      <c r="A273" s="157">
        <v>42420</v>
      </c>
      <c r="B273" s="558" t="s">
        <v>827</v>
      </c>
      <c r="C273" s="133"/>
      <c r="D273" s="133"/>
      <c r="E273" s="133"/>
      <c r="F273" s="133"/>
      <c r="G273" s="133"/>
      <c r="H273" s="133"/>
      <c r="I273" s="132"/>
      <c r="J273" s="132"/>
      <c r="K273" s="423"/>
      <c r="L273" s="132"/>
      <c r="M273" s="132"/>
      <c r="N273" s="133"/>
      <c r="O273" s="133"/>
      <c r="P273" s="133"/>
      <c r="Q273" s="133"/>
      <c r="R273" s="133">
        <f t="shared" si="37"/>
        <v>0</v>
      </c>
      <c r="S273" s="134"/>
      <c r="T273" s="133">
        <f t="shared" si="38"/>
        <v>0</v>
      </c>
      <c r="U273" s="133"/>
      <c r="V273" s="842"/>
      <c r="W273" s="842"/>
      <c r="X273" s="842"/>
      <c r="Y273" s="132">
        <f t="shared" si="39"/>
        <v>0</v>
      </c>
      <c r="Z273" s="132">
        <f t="shared" si="40"/>
        <v>0</v>
      </c>
      <c r="AA273" s="132">
        <f t="shared" si="41"/>
        <v>0</v>
      </c>
      <c r="AB273" s="140">
        <v>35403</v>
      </c>
      <c r="AC273" s="141"/>
      <c r="AD273" s="210"/>
    </row>
    <row r="274" spans="1:30" s="136" customFormat="1">
      <c r="A274" s="157">
        <v>42421</v>
      </c>
      <c r="B274" s="558" t="s">
        <v>827</v>
      </c>
      <c r="C274" s="133"/>
      <c r="D274" s="133"/>
      <c r="E274" s="133"/>
      <c r="F274" s="133"/>
      <c r="G274" s="133"/>
      <c r="H274" s="133"/>
      <c r="I274" s="132"/>
      <c r="J274" s="132"/>
      <c r="K274" s="423"/>
      <c r="L274" s="132"/>
      <c r="M274" s="132"/>
      <c r="N274" s="133"/>
      <c r="O274" s="133"/>
      <c r="P274" s="133"/>
      <c r="Q274" s="133"/>
      <c r="R274" s="133">
        <f t="shared" si="37"/>
        <v>0</v>
      </c>
      <c r="S274" s="134"/>
      <c r="T274" s="133">
        <f t="shared" si="38"/>
        <v>0</v>
      </c>
      <c r="U274" s="133"/>
      <c r="V274" s="842"/>
      <c r="W274" s="842"/>
      <c r="X274" s="842"/>
      <c r="Y274" s="132">
        <f t="shared" si="39"/>
        <v>0</v>
      </c>
      <c r="Z274" s="132">
        <f t="shared" si="40"/>
        <v>0</v>
      </c>
      <c r="AA274" s="132">
        <f t="shared" si="41"/>
        <v>0</v>
      </c>
      <c r="AB274" s="140">
        <v>35403</v>
      </c>
      <c r="AC274" s="141"/>
      <c r="AD274" s="210"/>
    </row>
    <row r="275" spans="1:30" s="136" customFormat="1">
      <c r="A275" s="157">
        <v>42422</v>
      </c>
      <c r="B275" s="558" t="s">
        <v>1064</v>
      </c>
      <c r="C275" s="133">
        <v>9.5</v>
      </c>
      <c r="D275" s="133"/>
      <c r="E275" s="133"/>
      <c r="F275" s="133"/>
      <c r="G275" s="133"/>
      <c r="H275" s="133"/>
      <c r="I275" s="132"/>
      <c r="J275" s="132"/>
      <c r="K275" s="423"/>
      <c r="L275" s="132"/>
      <c r="M275" s="132"/>
      <c r="N275" s="133"/>
      <c r="O275" s="133"/>
      <c r="P275" s="133"/>
      <c r="Q275" s="133"/>
      <c r="R275" s="133">
        <f t="shared" si="37"/>
        <v>9.5</v>
      </c>
      <c r="S275" s="134"/>
      <c r="T275" s="133">
        <f t="shared" si="38"/>
        <v>0</v>
      </c>
      <c r="U275" s="133"/>
      <c r="V275" s="842"/>
      <c r="W275" s="842"/>
      <c r="X275" s="842"/>
      <c r="Y275" s="132">
        <f t="shared" si="39"/>
        <v>897.75</v>
      </c>
      <c r="Z275" s="132">
        <f t="shared" si="40"/>
        <v>44.887500000000003</v>
      </c>
      <c r="AA275" s="132">
        <f t="shared" si="41"/>
        <v>942.63750000000005</v>
      </c>
      <c r="AB275" s="140">
        <v>35403</v>
      </c>
      <c r="AC275" s="141"/>
      <c r="AD275" s="210"/>
    </row>
    <row r="276" spans="1:30" s="136" customFormat="1">
      <c r="A276" s="157">
        <v>42423</v>
      </c>
      <c r="B276" s="558" t="s">
        <v>1065</v>
      </c>
      <c r="C276" s="133">
        <v>9</v>
      </c>
      <c r="D276" s="133">
        <v>3.25</v>
      </c>
      <c r="E276" s="133"/>
      <c r="F276" s="133"/>
      <c r="G276" s="133"/>
      <c r="H276" s="133"/>
      <c r="I276" s="132"/>
      <c r="J276" s="132"/>
      <c r="K276" s="423"/>
      <c r="L276" s="132"/>
      <c r="M276" s="132"/>
      <c r="N276" s="133"/>
      <c r="O276" s="133"/>
      <c r="P276" s="133"/>
      <c r="Q276" s="133"/>
      <c r="R276" s="133">
        <f t="shared" si="37"/>
        <v>12.25</v>
      </c>
      <c r="S276" s="134"/>
      <c r="T276" s="133">
        <f t="shared" si="38"/>
        <v>0</v>
      </c>
      <c r="U276" s="133"/>
      <c r="V276" s="842"/>
      <c r="W276" s="842"/>
      <c r="X276" s="842"/>
      <c r="Y276" s="132">
        <f t="shared" si="39"/>
        <v>1143</v>
      </c>
      <c r="Z276" s="132">
        <f t="shared" si="40"/>
        <v>57.150000000000006</v>
      </c>
      <c r="AA276" s="132">
        <f t="shared" si="41"/>
        <v>1200.1500000000001</v>
      </c>
      <c r="AB276" s="140">
        <v>35403</v>
      </c>
      <c r="AC276" s="141"/>
      <c r="AD276" s="210"/>
    </row>
    <row r="277" spans="1:30" s="136" customFormat="1">
      <c r="A277" s="157">
        <v>42424</v>
      </c>
      <c r="B277" s="558" t="s">
        <v>1066</v>
      </c>
      <c r="C277" s="133"/>
      <c r="D277" s="133">
        <v>1.25</v>
      </c>
      <c r="E277" s="133"/>
      <c r="F277" s="133"/>
      <c r="G277" s="133"/>
      <c r="H277" s="133"/>
      <c r="I277" s="132"/>
      <c r="J277" s="132"/>
      <c r="K277" s="423"/>
      <c r="L277" s="132">
        <v>1</v>
      </c>
      <c r="M277" s="132"/>
      <c r="N277" s="133"/>
      <c r="O277" s="133"/>
      <c r="P277" s="133"/>
      <c r="Q277" s="133"/>
      <c r="R277" s="133">
        <f t="shared" si="37"/>
        <v>2.25</v>
      </c>
      <c r="S277" s="134"/>
      <c r="T277" s="133">
        <f t="shared" si="38"/>
        <v>0</v>
      </c>
      <c r="U277" s="133"/>
      <c r="V277" s="842"/>
      <c r="W277" s="842"/>
      <c r="X277" s="842"/>
      <c r="Y277" s="132">
        <f t="shared" si="39"/>
        <v>225</v>
      </c>
      <c r="Z277" s="132">
        <f t="shared" si="40"/>
        <v>11.25</v>
      </c>
      <c r="AA277" s="132">
        <f t="shared" si="41"/>
        <v>236.25</v>
      </c>
      <c r="AB277" s="140">
        <v>35403</v>
      </c>
      <c r="AC277" s="141"/>
      <c r="AD277" s="210"/>
    </row>
    <row r="278" spans="1:30" s="136" customFormat="1">
      <c r="A278" s="157">
        <v>42425</v>
      </c>
      <c r="B278" s="558" t="s">
        <v>827</v>
      </c>
      <c r="C278" s="133"/>
      <c r="D278" s="133"/>
      <c r="E278" s="133"/>
      <c r="F278" s="133"/>
      <c r="G278" s="133"/>
      <c r="H278" s="133"/>
      <c r="I278" s="132"/>
      <c r="J278" s="132"/>
      <c r="K278" s="423"/>
      <c r="L278" s="132"/>
      <c r="M278" s="132"/>
      <c r="N278" s="133"/>
      <c r="O278" s="133"/>
      <c r="P278" s="133"/>
      <c r="Q278" s="133"/>
      <c r="R278" s="133">
        <f t="shared" si="37"/>
        <v>0</v>
      </c>
      <c r="S278" s="134"/>
      <c r="T278" s="133">
        <f t="shared" si="38"/>
        <v>0</v>
      </c>
      <c r="U278" s="133"/>
      <c r="V278" s="842"/>
      <c r="W278" s="842"/>
      <c r="X278" s="842"/>
      <c r="Y278" s="132">
        <f t="shared" si="39"/>
        <v>0</v>
      </c>
      <c r="Z278" s="132">
        <f t="shared" si="40"/>
        <v>0</v>
      </c>
      <c r="AA278" s="132">
        <f t="shared" si="41"/>
        <v>0</v>
      </c>
      <c r="AB278" s="140">
        <v>35403</v>
      </c>
      <c r="AC278" s="141"/>
      <c r="AD278" s="210"/>
    </row>
    <row r="279" spans="1:30" s="136" customFormat="1">
      <c r="A279" s="157">
        <v>42426</v>
      </c>
      <c r="B279" s="558" t="s">
        <v>827</v>
      </c>
      <c r="C279" s="133"/>
      <c r="D279" s="133"/>
      <c r="E279" s="133"/>
      <c r="F279" s="133"/>
      <c r="G279" s="133"/>
      <c r="H279" s="133"/>
      <c r="I279" s="132"/>
      <c r="J279" s="132"/>
      <c r="K279" s="423"/>
      <c r="L279" s="132"/>
      <c r="M279" s="132"/>
      <c r="N279" s="133"/>
      <c r="O279" s="133"/>
      <c r="P279" s="133"/>
      <c r="Q279" s="133"/>
      <c r="R279" s="133">
        <f t="shared" si="37"/>
        <v>0</v>
      </c>
      <c r="S279" s="134"/>
      <c r="T279" s="133">
        <f t="shared" si="38"/>
        <v>0</v>
      </c>
      <c r="U279" s="133"/>
      <c r="V279" s="842"/>
      <c r="W279" s="842"/>
      <c r="X279" s="842"/>
      <c r="Y279" s="132">
        <f t="shared" si="39"/>
        <v>0</v>
      </c>
      <c r="Z279" s="132">
        <f t="shared" si="40"/>
        <v>0</v>
      </c>
      <c r="AA279" s="132">
        <f t="shared" si="41"/>
        <v>0</v>
      </c>
      <c r="AB279" s="140">
        <v>35403</v>
      </c>
      <c r="AC279" s="141"/>
      <c r="AD279" s="210"/>
    </row>
    <row r="280" spans="1:30" s="136" customFormat="1">
      <c r="A280" s="157">
        <v>42427</v>
      </c>
      <c r="B280" s="558" t="s">
        <v>827</v>
      </c>
      <c r="C280" s="133"/>
      <c r="D280" s="133"/>
      <c r="E280" s="133"/>
      <c r="F280" s="133"/>
      <c r="G280" s="133"/>
      <c r="H280" s="133"/>
      <c r="I280" s="132"/>
      <c r="J280" s="132"/>
      <c r="K280" s="423"/>
      <c r="L280" s="132"/>
      <c r="M280" s="132"/>
      <c r="N280" s="133"/>
      <c r="O280" s="133"/>
      <c r="P280" s="133"/>
      <c r="Q280" s="133"/>
      <c r="R280" s="133">
        <f t="shared" si="37"/>
        <v>0</v>
      </c>
      <c r="S280" s="134"/>
      <c r="T280" s="133">
        <f t="shared" si="38"/>
        <v>0</v>
      </c>
      <c r="U280" s="133"/>
      <c r="V280" s="842"/>
      <c r="W280" s="842"/>
      <c r="X280" s="842"/>
      <c r="Y280" s="132">
        <f t="shared" si="39"/>
        <v>0</v>
      </c>
      <c r="Z280" s="132">
        <f t="shared" si="40"/>
        <v>0</v>
      </c>
      <c r="AA280" s="132">
        <f t="shared" si="41"/>
        <v>0</v>
      </c>
      <c r="AB280" s="140">
        <v>35403</v>
      </c>
      <c r="AC280" s="141"/>
      <c r="AD280" s="210"/>
    </row>
    <row r="281" spans="1:30" s="136" customFormat="1">
      <c r="A281" s="157">
        <v>42428</v>
      </c>
      <c r="B281" s="558" t="s">
        <v>827</v>
      </c>
      <c r="C281" s="133"/>
      <c r="D281" s="133"/>
      <c r="E281" s="133"/>
      <c r="F281" s="133"/>
      <c r="G281" s="133"/>
      <c r="H281" s="133"/>
      <c r="I281" s="132"/>
      <c r="J281" s="132"/>
      <c r="K281" s="423"/>
      <c r="L281" s="132"/>
      <c r="M281" s="132"/>
      <c r="N281" s="133"/>
      <c r="O281" s="133"/>
      <c r="P281" s="133"/>
      <c r="Q281" s="133"/>
      <c r="R281" s="133">
        <f t="shared" si="37"/>
        <v>0</v>
      </c>
      <c r="S281" s="134"/>
      <c r="T281" s="133">
        <f t="shared" si="38"/>
        <v>0</v>
      </c>
      <c r="U281" s="133"/>
      <c r="V281" s="842"/>
      <c r="W281" s="842"/>
      <c r="X281" s="842"/>
      <c r="Y281" s="132">
        <f t="shared" si="39"/>
        <v>0</v>
      </c>
      <c r="Z281" s="132">
        <f t="shared" si="40"/>
        <v>0</v>
      </c>
      <c r="AA281" s="132">
        <f t="shared" si="41"/>
        <v>0</v>
      </c>
      <c r="AB281" s="140">
        <v>35403</v>
      </c>
      <c r="AC281" s="141"/>
      <c r="AD281" s="210"/>
    </row>
    <row r="282" spans="1:30" s="458" customFormat="1">
      <c r="A282" s="157">
        <v>42429</v>
      </c>
      <c r="B282" s="558" t="s">
        <v>1067</v>
      </c>
      <c r="C282" s="133"/>
      <c r="D282" s="133">
        <v>1.5</v>
      </c>
      <c r="E282" s="133"/>
      <c r="F282" s="133"/>
      <c r="G282" s="133"/>
      <c r="H282" s="133"/>
      <c r="I282" s="132"/>
      <c r="J282" s="132"/>
      <c r="K282" s="423"/>
      <c r="L282" s="132">
        <v>2</v>
      </c>
      <c r="M282" s="132"/>
      <c r="N282" s="133"/>
      <c r="O282" s="133"/>
      <c r="P282" s="133"/>
      <c r="Q282" s="133"/>
      <c r="R282" s="133">
        <f t="shared" si="37"/>
        <v>3.5</v>
      </c>
      <c r="S282" s="134"/>
      <c r="T282" s="133">
        <f t="shared" si="38"/>
        <v>0</v>
      </c>
      <c r="U282" s="133"/>
      <c r="V282" s="842"/>
      <c r="W282" s="842"/>
      <c r="X282" s="842"/>
      <c r="Y282" s="132">
        <f t="shared" si="39"/>
        <v>360</v>
      </c>
      <c r="Z282" s="132">
        <f t="shared" si="40"/>
        <v>18</v>
      </c>
      <c r="AA282" s="132">
        <f t="shared" si="41"/>
        <v>378</v>
      </c>
      <c r="AB282" s="140">
        <v>35403</v>
      </c>
      <c r="AC282" s="141"/>
      <c r="AD282" s="1150"/>
    </row>
    <row r="283" spans="1:30">
      <c r="A283" s="1146">
        <v>42430</v>
      </c>
      <c r="B283" s="1147"/>
      <c r="C283" s="564"/>
      <c r="D283" s="564"/>
      <c r="E283" s="564"/>
      <c r="F283" s="564"/>
      <c r="G283" s="564"/>
      <c r="H283" s="564"/>
      <c r="I283" s="563"/>
      <c r="J283" s="563"/>
      <c r="K283" s="1148"/>
      <c r="L283" s="563"/>
      <c r="M283" s="563"/>
      <c r="N283" s="564"/>
      <c r="O283" s="564"/>
      <c r="P283" s="564"/>
      <c r="Q283" s="564"/>
      <c r="R283" s="564">
        <f t="shared" si="37"/>
        <v>0</v>
      </c>
      <c r="S283" s="565"/>
      <c r="T283" s="564">
        <f t="shared" si="38"/>
        <v>0</v>
      </c>
      <c r="U283" s="564"/>
      <c r="V283" s="1149"/>
      <c r="W283" s="1149"/>
      <c r="X283" s="1149"/>
      <c r="Y283" s="563">
        <f t="shared" si="39"/>
        <v>0</v>
      </c>
      <c r="Z283" s="563">
        <f t="shared" si="40"/>
        <v>0</v>
      </c>
      <c r="AA283" s="563">
        <f t="shared" si="41"/>
        <v>0</v>
      </c>
      <c r="AB283" s="562"/>
      <c r="AC283" s="566"/>
    </row>
    <row r="1044009" hidden="1"/>
    <row r="1044010" hidden="1"/>
    <row r="1044011" hidden="1"/>
    <row r="1044012" hidden="1"/>
    <row r="1044013" hidden="1"/>
    <row r="1044014" hidden="1"/>
    <row r="1044015" hidden="1"/>
    <row r="1044016" hidden="1"/>
    <row r="1044017" hidden="1"/>
    <row r="1044018" hidden="1"/>
    <row r="1044019" hidden="1"/>
    <row r="1044020" hidden="1"/>
    <row r="1044021" hidden="1"/>
    <row r="1044022" hidden="1"/>
    <row r="1044023" hidden="1"/>
    <row r="1044024" hidden="1"/>
    <row r="1044025" hidden="1"/>
    <row r="1044026" hidden="1"/>
    <row r="1044027" hidden="1"/>
    <row r="1044028" hidden="1"/>
    <row r="1044029" hidden="1"/>
    <row r="1044030" hidden="1"/>
    <row r="1044031" hidden="1"/>
    <row r="1044032" hidden="1"/>
    <row r="1044033" hidden="1"/>
    <row r="1044034" hidden="1"/>
    <row r="1044035" hidden="1"/>
    <row r="1044036" hidden="1"/>
    <row r="1044037" hidden="1"/>
    <row r="1044038" hidden="1"/>
    <row r="1044039" hidden="1"/>
    <row r="1044040" hidden="1"/>
    <row r="1044041" hidden="1"/>
    <row r="1044042" hidden="1"/>
    <row r="1044043" hidden="1"/>
    <row r="1044044" hidden="1"/>
    <row r="1044045" hidden="1"/>
    <row r="1044046" hidden="1"/>
    <row r="1044047" hidden="1"/>
    <row r="1044048" hidden="1"/>
    <row r="1044049" hidden="1"/>
    <row r="1044050" hidden="1"/>
    <row r="1044051" hidden="1"/>
    <row r="1044052" hidden="1"/>
    <row r="1044053" hidden="1"/>
    <row r="1044054" hidden="1"/>
    <row r="1044055" hidden="1"/>
    <row r="1044056" hidden="1"/>
    <row r="1044057" hidden="1"/>
    <row r="1044058" hidden="1"/>
    <row r="1044059" hidden="1"/>
    <row r="1044060" hidden="1"/>
    <row r="1044061" hidden="1"/>
    <row r="1044062" hidden="1"/>
    <row r="1044063" hidden="1"/>
    <row r="1044064" hidden="1"/>
    <row r="1044065" hidden="1"/>
    <row r="1044066" hidden="1"/>
    <row r="1044067" hidden="1"/>
    <row r="1044068" hidden="1"/>
    <row r="1044069" hidden="1"/>
    <row r="1044070" hidden="1"/>
    <row r="1044071" hidden="1"/>
    <row r="1044072" hidden="1"/>
    <row r="1044073" hidden="1"/>
    <row r="1044074" hidden="1"/>
    <row r="1044075" hidden="1"/>
    <row r="1044076" hidden="1"/>
    <row r="1044077" hidden="1"/>
    <row r="1044078" hidden="1"/>
    <row r="1044079" hidden="1"/>
    <row r="1044080" hidden="1"/>
    <row r="1044081" hidden="1"/>
    <row r="1044082" hidden="1"/>
    <row r="1044083" hidden="1"/>
    <row r="1044084" hidden="1"/>
    <row r="1044085" hidden="1"/>
    <row r="1044086" hidden="1"/>
    <row r="1044087" hidden="1"/>
    <row r="1044088" hidden="1"/>
    <row r="1044089" hidden="1"/>
    <row r="1044090" hidden="1"/>
    <row r="1044091" hidden="1"/>
    <row r="1044092" hidden="1"/>
    <row r="1044093" hidden="1"/>
    <row r="1044094" hidden="1"/>
    <row r="1044095" hidden="1"/>
    <row r="1044096" hidden="1"/>
    <row r="1044097" hidden="1"/>
    <row r="1044098" hidden="1"/>
    <row r="1044099" hidden="1"/>
    <row r="1044100" hidden="1"/>
    <row r="1044101" hidden="1"/>
    <row r="1044102" hidden="1"/>
    <row r="1044103" hidden="1"/>
    <row r="1044104" hidden="1"/>
    <row r="1044105" hidden="1"/>
    <row r="1044106" hidden="1"/>
    <row r="1044107" hidden="1"/>
    <row r="1044108" hidden="1"/>
    <row r="1044109" hidden="1"/>
    <row r="1044110" hidden="1"/>
    <row r="1044111" hidden="1"/>
    <row r="1044112" hidden="1"/>
    <row r="1044113" hidden="1"/>
    <row r="1044114" hidden="1"/>
    <row r="1044115" hidden="1"/>
    <row r="1044116" hidden="1"/>
    <row r="1044117" hidden="1"/>
    <row r="1044118" hidden="1"/>
    <row r="1044119" hidden="1"/>
    <row r="1044120" hidden="1"/>
    <row r="1044121" hidden="1"/>
    <row r="1044122" hidden="1"/>
    <row r="1044123" hidden="1"/>
    <row r="1044124" hidden="1"/>
    <row r="1044125" hidden="1"/>
    <row r="1044126" hidden="1"/>
    <row r="1044127" hidden="1"/>
    <row r="1044128" hidden="1"/>
    <row r="1044129" hidden="1"/>
    <row r="1044130" hidden="1"/>
    <row r="1044131" hidden="1"/>
    <row r="1044132" hidden="1"/>
    <row r="1044133" hidden="1"/>
    <row r="1044134" hidden="1"/>
    <row r="1044135" hidden="1"/>
    <row r="1044136" hidden="1"/>
    <row r="1044137" hidden="1"/>
    <row r="1044138" hidden="1"/>
    <row r="1044139" hidden="1"/>
    <row r="1044140" hidden="1"/>
    <row r="1044141" hidden="1"/>
    <row r="1044142" hidden="1"/>
    <row r="1044143" hidden="1"/>
    <row r="1044144" hidden="1"/>
    <row r="1044145" hidden="1"/>
    <row r="1044146" hidden="1"/>
    <row r="1044147" hidden="1"/>
    <row r="1044148" hidden="1"/>
    <row r="1044149" hidden="1"/>
    <row r="1044150" hidden="1"/>
    <row r="1044151" hidden="1"/>
    <row r="1044152" hidden="1"/>
    <row r="1044153" hidden="1"/>
    <row r="1044154" hidden="1"/>
    <row r="1044155" hidden="1"/>
    <row r="1044156" hidden="1"/>
    <row r="1044157" hidden="1"/>
    <row r="1044158" hidden="1"/>
    <row r="1044159" hidden="1"/>
    <row r="1044160" hidden="1"/>
    <row r="1044161" hidden="1"/>
    <row r="1044162" hidden="1"/>
    <row r="1044163" hidden="1"/>
    <row r="1044164" hidden="1"/>
    <row r="1044165" hidden="1"/>
    <row r="1044166" hidden="1"/>
    <row r="1044167" hidden="1"/>
    <row r="1044168" hidden="1"/>
    <row r="1044169" hidden="1"/>
    <row r="1044170" hidden="1"/>
    <row r="1044171" hidden="1"/>
    <row r="1044172" hidden="1"/>
    <row r="1044173" hidden="1"/>
    <row r="1044174" hidden="1"/>
    <row r="1044175" hidden="1"/>
    <row r="1044176" hidden="1"/>
    <row r="1044177" hidden="1"/>
    <row r="1044178" hidden="1"/>
    <row r="1044179" hidden="1"/>
    <row r="1044180" hidden="1"/>
    <row r="1044181" hidden="1"/>
    <row r="1044182" hidden="1"/>
    <row r="1044183" hidden="1"/>
    <row r="1044184" hidden="1"/>
    <row r="1044185" hidden="1"/>
    <row r="1044186" hidden="1"/>
    <row r="1044187" hidden="1"/>
    <row r="1044188" hidden="1"/>
    <row r="1044189" hidden="1"/>
    <row r="1044190" hidden="1"/>
    <row r="1044191" hidden="1"/>
    <row r="1044192" hidden="1"/>
    <row r="1044193" hidden="1"/>
    <row r="1044194" hidden="1"/>
    <row r="1044195" hidden="1"/>
    <row r="1044196" hidden="1"/>
    <row r="1044197" hidden="1"/>
    <row r="1044198" hidden="1"/>
    <row r="1044199" hidden="1"/>
    <row r="1044200" hidden="1"/>
    <row r="1044201" hidden="1"/>
    <row r="1044202" hidden="1"/>
    <row r="1044203" hidden="1"/>
    <row r="1044204" hidden="1"/>
    <row r="1044205" hidden="1"/>
    <row r="1044206" hidden="1"/>
    <row r="1044207" hidden="1"/>
    <row r="1044208" hidden="1"/>
    <row r="1044209" hidden="1"/>
    <row r="1044210" hidden="1"/>
    <row r="1044211" hidden="1"/>
    <row r="1044212" hidden="1"/>
    <row r="1044213" hidden="1"/>
    <row r="1044214" hidden="1"/>
    <row r="1044215" hidden="1"/>
    <row r="1044216" hidden="1"/>
    <row r="1044217" hidden="1"/>
    <row r="1044218" hidden="1"/>
    <row r="1044219" hidden="1"/>
    <row r="1044220" hidden="1"/>
    <row r="1044221" hidden="1"/>
    <row r="1044222" hidden="1"/>
    <row r="1044223" hidden="1"/>
    <row r="1044224" hidden="1"/>
    <row r="1044225" hidden="1"/>
    <row r="1044226" hidden="1"/>
    <row r="1044227" hidden="1"/>
    <row r="1044228" hidden="1"/>
    <row r="1044229" hidden="1"/>
    <row r="1044230" hidden="1"/>
    <row r="1044231" hidden="1"/>
    <row r="1044232" hidden="1"/>
    <row r="1044233" hidden="1"/>
    <row r="1044234" hidden="1"/>
    <row r="1044235" hidden="1"/>
    <row r="1044236" hidden="1"/>
    <row r="1044237" hidden="1"/>
    <row r="1044238" hidden="1"/>
    <row r="1044239" hidden="1"/>
    <row r="1044240" hidden="1"/>
    <row r="1044241" hidden="1"/>
    <row r="1044242" hidden="1"/>
    <row r="1044243" hidden="1"/>
    <row r="1044244" hidden="1"/>
    <row r="1044245" hidden="1"/>
    <row r="1044246" hidden="1"/>
    <row r="1044247" hidden="1"/>
    <row r="1044248" hidden="1"/>
    <row r="1044249" hidden="1"/>
    <row r="1044250" hidden="1"/>
    <row r="1044251" hidden="1"/>
    <row r="1044252" hidden="1"/>
    <row r="1044253" hidden="1"/>
    <row r="1044254" hidden="1"/>
    <row r="1044255" hidden="1"/>
    <row r="1044256" hidden="1"/>
    <row r="1044257" hidden="1"/>
    <row r="1044258" hidden="1"/>
    <row r="1044259" hidden="1"/>
    <row r="1044260" hidden="1"/>
    <row r="1044261" hidden="1"/>
    <row r="1044262" hidden="1"/>
    <row r="1044263" hidden="1"/>
    <row r="1044264" hidden="1"/>
    <row r="1044265" hidden="1"/>
    <row r="1044266" hidden="1"/>
    <row r="1044267" hidden="1"/>
    <row r="1044268" hidden="1"/>
    <row r="1044269" hidden="1"/>
    <row r="1044270" hidden="1"/>
    <row r="1044271" hidden="1"/>
    <row r="1044272" hidden="1"/>
    <row r="1044273" hidden="1"/>
    <row r="1044274" hidden="1"/>
    <row r="1044275" hidden="1"/>
    <row r="1044276" hidden="1"/>
    <row r="1044277" hidden="1"/>
    <row r="1044278" hidden="1"/>
    <row r="1044279" hidden="1"/>
    <row r="1044280" hidden="1"/>
    <row r="1044281" hidden="1"/>
    <row r="1044282" hidden="1"/>
    <row r="1044283" hidden="1"/>
    <row r="1044284" hidden="1"/>
    <row r="1044285" hidden="1"/>
    <row r="1044286" hidden="1"/>
    <row r="1044287" hidden="1"/>
    <row r="1044288" hidden="1"/>
    <row r="1044289" hidden="1"/>
    <row r="1044290" hidden="1"/>
    <row r="1044291" hidden="1"/>
    <row r="1044292" hidden="1"/>
    <row r="1044293" hidden="1"/>
    <row r="1044294" hidden="1"/>
    <row r="1044295" hidden="1"/>
    <row r="1044296" hidden="1"/>
    <row r="1044297" hidden="1"/>
    <row r="1044298" hidden="1"/>
    <row r="1044299" hidden="1"/>
    <row r="1044300" hidden="1"/>
    <row r="1044301" hidden="1"/>
    <row r="1044302" hidden="1"/>
    <row r="1044303" hidden="1"/>
    <row r="1044304" hidden="1"/>
    <row r="1044305" hidden="1"/>
    <row r="1044306" hidden="1"/>
    <row r="1044307" hidden="1"/>
    <row r="1044308" hidden="1"/>
    <row r="1044309" hidden="1"/>
    <row r="1044310" hidden="1"/>
    <row r="1044311" hidden="1"/>
    <row r="1044312" hidden="1"/>
    <row r="1044313" hidden="1"/>
    <row r="1044314" hidden="1"/>
    <row r="1044315" hidden="1"/>
    <row r="1044316" hidden="1"/>
    <row r="1044317" hidden="1"/>
    <row r="1044318" hidden="1"/>
    <row r="1044319" hidden="1"/>
    <row r="1044320" hidden="1"/>
    <row r="1044321" hidden="1"/>
    <row r="1044322" hidden="1"/>
    <row r="1044323" hidden="1"/>
    <row r="1044324" hidden="1"/>
    <row r="1044325" hidden="1"/>
    <row r="1044326" hidden="1"/>
    <row r="1044327" hidden="1"/>
    <row r="1044328" hidden="1"/>
    <row r="1044329" hidden="1"/>
    <row r="1044330" hidden="1"/>
    <row r="1044331" hidden="1"/>
    <row r="1044332" hidden="1"/>
    <row r="1044333" hidden="1"/>
    <row r="1044334" hidden="1"/>
    <row r="1044335" hidden="1"/>
    <row r="1044336" hidden="1"/>
    <row r="1044337" hidden="1"/>
    <row r="1044338" hidden="1"/>
    <row r="1044339" hidden="1"/>
    <row r="1044340" hidden="1"/>
    <row r="1044341" hidden="1"/>
    <row r="1044342" hidden="1"/>
    <row r="1044343" hidden="1"/>
    <row r="1044344" hidden="1"/>
    <row r="1044345" hidden="1"/>
    <row r="1044346" hidden="1"/>
    <row r="1044347" hidden="1"/>
    <row r="1044348" hidden="1"/>
    <row r="1044349" hidden="1"/>
    <row r="1044350" hidden="1"/>
    <row r="1044351" hidden="1"/>
    <row r="1044352" hidden="1"/>
    <row r="1044353" hidden="1"/>
    <row r="1044354" hidden="1"/>
    <row r="1044355" hidden="1"/>
    <row r="1044356" hidden="1"/>
    <row r="1044357" hidden="1"/>
    <row r="1044358" hidden="1"/>
    <row r="1044359" hidden="1"/>
    <row r="1044360" hidden="1"/>
    <row r="1044361" hidden="1"/>
    <row r="1044362" hidden="1"/>
    <row r="1044363" hidden="1"/>
    <row r="1044364" hidden="1"/>
    <row r="1044365" hidden="1"/>
    <row r="1044366" hidden="1"/>
    <row r="1044367" hidden="1"/>
    <row r="1044368" hidden="1"/>
    <row r="1044369" hidden="1"/>
    <row r="1044370" hidden="1"/>
    <row r="1044371" hidden="1"/>
    <row r="1044372" hidden="1"/>
    <row r="1044373" hidden="1"/>
    <row r="1044374" hidden="1"/>
    <row r="1044375" hidden="1"/>
    <row r="1044376" hidden="1"/>
    <row r="1044377" hidden="1"/>
    <row r="1044378" hidden="1"/>
    <row r="1044379" hidden="1"/>
    <row r="1044380" hidden="1"/>
    <row r="1044381" hidden="1"/>
    <row r="1044382" hidden="1"/>
    <row r="1044383" hidden="1"/>
    <row r="1044384" hidden="1"/>
    <row r="1044385" hidden="1"/>
    <row r="1044386" hidden="1"/>
    <row r="1044387" hidden="1"/>
    <row r="1044388" hidden="1"/>
    <row r="1044389" hidden="1"/>
    <row r="1044390" hidden="1"/>
    <row r="1044391" hidden="1"/>
    <row r="1044392" hidden="1"/>
    <row r="1044393" hidden="1"/>
    <row r="1044394" hidden="1"/>
    <row r="1044395" hidden="1"/>
    <row r="1044396" hidden="1"/>
    <row r="1044397" hidden="1"/>
    <row r="1044398" hidden="1"/>
    <row r="1044399" hidden="1"/>
    <row r="1044400" hidden="1"/>
    <row r="1044401" hidden="1"/>
    <row r="1044402" hidden="1"/>
    <row r="1044403" hidden="1"/>
    <row r="1044404" hidden="1"/>
    <row r="1044405" hidden="1"/>
    <row r="1044406" hidden="1"/>
    <row r="1044407" hidden="1"/>
    <row r="1044408" hidden="1"/>
    <row r="1044409" hidden="1"/>
    <row r="1044410" hidden="1"/>
    <row r="1044411" hidden="1"/>
    <row r="1044412" hidden="1"/>
    <row r="1044413" hidden="1"/>
    <row r="1044414" hidden="1"/>
    <row r="1044415" hidden="1"/>
    <row r="1044416" hidden="1"/>
    <row r="1044417" hidden="1"/>
    <row r="1044418" hidden="1"/>
    <row r="1044419" hidden="1"/>
    <row r="1044420" hidden="1"/>
    <row r="1044421" hidden="1"/>
    <row r="1044422" hidden="1"/>
    <row r="1044423" hidden="1"/>
    <row r="1044424" hidden="1"/>
    <row r="1044425" hidden="1"/>
    <row r="1044426" hidden="1"/>
    <row r="1044427" hidden="1"/>
    <row r="1044428" hidden="1"/>
    <row r="1044429" hidden="1"/>
    <row r="1044430" hidden="1"/>
    <row r="1044431" hidden="1"/>
    <row r="1044432" hidden="1"/>
    <row r="1044433" hidden="1"/>
    <row r="1044434" hidden="1"/>
    <row r="1044435" hidden="1"/>
    <row r="1044436" hidden="1"/>
    <row r="1044437" hidden="1"/>
    <row r="1044438" hidden="1"/>
    <row r="1044439" hidden="1"/>
    <row r="1044440" hidden="1"/>
    <row r="1044441" hidden="1"/>
    <row r="1044442" hidden="1"/>
    <row r="1044443" hidden="1"/>
    <row r="1044444" hidden="1"/>
    <row r="1044445" hidden="1"/>
    <row r="1044446" hidden="1"/>
    <row r="1044447" hidden="1"/>
    <row r="1044448" hidden="1"/>
    <row r="1044449" hidden="1"/>
    <row r="1044450" hidden="1"/>
    <row r="1044451" hidden="1"/>
    <row r="1044452" hidden="1"/>
    <row r="1044453" hidden="1"/>
    <row r="1044454" hidden="1"/>
    <row r="1044455" hidden="1"/>
    <row r="1044456" hidden="1"/>
    <row r="1044457" hidden="1"/>
    <row r="1044458" hidden="1"/>
    <row r="1044459" hidden="1"/>
    <row r="1044460" hidden="1"/>
    <row r="1044461" hidden="1"/>
    <row r="1044462" hidden="1"/>
    <row r="1044463" hidden="1"/>
    <row r="1044464" hidden="1"/>
    <row r="1044465" hidden="1"/>
    <row r="1044466" hidden="1"/>
    <row r="1044467" hidden="1"/>
    <row r="1044468" hidden="1"/>
    <row r="1044469" hidden="1"/>
    <row r="1044470" hidden="1"/>
    <row r="1044471" hidden="1"/>
    <row r="1044472" hidden="1"/>
    <row r="1044473" hidden="1"/>
    <row r="1044474" hidden="1"/>
    <row r="1044475" hidden="1"/>
    <row r="1044476" hidden="1"/>
    <row r="1044477" hidden="1"/>
    <row r="1044478" hidden="1"/>
    <row r="1044479" hidden="1"/>
    <row r="1044480" hidden="1"/>
    <row r="1044481" hidden="1"/>
    <row r="1044482" hidden="1"/>
    <row r="1044483" hidden="1"/>
    <row r="1044484" hidden="1"/>
    <row r="1044485" hidden="1"/>
    <row r="1044486" hidden="1"/>
    <row r="1044487" hidden="1"/>
    <row r="1044488" hidden="1"/>
    <row r="1044489" hidden="1"/>
    <row r="1044490" hidden="1"/>
    <row r="1044491" hidden="1"/>
    <row r="1044492" hidden="1"/>
    <row r="1044493" hidden="1"/>
    <row r="1044494" hidden="1"/>
    <row r="1044495" hidden="1"/>
    <row r="1044496" hidden="1"/>
    <row r="1044497" hidden="1"/>
    <row r="1044498" hidden="1"/>
    <row r="1044499" hidden="1"/>
    <row r="1044500" hidden="1"/>
    <row r="1044501" hidden="1"/>
    <row r="1044502" hidden="1"/>
    <row r="1044503" hidden="1"/>
    <row r="1044504" hidden="1"/>
    <row r="1044505" hidden="1"/>
    <row r="1044506" hidden="1"/>
    <row r="1044507" hidden="1"/>
    <row r="1044508" hidden="1"/>
    <row r="1044509" hidden="1"/>
    <row r="1044510" hidden="1"/>
    <row r="1044511" hidden="1"/>
    <row r="1044512" hidden="1"/>
    <row r="1044513" hidden="1"/>
    <row r="1044514" hidden="1"/>
    <row r="1044515" hidden="1"/>
    <row r="1044516" hidden="1"/>
    <row r="1044517" hidden="1"/>
    <row r="1044518" hidden="1"/>
    <row r="1044519" hidden="1"/>
    <row r="1044520" hidden="1"/>
    <row r="1044521" hidden="1"/>
    <row r="1044522" hidden="1"/>
    <row r="1044523" hidden="1"/>
    <row r="1044524" hidden="1"/>
    <row r="1044525" hidden="1"/>
    <row r="1044526" hidden="1"/>
    <row r="1044527" hidden="1"/>
    <row r="1044528" hidden="1"/>
    <row r="1044529" hidden="1"/>
    <row r="1044530" hidden="1"/>
    <row r="1044531" hidden="1"/>
    <row r="1044532" hidden="1"/>
    <row r="1044533" hidden="1"/>
    <row r="1044534" hidden="1"/>
    <row r="1044535" hidden="1"/>
    <row r="1044536" hidden="1"/>
    <row r="1044537" hidden="1"/>
    <row r="1044538" hidden="1"/>
    <row r="1044539" hidden="1"/>
    <row r="1044540" hidden="1"/>
    <row r="1044541" hidden="1"/>
    <row r="1044542" hidden="1"/>
    <row r="1044543" hidden="1"/>
    <row r="1044544" hidden="1"/>
    <row r="1044545" hidden="1"/>
    <row r="1044546" hidden="1"/>
    <row r="1044547" hidden="1"/>
    <row r="1044548" hidden="1"/>
    <row r="1044549" hidden="1"/>
    <row r="1044550" hidden="1"/>
    <row r="1044551" hidden="1"/>
    <row r="1044552" hidden="1"/>
    <row r="1044553" hidden="1"/>
    <row r="1044554" hidden="1"/>
    <row r="1044555" hidden="1"/>
    <row r="1044556" hidden="1"/>
    <row r="1044557" hidden="1"/>
    <row r="1044558" hidden="1"/>
    <row r="1044559" hidden="1"/>
    <row r="1044560" hidden="1"/>
    <row r="1044561" hidden="1"/>
    <row r="1044562" hidden="1"/>
    <row r="1044563" hidden="1"/>
    <row r="1044564" hidden="1"/>
    <row r="1044565" hidden="1"/>
    <row r="1044566" hidden="1"/>
    <row r="1044567" hidden="1"/>
    <row r="1044568" hidden="1"/>
    <row r="1044569" hidden="1"/>
    <row r="1044570" hidden="1"/>
    <row r="1044571" hidden="1"/>
    <row r="1044572" hidden="1"/>
    <row r="1044573" hidden="1"/>
    <row r="1044574" hidden="1"/>
    <row r="1044575" hidden="1"/>
    <row r="1044576" hidden="1"/>
    <row r="1044577" hidden="1"/>
    <row r="1044578" hidden="1"/>
    <row r="1044579" hidden="1"/>
    <row r="1044580" hidden="1"/>
    <row r="1044581" hidden="1"/>
    <row r="1044582" hidden="1"/>
    <row r="1044583" hidden="1"/>
    <row r="1044584" hidden="1"/>
    <row r="1044585" hidden="1"/>
    <row r="1044586" hidden="1"/>
    <row r="1044587" hidden="1"/>
    <row r="1044588" hidden="1"/>
    <row r="1044589" hidden="1"/>
    <row r="1044590" hidden="1"/>
    <row r="1044591" hidden="1"/>
    <row r="1044592" hidden="1"/>
    <row r="1044593" hidden="1"/>
    <row r="1044594" hidden="1"/>
    <row r="1044595" hidden="1"/>
    <row r="1044596" hidden="1"/>
    <row r="1044597" hidden="1"/>
    <row r="1044598" hidden="1"/>
    <row r="1044599" hidden="1"/>
    <row r="1044600" hidden="1"/>
    <row r="1044601" hidden="1"/>
    <row r="1044602" hidden="1"/>
    <row r="1044603" hidden="1"/>
    <row r="1044604" hidden="1"/>
    <row r="1044605" hidden="1"/>
    <row r="1044606" hidden="1"/>
    <row r="1044607" hidden="1"/>
    <row r="1044608" hidden="1"/>
    <row r="1044609" hidden="1"/>
    <row r="1044610" hidden="1"/>
    <row r="1044611" hidden="1"/>
    <row r="1044612" hidden="1"/>
    <row r="1044613" hidden="1"/>
    <row r="1044614" hidden="1"/>
    <row r="1044615" hidden="1"/>
    <row r="1044616" hidden="1"/>
    <row r="1044617" hidden="1"/>
    <row r="1044618" hidden="1"/>
    <row r="1044619" hidden="1"/>
    <row r="1044620" hidden="1"/>
    <row r="1044621" hidden="1"/>
    <row r="1044622" hidden="1"/>
    <row r="1044623" hidden="1"/>
    <row r="1044624" hidden="1"/>
    <row r="1044625" hidden="1"/>
    <row r="1044626" hidden="1"/>
    <row r="1044627" hidden="1"/>
    <row r="1044628" hidden="1"/>
    <row r="1044629" hidden="1"/>
    <row r="1044630" hidden="1"/>
    <row r="1044631" hidden="1"/>
    <row r="1044632" hidden="1"/>
    <row r="1044633" hidden="1"/>
    <row r="1044634" hidden="1"/>
    <row r="1044635" hidden="1"/>
    <row r="1044636" hidden="1"/>
    <row r="1044637" hidden="1"/>
    <row r="1044638" hidden="1"/>
    <row r="1044639" hidden="1"/>
    <row r="1044640" hidden="1"/>
    <row r="1044641" hidden="1"/>
    <row r="1044642" hidden="1"/>
    <row r="1044643" hidden="1"/>
    <row r="1044644" hidden="1"/>
    <row r="1044645" hidden="1"/>
    <row r="1044646" hidden="1"/>
    <row r="1044647" hidden="1"/>
    <row r="1044648" hidden="1"/>
    <row r="1044649" hidden="1"/>
    <row r="1044650" hidden="1"/>
    <row r="1044651" hidden="1"/>
    <row r="1044652" hidden="1"/>
    <row r="1044653" hidden="1"/>
    <row r="1044654" hidden="1"/>
    <row r="1044655" hidden="1"/>
    <row r="1044656" hidden="1"/>
    <row r="1044657" hidden="1"/>
    <row r="1044658" hidden="1"/>
    <row r="1044659" hidden="1"/>
    <row r="1044660" hidden="1"/>
    <row r="1044661" hidden="1"/>
    <row r="1044662" hidden="1"/>
    <row r="1044663" hidden="1"/>
    <row r="1044664" hidden="1"/>
    <row r="1044665" hidden="1"/>
    <row r="1044666" hidden="1"/>
    <row r="1044667" hidden="1"/>
    <row r="1044668" hidden="1"/>
    <row r="1044669" hidden="1"/>
    <row r="1044670" hidden="1"/>
    <row r="1044671" hidden="1"/>
    <row r="1044672" hidden="1"/>
    <row r="1044673" hidden="1"/>
    <row r="1044674" hidden="1"/>
    <row r="1044675" hidden="1"/>
    <row r="1044676" hidden="1"/>
    <row r="1044677" hidden="1"/>
    <row r="1044678" hidden="1"/>
    <row r="1044679" hidden="1"/>
    <row r="1044680" hidden="1"/>
    <row r="1044681" hidden="1"/>
    <row r="1044682" hidden="1"/>
    <row r="1044683" hidden="1"/>
    <row r="1044684" hidden="1"/>
    <row r="1044685" hidden="1"/>
    <row r="1044686" hidden="1"/>
    <row r="1044687" hidden="1"/>
    <row r="1044688" hidden="1"/>
    <row r="1044689" hidden="1"/>
    <row r="1044690" hidden="1"/>
    <row r="1044691" hidden="1"/>
    <row r="1044692" hidden="1"/>
    <row r="1044693" hidden="1"/>
    <row r="1044694" hidden="1"/>
    <row r="1044695" hidden="1"/>
    <row r="1044696" hidden="1"/>
    <row r="1044697" hidden="1"/>
    <row r="1044698" hidden="1"/>
    <row r="1044699" hidden="1"/>
    <row r="1044700" hidden="1"/>
    <row r="1044701" hidden="1"/>
    <row r="1044702" hidden="1"/>
    <row r="1044703" hidden="1"/>
    <row r="1044704" hidden="1"/>
    <row r="1044705" hidden="1"/>
    <row r="1044706" hidden="1"/>
    <row r="1044707" hidden="1"/>
    <row r="1044708" hidden="1"/>
    <row r="1044709" hidden="1"/>
    <row r="1044710" hidden="1"/>
    <row r="1044711" hidden="1"/>
    <row r="1044712" hidden="1"/>
    <row r="1044713" hidden="1"/>
    <row r="1044714" hidden="1"/>
    <row r="1044715" hidden="1"/>
    <row r="1044716" hidden="1"/>
    <row r="1044717" hidden="1"/>
    <row r="1044718" hidden="1"/>
    <row r="1044719" hidden="1"/>
    <row r="1044720" hidden="1"/>
    <row r="1044721" hidden="1"/>
    <row r="1044722" hidden="1"/>
    <row r="1044723" hidden="1"/>
    <row r="1044724" hidden="1"/>
    <row r="1044725" hidden="1"/>
    <row r="1044726" hidden="1"/>
    <row r="1044727" hidden="1"/>
    <row r="1044728" hidden="1"/>
    <row r="1044729" hidden="1"/>
    <row r="1044730" hidden="1"/>
    <row r="1044731" hidden="1"/>
    <row r="1044732" hidden="1"/>
    <row r="1044733" hidden="1"/>
    <row r="1044734" hidden="1"/>
    <row r="1044735" hidden="1"/>
    <row r="1044736" hidden="1"/>
    <row r="1044737" hidden="1"/>
    <row r="1044738" hidden="1"/>
    <row r="1044739" hidden="1"/>
    <row r="1044740" hidden="1"/>
    <row r="1044741" hidden="1"/>
    <row r="1044742" hidden="1"/>
    <row r="1044743" hidden="1"/>
    <row r="1044744" hidden="1"/>
    <row r="1044745" hidden="1"/>
    <row r="1044746" hidden="1"/>
    <row r="1044747" hidden="1"/>
    <row r="1044748" hidden="1"/>
    <row r="1044749" hidden="1"/>
    <row r="1044750" hidden="1"/>
    <row r="1044751" hidden="1"/>
    <row r="1044752" hidden="1"/>
    <row r="1044753" hidden="1"/>
    <row r="1044754" hidden="1"/>
    <row r="1044755" hidden="1"/>
    <row r="1044756" hidden="1"/>
    <row r="1044757" hidden="1"/>
    <row r="1044758" hidden="1"/>
    <row r="1044759" hidden="1"/>
    <row r="1044760" hidden="1"/>
    <row r="1044761" hidden="1"/>
    <row r="1044762" hidden="1"/>
    <row r="1044763" hidden="1"/>
    <row r="1044764" hidden="1"/>
    <row r="1044765" hidden="1"/>
    <row r="1044766" hidden="1"/>
    <row r="1044767" hidden="1"/>
    <row r="1044768" hidden="1"/>
    <row r="1044769" hidden="1"/>
    <row r="1044770" hidden="1"/>
    <row r="1044771" hidden="1"/>
    <row r="1044772" hidden="1"/>
    <row r="1044773" hidden="1"/>
    <row r="1044774" hidden="1"/>
    <row r="1044775" hidden="1"/>
    <row r="1044776" hidden="1"/>
    <row r="1044777" hidden="1"/>
    <row r="1044778" hidden="1"/>
    <row r="1044779" hidden="1"/>
    <row r="1044780" hidden="1"/>
    <row r="1044781" hidden="1"/>
    <row r="1044782" hidden="1"/>
    <row r="1044783" hidden="1"/>
    <row r="1044784" hidden="1"/>
    <row r="1044785" hidden="1"/>
    <row r="1044786" hidden="1"/>
    <row r="1044787" hidden="1"/>
    <row r="1044788" hidden="1"/>
    <row r="1044789" hidden="1"/>
    <row r="1044790" hidden="1"/>
    <row r="1044791" hidden="1"/>
    <row r="1044792" hidden="1"/>
    <row r="1044793" hidden="1"/>
    <row r="1044794" hidden="1"/>
    <row r="1044795" hidden="1"/>
    <row r="1044796" hidden="1"/>
    <row r="1044797" hidden="1"/>
    <row r="1044798" hidden="1"/>
    <row r="1044799" hidden="1"/>
    <row r="1044800" hidden="1"/>
    <row r="1044801" hidden="1"/>
    <row r="1044802" hidden="1"/>
    <row r="1044803" hidden="1"/>
    <row r="1044804" hidden="1"/>
    <row r="1044805" hidden="1"/>
    <row r="1044806" hidden="1"/>
    <row r="1044807" hidden="1"/>
    <row r="1044808" hidden="1"/>
    <row r="1044809" hidden="1"/>
    <row r="1044810" hidden="1"/>
    <row r="1044811" hidden="1"/>
    <row r="1044812" hidden="1"/>
    <row r="1044813" hidden="1"/>
    <row r="1044814" hidden="1"/>
    <row r="1044815" hidden="1"/>
    <row r="1044816" hidden="1"/>
    <row r="1044817" hidden="1"/>
    <row r="1044818" hidden="1"/>
    <row r="1044819" hidden="1"/>
    <row r="1044820" hidden="1"/>
    <row r="1044821" hidden="1"/>
    <row r="1044822" hidden="1"/>
    <row r="1044823" hidden="1"/>
    <row r="1044824" hidden="1"/>
    <row r="1044825" hidden="1"/>
    <row r="1044826" hidden="1"/>
    <row r="1044827" hidden="1"/>
    <row r="1044828" hidden="1"/>
    <row r="1044829" hidden="1"/>
    <row r="1044830" hidden="1"/>
    <row r="1044831" hidden="1"/>
    <row r="1044832" hidden="1"/>
    <row r="1044833" hidden="1"/>
    <row r="1044834" hidden="1"/>
    <row r="1044835" hidden="1"/>
    <row r="1044836" hidden="1"/>
    <row r="1044837" hidden="1"/>
    <row r="1044838" hidden="1"/>
    <row r="1044839" hidden="1"/>
    <row r="1044840" hidden="1"/>
    <row r="1044841" hidden="1"/>
    <row r="1044842" hidden="1"/>
    <row r="1044843" hidden="1"/>
    <row r="1044844" hidden="1"/>
    <row r="1044845" hidden="1"/>
    <row r="1044846" hidden="1"/>
    <row r="1044847" hidden="1"/>
    <row r="1044848" hidden="1"/>
    <row r="1044849" hidden="1"/>
    <row r="1044850" hidden="1"/>
    <row r="1044851" hidden="1"/>
    <row r="1044852" hidden="1"/>
    <row r="1044853" hidden="1"/>
    <row r="1044854" hidden="1"/>
    <row r="1044855" hidden="1"/>
    <row r="1044856" hidden="1"/>
    <row r="1044857" hidden="1"/>
    <row r="1044858" hidden="1"/>
    <row r="1044859" hidden="1"/>
    <row r="1044860" hidden="1"/>
    <row r="1044861" hidden="1"/>
    <row r="1044862" hidden="1"/>
    <row r="1044863" hidden="1"/>
    <row r="1044864" hidden="1"/>
    <row r="1044865" hidden="1"/>
    <row r="1044866" hidden="1"/>
    <row r="1044867" hidden="1"/>
    <row r="1044868" hidden="1"/>
    <row r="1044869" hidden="1"/>
    <row r="1044870" hidden="1"/>
    <row r="1044871" hidden="1"/>
    <row r="1044872" hidden="1"/>
    <row r="1044873" hidden="1"/>
    <row r="1044874" hidden="1"/>
    <row r="1044875" hidden="1"/>
    <row r="1044876" hidden="1"/>
    <row r="1044877" hidden="1"/>
    <row r="1044878" hidden="1"/>
    <row r="1044879" hidden="1"/>
    <row r="1044880" hidden="1"/>
    <row r="1044881" hidden="1"/>
    <row r="1044882" hidden="1"/>
    <row r="1044883" hidden="1"/>
    <row r="1044884" hidden="1"/>
    <row r="1044885" hidden="1"/>
    <row r="1044886" hidden="1"/>
    <row r="1044887" hidden="1"/>
    <row r="1044888" hidden="1"/>
    <row r="1044889" hidden="1"/>
    <row r="1044890" hidden="1"/>
    <row r="1044891" hidden="1"/>
    <row r="1044892" hidden="1"/>
    <row r="1044893" hidden="1"/>
    <row r="1044894" hidden="1"/>
    <row r="1044895" hidden="1"/>
    <row r="1044896" hidden="1"/>
    <row r="1044897" hidden="1"/>
    <row r="1044898" hidden="1"/>
    <row r="1044899" hidden="1"/>
    <row r="1044900" hidden="1"/>
    <row r="1044901" hidden="1"/>
    <row r="1044902" hidden="1"/>
    <row r="1044903" hidden="1"/>
    <row r="1044904" hidden="1"/>
    <row r="1044905" hidden="1"/>
    <row r="1044906" hidden="1"/>
    <row r="1044907" hidden="1"/>
    <row r="1044908" hidden="1"/>
    <row r="1044909" hidden="1"/>
    <row r="1044910" hidden="1"/>
    <row r="1044911" hidden="1"/>
    <row r="1044912" hidden="1"/>
    <row r="1044913" hidden="1"/>
    <row r="1044914" hidden="1"/>
    <row r="1044915" hidden="1"/>
    <row r="1044916" hidden="1"/>
    <row r="1044917" hidden="1"/>
    <row r="1044918" hidden="1"/>
    <row r="1044919" hidden="1"/>
    <row r="1044920" hidden="1"/>
    <row r="1044921" hidden="1"/>
    <row r="1044922" hidden="1"/>
    <row r="1044923" hidden="1"/>
    <row r="1044924" hidden="1"/>
    <row r="1044925" hidden="1"/>
    <row r="1044926" hidden="1"/>
    <row r="1044927" hidden="1"/>
    <row r="1044928" hidden="1"/>
    <row r="1044929" hidden="1"/>
    <row r="1044930" hidden="1"/>
    <row r="1044931" hidden="1"/>
    <row r="1044932" hidden="1"/>
    <row r="1044933" hidden="1"/>
    <row r="1044934" hidden="1"/>
    <row r="1044935" hidden="1"/>
    <row r="1044936" hidden="1"/>
    <row r="1044937" hidden="1"/>
    <row r="1044938" hidden="1"/>
    <row r="1044939" hidden="1"/>
    <row r="1044940" hidden="1"/>
    <row r="1044941" hidden="1"/>
    <row r="1044942" hidden="1"/>
    <row r="1044943" hidden="1"/>
    <row r="1044944" hidden="1"/>
    <row r="1044945" hidden="1"/>
    <row r="1044946" hidden="1"/>
    <row r="1044947" hidden="1"/>
    <row r="1044948" hidden="1"/>
    <row r="1044949" hidden="1"/>
    <row r="1044950" hidden="1"/>
    <row r="1044951" hidden="1"/>
    <row r="1044952" hidden="1"/>
    <row r="1044953" hidden="1"/>
    <row r="1044954" hidden="1"/>
    <row r="1044955" hidden="1"/>
    <row r="1044956" hidden="1"/>
    <row r="1044957" hidden="1"/>
    <row r="1044958" hidden="1"/>
    <row r="1044959" hidden="1"/>
    <row r="1044960" hidden="1"/>
    <row r="1044961" hidden="1"/>
    <row r="1044962" hidden="1"/>
    <row r="1044963" hidden="1"/>
    <row r="1044964" hidden="1"/>
    <row r="1044965" hidden="1"/>
    <row r="1044966" hidden="1"/>
    <row r="1044967" hidden="1"/>
    <row r="1044968" hidden="1"/>
    <row r="1044969" hidden="1"/>
    <row r="1044970" hidden="1"/>
    <row r="1044971" hidden="1"/>
    <row r="1044972" hidden="1"/>
    <row r="1044973" hidden="1"/>
    <row r="1044974" hidden="1"/>
    <row r="1044975" hidden="1"/>
    <row r="1044976" hidden="1"/>
    <row r="1044977" hidden="1"/>
    <row r="1044978" hidden="1"/>
    <row r="1044979" hidden="1"/>
    <row r="1044980" hidden="1"/>
    <row r="1044981" hidden="1"/>
    <row r="1044982" hidden="1"/>
    <row r="1044983" hidden="1"/>
    <row r="1044984" hidden="1"/>
    <row r="1044985" hidden="1"/>
    <row r="1044986" hidden="1"/>
    <row r="1044987" hidden="1"/>
    <row r="1044988" hidden="1"/>
    <row r="1044989" hidden="1"/>
    <row r="1044990" hidden="1"/>
    <row r="1044991" hidden="1"/>
    <row r="1044992" hidden="1"/>
    <row r="1044993" hidden="1"/>
    <row r="1044994" hidden="1"/>
    <row r="1044995" hidden="1"/>
    <row r="1044996" hidden="1"/>
    <row r="1044997" hidden="1"/>
    <row r="1044998" hidden="1"/>
    <row r="1044999" hidden="1"/>
    <row r="1045000" hidden="1"/>
    <row r="1045001" hidden="1"/>
    <row r="1045002" hidden="1"/>
    <row r="1045003" hidden="1"/>
    <row r="1045004" hidden="1"/>
    <row r="1045005" hidden="1"/>
    <row r="1045006" hidden="1"/>
    <row r="1045007" hidden="1"/>
    <row r="1045008" hidden="1"/>
    <row r="1045009" hidden="1"/>
    <row r="1045010" hidden="1"/>
    <row r="1045011" hidden="1"/>
    <row r="1045012" hidden="1"/>
    <row r="1045013" hidden="1"/>
    <row r="1045014" hidden="1"/>
    <row r="1045015" hidden="1"/>
    <row r="1045016" hidden="1"/>
    <row r="1045017" hidden="1"/>
    <row r="1045018" hidden="1"/>
    <row r="1045019" hidden="1"/>
    <row r="1045020" hidden="1"/>
    <row r="1045021" hidden="1"/>
    <row r="1045022" hidden="1"/>
    <row r="1045023" hidden="1"/>
    <row r="1045024" hidden="1"/>
    <row r="1045025" hidden="1"/>
    <row r="1045026" hidden="1"/>
    <row r="1045027" hidden="1"/>
    <row r="1045028" hidden="1"/>
    <row r="1045029" hidden="1"/>
    <row r="1045030" hidden="1"/>
    <row r="1045031" hidden="1"/>
    <row r="1045032" hidden="1"/>
    <row r="1045033" hidden="1"/>
    <row r="1045034" hidden="1"/>
    <row r="1045035" hidden="1"/>
    <row r="1045036" hidden="1"/>
    <row r="1045037" hidden="1"/>
    <row r="1045038" hidden="1"/>
    <row r="1045039" hidden="1"/>
    <row r="1045040" hidden="1"/>
    <row r="1045041" hidden="1"/>
    <row r="1045042" hidden="1"/>
    <row r="1045043" hidden="1"/>
    <row r="1045044" hidden="1"/>
    <row r="1045045" hidden="1"/>
    <row r="1045046" hidden="1"/>
    <row r="1045047" hidden="1"/>
    <row r="1045048" hidden="1"/>
    <row r="1045049" hidden="1"/>
    <row r="1045050" hidden="1"/>
    <row r="1045051" hidden="1"/>
    <row r="1045052" hidden="1"/>
    <row r="1045053" hidden="1"/>
    <row r="1045054" hidden="1"/>
    <row r="1045055" hidden="1"/>
    <row r="1045056" hidden="1"/>
    <row r="1045057" hidden="1"/>
    <row r="1045058" hidden="1"/>
    <row r="1045059" hidden="1"/>
    <row r="1045060" hidden="1"/>
    <row r="1045061" hidden="1"/>
    <row r="1045062" hidden="1"/>
    <row r="1045063" hidden="1"/>
    <row r="1045064" hidden="1"/>
    <row r="1045065" hidden="1"/>
    <row r="1045066" hidden="1"/>
    <row r="1045067" hidden="1"/>
    <row r="1045068" hidden="1"/>
    <row r="1045069" hidden="1"/>
    <row r="1045070" hidden="1"/>
    <row r="1045071" hidden="1"/>
    <row r="1045072" hidden="1"/>
    <row r="1045073" hidden="1"/>
    <row r="1045074" hidden="1"/>
    <row r="1045075" hidden="1"/>
    <row r="1045076" hidden="1"/>
    <row r="1045077" hidden="1"/>
    <row r="1045078" hidden="1"/>
    <row r="1045079" hidden="1"/>
    <row r="1045080" hidden="1"/>
    <row r="1045081" hidden="1"/>
    <row r="1045082" hidden="1"/>
    <row r="1045083" hidden="1"/>
    <row r="1045084" hidden="1"/>
    <row r="1045085" hidden="1"/>
    <row r="1045086" hidden="1"/>
    <row r="1045087" hidden="1"/>
    <row r="1045088" hidden="1"/>
    <row r="1045089" hidden="1"/>
    <row r="1045090" hidden="1"/>
    <row r="1045091" hidden="1"/>
    <row r="1045092" hidden="1"/>
    <row r="1045093" hidden="1"/>
    <row r="1045094" hidden="1"/>
    <row r="1045095" hidden="1"/>
    <row r="1045096" hidden="1"/>
    <row r="1045097" hidden="1"/>
    <row r="1045098" hidden="1"/>
    <row r="1045099" hidden="1"/>
    <row r="1045100" hidden="1"/>
    <row r="1045101" hidden="1"/>
    <row r="1045102" hidden="1"/>
    <row r="1045103" hidden="1"/>
    <row r="1045104" hidden="1"/>
    <row r="1045105" hidden="1"/>
    <row r="1045106" hidden="1"/>
    <row r="1045107" hidden="1"/>
    <row r="1045108" hidden="1"/>
    <row r="1045109" hidden="1"/>
    <row r="1045110" hidden="1"/>
    <row r="1045111" hidden="1"/>
    <row r="1045112" hidden="1"/>
    <row r="1045113" hidden="1"/>
    <row r="1045114" hidden="1"/>
    <row r="1045115" hidden="1"/>
    <row r="1045116" hidden="1"/>
    <row r="1045117" hidden="1"/>
    <row r="1045118" hidden="1"/>
    <row r="1045119" hidden="1"/>
    <row r="1045120" hidden="1"/>
    <row r="1045121" hidden="1"/>
    <row r="1045122" hidden="1"/>
    <row r="1045123" hidden="1"/>
    <row r="1045124" hidden="1"/>
    <row r="1045125" hidden="1"/>
    <row r="1045126" hidden="1"/>
    <row r="1045127" hidden="1"/>
    <row r="1045128" hidden="1"/>
    <row r="1045129" hidden="1"/>
    <row r="1045130" hidden="1"/>
    <row r="1045131" hidden="1"/>
    <row r="1045132" hidden="1"/>
    <row r="1045133" hidden="1"/>
    <row r="1045134" hidden="1"/>
    <row r="1045135" hidden="1"/>
    <row r="1045136" hidden="1"/>
    <row r="1045137" hidden="1"/>
    <row r="1045138" hidden="1"/>
    <row r="1045139" hidden="1"/>
    <row r="1045140" hidden="1"/>
    <row r="1045141" hidden="1"/>
    <row r="1045142" hidden="1"/>
    <row r="1045143" hidden="1"/>
    <row r="1045144" hidden="1"/>
    <row r="1045145" hidden="1"/>
    <row r="1045146" hidden="1"/>
    <row r="1045147" hidden="1"/>
    <row r="1045148" hidden="1"/>
    <row r="1045149" hidden="1"/>
    <row r="1045150" hidden="1"/>
    <row r="1045151" hidden="1"/>
    <row r="1045152" hidden="1"/>
    <row r="1045153" hidden="1"/>
    <row r="1045154" hidden="1"/>
    <row r="1045155" hidden="1"/>
    <row r="1045156" hidden="1"/>
    <row r="1045157" hidden="1"/>
    <row r="1045158" hidden="1"/>
    <row r="1045159" hidden="1"/>
    <row r="1045160" hidden="1"/>
    <row r="1045161" hidden="1"/>
    <row r="1045162" hidden="1"/>
    <row r="1045163" hidden="1"/>
    <row r="1045164" hidden="1"/>
    <row r="1045165" hidden="1"/>
    <row r="1045166" hidden="1"/>
    <row r="1045167" hidden="1"/>
    <row r="1045168" hidden="1"/>
    <row r="1045169" hidden="1"/>
    <row r="1045170" hidden="1"/>
    <row r="1045171" hidden="1"/>
    <row r="1045172" hidden="1"/>
    <row r="1045173" hidden="1"/>
    <row r="1045174" hidden="1"/>
    <row r="1045175" hidden="1"/>
    <row r="1045176" hidden="1"/>
    <row r="1045177" hidden="1"/>
    <row r="1045178" hidden="1"/>
    <row r="1045179" hidden="1"/>
    <row r="1045180" hidden="1"/>
    <row r="1045181" hidden="1"/>
    <row r="1045182" hidden="1"/>
    <row r="1045183" hidden="1"/>
    <row r="1045184" hidden="1"/>
    <row r="1045185" hidden="1"/>
    <row r="1045186" hidden="1"/>
    <row r="1045187" hidden="1"/>
    <row r="1045188" hidden="1"/>
    <row r="1045189" hidden="1"/>
    <row r="1045190" hidden="1"/>
    <row r="1045191" hidden="1"/>
    <row r="1045192" hidden="1"/>
    <row r="1045193" hidden="1"/>
    <row r="1045194" hidden="1"/>
    <row r="1045195" hidden="1"/>
    <row r="1045196" hidden="1"/>
    <row r="1045197" hidden="1"/>
    <row r="1045198" hidden="1"/>
    <row r="1045199" hidden="1"/>
    <row r="1045200" hidden="1"/>
    <row r="1045201" hidden="1"/>
    <row r="1045202" hidden="1"/>
    <row r="1045203" hidden="1"/>
    <row r="1045204" hidden="1"/>
    <row r="1045205" hidden="1"/>
    <row r="1045206" hidden="1"/>
    <row r="1045207" hidden="1"/>
    <row r="1045208" hidden="1"/>
    <row r="1045209" hidden="1"/>
    <row r="1045210" hidden="1"/>
    <row r="1045211" hidden="1"/>
    <row r="1045212" hidden="1"/>
    <row r="1045213" hidden="1"/>
    <row r="1045214" hidden="1"/>
    <row r="1045215" hidden="1"/>
    <row r="1045216" hidden="1"/>
    <row r="1045217" hidden="1"/>
    <row r="1045218" hidden="1"/>
    <row r="1045219" hidden="1"/>
    <row r="1045220" hidden="1"/>
    <row r="1045221" hidden="1"/>
    <row r="1045222" hidden="1"/>
    <row r="1045223" hidden="1"/>
    <row r="1045224" hidden="1"/>
    <row r="1045225" hidden="1"/>
    <row r="1045226" hidden="1"/>
    <row r="1045227" hidden="1"/>
    <row r="1045228" hidden="1"/>
    <row r="1045229" hidden="1"/>
    <row r="1045230" hidden="1"/>
    <row r="1045231" hidden="1"/>
    <row r="1045232" hidden="1"/>
    <row r="1045233" hidden="1"/>
    <row r="1045234" hidden="1"/>
    <row r="1045235" hidden="1"/>
    <row r="1045236" hidden="1"/>
    <row r="1045237" hidden="1"/>
    <row r="1045238" hidden="1"/>
    <row r="1045239" hidden="1"/>
    <row r="1045240" hidden="1"/>
    <row r="1045241" hidden="1"/>
    <row r="1045242" hidden="1"/>
    <row r="1045243" hidden="1"/>
    <row r="1045244" hidden="1"/>
    <row r="1045245" hidden="1"/>
    <row r="1045246" hidden="1"/>
    <row r="1045247" hidden="1"/>
    <row r="1045248" hidden="1"/>
    <row r="1045249" hidden="1"/>
    <row r="1045250" hidden="1"/>
    <row r="1045251" hidden="1"/>
    <row r="1045252" hidden="1"/>
    <row r="1045253" hidden="1"/>
    <row r="1045254" hidden="1"/>
    <row r="1045255" hidden="1"/>
    <row r="1045256" hidden="1"/>
    <row r="1045257" hidden="1"/>
    <row r="1045258" hidden="1"/>
    <row r="1045259" hidden="1"/>
    <row r="1045260" hidden="1"/>
    <row r="1045261" hidden="1"/>
    <row r="1045262" hidden="1"/>
    <row r="1045263" hidden="1"/>
    <row r="1045264" hidden="1"/>
    <row r="1045265" hidden="1"/>
    <row r="1045266" hidden="1"/>
    <row r="1045267" hidden="1"/>
    <row r="1045268" hidden="1"/>
    <row r="1045269" hidden="1"/>
    <row r="1045270" hidden="1"/>
    <row r="1045271" hidden="1"/>
    <row r="1045272" hidden="1"/>
    <row r="1045273" hidden="1"/>
    <row r="1045274" hidden="1"/>
    <row r="1045275" hidden="1"/>
    <row r="1045276" hidden="1"/>
    <row r="1045277" hidden="1"/>
    <row r="1045278" hidden="1"/>
    <row r="1045279" hidden="1"/>
    <row r="1045280" hidden="1"/>
    <row r="1045281" hidden="1"/>
    <row r="1045282" hidden="1"/>
    <row r="1045283" hidden="1"/>
    <row r="1045284" hidden="1"/>
    <row r="1045285" hidden="1"/>
    <row r="1045286" hidden="1"/>
    <row r="1045287" hidden="1"/>
    <row r="1045288" hidden="1"/>
    <row r="1045289" hidden="1"/>
    <row r="1045290" hidden="1"/>
    <row r="1045291" hidden="1"/>
    <row r="1045292" hidden="1"/>
    <row r="1045293" hidden="1"/>
    <row r="1045294" hidden="1"/>
    <row r="1045295" hidden="1"/>
    <row r="1045296" hidden="1"/>
    <row r="1045297" hidden="1"/>
    <row r="1045298" hidden="1"/>
    <row r="1045299" hidden="1"/>
    <row r="1045300" hidden="1"/>
    <row r="1045301" hidden="1"/>
    <row r="1045302" hidden="1"/>
    <row r="1045303" hidden="1"/>
    <row r="1045304" hidden="1"/>
    <row r="1045305" hidden="1"/>
    <row r="1045306" hidden="1"/>
    <row r="1045307" hidden="1"/>
    <row r="1045308" hidden="1"/>
    <row r="1045309" hidden="1"/>
    <row r="1045310" hidden="1"/>
    <row r="1045311" hidden="1"/>
    <row r="1045312" hidden="1"/>
    <row r="1045313" hidden="1"/>
    <row r="1045314" hidden="1"/>
    <row r="1045315" hidden="1"/>
    <row r="1045316" hidden="1"/>
    <row r="1045317" hidden="1"/>
    <row r="1045318" hidden="1"/>
    <row r="1045319" hidden="1"/>
    <row r="1045320" hidden="1"/>
    <row r="1045321" hidden="1"/>
    <row r="1045322" hidden="1"/>
    <row r="1045323" hidden="1"/>
    <row r="1045324" hidden="1"/>
    <row r="1045325" hidden="1"/>
    <row r="1045326" hidden="1"/>
    <row r="1045327" hidden="1"/>
    <row r="1045328" hidden="1"/>
    <row r="1045329" hidden="1"/>
    <row r="1045330" hidden="1"/>
    <row r="1045331" hidden="1"/>
    <row r="1045332" hidden="1"/>
    <row r="1045333" hidden="1"/>
    <row r="1045334" hidden="1"/>
    <row r="1045335" hidden="1"/>
    <row r="1045336" hidden="1"/>
    <row r="1045337" hidden="1"/>
    <row r="1045338" hidden="1"/>
    <row r="1045339" hidden="1"/>
    <row r="1045340" hidden="1"/>
    <row r="1045341" hidden="1"/>
    <row r="1045342" hidden="1"/>
    <row r="1045343" hidden="1"/>
    <row r="1045344" hidden="1"/>
    <row r="1045345" hidden="1"/>
    <row r="1045346" hidden="1"/>
    <row r="1045347" hidden="1"/>
    <row r="1045348" hidden="1"/>
    <row r="1045349" hidden="1"/>
    <row r="1045350" hidden="1"/>
    <row r="1045351" hidden="1"/>
    <row r="1045352" hidden="1"/>
    <row r="1045353" hidden="1"/>
    <row r="1045354" hidden="1"/>
    <row r="1045355" hidden="1"/>
    <row r="1045356" hidden="1"/>
    <row r="1045357" hidden="1"/>
    <row r="1045358" hidden="1"/>
    <row r="1045359" hidden="1"/>
    <row r="1045360" hidden="1"/>
    <row r="1045361" hidden="1"/>
    <row r="1045362" hidden="1"/>
    <row r="1045363" hidden="1"/>
    <row r="1045364" hidden="1"/>
    <row r="1045365" hidden="1"/>
    <row r="1045366" hidden="1"/>
    <row r="1045367" hidden="1"/>
    <row r="1045368" hidden="1"/>
    <row r="1045369" hidden="1"/>
    <row r="1045370" hidden="1"/>
    <row r="1045371" hidden="1"/>
    <row r="1045372" hidden="1"/>
    <row r="1045373" hidden="1"/>
    <row r="1045374" hidden="1"/>
    <row r="1045375" hidden="1"/>
    <row r="1045376" hidden="1"/>
    <row r="1045377" hidden="1"/>
    <row r="1045378" hidden="1"/>
    <row r="1045379" hidden="1"/>
    <row r="1045380" hidden="1"/>
    <row r="1045381" hidden="1"/>
    <row r="1045382" hidden="1"/>
    <row r="1045383" hidden="1"/>
    <row r="1045384" hidden="1"/>
    <row r="1045385" hidden="1"/>
    <row r="1045386" hidden="1"/>
    <row r="1045387" hidden="1"/>
    <row r="1045388" hidden="1"/>
    <row r="1045389" hidden="1"/>
    <row r="1045390" hidden="1"/>
    <row r="1045391" hidden="1"/>
    <row r="1045392" hidden="1"/>
    <row r="1045393" hidden="1"/>
    <row r="1045394" hidden="1"/>
    <row r="1045395" hidden="1"/>
    <row r="1045396" hidden="1"/>
    <row r="1045397" hidden="1"/>
    <row r="1045398" hidden="1"/>
    <row r="1045399" hidden="1"/>
    <row r="1045400" hidden="1"/>
    <row r="1045401" hidden="1"/>
    <row r="1045402" hidden="1"/>
    <row r="1045403" hidden="1"/>
    <row r="1045404" hidden="1"/>
    <row r="1045405" hidden="1"/>
    <row r="1045406" hidden="1"/>
    <row r="1045407" hidden="1"/>
    <row r="1045408" hidden="1"/>
    <row r="1045409" hidden="1"/>
    <row r="1045410" hidden="1"/>
    <row r="1045411" hidden="1"/>
    <row r="1045412" hidden="1"/>
    <row r="1045413" hidden="1"/>
    <row r="1045414" hidden="1"/>
    <row r="1045415" hidden="1"/>
    <row r="1045416" hidden="1"/>
    <row r="1045417" hidden="1"/>
    <row r="1045418" hidden="1"/>
    <row r="1045419" hidden="1"/>
    <row r="1045420" hidden="1"/>
    <row r="1045421" hidden="1"/>
    <row r="1045422" hidden="1"/>
    <row r="1045423" hidden="1"/>
    <row r="1045424" hidden="1"/>
    <row r="1045425" hidden="1"/>
    <row r="1045426" hidden="1"/>
    <row r="1045427" hidden="1"/>
    <row r="1045428" hidden="1"/>
    <row r="1045429" hidden="1"/>
    <row r="1045430" hidden="1"/>
    <row r="1045431" hidden="1"/>
    <row r="1045432" hidden="1"/>
    <row r="1045433" hidden="1"/>
    <row r="1045434" hidden="1"/>
    <row r="1045435" hidden="1"/>
    <row r="1045436" hidden="1"/>
    <row r="1045437" hidden="1"/>
    <row r="1045438" hidden="1"/>
    <row r="1045439" hidden="1"/>
    <row r="1045440" hidden="1"/>
    <row r="1045441" hidden="1"/>
    <row r="1045442" hidden="1"/>
    <row r="1045443" hidden="1"/>
    <row r="1045444" hidden="1"/>
    <row r="1045445" hidden="1"/>
    <row r="1045446" hidden="1"/>
    <row r="1045447" hidden="1"/>
    <row r="1045448" hidden="1"/>
    <row r="1045449" hidden="1"/>
    <row r="1045450" hidden="1"/>
    <row r="1045451" hidden="1"/>
    <row r="1045452" hidden="1"/>
    <row r="1045453" hidden="1"/>
    <row r="1045454" hidden="1"/>
    <row r="1045455" hidden="1"/>
    <row r="1045456" hidden="1"/>
    <row r="1045457" hidden="1"/>
    <row r="1045458" hidden="1"/>
    <row r="1045459" hidden="1"/>
    <row r="1045460" hidden="1"/>
    <row r="1045461" hidden="1"/>
    <row r="1045462" hidden="1"/>
    <row r="1045463" hidden="1"/>
    <row r="1045464" hidden="1"/>
    <row r="1045465" hidden="1"/>
    <row r="1045466" hidden="1"/>
    <row r="1045467" hidden="1"/>
    <row r="1045468" hidden="1"/>
    <row r="1045469" hidden="1"/>
    <row r="1045470" hidden="1"/>
    <row r="1045471" hidden="1"/>
    <row r="1045472" hidden="1"/>
    <row r="1045473" hidden="1"/>
    <row r="1045474" hidden="1"/>
    <row r="1045475" hidden="1"/>
    <row r="1045476" hidden="1"/>
    <row r="1045477" hidden="1"/>
    <row r="1045478" hidden="1"/>
    <row r="1045479" hidden="1"/>
    <row r="1045480" hidden="1"/>
    <row r="1045481" hidden="1"/>
    <row r="1045482" hidden="1"/>
    <row r="1045483" hidden="1"/>
    <row r="1045484" hidden="1"/>
    <row r="1045485" hidden="1"/>
    <row r="1045486" hidden="1"/>
    <row r="1045487" hidden="1"/>
    <row r="1045488" hidden="1"/>
    <row r="1045489" hidden="1"/>
    <row r="1045490" hidden="1"/>
    <row r="1045491" hidden="1"/>
    <row r="1045492" hidden="1"/>
    <row r="1045493" hidden="1"/>
    <row r="1045494" hidden="1"/>
    <row r="1045495" hidden="1"/>
    <row r="1045496" hidden="1"/>
    <row r="1045497" hidden="1"/>
    <row r="1045498" hidden="1"/>
    <row r="1045499" hidden="1"/>
    <row r="1045500" hidden="1"/>
    <row r="1045501" hidden="1"/>
    <row r="1045502" hidden="1"/>
    <row r="1045503" hidden="1"/>
    <row r="1045504" hidden="1"/>
    <row r="1045505" hidden="1"/>
    <row r="1045506" hidden="1"/>
    <row r="1045507" hidden="1"/>
    <row r="1045508" hidden="1"/>
    <row r="1045509" hidden="1"/>
    <row r="1045510" hidden="1"/>
    <row r="1045511" hidden="1"/>
    <row r="1045512" hidden="1"/>
    <row r="1045513" hidden="1"/>
    <row r="1045514" hidden="1"/>
    <row r="1045515" hidden="1"/>
    <row r="1045516" hidden="1"/>
    <row r="1045517" hidden="1"/>
    <row r="1045518" hidden="1"/>
    <row r="1045519" hidden="1"/>
    <row r="1045520" hidden="1"/>
    <row r="1045521" hidden="1"/>
    <row r="1045522" hidden="1"/>
    <row r="1045523" hidden="1"/>
    <row r="1045524" hidden="1"/>
    <row r="1045525" hidden="1"/>
    <row r="1045526" hidden="1"/>
    <row r="1045527" hidden="1"/>
    <row r="1045528" hidden="1"/>
    <row r="1045529" hidden="1"/>
    <row r="1045530" hidden="1"/>
    <row r="1045531" hidden="1"/>
    <row r="1045532" hidden="1"/>
    <row r="1045533" hidden="1"/>
    <row r="1045534" hidden="1"/>
    <row r="1045535" hidden="1"/>
    <row r="1045536" hidden="1"/>
    <row r="1045537" hidden="1"/>
    <row r="1045538" hidden="1"/>
    <row r="1045539" hidden="1"/>
    <row r="1045540" hidden="1"/>
    <row r="1045541" hidden="1"/>
    <row r="1045542" hidden="1"/>
    <row r="1045543" hidden="1"/>
    <row r="1045544" hidden="1"/>
    <row r="1045545" hidden="1"/>
    <row r="1045546" hidden="1"/>
    <row r="1045547" hidden="1"/>
    <row r="1045548" hidden="1"/>
    <row r="1045549" hidden="1"/>
    <row r="1045550" hidden="1"/>
    <row r="1045551" hidden="1"/>
    <row r="1045552" hidden="1"/>
    <row r="1045553" hidden="1"/>
    <row r="1045554" hidden="1"/>
    <row r="1045555" hidden="1"/>
    <row r="1045556" hidden="1"/>
    <row r="1045557" hidden="1"/>
    <row r="1045558" hidden="1"/>
    <row r="1045559" hidden="1"/>
    <row r="1045560" hidden="1"/>
    <row r="1045561" hidden="1"/>
    <row r="1045562" hidden="1"/>
    <row r="1045563" hidden="1"/>
    <row r="1045564" hidden="1"/>
    <row r="1045565" hidden="1"/>
    <row r="1045566" hidden="1"/>
    <row r="1045567" hidden="1"/>
    <row r="1045568" hidden="1"/>
    <row r="1045569" hidden="1"/>
    <row r="1045570" hidden="1"/>
    <row r="1045571" hidden="1"/>
    <row r="1045572" hidden="1"/>
    <row r="1045573" hidden="1"/>
    <row r="1045574" hidden="1"/>
    <row r="1045575" hidden="1"/>
    <row r="1045576" hidden="1"/>
    <row r="1045577" hidden="1"/>
    <row r="1045578" hidden="1"/>
    <row r="1045579" hidden="1"/>
    <row r="1045580" hidden="1"/>
    <row r="1045581" hidden="1"/>
    <row r="1045582" hidden="1"/>
    <row r="1045583" hidden="1"/>
    <row r="1045584" hidden="1"/>
    <row r="1045585" hidden="1"/>
    <row r="1045586" hidden="1"/>
    <row r="1045587" hidden="1"/>
    <row r="1045588" hidden="1"/>
    <row r="1045589" hidden="1"/>
    <row r="1045590" hidden="1"/>
    <row r="1045591" hidden="1"/>
    <row r="1045592" hidden="1"/>
    <row r="1045593" hidden="1"/>
    <row r="1045594" hidden="1"/>
    <row r="1045595" hidden="1"/>
    <row r="1045596" hidden="1"/>
    <row r="1045597" hidden="1"/>
    <row r="1045598" hidden="1"/>
    <row r="1045599" hidden="1"/>
    <row r="1045600" hidden="1"/>
    <row r="1045601" hidden="1"/>
    <row r="1045602" hidden="1"/>
    <row r="1045603" hidden="1"/>
    <row r="1045604" hidden="1"/>
    <row r="1045605" hidden="1"/>
    <row r="1045606" hidden="1"/>
    <row r="1045607" hidden="1"/>
    <row r="1045608" hidden="1"/>
    <row r="1045609" hidden="1"/>
    <row r="1045610" hidden="1"/>
    <row r="1045611" hidden="1"/>
    <row r="1045612" hidden="1"/>
    <row r="1045613" hidden="1"/>
    <row r="1045614" hidden="1"/>
    <row r="1045615" hidden="1"/>
    <row r="1045616" hidden="1"/>
    <row r="1045617" hidden="1"/>
    <row r="1045618" hidden="1"/>
    <row r="1045619" hidden="1"/>
    <row r="1045620" hidden="1"/>
    <row r="1045621" hidden="1"/>
    <row r="1045622" hidden="1"/>
    <row r="1045623" hidden="1"/>
    <row r="1045624" hidden="1"/>
    <row r="1045625" hidden="1"/>
    <row r="1045626" hidden="1"/>
    <row r="1045627" hidden="1"/>
    <row r="1045628" hidden="1"/>
    <row r="1045629" hidden="1"/>
    <row r="1045630" hidden="1"/>
    <row r="1045631" hidden="1"/>
    <row r="1045632" hidden="1"/>
    <row r="1045633" hidden="1"/>
    <row r="1045634" hidden="1"/>
    <row r="1045635" hidden="1"/>
    <row r="1045636" hidden="1"/>
    <row r="1045637" hidden="1"/>
    <row r="1045638" hidden="1"/>
    <row r="1045639" hidden="1"/>
    <row r="1045640" hidden="1"/>
    <row r="1045641" hidden="1"/>
    <row r="1045642" hidden="1"/>
    <row r="1045643" hidden="1"/>
    <row r="1045644" hidden="1"/>
    <row r="1045645" hidden="1"/>
    <row r="1045646" hidden="1"/>
    <row r="1045647" hidden="1"/>
    <row r="1045648" hidden="1"/>
    <row r="1045649" hidden="1"/>
    <row r="1045650" hidden="1"/>
    <row r="1045651" hidden="1"/>
    <row r="1045652" hidden="1"/>
    <row r="1045653" hidden="1"/>
    <row r="1045654" hidden="1"/>
    <row r="1045655" hidden="1"/>
    <row r="1045656" hidden="1"/>
    <row r="1045657" hidden="1"/>
    <row r="1045658" hidden="1"/>
    <row r="1045659" hidden="1"/>
    <row r="1045660" hidden="1"/>
    <row r="1045661" hidden="1"/>
    <row r="1045662" hidden="1"/>
    <row r="1045663" hidden="1"/>
    <row r="1045664" hidden="1"/>
    <row r="1045665" hidden="1"/>
    <row r="1045666" hidden="1"/>
    <row r="1045667" hidden="1"/>
    <row r="1045668" hidden="1"/>
    <row r="1045669" hidden="1"/>
    <row r="1045670" hidden="1"/>
    <row r="1045671" hidden="1"/>
    <row r="1045672" hidden="1"/>
    <row r="1045673" hidden="1"/>
    <row r="1045674" hidden="1"/>
    <row r="1045675" hidden="1"/>
    <row r="1045676" hidden="1"/>
    <row r="1045677" hidden="1"/>
    <row r="1045678" hidden="1"/>
    <row r="1045679" hidden="1"/>
    <row r="1045680" hidden="1"/>
    <row r="1045681" hidden="1"/>
    <row r="1045682" hidden="1"/>
    <row r="1045683" hidden="1"/>
    <row r="1045684" hidden="1"/>
    <row r="1045685" hidden="1"/>
    <row r="1045686" hidden="1"/>
    <row r="1045687" hidden="1"/>
    <row r="1045688" hidden="1"/>
    <row r="1045689" hidden="1"/>
    <row r="1045690" hidden="1"/>
    <row r="1045691" hidden="1"/>
    <row r="1045692" hidden="1"/>
    <row r="1045693" hidden="1"/>
    <row r="1045694" hidden="1"/>
    <row r="1045695" hidden="1"/>
    <row r="1045696" hidden="1"/>
    <row r="1045697" hidden="1"/>
    <row r="1045698" hidden="1"/>
    <row r="1045699" hidden="1"/>
    <row r="1045700" hidden="1"/>
    <row r="1045701" hidden="1"/>
    <row r="1045702" hidden="1"/>
    <row r="1045703" hidden="1"/>
    <row r="1045704" hidden="1"/>
    <row r="1045705" hidden="1"/>
    <row r="1045706" hidden="1"/>
    <row r="1045707" hidden="1"/>
    <row r="1045708" hidden="1"/>
    <row r="1045709" hidden="1"/>
    <row r="1045710" hidden="1"/>
    <row r="1045711" hidden="1"/>
    <row r="1045712" hidden="1"/>
    <row r="1045713" hidden="1"/>
    <row r="1045714" hidden="1"/>
    <row r="1045715" hidden="1"/>
    <row r="1045716" hidden="1"/>
    <row r="1045717" hidden="1"/>
    <row r="1045718" hidden="1"/>
    <row r="1045719" hidden="1"/>
    <row r="1045720" hidden="1"/>
    <row r="1045721" hidden="1"/>
    <row r="1045722" hidden="1"/>
    <row r="1045723" hidden="1"/>
    <row r="1045724" hidden="1"/>
    <row r="1045725" hidden="1"/>
    <row r="1045726" hidden="1"/>
    <row r="1045727" hidden="1"/>
    <row r="1045728" hidden="1"/>
    <row r="1045729" hidden="1"/>
    <row r="1045730" hidden="1"/>
    <row r="1045731" hidden="1"/>
    <row r="1045732" hidden="1"/>
    <row r="1045733" hidden="1"/>
    <row r="1045734" hidden="1"/>
    <row r="1045735" hidden="1"/>
    <row r="1045736" hidden="1"/>
    <row r="1045737" hidden="1"/>
    <row r="1045738" hidden="1"/>
    <row r="1045739" hidden="1"/>
    <row r="1045740" hidden="1"/>
    <row r="1045741" hidden="1"/>
    <row r="1045742" hidden="1"/>
    <row r="1045743" hidden="1"/>
    <row r="1045744" hidden="1"/>
    <row r="1045745" hidden="1"/>
    <row r="1045746" hidden="1"/>
    <row r="1045747" hidden="1"/>
    <row r="1045748" hidden="1"/>
    <row r="1045749" hidden="1"/>
    <row r="1045750" hidden="1"/>
    <row r="1045751" hidden="1"/>
    <row r="1045752" hidden="1"/>
    <row r="1045753" hidden="1"/>
    <row r="1045754" hidden="1"/>
    <row r="1045755" hidden="1"/>
    <row r="1045756" hidden="1"/>
    <row r="1045757" hidden="1"/>
    <row r="1045758" hidden="1"/>
    <row r="1045759" hidden="1"/>
    <row r="1045760" hidden="1"/>
    <row r="1045761" hidden="1"/>
    <row r="1045762" hidden="1"/>
    <row r="1045763" hidden="1"/>
    <row r="1045764" hidden="1"/>
    <row r="1045765" hidden="1"/>
    <row r="1045766" hidden="1"/>
    <row r="1045767" hidden="1"/>
    <row r="1045768" hidden="1"/>
    <row r="1045769" hidden="1"/>
    <row r="1045770" hidden="1"/>
    <row r="1045771" hidden="1"/>
    <row r="1045772" hidden="1"/>
    <row r="1045773" hidden="1"/>
    <row r="1045774" hidden="1"/>
    <row r="1045775" hidden="1"/>
    <row r="1045776" hidden="1"/>
    <row r="1045777" hidden="1"/>
    <row r="1045778" hidden="1"/>
    <row r="1045779" hidden="1"/>
    <row r="1045780" hidden="1"/>
    <row r="1045781" hidden="1"/>
    <row r="1045782" hidden="1"/>
    <row r="1045783" hidden="1"/>
    <row r="1045784" hidden="1"/>
    <row r="1045785" hidden="1"/>
    <row r="1045786" hidden="1"/>
    <row r="1045787" hidden="1"/>
    <row r="1045788" hidden="1"/>
    <row r="1045789" hidden="1"/>
    <row r="1045790" hidden="1"/>
    <row r="1045791" hidden="1"/>
    <row r="1045792" hidden="1"/>
    <row r="1045793" hidden="1"/>
    <row r="1045794" hidden="1"/>
    <row r="1045795" hidden="1"/>
    <row r="1045796" hidden="1"/>
    <row r="1045797" hidden="1"/>
    <row r="1045798" hidden="1"/>
    <row r="1045799" hidden="1"/>
    <row r="1045800" hidden="1"/>
    <row r="1045801" hidden="1"/>
    <row r="1045802" hidden="1"/>
    <row r="1045803" hidden="1"/>
    <row r="1045804" hidden="1"/>
    <row r="1045805" hidden="1"/>
    <row r="1045806" hidden="1"/>
    <row r="1045807" hidden="1"/>
    <row r="1045808" hidden="1"/>
    <row r="1045809" hidden="1"/>
    <row r="1045810" hidden="1"/>
    <row r="1045811" hidden="1"/>
    <row r="1045812" hidden="1"/>
    <row r="1045813" hidden="1"/>
    <row r="1045814" hidden="1"/>
    <row r="1045815" hidden="1"/>
    <row r="1045816" hidden="1"/>
    <row r="1045817" hidden="1"/>
    <row r="1045818" hidden="1"/>
    <row r="1045819" hidden="1"/>
    <row r="1045820" hidden="1"/>
    <row r="1045821" hidden="1"/>
    <row r="1045822" hidden="1"/>
    <row r="1045823" hidden="1"/>
    <row r="1045824" hidden="1"/>
    <row r="1045825" hidden="1"/>
    <row r="1045826" hidden="1"/>
    <row r="1045827" hidden="1"/>
    <row r="1045828" hidden="1"/>
    <row r="1045829" hidden="1"/>
    <row r="1045830" hidden="1"/>
    <row r="1045831" hidden="1"/>
    <row r="1045832" hidden="1"/>
    <row r="1045833" hidden="1"/>
    <row r="1045834" hidden="1"/>
    <row r="1045835" hidden="1"/>
    <row r="1045836" hidden="1"/>
    <row r="1045837" hidden="1"/>
    <row r="1045838" hidden="1"/>
    <row r="1045839" hidden="1"/>
    <row r="1045840" hidden="1"/>
    <row r="1045841" hidden="1"/>
    <row r="1045842" hidden="1"/>
    <row r="1045843" hidden="1"/>
    <row r="1045844" hidden="1"/>
    <row r="1045845" hidden="1"/>
    <row r="1045846" hidden="1"/>
    <row r="1045847" hidden="1"/>
    <row r="1045848" hidden="1"/>
    <row r="1045849" hidden="1"/>
    <row r="1045850" hidden="1"/>
    <row r="1045851" hidden="1"/>
    <row r="1045852" hidden="1"/>
    <row r="1045853" hidden="1"/>
    <row r="1045854" hidden="1"/>
    <row r="1045855" hidden="1"/>
    <row r="1045856" hidden="1"/>
    <row r="1045857" hidden="1"/>
    <row r="1045858" hidden="1"/>
    <row r="1045859" hidden="1"/>
    <row r="1045860" hidden="1"/>
    <row r="1045861" hidden="1"/>
    <row r="1045862" hidden="1"/>
    <row r="1045863" hidden="1"/>
    <row r="1045864" hidden="1"/>
    <row r="1045865" hidden="1"/>
    <row r="1045866" hidden="1"/>
    <row r="1045867" hidden="1"/>
    <row r="1045868" hidden="1"/>
    <row r="1045869" hidden="1"/>
    <row r="1045870" hidden="1"/>
    <row r="1045871" hidden="1"/>
    <row r="1045872" hidden="1"/>
    <row r="1045873" hidden="1"/>
    <row r="1045874" hidden="1"/>
    <row r="1045875" hidden="1"/>
    <row r="1045876" hidden="1"/>
    <row r="1045877" hidden="1"/>
    <row r="1045878" hidden="1"/>
    <row r="1045879" hidden="1"/>
    <row r="1045880" hidden="1"/>
    <row r="1045881" hidden="1"/>
    <row r="1045882" hidden="1"/>
    <row r="1045883" hidden="1"/>
    <row r="1045884" hidden="1"/>
    <row r="1045885" hidden="1"/>
    <row r="1045886" hidden="1"/>
    <row r="1045887" hidden="1"/>
    <row r="1045888" hidden="1"/>
    <row r="1045889" hidden="1"/>
    <row r="1045890" hidden="1"/>
    <row r="1045891" hidden="1"/>
    <row r="1045892" hidden="1"/>
    <row r="1045893" hidden="1"/>
    <row r="1045894" hidden="1"/>
    <row r="1045895" hidden="1"/>
    <row r="1045896" hidden="1"/>
    <row r="1045897" hidden="1"/>
    <row r="1045898" hidden="1"/>
    <row r="1045899" hidden="1"/>
    <row r="1045900" hidden="1"/>
    <row r="1045901" hidden="1"/>
    <row r="1045902" hidden="1"/>
    <row r="1045903" hidden="1"/>
    <row r="1045904" hidden="1"/>
    <row r="1045905" hidden="1"/>
    <row r="1045906" hidden="1"/>
    <row r="1045907" hidden="1"/>
    <row r="1045908" hidden="1"/>
    <row r="1045909" hidden="1"/>
    <row r="1045910" hidden="1"/>
    <row r="1045911" hidden="1"/>
    <row r="1045912" hidden="1"/>
    <row r="1045913" hidden="1"/>
    <row r="1045914" hidden="1"/>
    <row r="1045915" hidden="1"/>
    <row r="1045916" hidden="1"/>
    <row r="1045917" hidden="1"/>
    <row r="1045918" hidden="1"/>
    <row r="1045919" hidden="1"/>
    <row r="1045920" hidden="1"/>
    <row r="1045921" hidden="1"/>
    <row r="1045922" hidden="1"/>
    <row r="1045923" hidden="1"/>
    <row r="1045924" hidden="1"/>
    <row r="1045925" hidden="1"/>
    <row r="1045926" hidden="1"/>
    <row r="1045927" hidden="1"/>
    <row r="1045928" hidden="1"/>
    <row r="1045929" hidden="1"/>
    <row r="1045930" hidden="1"/>
    <row r="1045931" hidden="1"/>
    <row r="1045932" hidden="1"/>
    <row r="1045933" hidden="1"/>
    <row r="1045934" hidden="1"/>
    <row r="1045935" hidden="1"/>
    <row r="1045936" hidden="1"/>
    <row r="1045937" hidden="1"/>
    <row r="1045938" hidden="1"/>
    <row r="1045939" hidden="1"/>
    <row r="1045940" hidden="1"/>
    <row r="1045941" hidden="1"/>
    <row r="1045942" hidden="1"/>
    <row r="1045943" hidden="1"/>
    <row r="1045944" hidden="1"/>
    <row r="1045945" hidden="1"/>
    <row r="1045946" hidden="1"/>
    <row r="1045947" hidden="1"/>
    <row r="1045948" hidden="1"/>
    <row r="1045949" hidden="1"/>
    <row r="1045950" hidden="1"/>
    <row r="1045951" hidden="1"/>
    <row r="1045952" hidden="1"/>
    <row r="1045953" hidden="1"/>
    <row r="1045954" hidden="1"/>
    <row r="1045955" hidden="1"/>
    <row r="1045956" hidden="1"/>
    <row r="1045957" hidden="1"/>
    <row r="1045958" hidden="1"/>
    <row r="1045959" hidden="1"/>
    <row r="1045960" hidden="1"/>
    <row r="1045961" hidden="1"/>
    <row r="1045962" hidden="1"/>
    <row r="1045963" hidden="1"/>
    <row r="1045964" hidden="1"/>
    <row r="1045965" hidden="1"/>
    <row r="1045966" hidden="1"/>
    <row r="1045967" hidden="1"/>
    <row r="1045968" hidden="1"/>
    <row r="1045969" hidden="1"/>
    <row r="1045970" hidden="1"/>
    <row r="1045971" hidden="1"/>
    <row r="1045972" hidden="1"/>
    <row r="1045973" hidden="1"/>
    <row r="1045974" hidden="1"/>
    <row r="1045975" hidden="1"/>
    <row r="1045976" hidden="1"/>
    <row r="1045977" hidden="1"/>
    <row r="1045978" hidden="1"/>
    <row r="1045979" hidden="1"/>
    <row r="1045980" hidden="1"/>
    <row r="1045981" hidden="1"/>
    <row r="1045982" hidden="1"/>
    <row r="1045983" hidden="1"/>
    <row r="1045984" hidden="1"/>
    <row r="1045985" hidden="1"/>
    <row r="1045986" hidden="1"/>
    <row r="1045987" hidden="1"/>
    <row r="1045988" hidden="1"/>
    <row r="1045989" hidden="1"/>
    <row r="1045990" hidden="1"/>
    <row r="1045991" hidden="1"/>
    <row r="1045992" hidden="1"/>
    <row r="1045993" hidden="1"/>
    <row r="1045994" hidden="1"/>
    <row r="1045995" hidden="1"/>
    <row r="1045996" hidden="1"/>
    <row r="1045997" hidden="1"/>
    <row r="1045998" hidden="1"/>
    <row r="1045999" hidden="1"/>
    <row r="1046000" hidden="1"/>
    <row r="1046001" hidden="1"/>
    <row r="1046002" hidden="1"/>
    <row r="1046003" hidden="1"/>
    <row r="1046004" hidden="1"/>
    <row r="1046005" hidden="1"/>
    <row r="1046006" hidden="1"/>
    <row r="1046007" hidden="1"/>
    <row r="1046008" hidden="1"/>
    <row r="1046009" hidden="1"/>
    <row r="1046010" hidden="1"/>
    <row r="1046011" hidden="1"/>
    <row r="1046012" hidden="1"/>
    <row r="1046013" hidden="1"/>
    <row r="1046014" hidden="1"/>
    <row r="1046015" hidden="1"/>
    <row r="1046016" hidden="1"/>
    <row r="1046017" hidden="1"/>
    <row r="1046018" hidden="1"/>
    <row r="1046019" hidden="1"/>
    <row r="1046020" hidden="1"/>
    <row r="1046021" hidden="1"/>
    <row r="1046022" hidden="1"/>
    <row r="1046023" hidden="1"/>
    <row r="1046024" hidden="1"/>
    <row r="1046025" hidden="1"/>
    <row r="1046026" hidden="1"/>
    <row r="1046027" hidden="1"/>
    <row r="1046028" hidden="1"/>
    <row r="1046029" hidden="1"/>
    <row r="1046030" hidden="1"/>
    <row r="1046031" hidden="1"/>
    <row r="1046032" hidden="1"/>
    <row r="1046033" hidden="1"/>
    <row r="1046034" hidden="1"/>
    <row r="1046035" hidden="1"/>
    <row r="1046036" hidden="1"/>
    <row r="1046037" hidden="1"/>
    <row r="1046038" hidden="1"/>
    <row r="1046039" hidden="1"/>
    <row r="1046040" hidden="1"/>
    <row r="1046041" hidden="1"/>
    <row r="1046042" hidden="1"/>
    <row r="1046043" hidden="1"/>
    <row r="1046044" hidden="1"/>
    <row r="1046045" hidden="1"/>
    <row r="1046046" hidden="1"/>
    <row r="1046047" hidden="1"/>
    <row r="1046048" hidden="1"/>
    <row r="1046049" hidden="1"/>
    <row r="1046050" hidden="1"/>
    <row r="1046051" hidden="1"/>
    <row r="1046052" hidden="1"/>
    <row r="1046053" hidden="1"/>
    <row r="1046054" hidden="1"/>
    <row r="1046055" hidden="1"/>
    <row r="1046056" hidden="1"/>
    <row r="1046057" hidden="1"/>
    <row r="1046058" hidden="1"/>
    <row r="1046059" hidden="1"/>
    <row r="1046060" hidden="1"/>
    <row r="1046061" hidden="1"/>
    <row r="1046062" hidden="1"/>
    <row r="1046063" hidden="1"/>
    <row r="1046064" hidden="1"/>
    <row r="1046065" hidden="1"/>
    <row r="1046066" hidden="1"/>
    <row r="1046067" hidden="1"/>
    <row r="1046068" hidden="1"/>
    <row r="1046069" hidden="1"/>
    <row r="1046070" hidden="1"/>
    <row r="1046071" hidden="1"/>
    <row r="1046072" hidden="1"/>
    <row r="1046073" hidden="1"/>
    <row r="1046074" hidden="1"/>
    <row r="1046075" hidden="1"/>
    <row r="1046076" hidden="1"/>
    <row r="1046077" hidden="1"/>
    <row r="1046078" hidden="1"/>
    <row r="1046079" hidden="1"/>
    <row r="1046080" hidden="1"/>
    <row r="1046081" hidden="1"/>
    <row r="1046082" hidden="1"/>
    <row r="1046083" hidden="1"/>
    <row r="1046084" hidden="1"/>
    <row r="1046085" hidden="1"/>
    <row r="1046086" hidden="1"/>
    <row r="1046087" hidden="1"/>
    <row r="1046088" hidden="1"/>
    <row r="1046089" hidden="1"/>
    <row r="1046090" hidden="1"/>
    <row r="1046091" hidden="1"/>
    <row r="1046092" hidden="1"/>
    <row r="1046093" hidden="1"/>
    <row r="1046094" hidden="1"/>
    <row r="1046095" hidden="1"/>
    <row r="1046096" hidden="1"/>
    <row r="1046097" hidden="1"/>
    <row r="1046098" hidden="1"/>
    <row r="1046099" hidden="1"/>
    <row r="1046100" hidden="1"/>
    <row r="1046101" hidden="1"/>
    <row r="1046102" hidden="1"/>
    <row r="1046103" hidden="1"/>
    <row r="1046104" hidden="1"/>
    <row r="1046105" hidden="1"/>
    <row r="1046106" hidden="1"/>
    <row r="1046107" hidden="1"/>
    <row r="1046108" hidden="1"/>
    <row r="1046109" hidden="1"/>
    <row r="1046110" hidden="1"/>
    <row r="1046111" hidden="1"/>
    <row r="1046112" hidden="1"/>
    <row r="1046113" hidden="1"/>
    <row r="1046114" hidden="1"/>
    <row r="1046115" hidden="1"/>
    <row r="1046116" hidden="1"/>
    <row r="1046117" hidden="1"/>
    <row r="1046118" hidden="1"/>
    <row r="1046119" hidden="1"/>
    <row r="1046120" hidden="1"/>
    <row r="1046121" hidden="1"/>
    <row r="1046122" hidden="1"/>
    <row r="1046123" hidden="1"/>
    <row r="1046124" hidden="1"/>
    <row r="1046125" hidden="1"/>
    <row r="1046126" hidden="1"/>
    <row r="1046127" hidden="1"/>
    <row r="1046128" hidden="1"/>
    <row r="1046129" hidden="1"/>
    <row r="1046130" hidden="1"/>
    <row r="1046131" hidden="1"/>
    <row r="1046132" hidden="1"/>
    <row r="1046133" hidden="1"/>
    <row r="1046134" hidden="1"/>
    <row r="1046135" hidden="1"/>
    <row r="1046136" hidden="1"/>
    <row r="1046137" hidden="1"/>
    <row r="1046138" hidden="1"/>
    <row r="1046139" hidden="1"/>
    <row r="1046140" hidden="1"/>
    <row r="1046141" hidden="1"/>
    <row r="1046142" hidden="1"/>
    <row r="1046143" hidden="1"/>
    <row r="1046144" hidden="1"/>
    <row r="1046145" hidden="1"/>
    <row r="1046146" hidden="1"/>
    <row r="1046147" hidden="1"/>
    <row r="1046148" hidden="1"/>
    <row r="1046149" hidden="1"/>
    <row r="1046150" hidden="1"/>
    <row r="1046151" hidden="1"/>
    <row r="1046152" hidden="1"/>
    <row r="1046153" hidden="1"/>
    <row r="1046154" hidden="1"/>
    <row r="1046155" hidden="1"/>
    <row r="1046156" hidden="1"/>
    <row r="1046157" hidden="1"/>
    <row r="1046158" hidden="1"/>
    <row r="1046159" hidden="1"/>
    <row r="1046160" hidden="1"/>
    <row r="1046161" hidden="1"/>
    <row r="1046162" hidden="1"/>
    <row r="1046163" hidden="1"/>
    <row r="1046164" hidden="1"/>
    <row r="1046165" hidden="1"/>
    <row r="1046166" hidden="1"/>
    <row r="1046167" hidden="1"/>
    <row r="1046168" hidden="1"/>
    <row r="1046169" hidden="1"/>
    <row r="1046170" hidden="1"/>
    <row r="1046171" hidden="1"/>
    <row r="1046172" hidden="1"/>
    <row r="1046173" hidden="1"/>
    <row r="1046174" hidden="1"/>
    <row r="1046175" hidden="1"/>
    <row r="1046176" hidden="1"/>
    <row r="1046177" hidden="1"/>
    <row r="1046178" hidden="1"/>
    <row r="1046179" hidden="1"/>
    <row r="1046180" hidden="1"/>
    <row r="1046181" hidden="1"/>
    <row r="1046182" hidden="1"/>
    <row r="1046183" hidden="1"/>
    <row r="1046184" hidden="1"/>
    <row r="1046185" hidden="1"/>
    <row r="1046186" hidden="1"/>
    <row r="1046187" hidden="1"/>
    <row r="1046188" hidden="1"/>
    <row r="1046189" hidden="1"/>
    <row r="1046190" hidden="1"/>
    <row r="1046191" hidden="1"/>
    <row r="1046192" hidden="1"/>
    <row r="1046193" hidden="1"/>
    <row r="1046194" hidden="1"/>
    <row r="1046195" hidden="1"/>
    <row r="1046196" hidden="1"/>
    <row r="1046197" hidden="1"/>
    <row r="1046198" hidden="1"/>
    <row r="1046199" hidden="1"/>
    <row r="1046200" hidden="1"/>
    <row r="1046201" hidden="1"/>
    <row r="1046202" hidden="1"/>
    <row r="1046203" hidden="1"/>
    <row r="1046204" hidden="1"/>
    <row r="1046205" hidden="1"/>
    <row r="1046206" hidden="1"/>
    <row r="1046207" hidden="1"/>
    <row r="1046208" hidden="1"/>
    <row r="1046209" hidden="1"/>
    <row r="1046210" hidden="1"/>
    <row r="1046211" hidden="1"/>
    <row r="1046212" hidden="1"/>
    <row r="1046213" hidden="1"/>
    <row r="1046214" hidden="1"/>
    <row r="1046215" hidden="1"/>
    <row r="1046216" hidden="1"/>
    <row r="1046217" hidden="1"/>
    <row r="1046218" hidden="1"/>
    <row r="1046219" hidden="1"/>
    <row r="1046220" hidden="1"/>
    <row r="1046221" hidden="1"/>
    <row r="1046222" hidden="1"/>
    <row r="1046223" hidden="1"/>
    <row r="1046224" hidden="1"/>
    <row r="1046225" hidden="1"/>
    <row r="1046226" hidden="1"/>
    <row r="1046227" hidden="1"/>
    <row r="1046228" hidden="1"/>
    <row r="1046229" hidden="1"/>
    <row r="1046230" hidden="1"/>
    <row r="1046231" hidden="1"/>
    <row r="1046232" hidden="1"/>
    <row r="1046233" hidden="1"/>
    <row r="1046234" hidden="1"/>
    <row r="1046235" hidden="1"/>
    <row r="1046236" hidden="1"/>
    <row r="1046237" hidden="1"/>
    <row r="1046238" hidden="1"/>
    <row r="1046239" hidden="1"/>
    <row r="1046240" hidden="1"/>
    <row r="1046241" hidden="1"/>
    <row r="1046242" hidden="1"/>
    <row r="1046243" hidden="1"/>
    <row r="1046244" hidden="1"/>
    <row r="1046245" hidden="1"/>
    <row r="1046246" hidden="1"/>
    <row r="1046247" hidden="1"/>
    <row r="1046248" hidden="1"/>
    <row r="1046249" hidden="1"/>
    <row r="1046250" hidden="1"/>
    <row r="1046251" hidden="1"/>
    <row r="1046252" hidden="1"/>
    <row r="1046253" hidden="1"/>
    <row r="1046254" hidden="1"/>
    <row r="1046255" hidden="1"/>
    <row r="1046256" hidden="1"/>
    <row r="1046257" hidden="1"/>
    <row r="1046258" hidden="1"/>
    <row r="1046259" hidden="1"/>
    <row r="1046260" hidden="1"/>
    <row r="1046261" hidden="1"/>
    <row r="1046262" hidden="1"/>
    <row r="1046263" hidden="1"/>
    <row r="1046264" hidden="1"/>
    <row r="1046265" hidden="1"/>
    <row r="1046266" hidden="1"/>
    <row r="1046267" hidden="1"/>
    <row r="1046268" hidden="1"/>
    <row r="1046269" hidden="1"/>
    <row r="1046270" hidden="1"/>
    <row r="1046271" hidden="1"/>
    <row r="1046272" hidden="1"/>
    <row r="1046273" hidden="1"/>
    <row r="1046274" hidden="1"/>
    <row r="1046275" hidden="1"/>
    <row r="1046276" hidden="1"/>
    <row r="1046277" hidden="1"/>
    <row r="1046278" hidden="1"/>
    <row r="1046279" hidden="1"/>
    <row r="1046280" hidden="1"/>
    <row r="1046281" hidden="1"/>
    <row r="1046282" hidden="1"/>
    <row r="1046283" hidden="1"/>
    <row r="1046284" hidden="1"/>
    <row r="1046285" hidden="1"/>
    <row r="1046286" hidden="1"/>
    <row r="1046287" hidden="1"/>
    <row r="1046288" hidden="1"/>
    <row r="1046289" hidden="1"/>
    <row r="1046290" hidden="1"/>
    <row r="1046291" hidden="1"/>
    <row r="1046292" hidden="1"/>
    <row r="1046293" hidden="1"/>
    <row r="1046294" hidden="1"/>
    <row r="1046295" hidden="1"/>
    <row r="1046296" hidden="1"/>
    <row r="1046297" hidden="1"/>
    <row r="1046298" hidden="1"/>
    <row r="1046299" hidden="1"/>
    <row r="1046300" hidden="1"/>
    <row r="1046301" hidden="1"/>
    <row r="1046302" hidden="1"/>
    <row r="1046303" hidden="1"/>
    <row r="1046304" hidden="1"/>
    <row r="1046305" hidden="1"/>
    <row r="1046306" hidden="1"/>
    <row r="1046307" hidden="1"/>
    <row r="1046308" hidden="1"/>
    <row r="1046309" hidden="1"/>
    <row r="1046310" hidden="1"/>
    <row r="1046311" hidden="1"/>
    <row r="1046312" hidden="1"/>
    <row r="1046313" hidden="1"/>
    <row r="1046314" hidden="1"/>
    <row r="1046315" hidden="1"/>
    <row r="1046316" hidden="1"/>
    <row r="1046317" hidden="1"/>
    <row r="1046318" hidden="1"/>
    <row r="1046319" hidden="1"/>
    <row r="1046320" hidden="1"/>
    <row r="1046321" hidden="1"/>
    <row r="1046322" hidden="1"/>
    <row r="1046323" hidden="1"/>
    <row r="1046324" hidden="1"/>
    <row r="1046325" hidden="1"/>
    <row r="1046326" hidden="1"/>
    <row r="1046327" hidden="1"/>
    <row r="1046328" hidden="1"/>
    <row r="1046329" hidden="1"/>
    <row r="1046330" hidden="1"/>
    <row r="1046331" hidden="1"/>
    <row r="1046332" hidden="1"/>
    <row r="1046333" hidden="1"/>
    <row r="1046334" hidden="1"/>
    <row r="1046335" hidden="1"/>
    <row r="1046336" hidden="1"/>
    <row r="1046337" hidden="1"/>
    <row r="1046338" hidden="1"/>
    <row r="1046339" hidden="1"/>
    <row r="1046340" hidden="1"/>
    <row r="1046341" hidden="1"/>
    <row r="1046342" hidden="1"/>
    <row r="1046343" hidden="1"/>
    <row r="1046344" hidden="1"/>
    <row r="1046345" hidden="1"/>
    <row r="1046346" hidden="1"/>
    <row r="1046347" hidden="1"/>
    <row r="1046348" hidden="1"/>
    <row r="1046349" hidden="1"/>
    <row r="1046350" hidden="1"/>
    <row r="1046351" hidden="1"/>
    <row r="1046352" hidden="1"/>
    <row r="1046353" hidden="1"/>
    <row r="1046354" hidden="1"/>
    <row r="1046355" hidden="1"/>
    <row r="1046356" hidden="1"/>
    <row r="1046357" hidden="1"/>
    <row r="1046358" hidden="1"/>
    <row r="1046359" hidden="1"/>
    <row r="1046360" hidden="1"/>
    <row r="1046361" hidden="1"/>
    <row r="1046362" hidden="1"/>
    <row r="1046363" hidden="1"/>
    <row r="1046364" hidden="1"/>
    <row r="1046365" hidden="1"/>
    <row r="1046366" hidden="1"/>
    <row r="1046367" hidden="1"/>
    <row r="1046368" hidden="1"/>
    <row r="1046369" hidden="1"/>
    <row r="1046370" hidden="1"/>
    <row r="1046371" hidden="1"/>
    <row r="1046372" hidden="1"/>
    <row r="1046373" hidden="1"/>
    <row r="1046374" hidden="1"/>
    <row r="1046375" hidden="1"/>
    <row r="1046376" hidden="1"/>
    <row r="1046377" hidden="1"/>
    <row r="1046378" hidden="1"/>
    <row r="1046379" hidden="1"/>
    <row r="1046380" hidden="1"/>
    <row r="1046381" hidden="1"/>
    <row r="1046382" hidden="1"/>
    <row r="1046383" hidden="1"/>
    <row r="1046384" hidden="1"/>
    <row r="1046385" hidden="1"/>
    <row r="1046386" hidden="1"/>
    <row r="1046387" hidden="1"/>
    <row r="1046388" hidden="1"/>
    <row r="1046389" hidden="1"/>
    <row r="1046390" hidden="1"/>
    <row r="1046391" hidden="1"/>
    <row r="1046392" hidden="1"/>
    <row r="1046393" hidden="1"/>
    <row r="1046394" hidden="1"/>
    <row r="1046395" hidden="1"/>
    <row r="1046396" hidden="1"/>
    <row r="1046397" hidden="1"/>
    <row r="1046398" hidden="1"/>
    <row r="1046399" hidden="1"/>
    <row r="1046400" hidden="1"/>
    <row r="1046401" hidden="1"/>
    <row r="1046402" hidden="1"/>
    <row r="1046403" hidden="1"/>
    <row r="1046404" hidden="1"/>
    <row r="1046405" hidden="1"/>
    <row r="1046406" hidden="1"/>
    <row r="1046407" hidden="1"/>
    <row r="1046408" hidden="1"/>
    <row r="1046409" hidden="1"/>
    <row r="1046410" hidden="1"/>
    <row r="1046411" hidden="1"/>
    <row r="1046412" hidden="1"/>
    <row r="1046413" hidden="1"/>
    <row r="1046414" hidden="1"/>
    <row r="1046415" hidden="1"/>
    <row r="1046416" hidden="1"/>
    <row r="1046417" hidden="1"/>
    <row r="1046418" hidden="1"/>
    <row r="1046419" hidden="1"/>
    <row r="1046420" hidden="1"/>
    <row r="1046421" hidden="1"/>
    <row r="1046422" hidden="1"/>
    <row r="1046423" hidden="1"/>
    <row r="1046424" hidden="1"/>
    <row r="1046425" hidden="1"/>
    <row r="1046426" hidden="1"/>
    <row r="1046427" hidden="1"/>
    <row r="1046428" hidden="1"/>
    <row r="1046429" hidden="1"/>
    <row r="1046430" hidden="1"/>
    <row r="1046431" hidden="1"/>
    <row r="1046432" hidden="1"/>
    <row r="1046433" hidden="1"/>
    <row r="1046434" hidden="1"/>
    <row r="1046435" hidden="1"/>
    <row r="1046436" hidden="1"/>
    <row r="1046437" hidden="1"/>
    <row r="1046438" hidden="1"/>
    <row r="1046439" hidden="1"/>
    <row r="1046440" hidden="1"/>
    <row r="1046441" hidden="1"/>
    <row r="1046442" hidden="1"/>
    <row r="1046443" hidden="1"/>
    <row r="1046444" hidden="1"/>
    <row r="1046445" hidden="1"/>
    <row r="1046446" hidden="1"/>
    <row r="1046447" hidden="1"/>
    <row r="1046448" hidden="1"/>
    <row r="1046449" hidden="1"/>
    <row r="1046450" hidden="1"/>
    <row r="1046451" hidden="1"/>
    <row r="1046452" hidden="1"/>
    <row r="1046453" hidden="1"/>
    <row r="1046454" hidden="1"/>
    <row r="1046455" hidden="1"/>
    <row r="1046456" hidden="1"/>
    <row r="1046457" hidden="1"/>
    <row r="1046458" hidden="1"/>
    <row r="1046459" hidden="1"/>
    <row r="1046460" hidden="1"/>
    <row r="1046461" hidden="1"/>
    <row r="1046462" hidden="1"/>
    <row r="1046463" hidden="1"/>
    <row r="1046464" hidden="1"/>
    <row r="1046465" hidden="1"/>
    <row r="1046466" hidden="1"/>
    <row r="1046467" hidden="1"/>
    <row r="1046468" hidden="1"/>
    <row r="1046469" hidden="1"/>
    <row r="1046470" hidden="1"/>
    <row r="1046471" hidden="1"/>
    <row r="1046472" hidden="1"/>
    <row r="1046473" hidden="1"/>
    <row r="1046474" hidden="1"/>
    <row r="1046475" hidden="1"/>
    <row r="1046476" hidden="1"/>
    <row r="1046477" hidden="1"/>
    <row r="1046478" hidden="1"/>
    <row r="1046479" hidden="1"/>
    <row r="1046480" hidden="1"/>
    <row r="1046481" hidden="1"/>
    <row r="1046482" hidden="1"/>
    <row r="1046483" hidden="1"/>
    <row r="1046484" hidden="1"/>
    <row r="1046485" hidden="1"/>
    <row r="1046486" hidden="1"/>
    <row r="1046487" hidden="1"/>
    <row r="1046488" hidden="1"/>
    <row r="1046489" hidden="1"/>
    <row r="1046490" hidden="1"/>
    <row r="1046491" hidden="1"/>
    <row r="1046492" hidden="1"/>
    <row r="1046493" hidden="1"/>
    <row r="1046494" hidden="1"/>
    <row r="1046495" hidden="1"/>
    <row r="1046496" hidden="1"/>
    <row r="1046497" hidden="1"/>
    <row r="1046498" hidden="1"/>
    <row r="1046499" hidden="1"/>
    <row r="1046500" hidden="1"/>
    <row r="1046501" hidden="1"/>
    <row r="1046502" hidden="1"/>
    <row r="1046503" hidden="1"/>
    <row r="1046504" hidden="1"/>
    <row r="1046505" hidden="1"/>
    <row r="1046506" hidden="1"/>
    <row r="1046507" hidden="1"/>
    <row r="1046508" hidden="1"/>
    <row r="1046509" hidden="1"/>
    <row r="1046510" hidden="1"/>
    <row r="1046511" hidden="1"/>
    <row r="1046512" hidden="1"/>
    <row r="1046513" hidden="1"/>
    <row r="1046514" hidden="1"/>
    <row r="1046515" hidden="1"/>
    <row r="1046516" hidden="1"/>
    <row r="1046517" hidden="1"/>
    <row r="1046518" hidden="1"/>
    <row r="1046519" hidden="1"/>
    <row r="1046520" hidden="1"/>
    <row r="1046521" hidden="1"/>
    <row r="1046522" hidden="1"/>
    <row r="1046523" hidden="1"/>
    <row r="1046524" hidden="1"/>
    <row r="1046525" hidden="1"/>
    <row r="1046526" hidden="1"/>
    <row r="1046527" hidden="1"/>
    <row r="1046528" hidden="1"/>
    <row r="1046529" hidden="1"/>
    <row r="1046530" hidden="1"/>
    <row r="1046531" hidden="1"/>
    <row r="1046532" hidden="1"/>
    <row r="1046533" hidden="1"/>
    <row r="1046534" hidden="1"/>
    <row r="1046535" hidden="1"/>
    <row r="1046536" hidden="1"/>
    <row r="1046537" hidden="1"/>
    <row r="1046538" hidden="1"/>
    <row r="1046539" hidden="1"/>
    <row r="1046540" hidden="1"/>
    <row r="1046541" hidden="1"/>
    <row r="1046542" hidden="1"/>
    <row r="1046543" hidden="1"/>
    <row r="1046544" hidden="1"/>
    <row r="1046545" hidden="1"/>
    <row r="1046546" hidden="1"/>
    <row r="1046547" hidden="1"/>
    <row r="1046548" hidden="1"/>
    <row r="1046549" hidden="1"/>
    <row r="1046550" hidden="1"/>
    <row r="1046551" hidden="1"/>
    <row r="1046552" hidden="1"/>
    <row r="1046553" hidden="1"/>
    <row r="1046554" hidden="1"/>
    <row r="1046555" hidden="1"/>
    <row r="1046556" hidden="1"/>
    <row r="1046557" hidden="1"/>
    <row r="1046558" hidden="1"/>
    <row r="1046559" hidden="1"/>
    <row r="1046560" hidden="1"/>
    <row r="1046561" hidden="1"/>
    <row r="1046562" hidden="1"/>
    <row r="1046563" hidden="1"/>
    <row r="1046564" hidden="1"/>
    <row r="1046565" hidden="1"/>
    <row r="1046566" hidden="1"/>
    <row r="1046567" hidden="1"/>
    <row r="1046568" hidden="1"/>
    <row r="1046569" hidden="1"/>
    <row r="1046570" hidden="1"/>
    <row r="1046571" hidden="1"/>
    <row r="1046572" hidden="1"/>
    <row r="1046573" hidden="1"/>
    <row r="1046574" hidden="1"/>
    <row r="1046575" hidden="1"/>
    <row r="1046576" hidden="1"/>
    <row r="1046577" hidden="1"/>
    <row r="1046578" hidden="1"/>
    <row r="1046579" hidden="1"/>
    <row r="1046580" hidden="1"/>
    <row r="1046581" hidden="1"/>
    <row r="1046582" hidden="1"/>
    <row r="1046583" hidden="1"/>
    <row r="1046584" hidden="1"/>
    <row r="1046585" hidden="1"/>
    <row r="1046586" hidden="1"/>
    <row r="1046587" hidden="1"/>
    <row r="1046588" hidden="1"/>
    <row r="1046589" hidden="1"/>
    <row r="1046590" hidden="1"/>
    <row r="1046591" hidden="1"/>
    <row r="1046592" hidden="1"/>
    <row r="1046593" hidden="1"/>
    <row r="1046594" hidden="1"/>
    <row r="1046595" hidden="1"/>
    <row r="1046596" hidden="1"/>
    <row r="1046597" hidden="1"/>
    <row r="1046598" hidden="1"/>
    <row r="1046599" hidden="1"/>
    <row r="1046600" hidden="1"/>
    <row r="1046601" hidden="1"/>
    <row r="1046602" hidden="1"/>
    <row r="1046603" hidden="1"/>
    <row r="1046604" hidden="1"/>
    <row r="1046605" hidden="1"/>
    <row r="1046606" hidden="1"/>
    <row r="1046607" hidden="1"/>
    <row r="1046608" hidden="1"/>
    <row r="1046609" hidden="1"/>
    <row r="1046610" hidden="1"/>
    <row r="1046611" hidden="1"/>
    <row r="1046612" hidden="1"/>
    <row r="1046613" hidden="1"/>
    <row r="1046614" hidden="1"/>
    <row r="1046615" hidden="1"/>
    <row r="1046616" hidden="1"/>
    <row r="1046617" hidden="1"/>
    <row r="1046618" hidden="1"/>
    <row r="1046619" hidden="1"/>
    <row r="1046620" hidden="1"/>
    <row r="1046621" hidden="1"/>
    <row r="1046622" hidden="1"/>
    <row r="1046623" hidden="1"/>
    <row r="1046624" hidden="1"/>
    <row r="1046625" hidden="1"/>
    <row r="1046626" hidden="1"/>
    <row r="1046627" hidden="1"/>
    <row r="1046628" hidden="1"/>
    <row r="1046629" hidden="1"/>
    <row r="1046630" hidden="1"/>
    <row r="1046631" hidden="1"/>
    <row r="1046632" hidden="1"/>
    <row r="1046633" hidden="1"/>
    <row r="1046634" hidden="1"/>
    <row r="1046635" hidden="1"/>
    <row r="1046636" hidden="1"/>
    <row r="1046637" hidden="1"/>
    <row r="1046638" hidden="1"/>
    <row r="1046639" hidden="1"/>
    <row r="1046640" hidden="1"/>
    <row r="1046641" hidden="1"/>
    <row r="1046642" hidden="1"/>
    <row r="1046643" hidden="1"/>
    <row r="1046644" hidden="1"/>
    <row r="1046645" hidden="1"/>
    <row r="1046646" hidden="1"/>
    <row r="1046647" hidden="1"/>
    <row r="1046648" hidden="1"/>
    <row r="1046649" hidden="1"/>
    <row r="1046650" hidden="1"/>
    <row r="1046651" hidden="1"/>
    <row r="1046652" hidden="1"/>
    <row r="1046653" hidden="1"/>
    <row r="1046654" hidden="1"/>
    <row r="1046655" hidden="1"/>
    <row r="1046656" hidden="1"/>
    <row r="1046657" hidden="1"/>
    <row r="1046658" hidden="1"/>
    <row r="1046659" hidden="1"/>
    <row r="1046660" hidden="1"/>
    <row r="1046661" hidden="1"/>
    <row r="1046662" hidden="1"/>
    <row r="1046663" hidden="1"/>
    <row r="1046664" hidden="1"/>
    <row r="1046665" hidden="1"/>
    <row r="1046666" hidden="1"/>
    <row r="1046667" hidden="1"/>
    <row r="1046668" hidden="1"/>
    <row r="1046669" hidden="1"/>
    <row r="1046670" hidden="1"/>
    <row r="1046671" hidden="1"/>
    <row r="1046672" hidden="1"/>
    <row r="1046673" hidden="1"/>
    <row r="1046674" hidden="1"/>
    <row r="1046675" hidden="1"/>
    <row r="1046676" hidden="1"/>
    <row r="1046677" hidden="1"/>
    <row r="1046678" hidden="1"/>
    <row r="1046679" hidden="1"/>
    <row r="1046680" hidden="1"/>
    <row r="1046681" hidden="1"/>
    <row r="1046682" hidden="1"/>
    <row r="1046683" hidden="1"/>
    <row r="1046684" hidden="1"/>
    <row r="1046685" hidden="1"/>
    <row r="1046686" hidden="1"/>
    <row r="1046687" hidden="1"/>
    <row r="1046688" hidden="1"/>
    <row r="1046689" hidden="1"/>
    <row r="1046690" hidden="1"/>
    <row r="1046691" hidden="1"/>
    <row r="1046692" hidden="1"/>
    <row r="1046693" hidden="1"/>
    <row r="1046694" hidden="1"/>
    <row r="1046695" hidden="1"/>
    <row r="1046696" hidden="1"/>
    <row r="1046697" hidden="1"/>
    <row r="1046698" hidden="1"/>
    <row r="1046699" hidden="1"/>
    <row r="1046700" hidden="1"/>
    <row r="1046701" hidden="1"/>
    <row r="1046702" hidden="1"/>
    <row r="1046703" hidden="1"/>
    <row r="1046704" hidden="1"/>
    <row r="1046705" hidden="1"/>
    <row r="1046706" hidden="1"/>
    <row r="1046707" hidden="1"/>
    <row r="1046708" hidden="1"/>
    <row r="1046709" hidden="1"/>
    <row r="1046710" hidden="1"/>
    <row r="1046711" hidden="1"/>
    <row r="1046712" hidden="1"/>
    <row r="1046713" hidden="1"/>
    <row r="1046714" hidden="1"/>
    <row r="1046715" hidden="1"/>
    <row r="1046716" hidden="1"/>
    <row r="1046717" hidden="1"/>
    <row r="1046718" hidden="1"/>
    <row r="1046719" hidden="1"/>
    <row r="1046720" hidden="1"/>
    <row r="1046721" hidden="1"/>
    <row r="1046722" hidden="1"/>
    <row r="1046723" hidden="1"/>
    <row r="1046724" hidden="1"/>
    <row r="1046725" hidden="1"/>
    <row r="1046726" hidden="1"/>
    <row r="1046727" hidden="1"/>
    <row r="1046728" hidden="1"/>
    <row r="1046729" hidden="1"/>
    <row r="1046730" hidden="1"/>
    <row r="1046731" hidden="1"/>
    <row r="1046732" hidden="1"/>
    <row r="1046733" hidden="1"/>
    <row r="1046734" hidden="1"/>
    <row r="1046735" hidden="1"/>
    <row r="1046736" hidden="1"/>
    <row r="1046737" hidden="1"/>
    <row r="1046738" hidden="1"/>
    <row r="1046739" hidden="1"/>
    <row r="1046740" hidden="1"/>
    <row r="1046741" hidden="1"/>
    <row r="1046742" hidden="1"/>
    <row r="1046743" hidden="1"/>
    <row r="1046744" hidden="1"/>
    <row r="1046745" hidden="1"/>
    <row r="1046746" hidden="1"/>
    <row r="1046747" hidden="1"/>
    <row r="1046748" hidden="1"/>
    <row r="1046749" hidden="1"/>
    <row r="1046750" hidden="1"/>
    <row r="1046751" hidden="1"/>
    <row r="1046752" hidden="1"/>
    <row r="1046753" hidden="1"/>
    <row r="1046754" hidden="1"/>
    <row r="1046755" hidden="1"/>
    <row r="1046756" hidden="1"/>
    <row r="1046757" hidden="1"/>
    <row r="1046758" hidden="1"/>
    <row r="1046759" hidden="1"/>
    <row r="1046760" hidden="1"/>
    <row r="1046761" hidden="1"/>
    <row r="1046762" hidden="1"/>
    <row r="1046763" hidden="1"/>
    <row r="1046764" hidden="1"/>
    <row r="1046765" hidden="1"/>
    <row r="1046766" hidden="1"/>
    <row r="1046767" hidden="1"/>
    <row r="1046768" hidden="1"/>
    <row r="1046769" hidden="1"/>
    <row r="1046770" hidden="1"/>
    <row r="1046771" hidden="1"/>
    <row r="1046772" hidden="1"/>
    <row r="1046773" hidden="1"/>
    <row r="1046774" hidden="1"/>
    <row r="1046775" hidden="1"/>
    <row r="1046776" hidden="1"/>
    <row r="1046777" hidden="1"/>
    <row r="1046778" hidden="1"/>
    <row r="1046779" hidden="1"/>
    <row r="1046780" hidden="1"/>
    <row r="1046781" hidden="1"/>
    <row r="1046782" hidden="1"/>
    <row r="1046783" hidden="1"/>
    <row r="1046784" hidden="1"/>
    <row r="1046785" hidden="1"/>
    <row r="1046786" hidden="1"/>
    <row r="1046787" hidden="1"/>
    <row r="1046788" hidden="1"/>
    <row r="1046789" hidden="1"/>
    <row r="1046790" hidden="1"/>
    <row r="1046791" hidden="1"/>
    <row r="1046792" hidden="1"/>
    <row r="1046793" hidden="1"/>
    <row r="1046794" hidden="1"/>
    <row r="1046795" hidden="1"/>
    <row r="1046796" hidden="1"/>
    <row r="1046797" hidden="1"/>
    <row r="1046798" hidden="1"/>
    <row r="1046799" hidden="1"/>
    <row r="1046800" hidden="1"/>
    <row r="1046801" hidden="1"/>
    <row r="1046802" hidden="1"/>
    <row r="1046803" hidden="1"/>
    <row r="1046804" hidden="1"/>
    <row r="1046805" hidden="1"/>
    <row r="1046806" hidden="1"/>
    <row r="1046807" hidden="1"/>
    <row r="1046808" hidden="1"/>
    <row r="1046809" hidden="1"/>
    <row r="1046810" hidden="1"/>
    <row r="1046811" hidden="1"/>
    <row r="1046812" hidden="1"/>
    <row r="1046813" hidden="1"/>
    <row r="1046814" hidden="1"/>
    <row r="1046815" hidden="1"/>
    <row r="1046816" hidden="1"/>
    <row r="1046817" hidden="1"/>
    <row r="1046818" hidden="1"/>
    <row r="1046819" hidden="1"/>
    <row r="1046820" hidden="1"/>
    <row r="1046821" hidden="1"/>
    <row r="1046822" hidden="1"/>
    <row r="1046823" hidden="1"/>
    <row r="1046824" hidden="1"/>
    <row r="1046825" hidden="1"/>
    <row r="1046826" hidden="1"/>
    <row r="1046827" hidden="1"/>
    <row r="1046828" hidden="1"/>
    <row r="1046829" hidden="1"/>
    <row r="1046830" hidden="1"/>
    <row r="1046831" hidden="1"/>
    <row r="1046832" hidden="1"/>
    <row r="1046833" hidden="1"/>
    <row r="1046834" hidden="1"/>
    <row r="1046835" hidden="1"/>
    <row r="1046836" hidden="1"/>
    <row r="1046837" hidden="1"/>
    <row r="1046838" hidden="1"/>
    <row r="1046839" hidden="1"/>
    <row r="1046840" hidden="1"/>
    <row r="1046841" hidden="1"/>
    <row r="1046842" hidden="1"/>
    <row r="1046843" hidden="1"/>
    <row r="1046844" hidden="1"/>
    <row r="1046845" hidden="1"/>
    <row r="1046846" hidden="1"/>
    <row r="1046847" hidden="1"/>
    <row r="1046848" hidden="1"/>
    <row r="1046849" hidden="1"/>
    <row r="1046850" hidden="1"/>
    <row r="1046851" hidden="1"/>
    <row r="1046852" hidden="1"/>
    <row r="1046853" hidden="1"/>
    <row r="1046854" hidden="1"/>
    <row r="1046855" hidden="1"/>
    <row r="1046856" hidden="1"/>
    <row r="1046857" hidden="1"/>
    <row r="1046858" hidden="1"/>
    <row r="1046859" hidden="1"/>
    <row r="1046860" hidden="1"/>
    <row r="1046861" hidden="1"/>
    <row r="1046862" hidden="1"/>
    <row r="1046863" hidden="1"/>
    <row r="1046864" hidden="1"/>
    <row r="1046865" hidden="1"/>
    <row r="1046866" hidden="1"/>
    <row r="1046867" hidden="1"/>
    <row r="1046868" hidden="1"/>
    <row r="1046869" hidden="1"/>
    <row r="1046870" hidden="1"/>
    <row r="1046871" hidden="1"/>
    <row r="1046872" hidden="1"/>
    <row r="1046873" hidden="1"/>
    <row r="1046874" hidden="1"/>
    <row r="1046875" hidden="1"/>
    <row r="1046876" hidden="1"/>
    <row r="1046877" hidden="1"/>
    <row r="1046878" hidden="1"/>
    <row r="1046879" hidden="1"/>
    <row r="1046880" hidden="1"/>
    <row r="1046881" hidden="1"/>
    <row r="1046882" hidden="1"/>
    <row r="1046883" hidden="1"/>
    <row r="1046884" hidden="1"/>
    <row r="1046885" hidden="1"/>
    <row r="1046886" hidden="1"/>
    <row r="1046887" hidden="1"/>
    <row r="1046888" hidden="1"/>
    <row r="1046889" hidden="1"/>
    <row r="1046890" hidden="1"/>
    <row r="1046891" hidden="1"/>
    <row r="1046892" hidden="1"/>
    <row r="1046893" hidden="1"/>
    <row r="1046894" hidden="1"/>
    <row r="1046895" hidden="1"/>
    <row r="1046896" hidden="1"/>
    <row r="1046897" hidden="1"/>
    <row r="1046898" hidden="1"/>
    <row r="1046899" hidden="1"/>
    <row r="1046900" hidden="1"/>
    <row r="1046901" hidden="1"/>
    <row r="1046902" hidden="1"/>
    <row r="1046903" hidden="1"/>
    <row r="1046904" hidden="1"/>
    <row r="1046905" hidden="1"/>
    <row r="1046906" hidden="1"/>
    <row r="1046907" hidden="1"/>
    <row r="1046908" hidden="1"/>
    <row r="1046909" hidden="1"/>
    <row r="1046910" hidden="1"/>
    <row r="1046911" hidden="1"/>
    <row r="1046912" hidden="1"/>
    <row r="1046913" hidden="1"/>
    <row r="1046914" hidden="1"/>
    <row r="1046915" hidden="1"/>
    <row r="1046916" hidden="1"/>
    <row r="1046917" hidden="1"/>
    <row r="1046918" hidden="1"/>
    <row r="1046919" hidden="1"/>
    <row r="1046920" hidden="1"/>
    <row r="1046921" hidden="1"/>
    <row r="1046922" hidden="1"/>
    <row r="1046923" hidden="1"/>
    <row r="1046924" hidden="1"/>
    <row r="1046925" hidden="1"/>
    <row r="1046926" hidden="1"/>
    <row r="1046927" hidden="1"/>
    <row r="1046928" hidden="1"/>
    <row r="1046929" hidden="1"/>
    <row r="1046930" hidden="1"/>
    <row r="1046931" hidden="1"/>
    <row r="1046932" hidden="1"/>
    <row r="1046933" hidden="1"/>
    <row r="1046934" hidden="1"/>
    <row r="1046935" hidden="1"/>
    <row r="1046936" hidden="1"/>
    <row r="1046937" hidden="1"/>
    <row r="1046938" hidden="1"/>
    <row r="1046939" hidden="1"/>
    <row r="1046940" hidden="1"/>
    <row r="1046941" hidden="1"/>
    <row r="1046942" hidden="1"/>
    <row r="1046943" hidden="1"/>
    <row r="1046944" hidden="1"/>
    <row r="1046945" hidden="1"/>
    <row r="1046946" hidden="1"/>
    <row r="1046947" hidden="1"/>
    <row r="1046948" hidden="1"/>
    <row r="1046949" hidden="1"/>
    <row r="1046950" hidden="1"/>
    <row r="1046951" hidden="1"/>
    <row r="1046952" hidden="1"/>
    <row r="1046953" hidden="1"/>
    <row r="1046954" hidden="1"/>
    <row r="1046955" hidden="1"/>
    <row r="1046956" hidden="1"/>
    <row r="1046957" hidden="1"/>
    <row r="1046958" hidden="1"/>
    <row r="1046959" hidden="1"/>
    <row r="1046960" hidden="1"/>
    <row r="1046961" hidden="1"/>
    <row r="1046962" hidden="1"/>
    <row r="1046963" hidden="1"/>
    <row r="1046964" hidden="1"/>
    <row r="1046965" hidden="1"/>
    <row r="1046966" hidden="1"/>
    <row r="1046967" hidden="1"/>
    <row r="1046968" hidden="1"/>
    <row r="1046969" hidden="1"/>
    <row r="1046970" hidden="1"/>
    <row r="1046971" hidden="1"/>
    <row r="1046972" hidden="1"/>
    <row r="1046973" hidden="1"/>
    <row r="1046974" hidden="1"/>
    <row r="1046975" hidden="1"/>
    <row r="1046976" hidden="1"/>
    <row r="1046977" hidden="1"/>
    <row r="1046978" hidden="1"/>
    <row r="1046979" hidden="1"/>
    <row r="1046980" hidden="1"/>
    <row r="1046981" hidden="1"/>
    <row r="1046982" hidden="1"/>
    <row r="1046983" hidden="1"/>
    <row r="1046984" hidden="1"/>
    <row r="1046985" hidden="1"/>
    <row r="1046986" hidden="1"/>
    <row r="1046987" hidden="1"/>
    <row r="1046988" hidden="1"/>
    <row r="1046989" hidden="1"/>
    <row r="1046990" hidden="1"/>
    <row r="1046991" hidden="1"/>
    <row r="1046992" hidden="1"/>
    <row r="1046993" hidden="1"/>
    <row r="1046994" hidden="1"/>
    <row r="1046995" hidden="1"/>
    <row r="1046996" hidden="1"/>
    <row r="1046997" hidden="1"/>
    <row r="1046998" hidden="1"/>
    <row r="1046999" hidden="1"/>
    <row r="1047000" hidden="1"/>
    <row r="1047001" hidden="1"/>
    <row r="1047002" hidden="1"/>
    <row r="1047003" hidden="1"/>
    <row r="1047004" hidden="1"/>
    <row r="1047005" hidden="1"/>
    <row r="1047006" hidden="1"/>
    <row r="1047007" hidden="1"/>
    <row r="1047008" hidden="1"/>
    <row r="1047009" hidden="1"/>
    <row r="1047010" hidden="1"/>
    <row r="1047011" hidden="1"/>
    <row r="1047012" hidden="1"/>
    <row r="1047013" hidden="1"/>
    <row r="1047014" hidden="1"/>
    <row r="1047015" hidden="1"/>
    <row r="1047016" hidden="1"/>
    <row r="1047017" hidden="1"/>
    <row r="1047018" hidden="1"/>
    <row r="1047019" hidden="1"/>
    <row r="1047020" hidden="1"/>
    <row r="1047021" hidden="1"/>
    <row r="1047022" hidden="1"/>
    <row r="1047023" hidden="1"/>
    <row r="1047024" hidden="1"/>
    <row r="1047025" hidden="1"/>
    <row r="1047026" hidden="1"/>
    <row r="1047027" hidden="1"/>
    <row r="1047028" hidden="1"/>
    <row r="1047029" hidden="1"/>
    <row r="1047030" hidden="1"/>
    <row r="1047031" hidden="1"/>
    <row r="1047032" hidden="1"/>
    <row r="1047033" hidden="1"/>
    <row r="1047034" hidden="1"/>
    <row r="1047035" hidden="1"/>
    <row r="1047036" hidden="1"/>
    <row r="1047037" hidden="1"/>
    <row r="1047038" hidden="1"/>
    <row r="1047039" hidden="1"/>
    <row r="1047040" hidden="1"/>
    <row r="1047041" hidden="1"/>
    <row r="1047042" hidden="1"/>
    <row r="1047043" hidden="1"/>
    <row r="1047044" hidden="1"/>
    <row r="1047045" hidden="1"/>
    <row r="1047046" hidden="1"/>
    <row r="1047047" hidden="1"/>
    <row r="1047048" hidden="1"/>
    <row r="1047049" hidden="1"/>
    <row r="1047050" hidden="1"/>
    <row r="1047051" hidden="1"/>
    <row r="1047052" hidden="1"/>
    <row r="1047053" hidden="1"/>
    <row r="1047054" hidden="1"/>
    <row r="1047055" hidden="1"/>
    <row r="1047056" hidden="1"/>
    <row r="1047057" hidden="1"/>
    <row r="1047058" hidden="1"/>
    <row r="1047059" hidden="1"/>
    <row r="1047060" hidden="1"/>
    <row r="1047061" hidden="1"/>
    <row r="1047062" hidden="1"/>
    <row r="1047063" hidden="1"/>
    <row r="1047064" hidden="1"/>
    <row r="1047065" hidden="1"/>
    <row r="1047066" hidden="1"/>
    <row r="1047067" hidden="1"/>
    <row r="1047068" hidden="1"/>
    <row r="1047069" hidden="1"/>
    <row r="1047070" hidden="1"/>
    <row r="1047071" hidden="1"/>
    <row r="1047072" hidden="1"/>
    <row r="1047073" hidden="1"/>
    <row r="1047074" hidden="1"/>
    <row r="1047075" hidden="1"/>
    <row r="1047076" hidden="1"/>
    <row r="1047077" hidden="1"/>
    <row r="1047078" hidden="1"/>
    <row r="1047079" hidden="1"/>
    <row r="1047080" hidden="1"/>
    <row r="1047081" hidden="1"/>
    <row r="1047082" hidden="1"/>
    <row r="1047083" hidden="1"/>
    <row r="1047084" hidden="1"/>
    <row r="1047085" hidden="1"/>
    <row r="1047086" hidden="1"/>
    <row r="1047087" hidden="1"/>
    <row r="1047088" hidden="1"/>
    <row r="1047089" hidden="1"/>
    <row r="1047090" hidden="1"/>
    <row r="1047091" hidden="1"/>
    <row r="1047092" hidden="1"/>
    <row r="1047093" hidden="1"/>
    <row r="1047094" hidden="1"/>
    <row r="1047095" hidden="1"/>
    <row r="1047096" hidden="1"/>
    <row r="1047097" hidden="1"/>
    <row r="1047098" hidden="1"/>
    <row r="1047099" hidden="1"/>
    <row r="1047100" hidden="1"/>
    <row r="1047101" hidden="1"/>
    <row r="1047102" hidden="1"/>
    <row r="1047103" hidden="1"/>
    <row r="1047104" hidden="1"/>
    <row r="1047105" hidden="1"/>
    <row r="1047106" hidden="1"/>
    <row r="1047107" hidden="1"/>
    <row r="1047108" hidden="1"/>
    <row r="1047109" hidden="1"/>
    <row r="1047110" hidden="1"/>
    <row r="1047111" hidden="1"/>
    <row r="1047112" hidden="1"/>
    <row r="1047113" hidden="1"/>
    <row r="1047114" hidden="1"/>
    <row r="1047115" hidden="1"/>
    <row r="1047116" hidden="1"/>
    <row r="1047117" hidden="1"/>
    <row r="1047118" hidden="1"/>
    <row r="1047119" hidden="1"/>
    <row r="1047120" hidden="1"/>
    <row r="1047121" hidden="1"/>
    <row r="1047122" hidden="1"/>
    <row r="1047123" hidden="1"/>
    <row r="1047124" hidden="1"/>
    <row r="1047125" hidden="1"/>
    <row r="1047126" hidden="1"/>
    <row r="1047127" hidden="1"/>
    <row r="1047128" hidden="1"/>
    <row r="1047129" hidden="1"/>
    <row r="1047130" hidden="1"/>
    <row r="1047131" hidden="1"/>
    <row r="1047132" hidden="1"/>
    <row r="1047133" hidden="1"/>
    <row r="1047134" hidden="1"/>
    <row r="1047135" hidden="1"/>
    <row r="1047136" hidden="1"/>
    <row r="1047137" hidden="1"/>
    <row r="1047138" hidden="1"/>
    <row r="1047139" hidden="1"/>
    <row r="1047140" hidden="1"/>
    <row r="1047141" hidden="1"/>
    <row r="1047142" hidden="1"/>
    <row r="1047143" hidden="1"/>
    <row r="1047144" hidden="1"/>
    <row r="1047145" hidden="1"/>
    <row r="1047146" hidden="1"/>
    <row r="1047147" hidden="1"/>
    <row r="1047148" hidden="1"/>
    <row r="1047149" hidden="1"/>
    <row r="1047150" hidden="1"/>
    <row r="1047151" hidden="1"/>
    <row r="1047152" hidden="1"/>
    <row r="1047153" hidden="1"/>
    <row r="1047154" hidden="1"/>
    <row r="1047155" hidden="1"/>
    <row r="1047156" hidden="1"/>
    <row r="1047157" hidden="1"/>
    <row r="1047158" hidden="1"/>
    <row r="1047159" hidden="1"/>
    <row r="1047160" hidden="1"/>
    <row r="1047161" hidden="1"/>
    <row r="1047162" hidden="1"/>
    <row r="1047163" hidden="1"/>
    <row r="1047164" hidden="1"/>
    <row r="1047165" hidden="1"/>
    <row r="1047166" hidden="1"/>
    <row r="1047167" hidden="1"/>
    <row r="1047168" hidden="1"/>
    <row r="1047169" hidden="1"/>
    <row r="1047170" hidden="1"/>
    <row r="1047171" hidden="1"/>
    <row r="1047172" hidden="1"/>
    <row r="1047173" hidden="1"/>
    <row r="1047174" hidden="1"/>
    <row r="1047175" hidden="1"/>
    <row r="1047176" hidden="1"/>
    <row r="1047177" hidden="1"/>
    <row r="1047178" hidden="1"/>
    <row r="1047179" hidden="1"/>
    <row r="1047180" hidden="1"/>
    <row r="1047181" hidden="1"/>
    <row r="1047182" hidden="1"/>
    <row r="1047183" hidden="1"/>
    <row r="1047184" hidden="1"/>
    <row r="1047185" hidden="1"/>
    <row r="1047186" hidden="1"/>
    <row r="1047187" hidden="1"/>
    <row r="1047188" hidden="1"/>
    <row r="1047189" hidden="1"/>
    <row r="1047190" hidden="1"/>
    <row r="1047191" hidden="1"/>
    <row r="1047192" hidden="1"/>
    <row r="1047193" hidden="1"/>
    <row r="1047194" hidden="1"/>
    <row r="1047195" hidden="1"/>
    <row r="1047196" hidden="1"/>
    <row r="1047197" hidden="1"/>
    <row r="1047198" hidden="1"/>
    <row r="1047199" hidden="1"/>
    <row r="1047200" hidden="1"/>
    <row r="1047201" hidden="1"/>
    <row r="1047202" hidden="1"/>
    <row r="1047203" hidden="1"/>
    <row r="1047204" hidden="1"/>
    <row r="1047205" hidden="1"/>
    <row r="1047206" hidden="1"/>
    <row r="1047207" hidden="1"/>
    <row r="1047208" hidden="1"/>
    <row r="1047209" hidden="1"/>
    <row r="1047210" hidden="1"/>
    <row r="1047211" hidden="1"/>
    <row r="1047212" hidden="1"/>
    <row r="1047213" hidden="1"/>
    <row r="1047214" hidden="1"/>
    <row r="1047215" hidden="1"/>
    <row r="1047216" hidden="1"/>
    <row r="1047217" hidden="1"/>
    <row r="1047218" hidden="1"/>
    <row r="1047219" hidden="1"/>
    <row r="1047220" hidden="1"/>
    <row r="1047221" hidden="1"/>
    <row r="1047222" hidden="1"/>
    <row r="1047223" hidden="1"/>
    <row r="1047224" hidden="1"/>
    <row r="1047225" hidden="1"/>
    <row r="1047226" hidden="1"/>
    <row r="1047227" hidden="1"/>
    <row r="1047228" hidden="1"/>
    <row r="1047229" hidden="1"/>
    <row r="1047230" hidden="1"/>
    <row r="1047231" hidden="1"/>
    <row r="1047232" hidden="1"/>
    <row r="1047233" hidden="1"/>
    <row r="1047234" hidden="1"/>
    <row r="1047235" hidden="1"/>
    <row r="1047236" hidden="1"/>
    <row r="1047237" hidden="1"/>
    <row r="1047238" hidden="1"/>
    <row r="1047239" hidden="1"/>
    <row r="1047240" hidden="1"/>
    <row r="1047241" hidden="1"/>
    <row r="1047242" hidden="1"/>
    <row r="1047243" hidden="1"/>
    <row r="1047244" hidden="1"/>
    <row r="1047245" hidden="1"/>
    <row r="1047246" hidden="1"/>
    <row r="1047247" hidden="1"/>
    <row r="1047248" hidden="1"/>
    <row r="1047249" hidden="1"/>
    <row r="1047250" hidden="1"/>
    <row r="1047251" hidden="1"/>
    <row r="1047252" hidden="1"/>
    <row r="1047253" hidden="1"/>
    <row r="1047254" hidden="1"/>
    <row r="1047255" hidden="1"/>
    <row r="1047256" hidden="1"/>
    <row r="1047257" hidden="1"/>
    <row r="1047258" hidden="1"/>
    <row r="1047259" hidden="1"/>
    <row r="1047260" hidden="1"/>
    <row r="1047261" hidden="1"/>
    <row r="1047262" hidden="1"/>
    <row r="1047263" hidden="1"/>
    <row r="1047264" hidden="1"/>
    <row r="1047265" hidden="1"/>
    <row r="1047266" hidden="1"/>
    <row r="1047267" hidden="1"/>
    <row r="1047268" hidden="1"/>
    <row r="1047269" hidden="1"/>
    <row r="1047270" hidden="1"/>
    <row r="1047271" hidden="1"/>
    <row r="1047272" hidden="1"/>
    <row r="1047273" hidden="1"/>
    <row r="1047274" hidden="1"/>
    <row r="1047275" hidden="1"/>
    <row r="1047276" hidden="1"/>
    <row r="1047277" hidden="1"/>
    <row r="1047278" hidden="1"/>
    <row r="1047279" hidden="1"/>
    <row r="1047280" hidden="1"/>
    <row r="1047281" hidden="1"/>
    <row r="1047282" hidden="1"/>
    <row r="1047283" hidden="1"/>
    <row r="1047284" hidden="1"/>
    <row r="1047285" hidden="1"/>
    <row r="1047286" hidden="1"/>
    <row r="1047287" hidden="1"/>
    <row r="1047288" hidden="1"/>
    <row r="1047289" hidden="1"/>
    <row r="1047290" hidden="1"/>
    <row r="1047291" hidden="1"/>
    <row r="1047292" hidden="1"/>
    <row r="1047293" hidden="1"/>
    <row r="1047294" hidden="1"/>
    <row r="1047295" hidden="1"/>
    <row r="1047296" hidden="1"/>
    <row r="1047297" hidden="1"/>
    <row r="1047298" hidden="1"/>
    <row r="1047299" hidden="1"/>
    <row r="1047300" hidden="1"/>
    <row r="1047301" hidden="1"/>
    <row r="1047302" hidden="1"/>
    <row r="1047303" hidden="1"/>
    <row r="1047304" hidden="1"/>
    <row r="1047305" hidden="1"/>
    <row r="1047306" hidden="1"/>
    <row r="1047307" hidden="1"/>
    <row r="1047308" hidden="1"/>
    <row r="1047309" hidden="1"/>
    <row r="1047310" hidden="1"/>
    <row r="1047311" hidden="1"/>
    <row r="1047312" hidden="1"/>
    <row r="1047313" hidden="1"/>
    <row r="1047314" hidden="1"/>
    <row r="1047315" hidden="1"/>
    <row r="1047316" hidden="1"/>
    <row r="1047317" hidden="1"/>
    <row r="1047318" hidden="1"/>
    <row r="1047319" hidden="1"/>
    <row r="1047320" hidden="1"/>
    <row r="1047321" hidden="1"/>
    <row r="1047322" hidden="1"/>
    <row r="1047323" hidden="1"/>
    <row r="1047324" hidden="1"/>
    <row r="1047325" hidden="1"/>
    <row r="1047326" hidden="1"/>
    <row r="1047327" hidden="1"/>
    <row r="1047328" hidden="1"/>
    <row r="1047329" hidden="1"/>
    <row r="1047330" hidden="1"/>
    <row r="1047331" hidden="1"/>
    <row r="1047332" hidden="1"/>
    <row r="1047333" hidden="1"/>
    <row r="1047334" hidden="1"/>
    <row r="1047335" hidden="1"/>
    <row r="1047336" hidden="1"/>
    <row r="1047337" hidden="1"/>
    <row r="1047338" hidden="1"/>
    <row r="1047339" hidden="1"/>
    <row r="1047340" hidden="1"/>
    <row r="1047341" hidden="1"/>
    <row r="1047342" hidden="1"/>
    <row r="1047343" hidden="1"/>
    <row r="1047344" hidden="1"/>
    <row r="1047345" hidden="1"/>
    <row r="1047346" hidden="1"/>
    <row r="1047347" hidden="1"/>
    <row r="1047348" hidden="1"/>
    <row r="1047349" hidden="1"/>
    <row r="1047350" hidden="1"/>
    <row r="1047351" hidden="1"/>
    <row r="1047352" hidden="1"/>
    <row r="1047353" hidden="1"/>
    <row r="1047354" hidden="1"/>
    <row r="1047355" hidden="1"/>
    <row r="1047356" hidden="1"/>
    <row r="1047357" hidden="1"/>
    <row r="1047358" hidden="1"/>
    <row r="1047359" hidden="1"/>
    <row r="1047360" hidden="1"/>
    <row r="1047361" hidden="1"/>
    <row r="1047362" hidden="1"/>
    <row r="1047363" hidden="1"/>
    <row r="1047364" hidden="1"/>
    <row r="1047365" hidden="1"/>
    <row r="1047366" hidden="1"/>
    <row r="1047367" hidden="1"/>
    <row r="1047368" hidden="1"/>
    <row r="1047369" hidden="1"/>
    <row r="1047370" hidden="1"/>
    <row r="1047371" hidden="1"/>
    <row r="1047372" hidden="1"/>
    <row r="1047373" hidden="1"/>
    <row r="1047374" hidden="1"/>
    <row r="1047375" hidden="1"/>
    <row r="1047376" hidden="1"/>
    <row r="1047377" hidden="1"/>
    <row r="1047378" hidden="1"/>
    <row r="1047379" hidden="1"/>
    <row r="1047380" hidden="1"/>
    <row r="1047381" hidden="1"/>
    <row r="1047382" hidden="1"/>
    <row r="1047383" hidden="1"/>
    <row r="1047384" hidden="1"/>
    <row r="1047385" hidden="1"/>
    <row r="1047386" hidden="1"/>
    <row r="1047387" hidden="1"/>
    <row r="1047388" hidden="1"/>
    <row r="1047389" hidden="1"/>
    <row r="1047390" hidden="1"/>
    <row r="1047391" hidden="1"/>
    <row r="1047392" hidden="1"/>
    <row r="1047393" hidden="1"/>
    <row r="1047394" hidden="1"/>
    <row r="1047395" hidden="1"/>
    <row r="1047396" hidden="1"/>
    <row r="1047397" hidden="1"/>
    <row r="1047398" hidden="1"/>
    <row r="1047399" hidden="1"/>
    <row r="1047400" hidden="1"/>
    <row r="1047401" hidden="1"/>
    <row r="1047402" hidden="1"/>
    <row r="1047403" hidden="1"/>
    <row r="1047404" hidden="1"/>
    <row r="1047405" hidden="1"/>
    <row r="1047406" hidden="1"/>
    <row r="1047407" hidden="1"/>
    <row r="1047408" hidden="1"/>
    <row r="1047409" hidden="1"/>
    <row r="1047410" hidden="1"/>
    <row r="1047411" hidden="1"/>
    <row r="1047412" hidden="1"/>
    <row r="1047413" hidden="1"/>
    <row r="1047414" hidden="1"/>
    <row r="1047415" hidden="1"/>
    <row r="1047416" hidden="1"/>
    <row r="1047417" hidden="1"/>
    <row r="1047418" hidden="1"/>
    <row r="1047419" hidden="1"/>
    <row r="1047420" hidden="1"/>
    <row r="1047421" hidden="1"/>
    <row r="1047422" hidden="1"/>
    <row r="1047423" hidden="1"/>
    <row r="1047424" hidden="1"/>
    <row r="1047425" hidden="1"/>
    <row r="1047426" hidden="1"/>
    <row r="1047427" hidden="1"/>
    <row r="1047428" hidden="1"/>
    <row r="1047429" hidden="1"/>
    <row r="1047430" hidden="1"/>
    <row r="1047431" hidden="1"/>
    <row r="1047432" hidden="1"/>
    <row r="1047433" hidden="1"/>
    <row r="1047434" hidden="1"/>
    <row r="1047435" hidden="1"/>
    <row r="1047436" hidden="1"/>
    <row r="1047437" hidden="1"/>
    <row r="1047438" hidden="1"/>
    <row r="1047439" hidden="1"/>
    <row r="1047440" hidden="1"/>
    <row r="1047441" hidden="1"/>
    <row r="1047442" hidden="1"/>
    <row r="1047443" hidden="1"/>
    <row r="1047444" hidden="1"/>
    <row r="1047445" hidden="1"/>
    <row r="1047446" hidden="1"/>
    <row r="1047447" hidden="1"/>
    <row r="1047448" hidden="1"/>
    <row r="1047449" hidden="1"/>
    <row r="1047450" hidden="1"/>
    <row r="1047451" hidden="1"/>
    <row r="1047452" hidden="1"/>
    <row r="1047453" hidden="1"/>
    <row r="1047454" hidden="1"/>
    <row r="1047455" hidden="1"/>
    <row r="1047456" hidden="1"/>
    <row r="1047457" hidden="1"/>
    <row r="1047458" hidden="1"/>
    <row r="1047459" hidden="1"/>
    <row r="1047460" hidden="1"/>
    <row r="1047461" hidden="1"/>
    <row r="1047462" hidden="1"/>
    <row r="1047463" hidden="1"/>
    <row r="1047464" hidden="1"/>
    <row r="1047465" hidden="1"/>
    <row r="1047466" hidden="1"/>
    <row r="1047467" hidden="1"/>
    <row r="1047468" hidden="1"/>
    <row r="1047469" hidden="1"/>
    <row r="1047470" hidden="1"/>
    <row r="1047471" hidden="1"/>
    <row r="1047472" hidden="1"/>
    <row r="1047473" hidden="1"/>
    <row r="1047474" hidden="1"/>
    <row r="1047475" hidden="1"/>
    <row r="1047476" hidden="1"/>
    <row r="1047477" hidden="1"/>
    <row r="1047478" hidden="1"/>
    <row r="1047479" hidden="1"/>
    <row r="1047480" hidden="1"/>
    <row r="1047481" hidden="1"/>
    <row r="1047482" hidden="1"/>
    <row r="1047483" hidden="1"/>
    <row r="1047484" hidden="1"/>
    <row r="1047485" hidden="1"/>
    <row r="1047486" hidden="1"/>
    <row r="1047487" hidden="1"/>
    <row r="1047488" hidden="1"/>
    <row r="1047489" hidden="1"/>
    <row r="1047490" hidden="1"/>
    <row r="1047491" hidden="1"/>
    <row r="1047492" hidden="1"/>
    <row r="1047493" hidden="1"/>
    <row r="1047494" hidden="1"/>
    <row r="1047495" hidden="1"/>
    <row r="1047496" hidden="1"/>
    <row r="1047497" hidden="1"/>
    <row r="1047498" hidden="1"/>
    <row r="1047499" hidden="1"/>
    <row r="1047500" hidden="1"/>
    <row r="1047501" hidden="1"/>
    <row r="1047502" hidden="1"/>
    <row r="1047503" hidden="1"/>
    <row r="1047504" hidden="1"/>
    <row r="1047505" hidden="1"/>
    <row r="1047506" hidden="1"/>
    <row r="1047507" hidden="1"/>
    <row r="1047508" hidden="1"/>
    <row r="1047509" hidden="1"/>
    <row r="1047510" hidden="1"/>
    <row r="1047511" hidden="1"/>
    <row r="1047512" hidden="1"/>
    <row r="1047513" hidden="1"/>
    <row r="1047514" hidden="1"/>
    <row r="1047515" hidden="1"/>
    <row r="1047516" hidden="1"/>
    <row r="1047517" hidden="1"/>
    <row r="1047518" hidden="1"/>
    <row r="1047519" hidden="1"/>
    <row r="1047520" hidden="1"/>
    <row r="1047521" hidden="1"/>
    <row r="1047522" hidden="1"/>
    <row r="1047523" hidden="1"/>
    <row r="1047524" hidden="1"/>
    <row r="1047525" hidden="1"/>
    <row r="1047526" hidden="1"/>
    <row r="1047527" hidden="1"/>
    <row r="1047528" hidden="1"/>
    <row r="1047529" hidden="1"/>
    <row r="1047530" hidden="1"/>
    <row r="1047531" hidden="1"/>
    <row r="1047532" hidden="1"/>
    <row r="1047533" hidden="1"/>
    <row r="1047534" hidden="1"/>
    <row r="1047535" hidden="1"/>
    <row r="1047536" hidden="1"/>
    <row r="1047537" hidden="1"/>
    <row r="1047538" hidden="1"/>
    <row r="1047539" hidden="1"/>
    <row r="1047540" hidden="1"/>
    <row r="1047541" hidden="1"/>
    <row r="1047542" hidden="1"/>
    <row r="1047543" hidden="1"/>
    <row r="1047544" hidden="1"/>
    <row r="1047545" hidden="1"/>
    <row r="1047546" hidden="1"/>
    <row r="1047547" hidden="1"/>
    <row r="1047548" hidden="1"/>
    <row r="1047549" hidden="1"/>
    <row r="1047550" hidden="1"/>
    <row r="1047551" hidden="1"/>
    <row r="1047552" hidden="1"/>
    <row r="1047553" hidden="1"/>
    <row r="1047554" hidden="1"/>
    <row r="1047555" hidden="1"/>
    <row r="1047556" hidden="1"/>
    <row r="1047557" hidden="1"/>
    <row r="1047558" hidden="1"/>
    <row r="1047559" hidden="1"/>
    <row r="1047560" hidden="1"/>
    <row r="1047561" hidden="1"/>
    <row r="1047562" hidden="1"/>
    <row r="1047563" hidden="1"/>
    <row r="1047564" hidden="1"/>
    <row r="1047565" hidden="1"/>
    <row r="1047566" hidden="1"/>
    <row r="1047567" hidden="1"/>
    <row r="1047568" hidden="1"/>
    <row r="1047569" hidden="1"/>
    <row r="1047570" hidden="1"/>
    <row r="1047571" hidden="1"/>
    <row r="1047572" hidden="1"/>
    <row r="1047573" hidden="1"/>
    <row r="1047574" hidden="1"/>
    <row r="1047575" hidden="1"/>
    <row r="1047576" hidden="1"/>
    <row r="1047577" hidden="1"/>
    <row r="1047578" hidden="1"/>
    <row r="1047579" hidden="1"/>
    <row r="1047580" hidden="1"/>
    <row r="1047581" hidden="1"/>
    <row r="1047582" hidden="1"/>
    <row r="1047583" hidden="1"/>
    <row r="1047584" hidden="1"/>
    <row r="1047585" hidden="1"/>
    <row r="1047586" hidden="1"/>
    <row r="1047587" hidden="1"/>
    <row r="1047588" hidden="1"/>
    <row r="1047589" hidden="1"/>
    <row r="1047590" hidden="1"/>
    <row r="1047591" hidden="1"/>
    <row r="1047592" hidden="1"/>
    <row r="1047593" hidden="1"/>
    <row r="1047594" hidden="1"/>
    <row r="1047595" hidden="1"/>
    <row r="1047596" hidden="1"/>
    <row r="1047597" hidden="1"/>
    <row r="1047598" hidden="1"/>
    <row r="1047599" hidden="1"/>
    <row r="1047600" hidden="1"/>
    <row r="1047601" hidden="1"/>
    <row r="1047602" hidden="1"/>
    <row r="1047603" hidden="1"/>
    <row r="1047604" hidden="1"/>
    <row r="1047605" hidden="1"/>
    <row r="1047606" hidden="1"/>
    <row r="1047607" hidden="1"/>
    <row r="1047608" hidden="1"/>
    <row r="1047609" hidden="1"/>
    <row r="1047610" hidden="1"/>
    <row r="1047611" hidden="1"/>
    <row r="1047612" hidden="1"/>
    <row r="1047613" hidden="1"/>
    <row r="1047614" hidden="1"/>
    <row r="1047615" hidden="1"/>
    <row r="1047616" hidden="1"/>
    <row r="1047617" hidden="1"/>
    <row r="1047618" hidden="1"/>
    <row r="1047619" hidden="1"/>
    <row r="1047620" hidden="1"/>
    <row r="1047621" hidden="1"/>
    <row r="1047622" hidden="1"/>
    <row r="1047623" hidden="1"/>
    <row r="1047624" hidden="1"/>
    <row r="1047625" hidden="1"/>
    <row r="1047626" hidden="1"/>
    <row r="1047627" hidden="1"/>
    <row r="1047628" hidden="1"/>
    <row r="1047629" hidden="1"/>
    <row r="1047630" hidden="1"/>
    <row r="1047631" hidden="1"/>
    <row r="1047632" hidden="1"/>
    <row r="1047633" hidden="1"/>
    <row r="1047634" hidden="1"/>
    <row r="1047635" hidden="1"/>
    <row r="1047636" hidden="1"/>
    <row r="1047637" hidden="1"/>
    <row r="1047638" hidden="1"/>
    <row r="1047639" hidden="1"/>
    <row r="1047640" hidden="1"/>
    <row r="1047641" hidden="1"/>
    <row r="1047642" hidden="1"/>
    <row r="1047643" hidden="1"/>
    <row r="1047644" hidden="1"/>
    <row r="1047645" hidden="1"/>
    <row r="1047646" hidden="1"/>
    <row r="1047647" hidden="1"/>
    <row r="1047648" hidden="1"/>
    <row r="1047649" hidden="1"/>
    <row r="1047650" hidden="1"/>
    <row r="1047651" hidden="1"/>
    <row r="1047652" hidden="1"/>
    <row r="1047653" hidden="1"/>
    <row r="1047654" hidden="1"/>
    <row r="1047655" hidden="1"/>
    <row r="1047656" hidden="1"/>
    <row r="1047657" hidden="1"/>
    <row r="1047658" hidden="1"/>
    <row r="1047659" hidden="1"/>
    <row r="1047660" hidden="1"/>
    <row r="1047661" hidden="1"/>
    <row r="1047662" hidden="1"/>
    <row r="1047663" hidden="1"/>
    <row r="1047664" hidden="1"/>
    <row r="1047665" hidden="1"/>
    <row r="1047666" hidden="1"/>
    <row r="1047667" hidden="1"/>
    <row r="1047668" hidden="1"/>
    <row r="1047669" hidden="1"/>
    <row r="1047670" hidden="1"/>
    <row r="1047671" hidden="1"/>
    <row r="1047672" hidden="1"/>
    <row r="1047673" hidden="1"/>
    <row r="1047674" hidden="1"/>
    <row r="1047675" hidden="1"/>
    <row r="1047676" hidden="1"/>
    <row r="1047677" hidden="1"/>
    <row r="1047678" hidden="1"/>
    <row r="1047679" hidden="1"/>
    <row r="1047680" hidden="1"/>
    <row r="1047681" hidden="1"/>
    <row r="1047682" hidden="1"/>
    <row r="1047683" hidden="1"/>
    <row r="1047684" hidden="1"/>
    <row r="1047685" hidden="1"/>
    <row r="1047686" hidden="1"/>
    <row r="1047687" hidden="1"/>
    <row r="1047688" hidden="1"/>
    <row r="1047689" hidden="1"/>
    <row r="1047690" hidden="1"/>
    <row r="1047691" hidden="1"/>
    <row r="1047692" hidden="1"/>
    <row r="1047693" hidden="1"/>
    <row r="1047694" hidden="1"/>
    <row r="1047695" hidden="1"/>
    <row r="1047696" hidden="1"/>
    <row r="1047697" hidden="1"/>
    <row r="1047698" hidden="1"/>
    <row r="1047699" hidden="1"/>
    <row r="1047700" hidden="1"/>
    <row r="1047701" hidden="1"/>
    <row r="1047702" hidden="1"/>
    <row r="1047703" hidden="1"/>
    <row r="1047704" hidden="1"/>
    <row r="1047705" hidden="1"/>
    <row r="1047706" hidden="1"/>
    <row r="1047707" hidden="1"/>
    <row r="1047708" hidden="1"/>
    <row r="1047709" hidden="1"/>
    <row r="1047710" hidden="1"/>
    <row r="1047711" hidden="1"/>
    <row r="1047712" hidden="1"/>
    <row r="1047713" hidden="1"/>
    <row r="1047714" hidden="1"/>
    <row r="1047715" hidden="1"/>
    <row r="1047716" hidden="1"/>
    <row r="1047717" hidden="1"/>
    <row r="1047718" hidden="1"/>
    <row r="1047719" hidden="1"/>
    <row r="1047720" hidden="1"/>
    <row r="1047721" hidden="1"/>
    <row r="1047722" hidden="1"/>
    <row r="1047723" hidden="1"/>
    <row r="1047724" hidden="1"/>
    <row r="1047725" hidden="1"/>
    <row r="1047726" hidden="1"/>
    <row r="1047727" hidden="1"/>
    <row r="1047728" hidden="1"/>
    <row r="1047729" hidden="1"/>
    <row r="1047730" hidden="1"/>
    <row r="1047731" hidden="1"/>
    <row r="1047732" hidden="1"/>
    <row r="1047733" hidden="1"/>
    <row r="1047734" hidden="1"/>
    <row r="1047735" hidden="1"/>
    <row r="1047736" hidden="1"/>
    <row r="1047737" hidden="1"/>
    <row r="1047738" hidden="1"/>
    <row r="1047739" hidden="1"/>
    <row r="1047740" hidden="1"/>
    <row r="1047741" hidden="1"/>
    <row r="1047742" hidden="1"/>
    <row r="1047743" hidden="1"/>
    <row r="1047744" hidden="1"/>
    <row r="1047745" hidden="1"/>
    <row r="1047746" hidden="1"/>
    <row r="1047747" hidden="1"/>
    <row r="1047748" hidden="1"/>
    <row r="1047749" hidden="1"/>
    <row r="1047750" hidden="1"/>
    <row r="1047751" hidden="1"/>
    <row r="1047752" hidden="1"/>
    <row r="1047753" hidden="1"/>
    <row r="1047754" hidden="1"/>
    <row r="1047755" hidden="1"/>
    <row r="1047756" hidden="1"/>
    <row r="1047757" hidden="1"/>
    <row r="1047758" hidden="1"/>
    <row r="1047759" hidden="1"/>
    <row r="1047760" hidden="1"/>
    <row r="1047761" hidden="1"/>
    <row r="1047762" hidden="1"/>
    <row r="1047763" hidden="1"/>
    <row r="1047764" hidden="1"/>
    <row r="1047765" hidden="1"/>
    <row r="1047766" hidden="1"/>
    <row r="1047767" hidden="1"/>
    <row r="1047768" hidden="1"/>
    <row r="1047769" hidden="1"/>
    <row r="1047770" hidden="1"/>
    <row r="1047771" hidden="1"/>
    <row r="1047772" hidden="1"/>
    <row r="1047773" hidden="1"/>
    <row r="1047774" hidden="1"/>
    <row r="1047775" hidden="1"/>
    <row r="1047776" hidden="1"/>
    <row r="1047777" hidden="1"/>
    <row r="1047778" hidden="1"/>
    <row r="1047779" hidden="1"/>
    <row r="1047780" hidden="1"/>
    <row r="1047781" hidden="1"/>
    <row r="1047782" hidden="1"/>
    <row r="1047783" hidden="1"/>
    <row r="1047784" hidden="1"/>
    <row r="1047785" hidden="1"/>
    <row r="1047786" hidden="1"/>
    <row r="1047787" hidden="1"/>
    <row r="1047788" hidden="1"/>
    <row r="1047789" hidden="1"/>
    <row r="1047790" hidden="1"/>
    <row r="1047791" hidden="1"/>
    <row r="1047792" hidden="1"/>
    <row r="1047793" hidden="1"/>
    <row r="1047794" hidden="1"/>
    <row r="1047795" hidden="1"/>
    <row r="1047796" hidden="1"/>
    <row r="1047797" hidden="1"/>
    <row r="1047798" hidden="1"/>
    <row r="1047799" hidden="1"/>
    <row r="1047800" hidden="1"/>
    <row r="1047801" hidden="1"/>
    <row r="1047802" hidden="1"/>
    <row r="1047803" hidden="1"/>
    <row r="1047804" hidden="1"/>
    <row r="1047805" hidden="1"/>
    <row r="1047806" hidden="1"/>
    <row r="1047807" hidden="1"/>
    <row r="1047808" hidden="1"/>
    <row r="1047809" hidden="1"/>
    <row r="1047810" hidden="1"/>
    <row r="1047811" hidden="1"/>
    <row r="1047812" hidden="1"/>
    <row r="1047813" hidden="1"/>
    <row r="1047814" hidden="1"/>
    <row r="1047815" hidden="1"/>
    <row r="1047816" hidden="1"/>
    <row r="1047817" hidden="1"/>
    <row r="1047818" hidden="1"/>
    <row r="1047819" hidden="1"/>
    <row r="1047820" hidden="1"/>
    <row r="1047821" hidden="1"/>
    <row r="1047822" hidden="1"/>
    <row r="1047823" hidden="1"/>
    <row r="1047824" hidden="1"/>
    <row r="1047825" hidden="1"/>
    <row r="1047826" hidden="1"/>
    <row r="1047827" hidden="1"/>
    <row r="1047828" hidden="1"/>
    <row r="1047829" hidden="1"/>
    <row r="1047830" hidden="1"/>
    <row r="1047831" hidden="1"/>
    <row r="1047832" hidden="1"/>
    <row r="1047833" hidden="1"/>
    <row r="1047834" hidden="1"/>
    <row r="1047835" hidden="1"/>
    <row r="1047836" hidden="1"/>
    <row r="1047837" hidden="1"/>
    <row r="1047838" hidden="1"/>
    <row r="1047839" hidden="1"/>
    <row r="1047840" hidden="1"/>
    <row r="1047841" hidden="1"/>
    <row r="1047842" hidden="1"/>
    <row r="1047843" hidden="1"/>
    <row r="1047844" hidden="1"/>
    <row r="1047845" hidden="1"/>
    <row r="1047846" hidden="1"/>
    <row r="1047847" hidden="1"/>
    <row r="1047848" hidden="1"/>
    <row r="1047849" hidden="1"/>
    <row r="1047850" hidden="1"/>
    <row r="1047851" hidden="1"/>
    <row r="1047852" hidden="1"/>
    <row r="1047853" hidden="1"/>
    <row r="1047854" hidden="1"/>
    <row r="1047855" hidden="1"/>
    <row r="1047856" hidden="1"/>
    <row r="1047857" hidden="1"/>
    <row r="1047858" hidden="1"/>
    <row r="1047859" hidden="1"/>
    <row r="1047860" hidden="1"/>
    <row r="1047861" hidden="1"/>
    <row r="1047862" hidden="1"/>
    <row r="1047863" hidden="1"/>
    <row r="1047864" hidden="1"/>
    <row r="1047865" hidden="1"/>
    <row r="1047866" hidden="1"/>
    <row r="1047867" hidden="1"/>
    <row r="1047868" hidden="1"/>
    <row r="1047869" hidden="1"/>
    <row r="1047870" hidden="1"/>
    <row r="1047871" hidden="1"/>
    <row r="1047872" hidden="1"/>
    <row r="1047873" hidden="1"/>
    <row r="1047874" hidden="1"/>
    <row r="1047875" hidden="1"/>
    <row r="1047876" hidden="1"/>
    <row r="1047877" hidden="1"/>
    <row r="1047878" hidden="1"/>
    <row r="1047879" hidden="1"/>
    <row r="1047880" hidden="1"/>
    <row r="1047881" hidden="1"/>
    <row r="1047882" hidden="1"/>
    <row r="1047883" hidden="1"/>
    <row r="1047884" hidden="1"/>
    <row r="1047885" hidden="1"/>
    <row r="1047886" hidden="1"/>
    <row r="1047887" hidden="1"/>
    <row r="1047888" hidden="1"/>
    <row r="1047889" hidden="1"/>
    <row r="1047890" hidden="1"/>
    <row r="1047891" hidden="1"/>
    <row r="1047892" hidden="1"/>
    <row r="1047893" hidden="1"/>
    <row r="1047894" hidden="1"/>
    <row r="1047895" hidden="1"/>
    <row r="1047896" hidden="1"/>
    <row r="1047897" hidden="1"/>
    <row r="1047898" hidden="1"/>
    <row r="1047899" hidden="1"/>
    <row r="1047900" hidden="1"/>
    <row r="1047901" hidden="1"/>
    <row r="1047902" hidden="1"/>
    <row r="1047903" hidden="1"/>
    <row r="1047904" hidden="1"/>
    <row r="1047905" hidden="1"/>
    <row r="1047906" hidden="1"/>
    <row r="1047907" hidden="1"/>
    <row r="1047908" hidden="1"/>
    <row r="1047909" hidden="1"/>
    <row r="1047910" hidden="1"/>
    <row r="1047911" hidden="1"/>
    <row r="1047912" hidden="1"/>
    <row r="1047913" hidden="1"/>
    <row r="1047914" hidden="1"/>
    <row r="1047915" hidden="1"/>
    <row r="1047916" hidden="1"/>
    <row r="1047917" hidden="1"/>
    <row r="1047918" hidden="1"/>
    <row r="1047919" hidden="1"/>
    <row r="1047920" hidden="1"/>
    <row r="1047921" hidden="1"/>
    <row r="1047922" hidden="1"/>
    <row r="1047923" hidden="1"/>
    <row r="1047924" hidden="1"/>
    <row r="1047925" hidden="1"/>
    <row r="1047926" hidden="1"/>
    <row r="1047927" hidden="1"/>
    <row r="1047928" hidden="1"/>
    <row r="1047929" hidden="1"/>
    <row r="1047930" hidden="1"/>
    <row r="1047931" hidden="1"/>
    <row r="1047932" hidden="1"/>
    <row r="1047933" hidden="1"/>
    <row r="1047934" hidden="1"/>
    <row r="1047935" hidden="1"/>
    <row r="1047936" hidden="1"/>
    <row r="1047937" hidden="1"/>
    <row r="1047938" hidden="1"/>
    <row r="1047939" hidden="1"/>
    <row r="1047940" hidden="1"/>
    <row r="1047941" hidden="1"/>
    <row r="1047942" hidden="1"/>
    <row r="1047943" hidden="1"/>
    <row r="1047944" hidden="1"/>
    <row r="1047945" hidden="1"/>
    <row r="1047946" hidden="1"/>
    <row r="1047947" hidden="1"/>
    <row r="1047948" hidden="1"/>
    <row r="1047949" hidden="1"/>
    <row r="1047950" hidden="1"/>
    <row r="1047951" hidden="1"/>
    <row r="1047952" hidden="1"/>
    <row r="1047953" hidden="1"/>
    <row r="1047954" hidden="1"/>
    <row r="1047955" hidden="1"/>
    <row r="1047956" hidden="1"/>
    <row r="1047957" hidden="1"/>
    <row r="1047958" hidden="1"/>
    <row r="1047959" hidden="1"/>
    <row r="1047960" hidden="1"/>
    <row r="1047961" hidden="1"/>
    <row r="1047962" hidden="1"/>
    <row r="1047963" hidden="1"/>
    <row r="1047964" hidden="1"/>
    <row r="1047965" hidden="1"/>
    <row r="1047966" hidden="1"/>
    <row r="1047967" hidden="1"/>
    <row r="1047968" hidden="1"/>
    <row r="1047969" hidden="1"/>
    <row r="1047970" hidden="1"/>
    <row r="1047971" hidden="1"/>
    <row r="1047972" hidden="1"/>
    <row r="1047973" hidden="1"/>
    <row r="1047974" hidden="1"/>
    <row r="1047975" hidden="1"/>
    <row r="1047976" hidden="1"/>
    <row r="1047977" hidden="1"/>
    <row r="1047978" hidden="1"/>
    <row r="1047979" hidden="1"/>
    <row r="1047980" hidden="1"/>
    <row r="1047981" hidden="1"/>
    <row r="1047982" hidden="1"/>
    <row r="1047983" hidden="1"/>
    <row r="1047984" hidden="1"/>
    <row r="1047985" hidden="1"/>
    <row r="1047986" hidden="1"/>
    <row r="1047987" hidden="1"/>
    <row r="1047988" hidden="1"/>
    <row r="1047989" hidden="1"/>
    <row r="1047990" hidden="1"/>
    <row r="1047991" hidden="1"/>
    <row r="1047992" hidden="1"/>
    <row r="1047993" hidden="1"/>
    <row r="1047994" hidden="1"/>
    <row r="1047995" hidden="1"/>
    <row r="1047996" hidden="1"/>
    <row r="1047997" hidden="1"/>
    <row r="1047998" hidden="1"/>
    <row r="1047999" hidden="1"/>
    <row r="1048000" hidden="1"/>
    <row r="1048001" hidden="1"/>
    <row r="1048002" hidden="1"/>
    <row r="1048003" hidden="1"/>
    <row r="1048004" hidden="1"/>
    <row r="1048005" hidden="1"/>
    <row r="1048006" hidden="1"/>
    <row r="1048007" hidden="1"/>
    <row r="1048008" hidden="1"/>
    <row r="1048009" hidden="1"/>
    <row r="1048010" hidden="1"/>
    <row r="1048011" hidden="1"/>
    <row r="1048012" hidden="1"/>
    <row r="1048013" hidden="1"/>
    <row r="1048014" hidden="1"/>
    <row r="1048015" hidden="1"/>
    <row r="1048016" hidden="1"/>
    <row r="1048017" hidden="1"/>
    <row r="1048018" hidden="1"/>
    <row r="1048019" hidden="1"/>
    <row r="1048020" hidden="1"/>
    <row r="1048021" hidden="1"/>
    <row r="1048022" hidden="1"/>
    <row r="1048023" hidden="1"/>
    <row r="1048024" hidden="1"/>
    <row r="1048025" hidden="1"/>
    <row r="1048026" hidden="1"/>
    <row r="1048027" hidden="1"/>
    <row r="1048028" hidden="1"/>
    <row r="1048029" hidden="1"/>
    <row r="1048030" hidden="1"/>
    <row r="1048031" hidden="1"/>
    <row r="1048032" hidden="1"/>
    <row r="1048033" hidden="1"/>
    <row r="1048034" hidden="1"/>
    <row r="1048035" hidden="1"/>
    <row r="1048036" hidden="1"/>
    <row r="1048037" hidden="1"/>
    <row r="1048038" hidden="1"/>
    <row r="1048039" hidden="1"/>
    <row r="1048040" hidden="1"/>
    <row r="1048041" hidden="1"/>
    <row r="1048042" hidden="1"/>
    <row r="1048043" hidden="1"/>
    <row r="1048044" hidden="1"/>
    <row r="1048045" hidden="1"/>
    <row r="1048046" hidden="1"/>
    <row r="1048047" hidden="1"/>
    <row r="1048048" hidden="1"/>
    <row r="1048049" hidden="1"/>
    <row r="1048050" hidden="1"/>
    <row r="1048051" hidden="1"/>
    <row r="1048052" hidden="1"/>
    <row r="1048053" hidden="1"/>
    <row r="1048054" hidden="1"/>
    <row r="1048055" hidden="1"/>
    <row r="1048056" hidden="1"/>
    <row r="1048057" hidden="1"/>
    <row r="1048058" hidden="1"/>
    <row r="1048059" hidden="1"/>
    <row r="1048060" hidden="1"/>
    <row r="1048061" hidden="1"/>
    <row r="1048062" hidden="1"/>
    <row r="1048063" hidden="1"/>
    <row r="1048064" hidden="1"/>
    <row r="1048065" hidden="1"/>
    <row r="1048066" hidden="1"/>
    <row r="1048067" hidden="1"/>
    <row r="1048068" hidden="1"/>
    <row r="1048069" hidden="1"/>
    <row r="1048070" hidden="1"/>
    <row r="1048071" hidden="1"/>
    <row r="1048072" hidden="1"/>
    <row r="1048073" hidden="1"/>
    <row r="1048074" hidden="1"/>
    <row r="1048075" hidden="1"/>
    <row r="1048076" hidden="1"/>
    <row r="1048077" hidden="1"/>
    <row r="1048078" hidden="1"/>
    <row r="1048079" hidden="1"/>
    <row r="1048080" hidden="1"/>
    <row r="1048081" hidden="1"/>
    <row r="1048082" hidden="1"/>
    <row r="1048083" hidden="1"/>
    <row r="1048084" hidden="1"/>
    <row r="1048085" hidden="1"/>
    <row r="1048086" hidden="1"/>
    <row r="1048087" hidden="1"/>
    <row r="1048088" hidden="1"/>
    <row r="1048089" hidden="1"/>
    <row r="1048090" hidden="1"/>
    <row r="1048091" hidden="1"/>
    <row r="1048092" hidden="1"/>
    <row r="1048093" hidden="1"/>
    <row r="1048094" hidden="1"/>
    <row r="1048095" hidden="1"/>
    <row r="1048096" hidden="1"/>
    <row r="1048097" hidden="1"/>
    <row r="1048098" hidden="1"/>
    <row r="1048099" hidden="1"/>
    <row r="1048100" hidden="1"/>
    <row r="1048101" hidden="1"/>
    <row r="1048102" hidden="1"/>
    <row r="1048103" hidden="1"/>
    <row r="1048104" hidden="1"/>
    <row r="1048105" hidden="1"/>
    <row r="1048106" hidden="1"/>
    <row r="1048107" hidden="1"/>
    <row r="1048108" hidden="1"/>
    <row r="1048109" hidden="1"/>
    <row r="1048110" hidden="1"/>
    <row r="1048111" hidden="1"/>
    <row r="1048112" hidden="1"/>
    <row r="1048113" hidden="1"/>
    <row r="1048114" hidden="1"/>
    <row r="1048115" hidden="1"/>
    <row r="1048116" hidden="1"/>
    <row r="1048117" hidden="1"/>
    <row r="1048118" hidden="1"/>
    <row r="1048119" hidden="1"/>
    <row r="1048120" hidden="1"/>
    <row r="1048121" hidden="1"/>
    <row r="1048122" hidden="1"/>
    <row r="1048123" hidden="1"/>
    <row r="1048124" hidden="1"/>
    <row r="1048125" hidden="1"/>
    <row r="1048126" hidden="1"/>
    <row r="1048127" hidden="1"/>
    <row r="1048128" hidden="1"/>
    <row r="1048129" hidden="1"/>
    <row r="1048130" hidden="1"/>
    <row r="1048131" hidden="1"/>
    <row r="1048132" hidden="1"/>
    <row r="1048133" hidden="1"/>
    <row r="1048134" hidden="1"/>
    <row r="1048135" hidden="1"/>
    <row r="1048136" hidden="1"/>
    <row r="1048137" hidden="1"/>
    <row r="1048138" hidden="1"/>
    <row r="1048139" hidden="1"/>
    <row r="1048140" hidden="1"/>
    <row r="1048141" hidden="1"/>
    <row r="1048142" hidden="1"/>
    <row r="1048143" hidden="1"/>
    <row r="1048144" hidden="1"/>
    <row r="1048145" hidden="1"/>
    <row r="1048146" hidden="1"/>
    <row r="1048147" hidden="1"/>
    <row r="1048148" hidden="1"/>
    <row r="1048149" hidden="1"/>
    <row r="1048150" hidden="1"/>
    <row r="1048151" hidden="1"/>
    <row r="1048152" hidden="1"/>
    <row r="1048153" hidden="1"/>
    <row r="1048154" hidden="1"/>
    <row r="1048155" hidden="1"/>
    <row r="1048156" hidden="1"/>
    <row r="1048157" hidden="1"/>
    <row r="1048158" hidden="1"/>
    <row r="1048159" hidden="1"/>
    <row r="1048160" hidden="1"/>
    <row r="1048161" hidden="1"/>
    <row r="1048162" hidden="1"/>
    <row r="1048163" hidden="1"/>
    <row r="1048164" hidden="1"/>
    <row r="1048165" hidden="1"/>
    <row r="1048166" hidden="1"/>
    <row r="1048167" hidden="1"/>
    <row r="1048168" hidden="1"/>
    <row r="1048169" hidden="1"/>
    <row r="1048170" hidden="1"/>
    <row r="1048171" hidden="1"/>
    <row r="1048172" hidden="1"/>
    <row r="1048173" hidden="1"/>
    <row r="1048174" hidden="1"/>
    <row r="1048175" hidden="1"/>
    <row r="1048176" hidden="1"/>
    <row r="1048177" hidden="1"/>
    <row r="1048178" hidden="1"/>
    <row r="1048179" hidden="1"/>
    <row r="1048180" hidden="1"/>
    <row r="1048181" hidden="1"/>
    <row r="1048182" hidden="1"/>
    <row r="1048183" hidden="1"/>
    <row r="1048184" hidden="1"/>
    <row r="1048185" hidden="1"/>
    <row r="1048186" hidden="1"/>
    <row r="1048187" hidden="1"/>
    <row r="1048188" hidden="1"/>
    <row r="1048189" hidden="1"/>
    <row r="1048190" hidden="1"/>
    <row r="1048191" hidden="1"/>
    <row r="1048192" hidden="1"/>
    <row r="1048193" hidden="1"/>
    <row r="1048194" hidden="1"/>
    <row r="1048195" hidden="1"/>
    <row r="1048196" hidden="1"/>
    <row r="1048197" hidden="1"/>
    <row r="1048198" hidden="1"/>
    <row r="1048199" hidden="1"/>
    <row r="1048200" hidden="1"/>
    <row r="1048201" hidden="1"/>
    <row r="1048202" hidden="1"/>
    <row r="1048203" hidden="1"/>
    <row r="1048204" hidden="1"/>
    <row r="1048205" hidden="1"/>
    <row r="1048206" hidden="1"/>
    <row r="1048207" hidden="1"/>
    <row r="1048208" hidden="1"/>
    <row r="1048209" hidden="1"/>
    <row r="1048210" hidden="1"/>
    <row r="1048211" hidden="1"/>
    <row r="1048212" hidden="1"/>
    <row r="1048213" hidden="1"/>
    <row r="1048214" hidden="1"/>
    <row r="1048215" hidden="1"/>
    <row r="1048216" hidden="1"/>
    <row r="1048217" hidden="1"/>
    <row r="1048218" hidden="1"/>
    <row r="1048219" hidden="1"/>
    <row r="1048220" hidden="1"/>
    <row r="1048221" hidden="1"/>
    <row r="1048222" hidden="1"/>
    <row r="1048223" hidden="1"/>
    <row r="1048224" hidden="1"/>
    <row r="1048225" hidden="1"/>
    <row r="1048226" hidden="1"/>
    <row r="1048227" hidden="1"/>
    <row r="1048228" hidden="1"/>
    <row r="1048229" hidden="1"/>
    <row r="1048230" hidden="1"/>
    <row r="1048231" hidden="1"/>
    <row r="1048232" hidden="1"/>
    <row r="1048233" hidden="1"/>
    <row r="1048234" hidden="1"/>
    <row r="1048235" hidden="1"/>
    <row r="1048236" hidden="1"/>
    <row r="1048237" hidden="1"/>
    <row r="1048238" hidden="1"/>
    <row r="1048239" hidden="1"/>
    <row r="1048240" hidden="1"/>
    <row r="1048241" hidden="1"/>
    <row r="1048242" hidden="1"/>
    <row r="1048243" hidden="1"/>
    <row r="1048244" hidden="1"/>
    <row r="1048245" hidden="1"/>
    <row r="1048246" hidden="1"/>
    <row r="1048247" hidden="1"/>
    <row r="1048248" hidden="1"/>
    <row r="1048249" hidden="1"/>
    <row r="1048250" hidden="1"/>
    <row r="1048251" hidden="1"/>
    <row r="1048252" hidden="1"/>
    <row r="1048253" hidden="1"/>
    <row r="1048254" hidden="1"/>
    <row r="1048255" hidden="1"/>
    <row r="1048256" hidden="1"/>
    <row r="1048257" hidden="1"/>
    <row r="1048258" hidden="1"/>
    <row r="1048259" hidden="1"/>
    <row r="1048260" hidden="1"/>
    <row r="1048261" hidden="1"/>
    <row r="1048262" hidden="1"/>
    <row r="1048263" hidden="1"/>
    <row r="1048264" hidden="1"/>
    <row r="1048265" hidden="1"/>
    <row r="1048266" hidden="1"/>
    <row r="1048267" hidden="1"/>
    <row r="1048268" hidden="1"/>
    <row r="1048269" hidden="1"/>
    <row r="1048270" hidden="1"/>
    <row r="1048271" hidden="1"/>
    <row r="1048272" hidden="1"/>
    <row r="1048273" hidden="1"/>
    <row r="1048274" hidden="1"/>
    <row r="1048275" hidden="1"/>
    <row r="1048276" hidden="1"/>
    <row r="1048277" hidden="1"/>
    <row r="1048278" hidden="1"/>
    <row r="1048279" hidden="1"/>
    <row r="1048280" hidden="1"/>
    <row r="1048281" hidden="1"/>
    <row r="1048282" hidden="1"/>
    <row r="1048283" hidden="1"/>
    <row r="1048284" hidden="1"/>
    <row r="1048285" hidden="1"/>
    <row r="1048286" hidden="1"/>
    <row r="1048287" hidden="1"/>
    <row r="1048288" hidden="1"/>
    <row r="1048289" hidden="1"/>
    <row r="1048290" hidden="1"/>
    <row r="1048291" hidden="1"/>
    <row r="1048292" hidden="1"/>
    <row r="1048293" hidden="1"/>
    <row r="1048294" hidden="1"/>
    <row r="1048295" hidden="1"/>
    <row r="1048296" hidden="1"/>
    <row r="1048297" hidden="1"/>
    <row r="1048298" hidden="1"/>
    <row r="1048299" hidden="1"/>
    <row r="1048300" hidden="1"/>
    <row r="1048301" hidden="1"/>
    <row r="1048302" hidden="1"/>
    <row r="1048303" hidden="1"/>
    <row r="1048304" hidden="1"/>
    <row r="1048305" hidden="1"/>
    <row r="1048306" hidden="1"/>
    <row r="1048307" hidden="1"/>
    <row r="1048308" hidden="1"/>
    <row r="1048309" hidden="1"/>
    <row r="1048310" hidden="1"/>
    <row r="1048311" hidden="1"/>
    <row r="1048312" hidden="1"/>
    <row r="1048313" hidden="1"/>
    <row r="1048314" hidden="1"/>
    <row r="1048315" hidden="1"/>
    <row r="1048316" hidden="1"/>
    <row r="1048317" hidden="1"/>
    <row r="1048318" hidden="1"/>
    <row r="1048319" hidden="1"/>
    <row r="1048320" hidden="1"/>
    <row r="1048321" hidden="1"/>
    <row r="1048322" hidden="1"/>
    <row r="1048323" hidden="1"/>
    <row r="1048324" hidden="1"/>
    <row r="1048325" hidden="1"/>
    <row r="1048326" hidden="1"/>
    <row r="1048327" hidden="1"/>
    <row r="1048328" hidden="1"/>
    <row r="1048329" hidden="1"/>
    <row r="1048330" hidden="1"/>
    <row r="1048331" hidden="1"/>
    <row r="1048332" hidden="1"/>
    <row r="1048333" hidden="1"/>
    <row r="1048334" hidden="1"/>
    <row r="1048335" hidden="1"/>
    <row r="1048336" hidden="1"/>
    <row r="1048337" hidden="1"/>
    <row r="1048338" hidden="1"/>
    <row r="1048339" hidden="1"/>
    <row r="1048340" hidden="1"/>
    <row r="1048341" hidden="1"/>
    <row r="1048342" hidden="1"/>
    <row r="1048343" hidden="1"/>
    <row r="1048344" hidden="1"/>
    <row r="1048345" hidden="1"/>
    <row r="1048346" hidden="1"/>
    <row r="1048347" hidden="1"/>
    <row r="1048348" hidden="1"/>
    <row r="1048349" hidden="1"/>
    <row r="1048350" hidden="1"/>
    <row r="1048351" hidden="1"/>
    <row r="1048352" hidden="1"/>
    <row r="1048353" hidden="1"/>
    <row r="1048354" hidden="1"/>
    <row r="1048355" hidden="1"/>
    <row r="1048356" hidden="1"/>
    <row r="1048357" hidden="1"/>
    <row r="1048358" hidden="1"/>
    <row r="1048359" hidden="1"/>
    <row r="1048360" hidden="1"/>
    <row r="1048361" hidden="1"/>
    <row r="1048362" hidden="1"/>
    <row r="1048363" hidden="1"/>
    <row r="1048364" hidden="1"/>
    <row r="1048365" hidden="1"/>
    <row r="1048366" hidden="1"/>
    <row r="1048367" hidden="1"/>
    <row r="1048368" hidden="1"/>
    <row r="1048369" hidden="1"/>
    <row r="1048370" hidden="1"/>
    <row r="1048371" hidden="1"/>
    <row r="1048372" hidden="1"/>
    <row r="1048373" hidden="1"/>
    <row r="1048374" hidden="1"/>
    <row r="1048375" hidden="1"/>
    <row r="1048376" hidden="1"/>
    <row r="1048377" hidden="1"/>
    <row r="1048378" hidden="1"/>
    <row r="1048379" hidden="1"/>
    <row r="1048380" hidden="1"/>
    <row r="1048381" hidden="1"/>
    <row r="1048382" hidden="1"/>
    <row r="1048383" hidden="1"/>
    <row r="1048384" hidden="1"/>
    <row r="1048385" hidden="1"/>
    <row r="1048386" hidden="1"/>
    <row r="1048387" hidden="1"/>
    <row r="1048388" hidden="1"/>
    <row r="1048389" hidden="1"/>
    <row r="1048390" hidden="1"/>
    <row r="1048391" hidden="1"/>
    <row r="1048392" hidden="1"/>
    <row r="1048393" hidden="1"/>
    <row r="1048394" hidden="1"/>
    <row r="1048395" hidden="1"/>
    <row r="1048396" hidden="1"/>
    <row r="1048397" hidden="1"/>
    <row r="1048398" hidden="1"/>
    <row r="1048399" hidden="1"/>
    <row r="1048400" hidden="1"/>
    <row r="1048401" hidden="1"/>
    <row r="1048402" hidden="1"/>
    <row r="1048403" hidden="1"/>
    <row r="1048404" hidden="1"/>
    <row r="1048405" hidden="1"/>
    <row r="1048406" hidden="1"/>
    <row r="1048407" hidden="1"/>
    <row r="1048408" hidden="1"/>
    <row r="1048409" hidden="1"/>
    <row r="1048410" hidden="1"/>
    <row r="1048411" hidden="1"/>
    <row r="1048412" hidden="1"/>
    <row r="1048413" hidden="1"/>
    <row r="1048414" hidden="1"/>
    <row r="1048415" hidden="1"/>
    <row r="1048416" hidden="1"/>
    <row r="1048417" hidden="1"/>
    <row r="1048418" hidden="1"/>
    <row r="1048419" hidden="1"/>
    <row r="1048420" hidden="1"/>
    <row r="1048421" hidden="1"/>
    <row r="1048422" hidden="1"/>
    <row r="1048423" hidden="1"/>
    <row r="1048424" hidden="1"/>
    <row r="1048425" hidden="1"/>
    <row r="1048426" hidden="1"/>
    <row r="1048427" hidden="1"/>
    <row r="1048428" hidden="1"/>
    <row r="1048429" hidden="1"/>
    <row r="1048430" hidden="1"/>
    <row r="1048431" hidden="1"/>
    <row r="1048432" hidden="1"/>
    <row r="1048433" hidden="1"/>
    <row r="1048434" hidden="1"/>
    <row r="1048435" hidden="1"/>
    <row r="1048436" hidden="1"/>
    <row r="1048437" hidden="1"/>
    <row r="1048438" hidden="1"/>
    <row r="1048439" hidden="1"/>
    <row r="1048440" hidden="1"/>
    <row r="1048441" hidden="1"/>
    <row r="1048442" hidden="1"/>
    <row r="1048443" hidden="1"/>
    <row r="1048444" hidden="1"/>
    <row r="1048445" hidden="1"/>
    <row r="1048446" hidden="1"/>
    <row r="1048447" hidden="1"/>
    <row r="1048448" hidden="1"/>
    <row r="1048449" hidden="1"/>
    <row r="1048450" hidden="1"/>
    <row r="1048451" hidden="1"/>
    <row r="1048452" hidden="1"/>
    <row r="1048453" hidden="1"/>
    <row r="1048454" hidden="1"/>
    <row r="1048455" hidden="1"/>
    <row r="1048456" hidden="1"/>
    <row r="1048457" hidden="1"/>
    <row r="1048458" hidden="1"/>
    <row r="1048459" hidden="1"/>
    <row r="1048460" hidden="1"/>
    <row r="1048461" hidden="1"/>
    <row r="1048462" hidden="1"/>
    <row r="1048463" hidden="1"/>
    <row r="1048464" hidden="1"/>
    <row r="1048465" spans="1:30" hidden="1"/>
    <row r="1048466" spans="1:30" hidden="1"/>
    <row r="1048467" spans="1:30" hidden="1"/>
    <row r="1048468" spans="1:30" ht="15" hidden="1" customHeight="1"/>
    <row r="1048469" spans="1:30" hidden="1">
      <c r="S1048469" s="38"/>
    </row>
    <row r="1048470" spans="1:30" hidden="1">
      <c r="AD1048470" s="223"/>
    </row>
    <row r="1048471" spans="1:30">
      <c r="A1048471" s="223"/>
      <c r="E1048471" s="223"/>
      <c r="R1048471" s="223"/>
      <c r="T1048471" s="223"/>
      <c r="U1048471" s="223"/>
      <c r="Y1048471" s="223"/>
      <c r="Z1048471" s="223"/>
      <c r="AA1048471" s="223"/>
      <c r="AB1048471" s="223"/>
    </row>
  </sheetData>
  <autoFilter ref="A4:AE239"/>
  <phoneticPr fontId="3" type="noConversion"/>
  <pageMargins left="0.7" right="0.7" top="0.75" bottom="0.75" header="0.3" footer="0.3"/>
  <pageSetup scale="31" orientation="portrait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0"/>
  </sheetPr>
  <dimension ref="A1:BL1048361"/>
  <sheetViews>
    <sheetView topLeftCell="M1" workbookViewId="0">
      <pane ySplit="5" topLeftCell="A29" activePane="bottomLeft" state="frozen"/>
      <selection activeCell="K94" sqref="K94"/>
      <selection pane="bottomLeft" activeCell="Z34" sqref="Z34"/>
    </sheetView>
  </sheetViews>
  <sheetFormatPr baseColWidth="10" defaultColWidth="8.83203125" defaultRowHeight="12" x14ac:dyDescent="0.75"/>
  <cols>
    <col min="1" max="1" width="11.6640625" style="71" bestFit="1" customWidth="1"/>
    <col min="2" max="2" width="9.5" style="46" bestFit="1" customWidth="1"/>
    <col min="3" max="4" width="11.83203125" style="53" hidden="1" customWidth="1"/>
    <col min="5" max="6" width="8.83203125" style="71"/>
    <col min="7" max="8" width="8.83203125" style="25"/>
    <col min="9" max="9" width="10.33203125" style="25" bestFit="1" customWidth="1"/>
    <col min="10" max="10" width="8.83203125" style="25"/>
    <col min="11" max="11" width="10.33203125" style="25" bestFit="1" customWidth="1"/>
    <col min="12" max="12" width="8.83203125" style="25"/>
    <col min="13" max="13" width="10.33203125" style="25" bestFit="1" customWidth="1"/>
    <col min="14" max="15" width="9.1640625" style="25" customWidth="1"/>
    <col min="16" max="23" width="9.1640625" style="25" hidden="1" customWidth="1"/>
    <col min="24" max="24" width="12.5" style="25" hidden="1" customWidth="1"/>
    <col min="25" max="25" width="9.1640625" style="71" hidden="1" customWidth="1"/>
    <col min="26" max="26" width="25.5" style="28" customWidth="1"/>
    <col min="27" max="27" width="0" style="71" hidden="1" customWidth="1"/>
    <col min="28" max="28" width="11.33203125" style="71" bestFit="1" customWidth="1"/>
    <col min="29" max="30" width="10.33203125" style="71" bestFit="1" customWidth="1"/>
    <col min="31" max="31" width="11.33203125" style="71" bestFit="1" customWidth="1"/>
    <col min="32" max="32" width="14.33203125" style="65" bestFit="1" customWidth="1"/>
    <col min="33" max="33" width="18.5" style="71" customWidth="1"/>
    <col min="34" max="34" width="11.33203125" bestFit="1" customWidth="1"/>
  </cols>
  <sheetData>
    <row r="1" spans="1:33">
      <c r="A1" s="24"/>
      <c r="C1" s="42"/>
      <c r="D1" s="42"/>
      <c r="E1" s="30"/>
      <c r="F1" s="30"/>
      <c r="Y1" s="30"/>
      <c r="AA1" s="25"/>
      <c r="AB1" s="25"/>
      <c r="AC1" s="25"/>
      <c r="AD1" s="25"/>
      <c r="AE1" s="25"/>
    </row>
    <row r="2" spans="1:33">
      <c r="A2" s="39" t="s">
        <v>1098</v>
      </c>
      <c r="C2" s="42"/>
      <c r="D2" s="42"/>
      <c r="E2" s="30"/>
      <c r="F2" s="30"/>
      <c r="Y2" s="30"/>
      <c r="AA2" s="25"/>
      <c r="AB2" s="25"/>
      <c r="AC2" s="25"/>
      <c r="AD2" s="25"/>
      <c r="AE2" s="25"/>
    </row>
    <row r="3" spans="1:33">
      <c r="A3" s="24"/>
      <c r="C3" s="42"/>
      <c r="D3" s="42"/>
      <c r="E3" s="30"/>
      <c r="F3" s="30"/>
      <c r="Y3" s="30"/>
      <c r="AA3" s="25"/>
      <c r="AB3" s="25"/>
      <c r="AC3" s="25"/>
      <c r="AD3" s="25"/>
      <c r="AE3" s="25"/>
    </row>
    <row r="4" spans="1:33" ht="51.75" customHeight="1">
      <c r="A4" s="36" t="s">
        <v>0</v>
      </c>
      <c r="B4" s="47" t="s">
        <v>8</v>
      </c>
      <c r="C4" s="43" t="s">
        <v>18</v>
      </c>
      <c r="D4" s="43" t="s">
        <v>19</v>
      </c>
      <c r="E4" s="41" t="s">
        <v>11</v>
      </c>
      <c r="F4" s="41" t="s">
        <v>89</v>
      </c>
      <c r="G4" s="40" t="s">
        <v>21</v>
      </c>
      <c r="H4" s="40" t="s">
        <v>43</v>
      </c>
      <c r="I4" s="40" t="s">
        <v>21</v>
      </c>
      <c r="J4" s="40" t="s">
        <v>113</v>
      </c>
      <c r="K4" s="40" t="s">
        <v>21</v>
      </c>
      <c r="L4" s="40" t="s">
        <v>50</v>
      </c>
      <c r="M4" s="40" t="s">
        <v>21</v>
      </c>
      <c r="N4" s="40" t="s">
        <v>93</v>
      </c>
      <c r="O4" s="40" t="s">
        <v>21</v>
      </c>
      <c r="P4" s="40" t="s">
        <v>22</v>
      </c>
      <c r="Q4" s="40" t="s">
        <v>26</v>
      </c>
      <c r="R4" s="40" t="s">
        <v>22</v>
      </c>
      <c r="S4" s="40" t="s">
        <v>26</v>
      </c>
      <c r="T4" s="40" t="s">
        <v>22</v>
      </c>
      <c r="U4" s="40" t="s">
        <v>26</v>
      </c>
      <c r="V4" s="40" t="s">
        <v>22</v>
      </c>
      <c r="W4" s="40" t="s">
        <v>26</v>
      </c>
      <c r="X4" s="40" t="s">
        <v>23</v>
      </c>
      <c r="Y4" s="41" t="s">
        <v>17</v>
      </c>
      <c r="Z4" s="45" t="s">
        <v>20</v>
      </c>
      <c r="AA4" s="40" t="s">
        <v>12</v>
      </c>
      <c r="AB4" s="40" t="s">
        <v>13</v>
      </c>
      <c r="AC4" s="40" t="s">
        <v>14</v>
      </c>
      <c r="AD4" s="40" t="s">
        <v>9</v>
      </c>
      <c r="AE4" s="40" t="s">
        <v>15</v>
      </c>
      <c r="AF4" s="54" t="s">
        <v>7</v>
      </c>
      <c r="AG4" s="55" t="s">
        <v>16</v>
      </c>
    </row>
    <row r="5" spans="1:33" s="371" customFormat="1">
      <c r="A5" s="1208"/>
      <c r="B5" s="1209"/>
      <c r="C5" s="1210"/>
      <c r="D5" s="1210"/>
      <c r="E5" s="1206"/>
      <c r="F5" s="1206"/>
      <c r="G5" s="1205"/>
      <c r="H5" s="1205"/>
      <c r="I5" s="1205"/>
      <c r="J5" s="1205"/>
      <c r="K5" s="1205"/>
      <c r="L5" s="1205"/>
      <c r="M5" s="1205"/>
      <c r="N5" s="1205"/>
      <c r="O5" s="1205"/>
      <c r="P5" s="1205"/>
      <c r="Q5" s="1205"/>
      <c r="R5" s="1205"/>
      <c r="S5" s="1205"/>
      <c r="T5" s="1205"/>
      <c r="U5" s="1205"/>
      <c r="V5" s="1205"/>
      <c r="W5" s="1205"/>
      <c r="X5" s="1205"/>
      <c r="Y5" s="1206"/>
      <c r="Z5" s="1211"/>
      <c r="AA5" s="1205"/>
      <c r="AB5" s="1205"/>
      <c r="AC5" s="1205"/>
      <c r="AD5" s="1205"/>
      <c r="AE5" s="1205"/>
      <c r="AF5" s="1207"/>
      <c r="AG5" s="302">
        <f>SUM(AB6:AB100)</f>
        <v>89327</v>
      </c>
    </row>
    <row r="6" spans="1:33" s="371" customFormat="1">
      <c r="A6" s="405">
        <v>42170</v>
      </c>
      <c r="B6" s="897">
        <v>66960</v>
      </c>
      <c r="C6" s="909"/>
      <c r="D6" s="909"/>
      <c r="E6" s="124">
        <v>2</v>
      </c>
      <c r="F6" s="122">
        <v>4</v>
      </c>
      <c r="G6" s="123">
        <v>182</v>
      </c>
      <c r="H6" s="926"/>
      <c r="I6" s="123">
        <v>138</v>
      </c>
      <c r="J6" s="926"/>
      <c r="K6" s="123">
        <v>276</v>
      </c>
      <c r="L6" s="926" t="s">
        <v>72</v>
      </c>
      <c r="M6" s="123">
        <v>161</v>
      </c>
      <c r="N6" s="123"/>
      <c r="O6" s="123">
        <v>42</v>
      </c>
      <c r="P6" s="123"/>
      <c r="Q6" s="123">
        <v>0</v>
      </c>
      <c r="R6" s="123"/>
      <c r="S6" s="123">
        <v>0</v>
      </c>
      <c r="T6" s="123"/>
      <c r="U6" s="123">
        <v>0</v>
      </c>
      <c r="V6" s="123"/>
      <c r="W6" s="123">
        <v>0</v>
      </c>
      <c r="X6" s="123">
        <f t="shared" ref="X6:X29" si="0">SUM(Q6,O6,M6,G6)</f>
        <v>385</v>
      </c>
      <c r="Y6" s="124">
        <f t="shared" ref="Y6:Y30" si="1">(C6+D6)*E6</f>
        <v>0</v>
      </c>
      <c r="Z6" s="127" t="s">
        <v>90</v>
      </c>
      <c r="AA6" s="123"/>
      <c r="AB6" s="123">
        <f>(F6*G6)+(L6*M6)</f>
        <v>1050</v>
      </c>
      <c r="AC6" s="123">
        <f t="shared" ref="AC6:AC54" si="2">(AB6*5%)</f>
        <v>52.5</v>
      </c>
      <c r="AD6" s="123">
        <f t="shared" ref="AD6:AD54" si="3">SUM(AB6+AC6)</f>
        <v>1102.5</v>
      </c>
      <c r="AE6" s="124">
        <v>27913</v>
      </c>
      <c r="AF6" s="128"/>
      <c r="AG6" s="913"/>
    </row>
    <row r="7" spans="1:33" s="371" customFormat="1">
      <c r="A7" s="405">
        <v>42171</v>
      </c>
      <c r="B7" s="897">
        <v>66962</v>
      </c>
      <c r="C7" s="909"/>
      <c r="D7" s="909"/>
      <c r="E7" s="124">
        <v>2</v>
      </c>
      <c r="F7" s="122">
        <v>12</v>
      </c>
      <c r="G7" s="123">
        <v>182</v>
      </c>
      <c r="H7" s="926" t="s">
        <v>72</v>
      </c>
      <c r="I7" s="123">
        <v>138</v>
      </c>
      <c r="J7" s="926"/>
      <c r="K7" s="123">
        <v>276</v>
      </c>
      <c r="L7" s="926" t="s">
        <v>72</v>
      </c>
      <c r="M7" s="123">
        <v>161</v>
      </c>
      <c r="N7" s="123"/>
      <c r="O7" s="123">
        <v>42</v>
      </c>
      <c r="P7" s="123"/>
      <c r="Q7" s="123">
        <v>0</v>
      </c>
      <c r="R7" s="123"/>
      <c r="S7" s="123">
        <v>0</v>
      </c>
      <c r="T7" s="123"/>
      <c r="U7" s="123">
        <v>0</v>
      </c>
      <c r="V7" s="123"/>
      <c r="W7" s="123">
        <v>0</v>
      </c>
      <c r="X7" s="123">
        <f t="shared" si="0"/>
        <v>385</v>
      </c>
      <c r="Y7" s="124">
        <f t="shared" si="1"/>
        <v>0</v>
      </c>
      <c r="Z7" s="127" t="s">
        <v>92</v>
      </c>
      <c r="AA7" s="123"/>
      <c r="AB7" s="123">
        <f>(F7*G7)+(L7*M7)+(H7*I7)</f>
        <v>2782</v>
      </c>
      <c r="AC7" s="123">
        <f t="shared" si="2"/>
        <v>139.1</v>
      </c>
      <c r="AD7" s="123">
        <f t="shared" si="3"/>
        <v>2921.1</v>
      </c>
      <c r="AE7" s="124">
        <v>27913</v>
      </c>
      <c r="AF7" s="128"/>
      <c r="AG7" s="370"/>
    </row>
    <row r="8" spans="1:33" s="371" customFormat="1">
      <c r="A8" s="405">
        <v>42172</v>
      </c>
      <c r="B8" s="897">
        <v>66966</v>
      </c>
      <c r="C8" s="909"/>
      <c r="D8" s="909"/>
      <c r="E8" s="124">
        <v>2</v>
      </c>
      <c r="F8" s="122">
        <v>4</v>
      </c>
      <c r="G8" s="123">
        <v>182</v>
      </c>
      <c r="H8" s="926" t="s">
        <v>72</v>
      </c>
      <c r="I8" s="123">
        <v>138</v>
      </c>
      <c r="J8" s="926"/>
      <c r="K8" s="123">
        <v>276</v>
      </c>
      <c r="L8" s="926" t="s">
        <v>72</v>
      </c>
      <c r="M8" s="123">
        <v>161</v>
      </c>
      <c r="N8" s="123"/>
      <c r="O8" s="123">
        <v>42</v>
      </c>
      <c r="P8" s="123"/>
      <c r="Q8" s="123">
        <v>0</v>
      </c>
      <c r="R8" s="123"/>
      <c r="S8" s="123">
        <v>0</v>
      </c>
      <c r="T8" s="123"/>
      <c r="U8" s="123">
        <v>0</v>
      </c>
      <c r="V8" s="123"/>
      <c r="W8" s="123">
        <v>0</v>
      </c>
      <c r="X8" s="123">
        <f t="shared" si="0"/>
        <v>385</v>
      </c>
      <c r="Y8" s="124">
        <f t="shared" si="1"/>
        <v>0</v>
      </c>
      <c r="Z8" s="127" t="s">
        <v>90</v>
      </c>
      <c r="AA8" s="123"/>
      <c r="AB8" s="123">
        <f>(F8*G8)+(L8*M8)+(H8*I8)</f>
        <v>1326</v>
      </c>
      <c r="AC8" s="123">
        <f t="shared" si="2"/>
        <v>66.3</v>
      </c>
      <c r="AD8" s="123">
        <f t="shared" si="3"/>
        <v>1392.3</v>
      </c>
      <c r="AE8" s="124">
        <v>27913</v>
      </c>
      <c r="AF8" s="128"/>
      <c r="AG8" s="928"/>
    </row>
    <row r="9" spans="1:33" s="371" customFormat="1">
      <c r="A9" s="405">
        <v>42172</v>
      </c>
      <c r="B9" s="897">
        <v>66967</v>
      </c>
      <c r="C9" s="909"/>
      <c r="D9" s="909"/>
      <c r="E9" s="124">
        <v>2</v>
      </c>
      <c r="F9" s="122">
        <v>8</v>
      </c>
      <c r="G9" s="123">
        <v>182</v>
      </c>
      <c r="H9" s="125"/>
      <c r="I9" s="123">
        <v>138</v>
      </c>
      <c r="J9" s="125"/>
      <c r="K9" s="123">
        <v>276</v>
      </c>
      <c r="L9" s="125"/>
      <c r="M9" s="123">
        <v>161</v>
      </c>
      <c r="N9" s="927" t="s">
        <v>72</v>
      </c>
      <c r="O9" s="123">
        <v>42</v>
      </c>
      <c r="P9" s="123"/>
      <c r="Q9" s="123">
        <v>0</v>
      </c>
      <c r="R9" s="123"/>
      <c r="S9" s="123">
        <v>0</v>
      </c>
      <c r="T9" s="123"/>
      <c r="U9" s="123">
        <v>0</v>
      </c>
      <c r="V9" s="123"/>
      <c r="W9" s="123">
        <v>0</v>
      </c>
      <c r="X9" s="123">
        <f t="shared" si="0"/>
        <v>385</v>
      </c>
      <c r="Y9" s="124">
        <f t="shared" si="1"/>
        <v>0</v>
      </c>
      <c r="Z9" s="127" t="s">
        <v>95</v>
      </c>
      <c r="AA9" s="123"/>
      <c r="AB9" s="123">
        <f>(F9*G9)+(L9*M9)+(H9*I9)+(N9*O9)</f>
        <v>1540</v>
      </c>
      <c r="AC9" s="123">
        <f t="shared" si="2"/>
        <v>77</v>
      </c>
      <c r="AD9" s="123">
        <f t="shared" si="3"/>
        <v>1617</v>
      </c>
      <c r="AE9" s="124">
        <v>27913</v>
      </c>
      <c r="AF9" s="128"/>
      <c r="AG9" s="929"/>
    </row>
    <row r="10" spans="1:33" s="371" customFormat="1">
      <c r="A10" s="405">
        <v>42173</v>
      </c>
      <c r="B10" s="897">
        <v>66968</v>
      </c>
      <c r="C10" s="909"/>
      <c r="D10" s="909"/>
      <c r="E10" s="124">
        <v>2</v>
      </c>
      <c r="F10" s="122">
        <v>12</v>
      </c>
      <c r="G10" s="123">
        <v>182</v>
      </c>
      <c r="H10" s="926" t="s">
        <v>72</v>
      </c>
      <c r="I10" s="123">
        <v>138</v>
      </c>
      <c r="J10" s="926"/>
      <c r="K10" s="123">
        <v>276</v>
      </c>
      <c r="L10" s="926" t="s">
        <v>72</v>
      </c>
      <c r="M10" s="123">
        <v>161</v>
      </c>
      <c r="N10" s="927" t="s">
        <v>72</v>
      </c>
      <c r="O10" s="123">
        <v>42</v>
      </c>
      <c r="P10" s="123"/>
      <c r="Q10" s="123">
        <v>0</v>
      </c>
      <c r="R10" s="123"/>
      <c r="S10" s="123">
        <v>0</v>
      </c>
      <c r="T10" s="123"/>
      <c r="U10" s="123">
        <v>0</v>
      </c>
      <c r="V10" s="123"/>
      <c r="W10" s="123">
        <v>0</v>
      </c>
      <c r="X10" s="123">
        <f t="shared" si="0"/>
        <v>385</v>
      </c>
      <c r="Y10" s="124">
        <f t="shared" si="1"/>
        <v>0</v>
      </c>
      <c r="Z10" s="127" t="s">
        <v>94</v>
      </c>
      <c r="AA10" s="123"/>
      <c r="AB10" s="123">
        <f>(F10*G10)+(L10*M10)+(H10*I10)+(N10*O10)</f>
        <v>2866</v>
      </c>
      <c r="AC10" s="123">
        <f t="shared" si="2"/>
        <v>143.30000000000001</v>
      </c>
      <c r="AD10" s="123">
        <f t="shared" si="3"/>
        <v>3009.3</v>
      </c>
      <c r="AE10" s="124">
        <v>27913</v>
      </c>
      <c r="AF10" s="128"/>
      <c r="AG10" s="370"/>
    </row>
    <row r="11" spans="1:33" s="371" customFormat="1">
      <c r="A11" s="405">
        <v>42174</v>
      </c>
      <c r="B11" s="897">
        <v>66970</v>
      </c>
      <c r="C11" s="909"/>
      <c r="D11" s="909"/>
      <c r="E11" s="124">
        <v>2</v>
      </c>
      <c r="F11" s="122">
        <v>12</v>
      </c>
      <c r="G11" s="123">
        <v>182</v>
      </c>
      <c r="H11" s="926" t="s">
        <v>72</v>
      </c>
      <c r="I11" s="123">
        <v>138</v>
      </c>
      <c r="J11" s="926"/>
      <c r="K11" s="123">
        <v>276</v>
      </c>
      <c r="L11" s="926" t="s">
        <v>72</v>
      </c>
      <c r="M11" s="123">
        <v>161</v>
      </c>
      <c r="N11" s="927" t="s">
        <v>73</v>
      </c>
      <c r="O11" s="123">
        <v>42</v>
      </c>
      <c r="P11" s="123"/>
      <c r="Q11" s="123">
        <v>0</v>
      </c>
      <c r="R11" s="123"/>
      <c r="S11" s="123">
        <v>0</v>
      </c>
      <c r="T11" s="123"/>
      <c r="U11" s="123">
        <v>0</v>
      </c>
      <c r="V11" s="123"/>
      <c r="W11" s="123">
        <v>0</v>
      </c>
      <c r="X11" s="123">
        <f t="shared" si="0"/>
        <v>385</v>
      </c>
      <c r="Y11" s="124">
        <f t="shared" si="1"/>
        <v>0</v>
      </c>
      <c r="Z11" s="127" t="s">
        <v>103</v>
      </c>
      <c r="AA11" s="123"/>
      <c r="AB11" s="123">
        <f>(F11*G11)+(L11*M11)+(H11*I11)+(N11*O11)</f>
        <v>2824</v>
      </c>
      <c r="AC11" s="123">
        <f t="shared" si="2"/>
        <v>141.20000000000002</v>
      </c>
      <c r="AD11" s="123">
        <f t="shared" si="3"/>
        <v>2965.2</v>
      </c>
      <c r="AE11" s="124">
        <v>27913</v>
      </c>
      <c r="AF11" s="128"/>
      <c r="AG11" s="370"/>
    </row>
    <row r="12" spans="1:33" s="371" customFormat="1">
      <c r="A12" s="405">
        <v>42175</v>
      </c>
      <c r="B12" s="897">
        <v>66971</v>
      </c>
      <c r="C12" s="909"/>
      <c r="D12" s="909"/>
      <c r="E12" s="124">
        <v>2</v>
      </c>
      <c r="F12" s="122">
        <v>12</v>
      </c>
      <c r="G12" s="123">
        <v>182</v>
      </c>
      <c r="H12" s="926" t="s">
        <v>72</v>
      </c>
      <c r="I12" s="123">
        <v>138</v>
      </c>
      <c r="J12" s="926"/>
      <c r="K12" s="123">
        <v>276</v>
      </c>
      <c r="L12" s="926" t="s">
        <v>72</v>
      </c>
      <c r="M12" s="123">
        <v>161</v>
      </c>
      <c r="N12" s="927" t="s">
        <v>72</v>
      </c>
      <c r="O12" s="123">
        <v>42</v>
      </c>
      <c r="P12" s="123"/>
      <c r="Q12" s="123">
        <v>0</v>
      </c>
      <c r="R12" s="123"/>
      <c r="S12" s="123">
        <v>0</v>
      </c>
      <c r="T12" s="123"/>
      <c r="U12" s="123">
        <v>0</v>
      </c>
      <c r="V12" s="123"/>
      <c r="W12" s="123">
        <v>0</v>
      </c>
      <c r="X12" s="123">
        <f t="shared" si="0"/>
        <v>385</v>
      </c>
      <c r="Y12" s="124">
        <f t="shared" si="1"/>
        <v>0</v>
      </c>
      <c r="Z12" s="127" t="s">
        <v>94</v>
      </c>
      <c r="AA12" s="123"/>
      <c r="AB12" s="123">
        <f>(F12*G12)+(L12*M12)+(H12*I12)+(N12*O12)</f>
        <v>2866</v>
      </c>
      <c r="AC12" s="123">
        <f t="shared" si="2"/>
        <v>143.30000000000001</v>
      </c>
      <c r="AD12" s="123">
        <f t="shared" si="3"/>
        <v>3009.3</v>
      </c>
      <c r="AE12" s="124">
        <v>27913</v>
      </c>
      <c r="AF12" s="128"/>
      <c r="AG12" s="370"/>
    </row>
    <row r="13" spans="1:33" s="371" customFormat="1">
      <c r="A13" s="405">
        <v>42176</v>
      </c>
      <c r="B13" s="897">
        <v>66972</v>
      </c>
      <c r="C13" s="909"/>
      <c r="D13" s="909"/>
      <c r="E13" s="124">
        <v>2</v>
      </c>
      <c r="F13" s="122">
        <v>12</v>
      </c>
      <c r="G13" s="123">
        <v>182</v>
      </c>
      <c r="H13" s="926" t="s">
        <v>72</v>
      </c>
      <c r="I13" s="123">
        <v>138</v>
      </c>
      <c r="J13" s="926"/>
      <c r="K13" s="123">
        <v>276</v>
      </c>
      <c r="L13" s="926" t="s">
        <v>72</v>
      </c>
      <c r="M13" s="123">
        <v>161</v>
      </c>
      <c r="N13" s="927" t="s">
        <v>91</v>
      </c>
      <c r="O13" s="123">
        <v>42</v>
      </c>
      <c r="P13" s="123"/>
      <c r="Q13" s="123">
        <v>0</v>
      </c>
      <c r="R13" s="123"/>
      <c r="S13" s="123">
        <v>0</v>
      </c>
      <c r="T13" s="123"/>
      <c r="U13" s="123">
        <v>0</v>
      </c>
      <c r="V13" s="123"/>
      <c r="W13" s="123">
        <v>0</v>
      </c>
      <c r="X13" s="123">
        <f t="shared" si="0"/>
        <v>385</v>
      </c>
      <c r="Y13" s="124">
        <f t="shared" si="1"/>
        <v>0</v>
      </c>
      <c r="Z13" s="127" t="s">
        <v>99</v>
      </c>
      <c r="AA13" s="123"/>
      <c r="AB13" s="123">
        <f>(F13*G13)+(L13*M13)+(H13*I13)+(N13*O13)</f>
        <v>2908</v>
      </c>
      <c r="AC13" s="123">
        <f t="shared" si="2"/>
        <v>145.4</v>
      </c>
      <c r="AD13" s="123">
        <f t="shared" si="3"/>
        <v>3053.4</v>
      </c>
      <c r="AE13" s="124">
        <v>27913</v>
      </c>
      <c r="AF13" s="128"/>
      <c r="AG13" s="370"/>
    </row>
    <row r="14" spans="1:33" s="371" customFormat="1">
      <c r="A14" s="405">
        <v>42176</v>
      </c>
      <c r="B14" s="897">
        <v>55726</v>
      </c>
      <c r="C14" s="909"/>
      <c r="D14" s="909"/>
      <c r="E14" s="124">
        <v>2</v>
      </c>
      <c r="F14" s="122">
        <v>4</v>
      </c>
      <c r="G14" s="123">
        <v>182</v>
      </c>
      <c r="H14" s="125"/>
      <c r="I14" s="123">
        <v>138</v>
      </c>
      <c r="J14" s="125"/>
      <c r="K14" s="123">
        <v>276</v>
      </c>
      <c r="L14" s="122">
        <v>2</v>
      </c>
      <c r="M14" s="123">
        <v>161</v>
      </c>
      <c r="N14" s="125"/>
      <c r="O14" s="123">
        <v>42</v>
      </c>
      <c r="P14" s="123"/>
      <c r="Q14" s="123">
        <v>0</v>
      </c>
      <c r="R14" s="123"/>
      <c r="S14" s="123">
        <v>0</v>
      </c>
      <c r="T14" s="123"/>
      <c r="U14" s="123">
        <v>0</v>
      </c>
      <c r="V14" s="123"/>
      <c r="W14" s="123">
        <v>0</v>
      </c>
      <c r="X14" s="123">
        <f t="shared" si="0"/>
        <v>385</v>
      </c>
      <c r="Y14" s="124">
        <f t="shared" si="1"/>
        <v>0</v>
      </c>
      <c r="Z14" s="372" t="s">
        <v>1121</v>
      </c>
      <c r="AA14" s="123"/>
      <c r="AB14" s="123">
        <f>(F14*G14)+(L14*M14)+(H14*I14)+(N14*O14)+(J14*K14)</f>
        <v>1050</v>
      </c>
      <c r="AC14" s="123">
        <f t="shared" si="2"/>
        <v>52.5</v>
      </c>
      <c r="AD14" s="123">
        <f t="shared" si="3"/>
        <v>1102.5</v>
      </c>
      <c r="AE14" s="124">
        <v>27913</v>
      </c>
      <c r="AF14" s="128"/>
      <c r="AG14" s="370"/>
    </row>
    <row r="15" spans="1:33" s="371" customFormat="1">
      <c r="A15" s="405">
        <v>42177</v>
      </c>
      <c r="B15" s="897">
        <v>66973</v>
      </c>
      <c r="C15" s="909"/>
      <c r="D15" s="909"/>
      <c r="E15" s="124">
        <v>2</v>
      </c>
      <c r="F15" s="122">
        <v>12</v>
      </c>
      <c r="G15" s="123">
        <v>182</v>
      </c>
      <c r="H15" s="122">
        <v>2</v>
      </c>
      <c r="I15" s="123">
        <v>138</v>
      </c>
      <c r="J15" s="122"/>
      <c r="K15" s="123">
        <v>276</v>
      </c>
      <c r="L15" s="122">
        <v>2</v>
      </c>
      <c r="M15" s="123">
        <v>161</v>
      </c>
      <c r="N15" s="122">
        <v>2</v>
      </c>
      <c r="O15" s="123">
        <v>42</v>
      </c>
      <c r="P15" s="123"/>
      <c r="Q15" s="123">
        <v>0</v>
      </c>
      <c r="R15" s="123"/>
      <c r="S15" s="123">
        <v>0</v>
      </c>
      <c r="T15" s="123"/>
      <c r="U15" s="123">
        <v>0</v>
      </c>
      <c r="V15" s="123"/>
      <c r="W15" s="123">
        <v>0</v>
      </c>
      <c r="X15" s="123">
        <f t="shared" si="0"/>
        <v>385</v>
      </c>
      <c r="Y15" s="124">
        <f t="shared" si="1"/>
        <v>0</v>
      </c>
      <c r="Z15" s="372" t="s">
        <v>1121</v>
      </c>
      <c r="AA15" s="123"/>
      <c r="AB15" s="123">
        <f>(F15*G15)+(L15*M15)+(H15*I15)+(N15*O15)</f>
        <v>2866</v>
      </c>
      <c r="AC15" s="123">
        <f t="shared" si="2"/>
        <v>143.30000000000001</v>
      </c>
      <c r="AD15" s="123">
        <f t="shared" si="3"/>
        <v>3009.3</v>
      </c>
      <c r="AE15" s="124">
        <v>27913</v>
      </c>
      <c r="AF15" s="128"/>
      <c r="AG15" s="370"/>
    </row>
    <row r="16" spans="1:33" s="371" customFormat="1">
      <c r="A16" s="405">
        <v>42177</v>
      </c>
      <c r="B16" s="897">
        <v>55727</v>
      </c>
      <c r="C16" s="909"/>
      <c r="D16" s="909"/>
      <c r="E16" s="124">
        <v>2</v>
      </c>
      <c r="F16" s="122">
        <v>12</v>
      </c>
      <c r="G16" s="123">
        <v>182</v>
      </c>
      <c r="H16" s="122"/>
      <c r="I16" s="123">
        <v>138</v>
      </c>
      <c r="J16" s="122">
        <v>1</v>
      </c>
      <c r="K16" s="123">
        <v>276</v>
      </c>
      <c r="L16" s="122">
        <v>2</v>
      </c>
      <c r="M16" s="123">
        <v>161</v>
      </c>
      <c r="N16" s="926" t="s">
        <v>73</v>
      </c>
      <c r="O16" s="123">
        <v>42</v>
      </c>
      <c r="P16" s="123"/>
      <c r="Q16" s="123">
        <v>0</v>
      </c>
      <c r="R16" s="123"/>
      <c r="S16" s="123">
        <v>0</v>
      </c>
      <c r="T16" s="123"/>
      <c r="U16" s="123">
        <v>0</v>
      </c>
      <c r="V16" s="123"/>
      <c r="W16" s="123">
        <v>0</v>
      </c>
      <c r="X16" s="123">
        <f t="shared" si="0"/>
        <v>385</v>
      </c>
      <c r="Y16" s="124">
        <f t="shared" si="1"/>
        <v>0</v>
      </c>
      <c r="Z16" s="372" t="s">
        <v>1121</v>
      </c>
      <c r="AA16" s="123"/>
      <c r="AB16" s="123">
        <f t="shared" ref="AB16:AB54" si="4">(F16*G16)+(L16*M16)+(H16*I16)+(N16*O16)+(J16*K16)</f>
        <v>2824</v>
      </c>
      <c r="AC16" s="123">
        <f t="shared" si="2"/>
        <v>141.20000000000002</v>
      </c>
      <c r="AD16" s="123">
        <f t="shared" si="3"/>
        <v>2965.2</v>
      </c>
      <c r="AE16" s="124">
        <v>27913</v>
      </c>
      <c r="AF16" s="128"/>
      <c r="AG16" s="370"/>
    </row>
    <row r="17" spans="1:64" s="371" customFormat="1">
      <c r="A17" s="405">
        <v>42178</v>
      </c>
      <c r="B17" s="897">
        <v>66974</v>
      </c>
      <c r="C17" s="909"/>
      <c r="D17" s="909"/>
      <c r="E17" s="124">
        <v>2</v>
      </c>
      <c r="F17" s="122">
        <v>12</v>
      </c>
      <c r="G17" s="123">
        <v>182</v>
      </c>
      <c r="H17" s="926" t="s">
        <v>72</v>
      </c>
      <c r="I17" s="123">
        <v>138</v>
      </c>
      <c r="J17" s="125"/>
      <c r="K17" s="123">
        <v>276</v>
      </c>
      <c r="L17" s="122">
        <v>2</v>
      </c>
      <c r="M17" s="123">
        <v>161</v>
      </c>
      <c r="N17" s="926" t="s">
        <v>72</v>
      </c>
      <c r="O17" s="123">
        <v>42</v>
      </c>
      <c r="P17" s="123"/>
      <c r="Q17" s="123">
        <v>0</v>
      </c>
      <c r="R17" s="123"/>
      <c r="S17" s="123">
        <v>0</v>
      </c>
      <c r="T17" s="123"/>
      <c r="U17" s="123">
        <v>0</v>
      </c>
      <c r="V17" s="123"/>
      <c r="W17" s="123">
        <v>0</v>
      </c>
      <c r="X17" s="123">
        <f t="shared" si="0"/>
        <v>385</v>
      </c>
      <c r="Y17" s="124">
        <f t="shared" si="1"/>
        <v>0</v>
      </c>
      <c r="Z17" s="372" t="s">
        <v>1121</v>
      </c>
      <c r="AA17" s="123"/>
      <c r="AB17" s="123">
        <f t="shared" si="4"/>
        <v>2866</v>
      </c>
      <c r="AC17" s="123">
        <f t="shared" si="2"/>
        <v>143.30000000000001</v>
      </c>
      <c r="AD17" s="123">
        <f t="shared" si="3"/>
        <v>3009.3</v>
      </c>
      <c r="AE17" s="124">
        <v>27913</v>
      </c>
      <c r="AF17" s="128"/>
      <c r="AG17" s="370"/>
    </row>
    <row r="18" spans="1:64" s="371" customFormat="1">
      <c r="A18" s="405">
        <v>42178</v>
      </c>
      <c r="B18" s="897">
        <v>55728</v>
      </c>
      <c r="C18" s="909"/>
      <c r="D18" s="909"/>
      <c r="E18" s="124">
        <v>2</v>
      </c>
      <c r="F18" s="122">
        <v>12</v>
      </c>
      <c r="G18" s="123">
        <v>182</v>
      </c>
      <c r="H18" s="125"/>
      <c r="I18" s="123">
        <v>138</v>
      </c>
      <c r="J18" s="926" t="s">
        <v>73</v>
      </c>
      <c r="K18" s="123">
        <v>276</v>
      </c>
      <c r="L18" s="369" t="s">
        <v>72</v>
      </c>
      <c r="M18" s="123">
        <v>161</v>
      </c>
      <c r="N18" s="926" t="s">
        <v>91</v>
      </c>
      <c r="O18" s="123">
        <v>42</v>
      </c>
      <c r="P18" s="123"/>
      <c r="Q18" s="123">
        <v>0</v>
      </c>
      <c r="R18" s="123"/>
      <c r="S18" s="123">
        <v>0</v>
      </c>
      <c r="T18" s="123"/>
      <c r="U18" s="123">
        <v>0</v>
      </c>
      <c r="V18" s="123"/>
      <c r="W18" s="123">
        <v>0</v>
      </c>
      <c r="X18" s="123">
        <f t="shared" si="0"/>
        <v>385</v>
      </c>
      <c r="Y18" s="124">
        <f t="shared" si="1"/>
        <v>0</v>
      </c>
      <c r="Z18" s="372" t="s">
        <v>1121</v>
      </c>
      <c r="AA18" s="123"/>
      <c r="AB18" s="123">
        <f t="shared" si="4"/>
        <v>2908</v>
      </c>
      <c r="AC18" s="123">
        <f t="shared" si="2"/>
        <v>145.4</v>
      </c>
      <c r="AD18" s="123">
        <f t="shared" si="3"/>
        <v>3053.4</v>
      </c>
      <c r="AE18" s="124">
        <v>27913</v>
      </c>
      <c r="AF18" s="128"/>
      <c r="AG18" s="370"/>
      <c r="AH18" s="415"/>
    </row>
    <row r="19" spans="1:64" s="371" customFormat="1">
      <c r="A19" s="405">
        <v>42179</v>
      </c>
      <c r="B19" s="897">
        <v>50531</v>
      </c>
      <c r="C19" s="909"/>
      <c r="D19" s="909"/>
      <c r="E19" s="124">
        <v>2</v>
      </c>
      <c r="F19" s="122">
        <v>12</v>
      </c>
      <c r="G19" s="123">
        <v>182</v>
      </c>
      <c r="H19" s="125"/>
      <c r="I19" s="123">
        <v>138</v>
      </c>
      <c r="J19" s="926" t="s">
        <v>73</v>
      </c>
      <c r="K19" s="123">
        <v>276</v>
      </c>
      <c r="L19" s="369" t="s">
        <v>72</v>
      </c>
      <c r="M19" s="123">
        <v>161</v>
      </c>
      <c r="N19" s="926" t="s">
        <v>72</v>
      </c>
      <c r="O19" s="123">
        <v>42</v>
      </c>
      <c r="P19" s="123"/>
      <c r="Q19" s="123">
        <v>0</v>
      </c>
      <c r="R19" s="123"/>
      <c r="S19" s="123">
        <v>0</v>
      </c>
      <c r="T19" s="123"/>
      <c r="U19" s="123">
        <v>0</v>
      </c>
      <c r="V19" s="123"/>
      <c r="W19" s="123">
        <v>0</v>
      </c>
      <c r="X19" s="123">
        <f t="shared" si="0"/>
        <v>385</v>
      </c>
      <c r="Y19" s="124">
        <f t="shared" si="1"/>
        <v>0</v>
      </c>
      <c r="Z19" s="372" t="s">
        <v>1121</v>
      </c>
      <c r="AA19" s="123"/>
      <c r="AB19" s="123">
        <f t="shared" si="4"/>
        <v>2866</v>
      </c>
      <c r="AC19" s="123">
        <f t="shared" si="2"/>
        <v>143.30000000000001</v>
      </c>
      <c r="AD19" s="123">
        <f t="shared" si="3"/>
        <v>3009.3</v>
      </c>
      <c r="AE19" s="124">
        <v>27913</v>
      </c>
      <c r="AF19" s="128"/>
      <c r="AG19" s="370"/>
      <c r="AH19" s="910"/>
    </row>
    <row r="20" spans="1:64" s="371" customFormat="1">
      <c r="A20" s="405">
        <v>42179</v>
      </c>
      <c r="B20" s="897">
        <v>66975</v>
      </c>
      <c r="C20" s="909"/>
      <c r="D20" s="909"/>
      <c r="E20" s="124">
        <v>2</v>
      </c>
      <c r="F20" s="122">
        <v>12</v>
      </c>
      <c r="G20" s="123">
        <v>182</v>
      </c>
      <c r="H20" s="926" t="s">
        <v>72</v>
      </c>
      <c r="I20" s="123">
        <v>138</v>
      </c>
      <c r="J20" s="125"/>
      <c r="K20" s="123">
        <v>276</v>
      </c>
      <c r="L20" s="369" t="s">
        <v>72</v>
      </c>
      <c r="M20" s="123">
        <v>161</v>
      </c>
      <c r="N20" s="926" t="s">
        <v>72</v>
      </c>
      <c r="O20" s="123">
        <v>42</v>
      </c>
      <c r="P20" s="123"/>
      <c r="Q20" s="123">
        <v>0</v>
      </c>
      <c r="R20" s="123"/>
      <c r="S20" s="123">
        <v>0</v>
      </c>
      <c r="T20" s="123"/>
      <c r="U20" s="123">
        <v>0</v>
      </c>
      <c r="V20" s="123"/>
      <c r="W20" s="123">
        <v>0</v>
      </c>
      <c r="X20" s="123">
        <f t="shared" si="0"/>
        <v>385</v>
      </c>
      <c r="Y20" s="124">
        <f t="shared" si="1"/>
        <v>0</v>
      </c>
      <c r="Z20" s="372" t="s">
        <v>1121</v>
      </c>
      <c r="AA20" s="123"/>
      <c r="AB20" s="123">
        <f t="shared" si="4"/>
        <v>2866</v>
      </c>
      <c r="AC20" s="123">
        <f t="shared" si="2"/>
        <v>143.30000000000001</v>
      </c>
      <c r="AD20" s="123">
        <f t="shared" si="3"/>
        <v>3009.3</v>
      </c>
      <c r="AE20" s="124">
        <v>27913</v>
      </c>
      <c r="AF20" s="128"/>
      <c r="AG20" s="370"/>
    </row>
    <row r="21" spans="1:64" s="371" customFormat="1">
      <c r="A21" s="405">
        <v>42180</v>
      </c>
      <c r="B21" s="897">
        <v>50532</v>
      </c>
      <c r="C21" s="909"/>
      <c r="D21" s="909"/>
      <c r="E21" s="124">
        <v>2</v>
      </c>
      <c r="F21" s="122">
        <v>12</v>
      </c>
      <c r="G21" s="123">
        <v>182</v>
      </c>
      <c r="H21" s="125"/>
      <c r="I21" s="123">
        <v>138</v>
      </c>
      <c r="J21" s="926" t="s">
        <v>73</v>
      </c>
      <c r="K21" s="123">
        <v>276</v>
      </c>
      <c r="L21" s="369" t="s">
        <v>72</v>
      </c>
      <c r="M21" s="123">
        <v>161</v>
      </c>
      <c r="N21" s="926" t="s">
        <v>73</v>
      </c>
      <c r="O21" s="123">
        <v>42</v>
      </c>
      <c r="P21" s="123"/>
      <c r="Q21" s="123">
        <v>0</v>
      </c>
      <c r="R21" s="123"/>
      <c r="S21" s="123">
        <v>0</v>
      </c>
      <c r="T21" s="123"/>
      <c r="U21" s="123">
        <v>0</v>
      </c>
      <c r="V21" s="123"/>
      <c r="W21" s="123">
        <v>0</v>
      </c>
      <c r="X21" s="123">
        <f t="shared" si="0"/>
        <v>385</v>
      </c>
      <c r="Y21" s="124">
        <f t="shared" si="1"/>
        <v>0</v>
      </c>
      <c r="Z21" s="372" t="s">
        <v>1121</v>
      </c>
      <c r="AA21" s="123"/>
      <c r="AB21" s="123">
        <f t="shared" si="4"/>
        <v>2824</v>
      </c>
      <c r="AC21" s="123">
        <f t="shared" si="2"/>
        <v>141.20000000000002</v>
      </c>
      <c r="AD21" s="123">
        <f t="shared" si="3"/>
        <v>2965.2</v>
      </c>
      <c r="AE21" s="124">
        <v>27913</v>
      </c>
      <c r="AF21" s="128"/>
      <c r="AG21" s="370"/>
    </row>
    <row r="22" spans="1:64" s="371" customFormat="1">
      <c r="A22" s="405">
        <v>42180</v>
      </c>
      <c r="B22" s="897">
        <v>66701</v>
      </c>
      <c r="C22" s="909"/>
      <c r="D22" s="909"/>
      <c r="E22" s="124">
        <v>2</v>
      </c>
      <c r="F22" s="122">
        <v>12</v>
      </c>
      <c r="G22" s="123">
        <v>182</v>
      </c>
      <c r="H22" s="926" t="s">
        <v>72</v>
      </c>
      <c r="I22" s="123">
        <v>138</v>
      </c>
      <c r="J22" s="125"/>
      <c r="K22" s="123">
        <v>276</v>
      </c>
      <c r="L22" s="369" t="s">
        <v>72</v>
      </c>
      <c r="M22" s="123">
        <v>161</v>
      </c>
      <c r="N22" s="926" t="s">
        <v>72</v>
      </c>
      <c r="O22" s="123">
        <v>42</v>
      </c>
      <c r="P22" s="123"/>
      <c r="Q22" s="123">
        <v>0</v>
      </c>
      <c r="R22" s="123"/>
      <c r="S22" s="123">
        <v>0</v>
      </c>
      <c r="T22" s="123"/>
      <c r="U22" s="123">
        <v>0</v>
      </c>
      <c r="V22" s="123"/>
      <c r="W22" s="123">
        <v>0</v>
      </c>
      <c r="X22" s="123">
        <f t="shared" si="0"/>
        <v>385</v>
      </c>
      <c r="Y22" s="124">
        <f t="shared" si="1"/>
        <v>0</v>
      </c>
      <c r="Z22" s="372" t="s">
        <v>1121</v>
      </c>
      <c r="AA22" s="123"/>
      <c r="AB22" s="123">
        <f t="shared" si="4"/>
        <v>2866</v>
      </c>
      <c r="AC22" s="123">
        <f t="shared" si="2"/>
        <v>143.30000000000001</v>
      </c>
      <c r="AD22" s="123">
        <f t="shared" si="3"/>
        <v>3009.3</v>
      </c>
      <c r="AE22" s="124">
        <v>27913</v>
      </c>
      <c r="AF22" s="128"/>
      <c r="AG22" s="370"/>
    </row>
    <row r="23" spans="1:64" s="371" customFormat="1">
      <c r="A23" s="405">
        <v>42181</v>
      </c>
      <c r="B23" s="897">
        <v>66702</v>
      </c>
      <c r="C23" s="909"/>
      <c r="D23" s="909"/>
      <c r="E23" s="124">
        <v>2</v>
      </c>
      <c r="F23" s="122">
        <v>7</v>
      </c>
      <c r="G23" s="123">
        <v>182</v>
      </c>
      <c r="H23" s="926" t="s">
        <v>72</v>
      </c>
      <c r="I23" s="123">
        <v>138</v>
      </c>
      <c r="J23" s="125"/>
      <c r="K23" s="123">
        <v>276</v>
      </c>
      <c r="L23" s="369" t="s">
        <v>72</v>
      </c>
      <c r="M23" s="123">
        <v>161</v>
      </c>
      <c r="N23" s="926" t="s">
        <v>72</v>
      </c>
      <c r="O23" s="123">
        <v>42</v>
      </c>
      <c r="P23" s="123"/>
      <c r="Q23" s="123">
        <v>0</v>
      </c>
      <c r="R23" s="123"/>
      <c r="S23" s="123">
        <v>0</v>
      </c>
      <c r="T23" s="123"/>
      <c r="U23" s="123">
        <v>0</v>
      </c>
      <c r="V23" s="123"/>
      <c r="W23" s="123">
        <v>0</v>
      </c>
      <c r="X23" s="123">
        <f t="shared" si="0"/>
        <v>385</v>
      </c>
      <c r="Y23" s="124">
        <f t="shared" si="1"/>
        <v>0</v>
      </c>
      <c r="Z23" s="372" t="s">
        <v>1121</v>
      </c>
      <c r="AA23" s="123"/>
      <c r="AB23" s="123">
        <f t="shared" si="4"/>
        <v>1956</v>
      </c>
      <c r="AC23" s="123">
        <f t="shared" si="2"/>
        <v>97.800000000000011</v>
      </c>
      <c r="AD23" s="123">
        <f t="shared" si="3"/>
        <v>2053.8000000000002</v>
      </c>
      <c r="AE23" s="124">
        <v>27913</v>
      </c>
      <c r="AF23" s="128"/>
      <c r="AG23" s="370"/>
      <c r="AH23" s="415"/>
    </row>
    <row r="24" spans="1:64" s="371" customFormat="1">
      <c r="A24" s="405">
        <v>42181</v>
      </c>
      <c r="B24" s="897">
        <v>50533</v>
      </c>
      <c r="C24" s="909"/>
      <c r="D24" s="909"/>
      <c r="E24" s="124">
        <v>2</v>
      </c>
      <c r="F24" s="122">
        <v>12</v>
      </c>
      <c r="G24" s="123">
        <v>182</v>
      </c>
      <c r="H24" s="125"/>
      <c r="I24" s="123">
        <v>138</v>
      </c>
      <c r="J24" s="926" t="s">
        <v>73</v>
      </c>
      <c r="K24" s="123">
        <v>276</v>
      </c>
      <c r="L24" s="369" t="s">
        <v>72</v>
      </c>
      <c r="M24" s="123">
        <v>161</v>
      </c>
      <c r="N24" s="927" t="s">
        <v>72</v>
      </c>
      <c r="O24" s="123">
        <v>42</v>
      </c>
      <c r="P24" s="123"/>
      <c r="Q24" s="123">
        <v>0</v>
      </c>
      <c r="R24" s="123"/>
      <c r="S24" s="123">
        <v>0</v>
      </c>
      <c r="T24" s="123"/>
      <c r="U24" s="123">
        <v>0</v>
      </c>
      <c r="V24" s="123"/>
      <c r="W24" s="123">
        <v>0</v>
      </c>
      <c r="X24" s="123">
        <f t="shared" si="0"/>
        <v>385</v>
      </c>
      <c r="Y24" s="124">
        <f t="shared" si="1"/>
        <v>0</v>
      </c>
      <c r="Z24" s="372" t="s">
        <v>1122</v>
      </c>
      <c r="AA24" s="123"/>
      <c r="AB24" s="123">
        <f t="shared" si="4"/>
        <v>2866</v>
      </c>
      <c r="AC24" s="123">
        <f t="shared" si="2"/>
        <v>143.30000000000001</v>
      </c>
      <c r="AD24" s="123">
        <f t="shared" si="3"/>
        <v>3009.3</v>
      </c>
      <c r="AE24" s="124">
        <v>27913</v>
      </c>
      <c r="AF24" s="930"/>
      <c r="AG24" s="917"/>
    </row>
    <row r="25" spans="1:64" s="371" customFormat="1">
      <c r="A25" s="405">
        <v>42182</v>
      </c>
      <c r="B25" s="897">
        <v>55729</v>
      </c>
      <c r="C25" s="909"/>
      <c r="D25" s="909"/>
      <c r="E25" s="124">
        <v>2</v>
      </c>
      <c r="F25" s="122">
        <v>12</v>
      </c>
      <c r="G25" s="123">
        <v>182</v>
      </c>
      <c r="H25" s="125"/>
      <c r="I25" s="123">
        <v>138</v>
      </c>
      <c r="J25" s="926" t="s">
        <v>73</v>
      </c>
      <c r="K25" s="123">
        <v>276</v>
      </c>
      <c r="L25" s="369" t="s">
        <v>72</v>
      </c>
      <c r="M25" s="123">
        <v>161</v>
      </c>
      <c r="N25" s="927" t="s">
        <v>72</v>
      </c>
      <c r="O25" s="123">
        <v>42</v>
      </c>
      <c r="P25" s="123"/>
      <c r="Q25" s="123">
        <v>0</v>
      </c>
      <c r="R25" s="123"/>
      <c r="S25" s="123">
        <v>0</v>
      </c>
      <c r="T25" s="123"/>
      <c r="U25" s="123">
        <v>0</v>
      </c>
      <c r="V25" s="123"/>
      <c r="W25" s="123">
        <v>0</v>
      </c>
      <c r="X25" s="123">
        <f t="shared" si="0"/>
        <v>385</v>
      </c>
      <c r="Y25" s="124">
        <f t="shared" si="1"/>
        <v>0</v>
      </c>
      <c r="Z25" s="372" t="s">
        <v>1122</v>
      </c>
      <c r="AA25" s="123"/>
      <c r="AB25" s="123">
        <f t="shared" si="4"/>
        <v>2866</v>
      </c>
      <c r="AC25" s="123">
        <f t="shared" si="2"/>
        <v>143.30000000000001</v>
      </c>
      <c r="AD25" s="123">
        <f t="shared" si="3"/>
        <v>3009.3</v>
      </c>
      <c r="AE25" s="124">
        <v>27913</v>
      </c>
      <c r="AF25" s="128"/>
      <c r="AG25" s="370"/>
      <c r="AH25" s="910"/>
    </row>
    <row r="26" spans="1:64" s="371" customFormat="1">
      <c r="A26" s="366">
        <v>42182</v>
      </c>
      <c r="B26" s="897">
        <v>66704</v>
      </c>
      <c r="C26" s="367"/>
      <c r="D26" s="367"/>
      <c r="E26" s="368">
        <v>2</v>
      </c>
      <c r="F26" s="387">
        <v>12</v>
      </c>
      <c r="G26" s="123">
        <v>182</v>
      </c>
      <c r="H26" s="926" t="s">
        <v>72</v>
      </c>
      <c r="I26" s="123">
        <v>138</v>
      </c>
      <c r="J26" s="125"/>
      <c r="K26" s="123">
        <v>276</v>
      </c>
      <c r="L26" s="369" t="s">
        <v>72</v>
      </c>
      <c r="M26" s="123">
        <v>161</v>
      </c>
      <c r="N26" s="926" t="s">
        <v>91</v>
      </c>
      <c r="O26" s="123">
        <v>42</v>
      </c>
      <c r="P26" s="123"/>
      <c r="Q26" s="123">
        <v>0</v>
      </c>
      <c r="R26" s="123"/>
      <c r="S26" s="123">
        <v>0</v>
      </c>
      <c r="T26" s="123"/>
      <c r="U26" s="123">
        <v>0</v>
      </c>
      <c r="V26" s="123"/>
      <c r="W26" s="123">
        <v>0</v>
      </c>
      <c r="X26" s="123">
        <f t="shared" si="0"/>
        <v>385</v>
      </c>
      <c r="Y26" s="124">
        <f t="shared" si="1"/>
        <v>0</v>
      </c>
      <c r="Z26" s="372" t="s">
        <v>1122</v>
      </c>
      <c r="AA26" s="368"/>
      <c r="AB26" s="123">
        <f t="shared" si="4"/>
        <v>2908</v>
      </c>
      <c r="AC26" s="123">
        <f t="shared" si="2"/>
        <v>145.4</v>
      </c>
      <c r="AD26" s="123">
        <f t="shared" si="3"/>
        <v>3053.4</v>
      </c>
      <c r="AE26" s="124">
        <v>27913</v>
      </c>
      <c r="AF26" s="128"/>
      <c r="AG26" s="370"/>
    </row>
    <row r="27" spans="1:64" s="371" customFormat="1">
      <c r="A27" s="366">
        <v>42183</v>
      </c>
      <c r="B27" s="897">
        <v>66705</v>
      </c>
      <c r="C27" s="367"/>
      <c r="D27" s="367"/>
      <c r="E27" s="368">
        <v>2</v>
      </c>
      <c r="F27" s="387"/>
      <c r="G27" s="123">
        <v>182</v>
      </c>
      <c r="H27" s="125"/>
      <c r="I27" s="123">
        <v>138</v>
      </c>
      <c r="J27" s="125"/>
      <c r="K27" s="123">
        <v>276</v>
      </c>
      <c r="L27" s="369" t="s">
        <v>72</v>
      </c>
      <c r="M27" s="123">
        <v>161</v>
      </c>
      <c r="N27" s="125"/>
      <c r="O27" s="123">
        <v>42</v>
      </c>
      <c r="P27" s="123"/>
      <c r="Q27" s="123">
        <v>0</v>
      </c>
      <c r="R27" s="123"/>
      <c r="S27" s="123">
        <v>0</v>
      </c>
      <c r="T27" s="123"/>
      <c r="U27" s="123">
        <v>0</v>
      </c>
      <c r="V27" s="123"/>
      <c r="W27" s="123">
        <v>0</v>
      </c>
      <c r="X27" s="123">
        <f t="shared" si="0"/>
        <v>385</v>
      </c>
      <c r="Y27" s="124">
        <f t="shared" si="1"/>
        <v>0</v>
      </c>
      <c r="Z27" s="372" t="s">
        <v>1122</v>
      </c>
      <c r="AA27" s="368"/>
      <c r="AB27" s="123">
        <f t="shared" si="4"/>
        <v>322</v>
      </c>
      <c r="AC27" s="123">
        <f t="shared" si="2"/>
        <v>16.100000000000001</v>
      </c>
      <c r="AD27" s="123">
        <f t="shared" si="3"/>
        <v>338.1</v>
      </c>
      <c r="AE27" s="124">
        <v>27913</v>
      </c>
      <c r="AF27" s="128"/>
      <c r="AG27" s="370"/>
    </row>
    <row r="28" spans="1:64" s="371" customFormat="1">
      <c r="A28" s="366">
        <v>42183</v>
      </c>
      <c r="B28" s="897">
        <v>55730</v>
      </c>
      <c r="C28" s="367"/>
      <c r="D28" s="367"/>
      <c r="E28" s="368">
        <v>2</v>
      </c>
      <c r="F28" s="387">
        <v>4</v>
      </c>
      <c r="G28" s="123">
        <v>182</v>
      </c>
      <c r="H28" s="125"/>
      <c r="I28" s="123">
        <v>138</v>
      </c>
      <c r="J28" s="125"/>
      <c r="K28" s="123">
        <v>276</v>
      </c>
      <c r="L28" s="369"/>
      <c r="M28" s="123">
        <v>161</v>
      </c>
      <c r="N28" s="125"/>
      <c r="O28" s="123">
        <v>42</v>
      </c>
      <c r="P28" s="123"/>
      <c r="Q28" s="123">
        <v>0</v>
      </c>
      <c r="R28" s="123"/>
      <c r="S28" s="123">
        <v>0</v>
      </c>
      <c r="T28" s="123"/>
      <c r="U28" s="123">
        <v>0</v>
      </c>
      <c r="V28" s="123"/>
      <c r="W28" s="123">
        <v>0</v>
      </c>
      <c r="X28" s="123">
        <f t="shared" si="0"/>
        <v>385</v>
      </c>
      <c r="Y28" s="124">
        <f t="shared" si="1"/>
        <v>0</v>
      </c>
      <c r="Z28" s="372" t="s">
        <v>1122</v>
      </c>
      <c r="AA28" s="368"/>
      <c r="AB28" s="123">
        <f t="shared" si="4"/>
        <v>728</v>
      </c>
      <c r="AC28" s="123">
        <f t="shared" si="2"/>
        <v>36.4</v>
      </c>
      <c r="AD28" s="123">
        <f t="shared" si="3"/>
        <v>764.4</v>
      </c>
      <c r="AE28" s="124">
        <v>27913</v>
      </c>
      <c r="AF28" s="128"/>
      <c r="AG28" s="370"/>
    </row>
    <row r="29" spans="1:64" s="371" customFormat="1">
      <c r="A29" s="366">
        <v>42184</v>
      </c>
      <c r="B29" s="897">
        <v>66706</v>
      </c>
      <c r="C29" s="367"/>
      <c r="D29" s="367"/>
      <c r="E29" s="368">
        <v>2</v>
      </c>
      <c r="F29" s="387">
        <v>12</v>
      </c>
      <c r="G29" s="123">
        <v>182</v>
      </c>
      <c r="H29" s="926" t="s">
        <v>72</v>
      </c>
      <c r="I29" s="123">
        <v>138</v>
      </c>
      <c r="J29" s="125"/>
      <c r="K29" s="123">
        <v>276</v>
      </c>
      <c r="L29" s="369" t="s">
        <v>72</v>
      </c>
      <c r="M29" s="123">
        <v>161</v>
      </c>
      <c r="N29" s="926" t="s">
        <v>72</v>
      </c>
      <c r="O29" s="123">
        <v>42</v>
      </c>
      <c r="P29" s="123"/>
      <c r="Q29" s="123">
        <v>0</v>
      </c>
      <c r="R29" s="123"/>
      <c r="S29" s="123">
        <v>0</v>
      </c>
      <c r="T29" s="123"/>
      <c r="U29" s="123">
        <v>0</v>
      </c>
      <c r="V29" s="123"/>
      <c r="W29" s="123">
        <v>0</v>
      </c>
      <c r="X29" s="123">
        <f t="shared" si="0"/>
        <v>385</v>
      </c>
      <c r="Y29" s="124">
        <f t="shared" si="1"/>
        <v>0</v>
      </c>
      <c r="Z29" s="372" t="s">
        <v>1122</v>
      </c>
      <c r="AA29" s="368"/>
      <c r="AB29" s="123">
        <f t="shared" si="4"/>
        <v>2866</v>
      </c>
      <c r="AC29" s="123">
        <f t="shared" si="2"/>
        <v>143.30000000000001</v>
      </c>
      <c r="AD29" s="123">
        <f t="shared" si="3"/>
        <v>3009.3</v>
      </c>
      <c r="AE29" s="124">
        <v>27913</v>
      </c>
      <c r="AF29" s="128"/>
      <c r="AG29" s="370"/>
    </row>
    <row r="30" spans="1:64" s="136" customFormat="1">
      <c r="A30" s="366">
        <v>42185</v>
      </c>
      <c r="B30" s="897">
        <v>66707</v>
      </c>
      <c r="C30" s="909"/>
      <c r="D30" s="909"/>
      <c r="E30" s="124">
        <v>2</v>
      </c>
      <c r="F30" s="124">
        <v>4</v>
      </c>
      <c r="G30" s="123">
        <v>182</v>
      </c>
      <c r="H30" s="123"/>
      <c r="I30" s="123">
        <v>138</v>
      </c>
      <c r="J30" s="123"/>
      <c r="K30" s="123">
        <v>276</v>
      </c>
      <c r="L30" s="369" t="s">
        <v>72</v>
      </c>
      <c r="M30" s="123">
        <v>161</v>
      </c>
      <c r="N30" s="123"/>
      <c r="O30" s="123">
        <v>42</v>
      </c>
      <c r="P30" s="123"/>
      <c r="Q30" s="123"/>
      <c r="R30" s="123"/>
      <c r="S30" s="123"/>
      <c r="T30" s="123"/>
      <c r="U30" s="123"/>
      <c r="V30" s="123"/>
      <c r="W30" s="123"/>
      <c r="X30" s="123"/>
      <c r="Y30" s="124">
        <f t="shared" si="1"/>
        <v>0</v>
      </c>
      <c r="Z30" s="372" t="s">
        <v>1122</v>
      </c>
      <c r="AA30" s="123"/>
      <c r="AB30" s="123">
        <f t="shared" si="4"/>
        <v>1050</v>
      </c>
      <c r="AC30" s="123">
        <f t="shared" si="2"/>
        <v>52.5</v>
      </c>
      <c r="AD30" s="123">
        <f t="shared" si="3"/>
        <v>1102.5</v>
      </c>
      <c r="AE30" s="124">
        <v>27913</v>
      </c>
      <c r="AF30" s="128"/>
      <c r="AG30" s="370"/>
      <c r="AH30" s="371"/>
      <c r="AI30" s="371"/>
      <c r="AJ30" s="371"/>
      <c r="AK30" s="371"/>
      <c r="AL30" s="371"/>
      <c r="AM30" s="371"/>
      <c r="AN30" s="371"/>
      <c r="AO30" s="371"/>
      <c r="AP30" s="371"/>
      <c r="AQ30" s="371"/>
      <c r="AR30" s="371"/>
      <c r="AS30" s="371"/>
      <c r="AT30" s="371"/>
      <c r="AU30" s="371"/>
      <c r="AV30" s="371"/>
      <c r="AW30" s="371"/>
      <c r="AX30" s="371"/>
      <c r="AY30" s="371"/>
      <c r="AZ30" s="371"/>
      <c r="BA30" s="371"/>
      <c r="BB30" s="371"/>
      <c r="BC30" s="371"/>
      <c r="BD30" s="371"/>
      <c r="BE30" s="371"/>
      <c r="BF30" s="371"/>
      <c r="BG30" s="371"/>
      <c r="BH30" s="371"/>
      <c r="BI30" s="371"/>
      <c r="BJ30" s="371"/>
      <c r="BK30" s="371"/>
      <c r="BL30" s="371"/>
    </row>
    <row r="31" spans="1:64" s="136" customFormat="1">
      <c r="A31" s="137">
        <v>42186</v>
      </c>
      <c r="B31" s="841">
        <v>66709</v>
      </c>
      <c r="C31" s="130"/>
      <c r="D31" s="130"/>
      <c r="E31" s="133">
        <v>2</v>
      </c>
      <c r="F31" s="133">
        <v>4</v>
      </c>
      <c r="G31" s="132">
        <v>182</v>
      </c>
      <c r="H31" s="132"/>
      <c r="I31" s="132">
        <v>138</v>
      </c>
      <c r="J31" s="132"/>
      <c r="K31" s="132">
        <v>276</v>
      </c>
      <c r="L31" s="156">
        <v>2</v>
      </c>
      <c r="M31" s="132">
        <v>161</v>
      </c>
      <c r="N31" s="132"/>
      <c r="O31" s="132">
        <v>42</v>
      </c>
      <c r="P31" s="132"/>
      <c r="Q31" s="132"/>
      <c r="R31" s="132"/>
      <c r="S31" s="132"/>
      <c r="T31" s="132"/>
      <c r="U31" s="132"/>
      <c r="V31" s="132"/>
      <c r="W31" s="132"/>
      <c r="X31" s="132"/>
      <c r="Y31" s="133"/>
      <c r="Z31" s="134" t="s">
        <v>1123</v>
      </c>
      <c r="AA31" s="132"/>
      <c r="AB31" s="132">
        <f t="shared" si="4"/>
        <v>1050</v>
      </c>
      <c r="AC31" s="132">
        <f t="shared" si="2"/>
        <v>52.5</v>
      </c>
      <c r="AD31" s="132">
        <f t="shared" si="3"/>
        <v>1102.5</v>
      </c>
      <c r="AE31" s="133">
        <v>28029</v>
      </c>
      <c r="AF31" s="141"/>
      <c r="AG31" s="148"/>
    </row>
    <row r="32" spans="1:64" s="136" customFormat="1">
      <c r="A32" s="137">
        <v>42187</v>
      </c>
      <c r="B32" s="841">
        <v>66710</v>
      </c>
      <c r="C32" s="130"/>
      <c r="D32" s="130"/>
      <c r="E32" s="133">
        <v>2</v>
      </c>
      <c r="F32" s="133"/>
      <c r="G32" s="132">
        <v>182</v>
      </c>
      <c r="H32" s="132"/>
      <c r="I32" s="132">
        <v>138</v>
      </c>
      <c r="J32" s="132"/>
      <c r="K32" s="132">
        <v>276</v>
      </c>
      <c r="L32" s="131">
        <v>2</v>
      </c>
      <c r="M32" s="132">
        <v>161</v>
      </c>
      <c r="N32" s="133"/>
      <c r="O32" s="132">
        <v>42</v>
      </c>
      <c r="P32" s="132"/>
      <c r="Q32" s="132"/>
      <c r="R32" s="132"/>
      <c r="S32" s="132"/>
      <c r="T32" s="132"/>
      <c r="U32" s="132"/>
      <c r="V32" s="132"/>
      <c r="W32" s="132"/>
      <c r="X32" s="132"/>
      <c r="Y32" s="133"/>
      <c r="Z32" s="134" t="s">
        <v>1123</v>
      </c>
      <c r="AA32" s="132"/>
      <c r="AB32" s="132">
        <f t="shared" si="4"/>
        <v>322</v>
      </c>
      <c r="AC32" s="132">
        <f t="shared" si="2"/>
        <v>16.100000000000001</v>
      </c>
      <c r="AD32" s="132">
        <f t="shared" si="3"/>
        <v>338.1</v>
      </c>
      <c r="AE32" s="133">
        <v>28029</v>
      </c>
      <c r="AF32" s="141"/>
      <c r="AG32" s="148"/>
    </row>
    <row r="33" spans="1:64" s="136" customFormat="1">
      <c r="A33" s="137">
        <v>42188</v>
      </c>
      <c r="B33" s="841">
        <v>66711</v>
      </c>
      <c r="C33" s="138"/>
      <c r="D33" s="138"/>
      <c r="E33" s="140">
        <v>2</v>
      </c>
      <c r="F33" s="133">
        <v>12</v>
      </c>
      <c r="G33" s="132">
        <v>182</v>
      </c>
      <c r="H33" s="132"/>
      <c r="I33" s="132">
        <v>138</v>
      </c>
      <c r="J33" s="132"/>
      <c r="K33" s="132">
        <v>276</v>
      </c>
      <c r="L33" s="131">
        <v>2</v>
      </c>
      <c r="M33" s="132">
        <v>161</v>
      </c>
      <c r="N33" s="133">
        <v>1</v>
      </c>
      <c r="O33" s="132">
        <v>42</v>
      </c>
      <c r="P33" s="132"/>
      <c r="Q33" s="132"/>
      <c r="R33" s="132"/>
      <c r="S33" s="132"/>
      <c r="T33" s="132"/>
      <c r="U33" s="132"/>
      <c r="V33" s="132"/>
      <c r="W33" s="132"/>
      <c r="X33" s="132"/>
      <c r="Y33" s="133"/>
      <c r="Z33" s="134" t="s">
        <v>1123</v>
      </c>
      <c r="AA33" s="132"/>
      <c r="AB33" s="132">
        <f t="shared" si="4"/>
        <v>2548</v>
      </c>
      <c r="AC33" s="132">
        <f t="shared" si="2"/>
        <v>127.4</v>
      </c>
      <c r="AD33" s="132">
        <f t="shared" si="3"/>
        <v>2675.4</v>
      </c>
      <c r="AE33" s="133">
        <v>28029</v>
      </c>
      <c r="AF33" s="141"/>
      <c r="AG33" s="148"/>
    </row>
    <row r="34" spans="1:64" s="136" customFormat="1">
      <c r="A34" s="137">
        <v>42189</v>
      </c>
      <c r="B34" s="841">
        <v>66712</v>
      </c>
      <c r="C34" s="138"/>
      <c r="D34" s="138"/>
      <c r="E34" s="140">
        <v>2</v>
      </c>
      <c r="F34" s="133">
        <v>12</v>
      </c>
      <c r="G34" s="132">
        <v>182</v>
      </c>
      <c r="H34" s="132"/>
      <c r="I34" s="132">
        <v>138</v>
      </c>
      <c r="J34" s="132"/>
      <c r="K34" s="132">
        <v>276</v>
      </c>
      <c r="L34" s="131">
        <v>2</v>
      </c>
      <c r="M34" s="132">
        <v>161</v>
      </c>
      <c r="N34" s="133">
        <v>1</v>
      </c>
      <c r="O34" s="132">
        <v>42</v>
      </c>
      <c r="P34" s="132"/>
      <c r="Q34" s="132"/>
      <c r="R34" s="132"/>
      <c r="S34" s="132"/>
      <c r="T34" s="132"/>
      <c r="U34" s="132"/>
      <c r="V34" s="132"/>
      <c r="W34" s="132"/>
      <c r="X34" s="132"/>
      <c r="Y34" s="133"/>
      <c r="Z34" s="134" t="s">
        <v>1123</v>
      </c>
      <c r="AA34" s="132"/>
      <c r="AB34" s="132">
        <f t="shared" si="4"/>
        <v>2548</v>
      </c>
      <c r="AC34" s="132">
        <f t="shared" si="2"/>
        <v>127.4</v>
      </c>
      <c r="AD34" s="132">
        <f t="shared" si="3"/>
        <v>2675.4</v>
      </c>
      <c r="AE34" s="133">
        <v>28029</v>
      </c>
      <c r="AF34" s="141"/>
      <c r="AG34" s="148"/>
    </row>
    <row r="35" spans="1:64" s="136" customFormat="1">
      <c r="A35" s="137">
        <v>42190</v>
      </c>
      <c r="B35" s="841">
        <v>66713</v>
      </c>
      <c r="C35" s="138"/>
      <c r="D35" s="138"/>
      <c r="E35" s="140">
        <v>2</v>
      </c>
      <c r="F35" s="133">
        <v>12</v>
      </c>
      <c r="G35" s="132">
        <v>182</v>
      </c>
      <c r="H35" s="132"/>
      <c r="I35" s="132">
        <v>138</v>
      </c>
      <c r="J35" s="132"/>
      <c r="K35" s="132">
        <v>276</v>
      </c>
      <c r="L35" s="131">
        <v>2</v>
      </c>
      <c r="M35" s="132">
        <v>161</v>
      </c>
      <c r="N35" s="133">
        <v>1</v>
      </c>
      <c r="O35" s="132">
        <v>42</v>
      </c>
      <c r="P35" s="132"/>
      <c r="Q35" s="132"/>
      <c r="R35" s="132"/>
      <c r="S35" s="132"/>
      <c r="T35" s="132"/>
      <c r="U35" s="132"/>
      <c r="V35" s="132"/>
      <c r="W35" s="132"/>
      <c r="X35" s="132"/>
      <c r="Y35" s="133"/>
      <c r="Z35" s="134" t="s">
        <v>1123</v>
      </c>
      <c r="AA35" s="132"/>
      <c r="AB35" s="132">
        <f t="shared" si="4"/>
        <v>2548</v>
      </c>
      <c r="AC35" s="132">
        <f t="shared" si="2"/>
        <v>127.4</v>
      </c>
      <c r="AD35" s="132">
        <f t="shared" si="3"/>
        <v>2675.4</v>
      </c>
      <c r="AE35" s="133">
        <v>28029</v>
      </c>
      <c r="AF35" s="135"/>
      <c r="AG35" s="148"/>
    </row>
    <row r="36" spans="1:64" s="136" customFormat="1" ht="12" customHeight="1">
      <c r="A36" s="142">
        <v>42191</v>
      </c>
      <c r="B36" s="841">
        <v>66714</v>
      </c>
      <c r="C36" s="138"/>
      <c r="D36" s="138"/>
      <c r="E36" s="140">
        <v>2</v>
      </c>
      <c r="F36" s="133">
        <v>12</v>
      </c>
      <c r="G36" s="132">
        <v>182</v>
      </c>
      <c r="H36" s="132"/>
      <c r="I36" s="132">
        <v>138</v>
      </c>
      <c r="J36" s="132"/>
      <c r="K36" s="132">
        <v>276</v>
      </c>
      <c r="L36" s="131">
        <v>2</v>
      </c>
      <c r="M36" s="132">
        <v>161</v>
      </c>
      <c r="N36" s="133">
        <v>1</v>
      </c>
      <c r="O36" s="132">
        <v>42</v>
      </c>
      <c r="P36" s="132"/>
      <c r="Q36" s="132"/>
      <c r="R36" s="132"/>
      <c r="S36" s="132"/>
      <c r="T36" s="132"/>
      <c r="U36" s="132"/>
      <c r="V36" s="132"/>
      <c r="W36" s="132"/>
      <c r="X36" s="132"/>
      <c r="Y36" s="133"/>
      <c r="Z36" s="134" t="s">
        <v>1123</v>
      </c>
      <c r="AA36" s="132"/>
      <c r="AB36" s="132">
        <f t="shared" si="4"/>
        <v>2548</v>
      </c>
      <c r="AC36" s="132">
        <f t="shared" si="2"/>
        <v>127.4</v>
      </c>
      <c r="AD36" s="132">
        <f t="shared" si="3"/>
        <v>2675.4</v>
      </c>
      <c r="AE36" s="133">
        <v>28029</v>
      </c>
      <c r="AF36" s="141"/>
      <c r="AG36" s="148"/>
    </row>
    <row r="37" spans="1:64" s="136" customFormat="1" ht="12" customHeight="1">
      <c r="A37" s="142">
        <v>42192</v>
      </c>
      <c r="B37" s="841">
        <v>66715</v>
      </c>
      <c r="C37" s="138"/>
      <c r="D37" s="138"/>
      <c r="E37" s="140">
        <v>2</v>
      </c>
      <c r="F37" s="133">
        <v>12</v>
      </c>
      <c r="G37" s="132">
        <v>182</v>
      </c>
      <c r="H37" s="132"/>
      <c r="I37" s="132">
        <v>138</v>
      </c>
      <c r="J37" s="132"/>
      <c r="K37" s="132">
        <v>276</v>
      </c>
      <c r="L37" s="131">
        <v>2</v>
      </c>
      <c r="M37" s="132">
        <v>161</v>
      </c>
      <c r="N37" s="133">
        <v>2</v>
      </c>
      <c r="O37" s="132">
        <v>42</v>
      </c>
      <c r="P37" s="132"/>
      <c r="Q37" s="132"/>
      <c r="R37" s="132"/>
      <c r="S37" s="132"/>
      <c r="T37" s="132"/>
      <c r="U37" s="132"/>
      <c r="V37" s="132"/>
      <c r="W37" s="132"/>
      <c r="X37" s="132"/>
      <c r="Y37" s="133"/>
      <c r="Z37" s="134" t="s">
        <v>1123</v>
      </c>
      <c r="AA37" s="132"/>
      <c r="AB37" s="132">
        <f t="shared" si="4"/>
        <v>2590</v>
      </c>
      <c r="AC37" s="132">
        <f t="shared" si="2"/>
        <v>129.5</v>
      </c>
      <c r="AD37" s="132">
        <f t="shared" si="3"/>
        <v>2719.5</v>
      </c>
      <c r="AE37" s="133">
        <v>28029</v>
      </c>
      <c r="AF37" s="141"/>
      <c r="AG37" s="148"/>
    </row>
    <row r="38" spans="1:64" s="371" customFormat="1">
      <c r="A38" s="142">
        <v>42193</v>
      </c>
      <c r="B38" s="841">
        <v>66716</v>
      </c>
      <c r="C38" s="138"/>
      <c r="D38" s="138"/>
      <c r="E38" s="140">
        <v>2</v>
      </c>
      <c r="F38" s="133">
        <v>12</v>
      </c>
      <c r="G38" s="132">
        <v>182</v>
      </c>
      <c r="H38" s="132"/>
      <c r="I38" s="132">
        <v>138</v>
      </c>
      <c r="J38" s="132"/>
      <c r="K38" s="132">
        <v>276</v>
      </c>
      <c r="L38" s="131">
        <v>0</v>
      </c>
      <c r="M38" s="132">
        <v>161</v>
      </c>
      <c r="N38" s="133">
        <v>1</v>
      </c>
      <c r="O38" s="132">
        <v>42</v>
      </c>
      <c r="P38" s="132"/>
      <c r="Q38" s="132"/>
      <c r="R38" s="132"/>
      <c r="S38" s="132"/>
      <c r="T38" s="132"/>
      <c r="U38" s="132"/>
      <c r="V38" s="132"/>
      <c r="W38" s="132"/>
      <c r="X38" s="132"/>
      <c r="Y38" s="133"/>
      <c r="Z38" s="134" t="s">
        <v>1123</v>
      </c>
      <c r="AA38" s="132"/>
      <c r="AB38" s="132">
        <f t="shared" si="4"/>
        <v>2226</v>
      </c>
      <c r="AC38" s="132">
        <f t="shared" si="2"/>
        <v>111.30000000000001</v>
      </c>
      <c r="AD38" s="132">
        <f t="shared" si="3"/>
        <v>2337.3000000000002</v>
      </c>
      <c r="AE38" s="133">
        <v>28029</v>
      </c>
      <c r="AF38" s="141"/>
      <c r="AG38" s="148"/>
      <c r="AH38" s="136"/>
      <c r="AI38" s="136"/>
      <c r="AJ38" s="136"/>
      <c r="AK38" s="136"/>
      <c r="AL38" s="136"/>
      <c r="AM38" s="136"/>
      <c r="AN38" s="136"/>
      <c r="AO38" s="136"/>
      <c r="AP38" s="136"/>
      <c r="AQ38" s="136"/>
      <c r="AR38" s="136"/>
      <c r="AS38" s="136"/>
      <c r="AT38" s="136"/>
      <c r="AU38" s="136"/>
      <c r="AV38" s="136"/>
      <c r="AW38" s="136"/>
      <c r="AX38" s="136"/>
      <c r="AY38" s="136"/>
      <c r="AZ38" s="136"/>
      <c r="BA38" s="136"/>
      <c r="BB38" s="136"/>
      <c r="BC38" s="136"/>
      <c r="BD38" s="136"/>
      <c r="BE38" s="136"/>
      <c r="BF38" s="136"/>
      <c r="BG38" s="136"/>
      <c r="BH38" s="136"/>
      <c r="BI38" s="136"/>
      <c r="BJ38" s="136"/>
      <c r="BK38" s="136"/>
      <c r="BL38" s="136"/>
    </row>
    <row r="39" spans="1:64" s="559" customFormat="1">
      <c r="A39" s="366">
        <v>42227</v>
      </c>
      <c r="B39" s="897">
        <v>46503</v>
      </c>
      <c r="C39" s="367"/>
      <c r="D39" s="367"/>
      <c r="E39" s="368">
        <v>2</v>
      </c>
      <c r="F39" s="124">
        <v>5</v>
      </c>
      <c r="G39" s="123">
        <v>182</v>
      </c>
      <c r="H39" s="123"/>
      <c r="I39" s="123">
        <v>138</v>
      </c>
      <c r="J39" s="123"/>
      <c r="K39" s="123">
        <v>276</v>
      </c>
      <c r="L39" s="122"/>
      <c r="M39" s="123">
        <v>161</v>
      </c>
      <c r="N39" s="124">
        <v>1</v>
      </c>
      <c r="O39" s="123">
        <v>42</v>
      </c>
      <c r="P39" s="123"/>
      <c r="Q39" s="123"/>
      <c r="R39" s="123"/>
      <c r="S39" s="123"/>
      <c r="T39" s="123"/>
      <c r="U39" s="123"/>
      <c r="V39" s="123"/>
      <c r="W39" s="123"/>
      <c r="X39" s="123"/>
      <c r="Y39" s="124"/>
      <c r="Z39" s="372" t="s">
        <v>1124</v>
      </c>
      <c r="AA39" s="123"/>
      <c r="AB39" s="123">
        <f t="shared" si="4"/>
        <v>952</v>
      </c>
      <c r="AC39" s="123">
        <f t="shared" si="2"/>
        <v>47.6</v>
      </c>
      <c r="AD39" s="123">
        <f t="shared" si="3"/>
        <v>999.6</v>
      </c>
      <c r="AE39" s="368">
        <v>28169</v>
      </c>
      <c r="AF39" s="128"/>
      <c r="AG39" s="370"/>
      <c r="AH39" s="371"/>
      <c r="AI39" s="371"/>
      <c r="AJ39" s="371"/>
      <c r="AK39" s="371"/>
      <c r="AL39" s="371"/>
      <c r="AM39" s="371"/>
      <c r="AN39" s="371"/>
      <c r="AO39" s="371"/>
      <c r="AP39" s="371"/>
      <c r="AQ39" s="371"/>
      <c r="AR39" s="371"/>
      <c r="AS39" s="371"/>
      <c r="AT39" s="371"/>
      <c r="AU39" s="371"/>
      <c r="AV39" s="371"/>
      <c r="AW39" s="371"/>
      <c r="AX39" s="371"/>
      <c r="AY39" s="371"/>
      <c r="AZ39" s="371"/>
      <c r="BA39" s="371"/>
      <c r="BB39" s="371"/>
      <c r="BC39" s="371"/>
      <c r="BD39" s="371"/>
      <c r="BE39" s="371"/>
      <c r="BF39" s="371"/>
      <c r="BG39" s="371"/>
      <c r="BH39" s="371"/>
      <c r="BI39" s="371"/>
      <c r="BJ39" s="371"/>
      <c r="BK39" s="371"/>
      <c r="BL39" s="371"/>
    </row>
    <row r="40" spans="1:64" s="468" customFormat="1">
      <c r="A40" s="817">
        <v>42228</v>
      </c>
      <c r="B40" s="697">
        <v>46504</v>
      </c>
      <c r="C40" s="828"/>
      <c r="D40" s="828"/>
      <c r="E40" s="818">
        <v>2</v>
      </c>
      <c r="F40" s="701">
        <v>9</v>
      </c>
      <c r="G40" s="700">
        <v>182</v>
      </c>
      <c r="H40" s="700"/>
      <c r="I40" s="700">
        <v>138</v>
      </c>
      <c r="J40" s="700"/>
      <c r="K40" s="700">
        <v>276</v>
      </c>
      <c r="L40" s="699"/>
      <c r="M40" s="700">
        <v>161</v>
      </c>
      <c r="N40" s="701">
        <v>1</v>
      </c>
      <c r="O40" s="700">
        <v>42</v>
      </c>
      <c r="P40" s="700"/>
      <c r="Q40" s="700"/>
      <c r="R40" s="700"/>
      <c r="S40" s="700"/>
      <c r="T40" s="700"/>
      <c r="U40" s="700"/>
      <c r="V40" s="700"/>
      <c r="W40" s="700"/>
      <c r="X40" s="700"/>
      <c r="Y40" s="701"/>
      <c r="Z40" s="911" t="s">
        <v>1124</v>
      </c>
      <c r="AA40" s="700"/>
      <c r="AB40" s="700">
        <f t="shared" si="4"/>
        <v>1680</v>
      </c>
      <c r="AC40" s="700">
        <f t="shared" si="2"/>
        <v>84</v>
      </c>
      <c r="AD40" s="700">
        <f t="shared" si="3"/>
        <v>1764</v>
      </c>
      <c r="AE40" s="818">
        <v>28185</v>
      </c>
      <c r="AF40" s="830"/>
      <c r="AG40" s="626"/>
      <c r="AH40" s="559"/>
      <c r="AI40" s="559"/>
      <c r="AJ40" s="559"/>
      <c r="AK40" s="559"/>
      <c r="AL40" s="559"/>
      <c r="AM40" s="559"/>
      <c r="AN40" s="559"/>
      <c r="AO40" s="559"/>
      <c r="AP40" s="559"/>
      <c r="AQ40" s="559"/>
      <c r="AR40" s="559"/>
      <c r="AS40" s="559"/>
      <c r="AT40" s="559"/>
      <c r="AU40" s="559"/>
      <c r="AV40" s="559"/>
      <c r="AW40" s="559"/>
      <c r="AX40" s="559"/>
      <c r="AY40" s="559"/>
      <c r="AZ40" s="559"/>
      <c r="BA40" s="559"/>
      <c r="BB40" s="559"/>
      <c r="BC40" s="559"/>
      <c r="BD40" s="559"/>
      <c r="BE40" s="559"/>
      <c r="BF40" s="559"/>
      <c r="BG40" s="559"/>
      <c r="BH40" s="559"/>
      <c r="BI40" s="559"/>
      <c r="BJ40" s="559"/>
      <c r="BK40" s="559"/>
      <c r="BL40" s="559"/>
    </row>
    <row r="41" spans="1:64" s="468" customFormat="1">
      <c r="A41" s="931">
        <v>42233</v>
      </c>
      <c r="B41" s="886">
        <v>46505</v>
      </c>
      <c r="C41" s="460"/>
      <c r="D41" s="460"/>
      <c r="E41" s="465">
        <v>2</v>
      </c>
      <c r="F41" s="461">
        <v>6</v>
      </c>
      <c r="G41" s="462">
        <v>182</v>
      </c>
      <c r="H41" s="462"/>
      <c r="I41" s="462">
        <v>138</v>
      </c>
      <c r="J41" s="462"/>
      <c r="K41" s="462">
        <v>276</v>
      </c>
      <c r="L41" s="463"/>
      <c r="M41" s="462">
        <v>161</v>
      </c>
      <c r="N41" s="464">
        <v>1</v>
      </c>
      <c r="O41" s="462">
        <v>42</v>
      </c>
      <c r="P41" s="462"/>
      <c r="Q41" s="462"/>
      <c r="R41" s="462"/>
      <c r="S41" s="462"/>
      <c r="T41" s="462"/>
      <c r="U41" s="462"/>
      <c r="V41" s="462"/>
      <c r="W41" s="462"/>
      <c r="X41" s="462"/>
      <c r="Y41" s="464"/>
      <c r="Z41" s="908" t="s">
        <v>1124</v>
      </c>
      <c r="AA41" s="462"/>
      <c r="AB41" s="462">
        <f t="shared" si="4"/>
        <v>1134</v>
      </c>
      <c r="AC41" s="462">
        <f t="shared" si="2"/>
        <v>56.7</v>
      </c>
      <c r="AD41" s="462">
        <f t="shared" si="3"/>
        <v>1190.7</v>
      </c>
      <c r="AE41" s="465">
        <v>28249</v>
      </c>
      <c r="AF41" s="466"/>
      <c r="AG41" s="467"/>
    </row>
    <row r="42" spans="1:64" s="371" customFormat="1">
      <c r="A42" s="931">
        <v>42234</v>
      </c>
      <c r="B42" s="886">
        <v>46506</v>
      </c>
      <c r="C42" s="460"/>
      <c r="D42" s="460"/>
      <c r="E42" s="465">
        <v>2</v>
      </c>
      <c r="F42" s="461">
        <v>7</v>
      </c>
      <c r="G42" s="462">
        <v>182</v>
      </c>
      <c r="H42" s="462"/>
      <c r="I42" s="462">
        <v>138</v>
      </c>
      <c r="J42" s="462"/>
      <c r="K42" s="462">
        <v>276</v>
      </c>
      <c r="L42" s="463"/>
      <c r="M42" s="462">
        <v>161</v>
      </c>
      <c r="N42" s="464">
        <v>1</v>
      </c>
      <c r="O42" s="462">
        <v>42</v>
      </c>
      <c r="P42" s="462"/>
      <c r="Q42" s="462"/>
      <c r="R42" s="462"/>
      <c r="S42" s="462"/>
      <c r="T42" s="462"/>
      <c r="U42" s="462"/>
      <c r="V42" s="462"/>
      <c r="W42" s="462"/>
      <c r="X42" s="462"/>
      <c r="Y42" s="464"/>
      <c r="Z42" s="908" t="s">
        <v>1124</v>
      </c>
      <c r="AA42" s="462"/>
      <c r="AB42" s="462">
        <f t="shared" si="4"/>
        <v>1316</v>
      </c>
      <c r="AC42" s="462">
        <f t="shared" si="2"/>
        <v>65.8</v>
      </c>
      <c r="AD42" s="462">
        <f t="shared" si="3"/>
        <v>1381.8</v>
      </c>
      <c r="AE42" s="465">
        <v>28249</v>
      </c>
      <c r="AF42" s="466"/>
      <c r="AG42" s="467"/>
      <c r="AH42" s="468"/>
      <c r="AI42" s="468"/>
      <c r="AJ42" s="468"/>
      <c r="AK42" s="468"/>
      <c r="AL42" s="468"/>
      <c r="AM42" s="468"/>
      <c r="AN42" s="468"/>
      <c r="AO42" s="468"/>
      <c r="AP42" s="468"/>
      <c r="AQ42" s="468"/>
      <c r="AR42" s="468"/>
      <c r="AS42" s="468"/>
      <c r="AT42" s="468"/>
      <c r="AU42" s="468"/>
      <c r="AV42" s="468"/>
      <c r="AW42" s="468"/>
      <c r="AX42" s="468"/>
      <c r="AY42" s="468"/>
      <c r="AZ42" s="468"/>
      <c r="BA42" s="468"/>
      <c r="BB42" s="468"/>
      <c r="BC42" s="468"/>
      <c r="BD42" s="468"/>
      <c r="BE42" s="468"/>
      <c r="BF42" s="468"/>
      <c r="BG42" s="468"/>
      <c r="BH42" s="468"/>
      <c r="BI42" s="468"/>
      <c r="BJ42" s="468"/>
      <c r="BK42" s="468"/>
      <c r="BL42" s="468"/>
    </row>
    <row r="43" spans="1:64" s="136" customFormat="1">
      <c r="A43" s="900">
        <v>42237</v>
      </c>
      <c r="B43" s="880">
        <v>46508</v>
      </c>
      <c r="C43" s="367"/>
      <c r="D43" s="367"/>
      <c r="E43" s="368">
        <v>2</v>
      </c>
      <c r="F43" s="387">
        <v>10</v>
      </c>
      <c r="G43" s="123">
        <v>182</v>
      </c>
      <c r="H43" s="125"/>
      <c r="I43" s="123"/>
      <c r="J43" s="125"/>
      <c r="K43" s="123"/>
      <c r="L43" s="122"/>
      <c r="M43" s="123"/>
      <c r="N43" s="122">
        <v>2</v>
      </c>
      <c r="O43" s="123">
        <v>42</v>
      </c>
      <c r="P43" s="123"/>
      <c r="Q43" s="123"/>
      <c r="R43" s="123"/>
      <c r="S43" s="123"/>
      <c r="T43" s="123"/>
      <c r="U43" s="123"/>
      <c r="V43" s="123"/>
      <c r="W43" s="123"/>
      <c r="X43" s="123"/>
      <c r="Y43" s="124"/>
      <c r="Z43" s="127" t="s">
        <v>1124</v>
      </c>
      <c r="AA43" s="368"/>
      <c r="AB43" s="123">
        <f t="shared" si="4"/>
        <v>1904</v>
      </c>
      <c r="AC43" s="123">
        <f t="shared" si="2"/>
        <v>95.2</v>
      </c>
      <c r="AD43" s="123">
        <f t="shared" si="3"/>
        <v>1999.2</v>
      </c>
      <c r="AE43" s="368">
        <v>28274</v>
      </c>
      <c r="AF43" s="128"/>
      <c r="AG43" s="370"/>
      <c r="AH43" s="371"/>
      <c r="AI43" s="371"/>
      <c r="AJ43" s="371"/>
      <c r="AK43" s="371"/>
      <c r="AL43" s="371"/>
      <c r="AM43" s="371"/>
      <c r="AN43" s="371"/>
      <c r="AO43" s="371"/>
      <c r="AP43" s="371"/>
      <c r="AQ43" s="371"/>
      <c r="AR43" s="371"/>
      <c r="AS43" s="371"/>
      <c r="AT43" s="371"/>
      <c r="AU43" s="371"/>
      <c r="AV43" s="371"/>
      <c r="AW43" s="371"/>
      <c r="AX43" s="371"/>
      <c r="AY43" s="371"/>
      <c r="AZ43" s="371"/>
      <c r="BA43" s="371"/>
      <c r="BB43" s="371"/>
      <c r="BC43" s="371"/>
      <c r="BD43" s="371"/>
      <c r="BE43" s="371"/>
      <c r="BF43" s="371"/>
      <c r="BG43" s="371"/>
      <c r="BH43" s="371"/>
      <c r="BI43" s="371"/>
      <c r="BJ43" s="371"/>
      <c r="BK43" s="371"/>
      <c r="BL43" s="371"/>
    </row>
    <row r="44" spans="1:64" s="136" customFormat="1">
      <c r="A44" s="137">
        <v>42241</v>
      </c>
      <c r="B44" s="841">
        <v>51833</v>
      </c>
      <c r="C44" s="138"/>
      <c r="D44" s="138"/>
      <c r="E44" s="140">
        <v>1</v>
      </c>
      <c r="F44" s="144"/>
      <c r="G44" s="132"/>
      <c r="H44" s="143"/>
      <c r="I44" s="132"/>
      <c r="J44" s="143"/>
      <c r="K44" s="132"/>
      <c r="L44" s="131">
        <v>1</v>
      </c>
      <c r="M44" s="132">
        <v>161</v>
      </c>
      <c r="N44" s="131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Y44" s="133"/>
      <c r="Z44" s="139"/>
      <c r="AA44" s="140"/>
      <c r="AB44" s="132">
        <f t="shared" si="4"/>
        <v>161</v>
      </c>
      <c r="AC44" s="132">
        <f t="shared" si="2"/>
        <v>8.0500000000000007</v>
      </c>
      <c r="AD44" s="132">
        <f t="shared" si="3"/>
        <v>169.05</v>
      </c>
      <c r="AE44" s="140">
        <v>28385</v>
      </c>
      <c r="AF44" s="141"/>
      <c r="AG44" s="148"/>
    </row>
    <row r="45" spans="1:64" s="136" customFormat="1">
      <c r="A45" s="137">
        <v>42242</v>
      </c>
      <c r="B45" s="841">
        <v>51834</v>
      </c>
      <c r="C45" s="138"/>
      <c r="D45" s="138"/>
      <c r="E45" s="140">
        <v>1</v>
      </c>
      <c r="F45" s="144">
        <v>12</v>
      </c>
      <c r="G45" s="132">
        <v>125</v>
      </c>
      <c r="H45" s="143"/>
      <c r="I45" s="132"/>
      <c r="J45" s="143"/>
      <c r="K45" s="132"/>
      <c r="L45" s="131">
        <v>1</v>
      </c>
      <c r="M45" s="132">
        <v>161</v>
      </c>
      <c r="N45" s="131"/>
      <c r="O45" s="132"/>
      <c r="P45" s="132"/>
      <c r="Q45" s="132"/>
      <c r="R45" s="132"/>
      <c r="S45" s="132"/>
      <c r="T45" s="132"/>
      <c r="U45" s="132"/>
      <c r="V45" s="132"/>
      <c r="W45" s="132"/>
      <c r="X45" s="132"/>
      <c r="Y45" s="133"/>
      <c r="Z45" s="134" t="s">
        <v>1125</v>
      </c>
      <c r="AA45" s="140"/>
      <c r="AB45" s="132">
        <f t="shared" si="4"/>
        <v>1661</v>
      </c>
      <c r="AC45" s="132">
        <f t="shared" si="2"/>
        <v>83.050000000000011</v>
      </c>
      <c r="AD45" s="132">
        <f t="shared" si="3"/>
        <v>1744.05</v>
      </c>
      <c r="AE45" s="140">
        <v>28385</v>
      </c>
      <c r="AF45" s="141"/>
      <c r="AG45" s="148"/>
    </row>
    <row r="46" spans="1:64" s="371" customFormat="1">
      <c r="A46" s="137">
        <v>42243</v>
      </c>
      <c r="B46" s="841">
        <v>51835</v>
      </c>
      <c r="C46" s="138"/>
      <c r="D46" s="138"/>
      <c r="E46" s="140">
        <v>1</v>
      </c>
      <c r="F46" s="144">
        <v>12</v>
      </c>
      <c r="G46" s="132">
        <v>125</v>
      </c>
      <c r="H46" s="143"/>
      <c r="I46" s="132"/>
      <c r="J46" s="143"/>
      <c r="K46" s="132"/>
      <c r="L46" s="131"/>
      <c r="M46" s="132"/>
      <c r="N46" s="133">
        <v>3</v>
      </c>
      <c r="O46" s="132">
        <v>45</v>
      </c>
      <c r="P46" s="132"/>
      <c r="Q46" s="132"/>
      <c r="R46" s="132"/>
      <c r="S46" s="132"/>
      <c r="T46" s="132"/>
      <c r="U46" s="132"/>
      <c r="V46" s="132"/>
      <c r="W46" s="132"/>
      <c r="X46" s="132"/>
      <c r="Y46" s="133"/>
      <c r="Z46" s="134" t="s">
        <v>1125</v>
      </c>
      <c r="AA46" s="140"/>
      <c r="AB46" s="132">
        <f t="shared" si="4"/>
        <v>1635</v>
      </c>
      <c r="AC46" s="132">
        <f t="shared" si="2"/>
        <v>81.75</v>
      </c>
      <c r="AD46" s="132">
        <f t="shared" si="3"/>
        <v>1716.75</v>
      </c>
      <c r="AE46" s="140">
        <v>28385</v>
      </c>
      <c r="AF46" s="141"/>
      <c r="AG46" s="148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  <c r="AX46" s="136"/>
      <c r="AY46" s="136"/>
      <c r="AZ46" s="136"/>
      <c r="BA46" s="136"/>
      <c r="BB46" s="136"/>
      <c r="BC46" s="136"/>
      <c r="BD46" s="136"/>
      <c r="BE46" s="136"/>
      <c r="BF46" s="136"/>
      <c r="BG46" s="136"/>
      <c r="BH46" s="136"/>
      <c r="BI46" s="136"/>
      <c r="BJ46" s="136"/>
      <c r="BK46" s="136"/>
      <c r="BL46" s="136"/>
    </row>
    <row r="47" spans="1:64" s="2" customFormat="1">
      <c r="A47" s="366">
        <v>42279</v>
      </c>
      <c r="B47" s="897">
        <v>56959</v>
      </c>
      <c r="C47" s="367"/>
      <c r="D47" s="367"/>
      <c r="E47" s="368">
        <v>2</v>
      </c>
      <c r="F47" s="387">
        <v>8</v>
      </c>
      <c r="G47" s="123">
        <v>182</v>
      </c>
      <c r="H47" s="125"/>
      <c r="I47" s="123"/>
      <c r="J47" s="125"/>
      <c r="K47" s="123"/>
      <c r="L47" s="122"/>
      <c r="M47" s="123"/>
      <c r="N47" s="122">
        <v>1</v>
      </c>
      <c r="O47" s="123">
        <v>42</v>
      </c>
      <c r="P47" s="123"/>
      <c r="Q47" s="123"/>
      <c r="R47" s="123"/>
      <c r="S47" s="123"/>
      <c r="T47" s="123"/>
      <c r="U47" s="123"/>
      <c r="V47" s="123"/>
      <c r="W47" s="123"/>
      <c r="X47" s="123"/>
      <c r="Y47" s="124"/>
      <c r="Z47" s="127"/>
      <c r="AA47" s="368"/>
      <c r="AB47" s="123">
        <f t="shared" si="4"/>
        <v>1498</v>
      </c>
      <c r="AC47" s="123">
        <f t="shared" si="2"/>
        <v>74.900000000000006</v>
      </c>
      <c r="AD47" s="123">
        <f t="shared" si="3"/>
        <v>1572.9</v>
      </c>
      <c r="AE47" s="368">
        <v>28764</v>
      </c>
      <c r="AF47" s="128"/>
      <c r="AG47" s="370"/>
      <c r="AH47" s="371"/>
      <c r="AI47" s="371"/>
      <c r="AJ47" s="371"/>
      <c r="AK47" s="371"/>
      <c r="AL47" s="371"/>
      <c r="AM47" s="371"/>
      <c r="AN47" s="371"/>
      <c r="AO47" s="371"/>
      <c r="AP47" s="371"/>
      <c r="AQ47" s="371"/>
      <c r="AR47" s="371"/>
      <c r="AS47" s="371"/>
      <c r="AT47" s="371"/>
      <c r="AU47" s="371"/>
      <c r="AV47" s="371"/>
      <c r="AW47" s="371"/>
      <c r="AX47" s="371"/>
      <c r="AY47" s="371"/>
      <c r="AZ47" s="371"/>
      <c r="BA47" s="371"/>
      <c r="BB47" s="371"/>
      <c r="BC47" s="371"/>
      <c r="BD47" s="371"/>
      <c r="BE47" s="371"/>
      <c r="BF47" s="371"/>
      <c r="BG47" s="371"/>
      <c r="BH47" s="371"/>
      <c r="BI47" s="371"/>
      <c r="BJ47" s="371"/>
      <c r="BK47" s="371"/>
      <c r="BL47" s="371"/>
    </row>
    <row r="48" spans="1:64" s="2" customFormat="1">
      <c r="A48" s="318">
        <v>42329</v>
      </c>
      <c r="B48" s="335">
        <v>46807</v>
      </c>
      <c r="C48" s="262"/>
      <c r="D48" s="262"/>
      <c r="E48" s="269">
        <v>2</v>
      </c>
      <c r="F48" s="264">
        <v>11</v>
      </c>
      <c r="G48" s="265">
        <v>182</v>
      </c>
      <c r="H48" s="267"/>
      <c r="I48" s="265"/>
      <c r="J48" s="267"/>
      <c r="K48" s="265"/>
      <c r="L48" s="266"/>
      <c r="M48" s="265"/>
      <c r="N48" s="263">
        <v>5</v>
      </c>
      <c r="O48" s="265">
        <v>42</v>
      </c>
      <c r="P48" s="265"/>
      <c r="Q48" s="265"/>
      <c r="R48" s="265"/>
      <c r="S48" s="265"/>
      <c r="T48" s="265"/>
      <c r="U48" s="265"/>
      <c r="V48" s="265"/>
      <c r="W48" s="265"/>
      <c r="X48" s="265"/>
      <c r="Y48" s="263"/>
      <c r="Z48" s="298" t="s">
        <v>1126</v>
      </c>
      <c r="AA48" s="269"/>
      <c r="AB48" s="265">
        <f t="shared" si="4"/>
        <v>2212</v>
      </c>
      <c r="AC48" s="265">
        <f t="shared" si="2"/>
        <v>110.60000000000001</v>
      </c>
      <c r="AD48" s="265">
        <f t="shared" si="3"/>
        <v>2322.6</v>
      </c>
      <c r="AE48" s="269"/>
      <c r="AF48" s="295"/>
      <c r="AG48" s="316"/>
    </row>
    <row r="49" spans="1:64">
      <c r="A49" s="1050">
        <v>42345</v>
      </c>
      <c r="B49" s="1051">
        <v>46816</v>
      </c>
      <c r="C49" s="1052"/>
      <c r="D49" s="1052"/>
      <c r="E49" s="1053">
        <v>2</v>
      </c>
      <c r="F49" s="1054">
        <v>6</v>
      </c>
      <c r="G49" s="1055">
        <v>182</v>
      </c>
      <c r="H49" s="1056"/>
      <c r="I49" s="1055"/>
      <c r="J49" s="1056"/>
      <c r="K49" s="1055"/>
      <c r="L49" s="1057"/>
      <c r="M49" s="1055"/>
      <c r="N49" s="1058">
        <v>1</v>
      </c>
      <c r="O49" s="1055">
        <v>42</v>
      </c>
      <c r="P49" s="1055"/>
      <c r="Q49" s="1055"/>
      <c r="R49" s="1055"/>
      <c r="S49" s="1055"/>
      <c r="T49" s="1055"/>
      <c r="U49" s="1055"/>
      <c r="V49" s="1055"/>
      <c r="W49" s="1055"/>
      <c r="X49" s="1055"/>
      <c r="Y49" s="1058"/>
      <c r="Z49" s="298" t="s">
        <v>1126</v>
      </c>
      <c r="AA49" s="1053"/>
      <c r="AB49" s="1055">
        <f t="shared" si="4"/>
        <v>1134</v>
      </c>
      <c r="AC49" s="1055">
        <f t="shared" si="2"/>
        <v>56.7</v>
      </c>
      <c r="AD49" s="1055">
        <f t="shared" si="3"/>
        <v>1190.7</v>
      </c>
      <c r="AE49" s="1053"/>
      <c r="AF49" s="1059"/>
      <c r="AG49" s="316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</row>
    <row r="50" spans="1:64">
      <c r="A50" s="328"/>
      <c r="B50" s="801"/>
      <c r="C50" s="655"/>
      <c r="D50" s="655"/>
      <c r="E50" s="471"/>
      <c r="F50" s="524"/>
      <c r="G50" s="518"/>
      <c r="H50" s="518"/>
      <c r="I50" s="518"/>
      <c r="J50" s="518"/>
      <c r="K50" s="518"/>
      <c r="L50" s="523"/>
      <c r="M50" s="518"/>
      <c r="N50" s="520"/>
      <c r="O50" s="518"/>
      <c r="P50" s="518"/>
      <c r="Q50" s="518"/>
      <c r="R50" s="518"/>
      <c r="S50" s="518"/>
      <c r="T50" s="518"/>
      <c r="U50" s="518"/>
      <c r="V50" s="518"/>
      <c r="W50" s="518"/>
      <c r="X50" s="518"/>
      <c r="Y50" s="520"/>
      <c r="Z50" s="827"/>
      <c r="AA50" s="471"/>
      <c r="AB50" s="518">
        <f t="shared" si="4"/>
        <v>0</v>
      </c>
      <c r="AC50" s="518">
        <f t="shared" si="2"/>
        <v>0</v>
      </c>
      <c r="AD50" s="518">
        <f t="shared" si="3"/>
        <v>0</v>
      </c>
      <c r="AE50" s="64"/>
      <c r="AF50" s="56"/>
    </row>
    <row r="51" spans="1:64">
      <c r="A51" s="63"/>
      <c r="B51" s="106"/>
      <c r="C51" s="52"/>
      <c r="D51" s="52"/>
      <c r="E51" s="64"/>
      <c r="F51" s="66"/>
      <c r="G51" s="27"/>
      <c r="H51" s="50"/>
      <c r="I51" s="27"/>
      <c r="J51" s="50"/>
      <c r="K51" s="27"/>
      <c r="L51" s="35"/>
      <c r="M51" s="27"/>
      <c r="N51" s="35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31"/>
      <c r="Z51" s="38"/>
      <c r="AA51" s="64"/>
      <c r="AB51" s="27">
        <f t="shared" si="4"/>
        <v>0</v>
      </c>
      <c r="AC51" s="27">
        <f t="shared" si="2"/>
        <v>0</v>
      </c>
      <c r="AD51" s="27">
        <f t="shared" si="3"/>
        <v>0</v>
      </c>
      <c r="AE51" s="64"/>
      <c r="AF51" s="56"/>
    </row>
    <row r="52" spans="1:64">
      <c r="A52" s="63"/>
      <c r="B52" s="106"/>
      <c r="C52" s="52"/>
      <c r="D52" s="52"/>
      <c r="E52" s="64"/>
      <c r="F52" s="66"/>
      <c r="G52" s="27"/>
      <c r="H52" s="50"/>
      <c r="I52" s="27"/>
      <c r="J52" s="50"/>
      <c r="K52" s="27"/>
      <c r="L52" s="35"/>
      <c r="M52" s="27"/>
      <c r="N52" s="35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31"/>
      <c r="Z52" s="38"/>
      <c r="AA52" s="64"/>
      <c r="AB52" s="27">
        <f t="shared" si="4"/>
        <v>0</v>
      </c>
      <c r="AC52" s="27">
        <f t="shared" si="2"/>
        <v>0</v>
      </c>
      <c r="AD52" s="27">
        <f t="shared" si="3"/>
        <v>0</v>
      </c>
      <c r="AE52" s="64"/>
      <c r="AF52" s="56"/>
    </row>
    <row r="53" spans="1:64">
      <c r="A53" s="63"/>
      <c r="B53" s="69"/>
      <c r="C53" s="52"/>
      <c r="D53" s="52"/>
      <c r="E53" s="64"/>
      <c r="F53" s="66"/>
      <c r="G53" s="27"/>
      <c r="H53" s="50"/>
      <c r="I53" s="27"/>
      <c r="J53" s="50"/>
      <c r="K53" s="27"/>
      <c r="L53" s="35"/>
      <c r="M53" s="27"/>
      <c r="N53" s="50"/>
      <c r="O53" s="27"/>
      <c r="P53" s="50"/>
      <c r="Q53" s="27"/>
      <c r="R53" s="27"/>
      <c r="S53" s="27"/>
      <c r="T53" s="27"/>
      <c r="U53" s="27"/>
      <c r="V53" s="27"/>
      <c r="W53" s="27"/>
      <c r="X53" s="27"/>
      <c r="Y53" s="31"/>
      <c r="Z53" s="38"/>
      <c r="AA53" s="64"/>
      <c r="AB53" s="27">
        <f t="shared" si="4"/>
        <v>0</v>
      </c>
      <c r="AC53" s="27">
        <f t="shared" si="2"/>
        <v>0</v>
      </c>
      <c r="AD53" s="27">
        <f t="shared" si="3"/>
        <v>0</v>
      </c>
      <c r="AE53" s="64"/>
      <c r="AF53" s="56"/>
    </row>
    <row r="54" spans="1:64">
      <c r="A54" s="63"/>
      <c r="B54" s="69"/>
      <c r="C54" s="52"/>
      <c r="D54" s="52"/>
      <c r="E54" s="64"/>
      <c r="F54" s="66"/>
      <c r="G54" s="27"/>
      <c r="H54" s="50"/>
      <c r="I54" s="27"/>
      <c r="J54" s="50"/>
      <c r="K54" s="27"/>
      <c r="L54" s="35"/>
      <c r="M54" s="27"/>
      <c r="N54" s="50"/>
      <c r="O54" s="27"/>
      <c r="P54" s="50"/>
      <c r="Q54" s="27"/>
      <c r="R54" s="27"/>
      <c r="S54" s="27"/>
      <c r="T54" s="27"/>
      <c r="U54" s="27"/>
      <c r="V54" s="27"/>
      <c r="W54" s="27"/>
      <c r="X54" s="27"/>
      <c r="Y54" s="31"/>
      <c r="Z54" s="38"/>
      <c r="AA54" s="64"/>
      <c r="AB54" s="27">
        <f t="shared" si="4"/>
        <v>0</v>
      </c>
      <c r="AC54" s="27">
        <f t="shared" si="2"/>
        <v>0</v>
      </c>
      <c r="AD54" s="27">
        <f t="shared" si="3"/>
        <v>0</v>
      </c>
      <c r="AE54" s="64"/>
      <c r="AF54" s="56"/>
    </row>
    <row r="1048361" spans="26:26">
      <c r="Z1048361" s="38"/>
    </row>
  </sheetData>
  <autoFilter ref="A4:AH53">
    <sortState ref="A5:AH52">
      <sortCondition ref="AE4"/>
    </sortState>
  </autoFilter>
  <phoneticPr fontId="3" type="noConversion"/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theme="0"/>
  </sheetPr>
  <dimension ref="A1:AW337"/>
  <sheetViews>
    <sheetView zoomScale="115" zoomScaleNormal="115" zoomScalePageLayoutView="115" workbookViewId="0">
      <pane xSplit="2" ySplit="4" topLeftCell="C62" activePane="bottomRight" state="frozen"/>
      <selection activeCell="K94" sqref="K94"/>
      <selection pane="topRight" activeCell="K94" sqref="K94"/>
      <selection pane="bottomLeft" activeCell="K94" sqref="K94"/>
      <selection pane="bottomRight" activeCell="A15" sqref="A15"/>
    </sheetView>
  </sheetViews>
  <sheetFormatPr baseColWidth="10" defaultColWidth="8.83203125" defaultRowHeight="12" x14ac:dyDescent="0"/>
  <cols>
    <col min="1" max="1" width="11.6640625" style="71" bestFit="1" customWidth="1"/>
    <col min="2" max="2" width="11.83203125" style="46" customWidth="1"/>
    <col min="3" max="3" width="9.1640625" style="71" customWidth="1"/>
    <col min="4" max="4" width="9.5" style="112" customWidth="1"/>
    <col min="5" max="5" width="13.5" style="71" customWidth="1"/>
    <col min="6" max="7" width="13.5" style="152" customWidth="1"/>
    <col min="8" max="9" width="13.5" style="117" customWidth="1"/>
    <col min="10" max="10" width="13.5" style="207" customWidth="1"/>
    <col min="11" max="11" width="9.1640625" style="25" customWidth="1"/>
    <col min="12" max="12" width="10.33203125" style="25" customWidth="1"/>
    <col min="13" max="14" width="9.1640625" style="25" customWidth="1"/>
    <col min="15" max="15" width="9.1640625" style="30" customWidth="1"/>
    <col min="16" max="16" width="9.1640625" style="25" customWidth="1"/>
    <col min="17" max="17" width="16.1640625" style="25" customWidth="1"/>
    <col min="18" max="18" width="13.6640625" style="71" customWidth="1"/>
    <col min="19" max="19" width="10.33203125" style="71" bestFit="1" customWidth="1"/>
    <col min="20" max="20" width="13.33203125" style="71" customWidth="1"/>
    <col min="21" max="21" width="11.33203125" style="71" bestFit="1" customWidth="1"/>
    <col min="22" max="22" width="14.33203125" style="65" bestFit="1" customWidth="1"/>
    <col min="23" max="23" width="17" style="71" customWidth="1"/>
    <col min="24" max="24" width="11.33203125" bestFit="1" customWidth="1"/>
  </cols>
  <sheetData>
    <row r="1" spans="1:49">
      <c r="A1" s="24"/>
      <c r="C1" s="30"/>
      <c r="D1" s="30"/>
      <c r="E1" s="30"/>
      <c r="F1" s="30"/>
      <c r="G1" s="30"/>
      <c r="H1" s="30"/>
      <c r="I1" s="30"/>
      <c r="J1" s="30"/>
      <c r="R1" s="25"/>
      <c r="S1" s="25"/>
      <c r="T1" s="25"/>
      <c r="U1" s="25"/>
    </row>
    <row r="2" spans="1:49">
      <c r="A2" s="39" t="s">
        <v>1099</v>
      </c>
      <c r="C2" s="30"/>
      <c r="D2" s="30"/>
      <c r="E2" s="30"/>
      <c r="F2" s="30"/>
      <c r="G2" s="30"/>
      <c r="H2" s="30"/>
      <c r="I2" s="30"/>
      <c r="J2" s="30"/>
      <c r="R2" s="25"/>
      <c r="S2" s="25"/>
      <c r="T2" s="25"/>
      <c r="U2" s="25"/>
    </row>
    <row r="3" spans="1:49">
      <c r="A3" s="24"/>
      <c r="C3" s="30"/>
      <c r="D3" s="30"/>
      <c r="E3" s="30"/>
      <c r="F3" s="30"/>
      <c r="G3" s="30"/>
      <c r="H3" s="30"/>
      <c r="I3" s="30"/>
      <c r="J3" s="30"/>
      <c r="R3" s="25"/>
      <c r="S3" s="25"/>
      <c r="T3" s="25"/>
      <c r="U3" s="25"/>
    </row>
    <row r="4" spans="1:49" ht="51.75" customHeight="1">
      <c r="A4" s="36" t="s">
        <v>0</v>
      </c>
      <c r="B4" s="47" t="s">
        <v>8</v>
      </c>
      <c r="C4" s="41" t="s">
        <v>11</v>
      </c>
      <c r="D4" s="41" t="s">
        <v>140</v>
      </c>
      <c r="E4" s="41" t="s">
        <v>139</v>
      </c>
      <c r="F4" s="41" t="s">
        <v>211</v>
      </c>
      <c r="G4" s="41" t="s">
        <v>138</v>
      </c>
      <c r="H4" s="41" t="s">
        <v>158</v>
      </c>
      <c r="I4" s="41" t="s">
        <v>138</v>
      </c>
      <c r="J4" s="41" t="s">
        <v>261</v>
      </c>
      <c r="K4" s="40" t="s">
        <v>133</v>
      </c>
      <c r="L4" s="40" t="s">
        <v>21</v>
      </c>
      <c r="M4" s="40" t="s">
        <v>96</v>
      </c>
      <c r="N4" s="40" t="s">
        <v>21</v>
      </c>
      <c r="O4" s="365" t="s">
        <v>399</v>
      </c>
      <c r="P4" s="363" t="s">
        <v>26</v>
      </c>
      <c r="Q4" s="941" t="s">
        <v>822</v>
      </c>
      <c r="R4" s="40" t="s">
        <v>13</v>
      </c>
      <c r="S4" s="40" t="s">
        <v>14</v>
      </c>
      <c r="T4" s="40" t="s">
        <v>9</v>
      </c>
      <c r="U4" s="40" t="s">
        <v>15</v>
      </c>
      <c r="V4" s="54" t="s">
        <v>7</v>
      </c>
      <c r="W4" s="55" t="s">
        <v>16</v>
      </c>
    </row>
    <row r="5" spans="1:49" s="384" customFormat="1">
      <c r="A5" s="1169"/>
      <c r="B5" s="1200"/>
      <c r="C5" s="1191"/>
      <c r="D5" s="1191"/>
      <c r="E5" s="1191"/>
      <c r="F5" s="1191"/>
      <c r="G5" s="1191"/>
      <c r="H5" s="1191"/>
      <c r="I5" s="1191"/>
      <c r="J5" s="1191"/>
      <c r="K5" s="1172"/>
      <c r="L5" s="1172"/>
      <c r="M5" s="1172"/>
      <c r="N5" s="1172"/>
      <c r="O5" s="1191"/>
      <c r="P5" s="1172"/>
      <c r="Q5" s="1172"/>
      <c r="R5" s="1172"/>
      <c r="S5" s="1172"/>
      <c r="T5" s="1172"/>
      <c r="U5" s="1172"/>
      <c r="V5" s="1173"/>
      <c r="W5" s="57">
        <f>SUM(R6:R388)</f>
        <v>850360.14</v>
      </c>
      <c r="X5" s="2"/>
    </row>
    <row r="6" spans="1:49" s="384" customFormat="1">
      <c r="A6" s="26">
        <v>42222</v>
      </c>
      <c r="B6" s="106">
        <v>28494</v>
      </c>
      <c r="C6" s="64">
        <v>1</v>
      </c>
      <c r="D6" s="64"/>
      <c r="E6" s="50">
        <v>215</v>
      </c>
      <c r="F6" s="64"/>
      <c r="G6" s="50">
        <v>205</v>
      </c>
      <c r="H6" s="64"/>
      <c r="I6" s="50">
        <v>155</v>
      </c>
      <c r="J6" s="64">
        <v>12</v>
      </c>
      <c r="K6" s="35"/>
      <c r="L6" s="27">
        <v>110</v>
      </c>
      <c r="M6" s="31"/>
      <c r="N6" s="27">
        <v>60</v>
      </c>
      <c r="O6" s="392"/>
      <c r="P6" s="364">
        <v>15</v>
      </c>
      <c r="Q6" s="942"/>
      <c r="R6" s="27">
        <f t="shared" ref="R6:R69" si="0">(D6*E6)+(K6*L6)+(M6*N6)+(O6*P6)+(F6*G6)+(H6*I6)</f>
        <v>0</v>
      </c>
      <c r="S6" s="27">
        <f t="shared" ref="S6:S69" si="1">(R6*5%)</f>
        <v>0</v>
      </c>
      <c r="T6" s="27">
        <f t="shared" ref="T6:T69" si="2">SUM(R6+S6)</f>
        <v>0</v>
      </c>
      <c r="U6" s="64">
        <v>0</v>
      </c>
      <c r="V6" s="56"/>
      <c r="W6" s="341"/>
      <c r="X6"/>
    </row>
    <row r="7" spans="1:49" s="384" customFormat="1">
      <c r="A7" s="63">
        <v>42229</v>
      </c>
      <c r="B7" s="106">
        <v>29350</v>
      </c>
      <c r="C7" s="64">
        <v>1</v>
      </c>
      <c r="D7" s="64"/>
      <c r="E7" s="50">
        <v>215</v>
      </c>
      <c r="F7" s="64"/>
      <c r="G7" s="50">
        <v>205</v>
      </c>
      <c r="H7" s="64"/>
      <c r="I7" s="50">
        <v>155</v>
      </c>
      <c r="J7" s="64">
        <v>12</v>
      </c>
      <c r="K7" s="35"/>
      <c r="L7" s="27">
        <v>110</v>
      </c>
      <c r="M7" s="31"/>
      <c r="N7" s="27">
        <v>60</v>
      </c>
      <c r="O7" s="392"/>
      <c r="P7" s="364">
        <v>15</v>
      </c>
      <c r="Q7" s="942"/>
      <c r="R7" s="27">
        <f t="shared" si="0"/>
        <v>0</v>
      </c>
      <c r="S7" s="27">
        <f t="shared" si="1"/>
        <v>0</v>
      </c>
      <c r="T7" s="27">
        <f t="shared" si="2"/>
        <v>0</v>
      </c>
      <c r="U7" s="64">
        <v>0</v>
      </c>
      <c r="V7" s="56"/>
      <c r="W7" s="341"/>
      <c r="X7"/>
    </row>
    <row r="8" spans="1:49" s="384" customFormat="1">
      <c r="A8" s="63">
        <v>42234</v>
      </c>
      <c r="B8" s="106">
        <v>29325</v>
      </c>
      <c r="C8" s="64">
        <v>1</v>
      </c>
      <c r="D8" s="64"/>
      <c r="E8" s="50">
        <v>215</v>
      </c>
      <c r="F8" s="64"/>
      <c r="G8" s="50">
        <v>205</v>
      </c>
      <c r="H8" s="64"/>
      <c r="I8" s="50">
        <v>155</v>
      </c>
      <c r="J8" s="64">
        <v>12</v>
      </c>
      <c r="K8" s="35"/>
      <c r="L8" s="27">
        <v>110</v>
      </c>
      <c r="M8" s="31"/>
      <c r="N8" s="27">
        <v>60</v>
      </c>
      <c r="O8" s="392"/>
      <c r="P8" s="364">
        <v>15</v>
      </c>
      <c r="Q8" s="942"/>
      <c r="R8" s="27">
        <f t="shared" si="0"/>
        <v>0</v>
      </c>
      <c r="S8" s="27">
        <f t="shared" si="1"/>
        <v>0</v>
      </c>
      <c r="T8" s="27">
        <f t="shared" si="2"/>
        <v>0</v>
      </c>
      <c r="U8" s="64">
        <v>0</v>
      </c>
      <c r="V8" s="56"/>
      <c r="W8" s="879"/>
    </row>
    <row r="9" spans="1:49" s="192" customFormat="1">
      <c r="A9" s="876">
        <v>42184</v>
      </c>
      <c r="B9" s="877">
        <v>29653</v>
      </c>
      <c r="C9" s="379">
        <v>2</v>
      </c>
      <c r="D9" s="379">
        <v>12</v>
      </c>
      <c r="E9" s="377">
        <v>215</v>
      </c>
      <c r="F9" s="377"/>
      <c r="G9" s="377">
        <v>205</v>
      </c>
      <c r="H9" s="474"/>
      <c r="I9" s="377">
        <v>155</v>
      </c>
      <c r="J9" s="377"/>
      <c r="K9" s="474">
        <v>1</v>
      </c>
      <c r="L9" s="376">
        <v>110</v>
      </c>
      <c r="M9" s="379">
        <v>13</v>
      </c>
      <c r="N9" s="376">
        <v>60</v>
      </c>
      <c r="O9" s="596"/>
      <c r="P9" s="595">
        <v>15</v>
      </c>
      <c r="Q9" s="943"/>
      <c r="R9" s="376">
        <f t="shared" si="0"/>
        <v>3470</v>
      </c>
      <c r="S9" s="376">
        <f t="shared" si="1"/>
        <v>173.5</v>
      </c>
      <c r="T9" s="376">
        <f t="shared" si="2"/>
        <v>3643.5</v>
      </c>
      <c r="U9" s="379">
        <v>12147</v>
      </c>
      <c r="V9" s="382"/>
      <c r="W9" s="879"/>
      <c r="X9" s="384"/>
      <c r="Y9" s="384"/>
      <c r="Z9" s="384"/>
      <c r="AA9" s="384"/>
      <c r="AB9" s="384"/>
      <c r="AC9" s="384"/>
      <c r="AD9" s="384"/>
      <c r="AE9" s="384"/>
      <c r="AF9" s="384"/>
      <c r="AG9" s="384"/>
      <c r="AH9" s="384"/>
      <c r="AI9" s="384"/>
      <c r="AJ9" s="384"/>
      <c r="AK9" s="384"/>
      <c r="AL9" s="384"/>
      <c r="AM9" s="384"/>
      <c r="AN9" s="384"/>
      <c r="AO9" s="384"/>
      <c r="AP9" s="384"/>
      <c r="AQ9" s="384"/>
      <c r="AR9" s="384"/>
      <c r="AS9" s="384"/>
      <c r="AT9" s="384"/>
      <c r="AU9" s="384"/>
      <c r="AV9" s="384"/>
      <c r="AW9" s="384"/>
    </row>
    <row r="10" spans="1:49" s="192" customFormat="1">
      <c r="A10" s="876">
        <v>42184</v>
      </c>
      <c r="B10" s="877">
        <v>29654</v>
      </c>
      <c r="C10" s="379">
        <v>2</v>
      </c>
      <c r="D10" s="379">
        <v>12</v>
      </c>
      <c r="E10" s="377">
        <v>215</v>
      </c>
      <c r="F10" s="377"/>
      <c r="G10" s="377">
        <v>205</v>
      </c>
      <c r="H10" s="474"/>
      <c r="I10" s="377">
        <v>155</v>
      </c>
      <c r="J10" s="377"/>
      <c r="K10" s="474">
        <v>1</v>
      </c>
      <c r="L10" s="376">
        <v>110</v>
      </c>
      <c r="M10" s="379">
        <v>13</v>
      </c>
      <c r="N10" s="376">
        <v>60</v>
      </c>
      <c r="O10" s="596"/>
      <c r="P10" s="595">
        <v>15</v>
      </c>
      <c r="Q10" s="943"/>
      <c r="R10" s="376">
        <f t="shared" si="0"/>
        <v>3470</v>
      </c>
      <c r="S10" s="376">
        <f t="shared" si="1"/>
        <v>173.5</v>
      </c>
      <c r="T10" s="376">
        <f t="shared" si="2"/>
        <v>3643.5</v>
      </c>
      <c r="U10" s="379">
        <v>12147</v>
      </c>
      <c r="V10" s="382"/>
      <c r="W10" s="879"/>
      <c r="X10" s="384"/>
      <c r="Y10" s="384"/>
      <c r="Z10" s="384"/>
      <c r="AA10" s="384"/>
      <c r="AB10" s="384"/>
      <c r="AC10" s="384"/>
      <c r="AD10" s="384"/>
      <c r="AE10" s="384"/>
      <c r="AF10" s="384"/>
      <c r="AG10" s="384"/>
      <c r="AH10" s="384"/>
      <c r="AI10" s="384"/>
      <c r="AJ10" s="384"/>
      <c r="AK10" s="384"/>
      <c r="AL10" s="384"/>
      <c r="AM10" s="384"/>
      <c r="AN10" s="384"/>
      <c r="AO10" s="384"/>
      <c r="AP10" s="384"/>
      <c r="AQ10" s="384"/>
      <c r="AR10" s="384"/>
      <c r="AS10" s="384"/>
      <c r="AT10" s="384"/>
      <c r="AU10" s="384"/>
      <c r="AV10" s="384"/>
      <c r="AW10" s="384"/>
    </row>
    <row r="11" spans="1:49" s="192" customFormat="1">
      <c r="A11" s="389">
        <v>42187</v>
      </c>
      <c r="B11" s="877">
        <v>29655</v>
      </c>
      <c r="C11" s="379">
        <v>2</v>
      </c>
      <c r="D11" s="379">
        <v>11</v>
      </c>
      <c r="E11" s="377">
        <v>215</v>
      </c>
      <c r="F11" s="377"/>
      <c r="G11" s="377">
        <v>205</v>
      </c>
      <c r="H11" s="474"/>
      <c r="I11" s="377">
        <v>155</v>
      </c>
      <c r="J11" s="377"/>
      <c r="K11" s="474">
        <v>1</v>
      </c>
      <c r="L11" s="376">
        <v>110</v>
      </c>
      <c r="M11" s="379">
        <v>12</v>
      </c>
      <c r="N11" s="376">
        <v>60</v>
      </c>
      <c r="O11" s="596"/>
      <c r="P11" s="595">
        <v>15</v>
      </c>
      <c r="Q11" s="943"/>
      <c r="R11" s="376">
        <f t="shared" si="0"/>
        <v>3195</v>
      </c>
      <c r="S11" s="376">
        <f t="shared" si="1"/>
        <v>159.75</v>
      </c>
      <c r="T11" s="376">
        <f t="shared" si="2"/>
        <v>3354.75</v>
      </c>
      <c r="U11" s="379">
        <v>12147</v>
      </c>
      <c r="V11" s="382"/>
      <c r="W11" s="879"/>
      <c r="X11" s="384"/>
      <c r="Y11" s="384"/>
      <c r="Z11" s="384"/>
      <c r="AA11" s="384"/>
      <c r="AB11" s="384"/>
      <c r="AC11" s="384"/>
      <c r="AD11" s="384"/>
      <c r="AE11" s="384"/>
      <c r="AF11" s="384"/>
      <c r="AG11" s="384"/>
      <c r="AH11" s="384"/>
      <c r="AI11" s="384"/>
      <c r="AJ11" s="384"/>
      <c r="AK11" s="384"/>
      <c r="AL11" s="384"/>
      <c r="AM11" s="384"/>
      <c r="AN11" s="384"/>
      <c r="AO11" s="384"/>
      <c r="AP11" s="384"/>
      <c r="AQ11" s="384"/>
      <c r="AR11" s="384"/>
      <c r="AS11" s="384"/>
      <c r="AT11" s="384"/>
      <c r="AU11" s="384"/>
      <c r="AV11" s="384"/>
      <c r="AW11" s="384"/>
    </row>
    <row r="12" spans="1:49" s="192" customFormat="1">
      <c r="A12" s="389">
        <v>42187</v>
      </c>
      <c r="B12" s="877">
        <v>29656</v>
      </c>
      <c r="C12" s="379">
        <v>2</v>
      </c>
      <c r="D12" s="379">
        <v>11</v>
      </c>
      <c r="E12" s="377">
        <v>215</v>
      </c>
      <c r="F12" s="474"/>
      <c r="G12" s="377">
        <v>205</v>
      </c>
      <c r="H12" s="474"/>
      <c r="I12" s="377">
        <v>155</v>
      </c>
      <c r="J12" s="377"/>
      <c r="K12" s="474">
        <v>1</v>
      </c>
      <c r="L12" s="376">
        <v>110</v>
      </c>
      <c r="M12" s="379">
        <v>12</v>
      </c>
      <c r="N12" s="376">
        <v>60</v>
      </c>
      <c r="O12" s="596"/>
      <c r="P12" s="595">
        <v>15</v>
      </c>
      <c r="Q12" s="943"/>
      <c r="R12" s="376">
        <f t="shared" si="0"/>
        <v>3195</v>
      </c>
      <c r="S12" s="376">
        <f t="shared" si="1"/>
        <v>159.75</v>
      </c>
      <c r="T12" s="376">
        <f t="shared" si="2"/>
        <v>3354.75</v>
      </c>
      <c r="U12" s="379">
        <v>12147</v>
      </c>
      <c r="V12" s="382"/>
      <c r="W12" s="879"/>
      <c r="X12" s="384"/>
      <c r="Y12" s="384"/>
      <c r="Z12" s="384"/>
      <c r="AA12" s="384"/>
      <c r="AB12" s="384"/>
      <c r="AC12" s="384"/>
      <c r="AD12" s="384"/>
      <c r="AE12" s="384"/>
      <c r="AF12" s="384"/>
      <c r="AG12" s="384"/>
      <c r="AH12" s="384"/>
      <c r="AI12" s="384"/>
      <c r="AJ12" s="384"/>
      <c r="AK12" s="384"/>
      <c r="AL12" s="384"/>
      <c r="AM12" s="384"/>
      <c r="AN12" s="384"/>
      <c r="AO12" s="384"/>
      <c r="AP12" s="384"/>
      <c r="AQ12" s="384"/>
      <c r="AR12" s="384"/>
      <c r="AS12" s="384"/>
      <c r="AT12" s="384"/>
      <c r="AU12" s="384"/>
      <c r="AV12" s="384"/>
      <c r="AW12" s="384"/>
    </row>
    <row r="13" spans="1:49" s="192" customFormat="1">
      <c r="A13" s="184">
        <v>42188</v>
      </c>
      <c r="B13" s="673">
        <v>29657</v>
      </c>
      <c r="C13" s="186">
        <v>2</v>
      </c>
      <c r="D13" s="186">
        <v>12</v>
      </c>
      <c r="E13" s="195">
        <v>215</v>
      </c>
      <c r="F13" s="187"/>
      <c r="G13" s="195">
        <v>205</v>
      </c>
      <c r="H13" s="187"/>
      <c r="I13" s="195">
        <v>155</v>
      </c>
      <c r="J13" s="195"/>
      <c r="K13" s="187">
        <v>1</v>
      </c>
      <c r="L13" s="188">
        <v>110</v>
      </c>
      <c r="M13" s="186">
        <v>13</v>
      </c>
      <c r="N13" s="188">
        <v>60</v>
      </c>
      <c r="O13" s="795"/>
      <c r="P13" s="824">
        <v>15</v>
      </c>
      <c r="Q13" s="944"/>
      <c r="R13" s="188">
        <f t="shared" si="0"/>
        <v>3470</v>
      </c>
      <c r="S13" s="188">
        <f t="shared" si="1"/>
        <v>173.5</v>
      </c>
      <c r="T13" s="188">
        <f t="shared" si="2"/>
        <v>3643.5</v>
      </c>
      <c r="U13" s="186">
        <v>12194</v>
      </c>
      <c r="V13" s="190"/>
      <c r="W13" s="878"/>
    </row>
    <row r="14" spans="1:49" s="192" customFormat="1">
      <c r="A14" s="184">
        <v>42188</v>
      </c>
      <c r="B14" s="673">
        <v>29658</v>
      </c>
      <c r="C14" s="186">
        <v>2</v>
      </c>
      <c r="D14" s="186">
        <v>12</v>
      </c>
      <c r="E14" s="195">
        <v>215</v>
      </c>
      <c r="F14" s="187"/>
      <c r="G14" s="195">
        <v>205</v>
      </c>
      <c r="H14" s="187"/>
      <c r="I14" s="195">
        <v>155</v>
      </c>
      <c r="J14" s="195"/>
      <c r="K14" s="187">
        <v>1</v>
      </c>
      <c r="L14" s="188">
        <v>110</v>
      </c>
      <c r="M14" s="186">
        <v>13</v>
      </c>
      <c r="N14" s="188">
        <v>60</v>
      </c>
      <c r="O14" s="795"/>
      <c r="P14" s="824">
        <v>15</v>
      </c>
      <c r="Q14" s="944"/>
      <c r="R14" s="188">
        <f t="shared" si="0"/>
        <v>3470</v>
      </c>
      <c r="S14" s="188">
        <f t="shared" si="1"/>
        <v>173.5</v>
      </c>
      <c r="T14" s="188">
        <f t="shared" si="2"/>
        <v>3643.5</v>
      </c>
      <c r="U14" s="186">
        <v>12194</v>
      </c>
      <c r="V14" s="190"/>
      <c r="W14" s="194"/>
    </row>
    <row r="15" spans="1:49" s="192" customFormat="1">
      <c r="A15" s="184">
        <v>42189</v>
      </c>
      <c r="B15" s="673">
        <v>29659</v>
      </c>
      <c r="C15" s="186">
        <v>2</v>
      </c>
      <c r="D15" s="186">
        <v>11</v>
      </c>
      <c r="E15" s="195">
        <v>215</v>
      </c>
      <c r="F15" s="187"/>
      <c r="G15" s="195">
        <v>205</v>
      </c>
      <c r="H15" s="187"/>
      <c r="I15" s="195">
        <v>155</v>
      </c>
      <c r="J15" s="195"/>
      <c r="K15" s="187">
        <v>1</v>
      </c>
      <c r="L15" s="188">
        <v>110</v>
      </c>
      <c r="M15" s="186">
        <v>12</v>
      </c>
      <c r="N15" s="188">
        <v>60</v>
      </c>
      <c r="O15" s="795"/>
      <c r="P15" s="824">
        <v>15</v>
      </c>
      <c r="Q15" s="944"/>
      <c r="R15" s="188">
        <f t="shared" si="0"/>
        <v>3195</v>
      </c>
      <c r="S15" s="188">
        <f t="shared" si="1"/>
        <v>159.75</v>
      </c>
      <c r="T15" s="188">
        <f t="shared" si="2"/>
        <v>3354.75</v>
      </c>
      <c r="U15" s="186">
        <v>12194</v>
      </c>
      <c r="V15" s="190"/>
      <c r="W15" s="194"/>
    </row>
    <row r="16" spans="1:49" s="192" customFormat="1">
      <c r="A16" s="184">
        <v>42189</v>
      </c>
      <c r="B16" s="673">
        <v>29660</v>
      </c>
      <c r="C16" s="186">
        <v>2</v>
      </c>
      <c r="D16" s="186">
        <v>11</v>
      </c>
      <c r="E16" s="195">
        <v>215</v>
      </c>
      <c r="F16" s="187"/>
      <c r="G16" s="195">
        <v>205</v>
      </c>
      <c r="H16" s="187"/>
      <c r="I16" s="195">
        <v>155</v>
      </c>
      <c r="J16" s="195"/>
      <c r="K16" s="187">
        <v>1</v>
      </c>
      <c r="L16" s="188">
        <v>110</v>
      </c>
      <c r="M16" s="186">
        <v>12</v>
      </c>
      <c r="N16" s="188">
        <v>60</v>
      </c>
      <c r="O16" s="795"/>
      <c r="P16" s="824">
        <v>15</v>
      </c>
      <c r="Q16" s="944"/>
      <c r="R16" s="188">
        <f t="shared" si="0"/>
        <v>3195</v>
      </c>
      <c r="S16" s="188">
        <f t="shared" si="1"/>
        <v>159.75</v>
      </c>
      <c r="T16" s="188">
        <f t="shared" si="2"/>
        <v>3354.75</v>
      </c>
      <c r="U16" s="186">
        <v>12194</v>
      </c>
      <c r="V16" s="190"/>
      <c r="W16" s="194"/>
    </row>
    <row r="17" spans="1:46" s="192" customFormat="1">
      <c r="A17" s="184">
        <v>42191</v>
      </c>
      <c r="B17" s="673">
        <v>29661</v>
      </c>
      <c r="C17" s="186">
        <v>2</v>
      </c>
      <c r="D17" s="186">
        <v>12.5</v>
      </c>
      <c r="E17" s="195">
        <v>215</v>
      </c>
      <c r="F17" s="187"/>
      <c r="G17" s="195">
        <v>205</v>
      </c>
      <c r="H17" s="187"/>
      <c r="I17" s="195">
        <v>155</v>
      </c>
      <c r="J17" s="195"/>
      <c r="K17" s="187">
        <v>1</v>
      </c>
      <c r="L17" s="188">
        <v>110</v>
      </c>
      <c r="M17" s="186">
        <v>12.5</v>
      </c>
      <c r="N17" s="188">
        <v>60</v>
      </c>
      <c r="O17" s="795"/>
      <c r="P17" s="824">
        <v>15</v>
      </c>
      <c r="Q17" s="944"/>
      <c r="R17" s="188">
        <f t="shared" si="0"/>
        <v>3547.5</v>
      </c>
      <c r="S17" s="188">
        <f t="shared" si="1"/>
        <v>177.375</v>
      </c>
      <c r="T17" s="188">
        <f t="shared" si="2"/>
        <v>3724.875</v>
      </c>
      <c r="U17" s="186">
        <v>12194</v>
      </c>
      <c r="V17" s="190"/>
      <c r="W17" s="194"/>
    </row>
    <row r="18" spans="1:46" s="192" customFormat="1" ht="13.5" customHeight="1">
      <c r="A18" s="184">
        <v>42191</v>
      </c>
      <c r="B18" s="673">
        <v>29662</v>
      </c>
      <c r="C18" s="186">
        <v>2</v>
      </c>
      <c r="D18" s="186">
        <v>12.5</v>
      </c>
      <c r="E18" s="195">
        <v>215</v>
      </c>
      <c r="F18" s="187"/>
      <c r="G18" s="195">
        <v>205</v>
      </c>
      <c r="H18" s="187"/>
      <c r="I18" s="195">
        <v>155</v>
      </c>
      <c r="J18" s="195"/>
      <c r="K18" s="187">
        <v>1</v>
      </c>
      <c r="L18" s="188">
        <v>110</v>
      </c>
      <c r="M18" s="186">
        <v>12.5</v>
      </c>
      <c r="N18" s="188">
        <v>60</v>
      </c>
      <c r="O18" s="795"/>
      <c r="P18" s="824">
        <v>15</v>
      </c>
      <c r="Q18" s="944"/>
      <c r="R18" s="188">
        <f t="shared" si="0"/>
        <v>3547.5</v>
      </c>
      <c r="S18" s="188">
        <f t="shared" si="1"/>
        <v>177.375</v>
      </c>
      <c r="T18" s="188">
        <f t="shared" si="2"/>
        <v>3724.875</v>
      </c>
      <c r="U18" s="186">
        <v>12194</v>
      </c>
      <c r="V18" s="190"/>
      <c r="W18" s="194"/>
    </row>
    <row r="19" spans="1:46" s="192" customFormat="1">
      <c r="A19" s="184">
        <v>42192</v>
      </c>
      <c r="B19" s="673">
        <v>29663</v>
      </c>
      <c r="C19" s="186">
        <v>2</v>
      </c>
      <c r="D19" s="186">
        <v>11</v>
      </c>
      <c r="E19" s="195">
        <v>215</v>
      </c>
      <c r="F19" s="187"/>
      <c r="G19" s="195">
        <v>205</v>
      </c>
      <c r="H19" s="187"/>
      <c r="I19" s="195">
        <v>155</v>
      </c>
      <c r="J19" s="195"/>
      <c r="K19" s="187">
        <v>1</v>
      </c>
      <c r="L19" s="188">
        <v>110</v>
      </c>
      <c r="M19" s="186">
        <v>12</v>
      </c>
      <c r="N19" s="188">
        <v>60</v>
      </c>
      <c r="O19" s="795"/>
      <c r="P19" s="824">
        <v>15</v>
      </c>
      <c r="Q19" s="944"/>
      <c r="R19" s="188">
        <f t="shared" si="0"/>
        <v>3195</v>
      </c>
      <c r="S19" s="188">
        <f t="shared" si="1"/>
        <v>159.75</v>
      </c>
      <c r="T19" s="188">
        <f t="shared" si="2"/>
        <v>3354.75</v>
      </c>
      <c r="U19" s="186">
        <v>12194</v>
      </c>
      <c r="V19" s="190"/>
      <c r="W19" s="194"/>
    </row>
    <row r="20" spans="1:46" s="192" customFormat="1">
      <c r="A20" s="184">
        <v>42192</v>
      </c>
      <c r="B20" s="673">
        <v>29664</v>
      </c>
      <c r="C20" s="186">
        <v>2</v>
      </c>
      <c r="D20" s="186">
        <v>11</v>
      </c>
      <c r="E20" s="195">
        <v>215</v>
      </c>
      <c r="F20" s="187"/>
      <c r="G20" s="195">
        <v>205</v>
      </c>
      <c r="H20" s="187"/>
      <c r="I20" s="195">
        <v>155</v>
      </c>
      <c r="J20" s="195"/>
      <c r="K20" s="187">
        <v>1</v>
      </c>
      <c r="L20" s="188">
        <v>110</v>
      </c>
      <c r="M20" s="186">
        <v>12</v>
      </c>
      <c r="N20" s="188">
        <v>60</v>
      </c>
      <c r="O20" s="795"/>
      <c r="P20" s="824">
        <v>15</v>
      </c>
      <c r="Q20" s="944"/>
      <c r="R20" s="188">
        <f t="shared" si="0"/>
        <v>3195</v>
      </c>
      <c r="S20" s="188">
        <f t="shared" si="1"/>
        <v>159.75</v>
      </c>
      <c r="T20" s="188">
        <f t="shared" si="2"/>
        <v>3354.75</v>
      </c>
      <c r="U20" s="186">
        <v>12194</v>
      </c>
      <c r="V20" s="190"/>
      <c r="W20" s="194"/>
    </row>
    <row r="21" spans="1:46" s="192" customFormat="1">
      <c r="A21" s="184">
        <v>42193</v>
      </c>
      <c r="B21" s="673">
        <v>29665</v>
      </c>
      <c r="C21" s="186">
        <v>2</v>
      </c>
      <c r="D21" s="186">
        <v>11</v>
      </c>
      <c r="E21" s="195">
        <v>215</v>
      </c>
      <c r="F21" s="187"/>
      <c r="G21" s="195">
        <v>205</v>
      </c>
      <c r="H21" s="187"/>
      <c r="I21" s="195">
        <v>155</v>
      </c>
      <c r="J21" s="195"/>
      <c r="K21" s="187">
        <v>1</v>
      </c>
      <c r="L21" s="188">
        <v>110</v>
      </c>
      <c r="M21" s="186">
        <v>12</v>
      </c>
      <c r="N21" s="188">
        <v>60</v>
      </c>
      <c r="O21" s="795"/>
      <c r="P21" s="824">
        <v>15</v>
      </c>
      <c r="Q21" s="944"/>
      <c r="R21" s="188">
        <f t="shared" si="0"/>
        <v>3195</v>
      </c>
      <c r="S21" s="188">
        <f t="shared" si="1"/>
        <v>159.75</v>
      </c>
      <c r="T21" s="188">
        <f t="shared" si="2"/>
        <v>3354.75</v>
      </c>
      <c r="U21" s="186">
        <v>12194</v>
      </c>
      <c r="V21" s="190"/>
      <c r="W21" s="194"/>
    </row>
    <row r="22" spans="1:46" s="192" customFormat="1">
      <c r="A22" s="184">
        <v>42193</v>
      </c>
      <c r="B22" s="673">
        <v>29666</v>
      </c>
      <c r="C22" s="186">
        <v>1</v>
      </c>
      <c r="D22" s="186">
        <v>0</v>
      </c>
      <c r="E22" s="195">
        <v>215</v>
      </c>
      <c r="F22" s="187"/>
      <c r="G22" s="195">
        <v>205</v>
      </c>
      <c r="H22" s="187">
        <v>8</v>
      </c>
      <c r="I22" s="195">
        <v>155</v>
      </c>
      <c r="J22" s="195"/>
      <c r="K22" s="187"/>
      <c r="L22" s="188">
        <v>110</v>
      </c>
      <c r="M22" s="186">
        <v>0</v>
      </c>
      <c r="N22" s="188">
        <v>60</v>
      </c>
      <c r="O22" s="795"/>
      <c r="P22" s="824">
        <v>15</v>
      </c>
      <c r="Q22" s="944"/>
      <c r="R22" s="188">
        <f t="shared" si="0"/>
        <v>1240</v>
      </c>
      <c r="S22" s="188">
        <f t="shared" si="1"/>
        <v>62</v>
      </c>
      <c r="T22" s="188">
        <f t="shared" si="2"/>
        <v>1302</v>
      </c>
      <c r="U22" s="186">
        <v>12194</v>
      </c>
      <c r="V22" s="190"/>
      <c r="W22" s="194"/>
    </row>
    <row r="23" spans="1:46" s="384" customFormat="1">
      <c r="A23" s="184">
        <v>42193</v>
      </c>
      <c r="B23" s="673">
        <v>29667</v>
      </c>
      <c r="C23" s="186">
        <v>2</v>
      </c>
      <c r="D23" s="186">
        <v>10</v>
      </c>
      <c r="E23" s="195">
        <v>215</v>
      </c>
      <c r="F23" s="187"/>
      <c r="G23" s="195">
        <v>205</v>
      </c>
      <c r="H23" s="187"/>
      <c r="I23" s="195">
        <v>155</v>
      </c>
      <c r="J23" s="195"/>
      <c r="K23" s="187">
        <v>1</v>
      </c>
      <c r="L23" s="188">
        <v>110</v>
      </c>
      <c r="M23" s="186">
        <v>11</v>
      </c>
      <c r="N23" s="188">
        <v>60</v>
      </c>
      <c r="O23" s="795"/>
      <c r="P23" s="824">
        <v>15</v>
      </c>
      <c r="Q23" s="944"/>
      <c r="R23" s="188">
        <f t="shared" si="0"/>
        <v>2920</v>
      </c>
      <c r="S23" s="188">
        <f t="shared" si="1"/>
        <v>146</v>
      </c>
      <c r="T23" s="188">
        <f t="shared" si="2"/>
        <v>3066</v>
      </c>
      <c r="U23" s="186">
        <v>12194</v>
      </c>
      <c r="V23" s="190"/>
      <c r="W23" s="194"/>
      <c r="X23" s="192"/>
      <c r="Y23" s="192"/>
      <c r="Z23" s="192"/>
      <c r="AA23" s="192"/>
      <c r="AB23" s="192"/>
      <c r="AC23" s="192"/>
      <c r="AD23" s="192"/>
      <c r="AE23" s="192"/>
      <c r="AF23" s="192"/>
      <c r="AG23" s="192"/>
      <c r="AH23" s="192"/>
      <c r="AI23" s="192"/>
      <c r="AJ23" s="192"/>
      <c r="AK23" s="192"/>
      <c r="AL23" s="192"/>
      <c r="AM23" s="192"/>
      <c r="AN23" s="192"/>
      <c r="AO23" s="192"/>
      <c r="AP23" s="192"/>
      <c r="AQ23" s="192"/>
      <c r="AR23" s="192"/>
      <c r="AS23" s="192"/>
      <c r="AT23" s="192"/>
    </row>
    <row r="24" spans="1:46" s="384" customFormat="1">
      <c r="A24" s="184">
        <v>42194</v>
      </c>
      <c r="B24" s="673">
        <v>29668</v>
      </c>
      <c r="C24" s="186">
        <v>2</v>
      </c>
      <c r="D24" s="186">
        <v>11</v>
      </c>
      <c r="E24" s="195">
        <v>215</v>
      </c>
      <c r="F24" s="187"/>
      <c r="G24" s="195">
        <v>205</v>
      </c>
      <c r="H24" s="187"/>
      <c r="I24" s="195">
        <v>155</v>
      </c>
      <c r="J24" s="195"/>
      <c r="K24" s="187">
        <v>1</v>
      </c>
      <c r="L24" s="188">
        <v>110</v>
      </c>
      <c r="M24" s="186">
        <v>12</v>
      </c>
      <c r="N24" s="188">
        <v>60</v>
      </c>
      <c r="O24" s="795"/>
      <c r="P24" s="824">
        <v>15</v>
      </c>
      <c r="Q24" s="944"/>
      <c r="R24" s="188">
        <f t="shared" si="0"/>
        <v>3195</v>
      </c>
      <c r="S24" s="188">
        <f t="shared" si="1"/>
        <v>159.75</v>
      </c>
      <c r="T24" s="188">
        <f t="shared" si="2"/>
        <v>3354.75</v>
      </c>
      <c r="U24" s="186">
        <v>12194</v>
      </c>
      <c r="V24" s="190"/>
      <c r="W24" s="194"/>
      <c r="X24" s="192"/>
      <c r="Y24" s="192"/>
      <c r="Z24" s="192"/>
      <c r="AA24" s="192"/>
      <c r="AB24" s="192"/>
      <c r="AC24" s="192"/>
      <c r="AD24" s="192"/>
      <c r="AE24" s="192"/>
      <c r="AF24" s="192"/>
      <c r="AG24" s="192"/>
      <c r="AH24" s="192"/>
      <c r="AI24" s="192"/>
      <c r="AJ24" s="192"/>
      <c r="AK24" s="192"/>
      <c r="AL24" s="192"/>
      <c r="AM24" s="192"/>
      <c r="AN24" s="192"/>
      <c r="AO24" s="192"/>
      <c r="AP24" s="192"/>
      <c r="AQ24" s="192"/>
      <c r="AR24" s="192"/>
      <c r="AS24" s="192"/>
      <c r="AT24" s="192"/>
    </row>
    <row r="25" spans="1:46" s="384" customFormat="1">
      <c r="A25" s="184">
        <v>42194</v>
      </c>
      <c r="B25" s="673">
        <v>29669</v>
      </c>
      <c r="C25" s="186">
        <v>2</v>
      </c>
      <c r="D25" s="186">
        <v>11</v>
      </c>
      <c r="E25" s="195">
        <v>215</v>
      </c>
      <c r="F25" s="187"/>
      <c r="G25" s="195">
        <v>205</v>
      </c>
      <c r="H25" s="187"/>
      <c r="I25" s="195">
        <v>155</v>
      </c>
      <c r="J25" s="195"/>
      <c r="K25" s="187">
        <v>1</v>
      </c>
      <c r="L25" s="188">
        <v>110</v>
      </c>
      <c r="M25" s="186">
        <v>12</v>
      </c>
      <c r="N25" s="188">
        <v>60</v>
      </c>
      <c r="O25" s="795"/>
      <c r="P25" s="824">
        <v>15</v>
      </c>
      <c r="Q25" s="944"/>
      <c r="R25" s="188">
        <f t="shared" si="0"/>
        <v>3195</v>
      </c>
      <c r="S25" s="188">
        <f t="shared" si="1"/>
        <v>159.75</v>
      </c>
      <c r="T25" s="188">
        <f t="shared" si="2"/>
        <v>3354.75</v>
      </c>
      <c r="U25" s="186">
        <v>12194</v>
      </c>
      <c r="V25" s="190"/>
      <c r="W25" s="194"/>
      <c r="X25" s="192"/>
      <c r="Y25" s="192"/>
      <c r="Z25" s="192"/>
      <c r="AA25" s="192"/>
      <c r="AB25" s="192"/>
      <c r="AC25" s="192"/>
      <c r="AD25" s="192"/>
      <c r="AE25" s="192"/>
      <c r="AF25" s="192"/>
      <c r="AG25" s="192"/>
      <c r="AH25" s="192"/>
      <c r="AI25" s="192"/>
      <c r="AJ25" s="192"/>
      <c r="AK25" s="192"/>
      <c r="AL25" s="192"/>
      <c r="AM25" s="192"/>
      <c r="AN25" s="192"/>
      <c r="AO25" s="192"/>
      <c r="AP25" s="192"/>
      <c r="AQ25" s="192"/>
      <c r="AR25" s="192"/>
      <c r="AS25" s="192"/>
      <c r="AT25" s="192"/>
    </row>
    <row r="26" spans="1:46" s="384" customFormat="1">
      <c r="A26" s="184">
        <v>42194</v>
      </c>
      <c r="B26" s="673">
        <v>29670</v>
      </c>
      <c r="C26" s="186">
        <v>1</v>
      </c>
      <c r="D26" s="186"/>
      <c r="E26" s="195">
        <v>215</v>
      </c>
      <c r="F26" s="187"/>
      <c r="G26" s="195">
        <v>205</v>
      </c>
      <c r="H26" s="187">
        <v>12</v>
      </c>
      <c r="I26" s="195">
        <v>155</v>
      </c>
      <c r="J26" s="195"/>
      <c r="K26" s="187"/>
      <c r="L26" s="188">
        <v>110</v>
      </c>
      <c r="M26" s="186"/>
      <c r="N26" s="188">
        <v>60</v>
      </c>
      <c r="O26" s="795"/>
      <c r="P26" s="824">
        <v>15</v>
      </c>
      <c r="Q26" s="944"/>
      <c r="R26" s="188">
        <f t="shared" si="0"/>
        <v>1860</v>
      </c>
      <c r="S26" s="188">
        <f t="shared" si="1"/>
        <v>93</v>
      </c>
      <c r="T26" s="188">
        <f t="shared" si="2"/>
        <v>1953</v>
      </c>
      <c r="U26" s="186">
        <v>12194</v>
      </c>
      <c r="V26" s="190"/>
      <c r="W26" s="383"/>
      <c r="Y26" s="192"/>
      <c r="Z26" s="192"/>
      <c r="AA26" s="192"/>
      <c r="AB26" s="192"/>
      <c r="AC26" s="192"/>
      <c r="AD26" s="192"/>
      <c r="AE26" s="192"/>
      <c r="AF26" s="192"/>
      <c r="AG26" s="192"/>
      <c r="AH26" s="192"/>
      <c r="AI26" s="192"/>
      <c r="AJ26" s="192"/>
      <c r="AK26" s="192"/>
      <c r="AL26" s="192"/>
      <c r="AM26" s="192"/>
      <c r="AN26" s="192"/>
      <c r="AO26" s="192"/>
      <c r="AP26" s="192"/>
      <c r="AQ26" s="192"/>
      <c r="AR26" s="192"/>
      <c r="AS26" s="192"/>
      <c r="AT26" s="192"/>
    </row>
    <row r="27" spans="1:46" s="192" customFormat="1">
      <c r="A27" s="876">
        <v>42195</v>
      </c>
      <c r="B27" s="877">
        <v>29671</v>
      </c>
      <c r="C27" s="379">
        <v>2</v>
      </c>
      <c r="D27" s="379">
        <v>11</v>
      </c>
      <c r="E27" s="377">
        <v>215</v>
      </c>
      <c r="F27" s="474"/>
      <c r="G27" s="377">
        <v>205</v>
      </c>
      <c r="H27" s="474"/>
      <c r="I27" s="377">
        <v>155</v>
      </c>
      <c r="J27" s="377"/>
      <c r="K27" s="474">
        <v>1</v>
      </c>
      <c r="L27" s="376">
        <v>110</v>
      </c>
      <c r="M27" s="379">
        <v>12</v>
      </c>
      <c r="N27" s="376">
        <v>60</v>
      </c>
      <c r="O27" s="596"/>
      <c r="P27" s="595">
        <v>15</v>
      </c>
      <c r="Q27" s="943"/>
      <c r="R27" s="376">
        <f t="shared" si="0"/>
        <v>3195</v>
      </c>
      <c r="S27" s="376">
        <f t="shared" si="1"/>
        <v>159.75</v>
      </c>
      <c r="T27" s="376">
        <f t="shared" si="2"/>
        <v>3354.75</v>
      </c>
      <c r="U27" s="379">
        <v>12266</v>
      </c>
      <c r="V27" s="382"/>
      <c r="W27" s="383"/>
      <c r="X27" s="384"/>
    </row>
    <row r="28" spans="1:46" s="192" customFormat="1">
      <c r="A28" s="876">
        <v>42195</v>
      </c>
      <c r="B28" s="877">
        <v>29672</v>
      </c>
      <c r="C28" s="379">
        <v>1</v>
      </c>
      <c r="D28" s="379"/>
      <c r="E28" s="377">
        <v>215</v>
      </c>
      <c r="F28" s="474"/>
      <c r="G28" s="377">
        <v>205</v>
      </c>
      <c r="H28" s="474">
        <v>12</v>
      </c>
      <c r="I28" s="377">
        <v>155</v>
      </c>
      <c r="J28" s="377"/>
      <c r="K28" s="474"/>
      <c r="L28" s="376">
        <v>110</v>
      </c>
      <c r="M28" s="379"/>
      <c r="N28" s="376">
        <v>60</v>
      </c>
      <c r="O28" s="596"/>
      <c r="P28" s="595">
        <v>15</v>
      </c>
      <c r="Q28" s="943"/>
      <c r="R28" s="376">
        <f t="shared" si="0"/>
        <v>1860</v>
      </c>
      <c r="S28" s="376">
        <f t="shared" si="1"/>
        <v>93</v>
      </c>
      <c r="T28" s="376">
        <f t="shared" si="2"/>
        <v>1953</v>
      </c>
      <c r="U28" s="379">
        <v>12266</v>
      </c>
      <c r="V28" s="382"/>
      <c r="W28" s="383"/>
      <c r="X28" s="384"/>
    </row>
    <row r="29" spans="1:46" s="192" customFormat="1">
      <c r="A29" s="876">
        <v>42196</v>
      </c>
      <c r="B29" s="877">
        <v>29673</v>
      </c>
      <c r="C29" s="379">
        <v>1</v>
      </c>
      <c r="D29" s="379"/>
      <c r="E29" s="377">
        <v>215</v>
      </c>
      <c r="F29" s="474"/>
      <c r="G29" s="377">
        <v>205</v>
      </c>
      <c r="H29" s="474">
        <v>11</v>
      </c>
      <c r="I29" s="377">
        <v>155</v>
      </c>
      <c r="J29" s="377"/>
      <c r="K29" s="474"/>
      <c r="L29" s="376">
        <v>110</v>
      </c>
      <c r="M29" s="379"/>
      <c r="N29" s="376">
        <v>60</v>
      </c>
      <c r="O29" s="596"/>
      <c r="P29" s="595">
        <v>15</v>
      </c>
      <c r="Q29" s="943"/>
      <c r="R29" s="376">
        <f t="shared" si="0"/>
        <v>1705</v>
      </c>
      <c r="S29" s="376">
        <f t="shared" si="1"/>
        <v>85.25</v>
      </c>
      <c r="T29" s="376">
        <f t="shared" si="2"/>
        <v>1790.25</v>
      </c>
      <c r="U29" s="379">
        <v>12266</v>
      </c>
      <c r="V29" s="382"/>
      <c r="W29" s="383"/>
      <c r="X29" s="384"/>
    </row>
    <row r="30" spans="1:46" s="192" customFormat="1">
      <c r="A30" s="876">
        <v>42196</v>
      </c>
      <c r="B30" s="877">
        <v>29674</v>
      </c>
      <c r="C30" s="379">
        <v>2</v>
      </c>
      <c r="D30" s="379">
        <v>11</v>
      </c>
      <c r="E30" s="377">
        <v>215</v>
      </c>
      <c r="F30" s="474"/>
      <c r="G30" s="377">
        <v>205</v>
      </c>
      <c r="H30" s="474"/>
      <c r="I30" s="377">
        <v>155</v>
      </c>
      <c r="J30" s="377"/>
      <c r="K30" s="474">
        <v>1</v>
      </c>
      <c r="L30" s="376">
        <v>110</v>
      </c>
      <c r="M30" s="379">
        <v>12</v>
      </c>
      <c r="N30" s="376">
        <v>60</v>
      </c>
      <c r="O30" s="596"/>
      <c r="P30" s="595">
        <v>15</v>
      </c>
      <c r="Q30" s="943"/>
      <c r="R30" s="376">
        <f t="shared" si="0"/>
        <v>3195</v>
      </c>
      <c r="S30" s="376">
        <f t="shared" si="1"/>
        <v>159.75</v>
      </c>
      <c r="T30" s="376">
        <f t="shared" si="2"/>
        <v>3354.75</v>
      </c>
      <c r="U30" s="379">
        <v>12266</v>
      </c>
      <c r="V30" s="382"/>
      <c r="W30" s="194"/>
    </row>
    <row r="31" spans="1:46" s="192" customFormat="1">
      <c r="A31" s="184">
        <v>42199</v>
      </c>
      <c r="B31" s="673">
        <v>29776</v>
      </c>
      <c r="C31" s="186">
        <v>2</v>
      </c>
      <c r="D31" s="186"/>
      <c r="E31" s="195">
        <v>215</v>
      </c>
      <c r="F31" s="187">
        <v>8</v>
      </c>
      <c r="G31" s="195">
        <v>205</v>
      </c>
      <c r="H31" s="187"/>
      <c r="I31" s="195">
        <v>155</v>
      </c>
      <c r="J31" s="195"/>
      <c r="K31" s="187">
        <v>1</v>
      </c>
      <c r="L31" s="188">
        <v>110</v>
      </c>
      <c r="M31" s="186">
        <v>9</v>
      </c>
      <c r="N31" s="188">
        <v>60</v>
      </c>
      <c r="O31" s="795"/>
      <c r="P31" s="824">
        <v>15</v>
      </c>
      <c r="Q31" s="944"/>
      <c r="R31" s="188">
        <f t="shared" si="0"/>
        <v>2290</v>
      </c>
      <c r="S31" s="188">
        <f t="shared" si="1"/>
        <v>114.5</v>
      </c>
      <c r="T31" s="188">
        <f t="shared" si="2"/>
        <v>2404.5</v>
      </c>
      <c r="U31" s="186">
        <v>12299</v>
      </c>
      <c r="V31" s="190"/>
      <c r="W31" s="194"/>
    </row>
    <row r="32" spans="1:46" s="192" customFormat="1">
      <c r="A32" s="184">
        <v>42199</v>
      </c>
      <c r="B32" s="673">
        <v>29777</v>
      </c>
      <c r="C32" s="186">
        <v>1</v>
      </c>
      <c r="D32" s="186"/>
      <c r="E32" s="195">
        <v>215</v>
      </c>
      <c r="F32" s="187"/>
      <c r="G32" s="195">
        <v>205</v>
      </c>
      <c r="H32" s="187">
        <v>5</v>
      </c>
      <c r="I32" s="195">
        <v>155</v>
      </c>
      <c r="J32" s="195"/>
      <c r="K32" s="187"/>
      <c r="L32" s="188">
        <v>110</v>
      </c>
      <c r="M32" s="186"/>
      <c r="N32" s="188">
        <v>60</v>
      </c>
      <c r="O32" s="795"/>
      <c r="P32" s="824">
        <v>15</v>
      </c>
      <c r="Q32" s="944"/>
      <c r="R32" s="188">
        <f t="shared" si="0"/>
        <v>775</v>
      </c>
      <c r="S32" s="188">
        <f t="shared" si="1"/>
        <v>38.75</v>
      </c>
      <c r="T32" s="188">
        <f t="shared" si="2"/>
        <v>813.75</v>
      </c>
      <c r="U32" s="186">
        <v>12299</v>
      </c>
      <c r="V32" s="190"/>
      <c r="W32" s="194"/>
    </row>
    <row r="33" spans="1:46" s="192" customFormat="1">
      <c r="A33" s="184">
        <v>42200</v>
      </c>
      <c r="B33" s="673">
        <v>29778</v>
      </c>
      <c r="C33" s="186">
        <v>2</v>
      </c>
      <c r="D33" s="186"/>
      <c r="E33" s="195">
        <v>215</v>
      </c>
      <c r="F33" s="187">
        <v>11</v>
      </c>
      <c r="G33" s="195">
        <v>205</v>
      </c>
      <c r="H33" s="187"/>
      <c r="I33" s="195">
        <v>155</v>
      </c>
      <c r="J33" s="195"/>
      <c r="K33" s="187">
        <v>1</v>
      </c>
      <c r="L33" s="188">
        <v>110</v>
      </c>
      <c r="M33" s="186">
        <v>12</v>
      </c>
      <c r="N33" s="188">
        <v>60</v>
      </c>
      <c r="O33" s="795"/>
      <c r="P33" s="824">
        <v>15</v>
      </c>
      <c r="Q33" s="944"/>
      <c r="R33" s="188">
        <f t="shared" si="0"/>
        <v>3085</v>
      </c>
      <c r="S33" s="188">
        <f t="shared" si="1"/>
        <v>154.25</v>
      </c>
      <c r="T33" s="188">
        <f t="shared" si="2"/>
        <v>3239.25</v>
      </c>
      <c r="U33" s="186">
        <v>12299</v>
      </c>
      <c r="V33" s="190"/>
      <c r="W33" s="194"/>
    </row>
    <row r="34" spans="1:46" s="192" customFormat="1">
      <c r="A34" s="184">
        <v>42200</v>
      </c>
      <c r="B34" s="673">
        <v>29779</v>
      </c>
      <c r="C34" s="186">
        <v>2</v>
      </c>
      <c r="D34" s="186">
        <v>11</v>
      </c>
      <c r="E34" s="195">
        <v>215</v>
      </c>
      <c r="F34" s="187"/>
      <c r="G34" s="195">
        <v>205</v>
      </c>
      <c r="H34" s="187"/>
      <c r="I34" s="195">
        <v>155</v>
      </c>
      <c r="J34" s="195"/>
      <c r="K34" s="187">
        <v>1</v>
      </c>
      <c r="L34" s="188">
        <v>110</v>
      </c>
      <c r="M34" s="186">
        <v>12</v>
      </c>
      <c r="N34" s="188">
        <v>60</v>
      </c>
      <c r="O34" s="795"/>
      <c r="P34" s="824">
        <v>15</v>
      </c>
      <c r="Q34" s="944"/>
      <c r="R34" s="188">
        <f t="shared" si="0"/>
        <v>3195</v>
      </c>
      <c r="S34" s="188">
        <f t="shared" si="1"/>
        <v>159.75</v>
      </c>
      <c r="T34" s="188">
        <f t="shared" si="2"/>
        <v>3354.75</v>
      </c>
      <c r="U34" s="186">
        <v>12299</v>
      </c>
      <c r="V34" s="190"/>
      <c r="W34" s="194"/>
    </row>
    <row r="35" spans="1:46">
      <c r="A35" s="184">
        <v>42204</v>
      </c>
      <c r="B35" s="673">
        <v>29781</v>
      </c>
      <c r="C35" s="186">
        <v>2</v>
      </c>
      <c r="D35" s="186"/>
      <c r="E35" s="195">
        <v>215</v>
      </c>
      <c r="F35" s="187">
        <v>11</v>
      </c>
      <c r="G35" s="195">
        <v>205</v>
      </c>
      <c r="H35" s="187"/>
      <c r="I35" s="195">
        <v>155</v>
      </c>
      <c r="J35" s="195"/>
      <c r="K35" s="187">
        <v>1</v>
      </c>
      <c r="L35" s="188">
        <v>110</v>
      </c>
      <c r="M35" s="186">
        <v>12</v>
      </c>
      <c r="N35" s="188">
        <v>60</v>
      </c>
      <c r="O35" s="795"/>
      <c r="P35" s="824">
        <v>15</v>
      </c>
      <c r="Q35" s="944"/>
      <c r="R35" s="188">
        <f t="shared" si="0"/>
        <v>3085</v>
      </c>
      <c r="S35" s="188">
        <f t="shared" si="1"/>
        <v>154.25</v>
      </c>
      <c r="T35" s="188">
        <f t="shared" si="2"/>
        <v>3239.25</v>
      </c>
      <c r="U35" s="186">
        <v>12299</v>
      </c>
      <c r="V35" s="190"/>
      <c r="W35" s="194"/>
      <c r="X35" s="192"/>
      <c r="AA35" s="192"/>
      <c r="AB35" s="192"/>
      <c r="AC35" s="192"/>
      <c r="AD35" s="192"/>
      <c r="AE35" s="192"/>
      <c r="AF35" s="192"/>
      <c r="AG35" s="192"/>
      <c r="AH35" s="192"/>
      <c r="AI35" s="192"/>
      <c r="AJ35" s="192"/>
      <c r="AK35" s="192"/>
      <c r="AL35" s="192"/>
      <c r="AM35" s="192"/>
      <c r="AN35" s="192"/>
      <c r="AO35" s="192"/>
      <c r="AP35" s="192"/>
      <c r="AQ35" s="192"/>
      <c r="AR35" s="192"/>
      <c r="AS35" s="192"/>
      <c r="AT35" s="192"/>
    </row>
    <row r="36" spans="1:46">
      <c r="A36" s="184">
        <v>42205</v>
      </c>
      <c r="B36" s="673">
        <v>29782</v>
      </c>
      <c r="C36" s="186">
        <v>2</v>
      </c>
      <c r="D36" s="186">
        <v>6</v>
      </c>
      <c r="E36" s="195">
        <v>215</v>
      </c>
      <c r="F36" s="187">
        <v>5</v>
      </c>
      <c r="G36" s="195">
        <v>205</v>
      </c>
      <c r="H36" s="187"/>
      <c r="I36" s="195">
        <v>155</v>
      </c>
      <c r="J36" s="195"/>
      <c r="K36" s="187">
        <v>1</v>
      </c>
      <c r="L36" s="188">
        <v>110</v>
      </c>
      <c r="M36" s="186">
        <v>12</v>
      </c>
      <c r="N36" s="188">
        <v>60</v>
      </c>
      <c r="O36" s="795"/>
      <c r="P36" s="824">
        <v>15</v>
      </c>
      <c r="Q36" s="944"/>
      <c r="R36" s="188">
        <f t="shared" si="0"/>
        <v>3145</v>
      </c>
      <c r="S36" s="188">
        <f t="shared" si="1"/>
        <v>157.25</v>
      </c>
      <c r="T36" s="188">
        <f t="shared" si="2"/>
        <v>3302.25</v>
      </c>
      <c r="U36" s="186">
        <v>12299</v>
      </c>
      <c r="V36" s="190"/>
      <c r="W36" s="194"/>
      <c r="X36" s="192"/>
      <c r="AA36" s="192"/>
      <c r="AB36" s="192"/>
      <c r="AC36" s="192"/>
      <c r="AD36" s="192"/>
      <c r="AE36" s="192"/>
      <c r="AF36" s="192"/>
      <c r="AG36" s="192"/>
      <c r="AH36" s="192"/>
      <c r="AI36" s="192"/>
      <c r="AJ36" s="192"/>
      <c r="AK36" s="192"/>
      <c r="AL36" s="192"/>
      <c r="AM36" s="192"/>
      <c r="AN36" s="192"/>
      <c r="AO36" s="192"/>
      <c r="AP36" s="192"/>
      <c r="AQ36" s="192"/>
      <c r="AR36" s="192"/>
      <c r="AS36" s="192"/>
      <c r="AT36" s="192"/>
    </row>
    <row r="37" spans="1:46" s="559" customFormat="1">
      <c r="A37" s="184">
        <v>42205</v>
      </c>
      <c r="B37" s="673">
        <v>29783</v>
      </c>
      <c r="C37" s="186">
        <v>2</v>
      </c>
      <c r="D37" s="186">
        <v>11</v>
      </c>
      <c r="E37" s="195">
        <v>215</v>
      </c>
      <c r="F37" s="187"/>
      <c r="G37" s="195">
        <v>205</v>
      </c>
      <c r="H37" s="187"/>
      <c r="I37" s="195">
        <v>155</v>
      </c>
      <c r="J37" s="195"/>
      <c r="K37" s="187">
        <v>1</v>
      </c>
      <c r="L37" s="188">
        <v>110</v>
      </c>
      <c r="M37" s="186">
        <v>12</v>
      </c>
      <c r="N37" s="188">
        <v>60</v>
      </c>
      <c r="O37" s="795"/>
      <c r="P37" s="824">
        <v>15</v>
      </c>
      <c r="Q37" s="944"/>
      <c r="R37" s="188">
        <f t="shared" si="0"/>
        <v>3195</v>
      </c>
      <c r="S37" s="188">
        <f t="shared" si="1"/>
        <v>159.75</v>
      </c>
      <c r="T37" s="188">
        <f t="shared" si="2"/>
        <v>3354.75</v>
      </c>
      <c r="U37" s="186">
        <v>12299</v>
      </c>
      <c r="V37" s="190"/>
      <c r="W37" s="626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</row>
    <row r="38" spans="1:46" s="371" customFormat="1">
      <c r="A38" s="695">
        <v>42204</v>
      </c>
      <c r="B38" s="883">
        <v>29780</v>
      </c>
      <c r="C38" s="701">
        <v>2</v>
      </c>
      <c r="D38" s="701"/>
      <c r="E38" s="702">
        <v>215</v>
      </c>
      <c r="F38" s="699">
        <v>11</v>
      </c>
      <c r="G38" s="702">
        <v>205</v>
      </c>
      <c r="H38" s="699"/>
      <c r="I38" s="702">
        <v>155</v>
      </c>
      <c r="J38" s="702"/>
      <c r="K38" s="699">
        <v>1</v>
      </c>
      <c r="L38" s="700">
        <v>110</v>
      </c>
      <c r="M38" s="701">
        <v>12</v>
      </c>
      <c r="N38" s="700">
        <v>60</v>
      </c>
      <c r="O38" s="875"/>
      <c r="P38" s="874">
        <v>15</v>
      </c>
      <c r="Q38" s="945"/>
      <c r="R38" s="700">
        <f t="shared" si="0"/>
        <v>3085</v>
      </c>
      <c r="S38" s="700">
        <f t="shared" si="1"/>
        <v>154.25</v>
      </c>
      <c r="T38" s="700">
        <f t="shared" si="2"/>
        <v>3239.25</v>
      </c>
      <c r="U38" s="701">
        <v>12339</v>
      </c>
      <c r="V38" s="830"/>
      <c r="W38" s="370"/>
      <c r="AA38" s="559"/>
      <c r="AB38" s="559"/>
      <c r="AC38" s="559"/>
      <c r="AD38" s="559"/>
      <c r="AE38" s="559"/>
      <c r="AF38" s="559"/>
      <c r="AG38" s="559"/>
      <c r="AH38" s="559"/>
      <c r="AI38" s="559"/>
      <c r="AJ38" s="559"/>
      <c r="AK38" s="559"/>
      <c r="AL38" s="559"/>
      <c r="AM38" s="559"/>
      <c r="AN38" s="559"/>
      <c r="AO38" s="559"/>
      <c r="AP38" s="559"/>
      <c r="AQ38" s="559"/>
      <c r="AR38" s="559"/>
      <c r="AS38" s="559"/>
      <c r="AT38" s="559"/>
    </row>
    <row r="39" spans="1:46" s="384" customFormat="1">
      <c r="A39" s="405">
        <v>42206</v>
      </c>
      <c r="B39" s="880">
        <v>29784</v>
      </c>
      <c r="C39" s="124">
        <v>1</v>
      </c>
      <c r="D39" s="124"/>
      <c r="E39" s="125">
        <v>215</v>
      </c>
      <c r="F39" s="122"/>
      <c r="G39" s="125">
        <v>205</v>
      </c>
      <c r="H39" s="122">
        <v>12</v>
      </c>
      <c r="I39" s="125">
        <v>155</v>
      </c>
      <c r="J39" s="125"/>
      <c r="K39" s="122"/>
      <c r="L39" s="123">
        <v>110</v>
      </c>
      <c r="M39" s="124"/>
      <c r="N39" s="123">
        <v>60</v>
      </c>
      <c r="O39" s="881"/>
      <c r="P39" s="882">
        <v>15</v>
      </c>
      <c r="Q39" s="946"/>
      <c r="R39" s="123">
        <f t="shared" si="0"/>
        <v>1860</v>
      </c>
      <c r="S39" s="123">
        <f t="shared" si="1"/>
        <v>93</v>
      </c>
      <c r="T39" s="123">
        <f t="shared" si="2"/>
        <v>1953</v>
      </c>
      <c r="U39" s="124">
        <v>12343</v>
      </c>
      <c r="V39" s="128"/>
      <c r="W39" s="383"/>
      <c r="AA39" s="371"/>
      <c r="AB39" s="371"/>
      <c r="AC39" s="371"/>
      <c r="AD39" s="371"/>
      <c r="AE39" s="371"/>
      <c r="AF39" s="371"/>
      <c r="AG39" s="371"/>
      <c r="AH39" s="371"/>
      <c r="AI39" s="371"/>
      <c r="AJ39" s="371"/>
      <c r="AK39" s="371"/>
      <c r="AL39" s="371"/>
      <c r="AM39" s="371"/>
      <c r="AN39" s="371"/>
      <c r="AO39" s="371"/>
      <c r="AP39" s="371"/>
      <c r="AQ39" s="371"/>
      <c r="AR39" s="371"/>
      <c r="AS39" s="371"/>
      <c r="AT39" s="371"/>
    </row>
    <row r="40" spans="1:46" s="384" customFormat="1">
      <c r="A40" s="876">
        <v>42206</v>
      </c>
      <c r="B40" s="877">
        <v>29785</v>
      </c>
      <c r="C40" s="379">
        <v>2</v>
      </c>
      <c r="D40" s="379"/>
      <c r="E40" s="377">
        <v>215</v>
      </c>
      <c r="F40" s="474">
        <v>12</v>
      </c>
      <c r="G40" s="377">
        <v>205</v>
      </c>
      <c r="H40" s="474"/>
      <c r="I40" s="377">
        <v>155</v>
      </c>
      <c r="J40" s="377"/>
      <c r="K40" s="474">
        <v>1</v>
      </c>
      <c r="L40" s="376">
        <v>110</v>
      </c>
      <c r="M40" s="379">
        <v>13</v>
      </c>
      <c r="N40" s="376">
        <v>60</v>
      </c>
      <c r="O40" s="596"/>
      <c r="P40" s="595">
        <v>15</v>
      </c>
      <c r="Q40" s="943"/>
      <c r="R40" s="376">
        <f t="shared" si="0"/>
        <v>3350</v>
      </c>
      <c r="S40" s="376">
        <f t="shared" si="1"/>
        <v>167.5</v>
      </c>
      <c r="T40" s="376">
        <f t="shared" si="2"/>
        <v>3517.5</v>
      </c>
      <c r="U40" s="379">
        <v>12360</v>
      </c>
      <c r="V40" s="382"/>
      <c r="W40" s="383"/>
    </row>
    <row r="41" spans="1:46" s="384" customFormat="1">
      <c r="A41" s="876">
        <v>42206</v>
      </c>
      <c r="B41" s="877">
        <v>29786</v>
      </c>
      <c r="C41" s="379">
        <v>2</v>
      </c>
      <c r="D41" s="379">
        <v>6</v>
      </c>
      <c r="E41" s="377">
        <v>215</v>
      </c>
      <c r="F41" s="474">
        <v>6</v>
      </c>
      <c r="G41" s="377">
        <v>205</v>
      </c>
      <c r="H41" s="474"/>
      <c r="I41" s="377">
        <v>155</v>
      </c>
      <c r="J41" s="377"/>
      <c r="K41" s="474"/>
      <c r="L41" s="376">
        <v>110</v>
      </c>
      <c r="M41" s="379">
        <v>13</v>
      </c>
      <c r="N41" s="376">
        <v>60</v>
      </c>
      <c r="O41" s="596"/>
      <c r="P41" s="595">
        <v>15</v>
      </c>
      <c r="Q41" s="943"/>
      <c r="R41" s="376">
        <f t="shared" si="0"/>
        <v>3300</v>
      </c>
      <c r="S41" s="376">
        <f t="shared" si="1"/>
        <v>165</v>
      </c>
      <c r="T41" s="376">
        <f t="shared" si="2"/>
        <v>3465</v>
      </c>
      <c r="U41" s="379">
        <v>12360</v>
      </c>
      <c r="V41" s="382"/>
      <c r="W41" s="383"/>
    </row>
    <row r="42" spans="1:46" s="384" customFormat="1">
      <c r="A42" s="876">
        <v>42207</v>
      </c>
      <c r="B42" s="877">
        <v>29787</v>
      </c>
      <c r="C42" s="379">
        <v>2</v>
      </c>
      <c r="D42" s="379">
        <v>11</v>
      </c>
      <c r="E42" s="377">
        <v>215</v>
      </c>
      <c r="F42" s="474"/>
      <c r="G42" s="377">
        <v>205</v>
      </c>
      <c r="H42" s="474"/>
      <c r="I42" s="377">
        <v>155</v>
      </c>
      <c r="J42" s="377"/>
      <c r="K42" s="474"/>
      <c r="L42" s="376">
        <v>110</v>
      </c>
      <c r="M42" s="379">
        <v>12</v>
      </c>
      <c r="N42" s="376">
        <v>60</v>
      </c>
      <c r="O42" s="596"/>
      <c r="P42" s="595">
        <v>15</v>
      </c>
      <c r="Q42" s="943"/>
      <c r="R42" s="376">
        <f t="shared" si="0"/>
        <v>3085</v>
      </c>
      <c r="S42" s="376">
        <f t="shared" si="1"/>
        <v>154.25</v>
      </c>
      <c r="T42" s="376">
        <f t="shared" si="2"/>
        <v>3239.25</v>
      </c>
      <c r="U42" s="379">
        <v>12360</v>
      </c>
      <c r="V42" s="382"/>
      <c r="W42" s="383"/>
    </row>
    <row r="43" spans="1:46" s="384" customFormat="1">
      <c r="A43" s="876">
        <v>42207</v>
      </c>
      <c r="B43" s="877">
        <v>29788</v>
      </c>
      <c r="C43" s="379">
        <v>2</v>
      </c>
      <c r="D43" s="379"/>
      <c r="E43" s="377">
        <v>215</v>
      </c>
      <c r="F43" s="474">
        <v>11</v>
      </c>
      <c r="G43" s="377">
        <v>205</v>
      </c>
      <c r="H43" s="474"/>
      <c r="I43" s="377">
        <v>155</v>
      </c>
      <c r="J43" s="377"/>
      <c r="K43" s="474"/>
      <c r="L43" s="376">
        <v>110</v>
      </c>
      <c r="M43" s="379">
        <v>12</v>
      </c>
      <c r="N43" s="376">
        <v>60</v>
      </c>
      <c r="O43" s="596"/>
      <c r="P43" s="595">
        <v>15</v>
      </c>
      <c r="Q43" s="943"/>
      <c r="R43" s="376">
        <f t="shared" si="0"/>
        <v>2975</v>
      </c>
      <c r="S43" s="376">
        <f t="shared" si="1"/>
        <v>148.75</v>
      </c>
      <c r="T43" s="376">
        <f t="shared" si="2"/>
        <v>3123.75</v>
      </c>
      <c r="U43" s="379">
        <v>12360</v>
      </c>
      <c r="V43" s="382"/>
      <c r="W43" s="383"/>
    </row>
    <row r="44" spans="1:46" s="384" customFormat="1">
      <c r="A44" s="876">
        <v>42207</v>
      </c>
      <c r="B44" s="877">
        <v>29789</v>
      </c>
      <c r="C44" s="379">
        <v>2</v>
      </c>
      <c r="D44" s="379"/>
      <c r="E44" s="377">
        <v>215</v>
      </c>
      <c r="F44" s="474">
        <v>11</v>
      </c>
      <c r="G44" s="377">
        <v>205</v>
      </c>
      <c r="H44" s="474"/>
      <c r="I44" s="377">
        <v>155</v>
      </c>
      <c r="J44" s="377"/>
      <c r="K44" s="474"/>
      <c r="L44" s="376">
        <v>110</v>
      </c>
      <c r="M44" s="379">
        <v>12</v>
      </c>
      <c r="N44" s="376">
        <v>60</v>
      </c>
      <c r="O44" s="596"/>
      <c r="P44" s="595">
        <v>15</v>
      </c>
      <c r="Q44" s="943"/>
      <c r="R44" s="376">
        <f t="shared" si="0"/>
        <v>2975</v>
      </c>
      <c r="S44" s="376">
        <f t="shared" si="1"/>
        <v>148.75</v>
      </c>
      <c r="T44" s="376">
        <f t="shared" si="2"/>
        <v>3123.75</v>
      </c>
      <c r="U44" s="379">
        <v>12360</v>
      </c>
      <c r="V44" s="382"/>
      <c r="W44" s="383"/>
    </row>
    <row r="45" spans="1:46" s="384" customFormat="1">
      <c r="A45" s="876">
        <v>42207</v>
      </c>
      <c r="B45" s="877">
        <v>29790</v>
      </c>
      <c r="C45" s="379">
        <v>1</v>
      </c>
      <c r="D45" s="379"/>
      <c r="E45" s="377">
        <v>215</v>
      </c>
      <c r="F45" s="474"/>
      <c r="G45" s="377">
        <v>205</v>
      </c>
      <c r="H45" s="474">
        <v>12</v>
      </c>
      <c r="I45" s="377">
        <v>155</v>
      </c>
      <c r="J45" s="377"/>
      <c r="K45" s="474">
        <v>1</v>
      </c>
      <c r="L45" s="376">
        <v>110</v>
      </c>
      <c r="M45" s="379"/>
      <c r="N45" s="376">
        <v>60</v>
      </c>
      <c r="O45" s="596"/>
      <c r="P45" s="595">
        <v>15</v>
      </c>
      <c r="Q45" s="943"/>
      <c r="R45" s="376">
        <f t="shared" si="0"/>
        <v>1970</v>
      </c>
      <c r="S45" s="376">
        <f t="shared" si="1"/>
        <v>98.5</v>
      </c>
      <c r="T45" s="376">
        <f t="shared" si="2"/>
        <v>2068.5</v>
      </c>
      <c r="U45" s="379">
        <v>12360</v>
      </c>
      <c r="V45" s="382"/>
      <c r="W45" s="383"/>
    </row>
    <row r="46" spans="1:46" s="384" customFormat="1">
      <c r="A46" s="876">
        <v>42208</v>
      </c>
      <c r="B46" s="877">
        <v>29791</v>
      </c>
      <c r="C46" s="379">
        <v>1</v>
      </c>
      <c r="D46" s="379"/>
      <c r="E46" s="377">
        <v>215</v>
      </c>
      <c r="F46" s="474"/>
      <c r="G46" s="377">
        <v>205</v>
      </c>
      <c r="H46" s="474">
        <v>10</v>
      </c>
      <c r="I46" s="377">
        <v>155</v>
      </c>
      <c r="J46" s="377"/>
      <c r="K46" s="474">
        <v>1</v>
      </c>
      <c r="L46" s="376">
        <v>110</v>
      </c>
      <c r="M46" s="379"/>
      <c r="N46" s="376">
        <v>60</v>
      </c>
      <c r="O46" s="596"/>
      <c r="P46" s="595">
        <v>15</v>
      </c>
      <c r="Q46" s="943"/>
      <c r="R46" s="376">
        <f t="shared" si="0"/>
        <v>1660</v>
      </c>
      <c r="S46" s="376">
        <f t="shared" si="1"/>
        <v>83</v>
      </c>
      <c r="T46" s="376">
        <f t="shared" si="2"/>
        <v>1743</v>
      </c>
      <c r="U46" s="379">
        <v>12360</v>
      </c>
      <c r="V46" s="382"/>
      <c r="W46" s="383"/>
    </row>
    <row r="47" spans="1:46" s="384" customFormat="1">
      <c r="A47" s="876">
        <v>42208</v>
      </c>
      <c r="B47" s="877">
        <v>29792</v>
      </c>
      <c r="C47" s="379">
        <v>2</v>
      </c>
      <c r="D47" s="379">
        <v>4</v>
      </c>
      <c r="E47" s="377">
        <v>215</v>
      </c>
      <c r="F47" s="474">
        <v>7.5</v>
      </c>
      <c r="G47" s="377">
        <v>205</v>
      </c>
      <c r="H47" s="474"/>
      <c r="I47" s="377">
        <v>155</v>
      </c>
      <c r="J47" s="377"/>
      <c r="K47" s="474"/>
      <c r="L47" s="376">
        <v>110</v>
      </c>
      <c r="M47" s="379">
        <v>12.5</v>
      </c>
      <c r="N47" s="376">
        <v>60</v>
      </c>
      <c r="O47" s="596"/>
      <c r="P47" s="595">
        <v>15</v>
      </c>
      <c r="Q47" s="943"/>
      <c r="R47" s="376">
        <f t="shared" si="0"/>
        <v>3147.5</v>
      </c>
      <c r="S47" s="376">
        <f t="shared" si="1"/>
        <v>157.375</v>
      </c>
      <c r="T47" s="376">
        <f t="shared" si="2"/>
        <v>3304.875</v>
      </c>
      <c r="U47" s="379">
        <v>12360</v>
      </c>
      <c r="V47" s="382"/>
      <c r="W47" s="383"/>
    </row>
    <row r="48" spans="1:46" s="384" customFormat="1">
      <c r="A48" s="876">
        <v>42208</v>
      </c>
      <c r="B48" s="877">
        <v>29793</v>
      </c>
      <c r="C48" s="379">
        <v>2</v>
      </c>
      <c r="D48" s="379"/>
      <c r="E48" s="377">
        <v>215</v>
      </c>
      <c r="F48" s="474">
        <v>11</v>
      </c>
      <c r="G48" s="377">
        <v>205</v>
      </c>
      <c r="H48" s="474"/>
      <c r="I48" s="377">
        <v>155</v>
      </c>
      <c r="J48" s="377"/>
      <c r="K48" s="474"/>
      <c r="L48" s="376">
        <v>110</v>
      </c>
      <c r="M48" s="379">
        <v>12</v>
      </c>
      <c r="N48" s="376">
        <v>60</v>
      </c>
      <c r="O48" s="596"/>
      <c r="P48" s="595">
        <v>15</v>
      </c>
      <c r="Q48" s="943"/>
      <c r="R48" s="376">
        <f t="shared" si="0"/>
        <v>2975</v>
      </c>
      <c r="S48" s="376">
        <f t="shared" si="1"/>
        <v>148.75</v>
      </c>
      <c r="T48" s="376">
        <f t="shared" si="2"/>
        <v>3123.75</v>
      </c>
      <c r="U48" s="379">
        <v>12360</v>
      </c>
      <c r="V48" s="382"/>
      <c r="W48" s="383"/>
    </row>
    <row r="49" spans="1:46" s="192" customFormat="1">
      <c r="A49" s="876">
        <v>42208</v>
      </c>
      <c r="B49" s="877">
        <v>29794</v>
      </c>
      <c r="C49" s="379">
        <v>2</v>
      </c>
      <c r="D49" s="379"/>
      <c r="E49" s="377">
        <v>215</v>
      </c>
      <c r="F49" s="474">
        <v>11</v>
      </c>
      <c r="G49" s="377">
        <v>205</v>
      </c>
      <c r="H49" s="474"/>
      <c r="I49" s="377">
        <v>155</v>
      </c>
      <c r="J49" s="377"/>
      <c r="K49" s="474"/>
      <c r="L49" s="376">
        <v>110</v>
      </c>
      <c r="M49" s="379">
        <v>12</v>
      </c>
      <c r="N49" s="376">
        <v>60</v>
      </c>
      <c r="O49" s="596"/>
      <c r="P49" s="595">
        <v>15</v>
      </c>
      <c r="Q49" s="943"/>
      <c r="R49" s="376">
        <f t="shared" si="0"/>
        <v>2975</v>
      </c>
      <c r="S49" s="376">
        <f t="shared" si="1"/>
        <v>148.75</v>
      </c>
      <c r="T49" s="376">
        <f t="shared" si="2"/>
        <v>3123.75</v>
      </c>
      <c r="U49" s="379">
        <v>12360</v>
      </c>
      <c r="V49" s="382"/>
      <c r="W49" s="194"/>
      <c r="AA49" s="384"/>
      <c r="AB49" s="384"/>
      <c r="AC49" s="384"/>
      <c r="AD49" s="384"/>
      <c r="AE49" s="384"/>
      <c r="AF49" s="384"/>
      <c r="AG49" s="384"/>
      <c r="AH49" s="384"/>
      <c r="AI49" s="384"/>
      <c r="AJ49" s="384"/>
      <c r="AK49" s="384"/>
      <c r="AL49" s="384"/>
      <c r="AM49" s="384"/>
      <c r="AN49" s="384"/>
      <c r="AO49" s="384"/>
      <c r="AP49" s="384"/>
      <c r="AQ49" s="384"/>
      <c r="AR49" s="384"/>
      <c r="AS49" s="384"/>
      <c r="AT49" s="384"/>
    </row>
    <row r="50" spans="1:46" s="192" customFormat="1">
      <c r="A50" s="184">
        <v>42209</v>
      </c>
      <c r="B50" s="673">
        <v>29795</v>
      </c>
      <c r="C50" s="186">
        <v>2</v>
      </c>
      <c r="D50" s="186">
        <v>11</v>
      </c>
      <c r="E50" s="195">
        <v>215</v>
      </c>
      <c r="F50" s="187"/>
      <c r="G50" s="195">
        <v>205</v>
      </c>
      <c r="H50" s="187"/>
      <c r="I50" s="195">
        <v>155</v>
      </c>
      <c r="J50" s="195"/>
      <c r="K50" s="187"/>
      <c r="L50" s="188">
        <v>110</v>
      </c>
      <c r="M50" s="186">
        <v>12</v>
      </c>
      <c r="N50" s="188">
        <v>60</v>
      </c>
      <c r="O50" s="795"/>
      <c r="P50" s="824">
        <v>15</v>
      </c>
      <c r="Q50" s="944"/>
      <c r="R50" s="188">
        <f t="shared" si="0"/>
        <v>3085</v>
      </c>
      <c r="S50" s="188">
        <f t="shared" si="1"/>
        <v>154.25</v>
      </c>
      <c r="T50" s="188">
        <f t="shared" si="2"/>
        <v>3239.25</v>
      </c>
      <c r="U50" s="186">
        <v>12376</v>
      </c>
      <c r="V50" s="190"/>
      <c r="W50" s="194"/>
    </row>
    <row r="51" spans="1:46" s="192" customFormat="1">
      <c r="A51" s="184">
        <v>42209</v>
      </c>
      <c r="B51" s="673">
        <v>29796</v>
      </c>
      <c r="C51" s="186">
        <v>2</v>
      </c>
      <c r="D51" s="186">
        <v>11</v>
      </c>
      <c r="E51" s="195">
        <v>215</v>
      </c>
      <c r="F51" s="187"/>
      <c r="G51" s="195">
        <v>205</v>
      </c>
      <c r="H51" s="187"/>
      <c r="I51" s="195">
        <v>155</v>
      </c>
      <c r="J51" s="195"/>
      <c r="K51" s="187"/>
      <c r="L51" s="188">
        <v>110</v>
      </c>
      <c r="M51" s="186">
        <v>12</v>
      </c>
      <c r="N51" s="188">
        <v>60</v>
      </c>
      <c r="O51" s="795"/>
      <c r="P51" s="824">
        <v>15</v>
      </c>
      <c r="Q51" s="944"/>
      <c r="R51" s="188">
        <f t="shared" si="0"/>
        <v>3085</v>
      </c>
      <c r="S51" s="188">
        <f t="shared" si="1"/>
        <v>154.25</v>
      </c>
      <c r="T51" s="188">
        <f t="shared" si="2"/>
        <v>3239.25</v>
      </c>
      <c r="U51" s="186">
        <v>12376</v>
      </c>
      <c r="V51" s="190"/>
      <c r="W51" s="194"/>
    </row>
    <row r="52" spans="1:46" s="192" customFormat="1">
      <c r="A52" s="184">
        <v>42209</v>
      </c>
      <c r="B52" s="673">
        <v>29797</v>
      </c>
      <c r="C52" s="186">
        <v>2</v>
      </c>
      <c r="D52" s="186"/>
      <c r="E52" s="195">
        <v>215</v>
      </c>
      <c r="F52" s="187">
        <v>11</v>
      </c>
      <c r="G52" s="195">
        <v>205</v>
      </c>
      <c r="H52" s="187"/>
      <c r="I52" s="195">
        <v>155</v>
      </c>
      <c r="J52" s="195"/>
      <c r="K52" s="187"/>
      <c r="L52" s="188">
        <v>110</v>
      </c>
      <c r="M52" s="186">
        <v>12</v>
      </c>
      <c r="N52" s="188">
        <v>60</v>
      </c>
      <c r="O52" s="795"/>
      <c r="P52" s="824">
        <v>15</v>
      </c>
      <c r="Q52" s="944"/>
      <c r="R52" s="188">
        <f t="shared" si="0"/>
        <v>2975</v>
      </c>
      <c r="S52" s="188">
        <f t="shared" si="1"/>
        <v>148.75</v>
      </c>
      <c r="T52" s="188">
        <f t="shared" si="2"/>
        <v>3123.75</v>
      </c>
      <c r="U52" s="186">
        <v>12376</v>
      </c>
      <c r="V52" s="190"/>
      <c r="W52" s="194"/>
    </row>
    <row r="53" spans="1:46" s="192" customFormat="1">
      <c r="A53" s="184">
        <v>42209</v>
      </c>
      <c r="B53" s="673">
        <v>29798</v>
      </c>
      <c r="C53" s="186">
        <v>2</v>
      </c>
      <c r="D53" s="186"/>
      <c r="E53" s="195">
        <v>215</v>
      </c>
      <c r="F53" s="187">
        <v>11</v>
      </c>
      <c r="G53" s="195">
        <v>205</v>
      </c>
      <c r="H53" s="187"/>
      <c r="I53" s="195">
        <v>155</v>
      </c>
      <c r="J53" s="195"/>
      <c r="K53" s="187"/>
      <c r="L53" s="188">
        <v>110</v>
      </c>
      <c r="M53" s="186">
        <v>12</v>
      </c>
      <c r="N53" s="188">
        <v>60</v>
      </c>
      <c r="O53" s="795"/>
      <c r="P53" s="824">
        <v>15</v>
      </c>
      <c r="Q53" s="944"/>
      <c r="R53" s="188">
        <f t="shared" si="0"/>
        <v>2975</v>
      </c>
      <c r="S53" s="188">
        <f t="shared" si="1"/>
        <v>148.75</v>
      </c>
      <c r="T53" s="188">
        <f t="shared" si="2"/>
        <v>3123.75</v>
      </c>
      <c r="U53" s="186">
        <v>12376</v>
      </c>
      <c r="V53" s="190"/>
      <c r="W53" s="194"/>
    </row>
    <row r="54" spans="1:46" s="192" customFormat="1">
      <c r="A54" s="184">
        <v>42209</v>
      </c>
      <c r="B54" s="673">
        <v>29799</v>
      </c>
      <c r="C54" s="186">
        <v>2</v>
      </c>
      <c r="D54" s="186"/>
      <c r="E54" s="195">
        <v>215</v>
      </c>
      <c r="F54" s="187"/>
      <c r="G54" s="195">
        <v>205</v>
      </c>
      <c r="H54" s="187">
        <v>12</v>
      </c>
      <c r="I54" s="195">
        <v>155</v>
      </c>
      <c r="J54" s="195"/>
      <c r="K54" s="187"/>
      <c r="L54" s="188">
        <v>110</v>
      </c>
      <c r="M54" s="186"/>
      <c r="N54" s="188">
        <v>60</v>
      </c>
      <c r="O54" s="795"/>
      <c r="P54" s="824">
        <v>15</v>
      </c>
      <c r="Q54" s="944"/>
      <c r="R54" s="188">
        <f t="shared" si="0"/>
        <v>1860</v>
      </c>
      <c r="S54" s="188">
        <f t="shared" si="1"/>
        <v>93</v>
      </c>
      <c r="T54" s="188">
        <f t="shared" si="2"/>
        <v>1953</v>
      </c>
      <c r="U54" s="186">
        <v>12376</v>
      </c>
      <c r="V54" s="190"/>
      <c r="W54" s="884"/>
    </row>
    <row r="55" spans="1:46" s="192" customFormat="1">
      <c r="A55" s="184">
        <v>42210</v>
      </c>
      <c r="B55" s="673">
        <v>21908</v>
      </c>
      <c r="C55" s="186">
        <v>2</v>
      </c>
      <c r="D55" s="186"/>
      <c r="E55" s="195">
        <v>215</v>
      </c>
      <c r="F55" s="187">
        <v>11</v>
      </c>
      <c r="G55" s="195">
        <v>205</v>
      </c>
      <c r="H55" s="187"/>
      <c r="I55" s="195">
        <v>155</v>
      </c>
      <c r="J55" s="195"/>
      <c r="K55" s="187">
        <v>1</v>
      </c>
      <c r="L55" s="188">
        <v>110</v>
      </c>
      <c r="M55" s="186">
        <v>12</v>
      </c>
      <c r="N55" s="188">
        <v>60</v>
      </c>
      <c r="O55" s="795"/>
      <c r="P55" s="824">
        <v>15</v>
      </c>
      <c r="Q55" s="944"/>
      <c r="R55" s="188">
        <f t="shared" si="0"/>
        <v>3085</v>
      </c>
      <c r="S55" s="188">
        <f t="shared" si="1"/>
        <v>154.25</v>
      </c>
      <c r="T55" s="188">
        <f t="shared" si="2"/>
        <v>3239.25</v>
      </c>
      <c r="U55" s="186">
        <v>12376</v>
      </c>
      <c r="V55" s="190"/>
      <c r="W55" s="194"/>
    </row>
    <row r="56" spans="1:46" s="192" customFormat="1">
      <c r="A56" s="184">
        <v>42210</v>
      </c>
      <c r="B56" s="673">
        <v>21909</v>
      </c>
      <c r="C56" s="186">
        <v>2</v>
      </c>
      <c r="D56" s="186"/>
      <c r="E56" s="195">
        <v>215</v>
      </c>
      <c r="F56" s="187">
        <v>11</v>
      </c>
      <c r="G56" s="195">
        <v>205</v>
      </c>
      <c r="H56" s="187"/>
      <c r="I56" s="195">
        <v>155</v>
      </c>
      <c r="J56" s="195"/>
      <c r="K56" s="187"/>
      <c r="L56" s="188">
        <v>110</v>
      </c>
      <c r="M56" s="186">
        <v>12</v>
      </c>
      <c r="N56" s="188">
        <v>60</v>
      </c>
      <c r="O56" s="795"/>
      <c r="P56" s="824">
        <v>15</v>
      </c>
      <c r="Q56" s="944"/>
      <c r="R56" s="188">
        <f t="shared" si="0"/>
        <v>2975</v>
      </c>
      <c r="S56" s="188">
        <f t="shared" si="1"/>
        <v>148.75</v>
      </c>
      <c r="T56" s="188">
        <f t="shared" si="2"/>
        <v>3123.75</v>
      </c>
      <c r="U56" s="186">
        <v>12376</v>
      </c>
      <c r="V56" s="190"/>
      <c r="W56" s="194"/>
    </row>
    <row r="57" spans="1:46" s="192" customFormat="1">
      <c r="A57" s="184">
        <v>42210</v>
      </c>
      <c r="B57" s="673">
        <v>21910</v>
      </c>
      <c r="C57" s="186">
        <v>2</v>
      </c>
      <c r="D57" s="186">
        <v>11</v>
      </c>
      <c r="E57" s="195">
        <v>215</v>
      </c>
      <c r="F57" s="187"/>
      <c r="G57" s="195">
        <v>205</v>
      </c>
      <c r="H57" s="187"/>
      <c r="I57" s="195">
        <v>155</v>
      </c>
      <c r="J57" s="195"/>
      <c r="K57" s="187"/>
      <c r="L57" s="188">
        <v>110</v>
      </c>
      <c r="M57" s="186">
        <v>12</v>
      </c>
      <c r="N57" s="188">
        <v>60</v>
      </c>
      <c r="O57" s="795"/>
      <c r="P57" s="824">
        <v>15</v>
      </c>
      <c r="Q57" s="944"/>
      <c r="R57" s="188">
        <f t="shared" si="0"/>
        <v>3085</v>
      </c>
      <c r="S57" s="188">
        <f t="shared" si="1"/>
        <v>154.25</v>
      </c>
      <c r="T57" s="188">
        <f t="shared" si="2"/>
        <v>3239.25</v>
      </c>
      <c r="U57" s="186">
        <v>12376</v>
      </c>
      <c r="V57" s="190"/>
      <c r="W57" s="194"/>
    </row>
    <row r="58" spans="1:46" s="192" customFormat="1">
      <c r="A58" s="184">
        <v>42210</v>
      </c>
      <c r="B58" s="673">
        <v>21911</v>
      </c>
      <c r="C58" s="186">
        <v>2</v>
      </c>
      <c r="D58" s="186">
        <v>6</v>
      </c>
      <c r="E58" s="195">
        <v>215</v>
      </c>
      <c r="F58" s="187">
        <v>5</v>
      </c>
      <c r="G58" s="195">
        <v>205</v>
      </c>
      <c r="H58" s="187"/>
      <c r="I58" s="195">
        <v>155</v>
      </c>
      <c r="J58" s="195"/>
      <c r="K58" s="187"/>
      <c r="L58" s="188">
        <v>110</v>
      </c>
      <c r="M58" s="186">
        <v>12</v>
      </c>
      <c r="N58" s="188">
        <v>60</v>
      </c>
      <c r="O58" s="795"/>
      <c r="P58" s="824">
        <v>15</v>
      </c>
      <c r="Q58" s="944"/>
      <c r="R58" s="188">
        <f t="shared" si="0"/>
        <v>3035</v>
      </c>
      <c r="S58" s="188">
        <f t="shared" si="1"/>
        <v>151.75</v>
      </c>
      <c r="T58" s="188">
        <f t="shared" si="2"/>
        <v>3186.75</v>
      </c>
      <c r="U58" s="186">
        <v>12376</v>
      </c>
      <c r="V58" s="190"/>
      <c r="W58" s="194"/>
    </row>
    <row r="59" spans="1:46" s="384" customFormat="1">
      <c r="A59" s="197">
        <v>42210</v>
      </c>
      <c r="B59" s="499">
        <v>29800</v>
      </c>
      <c r="C59" s="199">
        <v>1</v>
      </c>
      <c r="D59" s="199"/>
      <c r="E59" s="195">
        <v>215</v>
      </c>
      <c r="F59" s="199"/>
      <c r="G59" s="195">
        <v>205</v>
      </c>
      <c r="H59" s="199">
        <v>12</v>
      </c>
      <c r="I59" s="195">
        <v>155</v>
      </c>
      <c r="J59" s="199"/>
      <c r="K59" s="187"/>
      <c r="L59" s="188">
        <v>110</v>
      </c>
      <c r="M59" s="186"/>
      <c r="N59" s="188">
        <v>60</v>
      </c>
      <c r="O59" s="795"/>
      <c r="P59" s="824">
        <v>15</v>
      </c>
      <c r="Q59" s="944"/>
      <c r="R59" s="188">
        <f t="shared" si="0"/>
        <v>1860</v>
      </c>
      <c r="S59" s="188">
        <f t="shared" si="1"/>
        <v>93</v>
      </c>
      <c r="T59" s="188">
        <f t="shared" si="2"/>
        <v>1953</v>
      </c>
      <c r="U59" s="186">
        <v>12376</v>
      </c>
      <c r="V59" s="190"/>
      <c r="AA59" s="192"/>
      <c r="AB59" s="192"/>
      <c r="AC59" s="192"/>
      <c r="AD59" s="192"/>
      <c r="AE59" s="192"/>
      <c r="AF59" s="192"/>
      <c r="AG59" s="192"/>
      <c r="AH59" s="192"/>
      <c r="AI59" s="192"/>
      <c r="AJ59" s="192"/>
      <c r="AK59" s="192"/>
      <c r="AL59" s="192"/>
      <c r="AM59" s="192"/>
      <c r="AN59" s="192"/>
      <c r="AO59" s="192"/>
      <c r="AP59" s="192"/>
      <c r="AQ59" s="192"/>
      <c r="AR59" s="192"/>
      <c r="AS59" s="192"/>
      <c r="AT59" s="192"/>
    </row>
    <row r="60" spans="1:46" s="384" customFormat="1">
      <c r="A60" s="876">
        <v>42212</v>
      </c>
      <c r="B60" s="877">
        <v>21912</v>
      </c>
      <c r="C60" s="379">
        <v>2</v>
      </c>
      <c r="D60" s="379"/>
      <c r="E60" s="377">
        <v>215</v>
      </c>
      <c r="F60" s="474"/>
      <c r="G60" s="377">
        <v>205</v>
      </c>
      <c r="H60" s="474">
        <v>12</v>
      </c>
      <c r="I60" s="377">
        <v>155</v>
      </c>
      <c r="J60" s="377"/>
      <c r="K60" s="474">
        <v>1</v>
      </c>
      <c r="L60" s="376">
        <v>110</v>
      </c>
      <c r="M60" s="379"/>
      <c r="N60" s="376">
        <v>60</v>
      </c>
      <c r="O60" s="596"/>
      <c r="P60" s="595">
        <v>15</v>
      </c>
      <c r="Q60" s="943"/>
      <c r="R60" s="376">
        <f t="shared" si="0"/>
        <v>1970</v>
      </c>
      <c r="S60" s="376">
        <f t="shared" si="1"/>
        <v>98.5</v>
      </c>
      <c r="T60" s="376">
        <f t="shared" si="2"/>
        <v>2068.5</v>
      </c>
      <c r="U60" s="379">
        <v>12416</v>
      </c>
      <c r="V60" s="190"/>
    </row>
    <row r="61" spans="1:46" s="384" customFormat="1">
      <c r="A61" s="876">
        <v>42212</v>
      </c>
      <c r="B61" s="877">
        <v>21913</v>
      </c>
      <c r="C61" s="379">
        <v>2</v>
      </c>
      <c r="D61" s="379">
        <v>11</v>
      </c>
      <c r="E61" s="377">
        <v>215</v>
      </c>
      <c r="F61" s="474"/>
      <c r="G61" s="377">
        <v>205</v>
      </c>
      <c r="H61" s="474"/>
      <c r="I61" s="377">
        <v>155</v>
      </c>
      <c r="J61" s="377"/>
      <c r="K61" s="474"/>
      <c r="L61" s="376">
        <v>110</v>
      </c>
      <c r="M61" s="379">
        <v>12</v>
      </c>
      <c r="N61" s="376">
        <v>60</v>
      </c>
      <c r="O61" s="596"/>
      <c r="P61" s="595">
        <v>15</v>
      </c>
      <c r="Q61" s="943"/>
      <c r="R61" s="376">
        <f t="shared" si="0"/>
        <v>3085</v>
      </c>
      <c r="S61" s="376">
        <f t="shared" si="1"/>
        <v>154.25</v>
      </c>
      <c r="T61" s="376">
        <f t="shared" si="2"/>
        <v>3239.25</v>
      </c>
      <c r="U61" s="379">
        <v>12416</v>
      </c>
      <c r="V61" s="382"/>
    </row>
    <row r="62" spans="1:46" s="384" customFormat="1">
      <c r="A62" s="876">
        <v>42212</v>
      </c>
      <c r="B62" s="877">
        <v>21914</v>
      </c>
      <c r="C62" s="379">
        <v>2</v>
      </c>
      <c r="D62" s="379"/>
      <c r="E62" s="377">
        <v>215</v>
      </c>
      <c r="F62" s="474">
        <v>12</v>
      </c>
      <c r="G62" s="377">
        <v>205</v>
      </c>
      <c r="H62" s="474"/>
      <c r="I62" s="377">
        <v>155</v>
      </c>
      <c r="J62" s="377"/>
      <c r="K62" s="474"/>
      <c r="L62" s="376">
        <v>110</v>
      </c>
      <c r="M62" s="379">
        <v>13</v>
      </c>
      <c r="N62" s="376">
        <v>60</v>
      </c>
      <c r="O62" s="596"/>
      <c r="P62" s="595">
        <v>15</v>
      </c>
      <c r="Q62" s="943"/>
      <c r="R62" s="376">
        <f t="shared" si="0"/>
        <v>3240</v>
      </c>
      <c r="S62" s="376">
        <f t="shared" si="1"/>
        <v>162</v>
      </c>
      <c r="T62" s="376">
        <f t="shared" si="2"/>
        <v>3402</v>
      </c>
      <c r="U62" s="379">
        <v>12416</v>
      </c>
      <c r="V62" s="382"/>
    </row>
    <row r="63" spans="1:46" s="384" customFormat="1">
      <c r="A63" s="876">
        <v>42212</v>
      </c>
      <c r="B63" s="877">
        <v>21915</v>
      </c>
      <c r="C63" s="379">
        <v>2</v>
      </c>
      <c r="D63" s="379"/>
      <c r="E63" s="377">
        <v>215</v>
      </c>
      <c r="F63" s="474">
        <v>11.5</v>
      </c>
      <c r="G63" s="377">
        <v>205</v>
      </c>
      <c r="H63" s="474"/>
      <c r="I63" s="377">
        <v>155</v>
      </c>
      <c r="J63" s="377"/>
      <c r="K63" s="474"/>
      <c r="L63" s="376">
        <v>110</v>
      </c>
      <c r="M63" s="379">
        <v>12.5</v>
      </c>
      <c r="N63" s="376">
        <v>60</v>
      </c>
      <c r="O63" s="596"/>
      <c r="P63" s="595">
        <v>15</v>
      </c>
      <c r="Q63" s="943"/>
      <c r="R63" s="376">
        <f t="shared" si="0"/>
        <v>3107.5</v>
      </c>
      <c r="S63" s="376">
        <f t="shared" si="1"/>
        <v>155.375</v>
      </c>
      <c r="T63" s="376">
        <f t="shared" si="2"/>
        <v>3262.875</v>
      </c>
      <c r="U63" s="379">
        <v>12416</v>
      </c>
      <c r="V63" s="382"/>
    </row>
    <row r="64" spans="1:46" s="384" customFormat="1">
      <c r="A64" s="876">
        <v>42212</v>
      </c>
      <c r="B64" s="877">
        <v>21916</v>
      </c>
      <c r="C64" s="379">
        <v>2</v>
      </c>
      <c r="D64" s="379">
        <v>8</v>
      </c>
      <c r="E64" s="377">
        <v>215</v>
      </c>
      <c r="F64" s="474">
        <v>3</v>
      </c>
      <c r="G64" s="377">
        <v>205</v>
      </c>
      <c r="H64" s="474"/>
      <c r="I64" s="377">
        <v>155</v>
      </c>
      <c r="J64" s="377"/>
      <c r="K64" s="474"/>
      <c r="L64" s="376">
        <v>110</v>
      </c>
      <c r="M64" s="379">
        <v>12</v>
      </c>
      <c r="N64" s="376">
        <v>60</v>
      </c>
      <c r="O64" s="596"/>
      <c r="P64" s="595">
        <v>15</v>
      </c>
      <c r="Q64" s="943"/>
      <c r="R64" s="376">
        <f t="shared" si="0"/>
        <v>3055</v>
      </c>
      <c r="S64" s="376">
        <f t="shared" si="1"/>
        <v>152.75</v>
      </c>
      <c r="T64" s="376">
        <f t="shared" si="2"/>
        <v>3207.75</v>
      </c>
      <c r="U64" s="379">
        <v>12416</v>
      </c>
      <c r="V64" s="382"/>
    </row>
    <row r="65" spans="1:22" s="384" customFormat="1">
      <c r="A65" s="876">
        <v>42213</v>
      </c>
      <c r="B65" s="877">
        <v>21917</v>
      </c>
      <c r="C65" s="379">
        <v>1</v>
      </c>
      <c r="D65" s="379"/>
      <c r="E65" s="377">
        <v>215</v>
      </c>
      <c r="F65" s="474"/>
      <c r="G65" s="377">
        <v>205</v>
      </c>
      <c r="H65" s="474">
        <v>12</v>
      </c>
      <c r="I65" s="377">
        <v>155</v>
      </c>
      <c r="J65" s="377"/>
      <c r="K65" s="474">
        <v>1</v>
      </c>
      <c r="L65" s="376">
        <v>110</v>
      </c>
      <c r="M65" s="379"/>
      <c r="N65" s="376">
        <v>60</v>
      </c>
      <c r="O65" s="596"/>
      <c r="P65" s="595">
        <v>15</v>
      </c>
      <c r="Q65" s="943"/>
      <c r="R65" s="376">
        <f t="shared" si="0"/>
        <v>1970</v>
      </c>
      <c r="S65" s="376">
        <f t="shared" si="1"/>
        <v>98.5</v>
      </c>
      <c r="T65" s="376">
        <f t="shared" si="2"/>
        <v>2068.5</v>
      </c>
      <c r="U65" s="379">
        <v>12416</v>
      </c>
      <c r="V65" s="382"/>
    </row>
    <row r="66" spans="1:22" s="384" customFormat="1">
      <c r="A66" s="876">
        <v>42213</v>
      </c>
      <c r="B66" s="877">
        <v>21918</v>
      </c>
      <c r="C66" s="379">
        <v>2</v>
      </c>
      <c r="D66" s="379">
        <v>9</v>
      </c>
      <c r="E66" s="377">
        <v>215</v>
      </c>
      <c r="F66" s="474">
        <v>3</v>
      </c>
      <c r="G66" s="377">
        <v>205</v>
      </c>
      <c r="H66" s="474"/>
      <c r="I66" s="377">
        <v>155</v>
      </c>
      <c r="J66" s="377"/>
      <c r="K66" s="474"/>
      <c r="L66" s="376">
        <v>110</v>
      </c>
      <c r="M66" s="379">
        <v>13</v>
      </c>
      <c r="N66" s="376">
        <v>60</v>
      </c>
      <c r="O66" s="596"/>
      <c r="P66" s="595">
        <v>15</v>
      </c>
      <c r="Q66" s="943"/>
      <c r="R66" s="376">
        <f t="shared" si="0"/>
        <v>3330</v>
      </c>
      <c r="S66" s="376">
        <f t="shared" si="1"/>
        <v>166.5</v>
      </c>
      <c r="T66" s="376">
        <f t="shared" si="2"/>
        <v>3496.5</v>
      </c>
      <c r="U66" s="379">
        <v>12416</v>
      </c>
      <c r="V66" s="382"/>
    </row>
    <row r="67" spans="1:22" s="384" customFormat="1">
      <c r="A67" s="876">
        <v>42213</v>
      </c>
      <c r="B67" s="877">
        <v>21919</v>
      </c>
      <c r="C67" s="379">
        <v>2</v>
      </c>
      <c r="D67" s="379"/>
      <c r="E67" s="377">
        <v>215</v>
      </c>
      <c r="F67" s="474">
        <v>11</v>
      </c>
      <c r="G67" s="377">
        <v>205</v>
      </c>
      <c r="H67" s="474"/>
      <c r="I67" s="377">
        <v>155</v>
      </c>
      <c r="J67" s="377"/>
      <c r="K67" s="474"/>
      <c r="L67" s="376">
        <v>110</v>
      </c>
      <c r="M67" s="379">
        <v>12</v>
      </c>
      <c r="N67" s="376">
        <v>60</v>
      </c>
      <c r="O67" s="596"/>
      <c r="P67" s="595">
        <v>15</v>
      </c>
      <c r="Q67" s="943"/>
      <c r="R67" s="376">
        <f t="shared" si="0"/>
        <v>2975</v>
      </c>
      <c r="S67" s="376">
        <f t="shared" si="1"/>
        <v>148.75</v>
      </c>
      <c r="T67" s="376">
        <f t="shared" si="2"/>
        <v>3123.75</v>
      </c>
      <c r="U67" s="379">
        <v>12416</v>
      </c>
      <c r="V67" s="382"/>
    </row>
    <row r="68" spans="1:22" s="384" customFormat="1">
      <c r="A68" s="876">
        <v>42213</v>
      </c>
      <c r="B68" s="877">
        <v>21920</v>
      </c>
      <c r="C68" s="379">
        <v>2</v>
      </c>
      <c r="D68" s="379">
        <v>10.5</v>
      </c>
      <c r="E68" s="377">
        <v>215</v>
      </c>
      <c r="F68" s="474">
        <v>2.5</v>
      </c>
      <c r="G68" s="377">
        <v>205</v>
      </c>
      <c r="H68" s="474"/>
      <c r="I68" s="377">
        <v>155</v>
      </c>
      <c r="J68" s="377"/>
      <c r="K68" s="474"/>
      <c r="L68" s="376">
        <v>110</v>
      </c>
      <c r="M68" s="379">
        <v>13.5</v>
      </c>
      <c r="N68" s="376">
        <v>60</v>
      </c>
      <c r="O68" s="596"/>
      <c r="P68" s="595">
        <v>15</v>
      </c>
      <c r="Q68" s="943"/>
      <c r="R68" s="376">
        <f t="shared" si="0"/>
        <v>3580</v>
      </c>
      <c r="S68" s="376">
        <f t="shared" si="1"/>
        <v>179</v>
      </c>
      <c r="T68" s="376">
        <f t="shared" si="2"/>
        <v>3759</v>
      </c>
      <c r="U68" s="379">
        <v>12416</v>
      </c>
      <c r="V68" s="382"/>
    </row>
    <row r="69" spans="1:22" s="384" customFormat="1">
      <c r="A69" s="876">
        <v>42213</v>
      </c>
      <c r="B69" s="877">
        <v>21922</v>
      </c>
      <c r="C69" s="379">
        <v>2</v>
      </c>
      <c r="D69" s="379"/>
      <c r="E69" s="377">
        <v>215</v>
      </c>
      <c r="F69" s="474">
        <v>12</v>
      </c>
      <c r="G69" s="377">
        <v>205</v>
      </c>
      <c r="H69" s="474"/>
      <c r="I69" s="377">
        <v>155</v>
      </c>
      <c r="J69" s="377"/>
      <c r="K69" s="474"/>
      <c r="L69" s="376">
        <v>110</v>
      </c>
      <c r="M69" s="379">
        <v>13</v>
      </c>
      <c r="N69" s="376">
        <v>60</v>
      </c>
      <c r="O69" s="596"/>
      <c r="P69" s="595">
        <v>15</v>
      </c>
      <c r="Q69" s="943"/>
      <c r="R69" s="376">
        <f t="shared" si="0"/>
        <v>3240</v>
      </c>
      <c r="S69" s="376">
        <f t="shared" si="1"/>
        <v>162</v>
      </c>
      <c r="T69" s="376">
        <f t="shared" si="2"/>
        <v>3402</v>
      </c>
      <c r="U69" s="379">
        <v>12416</v>
      </c>
      <c r="V69" s="382"/>
    </row>
    <row r="70" spans="1:22" s="384" customFormat="1">
      <c r="A70" s="876">
        <v>42214</v>
      </c>
      <c r="B70" s="877">
        <v>21924</v>
      </c>
      <c r="C70" s="379">
        <v>2</v>
      </c>
      <c r="D70" s="379"/>
      <c r="E70" s="377">
        <v>215</v>
      </c>
      <c r="F70" s="474">
        <v>12</v>
      </c>
      <c r="G70" s="377">
        <v>205</v>
      </c>
      <c r="H70" s="474"/>
      <c r="I70" s="377">
        <v>155</v>
      </c>
      <c r="J70" s="377"/>
      <c r="K70" s="474">
        <v>1</v>
      </c>
      <c r="L70" s="376">
        <v>110</v>
      </c>
      <c r="M70" s="379">
        <v>13</v>
      </c>
      <c r="N70" s="376">
        <v>60</v>
      </c>
      <c r="O70" s="596"/>
      <c r="P70" s="595">
        <v>15</v>
      </c>
      <c r="Q70" s="943"/>
      <c r="R70" s="376">
        <f t="shared" ref="R70:R133" si="3">(D70*E70)+(K70*L70)+(M70*N70)+(O70*P70)+(F70*G70)+(H70*I70)</f>
        <v>3350</v>
      </c>
      <c r="S70" s="376">
        <f t="shared" ref="S70:S133" si="4">(R70*5%)</f>
        <v>167.5</v>
      </c>
      <c r="T70" s="376">
        <f t="shared" ref="T70:T133" si="5">SUM(R70+S70)</f>
        <v>3517.5</v>
      </c>
      <c r="U70" s="379">
        <v>12416</v>
      </c>
      <c r="V70" s="382"/>
    </row>
    <row r="71" spans="1:22" s="384" customFormat="1">
      <c r="A71" s="876">
        <v>42214</v>
      </c>
      <c r="B71" s="877">
        <v>21925</v>
      </c>
      <c r="C71" s="379">
        <v>2</v>
      </c>
      <c r="D71" s="379"/>
      <c r="E71" s="377">
        <v>215</v>
      </c>
      <c r="F71" s="474">
        <v>12</v>
      </c>
      <c r="G71" s="377">
        <v>205</v>
      </c>
      <c r="H71" s="474"/>
      <c r="I71" s="377">
        <v>155</v>
      </c>
      <c r="J71" s="377"/>
      <c r="K71" s="474"/>
      <c r="L71" s="376">
        <v>110</v>
      </c>
      <c r="M71" s="379">
        <v>13</v>
      </c>
      <c r="N71" s="376">
        <v>60</v>
      </c>
      <c r="O71" s="596"/>
      <c r="P71" s="595">
        <v>15</v>
      </c>
      <c r="Q71" s="943"/>
      <c r="R71" s="376">
        <f t="shared" si="3"/>
        <v>3240</v>
      </c>
      <c r="S71" s="376">
        <f t="shared" si="4"/>
        <v>162</v>
      </c>
      <c r="T71" s="376">
        <f t="shared" si="5"/>
        <v>3402</v>
      </c>
      <c r="U71" s="379">
        <v>12416</v>
      </c>
      <c r="V71" s="382"/>
    </row>
    <row r="72" spans="1:22" s="384" customFormat="1">
      <c r="A72" s="876">
        <v>42214</v>
      </c>
      <c r="B72" s="877">
        <v>29801</v>
      </c>
      <c r="C72" s="379">
        <v>2</v>
      </c>
      <c r="D72" s="379">
        <v>10</v>
      </c>
      <c r="E72" s="377">
        <v>215</v>
      </c>
      <c r="F72" s="474"/>
      <c r="G72" s="377">
        <v>205</v>
      </c>
      <c r="H72" s="474"/>
      <c r="I72" s="377">
        <v>155</v>
      </c>
      <c r="J72" s="377"/>
      <c r="K72" s="474"/>
      <c r="L72" s="376">
        <v>110</v>
      </c>
      <c r="M72" s="379">
        <v>11</v>
      </c>
      <c r="N72" s="376">
        <v>60</v>
      </c>
      <c r="O72" s="596"/>
      <c r="P72" s="595">
        <v>15</v>
      </c>
      <c r="Q72" s="943"/>
      <c r="R72" s="376">
        <f t="shared" si="3"/>
        <v>2810</v>
      </c>
      <c r="S72" s="376">
        <f t="shared" si="4"/>
        <v>140.5</v>
      </c>
      <c r="T72" s="376">
        <f t="shared" si="5"/>
        <v>2950.5</v>
      </c>
      <c r="U72" s="379">
        <v>12416</v>
      </c>
      <c r="V72" s="382"/>
    </row>
    <row r="73" spans="1:22" s="384" customFormat="1">
      <c r="A73" s="876">
        <v>42214</v>
      </c>
      <c r="B73" s="877">
        <v>29802</v>
      </c>
      <c r="C73" s="379">
        <v>2</v>
      </c>
      <c r="D73" s="379"/>
      <c r="E73" s="377">
        <v>215</v>
      </c>
      <c r="F73" s="474">
        <v>12</v>
      </c>
      <c r="G73" s="377">
        <v>205</v>
      </c>
      <c r="H73" s="474"/>
      <c r="I73" s="377">
        <v>155</v>
      </c>
      <c r="J73" s="377"/>
      <c r="K73" s="474"/>
      <c r="L73" s="376">
        <v>110</v>
      </c>
      <c r="M73" s="379">
        <v>13</v>
      </c>
      <c r="N73" s="376">
        <v>60</v>
      </c>
      <c r="O73" s="596"/>
      <c r="P73" s="595">
        <v>15</v>
      </c>
      <c r="Q73" s="943"/>
      <c r="R73" s="376">
        <f t="shared" si="3"/>
        <v>3240</v>
      </c>
      <c r="S73" s="376">
        <f t="shared" si="4"/>
        <v>162</v>
      </c>
      <c r="T73" s="376">
        <f t="shared" si="5"/>
        <v>3402</v>
      </c>
      <c r="U73" s="379">
        <v>12416</v>
      </c>
      <c r="V73" s="382"/>
    </row>
    <row r="74" spans="1:22" s="384" customFormat="1">
      <c r="A74" s="876">
        <v>42215</v>
      </c>
      <c r="B74" s="877">
        <v>29803</v>
      </c>
      <c r="C74" s="379">
        <v>2</v>
      </c>
      <c r="D74" s="379"/>
      <c r="E74" s="377">
        <v>215</v>
      </c>
      <c r="F74" s="474"/>
      <c r="G74" s="377">
        <v>205</v>
      </c>
      <c r="H74" s="474">
        <v>12</v>
      </c>
      <c r="I74" s="377">
        <v>155</v>
      </c>
      <c r="J74" s="377"/>
      <c r="K74" s="474">
        <v>1</v>
      </c>
      <c r="L74" s="376">
        <v>110</v>
      </c>
      <c r="M74" s="379"/>
      <c r="N74" s="376">
        <v>60</v>
      </c>
      <c r="O74" s="596"/>
      <c r="P74" s="595">
        <v>15</v>
      </c>
      <c r="Q74" s="943"/>
      <c r="R74" s="376">
        <f t="shared" si="3"/>
        <v>1970</v>
      </c>
      <c r="S74" s="376">
        <f t="shared" si="4"/>
        <v>98.5</v>
      </c>
      <c r="T74" s="376">
        <f t="shared" si="5"/>
        <v>2068.5</v>
      </c>
      <c r="U74" s="379">
        <v>12416</v>
      </c>
      <c r="V74" s="382"/>
    </row>
    <row r="75" spans="1:22" s="384" customFormat="1">
      <c r="A75" s="876">
        <v>42215</v>
      </c>
      <c r="B75" s="877">
        <v>29804</v>
      </c>
      <c r="C75" s="379">
        <v>2</v>
      </c>
      <c r="D75" s="379"/>
      <c r="E75" s="377">
        <v>215</v>
      </c>
      <c r="F75" s="474"/>
      <c r="G75" s="377">
        <v>205</v>
      </c>
      <c r="H75" s="474">
        <v>12</v>
      </c>
      <c r="I75" s="377">
        <v>155</v>
      </c>
      <c r="J75" s="377"/>
      <c r="K75" s="474"/>
      <c r="L75" s="376">
        <v>110</v>
      </c>
      <c r="M75" s="379"/>
      <c r="N75" s="376">
        <v>60</v>
      </c>
      <c r="O75" s="596"/>
      <c r="P75" s="595">
        <v>15</v>
      </c>
      <c r="Q75" s="943"/>
      <c r="R75" s="376">
        <f t="shared" si="3"/>
        <v>1860</v>
      </c>
      <c r="S75" s="376">
        <f t="shared" si="4"/>
        <v>93</v>
      </c>
      <c r="T75" s="376">
        <f t="shared" si="5"/>
        <v>1953</v>
      </c>
      <c r="U75" s="379">
        <v>12416</v>
      </c>
      <c r="V75" s="382"/>
    </row>
    <row r="76" spans="1:22" s="384" customFormat="1">
      <c r="A76" s="876">
        <v>42215</v>
      </c>
      <c r="B76" s="877">
        <v>29805</v>
      </c>
      <c r="C76" s="379">
        <v>2</v>
      </c>
      <c r="D76" s="379">
        <v>8</v>
      </c>
      <c r="E76" s="377">
        <v>215</v>
      </c>
      <c r="F76" s="474">
        <v>3</v>
      </c>
      <c r="G76" s="377">
        <v>205</v>
      </c>
      <c r="H76" s="474"/>
      <c r="I76" s="377">
        <v>155</v>
      </c>
      <c r="J76" s="377"/>
      <c r="K76" s="474"/>
      <c r="L76" s="376">
        <v>110</v>
      </c>
      <c r="M76" s="379">
        <v>12</v>
      </c>
      <c r="N76" s="376">
        <v>60</v>
      </c>
      <c r="O76" s="596"/>
      <c r="P76" s="595">
        <v>15</v>
      </c>
      <c r="Q76" s="943"/>
      <c r="R76" s="376">
        <f t="shared" si="3"/>
        <v>3055</v>
      </c>
      <c r="S76" s="376">
        <f t="shared" si="4"/>
        <v>152.75</v>
      </c>
      <c r="T76" s="376">
        <f t="shared" si="5"/>
        <v>3207.75</v>
      </c>
      <c r="U76" s="379">
        <v>12416</v>
      </c>
      <c r="V76" s="382"/>
    </row>
    <row r="77" spans="1:22" s="384" customFormat="1">
      <c r="A77" s="876">
        <v>42215</v>
      </c>
      <c r="B77" s="877">
        <v>29806</v>
      </c>
      <c r="C77" s="379">
        <v>2</v>
      </c>
      <c r="D77" s="379"/>
      <c r="E77" s="377">
        <v>215</v>
      </c>
      <c r="F77" s="474">
        <v>11</v>
      </c>
      <c r="G77" s="377">
        <v>205</v>
      </c>
      <c r="H77" s="474"/>
      <c r="I77" s="377">
        <v>155</v>
      </c>
      <c r="J77" s="377"/>
      <c r="K77" s="474"/>
      <c r="L77" s="376">
        <v>110</v>
      </c>
      <c r="M77" s="379">
        <v>12</v>
      </c>
      <c r="N77" s="376">
        <v>60</v>
      </c>
      <c r="O77" s="596"/>
      <c r="P77" s="595">
        <v>15</v>
      </c>
      <c r="Q77" s="943"/>
      <c r="R77" s="376">
        <f t="shared" si="3"/>
        <v>2975</v>
      </c>
      <c r="S77" s="376">
        <f t="shared" si="4"/>
        <v>148.75</v>
      </c>
      <c r="T77" s="376">
        <f t="shared" si="5"/>
        <v>3123.75</v>
      </c>
      <c r="U77" s="379">
        <v>12416</v>
      </c>
      <c r="V77" s="382"/>
    </row>
    <row r="78" spans="1:22" s="384" customFormat="1">
      <c r="A78" s="876">
        <v>42215</v>
      </c>
      <c r="B78" s="877">
        <v>29807</v>
      </c>
      <c r="C78" s="379">
        <v>2</v>
      </c>
      <c r="D78" s="379"/>
      <c r="E78" s="377">
        <v>215</v>
      </c>
      <c r="F78" s="474">
        <v>11</v>
      </c>
      <c r="G78" s="377">
        <v>205</v>
      </c>
      <c r="H78" s="474"/>
      <c r="I78" s="377">
        <v>155</v>
      </c>
      <c r="J78" s="377"/>
      <c r="K78" s="474"/>
      <c r="L78" s="376">
        <v>110</v>
      </c>
      <c r="M78" s="379">
        <v>12</v>
      </c>
      <c r="N78" s="376">
        <v>60</v>
      </c>
      <c r="O78" s="596"/>
      <c r="P78" s="595">
        <v>15</v>
      </c>
      <c r="Q78" s="943"/>
      <c r="R78" s="376">
        <f t="shared" si="3"/>
        <v>2975</v>
      </c>
      <c r="S78" s="376">
        <f t="shared" si="4"/>
        <v>148.75</v>
      </c>
      <c r="T78" s="376">
        <f t="shared" si="5"/>
        <v>3123.75</v>
      </c>
      <c r="U78" s="379">
        <v>12416</v>
      </c>
      <c r="V78" s="382"/>
    </row>
    <row r="79" spans="1:22" s="384" customFormat="1">
      <c r="A79" s="876">
        <v>42216</v>
      </c>
      <c r="B79" s="877">
        <v>28484</v>
      </c>
      <c r="C79" s="379">
        <v>1</v>
      </c>
      <c r="D79" s="379"/>
      <c r="E79" s="377">
        <v>215</v>
      </c>
      <c r="F79" s="474"/>
      <c r="G79" s="377">
        <v>205</v>
      </c>
      <c r="H79" s="474">
        <v>12</v>
      </c>
      <c r="I79" s="377">
        <v>155</v>
      </c>
      <c r="J79" s="377"/>
      <c r="K79" s="474">
        <v>1</v>
      </c>
      <c r="L79" s="376">
        <v>110</v>
      </c>
      <c r="M79" s="379"/>
      <c r="N79" s="376">
        <v>60</v>
      </c>
      <c r="O79" s="596"/>
      <c r="P79" s="595">
        <v>15</v>
      </c>
      <c r="Q79" s="943"/>
      <c r="R79" s="376">
        <f t="shared" si="3"/>
        <v>1970</v>
      </c>
      <c r="S79" s="376">
        <f t="shared" si="4"/>
        <v>98.5</v>
      </c>
      <c r="T79" s="376">
        <f t="shared" si="5"/>
        <v>2068.5</v>
      </c>
      <c r="U79" s="379">
        <v>12416</v>
      </c>
      <c r="V79" s="382"/>
    </row>
    <row r="80" spans="1:22" s="384" customFormat="1">
      <c r="A80" s="876">
        <v>42216</v>
      </c>
      <c r="B80" s="877">
        <v>28485</v>
      </c>
      <c r="C80" s="379">
        <v>1</v>
      </c>
      <c r="D80" s="379"/>
      <c r="E80" s="377">
        <v>215</v>
      </c>
      <c r="F80" s="474"/>
      <c r="G80" s="377">
        <v>205</v>
      </c>
      <c r="H80" s="474">
        <v>9</v>
      </c>
      <c r="I80" s="377">
        <v>155</v>
      </c>
      <c r="J80" s="377"/>
      <c r="K80" s="474"/>
      <c r="L80" s="376">
        <v>110</v>
      </c>
      <c r="M80" s="379"/>
      <c r="N80" s="376">
        <v>60</v>
      </c>
      <c r="O80" s="596"/>
      <c r="P80" s="595">
        <v>15</v>
      </c>
      <c r="Q80" s="943"/>
      <c r="R80" s="376">
        <f t="shared" si="3"/>
        <v>1395</v>
      </c>
      <c r="S80" s="376">
        <f t="shared" si="4"/>
        <v>69.75</v>
      </c>
      <c r="T80" s="376">
        <f t="shared" si="5"/>
        <v>1464.75</v>
      </c>
      <c r="U80" s="379">
        <v>12416</v>
      </c>
      <c r="V80" s="382"/>
    </row>
    <row r="81" spans="1:46" s="384" customFormat="1">
      <c r="A81" s="876">
        <v>42216</v>
      </c>
      <c r="B81" s="877">
        <v>28487</v>
      </c>
      <c r="C81" s="379">
        <v>2</v>
      </c>
      <c r="D81" s="379">
        <v>11</v>
      </c>
      <c r="E81" s="377">
        <v>215</v>
      </c>
      <c r="F81" s="474"/>
      <c r="G81" s="377">
        <v>205</v>
      </c>
      <c r="H81" s="474"/>
      <c r="I81" s="377">
        <v>155</v>
      </c>
      <c r="J81" s="377"/>
      <c r="K81" s="474"/>
      <c r="L81" s="376">
        <v>110</v>
      </c>
      <c r="M81" s="379">
        <v>12</v>
      </c>
      <c r="N81" s="376">
        <v>60</v>
      </c>
      <c r="O81" s="596"/>
      <c r="P81" s="595">
        <v>15</v>
      </c>
      <c r="Q81" s="943"/>
      <c r="R81" s="376">
        <f t="shared" si="3"/>
        <v>3085</v>
      </c>
      <c r="S81" s="376">
        <f t="shared" si="4"/>
        <v>154.25</v>
      </c>
      <c r="T81" s="376">
        <f t="shared" si="5"/>
        <v>3239.25</v>
      </c>
      <c r="U81" s="379">
        <v>12416</v>
      </c>
      <c r="V81" s="382"/>
    </row>
    <row r="82" spans="1:46" s="384" customFormat="1">
      <c r="A82" s="876">
        <v>42216</v>
      </c>
      <c r="B82" s="877">
        <v>28489</v>
      </c>
      <c r="C82" s="379">
        <v>2</v>
      </c>
      <c r="D82" s="379"/>
      <c r="E82" s="377">
        <v>215</v>
      </c>
      <c r="F82" s="474">
        <v>12</v>
      </c>
      <c r="G82" s="377">
        <v>205</v>
      </c>
      <c r="H82" s="474"/>
      <c r="I82" s="377">
        <v>155</v>
      </c>
      <c r="J82" s="377"/>
      <c r="K82" s="474"/>
      <c r="L82" s="376">
        <v>110</v>
      </c>
      <c r="M82" s="379">
        <v>13</v>
      </c>
      <c r="N82" s="376">
        <v>60</v>
      </c>
      <c r="O82" s="596"/>
      <c r="P82" s="595">
        <v>15</v>
      </c>
      <c r="Q82" s="943"/>
      <c r="R82" s="376">
        <f t="shared" si="3"/>
        <v>3240</v>
      </c>
      <c r="S82" s="376">
        <f t="shared" si="4"/>
        <v>162</v>
      </c>
      <c r="T82" s="376">
        <f t="shared" si="5"/>
        <v>3402</v>
      </c>
      <c r="U82" s="379">
        <v>12416</v>
      </c>
      <c r="V82" s="382"/>
    </row>
    <row r="83" spans="1:46" s="384" customFormat="1">
      <c r="A83" s="876">
        <v>42216</v>
      </c>
      <c r="B83" s="877">
        <v>28490</v>
      </c>
      <c r="C83" s="379">
        <v>2</v>
      </c>
      <c r="D83" s="379"/>
      <c r="E83" s="377">
        <v>215</v>
      </c>
      <c r="F83" s="474">
        <v>12</v>
      </c>
      <c r="G83" s="377">
        <v>205</v>
      </c>
      <c r="H83" s="474"/>
      <c r="I83" s="377">
        <v>155</v>
      </c>
      <c r="J83" s="377"/>
      <c r="K83" s="474"/>
      <c r="L83" s="376">
        <v>110</v>
      </c>
      <c r="M83" s="379">
        <v>13</v>
      </c>
      <c r="N83" s="376">
        <v>60</v>
      </c>
      <c r="O83" s="596"/>
      <c r="P83" s="595">
        <v>15</v>
      </c>
      <c r="Q83" s="943"/>
      <c r="R83" s="376">
        <f t="shared" si="3"/>
        <v>3240</v>
      </c>
      <c r="S83" s="376">
        <f t="shared" si="4"/>
        <v>162</v>
      </c>
      <c r="T83" s="376">
        <f t="shared" si="5"/>
        <v>3402</v>
      </c>
      <c r="U83" s="379">
        <v>12416</v>
      </c>
      <c r="V83" s="382"/>
    </row>
    <row r="84" spans="1:46" s="384" customFormat="1">
      <c r="A84" s="876">
        <v>42217</v>
      </c>
      <c r="B84" s="877">
        <v>29808</v>
      </c>
      <c r="C84" s="379">
        <v>2</v>
      </c>
      <c r="D84" s="379"/>
      <c r="E84" s="377">
        <v>215</v>
      </c>
      <c r="F84" s="474">
        <v>11</v>
      </c>
      <c r="G84" s="377">
        <v>205</v>
      </c>
      <c r="H84" s="474"/>
      <c r="I84" s="377">
        <v>155</v>
      </c>
      <c r="J84" s="377"/>
      <c r="K84" s="474"/>
      <c r="L84" s="376">
        <v>110</v>
      </c>
      <c r="M84" s="379">
        <v>12</v>
      </c>
      <c r="N84" s="376">
        <v>60</v>
      </c>
      <c r="O84" s="596"/>
      <c r="P84" s="595">
        <v>15</v>
      </c>
      <c r="Q84" s="943"/>
      <c r="R84" s="376">
        <f t="shared" si="3"/>
        <v>2975</v>
      </c>
      <c r="S84" s="376">
        <f t="shared" si="4"/>
        <v>148.75</v>
      </c>
      <c r="T84" s="376">
        <f t="shared" si="5"/>
        <v>3123.75</v>
      </c>
      <c r="U84" s="379">
        <v>12416</v>
      </c>
      <c r="V84" s="382"/>
    </row>
    <row r="85" spans="1:46" s="384" customFormat="1">
      <c r="A85" s="876">
        <v>42217</v>
      </c>
      <c r="B85" s="877">
        <v>29809</v>
      </c>
      <c r="C85" s="379">
        <v>2</v>
      </c>
      <c r="D85" s="379">
        <v>10</v>
      </c>
      <c r="E85" s="377">
        <v>215</v>
      </c>
      <c r="F85" s="474">
        <v>1</v>
      </c>
      <c r="G85" s="377">
        <v>205</v>
      </c>
      <c r="H85" s="474"/>
      <c r="I85" s="377">
        <v>155</v>
      </c>
      <c r="J85" s="377"/>
      <c r="K85" s="474"/>
      <c r="L85" s="376">
        <v>110</v>
      </c>
      <c r="M85" s="379">
        <v>12</v>
      </c>
      <c r="N85" s="376">
        <v>60</v>
      </c>
      <c r="O85" s="596"/>
      <c r="P85" s="595">
        <v>15</v>
      </c>
      <c r="Q85" s="943"/>
      <c r="R85" s="376">
        <f t="shared" si="3"/>
        <v>3075</v>
      </c>
      <c r="S85" s="376">
        <f t="shared" si="4"/>
        <v>153.75</v>
      </c>
      <c r="T85" s="376">
        <f t="shared" si="5"/>
        <v>3228.75</v>
      </c>
      <c r="U85" s="379">
        <v>12416</v>
      </c>
      <c r="V85" s="382"/>
    </row>
    <row r="86" spans="1:46" s="384" customFormat="1">
      <c r="A86" s="876">
        <v>42217</v>
      </c>
      <c r="B86" s="877">
        <v>29810</v>
      </c>
      <c r="C86" s="379">
        <v>2</v>
      </c>
      <c r="D86" s="379"/>
      <c r="E86" s="377">
        <v>215</v>
      </c>
      <c r="F86" s="474">
        <v>11</v>
      </c>
      <c r="G86" s="377">
        <v>205</v>
      </c>
      <c r="H86" s="474"/>
      <c r="I86" s="377">
        <v>155</v>
      </c>
      <c r="J86" s="377"/>
      <c r="K86" s="474"/>
      <c r="L86" s="376">
        <v>110</v>
      </c>
      <c r="M86" s="379">
        <v>12</v>
      </c>
      <c r="N86" s="376">
        <v>60</v>
      </c>
      <c r="O86" s="596"/>
      <c r="P86" s="595">
        <v>15</v>
      </c>
      <c r="Q86" s="943"/>
      <c r="R86" s="376">
        <f t="shared" si="3"/>
        <v>2975</v>
      </c>
      <c r="S86" s="376">
        <f t="shared" si="4"/>
        <v>148.75</v>
      </c>
      <c r="T86" s="376">
        <f t="shared" si="5"/>
        <v>3123.75</v>
      </c>
      <c r="U86" s="379">
        <v>12416</v>
      </c>
      <c r="V86" s="382"/>
    </row>
    <row r="87" spans="1:46" s="384" customFormat="1">
      <c r="A87" s="876">
        <v>42217</v>
      </c>
      <c r="B87" s="877">
        <v>29811</v>
      </c>
      <c r="C87" s="379">
        <v>1</v>
      </c>
      <c r="D87" s="379"/>
      <c r="E87" s="377">
        <v>215</v>
      </c>
      <c r="F87" s="474"/>
      <c r="G87" s="377">
        <v>205</v>
      </c>
      <c r="H87" s="474">
        <v>12</v>
      </c>
      <c r="I87" s="377">
        <v>155</v>
      </c>
      <c r="J87" s="377"/>
      <c r="K87" s="474">
        <v>1</v>
      </c>
      <c r="L87" s="376">
        <v>110</v>
      </c>
      <c r="M87" s="379"/>
      <c r="N87" s="376">
        <v>60</v>
      </c>
      <c r="O87" s="596"/>
      <c r="P87" s="595">
        <v>15</v>
      </c>
      <c r="Q87" s="943"/>
      <c r="R87" s="376">
        <f t="shared" si="3"/>
        <v>1970</v>
      </c>
      <c r="S87" s="376">
        <f t="shared" si="4"/>
        <v>98.5</v>
      </c>
      <c r="T87" s="376">
        <f t="shared" si="5"/>
        <v>2068.5</v>
      </c>
      <c r="U87" s="379">
        <v>12416</v>
      </c>
      <c r="V87" s="382"/>
      <c r="W87" s="885"/>
    </row>
    <row r="88" spans="1:46" s="192" customFormat="1">
      <c r="A88" s="876">
        <v>42217</v>
      </c>
      <c r="B88" s="877">
        <v>29812</v>
      </c>
      <c r="C88" s="379">
        <v>1</v>
      </c>
      <c r="D88" s="379"/>
      <c r="E88" s="377">
        <v>215</v>
      </c>
      <c r="F88" s="474"/>
      <c r="G88" s="377">
        <v>205</v>
      </c>
      <c r="H88" s="474">
        <v>11</v>
      </c>
      <c r="I88" s="377">
        <v>155</v>
      </c>
      <c r="J88" s="377"/>
      <c r="K88" s="474"/>
      <c r="L88" s="376">
        <v>110</v>
      </c>
      <c r="M88" s="379"/>
      <c r="N88" s="376">
        <v>60</v>
      </c>
      <c r="O88" s="596"/>
      <c r="P88" s="595">
        <v>15</v>
      </c>
      <c r="Q88" s="943"/>
      <c r="R88" s="376">
        <f t="shared" si="3"/>
        <v>1705</v>
      </c>
      <c r="S88" s="376">
        <f t="shared" si="4"/>
        <v>85.25</v>
      </c>
      <c r="T88" s="376">
        <f t="shared" si="5"/>
        <v>1790.25</v>
      </c>
      <c r="U88" s="379">
        <v>12416</v>
      </c>
      <c r="V88" s="382"/>
      <c r="W88" s="194"/>
      <c r="AA88" s="384"/>
      <c r="AB88" s="384"/>
      <c r="AC88" s="384"/>
      <c r="AD88" s="384"/>
      <c r="AE88" s="384"/>
      <c r="AF88" s="384"/>
      <c r="AG88" s="384"/>
      <c r="AH88" s="384"/>
      <c r="AI88" s="384"/>
      <c r="AJ88" s="384"/>
      <c r="AK88" s="384"/>
      <c r="AL88" s="384"/>
      <c r="AM88" s="384"/>
      <c r="AN88" s="384"/>
      <c r="AO88" s="384"/>
      <c r="AP88" s="384"/>
      <c r="AQ88" s="384"/>
      <c r="AR88" s="384"/>
      <c r="AS88" s="384"/>
      <c r="AT88" s="384"/>
    </row>
    <row r="89" spans="1:46" s="192" customFormat="1">
      <c r="A89" s="184">
        <v>42219</v>
      </c>
      <c r="B89" s="673">
        <v>29813</v>
      </c>
      <c r="C89" s="186">
        <v>1</v>
      </c>
      <c r="D89" s="186"/>
      <c r="E89" s="195">
        <v>215</v>
      </c>
      <c r="F89" s="187"/>
      <c r="G89" s="195">
        <v>205</v>
      </c>
      <c r="H89" s="187">
        <v>12</v>
      </c>
      <c r="I89" s="195">
        <v>155</v>
      </c>
      <c r="J89" s="195"/>
      <c r="K89" s="187">
        <v>1</v>
      </c>
      <c r="L89" s="188">
        <v>110</v>
      </c>
      <c r="M89" s="186"/>
      <c r="N89" s="188">
        <v>60</v>
      </c>
      <c r="O89" s="795"/>
      <c r="P89" s="824">
        <v>15</v>
      </c>
      <c r="Q89" s="944"/>
      <c r="R89" s="188">
        <f t="shared" si="3"/>
        <v>1970</v>
      </c>
      <c r="S89" s="188">
        <f t="shared" si="4"/>
        <v>98.5</v>
      </c>
      <c r="T89" s="188">
        <f t="shared" si="5"/>
        <v>2068.5</v>
      </c>
      <c r="U89" s="199">
        <v>12502</v>
      </c>
      <c r="V89" s="190"/>
      <c r="W89" s="194"/>
    </row>
    <row r="90" spans="1:46" s="192" customFormat="1">
      <c r="A90" s="184">
        <v>42219</v>
      </c>
      <c r="B90" s="673">
        <v>29814</v>
      </c>
      <c r="C90" s="186">
        <v>1</v>
      </c>
      <c r="D90" s="186"/>
      <c r="E90" s="195">
        <v>215</v>
      </c>
      <c r="F90" s="187"/>
      <c r="G90" s="195">
        <v>205</v>
      </c>
      <c r="H90" s="187">
        <v>12</v>
      </c>
      <c r="I90" s="195">
        <v>155</v>
      </c>
      <c r="J90" s="195"/>
      <c r="K90" s="187"/>
      <c r="L90" s="188">
        <v>110</v>
      </c>
      <c r="M90" s="186"/>
      <c r="N90" s="188">
        <v>60</v>
      </c>
      <c r="O90" s="795"/>
      <c r="P90" s="824">
        <v>15</v>
      </c>
      <c r="Q90" s="944"/>
      <c r="R90" s="188">
        <f t="shared" si="3"/>
        <v>1860</v>
      </c>
      <c r="S90" s="188">
        <f t="shared" si="4"/>
        <v>93</v>
      </c>
      <c r="T90" s="188">
        <f t="shared" si="5"/>
        <v>1953</v>
      </c>
      <c r="U90" s="199">
        <v>12502</v>
      </c>
      <c r="V90" s="190"/>
    </row>
    <row r="91" spans="1:46" s="192" customFormat="1">
      <c r="A91" s="184">
        <v>42219</v>
      </c>
      <c r="B91" s="673">
        <v>29815</v>
      </c>
      <c r="C91" s="186">
        <v>2</v>
      </c>
      <c r="D91" s="186"/>
      <c r="E91" s="195">
        <v>215</v>
      </c>
      <c r="F91" s="187">
        <v>11</v>
      </c>
      <c r="G91" s="195">
        <v>205</v>
      </c>
      <c r="H91" s="187"/>
      <c r="I91" s="195">
        <v>155</v>
      </c>
      <c r="J91" s="195"/>
      <c r="K91" s="187"/>
      <c r="L91" s="188">
        <v>110</v>
      </c>
      <c r="M91" s="186">
        <v>12</v>
      </c>
      <c r="N91" s="188">
        <v>60</v>
      </c>
      <c r="O91" s="795"/>
      <c r="P91" s="824">
        <v>15</v>
      </c>
      <c r="Q91" s="944"/>
      <c r="R91" s="188">
        <f t="shared" si="3"/>
        <v>2975</v>
      </c>
      <c r="S91" s="188">
        <f t="shared" si="4"/>
        <v>148.75</v>
      </c>
      <c r="T91" s="188">
        <f t="shared" si="5"/>
        <v>3123.75</v>
      </c>
      <c r="U91" s="199">
        <v>12502</v>
      </c>
      <c r="V91" s="190"/>
      <c r="W91" s="194"/>
    </row>
    <row r="92" spans="1:46" s="192" customFormat="1">
      <c r="A92" s="184">
        <v>42219</v>
      </c>
      <c r="B92" s="673">
        <v>29816</v>
      </c>
      <c r="C92" s="186">
        <v>2</v>
      </c>
      <c r="D92" s="186"/>
      <c r="E92" s="195">
        <v>215</v>
      </c>
      <c r="F92" s="187">
        <v>11</v>
      </c>
      <c r="G92" s="195">
        <v>205</v>
      </c>
      <c r="H92" s="187"/>
      <c r="I92" s="195">
        <v>155</v>
      </c>
      <c r="J92" s="195"/>
      <c r="K92" s="187"/>
      <c r="L92" s="188">
        <v>110</v>
      </c>
      <c r="M92" s="186">
        <v>12</v>
      </c>
      <c r="N92" s="188">
        <v>60</v>
      </c>
      <c r="O92" s="795"/>
      <c r="P92" s="824">
        <v>15</v>
      </c>
      <c r="Q92" s="944"/>
      <c r="R92" s="188">
        <f t="shared" si="3"/>
        <v>2975</v>
      </c>
      <c r="S92" s="188">
        <f t="shared" si="4"/>
        <v>148.75</v>
      </c>
      <c r="T92" s="188">
        <f t="shared" si="5"/>
        <v>3123.75</v>
      </c>
      <c r="U92" s="199">
        <v>12502</v>
      </c>
      <c r="V92" s="190"/>
      <c r="W92" s="194"/>
    </row>
    <row r="93" spans="1:46" s="192" customFormat="1">
      <c r="A93" s="184">
        <v>42219</v>
      </c>
      <c r="B93" s="673">
        <v>29817</v>
      </c>
      <c r="C93" s="186">
        <v>2</v>
      </c>
      <c r="D93" s="186">
        <v>11</v>
      </c>
      <c r="E93" s="195">
        <v>215</v>
      </c>
      <c r="F93" s="187"/>
      <c r="G93" s="195">
        <v>205</v>
      </c>
      <c r="H93" s="187"/>
      <c r="I93" s="195">
        <v>155</v>
      </c>
      <c r="J93" s="195"/>
      <c r="K93" s="187"/>
      <c r="L93" s="188">
        <v>110</v>
      </c>
      <c r="M93" s="186">
        <v>12</v>
      </c>
      <c r="N93" s="188">
        <v>60</v>
      </c>
      <c r="O93" s="795"/>
      <c r="P93" s="824">
        <v>15</v>
      </c>
      <c r="Q93" s="944"/>
      <c r="R93" s="188">
        <f t="shared" si="3"/>
        <v>3085</v>
      </c>
      <c r="S93" s="188">
        <f t="shared" si="4"/>
        <v>154.25</v>
      </c>
      <c r="T93" s="188">
        <f t="shared" si="5"/>
        <v>3239.25</v>
      </c>
      <c r="U93" s="199">
        <v>12502</v>
      </c>
      <c r="V93" s="190"/>
      <c r="W93" s="194"/>
    </row>
    <row r="94" spans="1:46" s="192" customFormat="1">
      <c r="A94" s="184">
        <v>42220</v>
      </c>
      <c r="B94" s="499">
        <v>29818</v>
      </c>
      <c r="C94" s="199">
        <v>1</v>
      </c>
      <c r="D94" s="199"/>
      <c r="E94" s="195">
        <v>215</v>
      </c>
      <c r="F94" s="199"/>
      <c r="G94" s="195">
        <v>205</v>
      </c>
      <c r="H94" s="187">
        <v>12</v>
      </c>
      <c r="I94" s="195">
        <v>155</v>
      </c>
      <c r="J94" s="195"/>
      <c r="K94" s="187">
        <v>1</v>
      </c>
      <c r="L94" s="188">
        <v>110</v>
      </c>
      <c r="M94" s="186"/>
      <c r="N94" s="188">
        <v>60</v>
      </c>
      <c r="O94" s="795"/>
      <c r="P94" s="824">
        <v>15</v>
      </c>
      <c r="Q94" s="944"/>
      <c r="R94" s="188">
        <f t="shared" si="3"/>
        <v>1970</v>
      </c>
      <c r="S94" s="188">
        <f t="shared" si="4"/>
        <v>98.5</v>
      </c>
      <c r="T94" s="188">
        <f t="shared" si="5"/>
        <v>2068.5</v>
      </c>
      <c r="U94" s="199">
        <v>12502</v>
      </c>
      <c r="V94" s="190"/>
      <c r="W94" s="194"/>
    </row>
    <row r="95" spans="1:46" s="192" customFormat="1">
      <c r="A95" s="184">
        <v>42220</v>
      </c>
      <c r="B95" s="499">
        <v>29819</v>
      </c>
      <c r="C95" s="199">
        <v>1</v>
      </c>
      <c r="D95" s="199"/>
      <c r="E95" s="195">
        <v>215</v>
      </c>
      <c r="F95" s="199"/>
      <c r="G95" s="195">
        <v>205</v>
      </c>
      <c r="H95" s="199">
        <v>6</v>
      </c>
      <c r="I95" s="195">
        <v>155</v>
      </c>
      <c r="J95" s="199"/>
      <c r="K95" s="187"/>
      <c r="L95" s="188">
        <v>110</v>
      </c>
      <c r="M95" s="186"/>
      <c r="N95" s="188">
        <v>60</v>
      </c>
      <c r="O95" s="795"/>
      <c r="P95" s="824">
        <v>15</v>
      </c>
      <c r="Q95" s="944"/>
      <c r="R95" s="188">
        <f t="shared" si="3"/>
        <v>930</v>
      </c>
      <c r="S95" s="188">
        <f t="shared" si="4"/>
        <v>46.5</v>
      </c>
      <c r="T95" s="188">
        <f t="shared" si="5"/>
        <v>976.5</v>
      </c>
      <c r="U95" s="199">
        <v>12502</v>
      </c>
      <c r="V95" s="190"/>
      <c r="W95" s="194"/>
    </row>
    <row r="96" spans="1:46" s="192" customFormat="1">
      <c r="A96" s="184">
        <v>42220</v>
      </c>
      <c r="B96" s="499">
        <v>29820</v>
      </c>
      <c r="C96" s="199">
        <v>2</v>
      </c>
      <c r="D96" s="199"/>
      <c r="E96" s="195">
        <v>215</v>
      </c>
      <c r="F96" s="199">
        <v>11</v>
      </c>
      <c r="G96" s="195">
        <v>205</v>
      </c>
      <c r="H96" s="199"/>
      <c r="I96" s="195">
        <v>155</v>
      </c>
      <c r="J96" s="199"/>
      <c r="K96" s="187"/>
      <c r="L96" s="188">
        <v>110</v>
      </c>
      <c r="M96" s="186">
        <v>12</v>
      </c>
      <c r="N96" s="188">
        <v>60</v>
      </c>
      <c r="O96" s="795"/>
      <c r="P96" s="824">
        <v>15</v>
      </c>
      <c r="Q96" s="944"/>
      <c r="R96" s="188">
        <f t="shared" si="3"/>
        <v>2975</v>
      </c>
      <c r="S96" s="188">
        <f t="shared" si="4"/>
        <v>148.75</v>
      </c>
      <c r="T96" s="188">
        <f t="shared" si="5"/>
        <v>3123.75</v>
      </c>
      <c r="U96" s="199">
        <v>12502</v>
      </c>
      <c r="V96" s="190"/>
      <c r="W96" s="194"/>
    </row>
    <row r="97" spans="1:46" s="192" customFormat="1">
      <c r="A97" s="184">
        <v>42220</v>
      </c>
      <c r="B97" s="499">
        <v>29821</v>
      </c>
      <c r="C97" s="199">
        <v>2</v>
      </c>
      <c r="D97" s="199"/>
      <c r="E97" s="195">
        <v>215</v>
      </c>
      <c r="F97" s="199">
        <v>11.5</v>
      </c>
      <c r="G97" s="195">
        <v>205</v>
      </c>
      <c r="H97" s="199"/>
      <c r="I97" s="195">
        <v>155</v>
      </c>
      <c r="J97" s="199"/>
      <c r="K97" s="187"/>
      <c r="L97" s="188">
        <v>110</v>
      </c>
      <c r="M97" s="186">
        <v>12.5</v>
      </c>
      <c r="N97" s="188">
        <v>60</v>
      </c>
      <c r="O97" s="795"/>
      <c r="P97" s="824">
        <v>15</v>
      </c>
      <c r="Q97" s="944"/>
      <c r="R97" s="188">
        <f t="shared" si="3"/>
        <v>3107.5</v>
      </c>
      <c r="S97" s="188">
        <f t="shared" si="4"/>
        <v>155.375</v>
      </c>
      <c r="T97" s="188">
        <f t="shared" si="5"/>
        <v>3262.875</v>
      </c>
      <c r="U97" s="199">
        <v>12502</v>
      </c>
      <c r="V97" s="190"/>
      <c r="W97" s="194"/>
    </row>
    <row r="98" spans="1:46" s="192" customFormat="1">
      <c r="A98" s="184">
        <v>42220</v>
      </c>
      <c r="B98" s="499">
        <v>29822</v>
      </c>
      <c r="C98" s="199">
        <v>2</v>
      </c>
      <c r="D98" s="199">
        <v>4</v>
      </c>
      <c r="E98" s="195">
        <v>215</v>
      </c>
      <c r="F98" s="199"/>
      <c r="G98" s="195">
        <v>205</v>
      </c>
      <c r="H98" s="199"/>
      <c r="I98" s="195">
        <v>155</v>
      </c>
      <c r="J98" s="199"/>
      <c r="K98" s="187"/>
      <c r="L98" s="188">
        <v>110</v>
      </c>
      <c r="M98" s="186">
        <v>4</v>
      </c>
      <c r="N98" s="188">
        <v>60</v>
      </c>
      <c r="O98" s="795"/>
      <c r="P98" s="824">
        <v>15</v>
      </c>
      <c r="Q98" s="944"/>
      <c r="R98" s="188">
        <f t="shared" si="3"/>
        <v>1100</v>
      </c>
      <c r="S98" s="188">
        <f t="shared" si="4"/>
        <v>55</v>
      </c>
      <c r="T98" s="188">
        <f t="shared" si="5"/>
        <v>1155</v>
      </c>
      <c r="U98" s="199">
        <v>12502</v>
      </c>
      <c r="V98" s="190"/>
      <c r="W98" s="194"/>
    </row>
    <row r="99" spans="1:46" s="192" customFormat="1">
      <c r="A99" s="184">
        <v>42221</v>
      </c>
      <c r="B99" s="499">
        <v>28491</v>
      </c>
      <c r="C99" s="199">
        <v>2</v>
      </c>
      <c r="D99" s="199"/>
      <c r="E99" s="195">
        <v>215</v>
      </c>
      <c r="F99" s="200">
        <v>11</v>
      </c>
      <c r="G99" s="195">
        <v>205</v>
      </c>
      <c r="H99" s="199"/>
      <c r="I99" s="195">
        <v>155</v>
      </c>
      <c r="J99" s="199"/>
      <c r="K99" s="187"/>
      <c r="L99" s="188">
        <v>110</v>
      </c>
      <c r="M99" s="186">
        <v>12</v>
      </c>
      <c r="N99" s="188">
        <v>60</v>
      </c>
      <c r="O99" s="795"/>
      <c r="P99" s="824">
        <v>15</v>
      </c>
      <c r="Q99" s="944"/>
      <c r="R99" s="188">
        <f t="shared" si="3"/>
        <v>2975</v>
      </c>
      <c r="S99" s="188">
        <f t="shared" si="4"/>
        <v>148.75</v>
      </c>
      <c r="T99" s="188">
        <f t="shared" si="5"/>
        <v>3123.75</v>
      </c>
      <c r="U99" s="199">
        <v>12502</v>
      </c>
      <c r="V99" s="190"/>
      <c r="W99" s="194"/>
    </row>
    <row r="100" spans="1:46" s="192" customFormat="1">
      <c r="A100" s="184">
        <v>42221</v>
      </c>
      <c r="B100" s="499">
        <v>28492</v>
      </c>
      <c r="C100" s="199">
        <v>2</v>
      </c>
      <c r="D100" s="199"/>
      <c r="E100" s="195">
        <v>215</v>
      </c>
      <c r="F100" s="200">
        <v>11</v>
      </c>
      <c r="G100" s="195">
        <v>205</v>
      </c>
      <c r="H100" s="199"/>
      <c r="I100" s="195">
        <v>155</v>
      </c>
      <c r="J100" s="199"/>
      <c r="K100" s="187"/>
      <c r="L100" s="188">
        <v>110</v>
      </c>
      <c r="M100" s="186">
        <v>12</v>
      </c>
      <c r="N100" s="188">
        <v>60</v>
      </c>
      <c r="O100" s="795"/>
      <c r="P100" s="824">
        <v>15</v>
      </c>
      <c r="Q100" s="944"/>
      <c r="R100" s="188">
        <f t="shared" si="3"/>
        <v>2975</v>
      </c>
      <c r="S100" s="188">
        <f t="shared" si="4"/>
        <v>148.75</v>
      </c>
      <c r="T100" s="188">
        <f t="shared" si="5"/>
        <v>3123.75</v>
      </c>
      <c r="U100" s="199">
        <v>12502</v>
      </c>
      <c r="V100" s="190"/>
      <c r="W100" s="194"/>
    </row>
    <row r="101" spans="1:46" s="192" customFormat="1">
      <c r="A101" s="184">
        <v>42221</v>
      </c>
      <c r="B101" s="499">
        <v>29823</v>
      </c>
      <c r="C101" s="199">
        <v>1</v>
      </c>
      <c r="D101" s="199"/>
      <c r="E101" s="195">
        <v>215</v>
      </c>
      <c r="F101" s="200"/>
      <c r="G101" s="195">
        <v>205</v>
      </c>
      <c r="H101" s="199">
        <v>12</v>
      </c>
      <c r="I101" s="195">
        <v>155</v>
      </c>
      <c r="J101" s="199"/>
      <c r="K101" s="187">
        <v>1</v>
      </c>
      <c r="L101" s="188">
        <v>110</v>
      </c>
      <c r="M101" s="186"/>
      <c r="N101" s="188">
        <v>60</v>
      </c>
      <c r="O101" s="795"/>
      <c r="P101" s="824">
        <v>15</v>
      </c>
      <c r="Q101" s="944"/>
      <c r="R101" s="188">
        <f t="shared" si="3"/>
        <v>1970</v>
      </c>
      <c r="S101" s="188">
        <f t="shared" si="4"/>
        <v>98.5</v>
      </c>
      <c r="T101" s="188">
        <f t="shared" si="5"/>
        <v>2068.5</v>
      </c>
      <c r="U101" s="199">
        <v>12502</v>
      </c>
      <c r="V101" s="190"/>
      <c r="W101" s="194"/>
    </row>
    <row r="102" spans="1:46" s="192" customFormat="1">
      <c r="A102" s="184">
        <v>42221</v>
      </c>
      <c r="B102" s="499">
        <v>29824</v>
      </c>
      <c r="C102" s="199">
        <v>1</v>
      </c>
      <c r="D102" s="199"/>
      <c r="E102" s="195">
        <v>215</v>
      </c>
      <c r="F102" s="200"/>
      <c r="G102" s="195">
        <v>205</v>
      </c>
      <c r="H102" s="199">
        <v>12</v>
      </c>
      <c r="I102" s="195">
        <v>155</v>
      </c>
      <c r="J102" s="199"/>
      <c r="K102" s="187"/>
      <c r="L102" s="188">
        <v>110</v>
      </c>
      <c r="M102" s="186"/>
      <c r="N102" s="188">
        <v>60</v>
      </c>
      <c r="O102" s="795"/>
      <c r="P102" s="824">
        <v>15</v>
      </c>
      <c r="Q102" s="944"/>
      <c r="R102" s="188">
        <f t="shared" si="3"/>
        <v>1860</v>
      </c>
      <c r="S102" s="188">
        <f t="shared" si="4"/>
        <v>93</v>
      </c>
      <c r="T102" s="188">
        <f t="shared" si="5"/>
        <v>1953</v>
      </c>
      <c r="U102" s="199">
        <v>12502</v>
      </c>
      <c r="V102" s="190"/>
      <c r="W102" s="194"/>
    </row>
    <row r="103" spans="1:46" s="192" customFormat="1">
      <c r="A103" s="184">
        <v>42221</v>
      </c>
      <c r="B103" s="499">
        <v>29825</v>
      </c>
      <c r="C103" s="199">
        <v>2</v>
      </c>
      <c r="D103" s="199"/>
      <c r="E103" s="195">
        <v>215</v>
      </c>
      <c r="F103" s="200">
        <v>11</v>
      </c>
      <c r="G103" s="195">
        <v>205</v>
      </c>
      <c r="H103" s="199"/>
      <c r="I103" s="195">
        <v>155</v>
      </c>
      <c r="J103" s="199"/>
      <c r="K103" s="187"/>
      <c r="L103" s="188">
        <v>110</v>
      </c>
      <c r="M103" s="186">
        <v>12</v>
      </c>
      <c r="N103" s="188">
        <v>60</v>
      </c>
      <c r="O103" s="795"/>
      <c r="P103" s="824">
        <v>15</v>
      </c>
      <c r="Q103" s="944"/>
      <c r="R103" s="188">
        <f t="shared" si="3"/>
        <v>2975</v>
      </c>
      <c r="S103" s="188">
        <f t="shared" si="4"/>
        <v>148.75</v>
      </c>
      <c r="T103" s="188">
        <f t="shared" si="5"/>
        <v>3123.75</v>
      </c>
      <c r="U103" s="199">
        <v>12502</v>
      </c>
      <c r="V103" s="190"/>
      <c r="W103" s="194"/>
    </row>
    <row r="104" spans="1:46" s="192" customFormat="1">
      <c r="A104" s="184">
        <v>42222</v>
      </c>
      <c r="B104" s="499">
        <v>28493</v>
      </c>
      <c r="C104" s="199">
        <v>1</v>
      </c>
      <c r="D104" s="199"/>
      <c r="E104" s="195">
        <v>215</v>
      </c>
      <c r="F104" s="200"/>
      <c r="G104" s="195">
        <v>205</v>
      </c>
      <c r="H104" s="199">
        <v>12</v>
      </c>
      <c r="I104" s="195">
        <v>155</v>
      </c>
      <c r="J104" s="199"/>
      <c r="K104" s="187">
        <v>1</v>
      </c>
      <c r="L104" s="188">
        <v>110</v>
      </c>
      <c r="M104" s="186"/>
      <c r="N104" s="188">
        <v>60</v>
      </c>
      <c r="O104" s="795"/>
      <c r="P104" s="824">
        <v>15</v>
      </c>
      <c r="Q104" s="944"/>
      <c r="R104" s="188">
        <f t="shared" si="3"/>
        <v>1970</v>
      </c>
      <c r="S104" s="188">
        <f t="shared" si="4"/>
        <v>98.5</v>
      </c>
      <c r="T104" s="188">
        <f t="shared" si="5"/>
        <v>2068.5</v>
      </c>
      <c r="U104" s="199">
        <v>12502</v>
      </c>
      <c r="V104" s="190"/>
      <c r="W104" s="194"/>
    </row>
    <row r="105" spans="1:46" s="192" customFormat="1">
      <c r="A105" s="184">
        <v>42222</v>
      </c>
      <c r="B105" s="499">
        <v>28495</v>
      </c>
      <c r="C105" s="199">
        <v>2</v>
      </c>
      <c r="D105" s="199"/>
      <c r="E105" s="195">
        <v>215</v>
      </c>
      <c r="F105" s="199">
        <v>11</v>
      </c>
      <c r="G105" s="195">
        <v>205</v>
      </c>
      <c r="H105" s="199"/>
      <c r="I105" s="195">
        <v>155</v>
      </c>
      <c r="J105" s="199"/>
      <c r="K105" s="187"/>
      <c r="L105" s="188">
        <v>110</v>
      </c>
      <c r="M105" s="199">
        <v>12</v>
      </c>
      <c r="N105" s="188">
        <v>60</v>
      </c>
      <c r="O105" s="795"/>
      <c r="P105" s="824">
        <v>15</v>
      </c>
      <c r="Q105" s="944"/>
      <c r="R105" s="188">
        <f t="shared" si="3"/>
        <v>2975</v>
      </c>
      <c r="S105" s="188">
        <f t="shared" si="4"/>
        <v>148.75</v>
      </c>
      <c r="T105" s="188">
        <f t="shared" si="5"/>
        <v>3123.75</v>
      </c>
      <c r="U105" s="199">
        <v>12502</v>
      </c>
      <c r="V105" s="190"/>
      <c r="W105" s="194"/>
    </row>
    <row r="106" spans="1:46" s="192" customFormat="1">
      <c r="A106" s="184">
        <v>42222</v>
      </c>
      <c r="B106" s="499">
        <v>28496</v>
      </c>
      <c r="C106" s="199">
        <v>2</v>
      </c>
      <c r="D106" s="199"/>
      <c r="E106" s="195">
        <v>215</v>
      </c>
      <c r="F106" s="199">
        <v>11</v>
      </c>
      <c r="G106" s="195">
        <v>205</v>
      </c>
      <c r="H106" s="199"/>
      <c r="I106" s="195">
        <v>155</v>
      </c>
      <c r="J106" s="199"/>
      <c r="K106" s="187"/>
      <c r="L106" s="188">
        <v>110</v>
      </c>
      <c r="M106" s="199">
        <v>12</v>
      </c>
      <c r="N106" s="188">
        <v>60</v>
      </c>
      <c r="O106" s="795"/>
      <c r="P106" s="824">
        <v>15</v>
      </c>
      <c r="Q106" s="944"/>
      <c r="R106" s="188">
        <f t="shared" si="3"/>
        <v>2975</v>
      </c>
      <c r="S106" s="188">
        <f t="shared" si="4"/>
        <v>148.75</v>
      </c>
      <c r="T106" s="188">
        <f t="shared" si="5"/>
        <v>3123.75</v>
      </c>
      <c r="U106" s="199">
        <v>12502</v>
      </c>
      <c r="V106" s="190"/>
      <c r="W106" s="194"/>
    </row>
    <row r="107" spans="1:46" s="192" customFormat="1">
      <c r="A107" s="184">
        <v>42222</v>
      </c>
      <c r="B107" s="499">
        <v>28497</v>
      </c>
      <c r="C107" s="199">
        <v>2</v>
      </c>
      <c r="D107" s="199">
        <v>11</v>
      </c>
      <c r="E107" s="195">
        <v>215</v>
      </c>
      <c r="F107" s="199"/>
      <c r="G107" s="195">
        <v>205</v>
      </c>
      <c r="H107" s="199"/>
      <c r="I107" s="195">
        <v>155</v>
      </c>
      <c r="J107" s="199"/>
      <c r="K107" s="187"/>
      <c r="L107" s="188">
        <v>110</v>
      </c>
      <c r="M107" s="199">
        <v>12</v>
      </c>
      <c r="N107" s="188">
        <v>60</v>
      </c>
      <c r="O107" s="795"/>
      <c r="P107" s="824">
        <v>15</v>
      </c>
      <c r="Q107" s="944"/>
      <c r="R107" s="188">
        <f t="shared" si="3"/>
        <v>3085</v>
      </c>
      <c r="S107" s="188">
        <f t="shared" si="4"/>
        <v>154.25</v>
      </c>
      <c r="T107" s="188">
        <f t="shared" si="5"/>
        <v>3239.25</v>
      </c>
      <c r="U107" s="199">
        <v>12502</v>
      </c>
      <c r="V107" s="190"/>
      <c r="W107" s="194"/>
    </row>
    <row r="108" spans="1:46" s="384" customFormat="1">
      <c r="A108" s="184">
        <v>42222</v>
      </c>
      <c r="B108" s="499">
        <v>28498</v>
      </c>
      <c r="C108" s="199">
        <v>2</v>
      </c>
      <c r="D108" s="199"/>
      <c r="E108" s="195">
        <v>215</v>
      </c>
      <c r="F108" s="199">
        <v>6</v>
      </c>
      <c r="G108" s="195">
        <v>205</v>
      </c>
      <c r="H108" s="199"/>
      <c r="I108" s="195">
        <v>155</v>
      </c>
      <c r="J108" s="199"/>
      <c r="K108" s="187"/>
      <c r="L108" s="188">
        <v>110</v>
      </c>
      <c r="M108" s="199">
        <v>6</v>
      </c>
      <c r="N108" s="188">
        <v>60</v>
      </c>
      <c r="O108" s="795"/>
      <c r="P108" s="824">
        <v>15</v>
      </c>
      <c r="Q108" s="944"/>
      <c r="R108" s="188">
        <f t="shared" si="3"/>
        <v>1590</v>
      </c>
      <c r="S108" s="188">
        <f t="shared" si="4"/>
        <v>79.5</v>
      </c>
      <c r="T108" s="188">
        <f t="shared" si="5"/>
        <v>1669.5</v>
      </c>
      <c r="U108" s="199">
        <v>12502</v>
      </c>
      <c r="V108" s="190"/>
      <c r="W108" s="383"/>
      <c r="AA108" s="192"/>
      <c r="AB108" s="192"/>
      <c r="AC108" s="192"/>
      <c r="AD108" s="192"/>
      <c r="AE108" s="192"/>
      <c r="AF108" s="192"/>
      <c r="AG108" s="192"/>
      <c r="AH108" s="192"/>
      <c r="AI108" s="192"/>
      <c r="AJ108" s="192"/>
      <c r="AK108" s="192"/>
      <c r="AL108" s="192"/>
      <c r="AM108" s="192"/>
      <c r="AN108" s="192"/>
      <c r="AO108" s="192"/>
      <c r="AP108" s="192"/>
      <c r="AQ108" s="192"/>
      <c r="AR108" s="192"/>
      <c r="AS108" s="192"/>
      <c r="AT108" s="192"/>
    </row>
    <row r="109" spans="1:46" s="384" customFormat="1">
      <c r="A109" s="876">
        <v>42223</v>
      </c>
      <c r="B109" s="887">
        <v>28499</v>
      </c>
      <c r="C109" s="375">
        <v>1</v>
      </c>
      <c r="D109" s="375"/>
      <c r="E109" s="377">
        <v>215</v>
      </c>
      <c r="F109" s="375"/>
      <c r="G109" s="377">
        <v>205</v>
      </c>
      <c r="H109" s="375">
        <v>12</v>
      </c>
      <c r="I109" s="377">
        <v>155</v>
      </c>
      <c r="J109" s="375"/>
      <c r="K109" s="474">
        <v>1</v>
      </c>
      <c r="L109" s="376">
        <v>110</v>
      </c>
      <c r="M109" s="379"/>
      <c r="N109" s="376">
        <v>60</v>
      </c>
      <c r="O109" s="596"/>
      <c r="P109" s="595">
        <v>15</v>
      </c>
      <c r="Q109" s="943"/>
      <c r="R109" s="376">
        <f t="shared" si="3"/>
        <v>1970</v>
      </c>
      <c r="S109" s="376">
        <f t="shared" si="4"/>
        <v>98.5</v>
      </c>
      <c r="T109" s="376">
        <f t="shared" si="5"/>
        <v>2068.5</v>
      </c>
      <c r="U109" s="375">
        <v>12503</v>
      </c>
      <c r="V109" s="382"/>
      <c r="W109" s="383"/>
    </row>
    <row r="110" spans="1:46" s="384" customFormat="1">
      <c r="A110" s="876">
        <v>42223</v>
      </c>
      <c r="B110" s="887">
        <v>28500</v>
      </c>
      <c r="C110" s="375">
        <v>1</v>
      </c>
      <c r="D110" s="375"/>
      <c r="E110" s="377">
        <v>215</v>
      </c>
      <c r="F110" s="375"/>
      <c r="G110" s="377">
        <v>205</v>
      </c>
      <c r="H110" s="375">
        <v>12</v>
      </c>
      <c r="I110" s="377">
        <v>155</v>
      </c>
      <c r="J110" s="375"/>
      <c r="K110" s="474"/>
      <c r="L110" s="376">
        <v>110</v>
      </c>
      <c r="M110" s="379"/>
      <c r="N110" s="376">
        <v>60</v>
      </c>
      <c r="O110" s="596"/>
      <c r="P110" s="595">
        <v>15</v>
      </c>
      <c r="Q110" s="943"/>
      <c r="R110" s="376">
        <f t="shared" si="3"/>
        <v>1860</v>
      </c>
      <c r="S110" s="376">
        <f t="shared" si="4"/>
        <v>93</v>
      </c>
      <c r="T110" s="376">
        <f t="shared" si="5"/>
        <v>1953</v>
      </c>
      <c r="U110" s="375">
        <v>12503</v>
      </c>
      <c r="V110" s="382"/>
      <c r="W110" s="383"/>
    </row>
    <row r="111" spans="1:46" s="384" customFormat="1">
      <c r="A111" s="876">
        <v>42223</v>
      </c>
      <c r="B111" s="887">
        <v>29326</v>
      </c>
      <c r="C111" s="375">
        <v>2</v>
      </c>
      <c r="D111" s="375">
        <v>7</v>
      </c>
      <c r="E111" s="377">
        <v>215</v>
      </c>
      <c r="F111" s="375">
        <v>4</v>
      </c>
      <c r="G111" s="377">
        <v>205</v>
      </c>
      <c r="H111" s="375"/>
      <c r="I111" s="377">
        <v>155</v>
      </c>
      <c r="J111" s="375"/>
      <c r="K111" s="474"/>
      <c r="L111" s="376">
        <v>110</v>
      </c>
      <c r="M111" s="379">
        <v>12</v>
      </c>
      <c r="N111" s="376">
        <v>60</v>
      </c>
      <c r="O111" s="596"/>
      <c r="P111" s="595">
        <v>15</v>
      </c>
      <c r="Q111" s="943"/>
      <c r="R111" s="376">
        <f t="shared" si="3"/>
        <v>3045</v>
      </c>
      <c r="S111" s="376">
        <f t="shared" si="4"/>
        <v>152.25</v>
      </c>
      <c r="T111" s="376">
        <f t="shared" si="5"/>
        <v>3197.25</v>
      </c>
      <c r="U111" s="375">
        <v>12503</v>
      </c>
      <c r="V111" s="382"/>
      <c r="W111" s="383"/>
    </row>
    <row r="112" spans="1:46" s="384" customFormat="1">
      <c r="A112" s="876">
        <v>42223</v>
      </c>
      <c r="B112" s="887">
        <v>29327</v>
      </c>
      <c r="C112" s="375">
        <v>2</v>
      </c>
      <c r="D112" s="375"/>
      <c r="E112" s="377">
        <v>215</v>
      </c>
      <c r="F112" s="375">
        <v>11</v>
      </c>
      <c r="G112" s="377">
        <v>205</v>
      </c>
      <c r="H112" s="375"/>
      <c r="I112" s="377">
        <v>155</v>
      </c>
      <c r="J112" s="375"/>
      <c r="K112" s="474"/>
      <c r="L112" s="376">
        <v>110</v>
      </c>
      <c r="M112" s="375">
        <v>12</v>
      </c>
      <c r="N112" s="376">
        <v>60</v>
      </c>
      <c r="O112" s="596"/>
      <c r="P112" s="595">
        <v>15</v>
      </c>
      <c r="Q112" s="943"/>
      <c r="R112" s="376">
        <f t="shared" si="3"/>
        <v>2975</v>
      </c>
      <c r="S112" s="376">
        <f t="shared" si="4"/>
        <v>148.75</v>
      </c>
      <c r="T112" s="376">
        <f t="shared" si="5"/>
        <v>3123.75</v>
      </c>
      <c r="U112" s="375">
        <v>12503</v>
      </c>
      <c r="V112" s="382"/>
      <c r="W112" s="383"/>
    </row>
    <row r="113" spans="1:46" s="384" customFormat="1">
      <c r="A113" s="876">
        <v>42223</v>
      </c>
      <c r="B113" s="887">
        <v>29328</v>
      </c>
      <c r="C113" s="375">
        <v>2</v>
      </c>
      <c r="D113" s="375"/>
      <c r="E113" s="377">
        <v>215</v>
      </c>
      <c r="F113" s="375">
        <v>11.5</v>
      </c>
      <c r="G113" s="377">
        <v>205</v>
      </c>
      <c r="H113" s="375"/>
      <c r="I113" s="377">
        <v>155</v>
      </c>
      <c r="J113" s="375"/>
      <c r="K113" s="474"/>
      <c r="L113" s="376">
        <v>110</v>
      </c>
      <c r="M113" s="375">
        <v>12.5</v>
      </c>
      <c r="N113" s="376">
        <v>60</v>
      </c>
      <c r="O113" s="596"/>
      <c r="P113" s="595">
        <v>15</v>
      </c>
      <c r="Q113" s="943"/>
      <c r="R113" s="376">
        <f t="shared" si="3"/>
        <v>3107.5</v>
      </c>
      <c r="S113" s="376">
        <f t="shared" si="4"/>
        <v>155.375</v>
      </c>
      <c r="T113" s="376">
        <f t="shared" si="5"/>
        <v>3262.875</v>
      </c>
      <c r="U113" s="375">
        <v>12503</v>
      </c>
      <c r="V113" s="382"/>
      <c r="W113" s="383"/>
    </row>
    <row r="114" spans="1:46" s="384" customFormat="1">
      <c r="A114" s="876">
        <v>42224</v>
      </c>
      <c r="B114" s="887">
        <v>29330</v>
      </c>
      <c r="C114" s="375">
        <v>1</v>
      </c>
      <c r="D114" s="375"/>
      <c r="E114" s="377">
        <v>215</v>
      </c>
      <c r="F114" s="375"/>
      <c r="G114" s="377">
        <v>205</v>
      </c>
      <c r="H114" s="375">
        <v>12</v>
      </c>
      <c r="I114" s="377">
        <v>155</v>
      </c>
      <c r="J114" s="375"/>
      <c r="K114" s="375">
        <v>1</v>
      </c>
      <c r="L114" s="376">
        <v>110</v>
      </c>
      <c r="M114" s="379"/>
      <c r="N114" s="376">
        <v>60</v>
      </c>
      <c r="O114" s="596"/>
      <c r="P114" s="595">
        <v>15</v>
      </c>
      <c r="Q114" s="943"/>
      <c r="R114" s="376">
        <f t="shared" si="3"/>
        <v>1970</v>
      </c>
      <c r="S114" s="376">
        <f t="shared" si="4"/>
        <v>98.5</v>
      </c>
      <c r="T114" s="376">
        <f t="shared" si="5"/>
        <v>2068.5</v>
      </c>
      <c r="U114" s="375">
        <v>12503</v>
      </c>
      <c r="V114" s="382"/>
      <c r="W114" s="383"/>
    </row>
    <row r="115" spans="1:46" s="384" customFormat="1">
      <c r="A115" s="876">
        <v>42224</v>
      </c>
      <c r="B115" s="887">
        <v>29331</v>
      </c>
      <c r="C115" s="375"/>
      <c r="D115" s="375"/>
      <c r="E115" s="377">
        <v>215</v>
      </c>
      <c r="F115" s="375"/>
      <c r="G115" s="377">
        <v>205</v>
      </c>
      <c r="H115" s="375">
        <v>12</v>
      </c>
      <c r="I115" s="377">
        <v>155</v>
      </c>
      <c r="J115" s="375"/>
      <c r="K115" s="474"/>
      <c r="L115" s="376">
        <v>110</v>
      </c>
      <c r="M115" s="379"/>
      <c r="N115" s="376">
        <v>60</v>
      </c>
      <c r="O115" s="596"/>
      <c r="P115" s="595">
        <v>15</v>
      </c>
      <c r="Q115" s="943"/>
      <c r="R115" s="376">
        <f t="shared" si="3"/>
        <v>1860</v>
      </c>
      <c r="S115" s="376">
        <f t="shared" si="4"/>
        <v>93</v>
      </c>
      <c r="T115" s="376">
        <f t="shared" si="5"/>
        <v>1953</v>
      </c>
      <c r="U115" s="375">
        <v>12503</v>
      </c>
      <c r="V115" s="382"/>
      <c r="W115" s="383"/>
    </row>
    <row r="116" spans="1:46" s="384" customFormat="1">
      <c r="A116" s="876">
        <v>42224</v>
      </c>
      <c r="B116" s="887">
        <v>29332</v>
      </c>
      <c r="C116" s="375"/>
      <c r="D116" s="379">
        <v>11</v>
      </c>
      <c r="E116" s="377">
        <v>215</v>
      </c>
      <c r="F116" s="375"/>
      <c r="G116" s="377">
        <v>205</v>
      </c>
      <c r="H116" s="375"/>
      <c r="I116" s="377">
        <v>155</v>
      </c>
      <c r="J116" s="375"/>
      <c r="K116" s="474"/>
      <c r="L116" s="376">
        <v>110</v>
      </c>
      <c r="M116" s="379">
        <v>12</v>
      </c>
      <c r="N116" s="376">
        <v>60</v>
      </c>
      <c r="O116" s="596"/>
      <c r="P116" s="595">
        <v>15</v>
      </c>
      <c r="Q116" s="943"/>
      <c r="R116" s="376">
        <f t="shared" si="3"/>
        <v>3085</v>
      </c>
      <c r="S116" s="376">
        <f t="shared" si="4"/>
        <v>154.25</v>
      </c>
      <c r="T116" s="376">
        <f t="shared" si="5"/>
        <v>3239.25</v>
      </c>
      <c r="U116" s="375">
        <v>12503</v>
      </c>
      <c r="V116" s="382"/>
      <c r="W116" s="383"/>
    </row>
    <row r="117" spans="1:46" s="384" customFormat="1">
      <c r="A117" s="876">
        <v>42224</v>
      </c>
      <c r="B117" s="887">
        <v>29333</v>
      </c>
      <c r="C117" s="375"/>
      <c r="D117" s="375"/>
      <c r="E117" s="377">
        <v>215</v>
      </c>
      <c r="F117" s="375">
        <v>11</v>
      </c>
      <c r="G117" s="377">
        <v>205</v>
      </c>
      <c r="H117" s="375"/>
      <c r="I117" s="377">
        <v>155</v>
      </c>
      <c r="J117" s="375"/>
      <c r="K117" s="474"/>
      <c r="L117" s="376">
        <v>110</v>
      </c>
      <c r="M117" s="375">
        <v>12</v>
      </c>
      <c r="N117" s="376">
        <v>60</v>
      </c>
      <c r="O117" s="596"/>
      <c r="P117" s="595">
        <v>15</v>
      </c>
      <c r="Q117" s="943"/>
      <c r="R117" s="376">
        <f t="shared" si="3"/>
        <v>2975</v>
      </c>
      <c r="S117" s="376">
        <f t="shared" si="4"/>
        <v>148.75</v>
      </c>
      <c r="T117" s="376">
        <f t="shared" si="5"/>
        <v>3123.75</v>
      </c>
      <c r="U117" s="375">
        <v>12503</v>
      </c>
      <c r="V117" s="382"/>
      <c r="W117" s="383"/>
    </row>
    <row r="118" spans="1:46" s="192" customFormat="1">
      <c r="A118" s="876">
        <v>42224</v>
      </c>
      <c r="B118" s="887">
        <v>29334</v>
      </c>
      <c r="C118" s="375"/>
      <c r="D118" s="375"/>
      <c r="E118" s="377">
        <v>215</v>
      </c>
      <c r="F118" s="375">
        <v>11</v>
      </c>
      <c r="G118" s="377">
        <v>205</v>
      </c>
      <c r="H118" s="375"/>
      <c r="I118" s="377">
        <v>155</v>
      </c>
      <c r="J118" s="375"/>
      <c r="K118" s="474"/>
      <c r="L118" s="376">
        <v>110</v>
      </c>
      <c r="M118" s="375">
        <v>12</v>
      </c>
      <c r="N118" s="376">
        <v>60</v>
      </c>
      <c r="O118" s="596"/>
      <c r="P118" s="595">
        <v>15</v>
      </c>
      <c r="Q118" s="943"/>
      <c r="R118" s="376">
        <f t="shared" si="3"/>
        <v>2975</v>
      </c>
      <c r="S118" s="376">
        <f t="shared" si="4"/>
        <v>148.75</v>
      </c>
      <c r="T118" s="376">
        <f t="shared" si="5"/>
        <v>3123.75</v>
      </c>
      <c r="U118" s="375">
        <v>12503</v>
      </c>
      <c r="V118" s="382"/>
      <c r="W118" s="194"/>
      <c r="AA118" s="384"/>
      <c r="AB118" s="384"/>
      <c r="AC118" s="384"/>
      <c r="AD118" s="384"/>
      <c r="AE118" s="384"/>
      <c r="AF118" s="384"/>
      <c r="AG118" s="384"/>
      <c r="AH118" s="384"/>
      <c r="AI118" s="384"/>
      <c r="AJ118" s="384"/>
      <c r="AK118" s="384"/>
      <c r="AL118" s="384"/>
      <c r="AM118" s="384"/>
      <c r="AN118" s="384"/>
      <c r="AO118" s="384"/>
      <c r="AP118" s="384"/>
      <c r="AQ118" s="384"/>
      <c r="AR118" s="384"/>
      <c r="AS118" s="384"/>
      <c r="AT118" s="384"/>
    </row>
    <row r="119" spans="1:46" s="192" customFormat="1">
      <c r="A119" s="197">
        <v>42226</v>
      </c>
      <c r="B119" s="499">
        <v>29335</v>
      </c>
      <c r="C119" s="199">
        <v>1</v>
      </c>
      <c r="D119" s="199"/>
      <c r="E119" s="195">
        <v>215</v>
      </c>
      <c r="F119" s="199"/>
      <c r="G119" s="195">
        <v>205</v>
      </c>
      <c r="H119" s="199">
        <v>12</v>
      </c>
      <c r="I119" s="195">
        <v>155</v>
      </c>
      <c r="J119" s="199"/>
      <c r="K119" s="187">
        <v>1</v>
      </c>
      <c r="L119" s="188">
        <v>110</v>
      </c>
      <c r="M119" s="186"/>
      <c r="N119" s="188">
        <v>60</v>
      </c>
      <c r="O119" s="795"/>
      <c r="P119" s="824">
        <v>15</v>
      </c>
      <c r="Q119" s="944"/>
      <c r="R119" s="188">
        <f t="shared" si="3"/>
        <v>1970</v>
      </c>
      <c r="S119" s="188">
        <f t="shared" si="4"/>
        <v>98.5</v>
      </c>
      <c r="T119" s="188">
        <f t="shared" si="5"/>
        <v>2068.5</v>
      </c>
      <c r="U119" s="199">
        <v>12545</v>
      </c>
      <c r="V119" s="190"/>
      <c r="W119" s="194"/>
    </row>
    <row r="120" spans="1:46" s="192" customFormat="1">
      <c r="A120" s="197">
        <v>42226</v>
      </c>
      <c r="B120" s="499">
        <v>29336</v>
      </c>
      <c r="C120" s="199">
        <v>1</v>
      </c>
      <c r="D120" s="199"/>
      <c r="E120" s="195">
        <v>215</v>
      </c>
      <c r="F120" s="199"/>
      <c r="G120" s="195">
        <v>205</v>
      </c>
      <c r="H120" s="199">
        <v>12</v>
      </c>
      <c r="I120" s="195">
        <v>155</v>
      </c>
      <c r="J120" s="199"/>
      <c r="K120" s="187"/>
      <c r="L120" s="188">
        <v>110</v>
      </c>
      <c r="M120" s="186"/>
      <c r="N120" s="188">
        <v>60</v>
      </c>
      <c r="O120" s="795"/>
      <c r="P120" s="824">
        <v>15</v>
      </c>
      <c r="Q120" s="944"/>
      <c r="R120" s="188">
        <f t="shared" si="3"/>
        <v>1860</v>
      </c>
      <c r="S120" s="188">
        <f t="shared" si="4"/>
        <v>93</v>
      </c>
      <c r="T120" s="188">
        <f t="shared" si="5"/>
        <v>1953</v>
      </c>
      <c r="U120" s="199">
        <v>12545</v>
      </c>
      <c r="V120" s="190"/>
      <c r="W120" s="194"/>
    </row>
    <row r="121" spans="1:46" s="192" customFormat="1">
      <c r="A121" s="197">
        <v>42226</v>
      </c>
      <c r="B121" s="499">
        <v>29337</v>
      </c>
      <c r="C121" s="199"/>
      <c r="D121" s="199">
        <v>10.5</v>
      </c>
      <c r="E121" s="195">
        <v>215</v>
      </c>
      <c r="F121" s="199"/>
      <c r="G121" s="195">
        <v>205</v>
      </c>
      <c r="H121" s="199"/>
      <c r="I121" s="195">
        <v>155</v>
      </c>
      <c r="J121" s="199"/>
      <c r="K121" s="187"/>
      <c r="L121" s="188">
        <v>110</v>
      </c>
      <c r="M121" s="186">
        <v>11.5</v>
      </c>
      <c r="N121" s="188">
        <v>60</v>
      </c>
      <c r="O121" s="795"/>
      <c r="P121" s="824">
        <v>15</v>
      </c>
      <c r="Q121" s="944"/>
      <c r="R121" s="188">
        <f t="shared" si="3"/>
        <v>2947.5</v>
      </c>
      <c r="S121" s="188">
        <f t="shared" si="4"/>
        <v>147.375</v>
      </c>
      <c r="T121" s="188">
        <f t="shared" si="5"/>
        <v>3094.875</v>
      </c>
      <c r="U121" s="199">
        <v>12545</v>
      </c>
      <c r="V121" s="190"/>
      <c r="W121" s="194"/>
    </row>
    <row r="122" spans="1:46" s="192" customFormat="1">
      <c r="A122" s="197">
        <v>42226</v>
      </c>
      <c r="B122" s="499">
        <v>29338</v>
      </c>
      <c r="C122" s="199"/>
      <c r="D122" s="199"/>
      <c r="E122" s="195">
        <v>215</v>
      </c>
      <c r="F122" s="199">
        <v>9</v>
      </c>
      <c r="G122" s="195">
        <v>205</v>
      </c>
      <c r="H122" s="199"/>
      <c r="I122" s="195">
        <v>155</v>
      </c>
      <c r="J122" s="199"/>
      <c r="K122" s="187"/>
      <c r="L122" s="188">
        <v>110</v>
      </c>
      <c r="M122" s="186">
        <v>10</v>
      </c>
      <c r="N122" s="188">
        <v>60</v>
      </c>
      <c r="O122" s="795"/>
      <c r="P122" s="824">
        <v>15</v>
      </c>
      <c r="Q122" s="944"/>
      <c r="R122" s="188">
        <f t="shared" si="3"/>
        <v>2445</v>
      </c>
      <c r="S122" s="188">
        <f t="shared" si="4"/>
        <v>122.25</v>
      </c>
      <c r="T122" s="188">
        <f t="shared" si="5"/>
        <v>2567.25</v>
      </c>
      <c r="U122" s="199">
        <v>12545</v>
      </c>
      <c r="V122" s="190"/>
      <c r="W122" s="194"/>
    </row>
    <row r="123" spans="1:46" s="192" customFormat="1">
      <c r="A123" s="197">
        <v>42226</v>
      </c>
      <c r="B123" s="499">
        <v>29339</v>
      </c>
      <c r="C123" s="199"/>
      <c r="D123" s="199"/>
      <c r="E123" s="195">
        <v>215</v>
      </c>
      <c r="F123" s="199">
        <v>9</v>
      </c>
      <c r="G123" s="195">
        <v>205</v>
      </c>
      <c r="H123" s="199"/>
      <c r="I123" s="195">
        <v>155</v>
      </c>
      <c r="J123" s="199"/>
      <c r="K123" s="187"/>
      <c r="L123" s="188">
        <v>110</v>
      </c>
      <c r="M123" s="186">
        <v>10</v>
      </c>
      <c r="N123" s="188">
        <v>60</v>
      </c>
      <c r="O123" s="795"/>
      <c r="P123" s="824">
        <v>15</v>
      </c>
      <c r="Q123" s="944"/>
      <c r="R123" s="188">
        <f t="shared" si="3"/>
        <v>2445</v>
      </c>
      <c r="S123" s="188">
        <f t="shared" si="4"/>
        <v>122.25</v>
      </c>
      <c r="T123" s="188">
        <f t="shared" si="5"/>
        <v>2567.25</v>
      </c>
      <c r="U123" s="199">
        <v>12545</v>
      </c>
      <c r="V123" s="190"/>
      <c r="W123" s="194"/>
    </row>
    <row r="124" spans="1:46" s="192" customFormat="1">
      <c r="A124" s="197">
        <v>42227</v>
      </c>
      <c r="B124" s="796">
        <v>29340</v>
      </c>
      <c r="C124" s="891">
        <v>1</v>
      </c>
      <c r="D124" s="891"/>
      <c r="E124" s="195">
        <v>215</v>
      </c>
      <c r="F124" s="891"/>
      <c r="G124" s="195">
        <v>205</v>
      </c>
      <c r="H124" s="891">
        <v>12.5</v>
      </c>
      <c r="I124" s="195">
        <v>155</v>
      </c>
      <c r="J124" s="891"/>
      <c r="K124" s="674">
        <v>1</v>
      </c>
      <c r="L124" s="188">
        <v>110</v>
      </c>
      <c r="M124" s="672"/>
      <c r="N124" s="188">
        <v>60</v>
      </c>
      <c r="O124" s="795"/>
      <c r="P124" s="824">
        <v>15</v>
      </c>
      <c r="Q124" s="944"/>
      <c r="R124" s="188">
        <f t="shared" si="3"/>
        <v>2047.5</v>
      </c>
      <c r="S124" s="188">
        <f t="shared" si="4"/>
        <v>102.375</v>
      </c>
      <c r="T124" s="188">
        <f t="shared" si="5"/>
        <v>2149.875</v>
      </c>
      <c r="U124" s="199">
        <v>12545</v>
      </c>
      <c r="V124" s="892"/>
      <c r="W124" s="194"/>
    </row>
    <row r="125" spans="1:46" s="192" customFormat="1">
      <c r="A125" s="197">
        <v>42227</v>
      </c>
      <c r="B125" s="499">
        <v>29341</v>
      </c>
      <c r="C125" s="199">
        <v>1</v>
      </c>
      <c r="D125" s="199"/>
      <c r="E125" s="195">
        <v>215</v>
      </c>
      <c r="F125" s="199"/>
      <c r="G125" s="195">
        <v>205</v>
      </c>
      <c r="H125" s="199">
        <v>12</v>
      </c>
      <c r="I125" s="195">
        <v>155</v>
      </c>
      <c r="J125" s="199"/>
      <c r="K125" s="187"/>
      <c r="L125" s="188">
        <v>110</v>
      </c>
      <c r="M125" s="186"/>
      <c r="N125" s="188">
        <v>60</v>
      </c>
      <c r="O125" s="795"/>
      <c r="P125" s="824">
        <v>15</v>
      </c>
      <c r="Q125" s="944"/>
      <c r="R125" s="188">
        <f t="shared" si="3"/>
        <v>1860</v>
      </c>
      <c r="S125" s="188">
        <f t="shared" si="4"/>
        <v>93</v>
      </c>
      <c r="T125" s="188">
        <f t="shared" si="5"/>
        <v>1953</v>
      </c>
      <c r="U125" s="199">
        <v>12545</v>
      </c>
      <c r="V125" s="190"/>
      <c r="W125" s="194"/>
    </row>
    <row r="126" spans="1:46" s="192" customFormat="1">
      <c r="A126" s="197">
        <v>42227</v>
      </c>
      <c r="B126" s="499">
        <v>29342</v>
      </c>
      <c r="C126" s="199">
        <v>2</v>
      </c>
      <c r="D126" s="199"/>
      <c r="E126" s="195">
        <v>215</v>
      </c>
      <c r="F126" s="199">
        <v>10</v>
      </c>
      <c r="G126" s="195">
        <v>205</v>
      </c>
      <c r="H126" s="199"/>
      <c r="I126" s="195">
        <v>155</v>
      </c>
      <c r="J126" s="199"/>
      <c r="K126" s="187"/>
      <c r="L126" s="188">
        <v>110</v>
      </c>
      <c r="M126" s="186">
        <v>11</v>
      </c>
      <c r="N126" s="188">
        <v>60</v>
      </c>
      <c r="O126" s="795"/>
      <c r="P126" s="824">
        <v>15</v>
      </c>
      <c r="Q126" s="944"/>
      <c r="R126" s="188">
        <f t="shared" si="3"/>
        <v>2710</v>
      </c>
      <c r="S126" s="188">
        <f t="shared" si="4"/>
        <v>135.5</v>
      </c>
      <c r="T126" s="188">
        <f t="shared" si="5"/>
        <v>2845.5</v>
      </c>
      <c r="U126" s="199">
        <v>12545</v>
      </c>
      <c r="V126" s="190"/>
      <c r="W126" s="194"/>
    </row>
    <row r="127" spans="1:46" s="192" customFormat="1">
      <c r="A127" s="197">
        <v>42227</v>
      </c>
      <c r="B127" s="499">
        <v>29343</v>
      </c>
      <c r="C127" s="199">
        <v>2</v>
      </c>
      <c r="D127" s="199"/>
      <c r="E127" s="195">
        <v>215</v>
      </c>
      <c r="F127" s="199">
        <v>11</v>
      </c>
      <c r="G127" s="195">
        <v>205</v>
      </c>
      <c r="H127" s="199"/>
      <c r="I127" s="195">
        <v>155</v>
      </c>
      <c r="J127" s="199"/>
      <c r="K127" s="187"/>
      <c r="L127" s="188">
        <v>110</v>
      </c>
      <c r="M127" s="186">
        <v>12</v>
      </c>
      <c r="N127" s="188">
        <v>60</v>
      </c>
      <c r="O127" s="795"/>
      <c r="P127" s="824">
        <v>15</v>
      </c>
      <c r="Q127" s="944"/>
      <c r="R127" s="188">
        <f t="shared" si="3"/>
        <v>2975</v>
      </c>
      <c r="S127" s="188">
        <f t="shared" si="4"/>
        <v>148.75</v>
      </c>
      <c r="T127" s="188">
        <f t="shared" si="5"/>
        <v>3123.75</v>
      </c>
      <c r="U127" s="199">
        <v>12545</v>
      </c>
      <c r="V127" s="190"/>
      <c r="W127" s="194"/>
    </row>
    <row r="128" spans="1:46" s="192" customFormat="1">
      <c r="A128" s="197">
        <v>42227</v>
      </c>
      <c r="B128" s="499">
        <v>29344</v>
      </c>
      <c r="C128" s="199">
        <v>2</v>
      </c>
      <c r="D128" s="199"/>
      <c r="E128" s="195">
        <v>215</v>
      </c>
      <c r="F128" s="199">
        <v>13</v>
      </c>
      <c r="G128" s="195">
        <v>205</v>
      </c>
      <c r="H128" s="199"/>
      <c r="I128" s="195">
        <v>155</v>
      </c>
      <c r="J128" s="199"/>
      <c r="K128" s="187"/>
      <c r="L128" s="188">
        <v>110</v>
      </c>
      <c r="M128" s="186">
        <v>14</v>
      </c>
      <c r="N128" s="188">
        <v>60</v>
      </c>
      <c r="O128" s="795"/>
      <c r="P128" s="824">
        <v>15</v>
      </c>
      <c r="Q128" s="944"/>
      <c r="R128" s="188">
        <f t="shared" si="3"/>
        <v>3505</v>
      </c>
      <c r="S128" s="188">
        <f t="shared" si="4"/>
        <v>175.25</v>
      </c>
      <c r="T128" s="188">
        <f t="shared" si="5"/>
        <v>3680.25</v>
      </c>
      <c r="U128" s="199">
        <v>12545</v>
      </c>
      <c r="V128" s="190"/>
      <c r="W128" s="194"/>
    </row>
    <row r="129" spans="1:46" s="192" customFormat="1">
      <c r="A129" s="197">
        <v>42228</v>
      </c>
      <c r="B129" s="499">
        <v>29345</v>
      </c>
      <c r="C129" s="199">
        <v>1</v>
      </c>
      <c r="D129" s="199"/>
      <c r="E129" s="195">
        <v>215</v>
      </c>
      <c r="F129" s="199"/>
      <c r="G129" s="195">
        <v>205</v>
      </c>
      <c r="H129" s="199">
        <v>12</v>
      </c>
      <c r="I129" s="195">
        <v>155</v>
      </c>
      <c r="J129" s="199"/>
      <c r="K129" s="187">
        <v>1</v>
      </c>
      <c r="L129" s="188">
        <v>110</v>
      </c>
      <c r="M129" s="186"/>
      <c r="N129" s="188">
        <v>60</v>
      </c>
      <c r="O129" s="795"/>
      <c r="P129" s="824">
        <v>15</v>
      </c>
      <c r="Q129" s="944"/>
      <c r="R129" s="188">
        <f t="shared" si="3"/>
        <v>1970</v>
      </c>
      <c r="S129" s="188">
        <f t="shared" si="4"/>
        <v>98.5</v>
      </c>
      <c r="T129" s="188">
        <f t="shared" si="5"/>
        <v>2068.5</v>
      </c>
      <c r="U129" s="199">
        <v>12545</v>
      </c>
      <c r="V129" s="190"/>
      <c r="W129" s="194"/>
    </row>
    <row r="130" spans="1:46" s="192" customFormat="1">
      <c r="A130" s="197">
        <v>42228</v>
      </c>
      <c r="B130" s="499">
        <v>29346</v>
      </c>
      <c r="C130" s="199">
        <v>1</v>
      </c>
      <c r="D130" s="199"/>
      <c r="E130" s="195">
        <v>215</v>
      </c>
      <c r="F130" s="199"/>
      <c r="G130" s="195">
        <v>205</v>
      </c>
      <c r="H130" s="199">
        <v>12</v>
      </c>
      <c r="I130" s="195">
        <v>155</v>
      </c>
      <c r="J130" s="199"/>
      <c r="K130" s="187"/>
      <c r="L130" s="188">
        <v>110</v>
      </c>
      <c r="M130" s="186"/>
      <c r="N130" s="188">
        <v>60</v>
      </c>
      <c r="O130" s="795"/>
      <c r="P130" s="824">
        <v>15</v>
      </c>
      <c r="Q130" s="944"/>
      <c r="R130" s="188">
        <f t="shared" si="3"/>
        <v>1860</v>
      </c>
      <c r="S130" s="188">
        <f t="shared" si="4"/>
        <v>93</v>
      </c>
      <c r="T130" s="188">
        <f t="shared" si="5"/>
        <v>1953</v>
      </c>
      <c r="U130" s="199">
        <v>12545</v>
      </c>
      <c r="V130" s="190"/>
      <c r="W130" s="194"/>
    </row>
    <row r="131" spans="1:46" s="192" customFormat="1">
      <c r="A131" s="197">
        <v>42228</v>
      </c>
      <c r="B131" s="499">
        <v>29347</v>
      </c>
      <c r="C131" s="199">
        <v>2</v>
      </c>
      <c r="D131" s="199"/>
      <c r="E131" s="195">
        <v>215</v>
      </c>
      <c r="F131" s="199">
        <v>12</v>
      </c>
      <c r="G131" s="195">
        <v>205</v>
      </c>
      <c r="H131" s="199"/>
      <c r="I131" s="195">
        <v>155</v>
      </c>
      <c r="J131" s="199"/>
      <c r="K131" s="187"/>
      <c r="L131" s="188">
        <v>110</v>
      </c>
      <c r="M131" s="186">
        <v>13</v>
      </c>
      <c r="N131" s="188">
        <v>60</v>
      </c>
      <c r="O131" s="795"/>
      <c r="P131" s="824">
        <v>15</v>
      </c>
      <c r="Q131" s="944"/>
      <c r="R131" s="188">
        <f t="shared" si="3"/>
        <v>3240</v>
      </c>
      <c r="S131" s="188">
        <f t="shared" si="4"/>
        <v>162</v>
      </c>
      <c r="T131" s="188">
        <f t="shared" si="5"/>
        <v>3402</v>
      </c>
      <c r="U131" s="199">
        <v>12545</v>
      </c>
      <c r="V131" s="190"/>
      <c r="W131" s="194"/>
    </row>
    <row r="132" spans="1:46" s="192" customFormat="1">
      <c r="A132" s="197">
        <v>42228</v>
      </c>
      <c r="B132" s="499">
        <v>29348</v>
      </c>
      <c r="C132" s="199">
        <v>2</v>
      </c>
      <c r="D132" s="199"/>
      <c r="E132" s="195">
        <v>215</v>
      </c>
      <c r="F132" s="199">
        <v>11</v>
      </c>
      <c r="G132" s="195">
        <v>205</v>
      </c>
      <c r="H132" s="199"/>
      <c r="I132" s="195">
        <v>155</v>
      </c>
      <c r="J132" s="199"/>
      <c r="K132" s="187"/>
      <c r="L132" s="188">
        <v>110</v>
      </c>
      <c r="M132" s="186">
        <v>12</v>
      </c>
      <c r="N132" s="188">
        <v>60</v>
      </c>
      <c r="O132" s="795"/>
      <c r="P132" s="824">
        <v>15</v>
      </c>
      <c r="Q132" s="944"/>
      <c r="R132" s="188">
        <f t="shared" si="3"/>
        <v>2975</v>
      </c>
      <c r="S132" s="188">
        <f t="shared" si="4"/>
        <v>148.75</v>
      </c>
      <c r="T132" s="188">
        <f t="shared" si="5"/>
        <v>3123.75</v>
      </c>
      <c r="U132" s="199">
        <v>12545</v>
      </c>
      <c r="V132" s="190"/>
      <c r="W132" s="194"/>
    </row>
    <row r="133" spans="1:46" s="384" customFormat="1">
      <c r="A133" s="197">
        <v>42228</v>
      </c>
      <c r="B133" s="499">
        <v>29349</v>
      </c>
      <c r="C133" s="199">
        <v>2</v>
      </c>
      <c r="D133" s="199"/>
      <c r="E133" s="195">
        <v>215</v>
      </c>
      <c r="F133" s="199">
        <v>11</v>
      </c>
      <c r="G133" s="195">
        <v>205</v>
      </c>
      <c r="H133" s="199"/>
      <c r="I133" s="195">
        <v>155</v>
      </c>
      <c r="J133" s="199"/>
      <c r="K133" s="187"/>
      <c r="L133" s="188">
        <v>110</v>
      </c>
      <c r="M133" s="186">
        <v>12</v>
      </c>
      <c r="N133" s="188">
        <v>60</v>
      </c>
      <c r="O133" s="795"/>
      <c r="P133" s="824">
        <v>15</v>
      </c>
      <c r="Q133" s="944"/>
      <c r="R133" s="188">
        <f t="shared" si="3"/>
        <v>2975</v>
      </c>
      <c r="S133" s="188">
        <f t="shared" si="4"/>
        <v>148.75</v>
      </c>
      <c r="T133" s="188">
        <f t="shared" si="5"/>
        <v>3123.75</v>
      </c>
      <c r="U133" s="199">
        <v>12545</v>
      </c>
      <c r="V133" s="190"/>
      <c r="W133" s="383"/>
      <c r="AA133" s="192"/>
      <c r="AB133" s="192"/>
      <c r="AC133" s="192"/>
      <c r="AD133" s="192"/>
      <c r="AE133" s="192"/>
      <c r="AF133" s="192"/>
      <c r="AG133" s="192"/>
      <c r="AH133" s="192"/>
      <c r="AI133" s="192"/>
      <c r="AJ133" s="192"/>
      <c r="AK133" s="192"/>
      <c r="AL133" s="192"/>
      <c r="AM133" s="192"/>
      <c r="AN133" s="192"/>
      <c r="AO133" s="192"/>
      <c r="AP133" s="192"/>
      <c r="AQ133" s="192"/>
      <c r="AR133" s="192"/>
      <c r="AS133" s="192"/>
      <c r="AT133" s="192"/>
    </row>
    <row r="134" spans="1:46" s="384" customFormat="1">
      <c r="A134" s="373">
        <v>42229</v>
      </c>
      <c r="B134" s="887">
        <v>29301</v>
      </c>
      <c r="C134" s="375">
        <v>1</v>
      </c>
      <c r="D134" s="375"/>
      <c r="E134" s="377">
        <v>215</v>
      </c>
      <c r="F134" s="375"/>
      <c r="G134" s="377">
        <v>205</v>
      </c>
      <c r="H134" s="375">
        <v>12</v>
      </c>
      <c r="I134" s="377">
        <v>155</v>
      </c>
      <c r="J134" s="375"/>
      <c r="K134" s="474">
        <v>1</v>
      </c>
      <c r="L134" s="376">
        <v>110</v>
      </c>
      <c r="M134" s="379"/>
      <c r="N134" s="376">
        <v>60</v>
      </c>
      <c r="O134" s="596"/>
      <c r="P134" s="595">
        <v>15</v>
      </c>
      <c r="Q134" s="943"/>
      <c r="R134" s="376">
        <f t="shared" ref="R134:R197" si="6">(D134*E134)+(K134*L134)+(M134*N134)+(O134*P134)+(F134*G134)+(H134*I134)</f>
        <v>1970</v>
      </c>
      <c r="S134" s="376">
        <f t="shared" ref="S134:S197" si="7">(R134*5%)</f>
        <v>98.5</v>
      </c>
      <c r="T134" s="376">
        <f t="shared" ref="T134:T197" si="8">SUM(R134+S134)</f>
        <v>2068.5</v>
      </c>
      <c r="U134" s="375">
        <v>12574</v>
      </c>
      <c r="V134" s="382"/>
      <c r="W134" s="383"/>
    </row>
    <row r="135" spans="1:46" s="384" customFormat="1">
      <c r="A135" s="373">
        <v>42229</v>
      </c>
      <c r="B135" s="887">
        <v>29302</v>
      </c>
      <c r="C135" s="375">
        <v>1</v>
      </c>
      <c r="D135" s="375"/>
      <c r="E135" s="377">
        <v>215</v>
      </c>
      <c r="F135" s="375"/>
      <c r="G135" s="377">
        <v>205</v>
      </c>
      <c r="H135" s="375">
        <v>12</v>
      </c>
      <c r="I135" s="377">
        <v>155</v>
      </c>
      <c r="J135" s="375"/>
      <c r="K135" s="474"/>
      <c r="L135" s="376">
        <v>110</v>
      </c>
      <c r="M135" s="379"/>
      <c r="N135" s="376">
        <v>60</v>
      </c>
      <c r="O135" s="596"/>
      <c r="P135" s="595">
        <v>15</v>
      </c>
      <c r="Q135" s="943"/>
      <c r="R135" s="376">
        <f t="shared" si="6"/>
        <v>1860</v>
      </c>
      <c r="S135" s="376">
        <f t="shared" si="7"/>
        <v>93</v>
      </c>
      <c r="T135" s="376">
        <f t="shared" si="8"/>
        <v>1953</v>
      </c>
      <c r="U135" s="375">
        <v>12574</v>
      </c>
      <c r="V135" s="382"/>
      <c r="W135" s="383"/>
    </row>
    <row r="136" spans="1:46" s="384" customFormat="1">
      <c r="A136" s="373">
        <v>42229</v>
      </c>
      <c r="B136" s="887">
        <v>29303</v>
      </c>
      <c r="C136" s="375">
        <v>2</v>
      </c>
      <c r="D136" s="375"/>
      <c r="E136" s="377">
        <v>215</v>
      </c>
      <c r="F136" s="375">
        <v>11.5</v>
      </c>
      <c r="G136" s="377">
        <v>205</v>
      </c>
      <c r="H136" s="375"/>
      <c r="I136" s="377">
        <v>155</v>
      </c>
      <c r="J136" s="375"/>
      <c r="K136" s="474"/>
      <c r="L136" s="376">
        <v>110</v>
      </c>
      <c r="M136" s="379">
        <v>12.5</v>
      </c>
      <c r="N136" s="376">
        <v>60</v>
      </c>
      <c r="O136" s="596"/>
      <c r="P136" s="595">
        <v>15</v>
      </c>
      <c r="Q136" s="943"/>
      <c r="R136" s="376">
        <f t="shared" si="6"/>
        <v>3107.5</v>
      </c>
      <c r="S136" s="376">
        <f t="shared" si="7"/>
        <v>155.375</v>
      </c>
      <c r="T136" s="376">
        <f t="shared" si="8"/>
        <v>3262.875</v>
      </c>
      <c r="U136" s="375">
        <v>12574</v>
      </c>
      <c r="V136" s="382"/>
      <c r="W136" s="383"/>
    </row>
    <row r="137" spans="1:46" s="384" customFormat="1">
      <c r="A137" s="373">
        <v>42229</v>
      </c>
      <c r="B137" s="887">
        <v>29304</v>
      </c>
      <c r="C137" s="375">
        <v>2</v>
      </c>
      <c r="D137" s="375"/>
      <c r="E137" s="377">
        <v>215</v>
      </c>
      <c r="F137" s="375">
        <v>10</v>
      </c>
      <c r="G137" s="377">
        <v>205</v>
      </c>
      <c r="H137" s="375"/>
      <c r="I137" s="377">
        <v>155</v>
      </c>
      <c r="J137" s="375"/>
      <c r="K137" s="474"/>
      <c r="L137" s="376">
        <v>110</v>
      </c>
      <c r="M137" s="379">
        <v>11</v>
      </c>
      <c r="N137" s="376">
        <v>60</v>
      </c>
      <c r="O137" s="596"/>
      <c r="P137" s="595">
        <v>15</v>
      </c>
      <c r="Q137" s="943"/>
      <c r="R137" s="376">
        <f t="shared" si="6"/>
        <v>2710</v>
      </c>
      <c r="S137" s="376">
        <f t="shared" si="7"/>
        <v>135.5</v>
      </c>
      <c r="T137" s="376">
        <f t="shared" si="8"/>
        <v>2845.5</v>
      </c>
      <c r="U137" s="375">
        <v>12574</v>
      </c>
      <c r="V137" s="382"/>
      <c r="W137" s="383"/>
    </row>
    <row r="138" spans="1:46" s="384" customFormat="1">
      <c r="A138" s="373">
        <v>42229</v>
      </c>
      <c r="B138" s="887">
        <v>29305</v>
      </c>
      <c r="C138" s="375">
        <v>2</v>
      </c>
      <c r="D138" s="375"/>
      <c r="E138" s="377">
        <v>215</v>
      </c>
      <c r="F138" s="375">
        <v>11</v>
      </c>
      <c r="G138" s="377">
        <v>205</v>
      </c>
      <c r="H138" s="375"/>
      <c r="I138" s="377">
        <v>155</v>
      </c>
      <c r="J138" s="375"/>
      <c r="K138" s="474"/>
      <c r="L138" s="376">
        <v>110</v>
      </c>
      <c r="M138" s="379">
        <v>12</v>
      </c>
      <c r="N138" s="376">
        <v>60</v>
      </c>
      <c r="O138" s="596"/>
      <c r="P138" s="595">
        <v>15</v>
      </c>
      <c r="Q138" s="943"/>
      <c r="R138" s="376">
        <f t="shared" si="6"/>
        <v>2975</v>
      </c>
      <c r="S138" s="376">
        <f t="shared" si="7"/>
        <v>148.75</v>
      </c>
      <c r="T138" s="376">
        <f t="shared" si="8"/>
        <v>3123.75</v>
      </c>
      <c r="U138" s="375">
        <v>12574</v>
      </c>
      <c r="V138" s="382"/>
      <c r="W138" s="383"/>
    </row>
    <row r="139" spans="1:46" s="384" customFormat="1">
      <c r="A139" s="373">
        <v>42229</v>
      </c>
      <c r="B139" s="887">
        <v>29306</v>
      </c>
      <c r="C139" s="375">
        <v>2</v>
      </c>
      <c r="D139" s="375"/>
      <c r="E139" s="377">
        <v>215</v>
      </c>
      <c r="F139" s="375">
        <v>11</v>
      </c>
      <c r="G139" s="377">
        <v>205</v>
      </c>
      <c r="H139" s="375"/>
      <c r="I139" s="377">
        <v>155</v>
      </c>
      <c r="J139" s="375"/>
      <c r="K139" s="474"/>
      <c r="L139" s="376">
        <v>110</v>
      </c>
      <c r="M139" s="379">
        <v>12</v>
      </c>
      <c r="N139" s="376">
        <v>60</v>
      </c>
      <c r="O139" s="596"/>
      <c r="P139" s="595">
        <v>15</v>
      </c>
      <c r="Q139" s="943"/>
      <c r="R139" s="376">
        <f t="shared" si="6"/>
        <v>2975</v>
      </c>
      <c r="S139" s="376">
        <f t="shared" si="7"/>
        <v>148.75</v>
      </c>
      <c r="T139" s="376">
        <f t="shared" si="8"/>
        <v>3123.75</v>
      </c>
      <c r="U139" s="375">
        <v>12574</v>
      </c>
      <c r="V139" s="382"/>
      <c r="W139" s="383"/>
    </row>
    <row r="140" spans="1:46" s="384" customFormat="1">
      <c r="A140" s="373">
        <v>42230</v>
      </c>
      <c r="B140" s="887">
        <v>29307</v>
      </c>
      <c r="C140" s="375">
        <v>1</v>
      </c>
      <c r="D140" s="375"/>
      <c r="E140" s="377">
        <v>215</v>
      </c>
      <c r="F140" s="375"/>
      <c r="G140" s="377">
        <v>205</v>
      </c>
      <c r="H140" s="375">
        <v>12</v>
      </c>
      <c r="I140" s="377">
        <v>155</v>
      </c>
      <c r="J140" s="375"/>
      <c r="K140" s="474">
        <v>1</v>
      </c>
      <c r="L140" s="376">
        <v>110</v>
      </c>
      <c r="M140" s="379"/>
      <c r="N140" s="376">
        <v>60</v>
      </c>
      <c r="O140" s="596"/>
      <c r="P140" s="595">
        <v>15</v>
      </c>
      <c r="Q140" s="943"/>
      <c r="R140" s="376">
        <f t="shared" si="6"/>
        <v>1970</v>
      </c>
      <c r="S140" s="376">
        <f t="shared" si="7"/>
        <v>98.5</v>
      </c>
      <c r="T140" s="376">
        <f t="shared" si="8"/>
        <v>2068.5</v>
      </c>
      <c r="U140" s="375">
        <v>12574</v>
      </c>
      <c r="V140" s="382"/>
      <c r="W140" s="383"/>
    </row>
    <row r="141" spans="1:46" s="384" customFormat="1">
      <c r="A141" s="373">
        <v>42230</v>
      </c>
      <c r="B141" s="887">
        <v>29308</v>
      </c>
      <c r="C141" s="375">
        <v>1</v>
      </c>
      <c r="D141" s="375"/>
      <c r="E141" s="377">
        <v>215</v>
      </c>
      <c r="F141" s="375"/>
      <c r="G141" s="377">
        <v>205</v>
      </c>
      <c r="H141" s="375">
        <v>12</v>
      </c>
      <c r="I141" s="377">
        <v>155</v>
      </c>
      <c r="J141" s="375"/>
      <c r="K141" s="474"/>
      <c r="L141" s="376">
        <v>110</v>
      </c>
      <c r="M141" s="379"/>
      <c r="N141" s="376">
        <v>60</v>
      </c>
      <c r="O141" s="596"/>
      <c r="P141" s="595">
        <v>15</v>
      </c>
      <c r="Q141" s="943"/>
      <c r="R141" s="376">
        <f t="shared" si="6"/>
        <v>1860</v>
      </c>
      <c r="S141" s="376">
        <f t="shared" si="7"/>
        <v>93</v>
      </c>
      <c r="T141" s="376">
        <f t="shared" si="8"/>
        <v>1953</v>
      </c>
      <c r="U141" s="375">
        <v>12574</v>
      </c>
      <c r="V141" s="382"/>
      <c r="W141" s="383"/>
    </row>
    <row r="142" spans="1:46" s="384" customFormat="1">
      <c r="A142" s="373">
        <v>42230</v>
      </c>
      <c r="B142" s="887">
        <v>29309</v>
      </c>
      <c r="C142" s="375">
        <v>1</v>
      </c>
      <c r="D142" s="375"/>
      <c r="E142" s="377">
        <v>215</v>
      </c>
      <c r="F142" s="375"/>
      <c r="G142" s="377">
        <v>205</v>
      </c>
      <c r="H142" s="375">
        <v>12</v>
      </c>
      <c r="I142" s="377">
        <v>155</v>
      </c>
      <c r="J142" s="375"/>
      <c r="K142" s="474"/>
      <c r="L142" s="376">
        <v>110</v>
      </c>
      <c r="M142" s="379"/>
      <c r="N142" s="376">
        <v>60</v>
      </c>
      <c r="O142" s="596"/>
      <c r="P142" s="595">
        <v>15</v>
      </c>
      <c r="Q142" s="943"/>
      <c r="R142" s="376">
        <f t="shared" si="6"/>
        <v>1860</v>
      </c>
      <c r="S142" s="376">
        <f t="shared" si="7"/>
        <v>93</v>
      </c>
      <c r="T142" s="376">
        <f t="shared" si="8"/>
        <v>1953</v>
      </c>
      <c r="U142" s="375">
        <v>12574</v>
      </c>
      <c r="V142" s="382"/>
      <c r="W142" s="383"/>
    </row>
    <row r="143" spans="1:46" s="384" customFormat="1">
      <c r="A143" s="373">
        <v>42230</v>
      </c>
      <c r="B143" s="887">
        <v>29310</v>
      </c>
      <c r="C143" s="375">
        <v>2</v>
      </c>
      <c r="D143" s="375"/>
      <c r="E143" s="377">
        <v>215</v>
      </c>
      <c r="F143" s="375">
        <v>11</v>
      </c>
      <c r="G143" s="377">
        <v>205</v>
      </c>
      <c r="H143" s="375"/>
      <c r="I143" s="377">
        <v>155</v>
      </c>
      <c r="J143" s="375"/>
      <c r="K143" s="474"/>
      <c r="L143" s="376">
        <v>110</v>
      </c>
      <c r="M143" s="379">
        <v>12</v>
      </c>
      <c r="N143" s="376">
        <v>60</v>
      </c>
      <c r="O143" s="596"/>
      <c r="P143" s="595">
        <v>15</v>
      </c>
      <c r="Q143" s="943"/>
      <c r="R143" s="376">
        <f t="shared" si="6"/>
        <v>2975</v>
      </c>
      <c r="S143" s="376">
        <f t="shared" si="7"/>
        <v>148.75</v>
      </c>
      <c r="T143" s="376">
        <f t="shared" si="8"/>
        <v>3123.75</v>
      </c>
      <c r="U143" s="375">
        <v>12574</v>
      </c>
      <c r="V143" s="382"/>
      <c r="W143" s="383"/>
    </row>
    <row r="144" spans="1:46" s="384" customFormat="1">
      <c r="A144" s="373">
        <v>42230</v>
      </c>
      <c r="B144" s="887">
        <v>29311</v>
      </c>
      <c r="C144" s="375">
        <v>2</v>
      </c>
      <c r="D144" s="375"/>
      <c r="E144" s="377">
        <v>215</v>
      </c>
      <c r="F144" s="375">
        <v>12</v>
      </c>
      <c r="G144" s="377">
        <v>205</v>
      </c>
      <c r="H144" s="375"/>
      <c r="I144" s="377">
        <v>155</v>
      </c>
      <c r="J144" s="375"/>
      <c r="K144" s="474"/>
      <c r="L144" s="376">
        <v>110</v>
      </c>
      <c r="M144" s="379">
        <v>13</v>
      </c>
      <c r="N144" s="376">
        <v>60</v>
      </c>
      <c r="O144" s="596"/>
      <c r="P144" s="595">
        <v>15</v>
      </c>
      <c r="Q144" s="943"/>
      <c r="R144" s="376">
        <f t="shared" si="6"/>
        <v>3240</v>
      </c>
      <c r="S144" s="376">
        <f t="shared" si="7"/>
        <v>162</v>
      </c>
      <c r="T144" s="376">
        <f t="shared" si="8"/>
        <v>3402</v>
      </c>
      <c r="U144" s="375">
        <v>12574</v>
      </c>
      <c r="V144" s="382"/>
      <c r="W144" s="383"/>
    </row>
    <row r="145" spans="1:46" s="192" customFormat="1">
      <c r="A145" s="373">
        <v>42230</v>
      </c>
      <c r="B145" s="887">
        <v>29312</v>
      </c>
      <c r="C145" s="375">
        <v>2</v>
      </c>
      <c r="D145" s="375"/>
      <c r="E145" s="377">
        <v>215</v>
      </c>
      <c r="F145" s="375">
        <v>12</v>
      </c>
      <c r="G145" s="377">
        <v>205</v>
      </c>
      <c r="H145" s="375"/>
      <c r="I145" s="377">
        <v>155</v>
      </c>
      <c r="J145" s="375"/>
      <c r="K145" s="474"/>
      <c r="L145" s="376">
        <v>110</v>
      </c>
      <c r="M145" s="379">
        <v>13</v>
      </c>
      <c r="N145" s="376">
        <v>60</v>
      </c>
      <c r="O145" s="596"/>
      <c r="P145" s="595">
        <v>15</v>
      </c>
      <c r="Q145" s="943"/>
      <c r="R145" s="376">
        <f t="shared" si="6"/>
        <v>3240</v>
      </c>
      <c r="S145" s="376">
        <f t="shared" si="7"/>
        <v>162</v>
      </c>
      <c r="T145" s="376">
        <f t="shared" si="8"/>
        <v>3402</v>
      </c>
      <c r="U145" s="375">
        <v>12574</v>
      </c>
      <c r="V145" s="382"/>
      <c r="W145" s="194"/>
      <c r="AA145" s="384"/>
      <c r="AB145" s="384"/>
      <c r="AC145" s="384"/>
      <c r="AD145" s="384"/>
      <c r="AE145" s="384"/>
      <c r="AF145" s="384"/>
      <c r="AG145" s="384"/>
      <c r="AH145" s="384"/>
      <c r="AI145" s="384"/>
      <c r="AJ145" s="384"/>
      <c r="AK145" s="384"/>
      <c r="AL145" s="384"/>
      <c r="AM145" s="384"/>
      <c r="AN145" s="384"/>
      <c r="AO145" s="384"/>
      <c r="AP145" s="384"/>
      <c r="AQ145" s="384"/>
      <c r="AR145" s="384"/>
      <c r="AS145" s="384"/>
      <c r="AT145" s="384"/>
    </row>
    <row r="146" spans="1:46" s="192" customFormat="1">
      <c r="A146" s="197">
        <v>42231</v>
      </c>
      <c r="B146" s="499">
        <v>29313</v>
      </c>
      <c r="C146" s="199">
        <v>1</v>
      </c>
      <c r="D146" s="199"/>
      <c r="E146" s="195">
        <v>215</v>
      </c>
      <c r="F146" s="199"/>
      <c r="G146" s="195">
        <v>205</v>
      </c>
      <c r="H146" s="199">
        <v>12</v>
      </c>
      <c r="I146" s="195">
        <v>155</v>
      </c>
      <c r="J146" s="199"/>
      <c r="K146" s="187">
        <v>1</v>
      </c>
      <c r="L146" s="188">
        <v>110</v>
      </c>
      <c r="M146" s="186"/>
      <c r="N146" s="188">
        <v>60</v>
      </c>
      <c r="O146" s="795"/>
      <c r="P146" s="824">
        <v>15</v>
      </c>
      <c r="Q146" s="944"/>
      <c r="R146" s="188">
        <f t="shared" si="6"/>
        <v>1970</v>
      </c>
      <c r="S146" s="188">
        <f t="shared" si="7"/>
        <v>98.5</v>
      </c>
      <c r="T146" s="188">
        <f t="shared" si="8"/>
        <v>2068.5</v>
      </c>
      <c r="U146" s="199">
        <v>12639</v>
      </c>
      <c r="V146" s="190"/>
      <c r="W146" s="194"/>
    </row>
    <row r="147" spans="1:46" s="192" customFormat="1">
      <c r="A147" s="197">
        <v>42231</v>
      </c>
      <c r="B147" s="499">
        <v>29314</v>
      </c>
      <c r="C147" s="199">
        <v>1</v>
      </c>
      <c r="D147" s="199"/>
      <c r="E147" s="195">
        <v>215</v>
      </c>
      <c r="F147" s="199"/>
      <c r="G147" s="195">
        <v>205</v>
      </c>
      <c r="H147" s="199">
        <v>12</v>
      </c>
      <c r="I147" s="195">
        <v>155</v>
      </c>
      <c r="J147" s="199"/>
      <c r="K147" s="187"/>
      <c r="L147" s="188">
        <v>110</v>
      </c>
      <c r="M147" s="186"/>
      <c r="N147" s="188">
        <v>60</v>
      </c>
      <c r="O147" s="795"/>
      <c r="P147" s="824">
        <v>15</v>
      </c>
      <c r="Q147" s="944"/>
      <c r="R147" s="188">
        <f t="shared" si="6"/>
        <v>1860</v>
      </c>
      <c r="S147" s="188">
        <f t="shared" si="7"/>
        <v>93</v>
      </c>
      <c r="T147" s="188">
        <f t="shared" si="8"/>
        <v>1953</v>
      </c>
      <c r="U147" s="199">
        <v>12639</v>
      </c>
      <c r="V147" s="190"/>
      <c r="W147" s="194"/>
      <c r="X147" s="502"/>
    </row>
    <row r="148" spans="1:46" s="192" customFormat="1">
      <c r="A148" s="197">
        <v>42231</v>
      </c>
      <c r="B148" s="499">
        <v>29315</v>
      </c>
      <c r="C148" s="199">
        <v>1</v>
      </c>
      <c r="D148" s="199"/>
      <c r="E148" s="195">
        <v>215</v>
      </c>
      <c r="F148" s="199"/>
      <c r="G148" s="195">
        <v>205</v>
      </c>
      <c r="H148" s="199">
        <v>12</v>
      </c>
      <c r="I148" s="195">
        <v>155</v>
      </c>
      <c r="J148" s="199"/>
      <c r="K148" s="187"/>
      <c r="L148" s="188">
        <v>110</v>
      </c>
      <c r="M148" s="186"/>
      <c r="N148" s="188">
        <v>60</v>
      </c>
      <c r="O148" s="795"/>
      <c r="P148" s="824">
        <v>15</v>
      </c>
      <c r="Q148" s="944"/>
      <c r="R148" s="188">
        <f t="shared" si="6"/>
        <v>1860</v>
      </c>
      <c r="S148" s="188">
        <f t="shared" si="7"/>
        <v>93</v>
      </c>
      <c r="T148" s="188">
        <f t="shared" si="8"/>
        <v>1953</v>
      </c>
      <c r="U148" s="199">
        <v>12639</v>
      </c>
      <c r="V148" s="190"/>
      <c r="W148" s="194"/>
    </row>
    <row r="149" spans="1:46" s="192" customFormat="1">
      <c r="A149" s="197">
        <v>42231</v>
      </c>
      <c r="B149" s="499">
        <v>29316</v>
      </c>
      <c r="C149" s="199">
        <v>2</v>
      </c>
      <c r="D149" s="199"/>
      <c r="E149" s="195">
        <v>215</v>
      </c>
      <c r="F149" s="199">
        <v>11</v>
      </c>
      <c r="G149" s="195">
        <v>205</v>
      </c>
      <c r="H149" s="199"/>
      <c r="I149" s="195">
        <v>155</v>
      </c>
      <c r="J149" s="199"/>
      <c r="K149" s="187"/>
      <c r="L149" s="188">
        <v>110</v>
      </c>
      <c r="M149" s="186">
        <v>12</v>
      </c>
      <c r="N149" s="188">
        <v>60</v>
      </c>
      <c r="O149" s="795"/>
      <c r="P149" s="824">
        <v>15</v>
      </c>
      <c r="Q149" s="944"/>
      <c r="R149" s="188">
        <f t="shared" si="6"/>
        <v>2975</v>
      </c>
      <c r="S149" s="188">
        <f t="shared" si="7"/>
        <v>148.75</v>
      </c>
      <c r="T149" s="188">
        <f t="shared" si="8"/>
        <v>3123.75</v>
      </c>
      <c r="U149" s="199">
        <v>12639</v>
      </c>
      <c r="V149" s="190"/>
      <c r="W149" s="194"/>
    </row>
    <row r="150" spans="1:46" s="192" customFormat="1">
      <c r="A150" s="197">
        <v>42231</v>
      </c>
      <c r="B150" s="499">
        <v>29317</v>
      </c>
      <c r="C150" s="199">
        <v>2</v>
      </c>
      <c r="D150" s="199"/>
      <c r="E150" s="195">
        <v>215</v>
      </c>
      <c r="F150" s="199">
        <v>11</v>
      </c>
      <c r="G150" s="195">
        <v>205</v>
      </c>
      <c r="H150" s="199"/>
      <c r="I150" s="195">
        <v>155</v>
      </c>
      <c r="J150" s="199"/>
      <c r="K150" s="187"/>
      <c r="L150" s="188">
        <v>110</v>
      </c>
      <c r="M150" s="186">
        <v>12</v>
      </c>
      <c r="N150" s="188">
        <v>60</v>
      </c>
      <c r="O150" s="795"/>
      <c r="P150" s="824">
        <v>15</v>
      </c>
      <c r="Q150" s="944"/>
      <c r="R150" s="188">
        <f t="shared" si="6"/>
        <v>2975</v>
      </c>
      <c r="S150" s="188">
        <f t="shared" si="7"/>
        <v>148.75</v>
      </c>
      <c r="T150" s="188">
        <f t="shared" si="8"/>
        <v>3123.75</v>
      </c>
      <c r="U150" s="199">
        <v>12639</v>
      </c>
      <c r="V150" s="190"/>
      <c r="W150" s="194"/>
    </row>
    <row r="151" spans="1:46" s="192" customFormat="1">
      <c r="A151" s="197">
        <v>42231</v>
      </c>
      <c r="B151" s="499">
        <v>29318</v>
      </c>
      <c r="C151" s="199">
        <v>2</v>
      </c>
      <c r="D151" s="199"/>
      <c r="E151" s="195">
        <v>215</v>
      </c>
      <c r="F151" s="199">
        <v>11</v>
      </c>
      <c r="G151" s="195">
        <v>205</v>
      </c>
      <c r="H151" s="199"/>
      <c r="I151" s="195">
        <v>155</v>
      </c>
      <c r="J151" s="199"/>
      <c r="K151" s="187"/>
      <c r="L151" s="188">
        <v>110</v>
      </c>
      <c r="M151" s="186">
        <v>12</v>
      </c>
      <c r="N151" s="188">
        <v>60</v>
      </c>
      <c r="O151" s="795"/>
      <c r="P151" s="824">
        <v>15</v>
      </c>
      <c r="Q151" s="944"/>
      <c r="R151" s="188">
        <f t="shared" si="6"/>
        <v>2975</v>
      </c>
      <c r="S151" s="188">
        <f t="shared" si="7"/>
        <v>148.75</v>
      </c>
      <c r="T151" s="188">
        <f t="shared" si="8"/>
        <v>3123.75</v>
      </c>
      <c r="U151" s="199">
        <v>12639</v>
      </c>
      <c r="V151" s="190"/>
      <c r="W151" s="194"/>
    </row>
    <row r="152" spans="1:46" s="192" customFormat="1">
      <c r="A152" s="197">
        <v>42233</v>
      </c>
      <c r="B152" s="499">
        <v>29319</v>
      </c>
      <c r="C152" s="199">
        <v>1</v>
      </c>
      <c r="D152" s="199"/>
      <c r="E152" s="195">
        <v>215</v>
      </c>
      <c r="F152" s="199"/>
      <c r="G152" s="195">
        <v>205</v>
      </c>
      <c r="H152" s="199">
        <v>12</v>
      </c>
      <c r="I152" s="195">
        <v>155</v>
      </c>
      <c r="J152" s="199"/>
      <c r="K152" s="187">
        <v>1</v>
      </c>
      <c r="L152" s="188">
        <v>110</v>
      </c>
      <c r="M152" s="186"/>
      <c r="N152" s="188">
        <v>60</v>
      </c>
      <c r="O152" s="795"/>
      <c r="P152" s="824">
        <v>15</v>
      </c>
      <c r="Q152" s="944"/>
      <c r="R152" s="188">
        <f t="shared" si="6"/>
        <v>1970</v>
      </c>
      <c r="S152" s="188">
        <f t="shared" si="7"/>
        <v>98.5</v>
      </c>
      <c r="T152" s="188">
        <f t="shared" si="8"/>
        <v>2068.5</v>
      </c>
      <c r="U152" s="199">
        <v>12639</v>
      </c>
      <c r="V152" s="190"/>
      <c r="W152" s="194"/>
    </row>
    <row r="153" spans="1:46" s="192" customFormat="1">
      <c r="A153" s="197">
        <v>42233</v>
      </c>
      <c r="B153" s="499">
        <v>29320</v>
      </c>
      <c r="C153" s="199">
        <v>1</v>
      </c>
      <c r="D153" s="199"/>
      <c r="E153" s="195">
        <v>215</v>
      </c>
      <c r="F153" s="199"/>
      <c r="G153" s="195">
        <v>205</v>
      </c>
      <c r="H153" s="199">
        <v>12</v>
      </c>
      <c r="I153" s="195">
        <v>155</v>
      </c>
      <c r="J153" s="199"/>
      <c r="K153" s="187"/>
      <c r="L153" s="188">
        <v>110</v>
      </c>
      <c r="M153" s="186"/>
      <c r="N153" s="188">
        <v>60</v>
      </c>
      <c r="O153" s="795"/>
      <c r="P153" s="824">
        <v>15</v>
      </c>
      <c r="Q153" s="944"/>
      <c r="R153" s="188">
        <f t="shared" si="6"/>
        <v>1860</v>
      </c>
      <c r="S153" s="188">
        <f t="shared" si="7"/>
        <v>93</v>
      </c>
      <c r="T153" s="188">
        <f t="shared" si="8"/>
        <v>1953</v>
      </c>
      <c r="U153" s="199">
        <v>12639</v>
      </c>
      <c r="V153" s="190"/>
      <c r="W153" s="194"/>
    </row>
    <row r="154" spans="1:46" s="192" customFormat="1">
      <c r="A154" s="197">
        <v>42233</v>
      </c>
      <c r="B154" s="499">
        <v>29321</v>
      </c>
      <c r="C154" s="199">
        <v>2</v>
      </c>
      <c r="D154" s="199"/>
      <c r="E154" s="195">
        <v>215</v>
      </c>
      <c r="F154" s="199">
        <v>11</v>
      </c>
      <c r="G154" s="195">
        <v>205</v>
      </c>
      <c r="H154" s="199"/>
      <c r="I154" s="195">
        <v>155</v>
      </c>
      <c r="J154" s="199"/>
      <c r="K154" s="187"/>
      <c r="L154" s="188">
        <v>110</v>
      </c>
      <c r="M154" s="186">
        <v>12</v>
      </c>
      <c r="N154" s="188">
        <v>60</v>
      </c>
      <c r="O154" s="795"/>
      <c r="P154" s="824">
        <v>15</v>
      </c>
      <c r="Q154" s="944"/>
      <c r="R154" s="188">
        <f t="shared" si="6"/>
        <v>2975</v>
      </c>
      <c r="S154" s="188">
        <f t="shared" si="7"/>
        <v>148.75</v>
      </c>
      <c r="T154" s="188">
        <f t="shared" si="8"/>
        <v>3123.75</v>
      </c>
      <c r="U154" s="199">
        <v>12639</v>
      </c>
      <c r="V154" s="190"/>
      <c r="W154" s="194"/>
    </row>
    <row r="155" spans="1:46" s="192" customFormat="1">
      <c r="A155" s="197">
        <v>42233</v>
      </c>
      <c r="B155" s="499">
        <v>29322</v>
      </c>
      <c r="C155" s="199">
        <v>2</v>
      </c>
      <c r="D155" s="199"/>
      <c r="E155" s="195">
        <v>215</v>
      </c>
      <c r="F155" s="199">
        <v>11</v>
      </c>
      <c r="G155" s="195">
        <v>205</v>
      </c>
      <c r="H155" s="199"/>
      <c r="I155" s="195">
        <v>155</v>
      </c>
      <c r="J155" s="199"/>
      <c r="K155" s="187"/>
      <c r="L155" s="188">
        <v>110</v>
      </c>
      <c r="M155" s="186">
        <v>12</v>
      </c>
      <c r="N155" s="188">
        <v>60</v>
      </c>
      <c r="O155" s="795"/>
      <c r="P155" s="824">
        <v>15</v>
      </c>
      <c r="Q155" s="944"/>
      <c r="R155" s="188">
        <f t="shared" si="6"/>
        <v>2975</v>
      </c>
      <c r="S155" s="188">
        <f t="shared" si="7"/>
        <v>148.75</v>
      </c>
      <c r="T155" s="188">
        <f t="shared" si="8"/>
        <v>3123.75</v>
      </c>
      <c r="U155" s="199">
        <v>12639</v>
      </c>
      <c r="V155" s="190"/>
      <c r="W155" s="194"/>
    </row>
    <row r="156" spans="1:46" s="192" customFormat="1">
      <c r="A156" s="197">
        <v>42233</v>
      </c>
      <c r="B156" s="499">
        <v>29323</v>
      </c>
      <c r="C156" s="199">
        <v>2</v>
      </c>
      <c r="D156" s="199"/>
      <c r="E156" s="195">
        <v>215</v>
      </c>
      <c r="F156" s="199">
        <v>11</v>
      </c>
      <c r="G156" s="195">
        <v>205</v>
      </c>
      <c r="H156" s="199"/>
      <c r="I156" s="195">
        <v>155</v>
      </c>
      <c r="J156" s="199"/>
      <c r="K156" s="187"/>
      <c r="L156" s="188">
        <v>110</v>
      </c>
      <c r="M156" s="186">
        <v>12</v>
      </c>
      <c r="N156" s="188">
        <v>60</v>
      </c>
      <c r="O156" s="795"/>
      <c r="P156" s="824">
        <v>15</v>
      </c>
      <c r="Q156" s="944"/>
      <c r="R156" s="188">
        <f t="shared" si="6"/>
        <v>2975</v>
      </c>
      <c r="S156" s="188">
        <f t="shared" si="7"/>
        <v>148.75</v>
      </c>
      <c r="T156" s="188">
        <f t="shared" si="8"/>
        <v>3123.75</v>
      </c>
      <c r="U156" s="199">
        <v>12639</v>
      </c>
      <c r="V156" s="190"/>
      <c r="W156" s="194"/>
    </row>
    <row r="157" spans="1:46" s="192" customFormat="1">
      <c r="A157" s="197">
        <v>42233</v>
      </c>
      <c r="B157" s="499">
        <v>29324</v>
      </c>
      <c r="C157" s="199">
        <v>1</v>
      </c>
      <c r="D157" s="199"/>
      <c r="E157" s="195">
        <v>215</v>
      </c>
      <c r="F157" s="199"/>
      <c r="G157" s="195">
        <v>205</v>
      </c>
      <c r="H157" s="199">
        <v>12</v>
      </c>
      <c r="I157" s="195">
        <v>155</v>
      </c>
      <c r="J157" s="199"/>
      <c r="K157" s="187"/>
      <c r="L157" s="188">
        <v>110</v>
      </c>
      <c r="M157" s="186"/>
      <c r="N157" s="188">
        <v>60</v>
      </c>
      <c r="O157" s="795"/>
      <c r="P157" s="824">
        <v>15</v>
      </c>
      <c r="Q157" s="944"/>
      <c r="R157" s="188">
        <f t="shared" si="6"/>
        <v>1860</v>
      </c>
      <c r="S157" s="188">
        <f t="shared" si="7"/>
        <v>93</v>
      </c>
      <c r="T157" s="188">
        <f t="shared" si="8"/>
        <v>1953</v>
      </c>
      <c r="U157" s="199">
        <v>12639</v>
      </c>
      <c r="V157" s="190"/>
      <c r="W157" s="194"/>
    </row>
    <row r="158" spans="1:46" s="192" customFormat="1">
      <c r="A158" s="197">
        <v>42234</v>
      </c>
      <c r="B158" s="499">
        <v>26726</v>
      </c>
      <c r="C158" s="199">
        <v>1</v>
      </c>
      <c r="D158" s="199"/>
      <c r="E158" s="195">
        <v>215</v>
      </c>
      <c r="F158" s="199"/>
      <c r="G158" s="195">
        <v>205</v>
      </c>
      <c r="H158" s="199">
        <v>12</v>
      </c>
      <c r="I158" s="195">
        <v>155</v>
      </c>
      <c r="J158" s="199"/>
      <c r="K158" s="187">
        <v>1</v>
      </c>
      <c r="L158" s="188">
        <v>110</v>
      </c>
      <c r="M158" s="186"/>
      <c r="N158" s="188">
        <v>60</v>
      </c>
      <c r="O158" s="795"/>
      <c r="P158" s="824">
        <v>15</v>
      </c>
      <c r="Q158" s="944"/>
      <c r="R158" s="188">
        <f t="shared" si="6"/>
        <v>1970</v>
      </c>
      <c r="S158" s="188">
        <f t="shared" si="7"/>
        <v>98.5</v>
      </c>
      <c r="T158" s="188">
        <f t="shared" si="8"/>
        <v>2068.5</v>
      </c>
      <c r="U158" s="199">
        <v>12639</v>
      </c>
      <c r="V158" s="190"/>
      <c r="W158" s="194"/>
    </row>
    <row r="159" spans="1:46" s="192" customFormat="1">
      <c r="A159" s="197">
        <v>42234</v>
      </c>
      <c r="B159" s="499">
        <v>26727</v>
      </c>
      <c r="C159" s="199">
        <v>2</v>
      </c>
      <c r="D159" s="199"/>
      <c r="E159" s="195">
        <v>215</v>
      </c>
      <c r="F159" s="199"/>
      <c r="G159" s="195">
        <v>205</v>
      </c>
      <c r="H159" s="199">
        <v>12</v>
      </c>
      <c r="I159" s="195">
        <v>155</v>
      </c>
      <c r="J159" s="199"/>
      <c r="K159" s="187"/>
      <c r="L159" s="188">
        <v>110</v>
      </c>
      <c r="M159" s="186"/>
      <c r="N159" s="188">
        <v>60</v>
      </c>
      <c r="O159" s="795"/>
      <c r="P159" s="824">
        <v>15</v>
      </c>
      <c r="Q159" s="944"/>
      <c r="R159" s="188">
        <f t="shared" si="6"/>
        <v>1860</v>
      </c>
      <c r="S159" s="188">
        <f t="shared" si="7"/>
        <v>93</v>
      </c>
      <c r="T159" s="188">
        <f t="shared" si="8"/>
        <v>1953</v>
      </c>
      <c r="U159" s="199">
        <v>12639</v>
      </c>
      <c r="V159" s="190"/>
      <c r="W159" s="194"/>
    </row>
    <row r="160" spans="1:46" s="192" customFormat="1">
      <c r="A160" s="197">
        <v>42234</v>
      </c>
      <c r="B160" s="499">
        <v>26728</v>
      </c>
      <c r="C160" s="199">
        <v>2</v>
      </c>
      <c r="D160" s="199"/>
      <c r="E160" s="195">
        <v>215</v>
      </c>
      <c r="F160" s="199">
        <v>11</v>
      </c>
      <c r="G160" s="195">
        <v>205</v>
      </c>
      <c r="H160" s="199"/>
      <c r="I160" s="195">
        <v>155</v>
      </c>
      <c r="J160" s="199"/>
      <c r="K160" s="187"/>
      <c r="L160" s="188">
        <v>110</v>
      </c>
      <c r="M160" s="186">
        <v>12</v>
      </c>
      <c r="N160" s="188">
        <v>60</v>
      </c>
      <c r="O160" s="795"/>
      <c r="P160" s="824">
        <v>15</v>
      </c>
      <c r="Q160" s="944"/>
      <c r="R160" s="188">
        <f t="shared" si="6"/>
        <v>2975</v>
      </c>
      <c r="S160" s="188">
        <f t="shared" si="7"/>
        <v>148.75</v>
      </c>
      <c r="T160" s="188">
        <f t="shared" si="8"/>
        <v>3123.75</v>
      </c>
      <c r="U160" s="199">
        <v>12639</v>
      </c>
      <c r="V160" s="190"/>
      <c r="W160" s="194"/>
    </row>
    <row r="161" spans="1:23" s="192" customFormat="1">
      <c r="A161" s="197">
        <v>42234</v>
      </c>
      <c r="B161" s="499">
        <v>26729</v>
      </c>
      <c r="C161" s="199">
        <v>2</v>
      </c>
      <c r="D161" s="199"/>
      <c r="E161" s="195">
        <v>215</v>
      </c>
      <c r="F161" s="199">
        <v>11</v>
      </c>
      <c r="G161" s="195">
        <v>205</v>
      </c>
      <c r="H161" s="199"/>
      <c r="I161" s="195">
        <v>155</v>
      </c>
      <c r="J161" s="199"/>
      <c r="K161" s="187"/>
      <c r="L161" s="188">
        <v>110</v>
      </c>
      <c r="M161" s="186">
        <v>12</v>
      </c>
      <c r="N161" s="188">
        <v>60</v>
      </c>
      <c r="O161" s="795"/>
      <c r="P161" s="824">
        <v>15</v>
      </c>
      <c r="Q161" s="944"/>
      <c r="R161" s="188">
        <f t="shared" si="6"/>
        <v>2975</v>
      </c>
      <c r="S161" s="188">
        <f t="shared" si="7"/>
        <v>148.75</v>
      </c>
      <c r="T161" s="188">
        <f t="shared" si="8"/>
        <v>3123.75</v>
      </c>
      <c r="U161" s="199">
        <v>12639</v>
      </c>
      <c r="V161" s="190"/>
      <c r="W161" s="194"/>
    </row>
    <row r="162" spans="1:23" s="192" customFormat="1">
      <c r="A162" s="197">
        <v>42234</v>
      </c>
      <c r="B162" s="499">
        <v>26730</v>
      </c>
      <c r="C162" s="199">
        <v>2</v>
      </c>
      <c r="D162" s="199"/>
      <c r="E162" s="195">
        <v>215</v>
      </c>
      <c r="F162" s="199">
        <v>11</v>
      </c>
      <c r="G162" s="195">
        <v>205</v>
      </c>
      <c r="H162" s="199"/>
      <c r="I162" s="195">
        <v>155</v>
      </c>
      <c r="J162" s="199"/>
      <c r="K162" s="187"/>
      <c r="L162" s="188">
        <v>110</v>
      </c>
      <c r="M162" s="186">
        <v>12</v>
      </c>
      <c r="N162" s="188">
        <v>60</v>
      </c>
      <c r="O162" s="795"/>
      <c r="P162" s="824">
        <v>15</v>
      </c>
      <c r="Q162" s="944"/>
      <c r="R162" s="188">
        <f t="shared" si="6"/>
        <v>2975</v>
      </c>
      <c r="S162" s="188">
        <f t="shared" si="7"/>
        <v>148.75</v>
      </c>
      <c r="T162" s="188">
        <f t="shared" si="8"/>
        <v>3123.75</v>
      </c>
      <c r="U162" s="199">
        <v>12639</v>
      </c>
      <c r="V162" s="190"/>
      <c r="W162" s="194"/>
    </row>
    <row r="163" spans="1:23" s="192" customFormat="1">
      <c r="A163" s="197">
        <v>42234</v>
      </c>
      <c r="B163" s="499">
        <v>26731</v>
      </c>
      <c r="C163" s="199">
        <v>2</v>
      </c>
      <c r="D163" s="199"/>
      <c r="E163" s="195">
        <v>215</v>
      </c>
      <c r="F163" s="199">
        <v>11</v>
      </c>
      <c r="G163" s="195">
        <v>205</v>
      </c>
      <c r="H163" s="199"/>
      <c r="I163" s="195">
        <v>155</v>
      </c>
      <c r="J163" s="199"/>
      <c r="K163" s="187"/>
      <c r="L163" s="188">
        <v>110</v>
      </c>
      <c r="M163" s="186">
        <v>12</v>
      </c>
      <c r="N163" s="188">
        <v>60</v>
      </c>
      <c r="O163" s="795"/>
      <c r="P163" s="824">
        <v>15</v>
      </c>
      <c r="Q163" s="944"/>
      <c r="R163" s="188">
        <f t="shared" si="6"/>
        <v>2975</v>
      </c>
      <c r="S163" s="188">
        <f t="shared" si="7"/>
        <v>148.75</v>
      </c>
      <c r="T163" s="188">
        <f t="shared" si="8"/>
        <v>3123.75</v>
      </c>
      <c r="U163" s="199">
        <v>12639</v>
      </c>
      <c r="V163" s="190"/>
      <c r="W163" s="194"/>
    </row>
    <row r="164" spans="1:23" s="192" customFormat="1">
      <c r="A164" s="215">
        <v>42235</v>
      </c>
      <c r="B164" s="499">
        <v>26732</v>
      </c>
      <c r="C164" s="199"/>
      <c r="D164" s="199"/>
      <c r="E164" s="195">
        <v>215</v>
      </c>
      <c r="F164" s="199"/>
      <c r="G164" s="195">
        <v>205</v>
      </c>
      <c r="H164" s="199">
        <v>12</v>
      </c>
      <c r="I164" s="195">
        <v>155</v>
      </c>
      <c r="J164" s="199"/>
      <c r="K164" s="187">
        <v>1</v>
      </c>
      <c r="L164" s="188">
        <v>110</v>
      </c>
      <c r="M164" s="186"/>
      <c r="N164" s="188">
        <v>60</v>
      </c>
      <c r="O164" s="795"/>
      <c r="P164" s="824">
        <v>15</v>
      </c>
      <c r="Q164" s="944"/>
      <c r="R164" s="188">
        <f t="shared" si="6"/>
        <v>1970</v>
      </c>
      <c r="S164" s="188">
        <f t="shared" si="7"/>
        <v>98.5</v>
      </c>
      <c r="T164" s="188">
        <f t="shared" si="8"/>
        <v>2068.5</v>
      </c>
      <c r="U164" s="199">
        <v>12639</v>
      </c>
      <c r="V164" s="190"/>
      <c r="W164" s="194"/>
    </row>
    <row r="165" spans="1:23" s="192" customFormat="1">
      <c r="A165" s="215">
        <v>42235</v>
      </c>
      <c r="B165" s="499">
        <v>26733</v>
      </c>
      <c r="C165" s="199"/>
      <c r="D165" s="199"/>
      <c r="E165" s="195">
        <v>215</v>
      </c>
      <c r="F165" s="199"/>
      <c r="G165" s="195">
        <v>205</v>
      </c>
      <c r="H165" s="199">
        <v>12</v>
      </c>
      <c r="I165" s="195">
        <v>155</v>
      </c>
      <c r="J165" s="199"/>
      <c r="K165" s="187"/>
      <c r="L165" s="188">
        <v>110</v>
      </c>
      <c r="M165" s="186"/>
      <c r="N165" s="188">
        <v>60</v>
      </c>
      <c r="O165" s="795"/>
      <c r="P165" s="824">
        <v>15</v>
      </c>
      <c r="Q165" s="944"/>
      <c r="R165" s="188">
        <f t="shared" si="6"/>
        <v>1860</v>
      </c>
      <c r="S165" s="188">
        <f t="shared" si="7"/>
        <v>93</v>
      </c>
      <c r="T165" s="188">
        <f t="shared" si="8"/>
        <v>1953</v>
      </c>
      <c r="U165" s="199">
        <v>12639</v>
      </c>
      <c r="V165" s="190"/>
      <c r="W165" s="194"/>
    </row>
    <row r="166" spans="1:23" s="192" customFormat="1">
      <c r="A166" s="215">
        <v>42235</v>
      </c>
      <c r="B166" s="499">
        <v>26735</v>
      </c>
      <c r="C166" s="199"/>
      <c r="D166" s="199"/>
      <c r="E166" s="195">
        <v>215</v>
      </c>
      <c r="F166" s="199">
        <v>13.5</v>
      </c>
      <c r="G166" s="195">
        <v>205</v>
      </c>
      <c r="H166" s="199"/>
      <c r="I166" s="195">
        <v>155</v>
      </c>
      <c r="J166" s="199"/>
      <c r="K166" s="187"/>
      <c r="L166" s="188">
        <v>110</v>
      </c>
      <c r="M166" s="186">
        <v>14.5</v>
      </c>
      <c r="N166" s="188">
        <v>60</v>
      </c>
      <c r="O166" s="795"/>
      <c r="P166" s="824">
        <v>15</v>
      </c>
      <c r="Q166" s="944"/>
      <c r="R166" s="188">
        <f t="shared" si="6"/>
        <v>3637.5</v>
      </c>
      <c r="S166" s="188">
        <f t="shared" si="7"/>
        <v>181.875</v>
      </c>
      <c r="T166" s="188">
        <f t="shared" si="8"/>
        <v>3819.375</v>
      </c>
      <c r="U166" s="199">
        <v>12639</v>
      </c>
      <c r="V166" s="190"/>
      <c r="W166" s="194"/>
    </row>
    <row r="167" spans="1:23" s="192" customFormat="1">
      <c r="A167" s="215">
        <v>42235</v>
      </c>
      <c r="B167" s="499">
        <v>26736</v>
      </c>
      <c r="C167" s="199"/>
      <c r="D167" s="199"/>
      <c r="E167" s="195">
        <v>215</v>
      </c>
      <c r="F167" s="199">
        <v>13.5</v>
      </c>
      <c r="G167" s="195">
        <v>205</v>
      </c>
      <c r="H167" s="199"/>
      <c r="I167" s="195">
        <v>155</v>
      </c>
      <c r="J167" s="199"/>
      <c r="K167" s="187"/>
      <c r="L167" s="188">
        <v>110</v>
      </c>
      <c r="M167" s="186">
        <v>14.5</v>
      </c>
      <c r="N167" s="188">
        <v>60</v>
      </c>
      <c r="O167" s="795"/>
      <c r="P167" s="824">
        <v>15</v>
      </c>
      <c r="Q167" s="944"/>
      <c r="R167" s="188">
        <f t="shared" si="6"/>
        <v>3637.5</v>
      </c>
      <c r="S167" s="188">
        <f t="shared" si="7"/>
        <v>181.875</v>
      </c>
      <c r="T167" s="188">
        <f t="shared" si="8"/>
        <v>3819.375</v>
      </c>
      <c r="U167" s="199">
        <v>12639</v>
      </c>
      <c r="V167" s="190"/>
      <c r="W167" s="194"/>
    </row>
    <row r="168" spans="1:23" s="192" customFormat="1">
      <c r="A168" s="215">
        <v>42235</v>
      </c>
      <c r="B168" s="499">
        <v>26737</v>
      </c>
      <c r="C168" s="199"/>
      <c r="D168" s="199"/>
      <c r="E168" s="195">
        <v>215</v>
      </c>
      <c r="F168" s="199">
        <v>13.5</v>
      </c>
      <c r="G168" s="195">
        <v>205</v>
      </c>
      <c r="H168" s="199"/>
      <c r="I168" s="195">
        <v>155</v>
      </c>
      <c r="J168" s="199"/>
      <c r="K168" s="187"/>
      <c r="L168" s="188">
        <v>110</v>
      </c>
      <c r="M168" s="186">
        <v>14.5</v>
      </c>
      <c r="N168" s="188">
        <v>60</v>
      </c>
      <c r="O168" s="795"/>
      <c r="P168" s="824">
        <v>15</v>
      </c>
      <c r="Q168" s="944"/>
      <c r="R168" s="188">
        <f t="shared" si="6"/>
        <v>3637.5</v>
      </c>
      <c r="S168" s="188">
        <f t="shared" si="7"/>
        <v>181.875</v>
      </c>
      <c r="T168" s="188">
        <f t="shared" si="8"/>
        <v>3819.375</v>
      </c>
      <c r="U168" s="199">
        <v>12639</v>
      </c>
      <c r="V168" s="190"/>
      <c r="W168" s="194"/>
    </row>
    <row r="169" spans="1:23" s="192" customFormat="1">
      <c r="A169" s="215">
        <v>42235</v>
      </c>
      <c r="B169" s="499">
        <v>26738</v>
      </c>
      <c r="C169" s="199"/>
      <c r="D169" s="199"/>
      <c r="E169" s="195">
        <v>215</v>
      </c>
      <c r="F169" s="199">
        <v>12</v>
      </c>
      <c r="G169" s="195">
        <v>205</v>
      </c>
      <c r="H169" s="199"/>
      <c r="I169" s="195">
        <v>155</v>
      </c>
      <c r="J169" s="199"/>
      <c r="K169" s="187"/>
      <c r="L169" s="188">
        <v>110</v>
      </c>
      <c r="M169" s="186">
        <v>13</v>
      </c>
      <c r="N169" s="188">
        <v>60</v>
      </c>
      <c r="O169" s="795"/>
      <c r="P169" s="824">
        <v>15</v>
      </c>
      <c r="Q169" s="944"/>
      <c r="R169" s="188">
        <f t="shared" si="6"/>
        <v>3240</v>
      </c>
      <c r="S169" s="188">
        <f t="shared" si="7"/>
        <v>162</v>
      </c>
      <c r="T169" s="188">
        <f t="shared" si="8"/>
        <v>3402</v>
      </c>
      <c r="U169" s="199">
        <v>12639</v>
      </c>
      <c r="V169" s="190"/>
      <c r="W169" s="194"/>
    </row>
    <row r="170" spans="1:23" s="192" customFormat="1">
      <c r="A170" s="215">
        <v>42236</v>
      </c>
      <c r="B170" s="499">
        <v>26739</v>
      </c>
      <c r="C170" s="199"/>
      <c r="D170" s="199"/>
      <c r="E170" s="195">
        <v>215</v>
      </c>
      <c r="F170" s="199"/>
      <c r="G170" s="195">
        <v>205</v>
      </c>
      <c r="H170" s="199">
        <v>12</v>
      </c>
      <c r="I170" s="195">
        <v>155</v>
      </c>
      <c r="J170" s="199"/>
      <c r="K170" s="187">
        <v>1</v>
      </c>
      <c r="L170" s="188">
        <v>110</v>
      </c>
      <c r="M170" s="186"/>
      <c r="N170" s="188">
        <v>60</v>
      </c>
      <c r="O170" s="795"/>
      <c r="P170" s="824">
        <v>15</v>
      </c>
      <c r="Q170" s="944"/>
      <c r="R170" s="188">
        <f t="shared" si="6"/>
        <v>1970</v>
      </c>
      <c r="S170" s="188">
        <f t="shared" si="7"/>
        <v>98.5</v>
      </c>
      <c r="T170" s="188">
        <f t="shared" si="8"/>
        <v>2068.5</v>
      </c>
      <c r="U170" s="199">
        <v>12639</v>
      </c>
      <c r="V170" s="190"/>
      <c r="W170" s="194"/>
    </row>
    <row r="171" spans="1:23" s="192" customFormat="1">
      <c r="A171" s="215">
        <v>42236</v>
      </c>
      <c r="B171" s="499">
        <v>26740</v>
      </c>
      <c r="C171" s="199"/>
      <c r="D171" s="199"/>
      <c r="E171" s="195">
        <v>215</v>
      </c>
      <c r="F171" s="199"/>
      <c r="G171" s="195">
        <v>205</v>
      </c>
      <c r="H171" s="199">
        <v>12</v>
      </c>
      <c r="I171" s="195">
        <v>155</v>
      </c>
      <c r="J171" s="199"/>
      <c r="K171" s="187"/>
      <c r="L171" s="188">
        <v>110</v>
      </c>
      <c r="M171" s="186"/>
      <c r="N171" s="188">
        <v>60</v>
      </c>
      <c r="O171" s="795"/>
      <c r="P171" s="824">
        <v>15</v>
      </c>
      <c r="Q171" s="944"/>
      <c r="R171" s="188">
        <f t="shared" si="6"/>
        <v>1860</v>
      </c>
      <c r="S171" s="188">
        <f t="shared" si="7"/>
        <v>93</v>
      </c>
      <c r="T171" s="188">
        <f t="shared" si="8"/>
        <v>1953</v>
      </c>
      <c r="U171" s="199">
        <v>12639</v>
      </c>
      <c r="V171" s="190"/>
      <c r="W171" s="194"/>
    </row>
    <row r="172" spans="1:23" s="192" customFormat="1">
      <c r="A172" s="215">
        <v>42236</v>
      </c>
      <c r="B172" s="499">
        <v>26741</v>
      </c>
      <c r="C172" s="199"/>
      <c r="D172" s="199"/>
      <c r="E172" s="195">
        <v>215</v>
      </c>
      <c r="F172" s="199">
        <v>11</v>
      </c>
      <c r="G172" s="195">
        <v>205</v>
      </c>
      <c r="H172" s="199"/>
      <c r="I172" s="195">
        <v>155</v>
      </c>
      <c r="J172" s="199"/>
      <c r="K172" s="187"/>
      <c r="L172" s="188">
        <v>110</v>
      </c>
      <c r="M172" s="186">
        <v>12</v>
      </c>
      <c r="N172" s="188">
        <v>60</v>
      </c>
      <c r="O172" s="795"/>
      <c r="P172" s="824">
        <v>15</v>
      </c>
      <c r="Q172" s="944"/>
      <c r="R172" s="188">
        <f t="shared" si="6"/>
        <v>2975</v>
      </c>
      <c r="S172" s="188">
        <f t="shared" si="7"/>
        <v>148.75</v>
      </c>
      <c r="T172" s="188">
        <f t="shared" si="8"/>
        <v>3123.75</v>
      </c>
      <c r="U172" s="199">
        <v>12639</v>
      </c>
      <c r="V172" s="190"/>
      <c r="W172" s="194"/>
    </row>
    <row r="173" spans="1:23" s="192" customFormat="1">
      <c r="A173" s="215">
        <v>42236</v>
      </c>
      <c r="B173" s="499">
        <v>26742</v>
      </c>
      <c r="C173" s="199"/>
      <c r="D173" s="199"/>
      <c r="E173" s="195">
        <v>215</v>
      </c>
      <c r="F173" s="199">
        <v>11</v>
      </c>
      <c r="G173" s="195">
        <v>205</v>
      </c>
      <c r="H173" s="199"/>
      <c r="I173" s="195">
        <v>155</v>
      </c>
      <c r="J173" s="199"/>
      <c r="K173" s="187"/>
      <c r="L173" s="188">
        <v>110</v>
      </c>
      <c r="M173" s="186">
        <v>12</v>
      </c>
      <c r="N173" s="188">
        <v>60</v>
      </c>
      <c r="O173" s="795"/>
      <c r="P173" s="824">
        <v>15</v>
      </c>
      <c r="Q173" s="944"/>
      <c r="R173" s="188">
        <f t="shared" si="6"/>
        <v>2975</v>
      </c>
      <c r="S173" s="188">
        <f t="shared" si="7"/>
        <v>148.75</v>
      </c>
      <c r="T173" s="188">
        <f t="shared" si="8"/>
        <v>3123.75</v>
      </c>
      <c r="U173" s="199">
        <v>12639</v>
      </c>
      <c r="V173" s="190"/>
      <c r="W173" s="194"/>
    </row>
    <row r="174" spans="1:23" s="192" customFormat="1">
      <c r="A174" s="215">
        <v>42236</v>
      </c>
      <c r="B174" s="499">
        <v>26743</v>
      </c>
      <c r="C174" s="199"/>
      <c r="D174" s="199"/>
      <c r="E174" s="195">
        <v>215</v>
      </c>
      <c r="F174" s="199">
        <v>11</v>
      </c>
      <c r="G174" s="195">
        <v>205</v>
      </c>
      <c r="H174" s="199"/>
      <c r="I174" s="195">
        <v>155</v>
      </c>
      <c r="J174" s="199"/>
      <c r="K174" s="187"/>
      <c r="L174" s="188">
        <v>110</v>
      </c>
      <c r="M174" s="186">
        <v>12</v>
      </c>
      <c r="N174" s="188">
        <v>60</v>
      </c>
      <c r="O174" s="795"/>
      <c r="P174" s="824">
        <v>15</v>
      </c>
      <c r="Q174" s="944"/>
      <c r="R174" s="188">
        <f t="shared" si="6"/>
        <v>2975</v>
      </c>
      <c r="S174" s="188">
        <f t="shared" si="7"/>
        <v>148.75</v>
      </c>
      <c r="T174" s="188">
        <f t="shared" si="8"/>
        <v>3123.75</v>
      </c>
      <c r="U174" s="199">
        <v>12639</v>
      </c>
      <c r="V174" s="190"/>
      <c r="W174" s="194"/>
    </row>
    <row r="175" spans="1:23" s="192" customFormat="1">
      <c r="A175" s="197">
        <v>42237</v>
      </c>
      <c r="B175" s="499">
        <v>26744</v>
      </c>
      <c r="C175" s="199">
        <v>1</v>
      </c>
      <c r="D175" s="199"/>
      <c r="E175" s="195">
        <v>215</v>
      </c>
      <c r="F175" s="199"/>
      <c r="G175" s="195">
        <v>205</v>
      </c>
      <c r="H175" s="199">
        <v>12</v>
      </c>
      <c r="I175" s="195">
        <v>155</v>
      </c>
      <c r="J175" s="199"/>
      <c r="K175" s="187">
        <v>1</v>
      </c>
      <c r="L175" s="188">
        <v>110</v>
      </c>
      <c r="M175" s="186"/>
      <c r="N175" s="188">
        <v>60</v>
      </c>
      <c r="O175" s="795"/>
      <c r="P175" s="824">
        <v>15</v>
      </c>
      <c r="Q175" s="944"/>
      <c r="R175" s="188">
        <f t="shared" si="6"/>
        <v>1970</v>
      </c>
      <c r="S175" s="188">
        <f t="shared" si="7"/>
        <v>98.5</v>
      </c>
      <c r="T175" s="188">
        <f t="shared" si="8"/>
        <v>2068.5</v>
      </c>
      <c r="U175" s="199">
        <v>12639</v>
      </c>
      <c r="V175" s="190"/>
      <c r="W175" s="194"/>
    </row>
    <row r="176" spans="1:23" s="192" customFormat="1">
      <c r="A176" s="893">
        <v>42237</v>
      </c>
      <c r="B176" s="499">
        <v>26745</v>
      </c>
      <c r="C176" s="199">
        <v>1</v>
      </c>
      <c r="D176" s="199"/>
      <c r="E176" s="195">
        <v>215</v>
      </c>
      <c r="F176" s="199"/>
      <c r="G176" s="195">
        <v>205</v>
      </c>
      <c r="H176" s="199">
        <v>13</v>
      </c>
      <c r="I176" s="195">
        <v>155</v>
      </c>
      <c r="J176" s="199"/>
      <c r="K176" s="187"/>
      <c r="L176" s="188">
        <v>110</v>
      </c>
      <c r="M176" s="186"/>
      <c r="N176" s="188">
        <v>60</v>
      </c>
      <c r="O176" s="795"/>
      <c r="P176" s="824">
        <v>15</v>
      </c>
      <c r="Q176" s="944"/>
      <c r="R176" s="188">
        <f t="shared" si="6"/>
        <v>2015</v>
      </c>
      <c r="S176" s="188">
        <f t="shared" si="7"/>
        <v>100.75</v>
      </c>
      <c r="T176" s="188">
        <f t="shared" si="8"/>
        <v>2115.75</v>
      </c>
      <c r="U176" s="199">
        <v>12639</v>
      </c>
      <c r="V176" s="190"/>
      <c r="W176" s="194"/>
    </row>
    <row r="177" spans="1:46" s="192" customFormat="1">
      <c r="A177" s="893">
        <v>42237</v>
      </c>
      <c r="B177" s="499">
        <v>26746</v>
      </c>
      <c r="C177" s="199">
        <v>2</v>
      </c>
      <c r="D177" s="199"/>
      <c r="E177" s="195">
        <v>215</v>
      </c>
      <c r="F177" s="199">
        <v>12</v>
      </c>
      <c r="G177" s="195">
        <v>205</v>
      </c>
      <c r="H177" s="199"/>
      <c r="I177" s="195">
        <v>155</v>
      </c>
      <c r="J177" s="199"/>
      <c r="K177" s="187"/>
      <c r="L177" s="188">
        <v>110</v>
      </c>
      <c r="M177" s="186">
        <v>13</v>
      </c>
      <c r="N177" s="188">
        <v>60</v>
      </c>
      <c r="O177" s="795"/>
      <c r="P177" s="824">
        <v>15</v>
      </c>
      <c r="Q177" s="944"/>
      <c r="R177" s="188">
        <f t="shared" si="6"/>
        <v>3240</v>
      </c>
      <c r="S177" s="188">
        <f t="shared" si="7"/>
        <v>162</v>
      </c>
      <c r="T177" s="188">
        <f t="shared" si="8"/>
        <v>3402</v>
      </c>
      <c r="U177" s="199">
        <v>12639</v>
      </c>
      <c r="V177" s="190"/>
      <c r="W177" s="194"/>
    </row>
    <row r="178" spans="1:46" s="192" customFormat="1">
      <c r="A178" s="893">
        <v>42237</v>
      </c>
      <c r="B178" s="499">
        <v>26747</v>
      </c>
      <c r="C178" s="199">
        <v>2</v>
      </c>
      <c r="D178" s="199"/>
      <c r="E178" s="195">
        <v>215</v>
      </c>
      <c r="F178" s="199">
        <v>10.5</v>
      </c>
      <c r="G178" s="195">
        <v>205</v>
      </c>
      <c r="H178" s="199"/>
      <c r="I178" s="195">
        <v>155</v>
      </c>
      <c r="J178" s="199"/>
      <c r="K178" s="187"/>
      <c r="L178" s="188">
        <v>110</v>
      </c>
      <c r="M178" s="186">
        <v>11.5</v>
      </c>
      <c r="N178" s="188">
        <v>60</v>
      </c>
      <c r="O178" s="795"/>
      <c r="P178" s="824">
        <v>15</v>
      </c>
      <c r="Q178" s="944"/>
      <c r="R178" s="188">
        <f t="shared" si="6"/>
        <v>2842.5</v>
      </c>
      <c r="S178" s="188">
        <f t="shared" si="7"/>
        <v>142.125</v>
      </c>
      <c r="T178" s="188">
        <f t="shared" si="8"/>
        <v>2984.625</v>
      </c>
      <c r="U178" s="199">
        <v>12639</v>
      </c>
      <c r="V178" s="190"/>
      <c r="W178" s="194"/>
    </row>
    <row r="179" spans="1:46" s="192" customFormat="1">
      <c r="A179" s="893">
        <v>42237</v>
      </c>
      <c r="B179" s="499">
        <v>26748</v>
      </c>
      <c r="C179" s="199">
        <v>2</v>
      </c>
      <c r="D179" s="199"/>
      <c r="E179" s="195">
        <v>215</v>
      </c>
      <c r="F179" s="199">
        <v>12</v>
      </c>
      <c r="G179" s="195">
        <v>205</v>
      </c>
      <c r="H179" s="199"/>
      <c r="I179" s="195">
        <v>155</v>
      </c>
      <c r="J179" s="199"/>
      <c r="K179" s="187"/>
      <c r="L179" s="188">
        <v>110</v>
      </c>
      <c r="M179" s="186">
        <v>13</v>
      </c>
      <c r="N179" s="188">
        <v>60</v>
      </c>
      <c r="O179" s="795"/>
      <c r="P179" s="824">
        <v>15</v>
      </c>
      <c r="Q179" s="944"/>
      <c r="R179" s="188">
        <f t="shared" si="6"/>
        <v>3240</v>
      </c>
      <c r="S179" s="188">
        <f t="shared" si="7"/>
        <v>162</v>
      </c>
      <c r="T179" s="188">
        <f t="shared" si="8"/>
        <v>3402</v>
      </c>
      <c r="U179" s="199">
        <v>12639</v>
      </c>
      <c r="V179" s="190"/>
      <c r="W179" s="194"/>
    </row>
    <row r="180" spans="1:46" s="192" customFormat="1">
      <c r="A180" s="893">
        <v>42238</v>
      </c>
      <c r="B180" s="499">
        <v>26749</v>
      </c>
      <c r="C180" s="199">
        <v>1</v>
      </c>
      <c r="D180" s="199"/>
      <c r="E180" s="195">
        <v>215</v>
      </c>
      <c r="F180" s="199"/>
      <c r="G180" s="195">
        <v>205</v>
      </c>
      <c r="H180" s="199">
        <v>10</v>
      </c>
      <c r="I180" s="195">
        <v>155</v>
      </c>
      <c r="J180" s="199"/>
      <c r="K180" s="187">
        <v>1</v>
      </c>
      <c r="L180" s="188">
        <v>110</v>
      </c>
      <c r="M180" s="186"/>
      <c r="N180" s="188">
        <v>60</v>
      </c>
      <c r="O180" s="795"/>
      <c r="P180" s="824">
        <v>15</v>
      </c>
      <c r="Q180" s="944"/>
      <c r="R180" s="188">
        <f t="shared" si="6"/>
        <v>1660</v>
      </c>
      <c r="S180" s="188">
        <f t="shared" si="7"/>
        <v>83</v>
      </c>
      <c r="T180" s="188">
        <f t="shared" si="8"/>
        <v>1743</v>
      </c>
      <c r="U180" s="199">
        <v>12639</v>
      </c>
      <c r="V180" s="190"/>
      <c r="W180" s="194"/>
    </row>
    <row r="181" spans="1:46" s="192" customFormat="1">
      <c r="A181" s="893">
        <v>42238</v>
      </c>
      <c r="B181" s="499">
        <v>26750</v>
      </c>
      <c r="C181" s="199">
        <v>1</v>
      </c>
      <c r="D181" s="199"/>
      <c r="E181" s="195">
        <v>215</v>
      </c>
      <c r="F181" s="199"/>
      <c r="G181" s="195">
        <v>205</v>
      </c>
      <c r="H181" s="199">
        <v>10</v>
      </c>
      <c r="I181" s="195">
        <v>155</v>
      </c>
      <c r="J181" s="199"/>
      <c r="K181" s="187"/>
      <c r="L181" s="188">
        <v>110</v>
      </c>
      <c r="M181" s="186"/>
      <c r="N181" s="188">
        <v>60</v>
      </c>
      <c r="O181" s="795"/>
      <c r="P181" s="824">
        <v>15</v>
      </c>
      <c r="Q181" s="944"/>
      <c r="R181" s="188">
        <f t="shared" si="6"/>
        <v>1550</v>
      </c>
      <c r="S181" s="188">
        <f t="shared" si="7"/>
        <v>77.5</v>
      </c>
      <c r="T181" s="188">
        <f t="shared" si="8"/>
        <v>1627.5</v>
      </c>
      <c r="U181" s="199">
        <v>12639</v>
      </c>
      <c r="V181" s="190"/>
      <c r="W181" s="194"/>
    </row>
    <row r="182" spans="1:46" s="192" customFormat="1">
      <c r="A182" s="893">
        <v>42238</v>
      </c>
      <c r="B182" s="499">
        <v>29951</v>
      </c>
      <c r="C182" s="199">
        <v>2</v>
      </c>
      <c r="D182" s="199"/>
      <c r="E182" s="195">
        <v>215</v>
      </c>
      <c r="F182" s="199">
        <v>5</v>
      </c>
      <c r="G182" s="195">
        <v>205</v>
      </c>
      <c r="H182" s="199"/>
      <c r="I182" s="195">
        <v>155</v>
      </c>
      <c r="J182" s="199"/>
      <c r="K182" s="187"/>
      <c r="L182" s="188">
        <v>110</v>
      </c>
      <c r="M182" s="186">
        <v>6</v>
      </c>
      <c r="N182" s="188">
        <v>60</v>
      </c>
      <c r="O182" s="795"/>
      <c r="P182" s="824">
        <v>15</v>
      </c>
      <c r="Q182" s="944"/>
      <c r="R182" s="188">
        <f t="shared" si="6"/>
        <v>1385</v>
      </c>
      <c r="S182" s="188">
        <f t="shared" si="7"/>
        <v>69.25</v>
      </c>
      <c r="T182" s="188">
        <f t="shared" si="8"/>
        <v>1454.25</v>
      </c>
      <c r="U182" s="199">
        <v>12639</v>
      </c>
      <c r="V182" s="190"/>
      <c r="W182" s="194"/>
    </row>
    <row r="183" spans="1:46" s="192" customFormat="1">
      <c r="A183" s="893">
        <v>42238</v>
      </c>
      <c r="B183" s="499">
        <v>29952</v>
      </c>
      <c r="C183" s="199">
        <v>2</v>
      </c>
      <c r="D183" s="199"/>
      <c r="E183" s="195">
        <v>215</v>
      </c>
      <c r="F183" s="199">
        <v>11</v>
      </c>
      <c r="G183" s="195">
        <v>205</v>
      </c>
      <c r="H183" s="199"/>
      <c r="I183" s="195">
        <v>155</v>
      </c>
      <c r="J183" s="199"/>
      <c r="K183" s="187"/>
      <c r="L183" s="188">
        <v>110</v>
      </c>
      <c r="M183" s="186">
        <v>12</v>
      </c>
      <c r="N183" s="188">
        <v>60</v>
      </c>
      <c r="O183" s="795"/>
      <c r="P183" s="824">
        <v>15</v>
      </c>
      <c r="Q183" s="944"/>
      <c r="R183" s="188">
        <f t="shared" si="6"/>
        <v>2975</v>
      </c>
      <c r="S183" s="188">
        <f t="shared" si="7"/>
        <v>148.75</v>
      </c>
      <c r="T183" s="188">
        <f t="shared" si="8"/>
        <v>3123.75</v>
      </c>
      <c r="U183" s="199">
        <v>12639</v>
      </c>
      <c r="V183" s="190"/>
      <c r="W183" s="194"/>
    </row>
    <row r="184" spans="1:46" s="192" customFormat="1">
      <c r="A184" s="893">
        <v>42238</v>
      </c>
      <c r="B184" s="499">
        <v>29953</v>
      </c>
      <c r="C184" s="199">
        <v>2</v>
      </c>
      <c r="D184" s="199"/>
      <c r="E184" s="195">
        <v>215</v>
      </c>
      <c r="F184" s="199">
        <v>9</v>
      </c>
      <c r="G184" s="195">
        <v>205</v>
      </c>
      <c r="H184" s="199"/>
      <c r="I184" s="195">
        <v>155</v>
      </c>
      <c r="J184" s="199"/>
      <c r="K184" s="187"/>
      <c r="L184" s="188">
        <v>110</v>
      </c>
      <c r="M184" s="186">
        <v>10</v>
      </c>
      <c r="N184" s="188">
        <v>60</v>
      </c>
      <c r="O184" s="795"/>
      <c r="P184" s="824">
        <v>15</v>
      </c>
      <c r="Q184" s="944"/>
      <c r="R184" s="188">
        <f t="shared" si="6"/>
        <v>2445</v>
      </c>
      <c r="S184" s="188">
        <f t="shared" si="7"/>
        <v>122.25</v>
      </c>
      <c r="T184" s="188">
        <f t="shared" si="8"/>
        <v>2567.25</v>
      </c>
      <c r="U184" s="199">
        <v>12639</v>
      </c>
      <c r="V184" s="190"/>
      <c r="W184" s="194"/>
    </row>
    <row r="185" spans="1:46" s="192" customFormat="1">
      <c r="A185" s="893">
        <v>42240</v>
      </c>
      <c r="B185" s="499">
        <v>29954</v>
      </c>
      <c r="C185" s="199">
        <v>1</v>
      </c>
      <c r="D185" s="199"/>
      <c r="E185" s="195">
        <v>215</v>
      </c>
      <c r="F185" s="199"/>
      <c r="G185" s="195">
        <v>205</v>
      </c>
      <c r="H185" s="199">
        <v>12</v>
      </c>
      <c r="I185" s="195">
        <v>155</v>
      </c>
      <c r="J185" s="199"/>
      <c r="K185" s="187">
        <v>1</v>
      </c>
      <c r="L185" s="188">
        <v>110</v>
      </c>
      <c r="M185" s="186"/>
      <c r="N185" s="188">
        <v>60</v>
      </c>
      <c r="O185" s="795"/>
      <c r="P185" s="824">
        <v>15</v>
      </c>
      <c r="Q185" s="944"/>
      <c r="R185" s="188">
        <f t="shared" si="6"/>
        <v>1970</v>
      </c>
      <c r="S185" s="188">
        <f t="shared" si="7"/>
        <v>98.5</v>
      </c>
      <c r="T185" s="188">
        <f t="shared" si="8"/>
        <v>2068.5</v>
      </c>
      <c r="U185" s="199">
        <v>12639</v>
      </c>
      <c r="V185" s="190"/>
      <c r="W185" s="194"/>
    </row>
    <row r="186" spans="1:46" s="192" customFormat="1">
      <c r="A186" s="893">
        <v>42240</v>
      </c>
      <c r="B186" s="499">
        <v>29955</v>
      </c>
      <c r="C186" s="199">
        <v>1</v>
      </c>
      <c r="D186" s="199"/>
      <c r="E186" s="195">
        <v>215</v>
      </c>
      <c r="F186" s="199"/>
      <c r="G186" s="195">
        <v>205</v>
      </c>
      <c r="H186" s="199">
        <v>12</v>
      </c>
      <c r="I186" s="195">
        <v>155</v>
      </c>
      <c r="J186" s="199"/>
      <c r="K186" s="187"/>
      <c r="L186" s="188">
        <v>110</v>
      </c>
      <c r="M186" s="186"/>
      <c r="N186" s="188">
        <v>60</v>
      </c>
      <c r="O186" s="795"/>
      <c r="P186" s="824">
        <v>15</v>
      </c>
      <c r="Q186" s="944"/>
      <c r="R186" s="188">
        <f t="shared" si="6"/>
        <v>1860</v>
      </c>
      <c r="S186" s="188">
        <f t="shared" si="7"/>
        <v>93</v>
      </c>
      <c r="T186" s="188">
        <f t="shared" si="8"/>
        <v>1953</v>
      </c>
      <c r="U186" s="199">
        <v>12639</v>
      </c>
      <c r="V186" s="190"/>
      <c r="W186" s="194"/>
    </row>
    <row r="187" spans="1:46" s="192" customFormat="1">
      <c r="A187" s="893">
        <v>42240</v>
      </c>
      <c r="B187" s="499">
        <v>29956</v>
      </c>
      <c r="C187" s="199">
        <v>2</v>
      </c>
      <c r="D187" s="199">
        <v>11</v>
      </c>
      <c r="E187" s="195">
        <v>215</v>
      </c>
      <c r="F187" s="199"/>
      <c r="G187" s="195">
        <v>205</v>
      </c>
      <c r="H187" s="199"/>
      <c r="I187" s="195">
        <v>155</v>
      </c>
      <c r="J187" s="199"/>
      <c r="K187" s="187"/>
      <c r="L187" s="188">
        <v>110</v>
      </c>
      <c r="M187" s="186">
        <v>12</v>
      </c>
      <c r="N187" s="188">
        <v>60</v>
      </c>
      <c r="O187" s="795"/>
      <c r="P187" s="824">
        <v>15</v>
      </c>
      <c r="Q187" s="944"/>
      <c r="R187" s="188">
        <f t="shared" si="6"/>
        <v>3085</v>
      </c>
      <c r="S187" s="188">
        <f t="shared" si="7"/>
        <v>154.25</v>
      </c>
      <c r="T187" s="188">
        <f t="shared" si="8"/>
        <v>3239.25</v>
      </c>
      <c r="U187" s="199">
        <v>12639</v>
      </c>
      <c r="V187" s="190"/>
      <c r="W187" s="194"/>
    </row>
    <row r="188" spans="1:46" s="192" customFormat="1">
      <c r="A188" s="893">
        <v>42240</v>
      </c>
      <c r="B188" s="499">
        <v>29957</v>
      </c>
      <c r="C188" s="199">
        <v>2</v>
      </c>
      <c r="D188" s="199"/>
      <c r="E188" s="195">
        <v>215</v>
      </c>
      <c r="F188" s="199">
        <v>12.5</v>
      </c>
      <c r="G188" s="195">
        <v>205</v>
      </c>
      <c r="H188" s="199"/>
      <c r="I188" s="195">
        <v>155</v>
      </c>
      <c r="J188" s="199"/>
      <c r="K188" s="187"/>
      <c r="L188" s="188">
        <v>110</v>
      </c>
      <c r="M188" s="186">
        <v>13.5</v>
      </c>
      <c r="N188" s="188">
        <v>60</v>
      </c>
      <c r="O188" s="795"/>
      <c r="P188" s="824">
        <v>15</v>
      </c>
      <c r="Q188" s="944"/>
      <c r="R188" s="188">
        <f t="shared" si="6"/>
        <v>3372.5</v>
      </c>
      <c r="S188" s="188">
        <f t="shared" si="7"/>
        <v>168.625</v>
      </c>
      <c r="T188" s="188">
        <f t="shared" si="8"/>
        <v>3541.125</v>
      </c>
      <c r="U188" s="199">
        <v>12639</v>
      </c>
      <c r="V188" s="190"/>
      <c r="W188" s="194"/>
    </row>
    <row r="189" spans="1:46" s="384" customFormat="1">
      <c r="A189" s="893">
        <v>42240</v>
      </c>
      <c r="B189" s="499">
        <v>29958</v>
      </c>
      <c r="C189" s="199">
        <v>2</v>
      </c>
      <c r="D189" s="199">
        <v>2</v>
      </c>
      <c r="E189" s="195">
        <v>215</v>
      </c>
      <c r="F189" s="199">
        <v>5</v>
      </c>
      <c r="G189" s="195">
        <v>205</v>
      </c>
      <c r="H189" s="199"/>
      <c r="I189" s="195">
        <v>155</v>
      </c>
      <c r="J189" s="199"/>
      <c r="K189" s="187"/>
      <c r="L189" s="188">
        <v>110</v>
      </c>
      <c r="M189" s="186">
        <v>7</v>
      </c>
      <c r="N189" s="188">
        <v>60</v>
      </c>
      <c r="O189" s="795"/>
      <c r="P189" s="824">
        <v>15</v>
      </c>
      <c r="Q189" s="944"/>
      <c r="R189" s="188">
        <f t="shared" si="6"/>
        <v>1875</v>
      </c>
      <c r="S189" s="188">
        <f t="shared" si="7"/>
        <v>93.75</v>
      </c>
      <c r="T189" s="188">
        <f t="shared" si="8"/>
        <v>1968.75</v>
      </c>
      <c r="U189" s="199">
        <v>12639</v>
      </c>
      <c r="V189" s="190"/>
      <c r="W189" s="383"/>
      <c r="AA189" s="192"/>
      <c r="AB189" s="192"/>
      <c r="AC189" s="192"/>
      <c r="AD189" s="192"/>
      <c r="AE189" s="192"/>
      <c r="AF189" s="192"/>
      <c r="AG189" s="192"/>
      <c r="AH189" s="192"/>
      <c r="AI189" s="192"/>
      <c r="AJ189" s="192"/>
      <c r="AK189" s="192"/>
      <c r="AL189" s="192"/>
      <c r="AM189" s="192"/>
      <c r="AN189" s="192"/>
      <c r="AO189" s="192"/>
      <c r="AP189" s="192"/>
      <c r="AQ189" s="192"/>
      <c r="AR189" s="192"/>
      <c r="AS189" s="192"/>
      <c r="AT189" s="192"/>
    </row>
    <row r="190" spans="1:46" s="384" customFormat="1">
      <c r="A190" s="894">
        <v>42241</v>
      </c>
      <c r="B190" s="887">
        <v>29959</v>
      </c>
      <c r="C190" s="375"/>
      <c r="D190" s="375"/>
      <c r="E190" s="377">
        <v>215</v>
      </c>
      <c r="F190" s="375"/>
      <c r="G190" s="377">
        <v>205</v>
      </c>
      <c r="H190" s="375">
        <v>12</v>
      </c>
      <c r="I190" s="377">
        <v>155</v>
      </c>
      <c r="J190" s="375"/>
      <c r="K190" s="474">
        <v>1</v>
      </c>
      <c r="L190" s="376">
        <v>110</v>
      </c>
      <c r="M190" s="379"/>
      <c r="N190" s="376">
        <v>60</v>
      </c>
      <c r="O190" s="596"/>
      <c r="P190" s="595">
        <v>15</v>
      </c>
      <c r="Q190" s="943"/>
      <c r="R190" s="376">
        <f t="shared" si="6"/>
        <v>1970</v>
      </c>
      <c r="S190" s="376">
        <f t="shared" si="7"/>
        <v>98.5</v>
      </c>
      <c r="T190" s="376">
        <f t="shared" si="8"/>
        <v>2068.5</v>
      </c>
      <c r="U190" s="375">
        <v>12699</v>
      </c>
      <c r="V190" s="382"/>
      <c r="W190" s="383"/>
    </row>
    <row r="191" spans="1:46" s="384" customFormat="1">
      <c r="A191" s="894">
        <v>42241</v>
      </c>
      <c r="B191" s="887">
        <v>29960</v>
      </c>
      <c r="C191" s="375"/>
      <c r="D191" s="375"/>
      <c r="E191" s="377">
        <v>215</v>
      </c>
      <c r="F191" s="375"/>
      <c r="G191" s="377">
        <v>205</v>
      </c>
      <c r="H191" s="375">
        <v>12</v>
      </c>
      <c r="I191" s="377">
        <v>155</v>
      </c>
      <c r="J191" s="375"/>
      <c r="K191" s="474"/>
      <c r="L191" s="376">
        <v>110</v>
      </c>
      <c r="M191" s="379"/>
      <c r="N191" s="376">
        <v>60</v>
      </c>
      <c r="O191" s="596"/>
      <c r="P191" s="595">
        <v>15</v>
      </c>
      <c r="Q191" s="943"/>
      <c r="R191" s="376">
        <f t="shared" si="6"/>
        <v>1860</v>
      </c>
      <c r="S191" s="376">
        <f t="shared" si="7"/>
        <v>93</v>
      </c>
      <c r="T191" s="376">
        <f t="shared" si="8"/>
        <v>1953</v>
      </c>
      <c r="U191" s="375">
        <v>12699</v>
      </c>
      <c r="V191" s="382"/>
      <c r="W191" s="383"/>
    </row>
    <row r="192" spans="1:46" s="384" customFormat="1">
      <c r="A192" s="373">
        <v>42241</v>
      </c>
      <c r="B192" s="887">
        <v>29961</v>
      </c>
      <c r="C192" s="375"/>
      <c r="D192" s="375"/>
      <c r="E192" s="377">
        <v>215</v>
      </c>
      <c r="F192" s="375">
        <v>12</v>
      </c>
      <c r="G192" s="377">
        <v>205</v>
      </c>
      <c r="H192" s="375"/>
      <c r="I192" s="377">
        <v>155</v>
      </c>
      <c r="J192" s="375"/>
      <c r="K192" s="474"/>
      <c r="L192" s="376">
        <v>110</v>
      </c>
      <c r="M192" s="379">
        <v>13</v>
      </c>
      <c r="N192" s="376">
        <v>60</v>
      </c>
      <c r="O192" s="596"/>
      <c r="P192" s="595">
        <v>15</v>
      </c>
      <c r="Q192" s="943"/>
      <c r="R192" s="376">
        <f t="shared" si="6"/>
        <v>3240</v>
      </c>
      <c r="S192" s="376">
        <f t="shared" si="7"/>
        <v>162</v>
      </c>
      <c r="T192" s="376">
        <f t="shared" si="8"/>
        <v>3402</v>
      </c>
      <c r="U192" s="375">
        <v>12699</v>
      </c>
      <c r="V192" s="382"/>
      <c r="W192" s="383"/>
    </row>
    <row r="193" spans="1:23" s="384" customFormat="1">
      <c r="A193" s="373">
        <v>42241</v>
      </c>
      <c r="B193" s="887">
        <v>29962</v>
      </c>
      <c r="C193" s="375"/>
      <c r="D193" s="375">
        <v>11</v>
      </c>
      <c r="E193" s="377">
        <v>215</v>
      </c>
      <c r="F193" s="375"/>
      <c r="G193" s="377">
        <v>205</v>
      </c>
      <c r="H193" s="375"/>
      <c r="I193" s="377">
        <v>155</v>
      </c>
      <c r="J193" s="375"/>
      <c r="K193" s="474"/>
      <c r="L193" s="376">
        <v>110</v>
      </c>
      <c r="M193" s="379">
        <v>12</v>
      </c>
      <c r="N193" s="376">
        <v>60</v>
      </c>
      <c r="O193" s="596"/>
      <c r="P193" s="595">
        <v>15</v>
      </c>
      <c r="Q193" s="943"/>
      <c r="R193" s="376">
        <f t="shared" si="6"/>
        <v>3085</v>
      </c>
      <c r="S193" s="376">
        <f t="shared" si="7"/>
        <v>154.25</v>
      </c>
      <c r="T193" s="376">
        <f t="shared" si="8"/>
        <v>3239.25</v>
      </c>
      <c r="U193" s="375">
        <v>12699</v>
      </c>
      <c r="V193" s="382"/>
      <c r="W193" s="383"/>
    </row>
    <row r="194" spans="1:23" s="384" customFormat="1">
      <c r="A194" s="373">
        <v>42241</v>
      </c>
      <c r="B194" s="887">
        <v>29963</v>
      </c>
      <c r="C194" s="375"/>
      <c r="D194" s="375">
        <v>11</v>
      </c>
      <c r="E194" s="377">
        <v>215</v>
      </c>
      <c r="F194" s="375"/>
      <c r="G194" s="377">
        <v>205</v>
      </c>
      <c r="H194" s="375"/>
      <c r="I194" s="377">
        <v>155</v>
      </c>
      <c r="J194" s="375"/>
      <c r="K194" s="474"/>
      <c r="L194" s="376">
        <v>110</v>
      </c>
      <c r="M194" s="379">
        <v>12</v>
      </c>
      <c r="N194" s="376">
        <v>60</v>
      </c>
      <c r="O194" s="596"/>
      <c r="P194" s="595">
        <v>15</v>
      </c>
      <c r="Q194" s="943"/>
      <c r="R194" s="376">
        <f t="shared" si="6"/>
        <v>3085</v>
      </c>
      <c r="S194" s="376">
        <f t="shared" si="7"/>
        <v>154.25</v>
      </c>
      <c r="T194" s="376">
        <f t="shared" si="8"/>
        <v>3239.25</v>
      </c>
      <c r="U194" s="375">
        <v>12699</v>
      </c>
      <c r="V194" s="382"/>
      <c r="W194" s="383"/>
    </row>
    <row r="195" spans="1:23" s="384" customFormat="1">
      <c r="A195" s="373">
        <v>42241</v>
      </c>
      <c r="B195" s="887">
        <v>29964</v>
      </c>
      <c r="C195" s="375"/>
      <c r="D195" s="375"/>
      <c r="E195" s="377">
        <v>215</v>
      </c>
      <c r="F195" s="375">
        <v>11</v>
      </c>
      <c r="G195" s="377">
        <v>205</v>
      </c>
      <c r="H195" s="375"/>
      <c r="I195" s="377">
        <v>155</v>
      </c>
      <c r="J195" s="375"/>
      <c r="K195" s="474"/>
      <c r="L195" s="376">
        <v>110</v>
      </c>
      <c r="M195" s="379">
        <v>12</v>
      </c>
      <c r="N195" s="376">
        <v>60</v>
      </c>
      <c r="O195" s="596"/>
      <c r="P195" s="595">
        <v>15</v>
      </c>
      <c r="Q195" s="943"/>
      <c r="R195" s="376">
        <f t="shared" si="6"/>
        <v>2975</v>
      </c>
      <c r="S195" s="376">
        <f t="shared" si="7"/>
        <v>148.75</v>
      </c>
      <c r="T195" s="376">
        <f t="shared" si="8"/>
        <v>3123.75</v>
      </c>
      <c r="U195" s="375">
        <v>12699</v>
      </c>
      <c r="V195" s="382"/>
      <c r="W195" s="383"/>
    </row>
    <row r="196" spans="1:23" s="384" customFormat="1">
      <c r="A196" s="895">
        <v>42241</v>
      </c>
      <c r="B196" s="887">
        <v>29973</v>
      </c>
      <c r="C196" s="375"/>
      <c r="D196" s="375"/>
      <c r="E196" s="377">
        <v>215</v>
      </c>
      <c r="F196" s="375">
        <v>4.5</v>
      </c>
      <c r="G196" s="377">
        <v>205</v>
      </c>
      <c r="H196" s="375"/>
      <c r="I196" s="377">
        <v>155</v>
      </c>
      <c r="J196" s="375"/>
      <c r="K196" s="474"/>
      <c r="L196" s="376">
        <v>110</v>
      </c>
      <c r="M196" s="379">
        <v>4.5</v>
      </c>
      <c r="N196" s="376">
        <v>60</v>
      </c>
      <c r="O196" s="596"/>
      <c r="P196" s="595">
        <v>15</v>
      </c>
      <c r="Q196" s="943"/>
      <c r="R196" s="376">
        <f t="shared" si="6"/>
        <v>1192.5</v>
      </c>
      <c r="S196" s="376">
        <f t="shared" si="7"/>
        <v>59.625</v>
      </c>
      <c r="T196" s="376">
        <f t="shared" si="8"/>
        <v>1252.125</v>
      </c>
      <c r="U196" s="375">
        <v>12699</v>
      </c>
      <c r="V196" s="382"/>
      <c r="W196" s="383"/>
    </row>
    <row r="197" spans="1:23" s="384" customFormat="1">
      <c r="A197" s="895">
        <v>42242</v>
      </c>
      <c r="B197" s="887">
        <v>29965</v>
      </c>
      <c r="C197" s="375"/>
      <c r="D197" s="375"/>
      <c r="E197" s="377">
        <v>215</v>
      </c>
      <c r="F197" s="375"/>
      <c r="G197" s="377">
        <v>205</v>
      </c>
      <c r="H197" s="375">
        <v>12</v>
      </c>
      <c r="I197" s="377">
        <v>155</v>
      </c>
      <c r="J197" s="375"/>
      <c r="K197" s="474">
        <v>1</v>
      </c>
      <c r="L197" s="376">
        <v>110</v>
      </c>
      <c r="M197" s="379"/>
      <c r="N197" s="376">
        <v>60</v>
      </c>
      <c r="O197" s="596"/>
      <c r="P197" s="595">
        <v>15</v>
      </c>
      <c r="Q197" s="943"/>
      <c r="R197" s="376">
        <f t="shared" si="6"/>
        <v>1970</v>
      </c>
      <c r="S197" s="376">
        <f t="shared" si="7"/>
        <v>98.5</v>
      </c>
      <c r="T197" s="376">
        <f t="shared" si="8"/>
        <v>2068.5</v>
      </c>
      <c r="U197" s="375">
        <v>12699</v>
      </c>
      <c r="V197" s="382"/>
      <c r="W197" s="383"/>
    </row>
    <row r="198" spans="1:23" s="384" customFormat="1">
      <c r="A198" s="895">
        <v>42242</v>
      </c>
      <c r="B198" s="887">
        <v>29966</v>
      </c>
      <c r="C198" s="375"/>
      <c r="D198" s="375"/>
      <c r="E198" s="377">
        <v>215</v>
      </c>
      <c r="F198" s="375"/>
      <c r="G198" s="377">
        <v>205</v>
      </c>
      <c r="H198" s="375">
        <v>12</v>
      </c>
      <c r="I198" s="377">
        <v>155</v>
      </c>
      <c r="J198" s="375"/>
      <c r="K198" s="474"/>
      <c r="L198" s="376">
        <v>110</v>
      </c>
      <c r="M198" s="379"/>
      <c r="N198" s="376">
        <v>60</v>
      </c>
      <c r="O198" s="596"/>
      <c r="P198" s="595">
        <v>15</v>
      </c>
      <c r="Q198" s="943"/>
      <c r="R198" s="376">
        <f t="shared" ref="R198:R261" si="9">(D198*E198)+(K198*L198)+(M198*N198)+(O198*P198)+(F198*G198)+(H198*I198)</f>
        <v>1860</v>
      </c>
      <c r="S198" s="376">
        <f t="shared" ref="S198:S261" si="10">(R198*5%)</f>
        <v>93</v>
      </c>
      <c r="T198" s="376">
        <f t="shared" ref="T198:T261" si="11">SUM(R198+S198)</f>
        <v>1953</v>
      </c>
      <c r="U198" s="375">
        <v>12699</v>
      </c>
      <c r="V198" s="382"/>
      <c r="W198" s="383"/>
    </row>
    <row r="199" spans="1:23" s="384" customFormat="1">
      <c r="A199" s="895">
        <v>42242</v>
      </c>
      <c r="B199" s="887">
        <v>29967</v>
      </c>
      <c r="C199" s="375"/>
      <c r="D199" s="375">
        <v>11</v>
      </c>
      <c r="E199" s="377">
        <v>215</v>
      </c>
      <c r="F199" s="375"/>
      <c r="G199" s="377">
        <v>205</v>
      </c>
      <c r="H199" s="375"/>
      <c r="I199" s="377">
        <v>155</v>
      </c>
      <c r="J199" s="375"/>
      <c r="K199" s="474"/>
      <c r="L199" s="376">
        <v>110</v>
      </c>
      <c r="M199" s="379">
        <v>12</v>
      </c>
      <c r="N199" s="376">
        <v>60</v>
      </c>
      <c r="O199" s="596"/>
      <c r="P199" s="595">
        <v>15</v>
      </c>
      <c r="Q199" s="943"/>
      <c r="R199" s="376">
        <f t="shared" si="9"/>
        <v>3085</v>
      </c>
      <c r="S199" s="376">
        <f t="shared" si="10"/>
        <v>154.25</v>
      </c>
      <c r="T199" s="376">
        <f t="shared" si="11"/>
        <v>3239.25</v>
      </c>
      <c r="U199" s="375">
        <v>12699</v>
      </c>
      <c r="V199" s="382"/>
      <c r="W199" s="383"/>
    </row>
    <row r="200" spans="1:23" s="384" customFormat="1">
      <c r="A200" s="895">
        <v>42242</v>
      </c>
      <c r="B200" s="887">
        <v>29968</v>
      </c>
      <c r="C200" s="375"/>
      <c r="D200" s="375"/>
      <c r="E200" s="377">
        <v>215</v>
      </c>
      <c r="F200" s="375">
        <v>12.5</v>
      </c>
      <c r="G200" s="377">
        <v>205</v>
      </c>
      <c r="H200" s="375"/>
      <c r="I200" s="377">
        <v>155</v>
      </c>
      <c r="J200" s="375"/>
      <c r="K200" s="474"/>
      <c r="L200" s="376">
        <v>110</v>
      </c>
      <c r="M200" s="379">
        <v>13.5</v>
      </c>
      <c r="N200" s="376">
        <v>60</v>
      </c>
      <c r="O200" s="596"/>
      <c r="P200" s="595">
        <v>15</v>
      </c>
      <c r="Q200" s="943"/>
      <c r="R200" s="376">
        <f t="shared" si="9"/>
        <v>3372.5</v>
      </c>
      <c r="S200" s="376">
        <f t="shared" si="10"/>
        <v>168.625</v>
      </c>
      <c r="T200" s="376">
        <f t="shared" si="11"/>
        <v>3541.125</v>
      </c>
      <c r="U200" s="375">
        <v>12699</v>
      </c>
      <c r="V200" s="382"/>
      <c r="W200" s="383"/>
    </row>
    <row r="201" spans="1:23" s="384" customFormat="1">
      <c r="A201" s="895">
        <v>42243</v>
      </c>
      <c r="B201" s="887">
        <v>29969</v>
      </c>
      <c r="C201" s="375"/>
      <c r="D201" s="375"/>
      <c r="E201" s="377">
        <v>215</v>
      </c>
      <c r="F201" s="375"/>
      <c r="G201" s="377">
        <v>205</v>
      </c>
      <c r="H201" s="375">
        <v>12</v>
      </c>
      <c r="I201" s="377">
        <v>155</v>
      </c>
      <c r="J201" s="375"/>
      <c r="K201" s="474">
        <v>1</v>
      </c>
      <c r="L201" s="376">
        <v>110</v>
      </c>
      <c r="M201" s="379"/>
      <c r="N201" s="376">
        <v>60</v>
      </c>
      <c r="O201" s="596"/>
      <c r="P201" s="595">
        <v>15</v>
      </c>
      <c r="Q201" s="943"/>
      <c r="R201" s="376">
        <f t="shared" si="9"/>
        <v>1970</v>
      </c>
      <c r="S201" s="376">
        <f t="shared" si="10"/>
        <v>98.5</v>
      </c>
      <c r="T201" s="376">
        <f t="shared" si="11"/>
        <v>2068.5</v>
      </c>
      <c r="U201" s="375">
        <v>12699</v>
      </c>
      <c r="V201" s="382"/>
      <c r="W201" s="383"/>
    </row>
    <row r="202" spans="1:23" s="384" customFormat="1">
      <c r="A202" s="895">
        <v>42243</v>
      </c>
      <c r="B202" s="887">
        <v>29970</v>
      </c>
      <c r="C202" s="375"/>
      <c r="D202" s="375"/>
      <c r="E202" s="377">
        <v>215</v>
      </c>
      <c r="F202" s="375"/>
      <c r="G202" s="377">
        <v>205</v>
      </c>
      <c r="H202" s="375">
        <v>12</v>
      </c>
      <c r="I202" s="377">
        <v>155</v>
      </c>
      <c r="J202" s="375"/>
      <c r="K202" s="474"/>
      <c r="L202" s="376">
        <v>110</v>
      </c>
      <c r="M202" s="379"/>
      <c r="N202" s="376">
        <v>60</v>
      </c>
      <c r="O202" s="596"/>
      <c r="P202" s="595">
        <v>15</v>
      </c>
      <c r="Q202" s="943"/>
      <c r="R202" s="376">
        <f t="shared" si="9"/>
        <v>1860</v>
      </c>
      <c r="S202" s="376">
        <f t="shared" si="10"/>
        <v>93</v>
      </c>
      <c r="T202" s="376">
        <f t="shared" si="11"/>
        <v>1953</v>
      </c>
      <c r="U202" s="375">
        <v>12699</v>
      </c>
      <c r="V202" s="382"/>
      <c r="W202" s="383"/>
    </row>
    <row r="203" spans="1:23" s="384" customFormat="1">
      <c r="A203" s="895">
        <v>42243</v>
      </c>
      <c r="B203" s="887">
        <v>29971</v>
      </c>
      <c r="C203" s="375"/>
      <c r="D203" s="375">
        <v>6</v>
      </c>
      <c r="E203" s="377">
        <v>215</v>
      </c>
      <c r="F203" s="375">
        <v>5</v>
      </c>
      <c r="G203" s="377">
        <v>205</v>
      </c>
      <c r="H203" s="375"/>
      <c r="I203" s="377">
        <v>155</v>
      </c>
      <c r="J203" s="375"/>
      <c r="K203" s="474"/>
      <c r="L203" s="376">
        <v>110</v>
      </c>
      <c r="M203" s="379">
        <v>12</v>
      </c>
      <c r="N203" s="376">
        <v>60</v>
      </c>
      <c r="O203" s="596"/>
      <c r="P203" s="595">
        <v>15</v>
      </c>
      <c r="Q203" s="943"/>
      <c r="R203" s="376">
        <f t="shared" si="9"/>
        <v>3035</v>
      </c>
      <c r="S203" s="376">
        <f t="shared" si="10"/>
        <v>151.75</v>
      </c>
      <c r="T203" s="376">
        <f t="shared" si="11"/>
        <v>3186.75</v>
      </c>
      <c r="U203" s="375">
        <v>12699</v>
      </c>
      <c r="V203" s="382"/>
      <c r="W203" s="383"/>
    </row>
    <row r="204" spans="1:23" s="384" customFormat="1">
      <c r="A204" s="895">
        <v>42243</v>
      </c>
      <c r="B204" s="887">
        <v>29972</v>
      </c>
      <c r="C204" s="375"/>
      <c r="D204" s="375"/>
      <c r="E204" s="377">
        <v>215</v>
      </c>
      <c r="F204" s="375">
        <v>12</v>
      </c>
      <c r="G204" s="377">
        <v>205</v>
      </c>
      <c r="H204" s="375"/>
      <c r="I204" s="377">
        <v>155</v>
      </c>
      <c r="J204" s="375"/>
      <c r="K204" s="474"/>
      <c r="L204" s="376">
        <v>110</v>
      </c>
      <c r="M204" s="379">
        <v>13</v>
      </c>
      <c r="N204" s="376">
        <v>60</v>
      </c>
      <c r="O204" s="596"/>
      <c r="P204" s="595">
        <v>15</v>
      </c>
      <c r="Q204" s="943"/>
      <c r="R204" s="376">
        <f t="shared" si="9"/>
        <v>3240</v>
      </c>
      <c r="S204" s="376">
        <f t="shared" si="10"/>
        <v>162</v>
      </c>
      <c r="T204" s="376">
        <f t="shared" si="11"/>
        <v>3402</v>
      </c>
      <c r="U204" s="375">
        <v>12699</v>
      </c>
      <c r="V204" s="382"/>
      <c r="W204" s="383"/>
    </row>
    <row r="205" spans="1:23" s="384" customFormat="1">
      <c r="A205" s="895">
        <v>42244</v>
      </c>
      <c r="B205" s="887">
        <v>29876</v>
      </c>
      <c r="C205" s="375">
        <v>2</v>
      </c>
      <c r="D205" s="375"/>
      <c r="E205" s="377">
        <v>215</v>
      </c>
      <c r="F205" s="375">
        <v>12</v>
      </c>
      <c r="G205" s="377">
        <v>205</v>
      </c>
      <c r="H205" s="375"/>
      <c r="I205" s="377">
        <v>155</v>
      </c>
      <c r="J205" s="375"/>
      <c r="K205" s="474"/>
      <c r="L205" s="376">
        <v>110</v>
      </c>
      <c r="M205" s="379">
        <v>13</v>
      </c>
      <c r="N205" s="376">
        <v>60</v>
      </c>
      <c r="O205" s="596"/>
      <c r="P205" s="595">
        <v>15</v>
      </c>
      <c r="Q205" s="943"/>
      <c r="R205" s="376">
        <f t="shared" si="9"/>
        <v>3240</v>
      </c>
      <c r="S205" s="376">
        <f t="shared" si="10"/>
        <v>162</v>
      </c>
      <c r="T205" s="376">
        <f t="shared" si="11"/>
        <v>3402</v>
      </c>
      <c r="U205" s="375">
        <v>12699</v>
      </c>
      <c r="V205" s="382"/>
      <c r="W205" s="383"/>
    </row>
    <row r="206" spans="1:23" s="384" customFormat="1">
      <c r="A206" s="895">
        <v>42244</v>
      </c>
      <c r="B206" s="887">
        <v>29877</v>
      </c>
      <c r="C206" s="375">
        <v>2</v>
      </c>
      <c r="D206" s="375"/>
      <c r="E206" s="377">
        <v>215</v>
      </c>
      <c r="F206" s="375">
        <v>11</v>
      </c>
      <c r="G206" s="377">
        <v>205</v>
      </c>
      <c r="H206" s="375"/>
      <c r="I206" s="377">
        <v>155</v>
      </c>
      <c r="J206" s="375"/>
      <c r="K206" s="474"/>
      <c r="L206" s="376">
        <v>110</v>
      </c>
      <c r="M206" s="379">
        <v>12</v>
      </c>
      <c r="N206" s="376">
        <v>60</v>
      </c>
      <c r="O206" s="596"/>
      <c r="P206" s="595">
        <v>15</v>
      </c>
      <c r="Q206" s="943"/>
      <c r="R206" s="376">
        <f t="shared" si="9"/>
        <v>2975</v>
      </c>
      <c r="S206" s="376">
        <f t="shared" si="10"/>
        <v>148.75</v>
      </c>
      <c r="T206" s="376">
        <f t="shared" si="11"/>
        <v>3123.75</v>
      </c>
      <c r="U206" s="375">
        <v>12699</v>
      </c>
      <c r="V206" s="382"/>
      <c r="W206" s="383"/>
    </row>
    <row r="207" spans="1:23" s="384" customFormat="1">
      <c r="A207" s="895">
        <v>42244</v>
      </c>
      <c r="B207" s="887">
        <v>29878</v>
      </c>
      <c r="C207" s="375">
        <v>1</v>
      </c>
      <c r="D207" s="375"/>
      <c r="E207" s="377">
        <v>215</v>
      </c>
      <c r="F207" s="375">
        <v>11</v>
      </c>
      <c r="G207" s="377">
        <v>205</v>
      </c>
      <c r="H207" s="375"/>
      <c r="I207" s="377">
        <v>155</v>
      </c>
      <c r="J207" s="375"/>
      <c r="K207" s="474"/>
      <c r="L207" s="376">
        <v>110</v>
      </c>
      <c r="M207" s="379">
        <v>12</v>
      </c>
      <c r="N207" s="376">
        <v>60</v>
      </c>
      <c r="O207" s="596"/>
      <c r="P207" s="595">
        <v>15</v>
      </c>
      <c r="Q207" s="943"/>
      <c r="R207" s="376">
        <f t="shared" si="9"/>
        <v>2975</v>
      </c>
      <c r="S207" s="376">
        <f t="shared" si="10"/>
        <v>148.75</v>
      </c>
      <c r="T207" s="376">
        <f t="shared" si="11"/>
        <v>3123.75</v>
      </c>
      <c r="U207" s="375">
        <v>12699</v>
      </c>
      <c r="V207" s="382"/>
      <c r="W207" s="383"/>
    </row>
    <row r="208" spans="1:23" s="384" customFormat="1">
      <c r="A208" s="895">
        <v>42244</v>
      </c>
      <c r="B208" s="887">
        <v>29879</v>
      </c>
      <c r="C208" s="375">
        <v>2</v>
      </c>
      <c r="D208" s="375"/>
      <c r="E208" s="377">
        <v>215</v>
      </c>
      <c r="F208" s="375">
        <v>10</v>
      </c>
      <c r="G208" s="377">
        <v>205</v>
      </c>
      <c r="H208" s="375"/>
      <c r="I208" s="377">
        <v>155</v>
      </c>
      <c r="J208" s="375"/>
      <c r="K208" s="474"/>
      <c r="L208" s="376">
        <v>110</v>
      </c>
      <c r="M208" s="379">
        <v>11</v>
      </c>
      <c r="N208" s="376">
        <v>60</v>
      </c>
      <c r="O208" s="596"/>
      <c r="P208" s="595">
        <v>15</v>
      </c>
      <c r="Q208" s="943"/>
      <c r="R208" s="376">
        <f t="shared" si="9"/>
        <v>2710</v>
      </c>
      <c r="S208" s="376">
        <f t="shared" si="10"/>
        <v>135.5</v>
      </c>
      <c r="T208" s="376">
        <f t="shared" si="11"/>
        <v>2845.5</v>
      </c>
      <c r="U208" s="375">
        <v>12699</v>
      </c>
      <c r="V208" s="382"/>
      <c r="W208" s="383"/>
    </row>
    <row r="209" spans="1:46" s="384" customFormat="1">
      <c r="A209" s="895">
        <v>42244</v>
      </c>
      <c r="B209" s="887">
        <v>29882</v>
      </c>
      <c r="C209" s="375">
        <v>2</v>
      </c>
      <c r="D209" s="375"/>
      <c r="E209" s="377">
        <v>215</v>
      </c>
      <c r="F209" s="375">
        <v>11</v>
      </c>
      <c r="G209" s="377">
        <v>205</v>
      </c>
      <c r="H209" s="375"/>
      <c r="I209" s="377">
        <v>155</v>
      </c>
      <c r="J209" s="375"/>
      <c r="K209" s="474"/>
      <c r="L209" s="376">
        <v>110</v>
      </c>
      <c r="M209" s="379">
        <v>12</v>
      </c>
      <c r="N209" s="376">
        <v>60</v>
      </c>
      <c r="O209" s="596"/>
      <c r="P209" s="595">
        <v>15</v>
      </c>
      <c r="Q209" s="943"/>
      <c r="R209" s="376">
        <f t="shared" si="9"/>
        <v>2975</v>
      </c>
      <c r="S209" s="376">
        <f t="shared" si="10"/>
        <v>148.75</v>
      </c>
      <c r="T209" s="376">
        <f t="shared" si="11"/>
        <v>3123.75</v>
      </c>
      <c r="U209" s="375">
        <v>12699</v>
      </c>
      <c r="V209" s="382"/>
      <c r="W209" s="383"/>
    </row>
    <row r="210" spans="1:46" s="192" customFormat="1">
      <c r="A210" s="895">
        <v>42244</v>
      </c>
      <c r="B210" s="887">
        <v>29974</v>
      </c>
      <c r="C210" s="375">
        <v>1</v>
      </c>
      <c r="D210" s="375"/>
      <c r="E210" s="377">
        <v>215</v>
      </c>
      <c r="F210" s="375"/>
      <c r="G210" s="377">
        <v>205</v>
      </c>
      <c r="H210" s="375">
        <v>12</v>
      </c>
      <c r="I210" s="377">
        <v>155</v>
      </c>
      <c r="J210" s="375"/>
      <c r="K210" s="474">
        <v>1</v>
      </c>
      <c r="L210" s="376">
        <v>110</v>
      </c>
      <c r="M210" s="379"/>
      <c r="N210" s="376">
        <v>60</v>
      </c>
      <c r="O210" s="596"/>
      <c r="P210" s="595">
        <v>15</v>
      </c>
      <c r="Q210" s="943"/>
      <c r="R210" s="376">
        <f t="shared" si="9"/>
        <v>1970</v>
      </c>
      <c r="S210" s="376">
        <f t="shared" si="10"/>
        <v>98.5</v>
      </c>
      <c r="T210" s="376">
        <f t="shared" si="11"/>
        <v>2068.5</v>
      </c>
      <c r="U210" s="375">
        <v>12699</v>
      </c>
      <c r="V210" s="382"/>
      <c r="W210" s="194"/>
      <c r="AA210" s="384"/>
      <c r="AB210" s="384"/>
      <c r="AC210" s="384"/>
      <c r="AD210" s="384"/>
      <c r="AE210" s="384"/>
      <c r="AF210" s="384"/>
      <c r="AG210" s="384"/>
      <c r="AH210" s="384"/>
      <c r="AI210" s="384"/>
      <c r="AJ210" s="384"/>
      <c r="AK210" s="384"/>
      <c r="AL210" s="384"/>
      <c r="AM210" s="384"/>
      <c r="AN210" s="384"/>
      <c r="AO210" s="384"/>
      <c r="AP210" s="384"/>
      <c r="AQ210" s="384"/>
      <c r="AR210" s="384"/>
      <c r="AS210" s="384"/>
      <c r="AT210" s="384"/>
    </row>
    <row r="211" spans="1:46" s="192" customFormat="1">
      <c r="A211" s="215">
        <v>42244</v>
      </c>
      <c r="B211" s="499">
        <v>29881</v>
      </c>
      <c r="C211" s="199">
        <v>1</v>
      </c>
      <c r="D211" s="199"/>
      <c r="E211" s="195">
        <v>215</v>
      </c>
      <c r="F211" s="199">
        <v>9</v>
      </c>
      <c r="G211" s="195">
        <v>205</v>
      </c>
      <c r="H211" s="199"/>
      <c r="I211" s="195">
        <v>155</v>
      </c>
      <c r="J211" s="199"/>
      <c r="K211" s="187"/>
      <c r="L211" s="188">
        <v>110</v>
      </c>
      <c r="M211" s="186">
        <v>10</v>
      </c>
      <c r="N211" s="188">
        <v>60</v>
      </c>
      <c r="O211" s="795"/>
      <c r="P211" s="824">
        <v>15</v>
      </c>
      <c r="Q211" s="944"/>
      <c r="R211" s="188">
        <f t="shared" si="9"/>
        <v>2445</v>
      </c>
      <c r="S211" s="188">
        <f t="shared" si="10"/>
        <v>122.25</v>
      </c>
      <c r="T211" s="188">
        <f t="shared" si="11"/>
        <v>2567.25</v>
      </c>
      <c r="U211" s="199">
        <v>12739</v>
      </c>
      <c r="V211" s="190"/>
      <c r="W211" s="194"/>
    </row>
    <row r="212" spans="1:46" s="192" customFormat="1">
      <c r="A212" s="215">
        <v>42244</v>
      </c>
      <c r="B212" s="499">
        <v>29975</v>
      </c>
      <c r="C212" s="199">
        <v>1</v>
      </c>
      <c r="D212" s="199"/>
      <c r="E212" s="195">
        <v>215</v>
      </c>
      <c r="F212" s="199"/>
      <c r="G212" s="195">
        <v>205</v>
      </c>
      <c r="H212" s="199">
        <v>12</v>
      </c>
      <c r="I212" s="195">
        <v>155</v>
      </c>
      <c r="J212" s="199"/>
      <c r="K212" s="187"/>
      <c r="L212" s="188">
        <v>110</v>
      </c>
      <c r="M212" s="186"/>
      <c r="N212" s="188">
        <v>60</v>
      </c>
      <c r="O212" s="795"/>
      <c r="P212" s="824">
        <v>15</v>
      </c>
      <c r="Q212" s="944"/>
      <c r="R212" s="188">
        <f t="shared" si="9"/>
        <v>1860</v>
      </c>
      <c r="S212" s="188">
        <f t="shared" si="10"/>
        <v>93</v>
      </c>
      <c r="T212" s="188">
        <f t="shared" si="11"/>
        <v>1953</v>
      </c>
      <c r="U212" s="199">
        <v>12739</v>
      </c>
      <c r="V212" s="190"/>
      <c r="W212" s="194"/>
    </row>
    <row r="213" spans="1:46" s="192" customFormat="1">
      <c r="A213" s="215">
        <v>42245</v>
      </c>
      <c r="B213" s="499">
        <v>29883</v>
      </c>
      <c r="C213" s="199">
        <v>1</v>
      </c>
      <c r="D213" s="199"/>
      <c r="E213" s="195">
        <v>215</v>
      </c>
      <c r="F213" s="199"/>
      <c r="G213" s="195">
        <v>205</v>
      </c>
      <c r="H213" s="199">
        <v>12</v>
      </c>
      <c r="I213" s="195">
        <v>155</v>
      </c>
      <c r="J213" s="199"/>
      <c r="K213" s="187">
        <v>1</v>
      </c>
      <c r="L213" s="188">
        <v>110</v>
      </c>
      <c r="M213" s="186"/>
      <c r="N213" s="188">
        <v>60</v>
      </c>
      <c r="O213" s="795"/>
      <c r="P213" s="824">
        <v>15</v>
      </c>
      <c r="Q213" s="944"/>
      <c r="R213" s="188">
        <f t="shared" si="9"/>
        <v>1970</v>
      </c>
      <c r="S213" s="188">
        <f t="shared" si="10"/>
        <v>98.5</v>
      </c>
      <c r="T213" s="188">
        <f t="shared" si="11"/>
        <v>2068.5</v>
      </c>
      <c r="U213" s="199">
        <v>12739</v>
      </c>
      <c r="V213" s="190"/>
      <c r="W213" s="194"/>
    </row>
    <row r="214" spans="1:46" s="192" customFormat="1">
      <c r="A214" s="215">
        <v>42245</v>
      </c>
      <c r="B214" s="499">
        <v>29884</v>
      </c>
      <c r="C214" s="199">
        <v>1</v>
      </c>
      <c r="D214" s="199"/>
      <c r="E214" s="195">
        <v>215</v>
      </c>
      <c r="F214" s="199"/>
      <c r="G214" s="195">
        <v>205</v>
      </c>
      <c r="H214" s="199">
        <v>12</v>
      </c>
      <c r="I214" s="195">
        <v>155</v>
      </c>
      <c r="J214" s="199"/>
      <c r="K214" s="187"/>
      <c r="L214" s="188">
        <v>110</v>
      </c>
      <c r="M214" s="186"/>
      <c r="N214" s="188">
        <v>60</v>
      </c>
      <c r="O214" s="795"/>
      <c r="P214" s="824">
        <v>15</v>
      </c>
      <c r="Q214" s="944"/>
      <c r="R214" s="188">
        <f t="shared" si="9"/>
        <v>1860</v>
      </c>
      <c r="S214" s="188">
        <f t="shared" si="10"/>
        <v>93</v>
      </c>
      <c r="T214" s="188">
        <f t="shared" si="11"/>
        <v>1953</v>
      </c>
      <c r="U214" s="199">
        <v>12739</v>
      </c>
      <c r="V214" s="190"/>
      <c r="W214" s="194"/>
    </row>
    <row r="215" spans="1:46" s="192" customFormat="1">
      <c r="A215" s="215">
        <v>42245</v>
      </c>
      <c r="B215" s="499">
        <v>29885</v>
      </c>
      <c r="C215" s="199">
        <v>2</v>
      </c>
      <c r="D215" s="199"/>
      <c r="E215" s="195">
        <v>215</v>
      </c>
      <c r="F215" s="199">
        <v>11</v>
      </c>
      <c r="G215" s="195">
        <v>205</v>
      </c>
      <c r="H215" s="199"/>
      <c r="I215" s="195">
        <v>155</v>
      </c>
      <c r="J215" s="199"/>
      <c r="K215" s="187"/>
      <c r="L215" s="188">
        <v>110</v>
      </c>
      <c r="M215" s="186">
        <v>12</v>
      </c>
      <c r="N215" s="188">
        <v>60</v>
      </c>
      <c r="O215" s="795"/>
      <c r="P215" s="824">
        <v>15</v>
      </c>
      <c r="Q215" s="944"/>
      <c r="R215" s="188">
        <f t="shared" si="9"/>
        <v>2975</v>
      </c>
      <c r="S215" s="188">
        <f t="shared" si="10"/>
        <v>148.75</v>
      </c>
      <c r="T215" s="188">
        <f t="shared" si="11"/>
        <v>3123.75</v>
      </c>
      <c r="U215" s="199">
        <v>12739</v>
      </c>
      <c r="V215" s="190"/>
      <c r="W215" s="194"/>
    </row>
    <row r="216" spans="1:46" s="192" customFormat="1">
      <c r="A216" s="215">
        <v>42245</v>
      </c>
      <c r="B216" s="499">
        <v>29886</v>
      </c>
      <c r="C216" s="199">
        <v>2</v>
      </c>
      <c r="D216" s="199"/>
      <c r="E216" s="195">
        <v>215</v>
      </c>
      <c r="F216" s="199">
        <v>11</v>
      </c>
      <c r="G216" s="195">
        <v>205</v>
      </c>
      <c r="H216" s="199"/>
      <c r="I216" s="195">
        <v>155</v>
      </c>
      <c r="J216" s="199"/>
      <c r="K216" s="187"/>
      <c r="L216" s="188">
        <v>110</v>
      </c>
      <c r="M216" s="186">
        <v>12</v>
      </c>
      <c r="N216" s="188">
        <v>60</v>
      </c>
      <c r="O216" s="795"/>
      <c r="P216" s="824">
        <v>15</v>
      </c>
      <c r="Q216" s="944"/>
      <c r="R216" s="188">
        <f t="shared" si="9"/>
        <v>2975</v>
      </c>
      <c r="S216" s="188">
        <f t="shared" si="10"/>
        <v>148.75</v>
      </c>
      <c r="T216" s="188">
        <f t="shared" si="11"/>
        <v>3123.75</v>
      </c>
      <c r="U216" s="199">
        <v>12739</v>
      </c>
      <c r="V216" s="190"/>
      <c r="W216" s="194"/>
    </row>
    <row r="217" spans="1:46" s="192" customFormat="1">
      <c r="A217" s="215">
        <v>42245</v>
      </c>
      <c r="B217" s="499">
        <v>29887</v>
      </c>
      <c r="C217" s="199">
        <v>1</v>
      </c>
      <c r="D217" s="199"/>
      <c r="E217" s="195">
        <v>215</v>
      </c>
      <c r="F217" s="199">
        <v>11</v>
      </c>
      <c r="G217" s="195">
        <v>205</v>
      </c>
      <c r="H217" s="199"/>
      <c r="I217" s="195">
        <v>155</v>
      </c>
      <c r="J217" s="199"/>
      <c r="K217" s="187"/>
      <c r="L217" s="188">
        <v>110</v>
      </c>
      <c r="M217" s="186">
        <v>12</v>
      </c>
      <c r="N217" s="188">
        <v>60</v>
      </c>
      <c r="O217" s="795"/>
      <c r="P217" s="824">
        <v>15</v>
      </c>
      <c r="Q217" s="944"/>
      <c r="R217" s="188">
        <f t="shared" si="9"/>
        <v>2975</v>
      </c>
      <c r="S217" s="188">
        <f t="shared" si="10"/>
        <v>148.75</v>
      </c>
      <c r="T217" s="188">
        <f t="shared" si="11"/>
        <v>3123.75</v>
      </c>
      <c r="U217" s="199">
        <v>12739</v>
      </c>
      <c r="V217" s="190"/>
      <c r="W217" s="194"/>
    </row>
    <row r="218" spans="1:46" s="192" customFormat="1">
      <c r="A218" s="215">
        <v>42245</v>
      </c>
      <c r="B218" s="499">
        <v>29888</v>
      </c>
      <c r="C218" s="199">
        <v>2</v>
      </c>
      <c r="D218" s="199"/>
      <c r="E218" s="195">
        <v>215</v>
      </c>
      <c r="F218" s="199">
        <v>11</v>
      </c>
      <c r="G218" s="195">
        <v>205</v>
      </c>
      <c r="H218" s="199"/>
      <c r="I218" s="195">
        <v>155</v>
      </c>
      <c r="J218" s="199"/>
      <c r="K218" s="187"/>
      <c r="L218" s="188">
        <v>110</v>
      </c>
      <c r="M218" s="186">
        <v>12</v>
      </c>
      <c r="N218" s="188">
        <v>60</v>
      </c>
      <c r="O218" s="795"/>
      <c r="P218" s="824">
        <v>15</v>
      </c>
      <c r="Q218" s="944"/>
      <c r="R218" s="188">
        <f t="shared" si="9"/>
        <v>2975</v>
      </c>
      <c r="S218" s="188">
        <f t="shared" si="10"/>
        <v>148.75</v>
      </c>
      <c r="T218" s="188">
        <f t="shared" si="11"/>
        <v>3123.75</v>
      </c>
      <c r="U218" s="199">
        <v>12739</v>
      </c>
      <c r="V218" s="190"/>
      <c r="W218" s="194"/>
    </row>
    <row r="219" spans="1:46" s="192" customFormat="1">
      <c r="A219" s="215">
        <v>42245</v>
      </c>
      <c r="B219" s="499">
        <v>29889</v>
      </c>
      <c r="C219" s="199">
        <v>2</v>
      </c>
      <c r="D219" s="199"/>
      <c r="E219" s="195">
        <v>215</v>
      </c>
      <c r="F219" s="199">
        <v>12</v>
      </c>
      <c r="G219" s="195">
        <v>205</v>
      </c>
      <c r="H219" s="199"/>
      <c r="I219" s="195">
        <v>155</v>
      </c>
      <c r="J219" s="199"/>
      <c r="K219" s="187"/>
      <c r="L219" s="188">
        <v>110</v>
      </c>
      <c r="M219" s="186">
        <v>13</v>
      </c>
      <c r="N219" s="188">
        <v>60</v>
      </c>
      <c r="O219" s="795"/>
      <c r="P219" s="824">
        <v>15</v>
      </c>
      <c r="Q219" s="944"/>
      <c r="R219" s="188">
        <f t="shared" si="9"/>
        <v>3240</v>
      </c>
      <c r="S219" s="188">
        <f t="shared" si="10"/>
        <v>162</v>
      </c>
      <c r="T219" s="188">
        <f t="shared" si="11"/>
        <v>3402</v>
      </c>
      <c r="U219" s="199">
        <v>12739</v>
      </c>
      <c r="V219" s="190"/>
      <c r="W219" s="194"/>
    </row>
    <row r="220" spans="1:46" s="192" customFormat="1">
      <c r="A220" s="215">
        <v>42246</v>
      </c>
      <c r="B220" s="499">
        <v>29890</v>
      </c>
      <c r="C220" s="199">
        <v>2</v>
      </c>
      <c r="D220" s="199"/>
      <c r="E220" s="195">
        <v>215</v>
      </c>
      <c r="F220" s="199">
        <v>13</v>
      </c>
      <c r="G220" s="195">
        <v>205</v>
      </c>
      <c r="H220" s="199"/>
      <c r="I220" s="195">
        <v>155</v>
      </c>
      <c r="J220" s="199"/>
      <c r="K220" s="187"/>
      <c r="L220" s="188">
        <v>110</v>
      </c>
      <c r="M220" s="186">
        <v>14</v>
      </c>
      <c r="N220" s="188">
        <v>60</v>
      </c>
      <c r="O220" s="795"/>
      <c r="P220" s="824">
        <v>15</v>
      </c>
      <c r="Q220" s="944"/>
      <c r="R220" s="188">
        <f t="shared" si="9"/>
        <v>3505</v>
      </c>
      <c r="S220" s="188">
        <f t="shared" si="10"/>
        <v>175.25</v>
      </c>
      <c r="T220" s="188">
        <f t="shared" si="11"/>
        <v>3680.25</v>
      </c>
      <c r="U220" s="199">
        <v>12739</v>
      </c>
      <c r="V220" s="190"/>
      <c r="W220" s="194"/>
    </row>
    <row r="221" spans="1:46" s="192" customFormat="1">
      <c r="A221" s="215">
        <v>42246</v>
      </c>
      <c r="B221" s="499">
        <v>29891</v>
      </c>
      <c r="C221" s="199">
        <v>2</v>
      </c>
      <c r="D221" s="199"/>
      <c r="E221" s="195">
        <v>215</v>
      </c>
      <c r="F221" s="199">
        <v>8</v>
      </c>
      <c r="G221" s="195">
        <v>205</v>
      </c>
      <c r="H221" s="199"/>
      <c r="I221" s="195">
        <v>155</v>
      </c>
      <c r="J221" s="199"/>
      <c r="K221" s="187"/>
      <c r="L221" s="188">
        <v>110</v>
      </c>
      <c r="M221" s="186">
        <v>9</v>
      </c>
      <c r="N221" s="188">
        <v>60</v>
      </c>
      <c r="O221" s="795"/>
      <c r="P221" s="824">
        <v>15</v>
      </c>
      <c r="Q221" s="944"/>
      <c r="R221" s="188">
        <f t="shared" si="9"/>
        <v>2180</v>
      </c>
      <c r="S221" s="188">
        <f t="shared" si="10"/>
        <v>109</v>
      </c>
      <c r="T221" s="188">
        <f t="shared" si="11"/>
        <v>2289</v>
      </c>
      <c r="U221" s="199">
        <v>12739</v>
      </c>
      <c r="V221" s="190"/>
      <c r="W221" s="194"/>
    </row>
    <row r="222" spans="1:46" s="192" customFormat="1">
      <c r="A222" s="215">
        <v>42247</v>
      </c>
      <c r="B222" s="896">
        <v>29892</v>
      </c>
      <c r="C222" s="872">
        <v>1</v>
      </c>
      <c r="D222" s="872"/>
      <c r="E222" s="195">
        <v>215</v>
      </c>
      <c r="F222" s="872"/>
      <c r="G222" s="195">
        <v>205</v>
      </c>
      <c r="H222" s="872">
        <v>12</v>
      </c>
      <c r="I222" s="195">
        <v>155</v>
      </c>
      <c r="J222" s="872"/>
      <c r="K222" s="821">
        <v>1</v>
      </c>
      <c r="L222" s="188">
        <v>110</v>
      </c>
      <c r="M222" s="795"/>
      <c r="N222" s="188">
        <v>60</v>
      </c>
      <c r="O222" s="795"/>
      <c r="P222" s="824">
        <v>15</v>
      </c>
      <c r="Q222" s="944"/>
      <c r="R222" s="188">
        <f t="shared" si="9"/>
        <v>1970</v>
      </c>
      <c r="S222" s="188">
        <f t="shared" si="10"/>
        <v>98.5</v>
      </c>
      <c r="T222" s="188">
        <f t="shared" si="11"/>
        <v>2068.5</v>
      </c>
      <c r="U222" s="199">
        <v>12739</v>
      </c>
      <c r="V222" s="873"/>
      <c r="W222" s="194"/>
    </row>
    <row r="223" spans="1:46" s="192" customFormat="1">
      <c r="A223" s="215">
        <v>42247</v>
      </c>
      <c r="B223" s="499">
        <v>29893</v>
      </c>
      <c r="C223" s="199">
        <v>1</v>
      </c>
      <c r="D223" s="199"/>
      <c r="E223" s="195">
        <v>215</v>
      </c>
      <c r="F223" s="199"/>
      <c r="G223" s="195">
        <v>205</v>
      </c>
      <c r="H223" s="199">
        <v>12</v>
      </c>
      <c r="I223" s="195">
        <v>155</v>
      </c>
      <c r="J223" s="199"/>
      <c r="K223" s="187"/>
      <c r="L223" s="188">
        <v>110</v>
      </c>
      <c r="M223" s="186"/>
      <c r="N223" s="188">
        <v>60</v>
      </c>
      <c r="O223" s="795"/>
      <c r="P223" s="824">
        <v>15</v>
      </c>
      <c r="Q223" s="944"/>
      <c r="R223" s="188">
        <f t="shared" si="9"/>
        <v>1860</v>
      </c>
      <c r="S223" s="188">
        <f t="shared" si="10"/>
        <v>93</v>
      </c>
      <c r="T223" s="188">
        <f t="shared" si="11"/>
        <v>1953</v>
      </c>
      <c r="U223" s="199">
        <v>12739</v>
      </c>
      <c r="V223" s="190"/>
      <c r="W223" s="194"/>
    </row>
    <row r="224" spans="1:46" s="192" customFormat="1">
      <c r="A224" s="215">
        <v>42247</v>
      </c>
      <c r="B224" s="499">
        <v>29894</v>
      </c>
      <c r="C224" s="199">
        <v>2</v>
      </c>
      <c r="D224" s="199"/>
      <c r="E224" s="195">
        <v>215</v>
      </c>
      <c r="F224" s="199">
        <v>11</v>
      </c>
      <c r="G224" s="195">
        <v>205</v>
      </c>
      <c r="H224" s="199"/>
      <c r="I224" s="195">
        <v>155</v>
      </c>
      <c r="J224" s="199"/>
      <c r="K224" s="187"/>
      <c r="L224" s="188">
        <v>110</v>
      </c>
      <c r="M224" s="186">
        <v>12</v>
      </c>
      <c r="N224" s="188">
        <v>60</v>
      </c>
      <c r="O224" s="795"/>
      <c r="P224" s="824">
        <v>15</v>
      </c>
      <c r="Q224" s="944"/>
      <c r="R224" s="188">
        <f t="shared" si="9"/>
        <v>2975</v>
      </c>
      <c r="S224" s="188">
        <f t="shared" si="10"/>
        <v>148.75</v>
      </c>
      <c r="T224" s="188">
        <f t="shared" si="11"/>
        <v>3123.75</v>
      </c>
      <c r="U224" s="199">
        <v>12739</v>
      </c>
      <c r="V224" s="190"/>
      <c r="W224" s="194"/>
    </row>
    <row r="225" spans="1:46" s="192" customFormat="1">
      <c r="A225" s="215">
        <v>42247</v>
      </c>
      <c r="B225" s="499">
        <v>29895</v>
      </c>
      <c r="C225" s="199">
        <v>2</v>
      </c>
      <c r="D225" s="199"/>
      <c r="E225" s="195">
        <v>215</v>
      </c>
      <c r="F225" s="199">
        <v>11</v>
      </c>
      <c r="G225" s="195">
        <v>205</v>
      </c>
      <c r="H225" s="199"/>
      <c r="I225" s="195">
        <v>155</v>
      </c>
      <c r="J225" s="199"/>
      <c r="K225" s="187"/>
      <c r="L225" s="188">
        <v>110</v>
      </c>
      <c r="M225" s="186">
        <v>12</v>
      </c>
      <c r="N225" s="188">
        <v>60</v>
      </c>
      <c r="O225" s="795"/>
      <c r="P225" s="824">
        <v>15</v>
      </c>
      <c r="Q225" s="944"/>
      <c r="R225" s="188">
        <f t="shared" si="9"/>
        <v>2975</v>
      </c>
      <c r="S225" s="188">
        <f t="shared" si="10"/>
        <v>148.75</v>
      </c>
      <c r="T225" s="188">
        <f t="shared" si="11"/>
        <v>3123.75</v>
      </c>
      <c r="U225" s="199">
        <v>12739</v>
      </c>
      <c r="V225" s="190"/>
      <c r="W225" s="194"/>
    </row>
    <row r="226" spans="1:46" s="192" customFormat="1">
      <c r="A226" s="215">
        <v>42247</v>
      </c>
      <c r="B226" s="499">
        <v>29896</v>
      </c>
      <c r="C226" s="199">
        <v>2</v>
      </c>
      <c r="D226" s="199"/>
      <c r="E226" s="195">
        <v>215</v>
      </c>
      <c r="F226" s="199">
        <v>11</v>
      </c>
      <c r="G226" s="195">
        <v>205</v>
      </c>
      <c r="H226" s="199"/>
      <c r="I226" s="195">
        <v>155</v>
      </c>
      <c r="J226" s="199"/>
      <c r="K226" s="187"/>
      <c r="L226" s="188">
        <v>110</v>
      </c>
      <c r="M226" s="186">
        <v>12</v>
      </c>
      <c r="N226" s="188">
        <v>60</v>
      </c>
      <c r="O226" s="795"/>
      <c r="P226" s="824">
        <v>15</v>
      </c>
      <c r="Q226" s="944"/>
      <c r="R226" s="188">
        <f t="shared" si="9"/>
        <v>2975</v>
      </c>
      <c r="S226" s="188">
        <f t="shared" si="10"/>
        <v>148.75</v>
      </c>
      <c r="T226" s="188">
        <f t="shared" si="11"/>
        <v>3123.75</v>
      </c>
      <c r="U226" s="199">
        <v>12739</v>
      </c>
      <c r="V226" s="190"/>
      <c r="W226" s="194"/>
    </row>
    <row r="227" spans="1:46" s="192" customFormat="1">
      <c r="A227" s="215">
        <v>42247</v>
      </c>
      <c r="B227" s="499">
        <v>29897</v>
      </c>
      <c r="C227" s="199">
        <v>2</v>
      </c>
      <c r="D227" s="199"/>
      <c r="E227" s="195">
        <v>215</v>
      </c>
      <c r="F227" s="199">
        <v>11</v>
      </c>
      <c r="G227" s="195">
        <v>205</v>
      </c>
      <c r="H227" s="199"/>
      <c r="I227" s="195">
        <v>155</v>
      </c>
      <c r="J227" s="199"/>
      <c r="K227" s="187"/>
      <c r="L227" s="188">
        <v>110</v>
      </c>
      <c r="M227" s="186">
        <v>12</v>
      </c>
      <c r="N227" s="188">
        <v>60</v>
      </c>
      <c r="O227" s="795"/>
      <c r="P227" s="824">
        <v>15</v>
      </c>
      <c r="Q227" s="944"/>
      <c r="R227" s="188">
        <f t="shared" si="9"/>
        <v>2975</v>
      </c>
      <c r="S227" s="188">
        <f t="shared" si="10"/>
        <v>148.75</v>
      </c>
      <c r="T227" s="188">
        <f t="shared" si="11"/>
        <v>3123.75</v>
      </c>
      <c r="U227" s="199">
        <v>12739</v>
      </c>
      <c r="V227" s="190"/>
      <c r="W227" s="194"/>
    </row>
    <row r="228" spans="1:46" s="384" customFormat="1">
      <c r="A228" s="215">
        <v>42247</v>
      </c>
      <c r="B228" s="499">
        <v>29898</v>
      </c>
      <c r="C228" s="199">
        <v>2</v>
      </c>
      <c r="D228" s="199"/>
      <c r="E228" s="195">
        <v>215</v>
      </c>
      <c r="F228" s="199">
        <v>11</v>
      </c>
      <c r="G228" s="195">
        <v>205</v>
      </c>
      <c r="H228" s="199"/>
      <c r="I228" s="195">
        <v>155</v>
      </c>
      <c r="J228" s="199"/>
      <c r="K228" s="187"/>
      <c r="L228" s="188">
        <v>110</v>
      </c>
      <c r="M228" s="186">
        <v>12</v>
      </c>
      <c r="N228" s="188">
        <v>60</v>
      </c>
      <c r="O228" s="795"/>
      <c r="P228" s="824">
        <v>15</v>
      </c>
      <c r="Q228" s="944"/>
      <c r="R228" s="188">
        <f t="shared" si="9"/>
        <v>2975</v>
      </c>
      <c r="S228" s="188">
        <f t="shared" si="10"/>
        <v>148.75</v>
      </c>
      <c r="T228" s="188">
        <f t="shared" si="11"/>
        <v>3123.75</v>
      </c>
      <c r="U228" s="199">
        <v>12739</v>
      </c>
      <c r="V228" s="190"/>
      <c r="W228" s="383"/>
      <c r="AA228" s="192"/>
      <c r="AB228" s="192"/>
      <c r="AC228" s="192"/>
      <c r="AD228" s="192"/>
      <c r="AE228" s="192"/>
      <c r="AF228" s="192"/>
      <c r="AG228" s="192"/>
      <c r="AH228" s="192"/>
      <c r="AI228" s="192"/>
      <c r="AJ228" s="192"/>
      <c r="AK228" s="192"/>
      <c r="AL228" s="192"/>
      <c r="AM228" s="192"/>
      <c r="AN228" s="192"/>
      <c r="AO228" s="192"/>
      <c r="AP228" s="192"/>
      <c r="AQ228" s="192"/>
      <c r="AR228" s="192"/>
      <c r="AS228" s="192"/>
      <c r="AT228" s="192"/>
    </row>
    <row r="229" spans="1:46" s="384" customFormat="1">
      <c r="A229" s="895">
        <v>42246</v>
      </c>
      <c r="B229" s="887">
        <v>30107</v>
      </c>
      <c r="C229" s="375">
        <v>1</v>
      </c>
      <c r="D229" s="375"/>
      <c r="E229" s="377">
        <v>215</v>
      </c>
      <c r="F229" s="375"/>
      <c r="G229" s="377">
        <v>205</v>
      </c>
      <c r="H229" s="375">
        <v>12</v>
      </c>
      <c r="I229" s="377">
        <v>155</v>
      </c>
      <c r="J229" s="375"/>
      <c r="K229" s="474">
        <v>1</v>
      </c>
      <c r="L229" s="376">
        <v>110</v>
      </c>
      <c r="M229" s="379"/>
      <c r="N229" s="376">
        <v>60</v>
      </c>
      <c r="O229" s="596"/>
      <c r="P229" s="595">
        <v>15</v>
      </c>
      <c r="Q229" s="943"/>
      <c r="R229" s="376">
        <f t="shared" si="9"/>
        <v>1970</v>
      </c>
      <c r="S229" s="376">
        <f t="shared" si="10"/>
        <v>98.5</v>
      </c>
      <c r="T229" s="376">
        <f t="shared" si="11"/>
        <v>2068.5</v>
      </c>
      <c r="U229" s="375">
        <v>12773</v>
      </c>
      <c r="V229" s="382"/>
      <c r="W229" s="383"/>
    </row>
    <row r="230" spans="1:46" s="384" customFormat="1">
      <c r="A230" s="373">
        <v>42248</v>
      </c>
      <c r="B230" s="887">
        <v>30101</v>
      </c>
      <c r="C230" s="375">
        <v>1</v>
      </c>
      <c r="D230" s="375"/>
      <c r="E230" s="377">
        <v>215</v>
      </c>
      <c r="F230" s="375"/>
      <c r="G230" s="377">
        <v>205</v>
      </c>
      <c r="H230" s="375">
        <v>12</v>
      </c>
      <c r="I230" s="377">
        <v>155</v>
      </c>
      <c r="J230" s="375"/>
      <c r="K230" s="474">
        <v>1</v>
      </c>
      <c r="L230" s="376">
        <v>110</v>
      </c>
      <c r="M230" s="379"/>
      <c r="N230" s="376">
        <v>60</v>
      </c>
      <c r="O230" s="596"/>
      <c r="P230" s="595">
        <v>15</v>
      </c>
      <c r="Q230" s="943"/>
      <c r="R230" s="376">
        <f t="shared" si="9"/>
        <v>1970</v>
      </c>
      <c r="S230" s="376">
        <f t="shared" si="10"/>
        <v>98.5</v>
      </c>
      <c r="T230" s="376">
        <f t="shared" si="11"/>
        <v>2068.5</v>
      </c>
      <c r="U230" s="375">
        <v>12773</v>
      </c>
      <c r="V230" s="382"/>
      <c r="W230" s="383"/>
    </row>
    <row r="231" spans="1:46" s="384" customFormat="1">
      <c r="A231" s="373">
        <v>42248</v>
      </c>
      <c r="B231" s="887">
        <v>30102</v>
      </c>
      <c r="C231" s="375">
        <v>2</v>
      </c>
      <c r="D231" s="375"/>
      <c r="E231" s="377">
        <v>215</v>
      </c>
      <c r="F231" s="375">
        <v>13</v>
      </c>
      <c r="G231" s="377">
        <v>205</v>
      </c>
      <c r="H231" s="375"/>
      <c r="I231" s="377">
        <v>155</v>
      </c>
      <c r="J231" s="375"/>
      <c r="K231" s="474"/>
      <c r="L231" s="376">
        <v>110</v>
      </c>
      <c r="M231" s="379">
        <v>14</v>
      </c>
      <c r="N231" s="376">
        <v>60</v>
      </c>
      <c r="O231" s="596"/>
      <c r="P231" s="595">
        <v>15</v>
      </c>
      <c r="Q231" s="943"/>
      <c r="R231" s="376">
        <f t="shared" si="9"/>
        <v>3505</v>
      </c>
      <c r="S231" s="376">
        <f t="shared" si="10"/>
        <v>175.25</v>
      </c>
      <c r="T231" s="376">
        <f t="shared" si="11"/>
        <v>3680.25</v>
      </c>
      <c r="U231" s="375">
        <v>12773</v>
      </c>
      <c r="V231" s="382"/>
      <c r="W231" s="383"/>
    </row>
    <row r="232" spans="1:46" s="384" customFormat="1">
      <c r="A232" s="373">
        <v>42248</v>
      </c>
      <c r="B232" s="887">
        <v>30103</v>
      </c>
      <c r="C232" s="375">
        <v>2</v>
      </c>
      <c r="D232" s="375"/>
      <c r="E232" s="377">
        <v>215</v>
      </c>
      <c r="F232" s="375">
        <v>11</v>
      </c>
      <c r="G232" s="377">
        <v>205</v>
      </c>
      <c r="H232" s="375"/>
      <c r="I232" s="377">
        <v>155</v>
      </c>
      <c r="J232" s="375"/>
      <c r="K232" s="474"/>
      <c r="L232" s="376">
        <v>110</v>
      </c>
      <c r="M232" s="379">
        <v>12</v>
      </c>
      <c r="N232" s="376">
        <v>60</v>
      </c>
      <c r="O232" s="596"/>
      <c r="P232" s="595">
        <v>15</v>
      </c>
      <c r="Q232" s="943"/>
      <c r="R232" s="376">
        <f t="shared" si="9"/>
        <v>2975</v>
      </c>
      <c r="S232" s="376">
        <f t="shared" si="10"/>
        <v>148.75</v>
      </c>
      <c r="T232" s="376">
        <f t="shared" si="11"/>
        <v>3123.75</v>
      </c>
      <c r="U232" s="375">
        <v>12773</v>
      </c>
      <c r="V232" s="382"/>
      <c r="W232" s="383"/>
    </row>
    <row r="233" spans="1:46" s="384" customFormat="1">
      <c r="A233" s="373">
        <v>42248</v>
      </c>
      <c r="B233" s="887">
        <v>30104</v>
      </c>
      <c r="C233" s="375">
        <v>2</v>
      </c>
      <c r="D233" s="375"/>
      <c r="E233" s="377">
        <v>215</v>
      </c>
      <c r="F233" s="375">
        <v>11</v>
      </c>
      <c r="G233" s="377">
        <v>205</v>
      </c>
      <c r="H233" s="375"/>
      <c r="I233" s="377">
        <v>155</v>
      </c>
      <c r="J233" s="375"/>
      <c r="K233" s="474"/>
      <c r="L233" s="376">
        <v>110</v>
      </c>
      <c r="M233" s="379">
        <v>12</v>
      </c>
      <c r="N233" s="376">
        <v>60</v>
      </c>
      <c r="O233" s="596"/>
      <c r="P233" s="595">
        <v>15</v>
      </c>
      <c r="Q233" s="943"/>
      <c r="R233" s="376">
        <f t="shared" si="9"/>
        <v>2975</v>
      </c>
      <c r="S233" s="376">
        <f t="shared" si="10"/>
        <v>148.75</v>
      </c>
      <c r="T233" s="376">
        <f t="shared" si="11"/>
        <v>3123.75</v>
      </c>
      <c r="U233" s="375">
        <v>12773</v>
      </c>
      <c r="V233" s="382"/>
      <c r="W233" s="383"/>
    </row>
    <row r="234" spans="1:46" s="384" customFormat="1">
      <c r="A234" s="373">
        <v>42248</v>
      </c>
      <c r="B234" s="887">
        <v>30105</v>
      </c>
      <c r="C234" s="375">
        <v>2</v>
      </c>
      <c r="D234" s="375"/>
      <c r="E234" s="377">
        <v>215</v>
      </c>
      <c r="F234" s="375">
        <v>11</v>
      </c>
      <c r="G234" s="377">
        <v>205</v>
      </c>
      <c r="H234" s="375"/>
      <c r="I234" s="377">
        <v>155</v>
      </c>
      <c r="J234" s="375"/>
      <c r="K234" s="474"/>
      <c r="L234" s="376">
        <v>110</v>
      </c>
      <c r="M234" s="379">
        <v>12</v>
      </c>
      <c r="N234" s="376">
        <v>60</v>
      </c>
      <c r="O234" s="596"/>
      <c r="P234" s="595">
        <v>15</v>
      </c>
      <c r="Q234" s="943"/>
      <c r="R234" s="376">
        <f t="shared" si="9"/>
        <v>2975</v>
      </c>
      <c r="S234" s="376">
        <f t="shared" si="10"/>
        <v>148.75</v>
      </c>
      <c r="T234" s="376">
        <f t="shared" si="11"/>
        <v>3123.75</v>
      </c>
      <c r="U234" s="375">
        <v>12773</v>
      </c>
      <c r="V234" s="382"/>
      <c r="W234" s="383"/>
    </row>
    <row r="235" spans="1:46" s="384" customFormat="1">
      <c r="A235" s="373">
        <v>42248</v>
      </c>
      <c r="B235" s="887">
        <v>30106</v>
      </c>
      <c r="C235" s="375">
        <v>2</v>
      </c>
      <c r="D235" s="375"/>
      <c r="E235" s="377">
        <v>215</v>
      </c>
      <c r="F235" s="375">
        <v>10</v>
      </c>
      <c r="G235" s="377">
        <v>205</v>
      </c>
      <c r="H235" s="375"/>
      <c r="I235" s="377">
        <v>155</v>
      </c>
      <c r="J235" s="375"/>
      <c r="K235" s="474"/>
      <c r="L235" s="376">
        <v>110</v>
      </c>
      <c r="M235" s="379">
        <v>11</v>
      </c>
      <c r="N235" s="376">
        <v>60</v>
      </c>
      <c r="O235" s="596"/>
      <c r="P235" s="595">
        <v>15</v>
      </c>
      <c r="Q235" s="943"/>
      <c r="R235" s="376">
        <f t="shared" si="9"/>
        <v>2710</v>
      </c>
      <c r="S235" s="376">
        <f t="shared" si="10"/>
        <v>135.5</v>
      </c>
      <c r="T235" s="376">
        <f t="shared" si="11"/>
        <v>2845.5</v>
      </c>
      <c r="U235" s="375">
        <v>12773</v>
      </c>
      <c r="V235" s="382"/>
      <c r="W235" s="383"/>
    </row>
    <row r="236" spans="1:46" s="384" customFormat="1">
      <c r="A236" s="373">
        <v>42249</v>
      </c>
      <c r="B236" s="887">
        <v>27526</v>
      </c>
      <c r="C236" s="375"/>
      <c r="D236" s="375"/>
      <c r="E236" s="377">
        <v>215</v>
      </c>
      <c r="F236" s="375"/>
      <c r="G236" s="377">
        <v>205</v>
      </c>
      <c r="H236" s="375">
        <v>12</v>
      </c>
      <c r="I236" s="377">
        <v>155</v>
      </c>
      <c r="J236" s="375"/>
      <c r="K236" s="474">
        <v>1</v>
      </c>
      <c r="L236" s="376">
        <v>110</v>
      </c>
      <c r="M236" s="379"/>
      <c r="N236" s="376">
        <v>60</v>
      </c>
      <c r="O236" s="596"/>
      <c r="P236" s="595">
        <v>15</v>
      </c>
      <c r="Q236" s="943"/>
      <c r="R236" s="376">
        <f t="shared" si="9"/>
        <v>1970</v>
      </c>
      <c r="S236" s="376">
        <f t="shared" si="10"/>
        <v>98.5</v>
      </c>
      <c r="T236" s="376">
        <f t="shared" si="11"/>
        <v>2068.5</v>
      </c>
      <c r="U236" s="375">
        <v>12773</v>
      </c>
      <c r="V236" s="382"/>
      <c r="W236" s="383"/>
    </row>
    <row r="237" spans="1:46" s="384" customFormat="1">
      <c r="A237" s="373">
        <v>42249</v>
      </c>
      <c r="B237" s="887">
        <v>27527</v>
      </c>
      <c r="C237" s="375"/>
      <c r="D237" s="375"/>
      <c r="E237" s="377">
        <v>215</v>
      </c>
      <c r="F237" s="375"/>
      <c r="G237" s="377">
        <v>205</v>
      </c>
      <c r="H237" s="375">
        <v>12</v>
      </c>
      <c r="I237" s="377">
        <v>155</v>
      </c>
      <c r="J237" s="375"/>
      <c r="K237" s="474"/>
      <c r="L237" s="376">
        <v>110</v>
      </c>
      <c r="M237" s="379"/>
      <c r="N237" s="376">
        <v>60</v>
      </c>
      <c r="O237" s="596"/>
      <c r="P237" s="595">
        <v>15</v>
      </c>
      <c r="Q237" s="943"/>
      <c r="R237" s="376">
        <f t="shared" si="9"/>
        <v>1860</v>
      </c>
      <c r="S237" s="376">
        <f t="shared" si="10"/>
        <v>93</v>
      </c>
      <c r="T237" s="376">
        <f t="shared" si="11"/>
        <v>1953</v>
      </c>
      <c r="U237" s="375">
        <v>12773</v>
      </c>
      <c r="V237" s="382"/>
      <c r="W237" s="383"/>
    </row>
    <row r="238" spans="1:46" s="384" customFormat="1">
      <c r="A238" s="373">
        <v>42249</v>
      </c>
      <c r="B238" s="887">
        <v>27530</v>
      </c>
      <c r="C238" s="375"/>
      <c r="D238" s="375"/>
      <c r="E238" s="377">
        <v>215</v>
      </c>
      <c r="F238" s="375">
        <v>11</v>
      </c>
      <c r="G238" s="377">
        <v>205</v>
      </c>
      <c r="H238" s="375"/>
      <c r="I238" s="377">
        <v>155</v>
      </c>
      <c r="J238" s="375"/>
      <c r="K238" s="474"/>
      <c r="L238" s="376">
        <v>110</v>
      </c>
      <c r="M238" s="379">
        <v>12</v>
      </c>
      <c r="N238" s="376">
        <v>60</v>
      </c>
      <c r="O238" s="596"/>
      <c r="P238" s="595">
        <v>15</v>
      </c>
      <c r="Q238" s="943"/>
      <c r="R238" s="376">
        <f t="shared" si="9"/>
        <v>2975</v>
      </c>
      <c r="S238" s="376">
        <f t="shared" si="10"/>
        <v>148.75</v>
      </c>
      <c r="T238" s="376">
        <f t="shared" si="11"/>
        <v>3123.75</v>
      </c>
      <c r="U238" s="375">
        <v>12773</v>
      </c>
      <c r="V238" s="382"/>
      <c r="W238" s="383"/>
    </row>
    <row r="239" spans="1:46" s="384" customFormat="1">
      <c r="A239" s="373">
        <v>42249</v>
      </c>
      <c r="B239" s="887">
        <v>27531</v>
      </c>
      <c r="C239" s="375"/>
      <c r="D239" s="375"/>
      <c r="E239" s="377">
        <v>215</v>
      </c>
      <c r="F239" s="375">
        <v>11</v>
      </c>
      <c r="G239" s="377">
        <v>205</v>
      </c>
      <c r="H239" s="375"/>
      <c r="I239" s="377">
        <v>155</v>
      </c>
      <c r="J239" s="375"/>
      <c r="K239" s="474"/>
      <c r="L239" s="376">
        <v>110</v>
      </c>
      <c r="M239" s="379">
        <v>12</v>
      </c>
      <c r="N239" s="376">
        <v>60</v>
      </c>
      <c r="O239" s="596"/>
      <c r="P239" s="595">
        <v>15</v>
      </c>
      <c r="Q239" s="943"/>
      <c r="R239" s="376">
        <f t="shared" si="9"/>
        <v>2975</v>
      </c>
      <c r="S239" s="376">
        <f t="shared" si="10"/>
        <v>148.75</v>
      </c>
      <c r="T239" s="376">
        <f t="shared" si="11"/>
        <v>3123.75</v>
      </c>
      <c r="U239" s="375">
        <v>12773</v>
      </c>
      <c r="V239" s="382"/>
      <c r="W239" s="383"/>
    </row>
    <row r="240" spans="1:46" s="384" customFormat="1">
      <c r="A240" s="373">
        <v>42249</v>
      </c>
      <c r="B240" s="887">
        <v>27532</v>
      </c>
      <c r="C240" s="375"/>
      <c r="D240" s="375"/>
      <c r="E240" s="377">
        <v>215</v>
      </c>
      <c r="F240" s="375">
        <v>11</v>
      </c>
      <c r="G240" s="377">
        <v>205</v>
      </c>
      <c r="H240" s="375"/>
      <c r="I240" s="377">
        <v>155</v>
      </c>
      <c r="J240" s="375"/>
      <c r="K240" s="474"/>
      <c r="L240" s="376">
        <v>110</v>
      </c>
      <c r="M240" s="379">
        <v>12</v>
      </c>
      <c r="N240" s="376">
        <v>60</v>
      </c>
      <c r="O240" s="596"/>
      <c r="P240" s="595">
        <v>15</v>
      </c>
      <c r="Q240" s="943"/>
      <c r="R240" s="376">
        <f t="shared" si="9"/>
        <v>2975</v>
      </c>
      <c r="S240" s="376">
        <f t="shared" si="10"/>
        <v>148.75</v>
      </c>
      <c r="T240" s="376">
        <f t="shared" si="11"/>
        <v>3123.75</v>
      </c>
      <c r="U240" s="375">
        <v>12773</v>
      </c>
      <c r="V240" s="382"/>
      <c r="W240" s="383"/>
    </row>
    <row r="241" spans="1:46" s="559" customFormat="1">
      <c r="A241" s="373">
        <v>42249</v>
      </c>
      <c r="B241" s="887">
        <v>27533</v>
      </c>
      <c r="C241" s="375"/>
      <c r="D241" s="375"/>
      <c r="E241" s="377">
        <v>215</v>
      </c>
      <c r="F241" s="375">
        <v>11</v>
      </c>
      <c r="G241" s="377">
        <v>205</v>
      </c>
      <c r="H241" s="375"/>
      <c r="I241" s="377">
        <v>155</v>
      </c>
      <c r="J241" s="375"/>
      <c r="K241" s="474"/>
      <c r="L241" s="376">
        <v>110</v>
      </c>
      <c r="M241" s="379">
        <v>12</v>
      </c>
      <c r="N241" s="376">
        <v>60</v>
      </c>
      <c r="O241" s="596"/>
      <c r="P241" s="595">
        <v>15</v>
      </c>
      <c r="Q241" s="943"/>
      <c r="R241" s="376">
        <f t="shared" si="9"/>
        <v>2975</v>
      </c>
      <c r="S241" s="376">
        <f t="shared" si="10"/>
        <v>148.75</v>
      </c>
      <c r="T241" s="376">
        <f t="shared" si="11"/>
        <v>3123.75</v>
      </c>
      <c r="U241" s="375">
        <v>12773</v>
      </c>
      <c r="V241" s="382"/>
      <c r="W241" s="626"/>
      <c r="AA241" s="384"/>
      <c r="AB241" s="384"/>
      <c r="AC241" s="384"/>
      <c r="AD241" s="384"/>
      <c r="AE241" s="384"/>
      <c r="AF241" s="384"/>
      <c r="AG241" s="384"/>
      <c r="AH241" s="384"/>
      <c r="AI241" s="384"/>
      <c r="AJ241" s="384"/>
      <c r="AK241" s="384"/>
      <c r="AL241" s="384"/>
      <c r="AM241" s="384"/>
      <c r="AN241" s="384"/>
      <c r="AO241" s="384"/>
      <c r="AP241" s="384"/>
      <c r="AQ241" s="384"/>
      <c r="AR241" s="384"/>
      <c r="AS241" s="384"/>
      <c r="AT241" s="384"/>
    </row>
    <row r="242" spans="1:46" s="559" customFormat="1">
      <c r="A242" s="817">
        <v>42249</v>
      </c>
      <c r="B242" s="697">
        <v>27529</v>
      </c>
      <c r="C242" s="818"/>
      <c r="D242" s="818"/>
      <c r="E242" s="702">
        <v>215</v>
      </c>
      <c r="F242" s="818">
        <v>12</v>
      </c>
      <c r="G242" s="702">
        <v>205</v>
      </c>
      <c r="H242" s="818"/>
      <c r="I242" s="702">
        <v>155</v>
      </c>
      <c r="J242" s="818"/>
      <c r="K242" s="699"/>
      <c r="L242" s="700">
        <v>110</v>
      </c>
      <c r="M242" s="701">
        <v>13</v>
      </c>
      <c r="N242" s="700">
        <v>60</v>
      </c>
      <c r="O242" s="875"/>
      <c r="P242" s="874">
        <v>15</v>
      </c>
      <c r="Q242" s="945"/>
      <c r="R242" s="700">
        <f t="shared" si="9"/>
        <v>3240</v>
      </c>
      <c r="S242" s="700">
        <f t="shared" si="10"/>
        <v>162</v>
      </c>
      <c r="T242" s="700">
        <f t="shared" si="11"/>
        <v>3402</v>
      </c>
      <c r="U242" s="818">
        <v>12816</v>
      </c>
      <c r="V242" s="830"/>
      <c r="W242" s="626"/>
    </row>
    <row r="243" spans="1:46" s="559" customFormat="1">
      <c r="A243" s="817">
        <v>42250</v>
      </c>
      <c r="B243" s="697">
        <v>27534</v>
      </c>
      <c r="C243" s="818">
        <v>1</v>
      </c>
      <c r="D243" s="818"/>
      <c r="E243" s="702">
        <v>215</v>
      </c>
      <c r="F243" s="818"/>
      <c r="G243" s="702">
        <v>205</v>
      </c>
      <c r="H243" s="818">
        <v>12</v>
      </c>
      <c r="I243" s="702">
        <v>155</v>
      </c>
      <c r="J243" s="818"/>
      <c r="K243" s="699">
        <v>1</v>
      </c>
      <c r="L243" s="700">
        <v>110</v>
      </c>
      <c r="M243" s="701"/>
      <c r="N243" s="700">
        <v>60</v>
      </c>
      <c r="O243" s="875"/>
      <c r="P243" s="874">
        <v>15</v>
      </c>
      <c r="Q243" s="945"/>
      <c r="R243" s="700">
        <f t="shared" si="9"/>
        <v>1970</v>
      </c>
      <c r="S243" s="700">
        <f t="shared" si="10"/>
        <v>98.5</v>
      </c>
      <c r="T243" s="700">
        <f t="shared" si="11"/>
        <v>2068.5</v>
      </c>
      <c r="U243" s="818">
        <v>12816</v>
      </c>
      <c r="V243" s="830"/>
      <c r="W243" s="626"/>
    </row>
    <row r="244" spans="1:46" s="559" customFormat="1">
      <c r="A244" s="817">
        <v>42250</v>
      </c>
      <c r="B244" s="697">
        <v>27535</v>
      </c>
      <c r="C244" s="818">
        <v>1</v>
      </c>
      <c r="D244" s="818"/>
      <c r="E244" s="702">
        <v>215</v>
      </c>
      <c r="F244" s="818"/>
      <c r="G244" s="702">
        <v>205</v>
      </c>
      <c r="H244" s="818">
        <v>12</v>
      </c>
      <c r="I244" s="702">
        <v>155</v>
      </c>
      <c r="J244" s="818"/>
      <c r="K244" s="699"/>
      <c r="L244" s="700">
        <v>110</v>
      </c>
      <c r="M244" s="701"/>
      <c r="N244" s="700">
        <v>60</v>
      </c>
      <c r="O244" s="875"/>
      <c r="P244" s="874">
        <v>15</v>
      </c>
      <c r="Q244" s="945"/>
      <c r="R244" s="700">
        <f t="shared" si="9"/>
        <v>1860</v>
      </c>
      <c r="S244" s="700">
        <f t="shared" si="10"/>
        <v>93</v>
      </c>
      <c r="T244" s="700">
        <f t="shared" si="11"/>
        <v>1953</v>
      </c>
      <c r="U244" s="818">
        <v>12816</v>
      </c>
      <c r="V244" s="830"/>
      <c r="W244" s="626"/>
    </row>
    <row r="245" spans="1:46" s="559" customFormat="1">
      <c r="A245" s="817">
        <v>42250</v>
      </c>
      <c r="B245" s="697">
        <v>27536</v>
      </c>
      <c r="C245" s="818">
        <v>2</v>
      </c>
      <c r="D245" s="818"/>
      <c r="E245" s="702">
        <v>215</v>
      </c>
      <c r="F245" s="818">
        <v>12</v>
      </c>
      <c r="G245" s="702">
        <v>205</v>
      </c>
      <c r="H245" s="818"/>
      <c r="I245" s="702">
        <v>155</v>
      </c>
      <c r="J245" s="818"/>
      <c r="K245" s="699"/>
      <c r="L245" s="700">
        <v>110</v>
      </c>
      <c r="M245" s="701">
        <v>13</v>
      </c>
      <c r="N245" s="700">
        <v>60</v>
      </c>
      <c r="O245" s="875"/>
      <c r="P245" s="874">
        <v>15</v>
      </c>
      <c r="Q245" s="945"/>
      <c r="R245" s="700">
        <f t="shared" si="9"/>
        <v>3240</v>
      </c>
      <c r="S245" s="700">
        <f t="shared" si="10"/>
        <v>162</v>
      </c>
      <c r="T245" s="700">
        <f t="shared" si="11"/>
        <v>3402</v>
      </c>
      <c r="U245" s="818">
        <v>12816</v>
      </c>
      <c r="V245" s="830"/>
      <c r="W245" s="626"/>
    </row>
    <row r="246" spans="1:46" s="559" customFormat="1">
      <c r="A246" s="817">
        <v>42250</v>
      </c>
      <c r="B246" s="697">
        <v>27537</v>
      </c>
      <c r="C246" s="818">
        <v>2</v>
      </c>
      <c r="D246" s="818"/>
      <c r="E246" s="702">
        <v>215</v>
      </c>
      <c r="F246" s="818">
        <v>11</v>
      </c>
      <c r="G246" s="702">
        <v>205</v>
      </c>
      <c r="H246" s="818"/>
      <c r="I246" s="702">
        <v>155</v>
      </c>
      <c r="J246" s="818"/>
      <c r="K246" s="699"/>
      <c r="L246" s="700">
        <v>110</v>
      </c>
      <c r="M246" s="701">
        <v>12</v>
      </c>
      <c r="N246" s="700">
        <v>60</v>
      </c>
      <c r="O246" s="875"/>
      <c r="P246" s="874">
        <v>15</v>
      </c>
      <c r="Q246" s="945"/>
      <c r="R246" s="700">
        <f t="shared" si="9"/>
        <v>2975</v>
      </c>
      <c r="S246" s="700">
        <f t="shared" si="10"/>
        <v>148.75</v>
      </c>
      <c r="T246" s="700">
        <f t="shared" si="11"/>
        <v>3123.75</v>
      </c>
      <c r="U246" s="818">
        <v>12816</v>
      </c>
      <c r="V246" s="830"/>
      <c r="W246" s="626"/>
    </row>
    <row r="247" spans="1:46" s="559" customFormat="1">
      <c r="A247" s="817">
        <v>42250</v>
      </c>
      <c r="B247" s="697">
        <v>27538</v>
      </c>
      <c r="C247" s="818">
        <v>2</v>
      </c>
      <c r="D247" s="818"/>
      <c r="E247" s="702">
        <v>215</v>
      </c>
      <c r="F247" s="818">
        <v>11</v>
      </c>
      <c r="G247" s="702">
        <v>205</v>
      </c>
      <c r="H247" s="818"/>
      <c r="I247" s="702">
        <v>155</v>
      </c>
      <c r="J247" s="818"/>
      <c r="K247" s="699"/>
      <c r="L247" s="700">
        <v>110</v>
      </c>
      <c r="M247" s="701">
        <v>12</v>
      </c>
      <c r="N247" s="700">
        <v>60</v>
      </c>
      <c r="O247" s="875"/>
      <c r="P247" s="874">
        <v>15</v>
      </c>
      <c r="Q247" s="945"/>
      <c r="R247" s="700">
        <f t="shared" si="9"/>
        <v>2975</v>
      </c>
      <c r="S247" s="700">
        <f t="shared" si="10"/>
        <v>148.75</v>
      </c>
      <c r="T247" s="700">
        <f t="shared" si="11"/>
        <v>3123.75</v>
      </c>
      <c r="U247" s="818">
        <v>12816</v>
      </c>
      <c r="V247" s="830"/>
      <c r="W247" s="626"/>
    </row>
    <row r="248" spans="1:46" s="559" customFormat="1">
      <c r="A248" s="817">
        <v>42250</v>
      </c>
      <c r="B248" s="697">
        <v>27539</v>
      </c>
      <c r="C248" s="818">
        <v>2</v>
      </c>
      <c r="D248" s="818"/>
      <c r="E248" s="702">
        <v>215</v>
      </c>
      <c r="F248" s="818">
        <v>11</v>
      </c>
      <c r="G248" s="702">
        <v>205</v>
      </c>
      <c r="H248" s="818"/>
      <c r="I248" s="702">
        <v>155</v>
      </c>
      <c r="J248" s="818"/>
      <c r="K248" s="699"/>
      <c r="L248" s="700">
        <v>110</v>
      </c>
      <c r="M248" s="701">
        <v>12</v>
      </c>
      <c r="N248" s="700">
        <v>60</v>
      </c>
      <c r="O248" s="875"/>
      <c r="P248" s="874">
        <v>15</v>
      </c>
      <c r="Q248" s="945"/>
      <c r="R248" s="700">
        <f t="shared" si="9"/>
        <v>2975</v>
      </c>
      <c r="S248" s="700">
        <f t="shared" si="10"/>
        <v>148.75</v>
      </c>
      <c r="T248" s="700">
        <f t="shared" si="11"/>
        <v>3123.75</v>
      </c>
      <c r="U248" s="818">
        <v>12816</v>
      </c>
      <c r="V248" s="830"/>
      <c r="W248" s="626"/>
    </row>
    <row r="249" spans="1:46" s="559" customFormat="1">
      <c r="A249" s="817">
        <v>42250</v>
      </c>
      <c r="B249" s="697">
        <v>27540</v>
      </c>
      <c r="C249" s="818">
        <v>2</v>
      </c>
      <c r="D249" s="818"/>
      <c r="E249" s="702">
        <v>215</v>
      </c>
      <c r="F249" s="818">
        <v>11</v>
      </c>
      <c r="G249" s="702">
        <v>205</v>
      </c>
      <c r="H249" s="818"/>
      <c r="I249" s="702">
        <v>155</v>
      </c>
      <c r="J249" s="818"/>
      <c r="K249" s="699"/>
      <c r="L249" s="700">
        <v>110</v>
      </c>
      <c r="M249" s="701">
        <v>12</v>
      </c>
      <c r="N249" s="700">
        <v>60</v>
      </c>
      <c r="O249" s="875"/>
      <c r="P249" s="874">
        <v>15</v>
      </c>
      <c r="Q249" s="945"/>
      <c r="R249" s="700">
        <f t="shared" si="9"/>
        <v>2975</v>
      </c>
      <c r="S249" s="700">
        <f t="shared" si="10"/>
        <v>148.75</v>
      </c>
      <c r="T249" s="700">
        <f t="shared" si="11"/>
        <v>3123.75</v>
      </c>
      <c r="U249" s="818">
        <v>12816</v>
      </c>
      <c r="V249" s="830"/>
      <c r="W249" s="626"/>
    </row>
    <row r="250" spans="1:46" s="559" customFormat="1">
      <c r="A250" s="817">
        <v>42251</v>
      </c>
      <c r="B250" s="697">
        <v>27541</v>
      </c>
      <c r="C250" s="818">
        <v>1</v>
      </c>
      <c r="D250" s="818"/>
      <c r="E250" s="702">
        <v>215</v>
      </c>
      <c r="F250" s="818"/>
      <c r="G250" s="702">
        <v>205</v>
      </c>
      <c r="H250" s="818">
        <v>13.5</v>
      </c>
      <c r="I250" s="702">
        <v>155</v>
      </c>
      <c r="J250" s="818"/>
      <c r="K250" s="699">
        <v>1</v>
      </c>
      <c r="L250" s="700">
        <v>110</v>
      </c>
      <c r="M250" s="701"/>
      <c r="N250" s="700">
        <v>60</v>
      </c>
      <c r="O250" s="875"/>
      <c r="P250" s="874">
        <v>15</v>
      </c>
      <c r="Q250" s="945"/>
      <c r="R250" s="700">
        <f t="shared" si="9"/>
        <v>2202.5</v>
      </c>
      <c r="S250" s="700">
        <f t="shared" si="10"/>
        <v>110.125</v>
      </c>
      <c r="T250" s="700">
        <f t="shared" si="11"/>
        <v>2312.625</v>
      </c>
      <c r="U250" s="818">
        <v>12816</v>
      </c>
      <c r="V250" s="830"/>
      <c r="W250" s="626"/>
    </row>
    <row r="251" spans="1:46" s="559" customFormat="1">
      <c r="A251" s="817">
        <v>42251</v>
      </c>
      <c r="B251" s="697">
        <v>27542</v>
      </c>
      <c r="C251" s="818">
        <v>2</v>
      </c>
      <c r="D251" s="818"/>
      <c r="E251" s="702">
        <v>215</v>
      </c>
      <c r="F251" s="818">
        <v>11.5</v>
      </c>
      <c r="G251" s="702">
        <v>205</v>
      </c>
      <c r="H251" s="818"/>
      <c r="I251" s="702">
        <v>155</v>
      </c>
      <c r="J251" s="818"/>
      <c r="K251" s="699"/>
      <c r="L251" s="700">
        <v>110</v>
      </c>
      <c r="M251" s="701">
        <v>12.5</v>
      </c>
      <c r="N251" s="700">
        <v>60</v>
      </c>
      <c r="O251" s="875"/>
      <c r="P251" s="874">
        <v>15</v>
      </c>
      <c r="Q251" s="945"/>
      <c r="R251" s="700">
        <f t="shared" si="9"/>
        <v>3107.5</v>
      </c>
      <c r="S251" s="700">
        <f t="shared" si="10"/>
        <v>155.375</v>
      </c>
      <c r="T251" s="700">
        <f t="shared" si="11"/>
        <v>3262.875</v>
      </c>
      <c r="U251" s="818">
        <v>12816</v>
      </c>
      <c r="V251" s="830"/>
      <c r="W251" s="626"/>
    </row>
    <row r="252" spans="1:46" s="559" customFormat="1">
      <c r="A252" s="817">
        <v>42251</v>
      </c>
      <c r="B252" s="697">
        <v>27543</v>
      </c>
      <c r="C252" s="818">
        <v>2</v>
      </c>
      <c r="D252" s="818"/>
      <c r="E252" s="702">
        <v>215</v>
      </c>
      <c r="F252" s="818">
        <v>12.5</v>
      </c>
      <c r="G252" s="702">
        <v>205</v>
      </c>
      <c r="H252" s="818"/>
      <c r="I252" s="702">
        <v>155</v>
      </c>
      <c r="J252" s="818"/>
      <c r="K252" s="699"/>
      <c r="L252" s="700">
        <v>110</v>
      </c>
      <c r="M252" s="701">
        <v>13.5</v>
      </c>
      <c r="N252" s="700">
        <v>60</v>
      </c>
      <c r="O252" s="875"/>
      <c r="P252" s="874">
        <v>15</v>
      </c>
      <c r="Q252" s="945"/>
      <c r="R252" s="700">
        <f t="shared" si="9"/>
        <v>3372.5</v>
      </c>
      <c r="S252" s="700">
        <f t="shared" si="10"/>
        <v>168.625</v>
      </c>
      <c r="T252" s="700">
        <f t="shared" si="11"/>
        <v>3541.125</v>
      </c>
      <c r="U252" s="818">
        <v>12816</v>
      </c>
      <c r="V252" s="830"/>
      <c r="W252" s="626"/>
    </row>
    <row r="253" spans="1:46" s="559" customFormat="1">
      <c r="A253" s="817">
        <v>42252</v>
      </c>
      <c r="B253" s="697">
        <v>27544</v>
      </c>
      <c r="C253" s="818">
        <v>1</v>
      </c>
      <c r="D253" s="818"/>
      <c r="E253" s="702">
        <v>215</v>
      </c>
      <c r="F253" s="818"/>
      <c r="G253" s="702">
        <v>205</v>
      </c>
      <c r="H253" s="818">
        <v>14</v>
      </c>
      <c r="I253" s="702">
        <v>155</v>
      </c>
      <c r="J253" s="818"/>
      <c r="K253" s="699">
        <v>1</v>
      </c>
      <c r="L253" s="700">
        <v>110</v>
      </c>
      <c r="M253" s="701"/>
      <c r="N253" s="700">
        <v>60</v>
      </c>
      <c r="O253" s="875"/>
      <c r="P253" s="874">
        <v>15</v>
      </c>
      <c r="Q253" s="945"/>
      <c r="R253" s="700">
        <f t="shared" si="9"/>
        <v>2280</v>
      </c>
      <c r="S253" s="700">
        <f t="shared" si="10"/>
        <v>114</v>
      </c>
      <c r="T253" s="700">
        <f t="shared" si="11"/>
        <v>2394</v>
      </c>
      <c r="U253" s="818">
        <v>12816</v>
      </c>
      <c r="V253" s="830"/>
      <c r="W253" s="626"/>
    </row>
    <row r="254" spans="1:46" s="559" customFormat="1">
      <c r="A254" s="817">
        <v>42252</v>
      </c>
      <c r="B254" s="697">
        <v>27545</v>
      </c>
      <c r="C254" s="818">
        <v>2</v>
      </c>
      <c r="D254" s="818"/>
      <c r="E254" s="702">
        <v>215</v>
      </c>
      <c r="F254" s="818">
        <v>15</v>
      </c>
      <c r="G254" s="702">
        <v>205</v>
      </c>
      <c r="H254" s="818"/>
      <c r="I254" s="702">
        <v>155</v>
      </c>
      <c r="J254" s="818"/>
      <c r="K254" s="699"/>
      <c r="L254" s="700">
        <v>110</v>
      </c>
      <c r="M254" s="701">
        <v>16</v>
      </c>
      <c r="N254" s="700">
        <v>60</v>
      </c>
      <c r="O254" s="875"/>
      <c r="P254" s="874">
        <v>15</v>
      </c>
      <c r="Q254" s="945"/>
      <c r="R254" s="700">
        <f t="shared" si="9"/>
        <v>4035</v>
      </c>
      <c r="S254" s="700">
        <f t="shared" si="10"/>
        <v>201.75</v>
      </c>
      <c r="T254" s="700">
        <f t="shared" si="11"/>
        <v>4236.75</v>
      </c>
      <c r="U254" s="818">
        <v>12816</v>
      </c>
      <c r="V254" s="830"/>
      <c r="W254" s="626"/>
    </row>
    <row r="255" spans="1:46" s="559" customFormat="1">
      <c r="A255" s="817">
        <v>42252</v>
      </c>
      <c r="B255" s="697">
        <v>27546</v>
      </c>
      <c r="C255" s="818">
        <v>2</v>
      </c>
      <c r="D255" s="818"/>
      <c r="E255" s="702">
        <v>215</v>
      </c>
      <c r="F255" s="818">
        <v>15</v>
      </c>
      <c r="G255" s="702">
        <v>205</v>
      </c>
      <c r="H255" s="818"/>
      <c r="I255" s="702">
        <v>155</v>
      </c>
      <c r="J255" s="818"/>
      <c r="K255" s="699"/>
      <c r="L255" s="700">
        <v>110</v>
      </c>
      <c r="M255" s="701">
        <v>16</v>
      </c>
      <c r="N255" s="700">
        <v>60</v>
      </c>
      <c r="O255" s="875"/>
      <c r="P255" s="874">
        <v>15</v>
      </c>
      <c r="Q255" s="945"/>
      <c r="R255" s="700">
        <f t="shared" si="9"/>
        <v>4035</v>
      </c>
      <c r="S255" s="700">
        <f t="shared" si="10"/>
        <v>201.75</v>
      </c>
      <c r="T255" s="700">
        <f t="shared" si="11"/>
        <v>4236.75</v>
      </c>
      <c r="U255" s="818">
        <v>12816</v>
      </c>
      <c r="V255" s="830"/>
      <c r="W255" s="626"/>
    </row>
    <row r="256" spans="1:46" s="559" customFormat="1">
      <c r="A256" s="817">
        <v>42252</v>
      </c>
      <c r="B256" s="697">
        <v>27547</v>
      </c>
      <c r="C256" s="818">
        <v>2</v>
      </c>
      <c r="D256" s="818"/>
      <c r="E256" s="702">
        <v>215</v>
      </c>
      <c r="F256" s="818">
        <v>15</v>
      </c>
      <c r="G256" s="702">
        <v>205</v>
      </c>
      <c r="H256" s="818"/>
      <c r="I256" s="702">
        <v>155</v>
      </c>
      <c r="J256" s="818"/>
      <c r="K256" s="699"/>
      <c r="L256" s="700">
        <v>110</v>
      </c>
      <c r="M256" s="701">
        <v>16</v>
      </c>
      <c r="N256" s="700">
        <v>60</v>
      </c>
      <c r="O256" s="875"/>
      <c r="P256" s="874">
        <v>15</v>
      </c>
      <c r="Q256" s="945"/>
      <c r="R256" s="700">
        <f t="shared" si="9"/>
        <v>4035</v>
      </c>
      <c r="S256" s="700">
        <f t="shared" si="10"/>
        <v>201.75</v>
      </c>
      <c r="T256" s="700">
        <f t="shared" si="11"/>
        <v>4236.75</v>
      </c>
      <c r="U256" s="818">
        <v>12816</v>
      </c>
      <c r="V256" s="830"/>
      <c r="W256" s="626"/>
    </row>
    <row r="257" spans="1:46" s="559" customFormat="1">
      <c r="A257" s="817">
        <v>42255</v>
      </c>
      <c r="B257" s="697">
        <v>27548</v>
      </c>
      <c r="C257" s="818">
        <v>1</v>
      </c>
      <c r="D257" s="818"/>
      <c r="E257" s="702">
        <v>215</v>
      </c>
      <c r="F257" s="818"/>
      <c r="G257" s="702">
        <v>205</v>
      </c>
      <c r="H257" s="818">
        <v>9</v>
      </c>
      <c r="I257" s="702">
        <v>155</v>
      </c>
      <c r="J257" s="818"/>
      <c r="K257" s="699">
        <v>1</v>
      </c>
      <c r="L257" s="700">
        <v>110</v>
      </c>
      <c r="M257" s="701"/>
      <c r="N257" s="700">
        <v>60</v>
      </c>
      <c r="O257" s="875">
        <v>45</v>
      </c>
      <c r="P257" s="874">
        <v>15</v>
      </c>
      <c r="Q257" s="945"/>
      <c r="R257" s="700">
        <f t="shared" si="9"/>
        <v>2180</v>
      </c>
      <c r="S257" s="700">
        <f t="shared" si="10"/>
        <v>109</v>
      </c>
      <c r="T257" s="700">
        <f t="shared" si="11"/>
        <v>2289</v>
      </c>
      <c r="U257" s="818">
        <v>12816</v>
      </c>
      <c r="V257" s="830"/>
      <c r="W257" s="626"/>
    </row>
    <row r="258" spans="1:46" s="559" customFormat="1">
      <c r="A258" s="817">
        <v>42255</v>
      </c>
      <c r="B258" s="697">
        <v>27549</v>
      </c>
      <c r="C258" s="818">
        <v>2</v>
      </c>
      <c r="D258" s="818"/>
      <c r="E258" s="702">
        <v>215</v>
      </c>
      <c r="F258" s="818">
        <v>9</v>
      </c>
      <c r="G258" s="702">
        <v>205</v>
      </c>
      <c r="H258" s="818"/>
      <c r="I258" s="702">
        <v>155</v>
      </c>
      <c r="J258" s="818"/>
      <c r="K258" s="699"/>
      <c r="L258" s="700">
        <v>110</v>
      </c>
      <c r="M258" s="701">
        <v>9</v>
      </c>
      <c r="N258" s="700">
        <v>60</v>
      </c>
      <c r="O258" s="875"/>
      <c r="P258" s="874">
        <v>15</v>
      </c>
      <c r="Q258" s="945"/>
      <c r="R258" s="700">
        <f t="shared" si="9"/>
        <v>2385</v>
      </c>
      <c r="S258" s="700">
        <f t="shared" si="10"/>
        <v>119.25</v>
      </c>
      <c r="T258" s="700">
        <f t="shared" si="11"/>
        <v>2504.25</v>
      </c>
      <c r="U258" s="818">
        <v>12816</v>
      </c>
      <c r="V258" s="830"/>
      <c r="W258" s="626"/>
    </row>
    <row r="259" spans="1:46" s="559" customFormat="1">
      <c r="A259" s="817">
        <v>42256</v>
      </c>
      <c r="B259" s="697">
        <v>30326</v>
      </c>
      <c r="C259" s="818">
        <v>1</v>
      </c>
      <c r="D259" s="818"/>
      <c r="E259" s="702">
        <v>215</v>
      </c>
      <c r="F259" s="818"/>
      <c r="G259" s="702">
        <v>205</v>
      </c>
      <c r="H259" s="818">
        <v>13</v>
      </c>
      <c r="I259" s="702">
        <v>155</v>
      </c>
      <c r="J259" s="818"/>
      <c r="K259" s="699">
        <v>1</v>
      </c>
      <c r="L259" s="700">
        <v>110</v>
      </c>
      <c r="M259" s="701"/>
      <c r="N259" s="700">
        <v>60</v>
      </c>
      <c r="O259" s="875">
        <v>60</v>
      </c>
      <c r="P259" s="874">
        <v>15</v>
      </c>
      <c r="Q259" s="945"/>
      <c r="R259" s="700">
        <f t="shared" si="9"/>
        <v>3025</v>
      </c>
      <c r="S259" s="700">
        <f t="shared" si="10"/>
        <v>151.25</v>
      </c>
      <c r="T259" s="700">
        <f t="shared" si="11"/>
        <v>3176.25</v>
      </c>
      <c r="U259" s="818">
        <v>12816</v>
      </c>
      <c r="V259" s="830"/>
      <c r="W259" s="626"/>
    </row>
    <row r="260" spans="1:46" s="136" customFormat="1">
      <c r="A260" s="817">
        <v>42256</v>
      </c>
      <c r="B260" s="697">
        <v>30327</v>
      </c>
      <c r="C260" s="818">
        <v>2</v>
      </c>
      <c r="D260" s="818"/>
      <c r="E260" s="702">
        <v>215</v>
      </c>
      <c r="F260" s="818">
        <v>12</v>
      </c>
      <c r="G260" s="702">
        <v>205</v>
      </c>
      <c r="H260" s="818"/>
      <c r="I260" s="702">
        <v>155</v>
      </c>
      <c r="J260" s="818"/>
      <c r="K260" s="699"/>
      <c r="L260" s="700">
        <v>110</v>
      </c>
      <c r="M260" s="701">
        <v>13</v>
      </c>
      <c r="N260" s="700">
        <v>60</v>
      </c>
      <c r="O260" s="875"/>
      <c r="P260" s="874">
        <v>15</v>
      </c>
      <c r="Q260" s="945"/>
      <c r="R260" s="700">
        <f t="shared" si="9"/>
        <v>3240</v>
      </c>
      <c r="S260" s="700">
        <f t="shared" si="10"/>
        <v>162</v>
      </c>
      <c r="T260" s="700">
        <f t="shared" si="11"/>
        <v>3402</v>
      </c>
      <c r="U260" s="818">
        <v>12816</v>
      </c>
      <c r="V260" s="830"/>
      <c r="W260" s="148"/>
      <c r="AA260" s="559"/>
      <c r="AB260" s="559"/>
      <c r="AC260" s="559"/>
      <c r="AD260" s="559"/>
      <c r="AE260" s="559"/>
      <c r="AF260" s="559"/>
      <c r="AG260" s="559"/>
      <c r="AH260" s="559"/>
      <c r="AI260" s="559"/>
      <c r="AJ260" s="559"/>
      <c r="AK260" s="559"/>
      <c r="AL260" s="559"/>
      <c r="AM260" s="559"/>
      <c r="AN260" s="559"/>
      <c r="AO260" s="559"/>
      <c r="AP260" s="559"/>
      <c r="AQ260" s="559"/>
      <c r="AR260" s="559"/>
      <c r="AS260" s="559"/>
      <c r="AT260" s="559"/>
    </row>
    <row r="261" spans="1:46" s="136" customFormat="1">
      <c r="A261" s="137">
        <v>42257</v>
      </c>
      <c r="B261" s="841">
        <v>30328</v>
      </c>
      <c r="C261" s="140">
        <v>2</v>
      </c>
      <c r="D261" s="140"/>
      <c r="E261" s="143">
        <v>215</v>
      </c>
      <c r="F261" s="140">
        <v>4</v>
      </c>
      <c r="G261" s="143">
        <v>205</v>
      </c>
      <c r="H261" s="140"/>
      <c r="I261" s="143">
        <v>155</v>
      </c>
      <c r="J261" s="140"/>
      <c r="K261" s="131"/>
      <c r="L261" s="132">
        <v>110</v>
      </c>
      <c r="M261" s="133">
        <v>4</v>
      </c>
      <c r="N261" s="132">
        <v>60</v>
      </c>
      <c r="O261" s="844"/>
      <c r="P261" s="505">
        <v>15</v>
      </c>
      <c r="Q261" s="947"/>
      <c r="R261" s="132">
        <f t="shared" si="9"/>
        <v>1060</v>
      </c>
      <c r="S261" s="132">
        <f t="shared" si="10"/>
        <v>53</v>
      </c>
      <c r="T261" s="132">
        <f t="shared" si="11"/>
        <v>1113</v>
      </c>
      <c r="U261" s="140">
        <v>12826</v>
      </c>
      <c r="V261" s="141"/>
      <c r="W261" s="148"/>
    </row>
    <row r="262" spans="1:46" s="136" customFormat="1">
      <c r="A262" s="137">
        <v>42257</v>
      </c>
      <c r="B262" s="841">
        <v>30329</v>
      </c>
      <c r="C262" s="140">
        <v>1</v>
      </c>
      <c r="D262" s="140"/>
      <c r="E262" s="143">
        <v>215</v>
      </c>
      <c r="F262" s="140"/>
      <c r="G262" s="143">
        <v>205</v>
      </c>
      <c r="H262" s="140">
        <v>13</v>
      </c>
      <c r="I262" s="143">
        <v>155</v>
      </c>
      <c r="J262" s="140"/>
      <c r="K262" s="131"/>
      <c r="L262" s="132">
        <v>110</v>
      </c>
      <c r="M262" s="133"/>
      <c r="N262" s="132">
        <v>60</v>
      </c>
      <c r="O262" s="844">
        <v>96</v>
      </c>
      <c r="P262" s="505">
        <v>15</v>
      </c>
      <c r="Q262" s="947"/>
      <c r="R262" s="132">
        <f t="shared" ref="R262:R317" si="12">(D262*E262)+(K262*L262)+(M262*N262)+(O262*P262)+(F262*G262)+(H262*I262)</f>
        <v>3455</v>
      </c>
      <c r="S262" s="132">
        <f t="shared" ref="S262:S317" si="13">(R262*5%)</f>
        <v>172.75</v>
      </c>
      <c r="T262" s="132">
        <f t="shared" ref="T262:T317" si="14">SUM(R262+S262)</f>
        <v>3627.75</v>
      </c>
      <c r="U262" s="140">
        <v>12826</v>
      </c>
      <c r="V262" s="141"/>
      <c r="W262" s="148"/>
    </row>
    <row r="263" spans="1:46" s="136" customFormat="1">
      <c r="A263" s="137">
        <v>42257</v>
      </c>
      <c r="B263" s="841">
        <v>30330</v>
      </c>
      <c r="C263" s="140">
        <v>2</v>
      </c>
      <c r="D263" s="140"/>
      <c r="E263" s="143">
        <v>215</v>
      </c>
      <c r="F263" s="140">
        <v>12</v>
      </c>
      <c r="G263" s="143">
        <v>205</v>
      </c>
      <c r="H263" s="140"/>
      <c r="I263" s="143">
        <v>155</v>
      </c>
      <c r="J263" s="140"/>
      <c r="K263" s="131">
        <v>1</v>
      </c>
      <c r="L263" s="132">
        <v>110</v>
      </c>
      <c r="M263" s="133">
        <v>13</v>
      </c>
      <c r="N263" s="132">
        <v>60</v>
      </c>
      <c r="O263" s="844"/>
      <c r="P263" s="505">
        <v>15</v>
      </c>
      <c r="Q263" s="947"/>
      <c r="R263" s="132">
        <f t="shared" si="12"/>
        <v>3350</v>
      </c>
      <c r="S263" s="132">
        <f t="shared" si="13"/>
        <v>167.5</v>
      </c>
      <c r="T263" s="132">
        <f t="shared" si="14"/>
        <v>3517.5</v>
      </c>
      <c r="U263" s="140">
        <v>12826</v>
      </c>
      <c r="V263" s="141"/>
      <c r="W263" s="148"/>
    </row>
    <row r="264" spans="1:46" s="136" customFormat="1">
      <c r="A264" s="137">
        <v>42258</v>
      </c>
      <c r="B264" s="841">
        <v>30331</v>
      </c>
      <c r="C264" s="140">
        <v>2</v>
      </c>
      <c r="D264" s="140"/>
      <c r="E264" s="143">
        <v>215</v>
      </c>
      <c r="F264" s="140">
        <v>12</v>
      </c>
      <c r="G264" s="143">
        <v>205</v>
      </c>
      <c r="H264" s="140"/>
      <c r="I264" s="143">
        <v>155</v>
      </c>
      <c r="J264" s="140"/>
      <c r="K264" s="131">
        <v>1</v>
      </c>
      <c r="L264" s="132">
        <v>110</v>
      </c>
      <c r="M264" s="133">
        <v>13</v>
      </c>
      <c r="N264" s="132">
        <v>60</v>
      </c>
      <c r="O264" s="844"/>
      <c r="P264" s="505">
        <v>15</v>
      </c>
      <c r="Q264" s="947"/>
      <c r="R264" s="132">
        <f t="shared" si="12"/>
        <v>3350</v>
      </c>
      <c r="S264" s="132">
        <f t="shared" si="13"/>
        <v>167.5</v>
      </c>
      <c r="T264" s="132">
        <f t="shared" si="14"/>
        <v>3517.5</v>
      </c>
      <c r="U264" s="140">
        <v>12826</v>
      </c>
      <c r="V264" s="141"/>
      <c r="W264" s="148"/>
    </row>
    <row r="265" spans="1:46" s="559" customFormat="1">
      <c r="A265" s="137">
        <v>42258</v>
      </c>
      <c r="B265" s="841">
        <v>30332</v>
      </c>
      <c r="C265" s="140">
        <v>1</v>
      </c>
      <c r="D265" s="140"/>
      <c r="E265" s="143">
        <v>215</v>
      </c>
      <c r="F265" s="140"/>
      <c r="G265" s="143">
        <v>205</v>
      </c>
      <c r="H265" s="140">
        <v>13</v>
      </c>
      <c r="I265" s="143">
        <v>155</v>
      </c>
      <c r="J265" s="140"/>
      <c r="K265" s="131"/>
      <c r="L265" s="132">
        <v>110</v>
      </c>
      <c r="M265" s="133"/>
      <c r="N265" s="132">
        <v>60</v>
      </c>
      <c r="O265" s="844"/>
      <c r="P265" s="505">
        <v>15</v>
      </c>
      <c r="Q265" s="947"/>
      <c r="R265" s="132">
        <f t="shared" si="12"/>
        <v>2015</v>
      </c>
      <c r="S265" s="132">
        <f t="shared" si="13"/>
        <v>100.75</v>
      </c>
      <c r="T265" s="132">
        <f t="shared" si="14"/>
        <v>2115.75</v>
      </c>
      <c r="U265" s="140">
        <v>12826</v>
      </c>
      <c r="V265" s="141"/>
      <c r="W265" s="626"/>
      <c r="AA265" s="136"/>
      <c r="AB265" s="136"/>
      <c r="AC265" s="136"/>
      <c r="AD265" s="136"/>
      <c r="AE265" s="136"/>
      <c r="AF265" s="136"/>
      <c r="AG265" s="136"/>
      <c r="AH265" s="136"/>
      <c r="AI265" s="136"/>
      <c r="AJ265" s="136"/>
      <c r="AK265" s="136"/>
      <c r="AL265" s="136"/>
      <c r="AM265" s="136"/>
      <c r="AN265" s="136"/>
      <c r="AO265" s="136"/>
      <c r="AP265" s="136"/>
      <c r="AQ265" s="136"/>
      <c r="AR265" s="136"/>
      <c r="AS265" s="136"/>
      <c r="AT265" s="136"/>
    </row>
    <row r="266" spans="1:46" s="559" customFormat="1">
      <c r="A266" s="817">
        <v>42260</v>
      </c>
      <c r="B266" s="697">
        <v>30345</v>
      </c>
      <c r="C266" s="818">
        <v>2</v>
      </c>
      <c r="D266" s="818"/>
      <c r="E266" s="702">
        <v>215</v>
      </c>
      <c r="F266" s="818">
        <v>4.5</v>
      </c>
      <c r="G266" s="702">
        <v>205</v>
      </c>
      <c r="H266" s="818"/>
      <c r="I266" s="702">
        <v>155</v>
      </c>
      <c r="J266" s="818"/>
      <c r="K266" s="699"/>
      <c r="L266" s="700">
        <v>110</v>
      </c>
      <c r="M266" s="701">
        <v>4.5</v>
      </c>
      <c r="N266" s="700">
        <v>60</v>
      </c>
      <c r="O266" s="875"/>
      <c r="P266" s="874">
        <v>15</v>
      </c>
      <c r="Q266" s="945"/>
      <c r="R266" s="700">
        <f t="shared" si="12"/>
        <v>1192.5</v>
      </c>
      <c r="S266" s="700">
        <f t="shared" si="13"/>
        <v>59.625</v>
      </c>
      <c r="T266" s="700">
        <f t="shared" si="14"/>
        <v>1252.125</v>
      </c>
      <c r="U266" s="818">
        <v>12868</v>
      </c>
      <c r="V266" s="830"/>
      <c r="W266" s="626"/>
    </row>
    <row r="267" spans="1:46" s="559" customFormat="1">
      <c r="A267" s="817">
        <v>42264</v>
      </c>
      <c r="B267" s="697">
        <v>30344</v>
      </c>
      <c r="C267" s="818">
        <v>1</v>
      </c>
      <c r="D267" s="818"/>
      <c r="E267" s="702">
        <v>215</v>
      </c>
      <c r="F267" s="818"/>
      <c r="G267" s="702">
        <v>205</v>
      </c>
      <c r="H267" s="818">
        <v>13</v>
      </c>
      <c r="I267" s="702">
        <v>155</v>
      </c>
      <c r="J267" s="818"/>
      <c r="K267" s="699"/>
      <c r="L267" s="700">
        <v>110</v>
      </c>
      <c r="M267" s="701"/>
      <c r="N267" s="700">
        <v>60</v>
      </c>
      <c r="O267" s="875"/>
      <c r="P267" s="874">
        <v>15</v>
      </c>
      <c r="Q267" s="945"/>
      <c r="R267" s="700">
        <f t="shared" si="12"/>
        <v>2015</v>
      </c>
      <c r="S267" s="700">
        <f t="shared" si="13"/>
        <v>100.75</v>
      </c>
      <c r="T267" s="700">
        <f t="shared" si="14"/>
        <v>2115.75</v>
      </c>
      <c r="U267" s="818">
        <v>12868</v>
      </c>
      <c r="V267" s="830"/>
      <c r="W267" s="626"/>
    </row>
    <row r="268" spans="1:46" s="559" customFormat="1">
      <c r="A268" s="817">
        <v>42264</v>
      </c>
      <c r="B268" s="697">
        <v>30346</v>
      </c>
      <c r="C268" s="818">
        <v>2</v>
      </c>
      <c r="D268" s="818"/>
      <c r="E268" s="702">
        <v>215</v>
      </c>
      <c r="F268" s="818">
        <v>12</v>
      </c>
      <c r="G268" s="702">
        <v>205</v>
      </c>
      <c r="H268" s="818"/>
      <c r="I268" s="702">
        <v>155</v>
      </c>
      <c r="J268" s="818"/>
      <c r="K268" s="699">
        <v>1</v>
      </c>
      <c r="L268" s="700">
        <v>110</v>
      </c>
      <c r="M268" s="701">
        <v>13</v>
      </c>
      <c r="N268" s="700">
        <v>60</v>
      </c>
      <c r="O268" s="875"/>
      <c r="P268" s="874">
        <v>15</v>
      </c>
      <c r="Q268" s="945"/>
      <c r="R268" s="700">
        <f t="shared" si="12"/>
        <v>3350</v>
      </c>
      <c r="S268" s="700">
        <f t="shared" si="13"/>
        <v>167.5</v>
      </c>
      <c r="T268" s="700">
        <f t="shared" si="14"/>
        <v>3517.5</v>
      </c>
      <c r="U268" s="818">
        <v>12868</v>
      </c>
      <c r="V268" s="830"/>
      <c r="W268" s="626"/>
    </row>
    <row r="269" spans="1:46" s="559" customFormat="1">
      <c r="A269" s="817">
        <v>42264</v>
      </c>
      <c r="B269" s="697">
        <v>30347</v>
      </c>
      <c r="C269" s="818">
        <v>2</v>
      </c>
      <c r="D269" s="818">
        <v>9</v>
      </c>
      <c r="E269" s="702">
        <v>215</v>
      </c>
      <c r="F269" s="818"/>
      <c r="G269" s="702">
        <v>205</v>
      </c>
      <c r="H269" s="818"/>
      <c r="I269" s="702">
        <v>155</v>
      </c>
      <c r="J269" s="818"/>
      <c r="K269" s="699"/>
      <c r="L269" s="700">
        <v>110</v>
      </c>
      <c r="M269" s="701">
        <v>10</v>
      </c>
      <c r="N269" s="700">
        <v>60</v>
      </c>
      <c r="O269" s="875"/>
      <c r="P269" s="874">
        <v>15</v>
      </c>
      <c r="Q269" s="945"/>
      <c r="R269" s="700">
        <f t="shared" si="12"/>
        <v>2535</v>
      </c>
      <c r="S269" s="700">
        <f t="shared" si="13"/>
        <v>126.75</v>
      </c>
      <c r="T269" s="700">
        <f t="shared" si="14"/>
        <v>2661.75</v>
      </c>
      <c r="U269" s="818">
        <v>12868</v>
      </c>
      <c r="V269" s="830"/>
      <c r="W269" s="626"/>
    </row>
    <row r="270" spans="1:46" s="559" customFormat="1">
      <c r="A270" s="817">
        <v>42265</v>
      </c>
      <c r="B270" s="901" t="s">
        <v>417</v>
      </c>
      <c r="C270" s="818">
        <v>1</v>
      </c>
      <c r="D270" s="818"/>
      <c r="E270" s="702">
        <v>215</v>
      </c>
      <c r="F270" s="818">
        <v>12</v>
      </c>
      <c r="G270" s="702">
        <v>205</v>
      </c>
      <c r="H270" s="818"/>
      <c r="I270" s="702">
        <v>155</v>
      </c>
      <c r="J270" s="818"/>
      <c r="K270" s="699"/>
      <c r="L270" s="700">
        <v>110</v>
      </c>
      <c r="M270" s="701">
        <v>13</v>
      </c>
      <c r="N270" s="700">
        <v>60</v>
      </c>
      <c r="O270" s="875"/>
      <c r="P270" s="874">
        <v>15</v>
      </c>
      <c r="Q270" s="945"/>
      <c r="R270" s="700">
        <f t="shared" si="12"/>
        <v>3240</v>
      </c>
      <c r="S270" s="700">
        <f t="shared" si="13"/>
        <v>162</v>
      </c>
      <c r="T270" s="700">
        <f t="shared" si="14"/>
        <v>3402</v>
      </c>
      <c r="U270" s="818">
        <v>12868</v>
      </c>
      <c r="V270" s="830"/>
      <c r="W270" s="626"/>
    </row>
    <row r="271" spans="1:46" s="559" customFormat="1">
      <c r="A271" s="817">
        <v>42265</v>
      </c>
      <c r="B271" s="901" t="s">
        <v>418</v>
      </c>
      <c r="C271" s="818">
        <v>1</v>
      </c>
      <c r="D271" s="818"/>
      <c r="E271" s="702">
        <v>215</v>
      </c>
      <c r="F271" s="818"/>
      <c r="G271" s="702">
        <v>205</v>
      </c>
      <c r="H271" s="818">
        <v>13</v>
      </c>
      <c r="I271" s="702">
        <v>155</v>
      </c>
      <c r="J271" s="818"/>
      <c r="K271" s="699">
        <v>1</v>
      </c>
      <c r="L271" s="700">
        <v>110</v>
      </c>
      <c r="M271" s="701"/>
      <c r="N271" s="700">
        <v>60</v>
      </c>
      <c r="O271" s="875"/>
      <c r="P271" s="874">
        <v>15</v>
      </c>
      <c r="Q271" s="945"/>
      <c r="R271" s="700">
        <f t="shared" si="12"/>
        <v>2125</v>
      </c>
      <c r="S271" s="700">
        <f t="shared" si="13"/>
        <v>106.25</v>
      </c>
      <c r="T271" s="700">
        <f t="shared" si="14"/>
        <v>2231.25</v>
      </c>
      <c r="U271" s="818">
        <v>12868</v>
      </c>
      <c r="V271" s="830"/>
      <c r="W271" s="626"/>
    </row>
    <row r="272" spans="1:46" s="559" customFormat="1">
      <c r="A272" s="817">
        <v>42265</v>
      </c>
      <c r="B272" s="901" t="s">
        <v>419</v>
      </c>
      <c r="C272" s="818">
        <v>1</v>
      </c>
      <c r="D272" s="818">
        <v>11</v>
      </c>
      <c r="E272" s="702">
        <v>215</v>
      </c>
      <c r="F272" s="818"/>
      <c r="G272" s="702">
        <v>205</v>
      </c>
      <c r="H272" s="818"/>
      <c r="I272" s="702">
        <v>155</v>
      </c>
      <c r="J272" s="818"/>
      <c r="K272" s="699"/>
      <c r="L272" s="700">
        <v>110</v>
      </c>
      <c r="M272" s="701">
        <v>12</v>
      </c>
      <c r="N272" s="700">
        <v>60</v>
      </c>
      <c r="O272" s="875"/>
      <c r="P272" s="874">
        <v>15</v>
      </c>
      <c r="Q272" s="945"/>
      <c r="R272" s="700">
        <f t="shared" si="12"/>
        <v>3085</v>
      </c>
      <c r="S272" s="700">
        <f t="shared" si="13"/>
        <v>154.25</v>
      </c>
      <c r="T272" s="700">
        <f t="shared" si="14"/>
        <v>3239.25</v>
      </c>
      <c r="U272" s="818">
        <v>12868</v>
      </c>
      <c r="V272" s="830"/>
      <c r="W272" s="626"/>
    </row>
    <row r="273" spans="1:46" s="559" customFormat="1">
      <c r="A273" s="817">
        <v>42265</v>
      </c>
      <c r="B273" s="901" t="s">
        <v>420</v>
      </c>
      <c r="C273" s="818">
        <v>1</v>
      </c>
      <c r="D273" s="818"/>
      <c r="E273" s="702">
        <v>215</v>
      </c>
      <c r="F273" s="818">
        <v>12</v>
      </c>
      <c r="G273" s="702">
        <v>205</v>
      </c>
      <c r="H273" s="818"/>
      <c r="I273" s="702">
        <v>155</v>
      </c>
      <c r="J273" s="818"/>
      <c r="K273" s="699"/>
      <c r="L273" s="700">
        <v>110</v>
      </c>
      <c r="M273" s="701">
        <v>13</v>
      </c>
      <c r="N273" s="700">
        <v>60</v>
      </c>
      <c r="O273" s="875"/>
      <c r="P273" s="874">
        <v>15</v>
      </c>
      <c r="Q273" s="945"/>
      <c r="R273" s="700">
        <f t="shared" si="12"/>
        <v>3240</v>
      </c>
      <c r="S273" s="700">
        <f t="shared" si="13"/>
        <v>162</v>
      </c>
      <c r="T273" s="700">
        <f t="shared" si="14"/>
        <v>3402</v>
      </c>
      <c r="U273" s="818">
        <v>12868</v>
      </c>
      <c r="V273" s="830"/>
      <c r="W273" s="626"/>
    </row>
    <row r="274" spans="1:46" s="559" customFormat="1">
      <c r="A274" s="817">
        <v>42266</v>
      </c>
      <c r="B274" s="901" t="s">
        <v>422</v>
      </c>
      <c r="C274" s="818">
        <v>1</v>
      </c>
      <c r="D274" s="818"/>
      <c r="E274" s="702">
        <v>215</v>
      </c>
      <c r="F274" s="818"/>
      <c r="G274" s="702">
        <v>205</v>
      </c>
      <c r="H274" s="818">
        <v>13</v>
      </c>
      <c r="I274" s="702">
        <v>155</v>
      </c>
      <c r="J274" s="818"/>
      <c r="K274" s="699">
        <v>1</v>
      </c>
      <c r="L274" s="700">
        <v>110</v>
      </c>
      <c r="M274" s="701"/>
      <c r="N274" s="700">
        <v>60</v>
      </c>
      <c r="O274" s="875"/>
      <c r="P274" s="874">
        <v>15</v>
      </c>
      <c r="Q274" s="945"/>
      <c r="R274" s="700">
        <f t="shared" si="12"/>
        <v>2125</v>
      </c>
      <c r="S274" s="700">
        <f t="shared" si="13"/>
        <v>106.25</v>
      </c>
      <c r="T274" s="700">
        <f t="shared" si="14"/>
        <v>2231.25</v>
      </c>
      <c r="U274" s="818">
        <v>12868</v>
      </c>
      <c r="V274" s="830"/>
      <c r="W274" s="626"/>
    </row>
    <row r="275" spans="1:46" s="559" customFormat="1">
      <c r="A275" s="817">
        <v>42266</v>
      </c>
      <c r="B275" s="901" t="s">
        <v>423</v>
      </c>
      <c r="C275" s="818">
        <v>1</v>
      </c>
      <c r="D275" s="818">
        <v>11</v>
      </c>
      <c r="E275" s="702">
        <v>215</v>
      </c>
      <c r="F275" s="818"/>
      <c r="G275" s="702">
        <v>205</v>
      </c>
      <c r="H275" s="818"/>
      <c r="I275" s="702">
        <v>155</v>
      </c>
      <c r="J275" s="818"/>
      <c r="K275" s="699"/>
      <c r="L275" s="700">
        <v>110</v>
      </c>
      <c r="M275" s="701">
        <v>12</v>
      </c>
      <c r="N275" s="700">
        <v>60</v>
      </c>
      <c r="O275" s="875"/>
      <c r="P275" s="874">
        <v>15</v>
      </c>
      <c r="Q275" s="945"/>
      <c r="R275" s="700">
        <f t="shared" si="12"/>
        <v>3085</v>
      </c>
      <c r="S275" s="700">
        <f t="shared" si="13"/>
        <v>154.25</v>
      </c>
      <c r="T275" s="700">
        <f t="shared" si="14"/>
        <v>3239.25</v>
      </c>
      <c r="U275" s="818">
        <v>12868</v>
      </c>
      <c r="V275" s="830"/>
      <c r="W275" s="626"/>
    </row>
    <row r="276" spans="1:46" s="559" customFormat="1">
      <c r="A276" s="817">
        <v>42267</v>
      </c>
      <c r="B276" s="901" t="s">
        <v>424</v>
      </c>
      <c r="C276" s="818">
        <v>1</v>
      </c>
      <c r="D276" s="818"/>
      <c r="E276" s="702">
        <v>215</v>
      </c>
      <c r="F276" s="818">
        <v>12</v>
      </c>
      <c r="G276" s="702">
        <v>205</v>
      </c>
      <c r="H276" s="818"/>
      <c r="I276" s="702">
        <v>155</v>
      </c>
      <c r="J276" s="818"/>
      <c r="K276" s="699"/>
      <c r="L276" s="700">
        <v>110</v>
      </c>
      <c r="M276" s="701">
        <v>13</v>
      </c>
      <c r="N276" s="700">
        <v>60</v>
      </c>
      <c r="O276" s="875"/>
      <c r="P276" s="874">
        <v>15</v>
      </c>
      <c r="Q276" s="945"/>
      <c r="R276" s="700">
        <f t="shared" si="12"/>
        <v>3240</v>
      </c>
      <c r="S276" s="700">
        <f t="shared" si="13"/>
        <v>162</v>
      </c>
      <c r="T276" s="700">
        <f t="shared" si="14"/>
        <v>3402</v>
      </c>
      <c r="U276" s="818">
        <v>12868</v>
      </c>
      <c r="V276" s="830"/>
      <c r="W276" s="626"/>
    </row>
    <row r="277" spans="1:46" s="559" customFormat="1">
      <c r="A277" s="817">
        <v>42267</v>
      </c>
      <c r="B277" s="901" t="s">
        <v>425</v>
      </c>
      <c r="C277" s="818">
        <v>1</v>
      </c>
      <c r="D277" s="818"/>
      <c r="E277" s="702">
        <v>215</v>
      </c>
      <c r="F277" s="818">
        <v>13</v>
      </c>
      <c r="G277" s="702">
        <v>205</v>
      </c>
      <c r="H277" s="818"/>
      <c r="I277" s="702">
        <v>155</v>
      </c>
      <c r="J277" s="818"/>
      <c r="K277" s="699"/>
      <c r="L277" s="700">
        <v>110</v>
      </c>
      <c r="M277" s="701">
        <v>14</v>
      </c>
      <c r="N277" s="700">
        <v>60</v>
      </c>
      <c r="O277" s="875"/>
      <c r="P277" s="874">
        <v>15</v>
      </c>
      <c r="Q277" s="945"/>
      <c r="R277" s="700">
        <f t="shared" si="12"/>
        <v>3505</v>
      </c>
      <c r="S277" s="700">
        <f t="shared" si="13"/>
        <v>175.25</v>
      </c>
      <c r="T277" s="700">
        <f t="shared" si="14"/>
        <v>3680.25</v>
      </c>
      <c r="U277" s="818">
        <v>12868</v>
      </c>
      <c r="V277" s="830"/>
      <c r="W277" s="626"/>
    </row>
    <row r="278" spans="1:46" s="559" customFormat="1">
      <c r="A278" s="817">
        <v>42267</v>
      </c>
      <c r="B278" s="901" t="s">
        <v>426</v>
      </c>
      <c r="C278" s="818">
        <v>1</v>
      </c>
      <c r="D278" s="818"/>
      <c r="E278" s="702">
        <v>215</v>
      </c>
      <c r="F278" s="818"/>
      <c r="G278" s="702">
        <v>205</v>
      </c>
      <c r="H278" s="818">
        <v>13</v>
      </c>
      <c r="I278" s="702">
        <v>155</v>
      </c>
      <c r="J278" s="818"/>
      <c r="K278" s="699">
        <v>1</v>
      </c>
      <c r="L278" s="700">
        <v>110</v>
      </c>
      <c r="M278" s="701"/>
      <c r="N278" s="700">
        <v>60</v>
      </c>
      <c r="O278" s="875"/>
      <c r="P278" s="874">
        <v>15</v>
      </c>
      <c r="Q278" s="945"/>
      <c r="R278" s="700">
        <f t="shared" si="12"/>
        <v>2125</v>
      </c>
      <c r="S278" s="700">
        <f t="shared" si="13"/>
        <v>106.25</v>
      </c>
      <c r="T278" s="700">
        <f t="shared" si="14"/>
        <v>2231.25</v>
      </c>
      <c r="U278" s="818">
        <v>12868</v>
      </c>
      <c r="V278" s="830"/>
      <c r="W278" s="626"/>
    </row>
    <row r="279" spans="1:46" s="371" customFormat="1">
      <c r="A279" s="817">
        <v>42267</v>
      </c>
      <c r="B279" s="901" t="s">
        <v>431</v>
      </c>
      <c r="C279" s="818">
        <v>1</v>
      </c>
      <c r="D279" s="818"/>
      <c r="E279" s="702">
        <v>215</v>
      </c>
      <c r="F279" s="818">
        <v>7.5</v>
      </c>
      <c r="G279" s="702">
        <v>205</v>
      </c>
      <c r="H279" s="818"/>
      <c r="I279" s="702">
        <v>155</v>
      </c>
      <c r="J279" s="818"/>
      <c r="K279" s="699"/>
      <c r="L279" s="700">
        <v>110</v>
      </c>
      <c r="M279" s="701">
        <v>8.5</v>
      </c>
      <c r="N279" s="700">
        <v>60</v>
      </c>
      <c r="O279" s="875"/>
      <c r="P279" s="874">
        <v>15</v>
      </c>
      <c r="Q279" s="945"/>
      <c r="R279" s="700">
        <f t="shared" si="12"/>
        <v>2047.5</v>
      </c>
      <c r="S279" s="700">
        <f t="shared" si="13"/>
        <v>102.375</v>
      </c>
      <c r="T279" s="700">
        <f t="shared" si="14"/>
        <v>2149.875</v>
      </c>
      <c r="U279" s="818">
        <v>12868</v>
      </c>
      <c r="V279" s="830"/>
      <c r="W279" s="370"/>
      <c r="AA279" s="559"/>
      <c r="AB279" s="559"/>
      <c r="AC279" s="559"/>
      <c r="AD279" s="559"/>
      <c r="AE279" s="559"/>
      <c r="AF279" s="559"/>
      <c r="AG279" s="559"/>
      <c r="AH279" s="559"/>
      <c r="AI279" s="559"/>
      <c r="AJ279" s="559"/>
      <c r="AK279" s="559"/>
      <c r="AL279" s="559"/>
      <c r="AM279" s="559"/>
      <c r="AN279" s="559"/>
      <c r="AO279" s="559"/>
      <c r="AP279" s="559"/>
      <c r="AQ279" s="559"/>
      <c r="AR279" s="559"/>
      <c r="AS279" s="559"/>
      <c r="AT279" s="559"/>
    </row>
    <row r="280" spans="1:46" s="371" customFormat="1">
      <c r="A280" s="366">
        <v>42266</v>
      </c>
      <c r="B280" s="898" t="s">
        <v>421</v>
      </c>
      <c r="C280" s="368">
        <v>1</v>
      </c>
      <c r="D280" s="368"/>
      <c r="E280" s="125">
        <v>215</v>
      </c>
      <c r="F280" s="368">
        <v>12</v>
      </c>
      <c r="G280" s="125">
        <v>205</v>
      </c>
      <c r="H280" s="368"/>
      <c r="I280" s="125">
        <v>155</v>
      </c>
      <c r="J280" s="368"/>
      <c r="K280" s="122"/>
      <c r="L280" s="123">
        <v>110</v>
      </c>
      <c r="M280" s="124">
        <v>13</v>
      </c>
      <c r="N280" s="123">
        <v>60</v>
      </c>
      <c r="O280" s="881"/>
      <c r="P280" s="882">
        <v>15</v>
      </c>
      <c r="Q280" s="946"/>
      <c r="R280" s="123">
        <f t="shared" si="12"/>
        <v>3240</v>
      </c>
      <c r="S280" s="123">
        <f t="shared" si="13"/>
        <v>162</v>
      </c>
      <c r="T280" s="123">
        <f t="shared" si="14"/>
        <v>3402</v>
      </c>
      <c r="U280" s="368">
        <v>12950</v>
      </c>
      <c r="V280" s="128"/>
      <c r="W280" s="370"/>
    </row>
    <row r="281" spans="1:46" s="371" customFormat="1">
      <c r="A281" s="366">
        <v>42267</v>
      </c>
      <c r="B281" s="898" t="s">
        <v>427</v>
      </c>
      <c r="C281" s="368">
        <v>1</v>
      </c>
      <c r="D281" s="368"/>
      <c r="E281" s="125">
        <v>215</v>
      </c>
      <c r="F281" s="368">
        <v>7.5</v>
      </c>
      <c r="G281" s="125">
        <v>205</v>
      </c>
      <c r="H281" s="368"/>
      <c r="I281" s="125">
        <v>155</v>
      </c>
      <c r="J281" s="368"/>
      <c r="K281" s="122"/>
      <c r="L281" s="123">
        <v>110</v>
      </c>
      <c r="M281" s="124">
        <v>8.5</v>
      </c>
      <c r="N281" s="123">
        <v>60</v>
      </c>
      <c r="O281" s="881"/>
      <c r="P281" s="882">
        <v>15</v>
      </c>
      <c r="Q281" s="946"/>
      <c r="R281" s="123">
        <f t="shared" si="12"/>
        <v>2047.5</v>
      </c>
      <c r="S281" s="123">
        <f t="shared" si="13"/>
        <v>102.375</v>
      </c>
      <c r="T281" s="123">
        <f t="shared" si="14"/>
        <v>2149.875</v>
      </c>
      <c r="U281" s="368">
        <v>12950</v>
      </c>
      <c r="V281" s="128"/>
      <c r="W281" s="370"/>
    </row>
    <row r="282" spans="1:46" s="371" customFormat="1">
      <c r="A282" s="366">
        <v>42268</v>
      </c>
      <c r="B282" s="899" t="s">
        <v>432</v>
      </c>
      <c r="C282" s="368">
        <v>1</v>
      </c>
      <c r="D282" s="368"/>
      <c r="E282" s="125">
        <v>215</v>
      </c>
      <c r="F282" s="368">
        <v>13</v>
      </c>
      <c r="G282" s="125">
        <v>205</v>
      </c>
      <c r="H282" s="368"/>
      <c r="I282" s="125">
        <v>155</v>
      </c>
      <c r="J282" s="368"/>
      <c r="K282" s="122"/>
      <c r="L282" s="123">
        <v>110</v>
      </c>
      <c r="M282" s="124">
        <v>14</v>
      </c>
      <c r="N282" s="123">
        <v>60</v>
      </c>
      <c r="O282" s="881"/>
      <c r="P282" s="882">
        <v>15</v>
      </c>
      <c r="Q282" s="946"/>
      <c r="R282" s="123">
        <f t="shared" si="12"/>
        <v>3505</v>
      </c>
      <c r="S282" s="123">
        <f t="shared" si="13"/>
        <v>175.25</v>
      </c>
      <c r="T282" s="123">
        <f t="shared" si="14"/>
        <v>3680.25</v>
      </c>
      <c r="U282" s="368">
        <v>12950</v>
      </c>
      <c r="V282" s="128"/>
      <c r="W282" s="370"/>
    </row>
    <row r="283" spans="1:46" s="371" customFormat="1">
      <c r="A283" s="366">
        <v>42268</v>
      </c>
      <c r="B283" s="899" t="s">
        <v>433</v>
      </c>
      <c r="C283" s="368">
        <v>1</v>
      </c>
      <c r="D283" s="368"/>
      <c r="E283" s="125">
        <v>215</v>
      </c>
      <c r="F283" s="368">
        <v>14</v>
      </c>
      <c r="G283" s="125">
        <v>205</v>
      </c>
      <c r="H283" s="368"/>
      <c r="I283" s="125">
        <v>155</v>
      </c>
      <c r="J283" s="368"/>
      <c r="K283" s="122"/>
      <c r="L283" s="123">
        <v>110</v>
      </c>
      <c r="M283" s="124">
        <v>15</v>
      </c>
      <c r="N283" s="123">
        <v>60</v>
      </c>
      <c r="O283" s="881"/>
      <c r="P283" s="882">
        <v>15</v>
      </c>
      <c r="Q283" s="946"/>
      <c r="R283" s="123">
        <f t="shared" si="12"/>
        <v>3770</v>
      </c>
      <c r="S283" s="123">
        <f t="shared" si="13"/>
        <v>188.5</v>
      </c>
      <c r="T283" s="123">
        <f t="shared" si="14"/>
        <v>3958.5</v>
      </c>
      <c r="U283" s="368">
        <v>12950</v>
      </c>
      <c r="V283" s="128"/>
      <c r="W283" s="370"/>
    </row>
    <row r="284" spans="1:46" s="371" customFormat="1">
      <c r="A284" s="366">
        <v>42268</v>
      </c>
      <c r="B284" s="899" t="s">
        <v>434</v>
      </c>
      <c r="C284" s="368">
        <v>1</v>
      </c>
      <c r="D284" s="368"/>
      <c r="E284" s="125">
        <v>215</v>
      </c>
      <c r="F284" s="368">
        <v>14</v>
      </c>
      <c r="G284" s="125">
        <v>205</v>
      </c>
      <c r="H284" s="368"/>
      <c r="I284" s="125">
        <v>155</v>
      </c>
      <c r="J284" s="368"/>
      <c r="K284" s="122"/>
      <c r="L284" s="123">
        <v>110</v>
      </c>
      <c r="M284" s="124">
        <v>15</v>
      </c>
      <c r="N284" s="123">
        <v>60</v>
      </c>
      <c r="O284" s="881"/>
      <c r="P284" s="882">
        <v>15</v>
      </c>
      <c r="Q284" s="946"/>
      <c r="R284" s="123">
        <f t="shared" si="12"/>
        <v>3770</v>
      </c>
      <c r="S284" s="123">
        <f t="shared" si="13"/>
        <v>188.5</v>
      </c>
      <c r="T284" s="123">
        <f t="shared" si="14"/>
        <v>3958.5</v>
      </c>
      <c r="U284" s="368">
        <v>12950</v>
      </c>
      <c r="V284" s="128"/>
      <c r="W284" s="370"/>
    </row>
    <row r="285" spans="1:46" s="371" customFormat="1">
      <c r="A285" s="366">
        <v>42268</v>
      </c>
      <c r="B285" s="899" t="s">
        <v>435</v>
      </c>
      <c r="C285" s="368">
        <v>1</v>
      </c>
      <c r="D285" s="368"/>
      <c r="E285" s="125">
        <v>215</v>
      </c>
      <c r="F285" s="368"/>
      <c r="G285" s="125">
        <v>205</v>
      </c>
      <c r="H285" s="368">
        <v>13</v>
      </c>
      <c r="I285" s="125">
        <v>155</v>
      </c>
      <c r="J285" s="368"/>
      <c r="K285" s="122">
        <v>1</v>
      </c>
      <c r="L285" s="123">
        <v>110</v>
      </c>
      <c r="M285" s="124"/>
      <c r="N285" s="123">
        <v>60</v>
      </c>
      <c r="O285" s="881"/>
      <c r="P285" s="882">
        <v>15</v>
      </c>
      <c r="Q285" s="946"/>
      <c r="R285" s="123">
        <f t="shared" si="12"/>
        <v>2125</v>
      </c>
      <c r="S285" s="123">
        <f t="shared" si="13"/>
        <v>106.25</v>
      </c>
      <c r="T285" s="123">
        <f t="shared" si="14"/>
        <v>2231.25</v>
      </c>
      <c r="U285" s="368">
        <v>12950</v>
      </c>
      <c r="V285" s="128"/>
      <c r="W285" s="370"/>
    </row>
    <row r="286" spans="1:46" s="371" customFormat="1">
      <c r="A286" s="366">
        <v>42268</v>
      </c>
      <c r="B286" s="899" t="s">
        <v>436</v>
      </c>
      <c r="C286" s="368">
        <v>1</v>
      </c>
      <c r="D286" s="368"/>
      <c r="E286" s="125">
        <v>215</v>
      </c>
      <c r="F286" s="368">
        <v>13</v>
      </c>
      <c r="G286" s="125">
        <v>205</v>
      </c>
      <c r="H286" s="368"/>
      <c r="I286" s="125">
        <v>155</v>
      </c>
      <c r="J286" s="368"/>
      <c r="K286" s="122"/>
      <c r="L286" s="123">
        <v>110</v>
      </c>
      <c r="M286" s="124">
        <v>14</v>
      </c>
      <c r="N286" s="123">
        <v>60</v>
      </c>
      <c r="O286" s="881"/>
      <c r="P286" s="882">
        <v>15</v>
      </c>
      <c r="Q286" s="946"/>
      <c r="R286" s="123">
        <f t="shared" si="12"/>
        <v>3505</v>
      </c>
      <c r="S286" s="123">
        <f t="shared" si="13"/>
        <v>175.25</v>
      </c>
      <c r="T286" s="123">
        <f t="shared" si="14"/>
        <v>3680.25</v>
      </c>
      <c r="U286" s="368">
        <v>12950</v>
      </c>
      <c r="V286" s="128"/>
      <c r="W286" s="370"/>
    </row>
    <row r="287" spans="1:46" s="371" customFormat="1">
      <c r="A287" s="366">
        <v>42268</v>
      </c>
      <c r="B287" s="899" t="s">
        <v>437</v>
      </c>
      <c r="C287" s="368">
        <v>1</v>
      </c>
      <c r="D287" s="368"/>
      <c r="E287" s="125">
        <v>215</v>
      </c>
      <c r="F287" s="368">
        <v>13</v>
      </c>
      <c r="G287" s="125">
        <v>205</v>
      </c>
      <c r="H287" s="368"/>
      <c r="I287" s="125">
        <v>155</v>
      </c>
      <c r="J287" s="368"/>
      <c r="K287" s="122"/>
      <c r="L287" s="123">
        <v>110</v>
      </c>
      <c r="M287" s="124">
        <v>14</v>
      </c>
      <c r="N287" s="123">
        <v>60</v>
      </c>
      <c r="O287" s="881"/>
      <c r="P287" s="882">
        <v>15</v>
      </c>
      <c r="Q287" s="946"/>
      <c r="R287" s="123">
        <f t="shared" si="12"/>
        <v>3505</v>
      </c>
      <c r="S287" s="123">
        <f t="shared" si="13"/>
        <v>175.25</v>
      </c>
      <c r="T287" s="123">
        <f t="shared" si="14"/>
        <v>3680.25</v>
      </c>
      <c r="U287" s="368">
        <v>12950</v>
      </c>
      <c r="V287" s="128"/>
      <c r="W287" s="370"/>
    </row>
    <row r="288" spans="1:46" s="371" customFormat="1">
      <c r="A288" s="366">
        <v>42269</v>
      </c>
      <c r="B288" s="899" t="s">
        <v>438</v>
      </c>
      <c r="C288" s="368">
        <v>1</v>
      </c>
      <c r="D288" s="368"/>
      <c r="E288" s="125">
        <v>215</v>
      </c>
      <c r="F288" s="368"/>
      <c r="G288" s="125">
        <v>205</v>
      </c>
      <c r="H288" s="368">
        <v>11</v>
      </c>
      <c r="I288" s="125">
        <v>155</v>
      </c>
      <c r="J288" s="368"/>
      <c r="K288" s="122">
        <v>1</v>
      </c>
      <c r="L288" s="123">
        <v>110</v>
      </c>
      <c r="M288" s="124"/>
      <c r="N288" s="123">
        <v>60</v>
      </c>
      <c r="O288" s="881"/>
      <c r="P288" s="882">
        <v>15</v>
      </c>
      <c r="Q288" s="946"/>
      <c r="R288" s="123">
        <f t="shared" si="12"/>
        <v>1815</v>
      </c>
      <c r="S288" s="123">
        <f t="shared" si="13"/>
        <v>90.75</v>
      </c>
      <c r="T288" s="123">
        <f t="shared" si="14"/>
        <v>1905.75</v>
      </c>
      <c r="U288" s="368">
        <v>12950</v>
      </c>
      <c r="V288" s="128"/>
      <c r="W288" s="370"/>
    </row>
    <row r="289" spans="1:46" s="371" customFormat="1">
      <c r="A289" s="366">
        <v>42269</v>
      </c>
      <c r="B289" s="899" t="s">
        <v>439</v>
      </c>
      <c r="C289" s="368">
        <v>1</v>
      </c>
      <c r="D289" s="368"/>
      <c r="E289" s="125">
        <v>215</v>
      </c>
      <c r="F289" s="368">
        <v>12</v>
      </c>
      <c r="G289" s="125">
        <v>205</v>
      </c>
      <c r="H289" s="368"/>
      <c r="I289" s="125">
        <v>155</v>
      </c>
      <c r="J289" s="368"/>
      <c r="K289" s="122"/>
      <c r="L289" s="123">
        <v>110</v>
      </c>
      <c r="M289" s="124">
        <v>13</v>
      </c>
      <c r="N289" s="123">
        <v>60</v>
      </c>
      <c r="O289" s="881"/>
      <c r="P289" s="882">
        <v>15</v>
      </c>
      <c r="Q289" s="946"/>
      <c r="R289" s="123">
        <f t="shared" si="12"/>
        <v>3240</v>
      </c>
      <c r="S289" s="123">
        <f t="shared" si="13"/>
        <v>162</v>
      </c>
      <c r="T289" s="123">
        <f t="shared" si="14"/>
        <v>3402</v>
      </c>
      <c r="U289" s="368">
        <v>12950</v>
      </c>
      <c r="V289" s="128"/>
      <c r="W289" s="370"/>
    </row>
    <row r="290" spans="1:46" s="371" customFormat="1">
      <c r="A290" s="900">
        <v>42269</v>
      </c>
      <c r="B290" s="899" t="s">
        <v>440</v>
      </c>
      <c r="C290" s="368">
        <v>1</v>
      </c>
      <c r="D290" s="368"/>
      <c r="E290" s="125">
        <v>215</v>
      </c>
      <c r="F290" s="368">
        <v>14</v>
      </c>
      <c r="G290" s="125">
        <v>205</v>
      </c>
      <c r="H290" s="368"/>
      <c r="I290" s="125">
        <v>155</v>
      </c>
      <c r="J290" s="368"/>
      <c r="K290" s="122"/>
      <c r="L290" s="123">
        <v>110</v>
      </c>
      <c r="M290" s="124">
        <v>15</v>
      </c>
      <c r="N290" s="123">
        <v>60</v>
      </c>
      <c r="O290" s="881"/>
      <c r="P290" s="882">
        <v>15</v>
      </c>
      <c r="Q290" s="946"/>
      <c r="R290" s="123">
        <f t="shared" si="12"/>
        <v>3770</v>
      </c>
      <c r="S290" s="123">
        <f t="shared" si="13"/>
        <v>188.5</v>
      </c>
      <c r="T290" s="123">
        <f t="shared" si="14"/>
        <v>3958.5</v>
      </c>
      <c r="U290" s="368">
        <v>12950</v>
      </c>
      <c r="V290" s="128"/>
      <c r="W290" s="370"/>
    </row>
    <row r="291" spans="1:46" s="371" customFormat="1">
      <c r="A291" s="366">
        <v>42269</v>
      </c>
      <c r="B291" s="899" t="s">
        <v>441</v>
      </c>
      <c r="C291" s="368">
        <v>1</v>
      </c>
      <c r="D291" s="368"/>
      <c r="E291" s="125">
        <v>215</v>
      </c>
      <c r="F291" s="368">
        <v>12</v>
      </c>
      <c r="G291" s="125">
        <v>205</v>
      </c>
      <c r="H291" s="368"/>
      <c r="I291" s="125">
        <v>155</v>
      </c>
      <c r="J291" s="368"/>
      <c r="K291" s="122"/>
      <c r="L291" s="123">
        <v>110</v>
      </c>
      <c r="M291" s="124">
        <v>13</v>
      </c>
      <c r="N291" s="123">
        <v>60</v>
      </c>
      <c r="O291" s="881"/>
      <c r="P291" s="882">
        <v>15</v>
      </c>
      <c r="Q291" s="946"/>
      <c r="R291" s="123">
        <f t="shared" si="12"/>
        <v>3240</v>
      </c>
      <c r="S291" s="123">
        <f t="shared" si="13"/>
        <v>162</v>
      </c>
      <c r="T291" s="123">
        <f t="shared" si="14"/>
        <v>3402</v>
      </c>
      <c r="U291" s="368">
        <v>12950</v>
      </c>
      <c r="V291" s="128"/>
      <c r="W291" s="370"/>
    </row>
    <row r="292" spans="1:46" s="371" customFormat="1">
      <c r="A292" s="366">
        <v>42269</v>
      </c>
      <c r="B292" s="899" t="s">
        <v>442</v>
      </c>
      <c r="C292" s="368">
        <v>1</v>
      </c>
      <c r="D292" s="368"/>
      <c r="E292" s="125">
        <v>215</v>
      </c>
      <c r="F292" s="368">
        <v>12.5</v>
      </c>
      <c r="G292" s="125">
        <v>205</v>
      </c>
      <c r="H292" s="368"/>
      <c r="I292" s="125">
        <v>155</v>
      </c>
      <c r="J292" s="368"/>
      <c r="K292" s="122"/>
      <c r="L292" s="123">
        <v>110</v>
      </c>
      <c r="M292" s="124">
        <v>13.5</v>
      </c>
      <c r="N292" s="123">
        <v>60</v>
      </c>
      <c r="O292" s="881"/>
      <c r="P292" s="882">
        <v>15</v>
      </c>
      <c r="Q292" s="946"/>
      <c r="R292" s="123">
        <f t="shared" si="12"/>
        <v>3372.5</v>
      </c>
      <c r="S292" s="123">
        <f t="shared" si="13"/>
        <v>168.625</v>
      </c>
      <c r="T292" s="123">
        <f t="shared" si="14"/>
        <v>3541.125</v>
      </c>
      <c r="U292" s="368">
        <v>12950</v>
      </c>
      <c r="V292" s="128"/>
      <c r="W292" s="370"/>
    </row>
    <row r="293" spans="1:46" s="371" customFormat="1">
      <c r="A293" s="366">
        <v>42269</v>
      </c>
      <c r="B293" s="899" t="s">
        <v>443</v>
      </c>
      <c r="C293" s="368">
        <v>1</v>
      </c>
      <c r="D293" s="368"/>
      <c r="E293" s="125">
        <v>215</v>
      </c>
      <c r="F293" s="368">
        <v>13</v>
      </c>
      <c r="G293" s="125">
        <v>205</v>
      </c>
      <c r="H293" s="368"/>
      <c r="I293" s="125">
        <v>155</v>
      </c>
      <c r="J293" s="368"/>
      <c r="K293" s="122"/>
      <c r="L293" s="123">
        <v>110</v>
      </c>
      <c r="M293" s="124">
        <v>14</v>
      </c>
      <c r="N293" s="123">
        <v>60</v>
      </c>
      <c r="O293" s="881"/>
      <c r="P293" s="882">
        <v>15</v>
      </c>
      <c r="Q293" s="946"/>
      <c r="R293" s="123">
        <f t="shared" si="12"/>
        <v>3505</v>
      </c>
      <c r="S293" s="123">
        <f t="shared" si="13"/>
        <v>175.25</v>
      </c>
      <c r="T293" s="123">
        <f t="shared" si="14"/>
        <v>3680.25</v>
      </c>
      <c r="U293" s="368">
        <v>12950</v>
      </c>
      <c r="V293" s="128"/>
      <c r="W293" s="370"/>
    </row>
    <row r="294" spans="1:46" s="371" customFormat="1">
      <c r="A294" s="366">
        <v>42269</v>
      </c>
      <c r="B294" s="899" t="s">
        <v>444</v>
      </c>
      <c r="C294" s="368">
        <v>1</v>
      </c>
      <c r="D294" s="368"/>
      <c r="E294" s="125">
        <v>215</v>
      </c>
      <c r="F294" s="368">
        <v>12</v>
      </c>
      <c r="G294" s="125">
        <v>205</v>
      </c>
      <c r="H294" s="368"/>
      <c r="I294" s="125">
        <v>155</v>
      </c>
      <c r="J294" s="368"/>
      <c r="K294" s="122"/>
      <c r="L294" s="123">
        <v>110</v>
      </c>
      <c r="M294" s="124">
        <v>13</v>
      </c>
      <c r="N294" s="123">
        <v>60</v>
      </c>
      <c r="O294" s="881"/>
      <c r="P294" s="882">
        <v>15</v>
      </c>
      <c r="Q294" s="946"/>
      <c r="R294" s="123">
        <f t="shared" si="12"/>
        <v>3240</v>
      </c>
      <c r="S294" s="123">
        <f t="shared" si="13"/>
        <v>162</v>
      </c>
      <c r="T294" s="123">
        <f t="shared" si="14"/>
        <v>3402</v>
      </c>
      <c r="U294" s="368">
        <v>12950</v>
      </c>
      <c r="V294" s="128"/>
      <c r="W294" s="370"/>
    </row>
    <row r="295" spans="1:46" s="371" customFormat="1">
      <c r="A295" s="366">
        <v>42270</v>
      </c>
      <c r="B295" s="899" t="s">
        <v>445</v>
      </c>
      <c r="C295" s="368">
        <v>1</v>
      </c>
      <c r="D295" s="368"/>
      <c r="E295" s="125">
        <v>215</v>
      </c>
      <c r="F295" s="368"/>
      <c r="G295" s="125">
        <v>205</v>
      </c>
      <c r="H295" s="368">
        <v>13</v>
      </c>
      <c r="I295" s="125">
        <v>155</v>
      </c>
      <c r="J295" s="368"/>
      <c r="K295" s="122">
        <v>1</v>
      </c>
      <c r="L295" s="123">
        <v>110</v>
      </c>
      <c r="M295" s="124"/>
      <c r="N295" s="123">
        <v>60</v>
      </c>
      <c r="O295" s="881"/>
      <c r="P295" s="882">
        <v>15</v>
      </c>
      <c r="Q295" s="946"/>
      <c r="R295" s="123">
        <f t="shared" si="12"/>
        <v>2125</v>
      </c>
      <c r="S295" s="123">
        <f t="shared" si="13"/>
        <v>106.25</v>
      </c>
      <c r="T295" s="123">
        <f t="shared" si="14"/>
        <v>2231.25</v>
      </c>
      <c r="U295" s="368">
        <v>12950</v>
      </c>
      <c r="V295" s="128"/>
      <c r="W295" s="370"/>
    </row>
    <row r="296" spans="1:46" s="371" customFormat="1">
      <c r="A296" s="366">
        <v>42270</v>
      </c>
      <c r="B296" s="899" t="s">
        <v>446</v>
      </c>
      <c r="C296" s="368">
        <v>1</v>
      </c>
      <c r="D296" s="368"/>
      <c r="E296" s="125">
        <v>215</v>
      </c>
      <c r="F296" s="368">
        <v>12</v>
      </c>
      <c r="G296" s="125">
        <v>205</v>
      </c>
      <c r="H296" s="368"/>
      <c r="I296" s="125">
        <v>155</v>
      </c>
      <c r="J296" s="368"/>
      <c r="K296" s="122"/>
      <c r="L296" s="123">
        <v>110</v>
      </c>
      <c r="M296" s="124">
        <v>13</v>
      </c>
      <c r="N296" s="123">
        <v>60</v>
      </c>
      <c r="O296" s="881"/>
      <c r="P296" s="882">
        <v>15</v>
      </c>
      <c r="Q296" s="946"/>
      <c r="R296" s="123">
        <f t="shared" si="12"/>
        <v>3240</v>
      </c>
      <c r="S296" s="123">
        <f t="shared" si="13"/>
        <v>162</v>
      </c>
      <c r="T296" s="123">
        <f t="shared" si="14"/>
        <v>3402</v>
      </c>
      <c r="U296" s="368">
        <v>12950</v>
      </c>
      <c r="V296" s="128"/>
      <c r="W296" s="370"/>
    </row>
    <row r="297" spans="1:46" s="371" customFormat="1">
      <c r="A297" s="366">
        <v>42270</v>
      </c>
      <c r="B297" s="899" t="s">
        <v>447</v>
      </c>
      <c r="C297" s="368">
        <v>1</v>
      </c>
      <c r="D297" s="368"/>
      <c r="E297" s="125">
        <v>215</v>
      </c>
      <c r="F297" s="368">
        <v>12</v>
      </c>
      <c r="G297" s="125">
        <v>205</v>
      </c>
      <c r="H297" s="368"/>
      <c r="I297" s="125">
        <v>155</v>
      </c>
      <c r="J297" s="368"/>
      <c r="K297" s="122"/>
      <c r="L297" s="123">
        <v>110</v>
      </c>
      <c r="M297" s="124">
        <v>13</v>
      </c>
      <c r="N297" s="123">
        <v>60</v>
      </c>
      <c r="O297" s="881"/>
      <c r="P297" s="882">
        <v>15</v>
      </c>
      <c r="Q297" s="946"/>
      <c r="R297" s="123">
        <f t="shared" si="12"/>
        <v>3240</v>
      </c>
      <c r="S297" s="123">
        <f t="shared" si="13"/>
        <v>162</v>
      </c>
      <c r="T297" s="123">
        <f t="shared" si="14"/>
        <v>3402</v>
      </c>
      <c r="U297" s="368">
        <v>12950</v>
      </c>
      <c r="V297" s="128"/>
      <c r="W297" s="370"/>
    </row>
    <row r="298" spans="1:46" s="371" customFormat="1">
      <c r="A298" s="366">
        <v>42270</v>
      </c>
      <c r="B298" s="899" t="s">
        <v>448</v>
      </c>
      <c r="C298" s="368">
        <v>1</v>
      </c>
      <c r="D298" s="368"/>
      <c r="E298" s="125">
        <v>215</v>
      </c>
      <c r="F298" s="368">
        <v>13</v>
      </c>
      <c r="G298" s="125">
        <v>205</v>
      </c>
      <c r="H298" s="368"/>
      <c r="I298" s="125">
        <v>155</v>
      </c>
      <c r="J298" s="368"/>
      <c r="K298" s="122"/>
      <c r="L298" s="123">
        <v>110</v>
      </c>
      <c r="M298" s="124">
        <v>14</v>
      </c>
      <c r="N298" s="123">
        <v>60</v>
      </c>
      <c r="O298" s="881"/>
      <c r="P298" s="882">
        <v>15</v>
      </c>
      <c r="Q298" s="946"/>
      <c r="R298" s="123">
        <f t="shared" si="12"/>
        <v>3505</v>
      </c>
      <c r="S298" s="123">
        <f t="shared" si="13"/>
        <v>175.25</v>
      </c>
      <c r="T298" s="123">
        <f t="shared" si="14"/>
        <v>3680.25</v>
      </c>
      <c r="U298" s="368">
        <v>12950</v>
      </c>
      <c r="V298" s="128"/>
      <c r="W298" s="370"/>
    </row>
    <row r="299" spans="1:46" s="371" customFormat="1">
      <c r="A299" s="366">
        <v>42270</v>
      </c>
      <c r="B299" s="899" t="s">
        <v>449</v>
      </c>
      <c r="C299" s="368">
        <v>1</v>
      </c>
      <c r="D299" s="368"/>
      <c r="E299" s="125">
        <v>215</v>
      </c>
      <c r="F299" s="368">
        <v>13</v>
      </c>
      <c r="G299" s="125">
        <v>205</v>
      </c>
      <c r="H299" s="368"/>
      <c r="I299" s="125">
        <v>155</v>
      </c>
      <c r="J299" s="368"/>
      <c r="K299" s="122"/>
      <c r="L299" s="123">
        <v>110</v>
      </c>
      <c r="M299" s="124">
        <v>14</v>
      </c>
      <c r="N299" s="123">
        <v>60</v>
      </c>
      <c r="O299" s="881"/>
      <c r="P299" s="882">
        <v>15</v>
      </c>
      <c r="Q299" s="946"/>
      <c r="R299" s="123">
        <f t="shared" si="12"/>
        <v>3505</v>
      </c>
      <c r="S299" s="123">
        <f t="shared" si="13"/>
        <v>175.25</v>
      </c>
      <c r="T299" s="123">
        <f t="shared" si="14"/>
        <v>3680.25</v>
      </c>
      <c r="U299" s="368">
        <v>12950</v>
      </c>
      <c r="V299" s="128"/>
      <c r="W299" s="370"/>
    </row>
    <row r="300" spans="1:46" s="371" customFormat="1">
      <c r="A300" s="366">
        <v>42270</v>
      </c>
      <c r="B300" s="899" t="s">
        <v>450</v>
      </c>
      <c r="C300" s="368">
        <v>1</v>
      </c>
      <c r="D300" s="368"/>
      <c r="E300" s="125">
        <v>215</v>
      </c>
      <c r="F300" s="368">
        <v>14.5</v>
      </c>
      <c r="G300" s="125">
        <v>205</v>
      </c>
      <c r="H300" s="368"/>
      <c r="I300" s="125">
        <v>155</v>
      </c>
      <c r="J300" s="368"/>
      <c r="K300" s="122"/>
      <c r="L300" s="123">
        <v>110</v>
      </c>
      <c r="M300" s="124">
        <v>15.5</v>
      </c>
      <c r="N300" s="123">
        <v>60</v>
      </c>
      <c r="O300" s="881"/>
      <c r="P300" s="882">
        <v>15</v>
      </c>
      <c r="Q300" s="946"/>
      <c r="R300" s="123">
        <f t="shared" si="12"/>
        <v>3902.5</v>
      </c>
      <c r="S300" s="123">
        <f t="shared" si="13"/>
        <v>195.125</v>
      </c>
      <c r="T300" s="123">
        <f t="shared" si="14"/>
        <v>4097.625</v>
      </c>
      <c r="U300" s="368">
        <v>12950</v>
      </c>
      <c r="V300" s="128"/>
      <c r="W300" s="370"/>
    </row>
    <row r="301" spans="1:46" s="371" customFormat="1">
      <c r="A301" s="366">
        <v>42270</v>
      </c>
      <c r="B301" s="899" t="s">
        <v>451</v>
      </c>
      <c r="C301" s="368">
        <v>1</v>
      </c>
      <c r="D301" s="368"/>
      <c r="E301" s="125">
        <v>215</v>
      </c>
      <c r="F301" s="368">
        <v>4</v>
      </c>
      <c r="G301" s="125">
        <v>205</v>
      </c>
      <c r="H301" s="368"/>
      <c r="I301" s="125">
        <v>155</v>
      </c>
      <c r="J301" s="368"/>
      <c r="K301" s="122"/>
      <c r="L301" s="123">
        <v>110</v>
      </c>
      <c r="M301" s="124">
        <v>4</v>
      </c>
      <c r="N301" s="123">
        <v>60</v>
      </c>
      <c r="O301" s="881"/>
      <c r="P301" s="882">
        <v>15</v>
      </c>
      <c r="Q301" s="946"/>
      <c r="R301" s="123">
        <f t="shared" si="12"/>
        <v>1060</v>
      </c>
      <c r="S301" s="123">
        <f t="shared" si="13"/>
        <v>53</v>
      </c>
      <c r="T301" s="123">
        <f t="shared" si="14"/>
        <v>1113</v>
      </c>
      <c r="U301" s="368">
        <v>12950</v>
      </c>
      <c r="V301" s="128"/>
      <c r="W301" s="370"/>
    </row>
    <row r="302" spans="1:46" s="371" customFormat="1">
      <c r="A302" s="366">
        <v>42271</v>
      </c>
      <c r="B302" s="899" t="s">
        <v>452</v>
      </c>
      <c r="C302" s="368">
        <v>1</v>
      </c>
      <c r="D302" s="368">
        <v>1</v>
      </c>
      <c r="E302" s="125">
        <v>215</v>
      </c>
      <c r="F302" s="368">
        <v>4</v>
      </c>
      <c r="G302" s="125">
        <v>205</v>
      </c>
      <c r="H302" s="368"/>
      <c r="I302" s="125">
        <v>155</v>
      </c>
      <c r="J302" s="368"/>
      <c r="K302" s="122"/>
      <c r="L302" s="123">
        <v>110</v>
      </c>
      <c r="M302" s="124">
        <v>5</v>
      </c>
      <c r="N302" s="123">
        <v>60</v>
      </c>
      <c r="O302" s="881"/>
      <c r="P302" s="882">
        <v>15</v>
      </c>
      <c r="Q302" s="946"/>
      <c r="R302" s="123">
        <f t="shared" si="12"/>
        <v>1335</v>
      </c>
      <c r="S302" s="123">
        <f t="shared" si="13"/>
        <v>66.75</v>
      </c>
      <c r="T302" s="123">
        <f t="shared" si="14"/>
        <v>1401.75</v>
      </c>
      <c r="U302" s="368">
        <v>12950</v>
      </c>
      <c r="V302" s="128"/>
      <c r="W302" s="370"/>
    </row>
    <row r="303" spans="1:46" s="371" customFormat="1">
      <c r="A303" s="366">
        <v>42272</v>
      </c>
      <c r="B303" s="899" t="s">
        <v>514</v>
      </c>
      <c r="C303" s="368">
        <v>1</v>
      </c>
      <c r="D303" s="368">
        <v>13</v>
      </c>
      <c r="E303" s="125">
        <v>215</v>
      </c>
      <c r="F303" s="368"/>
      <c r="G303" s="125">
        <v>205</v>
      </c>
      <c r="H303" s="368"/>
      <c r="I303" s="125">
        <v>155</v>
      </c>
      <c r="J303" s="368"/>
      <c r="K303" s="122"/>
      <c r="L303" s="123">
        <v>110</v>
      </c>
      <c r="M303" s="124">
        <v>13</v>
      </c>
      <c r="N303" s="123">
        <v>60</v>
      </c>
      <c r="O303" s="881"/>
      <c r="P303" s="882">
        <v>15</v>
      </c>
      <c r="Q303" s="946"/>
      <c r="R303" s="123">
        <f t="shared" si="12"/>
        <v>3575</v>
      </c>
      <c r="S303" s="123">
        <f t="shared" si="13"/>
        <v>178.75</v>
      </c>
      <c r="T303" s="123">
        <f t="shared" si="14"/>
        <v>3753.75</v>
      </c>
      <c r="U303" s="368">
        <v>12950</v>
      </c>
      <c r="V303" s="128"/>
      <c r="W303" s="370"/>
    </row>
    <row r="304" spans="1:46" s="559" customFormat="1">
      <c r="A304" s="366">
        <v>42273</v>
      </c>
      <c r="B304" s="899" t="s">
        <v>515</v>
      </c>
      <c r="C304" s="368">
        <v>1</v>
      </c>
      <c r="D304" s="368">
        <v>7.5</v>
      </c>
      <c r="E304" s="125">
        <v>215</v>
      </c>
      <c r="F304" s="368"/>
      <c r="G304" s="125">
        <v>205</v>
      </c>
      <c r="H304" s="368"/>
      <c r="I304" s="125">
        <v>155</v>
      </c>
      <c r="J304" s="368"/>
      <c r="K304" s="122"/>
      <c r="L304" s="123">
        <v>110</v>
      </c>
      <c r="M304" s="124">
        <v>7.5</v>
      </c>
      <c r="N304" s="123">
        <v>60</v>
      </c>
      <c r="O304" s="881"/>
      <c r="P304" s="882">
        <v>15</v>
      </c>
      <c r="Q304" s="946"/>
      <c r="R304" s="123">
        <f t="shared" si="12"/>
        <v>2062.5</v>
      </c>
      <c r="S304" s="123">
        <f t="shared" si="13"/>
        <v>103.125</v>
      </c>
      <c r="T304" s="123">
        <f t="shared" si="14"/>
        <v>2165.625</v>
      </c>
      <c r="U304" s="368">
        <v>12950</v>
      </c>
      <c r="V304" s="128"/>
      <c r="W304" s="626"/>
      <c r="AA304" s="371"/>
      <c r="AB304" s="371"/>
      <c r="AC304" s="371"/>
      <c r="AD304" s="371"/>
      <c r="AE304" s="371"/>
      <c r="AF304" s="371"/>
      <c r="AG304" s="371"/>
      <c r="AH304" s="371"/>
      <c r="AI304" s="371"/>
      <c r="AJ304" s="371"/>
      <c r="AK304" s="371"/>
      <c r="AL304" s="371"/>
      <c r="AM304" s="371"/>
      <c r="AN304" s="371"/>
      <c r="AO304" s="371"/>
      <c r="AP304" s="371"/>
      <c r="AQ304" s="371"/>
      <c r="AR304" s="371"/>
      <c r="AS304" s="371"/>
      <c r="AT304" s="371"/>
    </row>
    <row r="305" spans="1:46" s="559" customFormat="1">
      <c r="A305" s="817">
        <v>42259</v>
      </c>
      <c r="B305" s="697">
        <v>30333</v>
      </c>
      <c r="C305" s="818">
        <v>1</v>
      </c>
      <c r="D305" s="818"/>
      <c r="E305" s="702">
        <v>215</v>
      </c>
      <c r="F305" s="818"/>
      <c r="G305" s="702">
        <v>205</v>
      </c>
      <c r="H305" s="818">
        <v>13</v>
      </c>
      <c r="I305" s="702">
        <v>155</v>
      </c>
      <c r="J305" s="818"/>
      <c r="K305" s="699">
        <v>1</v>
      </c>
      <c r="L305" s="700">
        <v>110</v>
      </c>
      <c r="M305" s="701"/>
      <c r="N305" s="700">
        <v>60</v>
      </c>
      <c r="O305" s="875">
        <v>48</v>
      </c>
      <c r="P305" s="874">
        <v>15</v>
      </c>
      <c r="Q305" s="945"/>
      <c r="R305" s="700">
        <f t="shared" si="12"/>
        <v>2845</v>
      </c>
      <c r="S305" s="700">
        <f t="shared" si="13"/>
        <v>142.25</v>
      </c>
      <c r="T305" s="700">
        <f t="shared" si="14"/>
        <v>2987.25</v>
      </c>
      <c r="U305" s="818">
        <v>12830</v>
      </c>
      <c r="V305" s="932" t="s">
        <v>798</v>
      </c>
      <c r="W305" s="626"/>
    </row>
    <row r="306" spans="1:46" s="559" customFormat="1">
      <c r="A306" s="817">
        <v>42259</v>
      </c>
      <c r="B306" s="697">
        <v>30334</v>
      </c>
      <c r="C306" s="818">
        <v>2</v>
      </c>
      <c r="D306" s="818"/>
      <c r="E306" s="702">
        <v>215</v>
      </c>
      <c r="F306" s="818">
        <v>12</v>
      </c>
      <c r="G306" s="702">
        <v>205</v>
      </c>
      <c r="H306" s="818"/>
      <c r="I306" s="702">
        <v>155</v>
      </c>
      <c r="J306" s="818"/>
      <c r="K306" s="699"/>
      <c r="L306" s="700">
        <v>110</v>
      </c>
      <c r="M306" s="701">
        <v>13</v>
      </c>
      <c r="N306" s="700">
        <v>60</v>
      </c>
      <c r="O306" s="875"/>
      <c r="P306" s="874">
        <v>15</v>
      </c>
      <c r="Q306" s="945"/>
      <c r="R306" s="700">
        <f t="shared" si="12"/>
        <v>3240</v>
      </c>
      <c r="S306" s="700">
        <f t="shared" si="13"/>
        <v>162</v>
      </c>
      <c r="T306" s="700">
        <f t="shared" si="14"/>
        <v>3402</v>
      </c>
      <c r="U306" s="818">
        <v>12830</v>
      </c>
      <c r="V306" s="932" t="s">
        <v>798</v>
      </c>
      <c r="W306" s="626"/>
    </row>
    <row r="307" spans="1:46" s="559" customFormat="1">
      <c r="A307" s="817">
        <v>42259</v>
      </c>
      <c r="B307" s="697">
        <v>30335</v>
      </c>
      <c r="C307" s="818">
        <v>2</v>
      </c>
      <c r="D307" s="818"/>
      <c r="E307" s="702">
        <v>215</v>
      </c>
      <c r="F307" s="818">
        <v>7.5</v>
      </c>
      <c r="G307" s="702">
        <v>205</v>
      </c>
      <c r="H307" s="818"/>
      <c r="I307" s="702">
        <v>155</v>
      </c>
      <c r="J307" s="818"/>
      <c r="K307" s="699"/>
      <c r="L307" s="700">
        <v>110</v>
      </c>
      <c r="M307" s="701">
        <v>8.5</v>
      </c>
      <c r="N307" s="700">
        <v>60</v>
      </c>
      <c r="O307" s="875"/>
      <c r="P307" s="874">
        <v>15</v>
      </c>
      <c r="Q307" s="945"/>
      <c r="R307" s="700">
        <f t="shared" si="12"/>
        <v>2047.5</v>
      </c>
      <c r="S307" s="700">
        <f t="shared" si="13"/>
        <v>102.375</v>
      </c>
      <c r="T307" s="700">
        <f t="shared" si="14"/>
        <v>2149.875</v>
      </c>
      <c r="U307" s="818">
        <v>12830</v>
      </c>
      <c r="V307" s="932" t="s">
        <v>798</v>
      </c>
      <c r="W307" s="626"/>
    </row>
    <row r="308" spans="1:46" s="559" customFormat="1">
      <c r="A308" s="817">
        <v>42259</v>
      </c>
      <c r="B308" s="697">
        <v>30336</v>
      </c>
      <c r="C308" s="818">
        <v>2</v>
      </c>
      <c r="D308" s="818">
        <v>6.5</v>
      </c>
      <c r="E308" s="702">
        <v>215</v>
      </c>
      <c r="F308" s="818"/>
      <c r="G308" s="702">
        <v>205</v>
      </c>
      <c r="H308" s="818"/>
      <c r="I308" s="702">
        <v>155</v>
      </c>
      <c r="J308" s="818"/>
      <c r="K308" s="699"/>
      <c r="L308" s="700">
        <v>110</v>
      </c>
      <c r="M308" s="701">
        <v>7.5</v>
      </c>
      <c r="N308" s="700">
        <v>60</v>
      </c>
      <c r="O308" s="875"/>
      <c r="P308" s="874">
        <v>15</v>
      </c>
      <c r="Q308" s="945"/>
      <c r="R308" s="700">
        <f t="shared" si="12"/>
        <v>1847.5</v>
      </c>
      <c r="S308" s="700">
        <f t="shared" si="13"/>
        <v>92.375</v>
      </c>
      <c r="T308" s="700">
        <f t="shared" si="14"/>
        <v>1939.875</v>
      </c>
      <c r="U308" s="818">
        <v>12830</v>
      </c>
      <c r="V308" s="932" t="s">
        <v>798</v>
      </c>
      <c r="W308" s="626"/>
    </row>
    <row r="309" spans="1:46" s="559" customFormat="1">
      <c r="A309" s="817">
        <v>42259</v>
      </c>
      <c r="B309" s="697">
        <v>30337</v>
      </c>
      <c r="C309" s="818">
        <v>2</v>
      </c>
      <c r="D309" s="818">
        <v>12</v>
      </c>
      <c r="E309" s="702">
        <v>215</v>
      </c>
      <c r="F309" s="818"/>
      <c r="G309" s="702">
        <v>205</v>
      </c>
      <c r="H309" s="818"/>
      <c r="I309" s="702">
        <v>155</v>
      </c>
      <c r="J309" s="818"/>
      <c r="K309" s="699"/>
      <c r="L309" s="700">
        <v>110</v>
      </c>
      <c r="M309" s="701">
        <v>13</v>
      </c>
      <c r="N309" s="700">
        <v>60</v>
      </c>
      <c r="O309" s="875"/>
      <c r="P309" s="874">
        <v>15</v>
      </c>
      <c r="Q309" s="945"/>
      <c r="R309" s="700">
        <f t="shared" si="12"/>
        <v>3360</v>
      </c>
      <c r="S309" s="700">
        <f t="shared" si="13"/>
        <v>168</v>
      </c>
      <c r="T309" s="700">
        <f t="shared" si="14"/>
        <v>3528</v>
      </c>
      <c r="U309" s="818">
        <v>12830</v>
      </c>
      <c r="V309" s="932" t="s">
        <v>798</v>
      </c>
      <c r="W309" s="626"/>
    </row>
    <row r="310" spans="1:46" s="559" customFormat="1">
      <c r="A310" s="817">
        <v>42260</v>
      </c>
      <c r="B310" s="697">
        <v>30338</v>
      </c>
      <c r="C310" s="818">
        <v>2</v>
      </c>
      <c r="D310" s="818"/>
      <c r="E310" s="702">
        <v>215</v>
      </c>
      <c r="F310" s="818">
        <v>12</v>
      </c>
      <c r="G310" s="702">
        <v>205</v>
      </c>
      <c r="H310" s="818"/>
      <c r="I310" s="702">
        <v>155</v>
      </c>
      <c r="J310" s="818"/>
      <c r="K310" s="699"/>
      <c r="L310" s="700">
        <v>110</v>
      </c>
      <c r="M310" s="701">
        <v>13</v>
      </c>
      <c r="N310" s="700">
        <v>60</v>
      </c>
      <c r="O310" s="875"/>
      <c r="P310" s="874">
        <v>15</v>
      </c>
      <c r="Q310" s="945"/>
      <c r="R310" s="700">
        <f t="shared" si="12"/>
        <v>3240</v>
      </c>
      <c r="S310" s="700">
        <f t="shared" si="13"/>
        <v>162</v>
      </c>
      <c r="T310" s="700">
        <f t="shared" si="14"/>
        <v>3402</v>
      </c>
      <c r="U310" s="818">
        <v>12830</v>
      </c>
      <c r="V310" s="932" t="s">
        <v>798</v>
      </c>
      <c r="W310" s="626"/>
    </row>
    <row r="311" spans="1:46" s="559" customFormat="1">
      <c r="A311" s="817">
        <v>42260</v>
      </c>
      <c r="B311" s="697">
        <v>30339</v>
      </c>
      <c r="C311" s="818">
        <v>1</v>
      </c>
      <c r="D311" s="818"/>
      <c r="E311" s="702">
        <v>215</v>
      </c>
      <c r="F311" s="818"/>
      <c r="G311" s="702">
        <v>205</v>
      </c>
      <c r="H311" s="818">
        <v>13</v>
      </c>
      <c r="I311" s="702">
        <v>155</v>
      </c>
      <c r="J311" s="818"/>
      <c r="K311" s="699">
        <v>1</v>
      </c>
      <c r="L311" s="700">
        <v>110</v>
      </c>
      <c r="M311" s="701"/>
      <c r="N311" s="700">
        <v>60</v>
      </c>
      <c r="O311" s="875"/>
      <c r="P311" s="874">
        <v>15</v>
      </c>
      <c r="Q311" s="945"/>
      <c r="R311" s="700">
        <f t="shared" si="12"/>
        <v>2125</v>
      </c>
      <c r="S311" s="700">
        <f t="shared" si="13"/>
        <v>106.25</v>
      </c>
      <c r="T311" s="700">
        <f t="shared" si="14"/>
        <v>2231.25</v>
      </c>
      <c r="U311" s="818">
        <v>12830</v>
      </c>
      <c r="V311" s="932" t="s">
        <v>798</v>
      </c>
      <c r="W311" s="626"/>
    </row>
    <row r="312" spans="1:46" s="559" customFormat="1">
      <c r="A312" s="817">
        <v>42261</v>
      </c>
      <c r="B312" s="697">
        <v>30340</v>
      </c>
      <c r="C312" s="818">
        <v>1</v>
      </c>
      <c r="D312" s="818"/>
      <c r="E312" s="702">
        <v>215</v>
      </c>
      <c r="F312" s="818"/>
      <c r="G312" s="702">
        <v>205</v>
      </c>
      <c r="H312" s="818">
        <v>12</v>
      </c>
      <c r="I312" s="702">
        <v>155</v>
      </c>
      <c r="J312" s="818"/>
      <c r="K312" s="699"/>
      <c r="L312" s="700">
        <v>110</v>
      </c>
      <c r="M312" s="701"/>
      <c r="N312" s="700">
        <v>60</v>
      </c>
      <c r="O312" s="875"/>
      <c r="P312" s="874">
        <v>15</v>
      </c>
      <c r="Q312" s="945"/>
      <c r="R312" s="700">
        <f t="shared" si="12"/>
        <v>1860</v>
      </c>
      <c r="S312" s="700">
        <f t="shared" si="13"/>
        <v>93</v>
      </c>
      <c r="T312" s="700">
        <f t="shared" si="14"/>
        <v>1953</v>
      </c>
      <c r="U312" s="818">
        <v>12830</v>
      </c>
      <c r="V312" s="932" t="s">
        <v>798</v>
      </c>
      <c r="W312" s="626"/>
    </row>
    <row r="313" spans="1:46" s="559" customFormat="1">
      <c r="A313" s="817">
        <v>42261</v>
      </c>
      <c r="B313" s="697">
        <v>30341</v>
      </c>
      <c r="C313" s="818">
        <v>2</v>
      </c>
      <c r="D313" s="818"/>
      <c r="E313" s="702">
        <v>215</v>
      </c>
      <c r="F313" s="818">
        <v>11</v>
      </c>
      <c r="G313" s="702">
        <v>205</v>
      </c>
      <c r="H313" s="818"/>
      <c r="I313" s="702">
        <v>155</v>
      </c>
      <c r="J313" s="818"/>
      <c r="K313" s="699">
        <v>1</v>
      </c>
      <c r="L313" s="700">
        <v>110</v>
      </c>
      <c r="M313" s="701">
        <v>12</v>
      </c>
      <c r="N313" s="700">
        <v>60</v>
      </c>
      <c r="O313" s="875"/>
      <c r="P313" s="874">
        <v>15</v>
      </c>
      <c r="Q313" s="945"/>
      <c r="R313" s="700">
        <f t="shared" si="12"/>
        <v>3085</v>
      </c>
      <c r="S313" s="700">
        <f t="shared" si="13"/>
        <v>154.25</v>
      </c>
      <c r="T313" s="700">
        <f t="shared" si="14"/>
        <v>3239.25</v>
      </c>
      <c r="U313" s="818">
        <v>12830</v>
      </c>
      <c r="V313" s="932" t="s">
        <v>798</v>
      </c>
      <c r="W313" s="626"/>
    </row>
    <row r="314" spans="1:46" s="559" customFormat="1">
      <c r="A314" s="817">
        <v>42262</v>
      </c>
      <c r="B314" s="697">
        <v>30342</v>
      </c>
      <c r="C314" s="818">
        <v>2</v>
      </c>
      <c r="D314" s="818">
        <v>6</v>
      </c>
      <c r="E314" s="702">
        <v>215</v>
      </c>
      <c r="F314" s="818"/>
      <c r="G314" s="702">
        <v>205</v>
      </c>
      <c r="H314" s="818"/>
      <c r="I314" s="702">
        <v>155</v>
      </c>
      <c r="J314" s="818"/>
      <c r="K314" s="699"/>
      <c r="L314" s="700">
        <v>110</v>
      </c>
      <c r="M314" s="701">
        <v>6</v>
      </c>
      <c r="N314" s="700">
        <v>60</v>
      </c>
      <c r="O314" s="875"/>
      <c r="P314" s="874">
        <v>15</v>
      </c>
      <c r="Q314" s="945"/>
      <c r="R314" s="700">
        <f t="shared" si="12"/>
        <v>1650</v>
      </c>
      <c r="S314" s="700">
        <f t="shared" si="13"/>
        <v>82.5</v>
      </c>
      <c r="T314" s="700">
        <f t="shared" si="14"/>
        <v>1732.5</v>
      </c>
      <c r="U314" s="818">
        <v>12830</v>
      </c>
      <c r="V314" s="932" t="s">
        <v>798</v>
      </c>
      <c r="W314" s="626"/>
    </row>
    <row r="315" spans="1:46" s="192" customFormat="1">
      <c r="A315" s="817">
        <v>42263</v>
      </c>
      <c r="B315" s="697">
        <v>30343</v>
      </c>
      <c r="C315" s="818">
        <v>2</v>
      </c>
      <c r="D315" s="818">
        <v>7</v>
      </c>
      <c r="E315" s="702">
        <v>215</v>
      </c>
      <c r="F315" s="818"/>
      <c r="G315" s="702">
        <v>205</v>
      </c>
      <c r="H315" s="818"/>
      <c r="I315" s="702">
        <v>155</v>
      </c>
      <c r="J315" s="818"/>
      <c r="K315" s="699"/>
      <c r="L315" s="700">
        <v>110</v>
      </c>
      <c r="M315" s="701">
        <v>7</v>
      </c>
      <c r="N315" s="700">
        <v>60</v>
      </c>
      <c r="O315" s="875"/>
      <c r="P315" s="874">
        <v>15</v>
      </c>
      <c r="Q315" s="945"/>
      <c r="R315" s="700">
        <f t="shared" si="12"/>
        <v>1925</v>
      </c>
      <c r="S315" s="700">
        <f t="shared" si="13"/>
        <v>96.25</v>
      </c>
      <c r="T315" s="700">
        <f t="shared" si="14"/>
        <v>2021.25</v>
      </c>
      <c r="U315" s="818">
        <v>12830</v>
      </c>
      <c r="V315" s="932" t="s">
        <v>798</v>
      </c>
      <c r="W315" s="194"/>
      <c r="AA315" s="559"/>
      <c r="AB315" s="559"/>
      <c r="AC315" s="559"/>
      <c r="AD315" s="559"/>
      <c r="AE315" s="559"/>
      <c r="AF315" s="559"/>
      <c r="AG315" s="559"/>
      <c r="AH315" s="559"/>
      <c r="AI315" s="559"/>
      <c r="AJ315" s="559"/>
      <c r="AK315" s="559"/>
      <c r="AL315" s="559"/>
      <c r="AM315" s="559"/>
      <c r="AN315" s="559"/>
      <c r="AO315" s="559"/>
      <c r="AP315" s="559"/>
      <c r="AQ315" s="559"/>
      <c r="AR315" s="559"/>
      <c r="AS315" s="559"/>
      <c r="AT315" s="559"/>
    </row>
    <row r="316" spans="1:46" s="192" customFormat="1">
      <c r="A316" s="197">
        <v>42273</v>
      </c>
      <c r="B316" s="859" t="s">
        <v>516</v>
      </c>
      <c r="C316" s="199">
        <v>1</v>
      </c>
      <c r="D316" s="199">
        <v>7.5</v>
      </c>
      <c r="E316" s="195">
        <v>215</v>
      </c>
      <c r="F316" s="199"/>
      <c r="G316" s="195">
        <v>205</v>
      </c>
      <c r="H316" s="199"/>
      <c r="I316" s="195">
        <v>155</v>
      </c>
      <c r="J316" s="199"/>
      <c r="K316" s="187"/>
      <c r="L316" s="188">
        <v>110</v>
      </c>
      <c r="M316" s="186">
        <v>7.5</v>
      </c>
      <c r="N316" s="188">
        <v>60</v>
      </c>
      <c r="O316" s="795"/>
      <c r="P316" s="824">
        <v>15</v>
      </c>
      <c r="Q316" s="944"/>
      <c r="R316" s="188">
        <f t="shared" si="12"/>
        <v>2062.5</v>
      </c>
      <c r="S316" s="188">
        <f t="shared" si="13"/>
        <v>103.125</v>
      </c>
      <c r="T316" s="188">
        <f t="shared" si="14"/>
        <v>2165.625</v>
      </c>
      <c r="U316" s="199">
        <v>13024</v>
      </c>
      <c r="V316" s="677" t="s">
        <v>798</v>
      </c>
      <c r="W316" s="194"/>
    </row>
    <row r="317" spans="1:46" s="384" customFormat="1">
      <c r="A317" s="197">
        <v>42275</v>
      </c>
      <c r="B317" s="859" t="s">
        <v>629</v>
      </c>
      <c r="C317" s="199">
        <v>1</v>
      </c>
      <c r="D317" s="199">
        <v>9.5</v>
      </c>
      <c r="E317" s="195">
        <v>215</v>
      </c>
      <c r="F317" s="199"/>
      <c r="G317" s="195">
        <v>205</v>
      </c>
      <c r="H317" s="199"/>
      <c r="I317" s="195">
        <v>155</v>
      </c>
      <c r="J317" s="199"/>
      <c r="K317" s="187"/>
      <c r="L317" s="188">
        <v>110</v>
      </c>
      <c r="M317" s="186">
        <v>9.5</v>
      </c>
      <c r="N317" s="188">
        <v>60</v>
      </c>
      <c r="O317" s="795"/>
      <c r="P317" s="824">
        <v>15</v>
      </c>
      <c r="Q317" s="944"/>
      <c r="R317" s="188">
        <f t="shared" si="12"/>
        <v>2612.5</v>
      </c>
      <c r="S317" s="188">
        <f t="shared" si="13"/>
        <v>130.625</v>
      </c>
      <c r="T317" s="188">
        <f t="shared" si="14"/>
        <v>2743.125</v>
      </c>
      <c r="U317" s="199">
        <v>13024</v>
      </c>
      <c r="V317" s="677" t="s">
        <v>798</v>
      </c>
      <c r="W317" s="383"/>
      <c r="AA317" s="192"/>
      <c r="AB317" s="192"/>
      <c r="AC317" s="192"/>
      <c r="AD317" s="192"/>
      <c r="AE317" s="192"/>
      <c r="AF317" s="192"/>
      <c r="AG317" s="192"/>
      <c r="AH317" s="192"/>
      <c r="AI317" s="192"/>
      <c r="AJ317" s="192"/>
      <c r="AK317" s="192"/>
      <c r="AL317" s="192"/>
      <c r="AM317" s="192"/>
      <c r="AN317" s="192"/>
      <c r="AO317" s="192"/>
      <c r="AP317" s="192"/>
      <c r="AQ317" s="192"/>
      <c r="AR317" s="192"/>
      <c r="AS317" s="192"/>
      <c r="AT317" s="192"/>
    </row>
    <row r="318" spans="1:46" s="384" customFormat="1">
      <c r="A318" s="373">
        <v>42311</v>
      </c>
      <c r="B318" s="746" t="s">
        <v>817</v>
      </c>
      <c r="C318" s="375">
        <v>2</v>
      </c>
      <c r="D318" s="375">
        <v>12</v>
      </c>
      <c r="E318" s="377">
        <v>215</v>
      </c>
      <c r="F318" s="375"/>
      <c r="G318" s="377">
        <v>205</v>
      </c>
      <c r="H318" s="375"/>
      <c r="I318" s="377">
        <v>155</v>
      </c>
      <c r="J318" s="375"/>
      <c r="K318" s="474"/>
      <c r="L318" s="376">
        <v>110</v>
      </c>
      <c r="M318" s="379">
        <v>12</v>
      </c>
      <c r="N318" s="376">
        <v>60</v>
      </c>
      <c r="O318" s="596">
        <v>16</v>
      </c>
      <c r="P318" s="595">
        <v>15</v>
      </c>
      <c r="Q318" s="943"/>
      <c r="R318" s="376">
        <f>(D318*E318)+(K318*L318)+(M318*N318)+(O318*P318)+(F318*G318)+(H318*I318)</f>
        <v>3540</v>
      </c>
      <c r="S318" s="376">
        <f>(R318*5%)</f>
        <v>177</v>
      </c>
      <c r="T318" s="376">
        <f>SUM(R318+S318)</f>
        <v>3717</v>
      </c>
      <c r="U318" s="375">
        <v>13077</v>
      </c>
      <c r="V318" s="1073" t="s">
        <v>798</v>
      </c>
      <c r="W318" s="383"/>
    </row>
    <row r="319" spans="1:46" s="371" customFormat="1">
      <c r="A319" s="373">
        <v>42311</v>
      </c>
      <c r="B319" s="746" t="s">
        <v>820</v>
      </c>
      <c r="C319" s="375">
        <v>1</v>
      </c>
      <c r="D319" s="375"/>
      <c r="E319" s="377">
        <v>215</v>
      </c>
      <c r="F319" s="375"/>
      <c r="G319" s="377">
        <v>205</v>
      </c>
      <c r="H319" s="375">
        <v>3</v>
      </c>
      <c r="I319" s="377">
        <v>155</v>
      </c>
      <c r="J319" s="375"/>
      <c r="K319" s="474"/>
      <c r="L319" s="376">
        <v>110</v>
      </c>
      <c r="M319" s="379"/>
      <c r="N319" s="376">
        <v>60</v>
      </c>
      <c r="O319" s="596">
        <v>8</v>
      </c>
      <c r="P319" s="595">
        <v>15</v>
      </c>
      <c r="Q319" s="943"/>
      <c r="R319" s="376">
        <f>(D319*E319)+(K319*L319)+(M319*N319)+(O319*P319)+(F319*G319)+(H319*I319)+Q319</f>
        <v>585</v>
      </c>
      <c r="S319" s="376">
        <f>(R319*5%)</f>
        <v>29.25</v>
      </c>
      <c r="T319" s="376">
        <f>SUM(R319+S319)</f>
        <v>614.25</v>
      </c>
      <c r="U319" s="375">
        <v>13077</v>
      </c>
      <c r="V319" s="1073" t="s">
        <v>798</v>
      </c>
      <c r="W319" s="370"/>
      <c r="AA319" s="384"/>
      <c r="AB319" s="384"/>
      <c r="AC319" s="384"/>
      <c r="AD319" s="384"/>
      <c r="AE319" s="384"/>
      <c r="AF319" s="384"/>
      <c r="AG319" s="384"/>
      <c r="AH319" s="384"/>
      <c r="AI319" s="384"/>
      <c r="AJ319" s="384"/>
      <c r="AK319" s="384"/>
      <c r="AL319" s="384"/>
      <c r="AM319" s="384"/>
      <c r="AN319" s="384"/>
      <c r="AO319" s="384"/>
      <c r="AP319" s="384"/>
      <c r="AQ319" s="384"/>
      <c r="AR319" s="384"/>
      <c r="AS319" s="384"/>
      <c r="AT319" s="384"/>
    </row>
    <row r="320" spans="1:46" s="384" customFormat="1">
      <c r="A320" s="366">
        <v>42312</v>
      </c>
      <c r="B320" s="899" t="s">
        <v>821</v>
      </c>
      <c r="C320" s="368"/>
      <c r="D320" s="368"/>
      <c r="E320" s="125">
        <v>215</v>
      </c>
      <c r="F320" s="368"/>
      <c r="G320" s="125">
        <v>205</v>
      </c>
      <c r="H320" s="368"/>
      <c r="I320" s="125">
        <v>155</v>
      </c>
      <c r="J320" s="368"/>
      <c r="K320" s="122"/>
      <c r="L320" s="123">
        <v>110</v>
      </c>
      <c r="M320" s="124"/>
      <c r="N320" s="123">
        <v>60</v>
      </c>
      <c r="O320" s="881"/>
      <c r="P320" s="882">
        <v>15</v>
      </c>
      <c r="Q320" s="946">
        <v>1196.1400000000001</v>
      </c>
      <c r="R320" s="123">
        <f t="shared" ref="R320:R337" si="15">(D320*E320)+(K320*L320)+(M320*N320)+(O320*P320)+(F320*G320)+(H320*I320)+Q320</f>
        <v>1196.1400000000001</v>
      </c>
      <c r="S320" s="123">
        <f>(R320*5%)</f>
        <v>59.807000000000009</v>
      </c>
      <c r="T320" s="123">
        <f>SUM(R320+S320)</f>
        <v>1255.9470000000001</v>
      </c>
      <c r="U320" s="368">
        <v>13395</v>
      </c>
      <c r="V320" s="1085" t="s">
        <v>798</v>
      </c>
      <c r="W320" s="383"/>
      <c r="AA320" s="371"/>
      <c r="AB320" s="371"/>
      <c r="AC320" s="371"/>
      <c r="AD320" s="371"/>
      <c r="AE320" s="371"/>
      <c r="AF320" s="371"/>
      <c r="AG320" s="371"/>
      <c r="AH320" s="371"/>
      <c r="AI320" s="371"/>
      <c r="AJ320" s="371"/>
      <c r="AK320" s="371"/>
      <c r="AL320" s="371"/>
      <c r="AM320" s="371"/>
      <c r="AN320" s="371"/>
      <c r="AO320" s="371"/>
      <c r="AP320" s="371"/>
      <c r="AQ320" s="371"/>
      <c r="AR320" s="371"/>
      <c r="AS320" s="371"/>
      <c r="AT320" s="371"/>
    </row>
    <row r="321" spans="1:46" s="371" customFormat="1">
      <c r="A321" s="373">
        <v>42312</v>
      </c>
      <c r="B321" s="746" t="s">
        <v>818</v>
      </c>
      <c r="C321" s="375">
        <v>2</v>
      </c>
      <c r="D321" s="375">
        <v>12</v>
      </c>
      <c r="E321" s="377">
        <v>215</v>
      </c>
      <c r="F321" s="375"/>
      <c r="G321" s="377">
        <v>205</v>
      </c>
      <c r="H321" s="375"/>
      <c r="I321" s="377">
        <v>155</v>
      </c>
      <c r="J321" s="375"/>
      <c r="K321" s="474"/>
      <c r="L321" s="376">
        <v>110</v>
      </c>
      <c r="M321" s="379">
        <v>12</v>
      </c>
      <c r="N321" s="376">
        <v>60</v>
      </c>
      <c r="O321" s="596">
        <v>8</v>
      </c>
      <c r="P321" s="595">
        <v>15</v>
      </c>
      <c r="Q321" s="943"/>
      <c r="R321" s="376">
        <f t="shared" si="15"/>
        <v>3420</v>
      </c>
      <c r="S321" s="376">
        <f t="shared" ref="S321:S331" si="16">(R321*5%)</f>
        <v>171</v>
      </c>
      <c r="T321" s="376">
        <f t="shared" ref="T321:T331" si="17">SUM(R321+S321)</f>
        <v>3591</v>
      </c>
      <c r="U321" s="375">
        <v>13077</v>
      </c>
      <c r="V321" s="1073" t="s">
        <v>798</v>
      </c>
      <c r="W321" s="370"/>
      <c r="AA321" s="384"/>
      <c r="AB321" s="384"/>
      <c r="AC321" s="384"/>
      <c r="AD321" s="384"/>
      <c r="AE321" s="384"/>
      <c r="AF321" s="384"/>
      <c r="AG321" s="384"/>
      <c r="AH321" s="384"/>
      <c r="AI321" s="384"/>
      <c r="AJ321" s="384"/>
      <c r="AK321" s="384"/>
      <c r="AL321" s="384"/>
      <c r="AM321" s="384"/>
      <c r="AN321" s="384"/>
      <c r="AO321" s="384"/>
      <c r="AP321" s="384"/>
      <c r="AQ321" s="384"/>
      <c r="AR321" s="384"/>
      <c r="AS321" s="384"/>
      <c r="AT321" s="384"/>
    </row>
    <row r="322" spans="1:46" s="1049" customFormat="1">
      <c r="A322" s="366">
        <v>42313</v>
      </c>
      <c r="B322" s="899" t="s">
        <v>819</v>
      </c>
      <c r="C322" s="368">
        <v>2</v>
      </c>
      <c r="D322" s="368">
        <v>8</v>
      </c>
      <c r="E322" s="125">
        <v>215</v>
      </c>
      <c r="F322" s="368"/>
      <c r="G322" s="125">
        <v>205</v>
      </c>
      <c r="H322" s="368"/>
      <c r="I322" s="125">
        <v>155</v>
      </c>
      <c r="J322" s="368"/>
      <c r="K322" s="122"/>
      <c r="L322" s="123">
        <v>110</v>
      </c>
      <c r="M322" s="124">
        <v>8</v>
      </c>
      <c r="N322" s="123">
        <v>60</v>
      </c>
      <c r="O322" s="881">
        <v>8</v>
      </c>
      <c r="P322" s="882">
        <v>15</v>
      </c>
      <c r="Q322" s="946"/>
      <c r="R322" s="123">
        <f t="shared" si="15"/>
        <v>2320</v>
      </c>
      <c r="S322" s="123">
        <f t="shared" si="16"/>
        <v>116</v>
      </c>
      <c r="T322" s="123">
        <f t="shared" si="17"/>
        <v>2436</v>
      </c>
      <c r="U322" s="368">
        <v>13395</v>
      </c>
      <c r="V322" s="1085" t="s">
        <v>798</v>
      </c>
      <c r="W322" s="1047"/>
      <c r="AA322" s="371"/>
      <c r="AB322" s="371"/>
      <c r="AC322" s="371"/>
      <c r="AD322" s="371"/>
      <c r="AE322" s="371"/>
      <c r="AF322" s="371"/>
      <c r="AG322" s="371"/>
      <c r="AH322" s="371"/>
      <c r="AI322" s="371"/>
      <c r="AJ322" s="371"/>
      <c r="AK322" s="371"/>
      <c r="AL322" s="371"/>
      <c r="AM322" s="371"/>
      <c r="AN322" s="371"/>
      <c r="AO322" s="371"/>
      <c r="AP322" s="371"/>
      <c r="AQ322" s="371"/>
      <c r="AR322" s="371"/>
      <c r="AS322" s="371"/>
      <c r="AT322" s="371"/>
    </row>
    <row r="323" spans="1:46" s="136" customFormat="1">
      <c r="A323" s="1074">
        <v>42326</v>
      </c>
      <c r="B323" s="1075" t="s">
        <v>826</v>
      </c>
      <c r="C323" s="1076">
        <v>2</v>
      </c>
      <c r="D323" s="1076">
        <v>8</v>
      </c>
      <c r="E323" s="1077">
        <v>215</v>
      </c>
      <c r="F323" s="1076"/>
      <c r="G323" s="1077">
        <v>205</v>
      </c>
      <c r="H323" s="1076"/>
      <c r="I323" s="1077">
        <v>155</v>
      </c>
      <c r="J323" s="1076"/>
      <c r="K323" s="1078"/>
      <c r="L323" s="1079">
        <v>110</v>
      </c>
      <c r="M323" s="1080">
        <v>8</v>
      </c>
      <c r="N323" s="1079">
        <v>60</v>
      </c>
      <c r="O323" s="1081">
        <v>8</v>
      </c>
      <c r="P323" s="1082">
        <v>15</v>
      </c>
      <c r="Q323" s="1083"/>
      <c r="R323" s="1079">
        <f t="shared" si="15"/>
        <v>2320</v>
      </c>
      <c r="S323" s="1079">
        <f t="shared" si="16"/>
        <v>116</v>
      </c>
      <c r="T323" s="1079">
        <f t="shared" si="17"/>
        <v>2436</v>
      </c>
      <c r="U323" s="1076">
        <v>13527</v>
      </c>
      <c r="V323" s="1084" t="s">
        <v>798</v>
      </c>
      <c r="W323" s="148"/>
      <c r="AA323" s="1049"/>
      <c r="AB323" s="1049"/>
      <c r="AC323" s="1049"/>
      <c r="AD323" s="1049"/>
      <c r="AE323" s="1049"/>
      <c r="AF323" s="1049"/>
      <c r="AG323" s="1049"/>
      <c r="AH323" s="1049"/>
      <c r="AI323" s="1049"/>
      <c r="AJ323" s="1049"/>
      <c r="AK323" s="1049"/>
      <c r="AL323" s="1049"/>
      <c r="AM323" s="1049"/>
      <c r="AN323" s="1049"/>
      <c r="AO323" s="1049"/>
      <c r="AP323" s="1049"/>
      <c r="AQ323" s="1049"/>
      <c r="AR323" s="1049"/>
      <c r="AS323" s="1049"/>
      <c r="AT323" s="1049"/>
    </row>
    <row r="324" spans="1:46" s="2" customFormat="1">
      <c r="A324" s="137">
        <v>42340</v>
      </c>
      <c r="B324" s="506" t="s">
        <v>993</v>
      </c>
      <c r="C324" s="140"/>
      <c r="D324" s="140"/>
      <c r="E324" s="143">
        <v>215</v>
      </c>
      <c r="F324" s="140"/>
      <c r="G324" s="143">
        <v>205</v>
      </c>
      <c r="H324" s="140"/>
      <c r="I324" s="143">
        <v>155</v>
      </c>
      <c r="J324" s="140"/>
      <c r="K324" s="131"/>
      <c r="L324" s="132">
        <v>110</v>
      </c>
      <c r="M324" s="133"/>
      <c r="N324" s="132">
        <v>60</v>
      </c>
      <c r="O324" s="844"/>
      <c r="P324" s="505">
        <v>15</v>
      </c>
      <c r="Q324" s="947">
        <v>4794</v>
      </c>
      <c r="R324" s="132">
        <f t="shared" si="15"/>
        <v>4794</v>
      </c>
      <c r="S324" s="132">
        <f t="shared" si="16"/>
        <v>239.70000000000002</v>
      </c>
      <c r="T324" s="132">
        <f t="shared" si="17"/>
        <v>5033.7</v>
      </c>
      <c r="U324" s="140">
        <v>13739</v>
      </c>
      <c r="V324" s="1086"/>
      <c r="W324" s="316"/>
      <c r="AA324" s="136"/>
      <c r="AB324" s="136"/>
      <c r="AC324" s="136"/>
      <c r="AD324" s="136"/>
      <c r="AE324" s="136"/>
      <c r="AF324" s="136"/>
      <c r="AG324" s="136"/>
      <c r="AH324" s="136"/>
      <c r="AI324" s="136"/>
      <c r="AJ324" s="136"/>
      <c r="AK324" s="136"/>
      <c r="AL324" s="136"/>
      <c r="AM324" s="136"/>
      <c r="AN324" s="136"/>
      <c r="AO324" s="136"/>
      <c r="AP324" s="136"/>
      <c r="AQ324" s="136"/>
      <c r="AR324" s="136"/>
      <c r="AS324" s="136"/>
      <c r="AT324" s="136"/>
    </row>
    <row r="325" spans="1:46" s="2" customFormat="1">
      <c r="A325" s="318">
        <v>42342</v>
      </c>
      <c r="B325" s="937" t="s">
        <v>994</v>
      </c>
      <c r="C325" s="269"/>
      <c r="D325" s="269"/>
      <c r="E325" s="267">
        <v>215</v>
      </c>
      <c r="F325" s="269"/>
      <c r="G325" s="267">
        <v>205</v>
      </c>
      <c r="H325" s="269"/>
      <c r="I325" s="267">
        <v>155</v>
      </c>
      <c r="J325" s="269"/>
      <c r="K325" s="266"/>
      <c r="L325" s="265">
        <v>110</v>
      </c>
      <c r="M325" s="263"/>
      <c r="N325" s="265">
        <v>60</v>
      </c>
      <c r="O325" s="938"/>
      <c r="P325" s="939">
        <v>15</v>
      </c>
      <c r="Q325" s="948" t="s">
        <v>995</v>
      </c>
      <c r="R325" s="265" t="s">
        <v>996</v>
      </c>
      <c r="S325" s="265" t="e">
        <f t="shared" si="16"/>
        <v>#VALUE!</v>
      </c>
      <c r="T325" s="265" t="e">
        <f t="shared" si="17"/>
        <v>#VALUE!</v>
      </c>
      <c r="U325" s="269"/>
      <c r="V325" s="940"/>
      <c r="W325" s="316"/>
    </row>
    <row r="326" spans="1:46" s="2" customFormat="1">
      <c r="A326" s="318">
        <v>42388</v>
      </c>
      <c r="B326" s="937" t="s">
        <v>1018</v>
      </c>
      <c r="C326" s="269">
        <v>4</v>
      </c>
      <c r="D326" s="269">
        <v>4</v>
      </c>
      <c r="E326" s="267">
        <v>215</v>
      </c>
      <c r="F326" s="269">
        <v>0.5</v>
      </c>
      <c r="G326" s="267">
        <v>25</v>
      </c>
      <c r="H326" s="269"/>
      <c r="I326" s="267">
        <v>155</v>
      </c>
      <c r="J326" s="269"/>
      <c r="K326" s="266"/>
      <c r="L326" s="265">
        <v>110</v>
      </c>
      <c r="M326" s="263">
        <v>4</v>
      </c>
      <c r="N326" s="265">
        <v>60</v>
      </c>
      <c r="O326" s="938">
        <v>1</v>
      </c>
      <c r="P326" s="939">
        <v>15</v>
      </c>
      <c r="Q326" s="948">
        <v>250</v>
      </c>
      <c r="R326" s="265">
        <f t="shared" si="15"/>
        <v>1377.5</v>
      </c>
      <c r="S326" s="265">
        <f t="shared" si="16"/>
        <v>68.875</v>
      </c>
      <c r="T326" s="265">
        <f t="shared" si="17"/>
        <v>1446.375</v>
      </c>
      <c r="U326" s="269"/>
      <c r="V326" s="940"/>
      <c r="W326" s="316"/>
    </row>
    <row r="327" spans="1:46" s="2" customFormat="1">
      <c r="A327" s="318"/>
      <c r="B327" s="937"/>
      <c r="C327" s="269"/>
      <c r="D327" s="269"/>
      <c r="E327" s="267">
        <v>215</v>
      </c>
      <c r="F327" s="269"/>
      <c r="G327" s="267">
        <v>205</v>
      </c>
      <c r="H327" s="269"/>
      <c r="I327" s="267">
        <v>155</v>
      </c>
      <c r="J327" s="269"/>
      <c r="K327" s="266"/>
      <c r="L327" s="265">
        <v>110</v>
      </c>
      <c r="M327" s="263"/>
      <c r="N327" s="265">
        <v>60</v>
      </c>
      <c r="O327" s="938"/>
      <c r="P327" s="939">
        <v>15</v>
      </c>
      <c r="Q327" s="948"/>
      <c r="R327" s="265">
        <f t="shared" si="15"/>
        <v>0</v>
      </c>
      <c r="S327" s="265">
        <f t="shared" si="16"/>
        <v>0</v>
      </c>
      <c r="T327" s="265">
        <f t="shared" si="17"/>
        <v>0</v>
      </c>
      <c r="U327" s="269"/>
      <c r="V327" s="940"/>
      <c r="W327" s="316"/>
    </row>
    <row r="328" spans="1:46" s="2" customFormat="1">
      <c r="A328" s="318"/>
      <c r="B328" s="937"/>
      <c r="C328" s="269"/>
      <c r="D328" s="269"/>
      <c r="E328" s="267">
        <v>215</v>
      </c>
      <c r="F328" s="269"/>
      <c r="G328" s="267">
        <v>205</v>
      </c>
      <c r="H328" s="269"/>
      <c r="I328" s="267">
        <v>155</v>
      </c>
      <c r="J328" s="269"/>
      <c r="K328" s="266"/>
      <c r="L328" s="265">
        <v>110</v>
      </c>
      <c r="M328" s="263"/>
      <c r="N328" s="265">
        <v>60</v>
      </c>
      <c r="O328" s="938"/>
      <c r="P328" s="939">
        <v>15</v>
      </c>
      <c r="Q328" s="948"/>
      <c r="R328" s="265">
        <f t="shared" si="15"/>
        <v>0</v>
      </c>
      <c r="S328" s="265">
        <f t="shared" si="16"/>
        <v>0</v>
      </c>
      <c r="T328" s="265">
        <f t="shared" si="17"/>
        <v>0</v>
      </c>
      <c r="U328" s="269"/>
      <c r="V328" s="940"/>
      <c r="W328" s="316"/>
    </row>
    <row r="329" spans="1:46" s="2" customFormat="1">
      <c r="A329" s="318"/>
      <c r="B329" s="937"/>
      <c r="C329" s="269"/>
      <c r="D329" s="269"/>
      <c r="E329" s="267">
        <v>215</v>
      </c>
      <c r="F329" s="269"/>
      <c r="G329" s="267">
        <v>205</v>
      </c>
      <c r="H329" s="269"/>
      <c r="I329" s="267">
        <v>155</v>
      </c>
      <c r="J329" s="269"/>
      <c r="K329" s="266"/>
      <c r="L329" s="265">
        <v>110</v>
      </c>
      <c r="M329" s="263"/>
      <c r="N329" s="265">
        <v>60</v>
      </c>
      <c r="O329" s="938"/>
      <c r="P329" s="939">
        <v>15</v>
      </c>
      <c r="Q329" s="948"/>
      <c r="R329" s="265">
        <f t="shared" si="15"/>
        <v>0</v>
      </c>
      <c r="S329" s="265">
        <f t="shared" si="16"/>
        <v>0</v>
      </c>
      <c r="T329" s="265">
        <f t="shared" si="17"/>
        <v>0</v>
      </c>
      <c r="U329" s="269"/>
      <c r="V329" s="940"/>
      <c r="W329" s="316"/>
    </row>
    <row r="330" spans="1:46" s="2" customFormat="1">
      <c r="A330" s="318"/>
      <c r="B330" s="937"/>
      <c r="C330" s="269"/>
      <c r="D330" s="269"/>
      <c r="E330" s="267">
        <v>215</v>
      </c>
      <c r="F330" s="269"/>
      <c r="G330" s="267">
        <v>205</v>
      </c>
      <c r="H330" s="269"/>
      <c r="I330" s="267">
        <v>155</v>
      </c>
      <c r="J330" s="269"/>
      <c r="K330" s="266"/>
      <c r="L330" s="265">
        <v>110</v>
      </c>
      <c r="M330" s="263"/>
      <c r="N330" s="265">
        <v>60</v>
      </c>
      <c r="O330" s="938"/>
      <c r="P330" s="939">
        <v>15</v>
      </c>
      <c r="Q330" s="948"/>
      <c r="R330" s="265">
        <f t="shared" si="15"/>
        <v>0</v>
      </c>
      <c r="S330" s="265">
        <f t="shared" si="16"/>
        <v>0</v>
      </c>
      <c r="T330" s="265">
        <f t="shared" si="17"/>
        <v>0</v>
      </c>
      <c r="U330" s="269"/>
      <c r="V330" s="940"/>
      <c r="W330" s="316"/>
    </row>
    <row r="331" spans="1:46">
      <c r="A331" s="318"/>
      <c r="B331" s="937"/>
      <c r="C331" s="269"/>
      <c r="D331" s="269"/>
      <c r="E331" s="267">
        <v>215</v>
      </c>
      <c r="F331" s="269"/>
      <c r="G331" s="267">
        <v>205</v>
      </c>
      <c r="H331" s="269"/>
      <c r="I331" s="267">
        <v>155</v>
      </c>
      <c r="J331" s="269"/>
      <c r="K331" s="266"/>
      <c r="L331" s="265">
        <v>110</v>
      </c>
      <c r="M331" s="263"/>
      <c r="N331" s="265">
        <v>60</v>
      </c>
      <c r="O331" s="938"/>
      <c r="P331" s="939">
        <v>15</v>
      </c>
      <c r="Q331" s="948"/>
      <c r="R331" s="265">
        <f t="shared" si="15"/>
        <v>0</v>
      </c>
      <c r="S331" s="265">
        <f t="shared" si="16"/>
        <v>0</v>
      </c>
      <c r="T331" s="265">
        <f t="shared" si="17"/>
        <v>0</v>
      </c>
      <c r="U331" s="269"/>
      <c r="V331" s="940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</row>
    <row r="332" spans="1:46">
      <c r="R332" s="265">
        <f t="shared" si="15"/>
        <v>0</v>
      </c>
    </row>
    <row r="333" spans="1:46">
      <c r="R333" s="265">
        <f t="shared" si="15"/>
        <v>0</v>
      </c>
    </row>
    <row r="334" spans="1:46">
      <c r="R334" s="265">
        <f t="shared" si="15"/>
        <v>0</v>
      </c>
    </row>
    <row r="335" spans="1:46">
      <c r="R335" s="265">
        <f t="shared" si="15"/>
        <v>0</v>
      </c>
    </row>
    <row r="336" spans="1:46">
      <c r="R336" s="265">
        <f t="shared" si="15"/>
        <v>0</v>
      </c>
    </row>
    <row r="337" spans="18:18">
      <c r="R337" s="265">
        <f t="shared" si="15"/>
        <v>0</v>
      </c>
    </row>
  </sheetData>
  <autoFilter ref="A4:X336">
    <sortState ref="A5:X317">
      <sortCondition ref="U4:U317"/>
    </sortState>
  </autoFilter>
  <sortState ref="A5:U242">
    <sortCondition ref="A5:A242"/>
  </sortState>
  <phoneticPr fontId="3" type="noConversion"/>
  <pageMargins left="0.7" right="0.7" top="0.75" bottom="0.75" header="0.3" footer="0.3"/>
  <pageSetup orientation="portrait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theme="0"/>
  </sheetPr>
  <dimension ref="A1:AM1048429"/>
  <sheetViews>
    <sheetView workbookViewId="0">
      <pane xSplit="2" ySplit="4" topLeftCell="S5" activePane="bottomRight" state="frozen"/>
      <selection activeCell="K94" sqref="K94"/>
      <selection pane="topRight" activeCell="K94" sqref="K94"/>
      <selection pane="bottomLeft" activeCell="K94" sqref="K94"/>
      <selection pane="bottomRight" activeCell="A2" sqref="A2"/>
    </sheetView>
  </sheetViews>
  <sheetFormatPr baseColWidth="10" defaultColWidth="8.83203125" defaultRowHeight="12" x14ac:dyDescent="0.75"/>
  <cols>
    <col min="1" max="1" width="11.6640625" style="71" bestFit="1" customWidth="1"/>
    <col min="2" max="2" width="12.5" style="46" customWidth="1"/>
    <col min="3" max="3" width="10.1640625" style="71" customWidth="1"/>
    <col min="4" max="4" width="10.33203125" style="25" bestFit="1" customWidth="1"/>
    <col min="5" max="5" width="10.5" style="25" customWidth="1"/>
    <col min="6" max="6" width="10.33203125" style="25" customWidth="1"/>
    <col min="7" max="7" width="9.6640625" style="30" customWidth="1"/>
    <col min="8" max="8" width="10.33203125" style="25" customWidth="1"/>
    <col min="9" max="9" width="10.1640625" style="25" customWidth="1"/>
    <col min="10" max="10" width="11" style="25" customWidth="1"/>
    <col min="11" max="11" width="10.1640625" style="30" customWidth="1"/>
    <col min="12" max="12" width="9.1640625" style="25" customWidth="1"/>
    <col min="13" max="13" width="9.83203125" style="25" customWidth="1"/>
    <col min="14" max="14" width="9.1640625" style="25" customWidth="1"/>
    <col min="15" max="15" width="10.6640625" style="30" customWidth="1"/>
    <col min="16" max="16" width="9.1640625" style="25" customWidth="1"/>
    <col min="17" max="18" width="10.6640625" style="25" customWidth="1"/>
    <col min="19" max="19" width="9.33203125" style="30" customWidth="1"/>
    <col min="20" max="20" width="9.1640625" style="25" customWidth="1"/>
    <col min="21" max="21" width="9.1640625" style="30" customWidth="1"/>
    <col min="22" max="26" width="9.1640625" style="25" customWidth="1"/>
    <col min="27" max="27" width="12.5" style="25" hidden="1" customWidth="1"/>
    <col min="28" max="28" width="9.1640625" style="71" hidden="1" customWidth="1"/>
    <col min="29" max="29" width="38" style="28" hidden="1" customWidth="1"/>
    <col min="30" max="30" width="9.1640625" style="71" hidden="1" customWidth="1"/>
    <col min="31" max="33" width="9.1640625" style="341" customWidth="1"/>
    <col min="34" max="34" width="15.6640625" style="71" customWidth="1"/>
    <col min="35" max="36" width="10.33203125" style="71" bestFit="1" customWidth="1"/>
    <col min="37" max="37" width="17.1640625" style="71" customWidth="1"/>
    <col min="38" max="38" width="14.33203125" style="65" bestFit="1" customWidth="1"/>
    <col min="39" max="39" width="14.5" style="71" customWidth="1"/>
  </cols>
  <sheetData>
    <row r="1" spans="1:39">
      <c r="A1" s="24"/>
      <c r="C1" s="30"/>
      <c r="AB1" s="30"/>
      <c r="AD1" s="25"/>
      <c r="AE1" s="25"/>
      <c r="AF1" s="25"/>
      <c r="AG1" s="25"/>
      <c r="AH1" s="25"/>
      <c r="AI1" s="25"/>
      <c r="AJ1" s="25"/>
      <c r="AK1" s="25"/>
    </row>
    <row r="2" spans="1:39">
      <c r="A2" s="100" t="s">
        <v>1100</v>
      </c>
      <c r="B2" s="450"/>
      <c r="C2" s="451"/>
      <c r="D2" s="452"/>
      <c r="E2" s="452"/>
      <c r="F2" s="452"/>
      <c r="AB2" s="30"/>
      <c r="AD2" s="25"/>
      <c r="AE2" s="25"/>
      <c r="AF2" s="25"/>
      <c r="AG2" s="25"/>
      <c r="AH2" s="25"/>
      <c r="AI2" s="25"/>
      <c r="AJ2" s="25"/>
      <c r="AK2" s="25"/>
    </row>
    <row r="3" spans="1:39">
      <c r="A3" s="24"/>
      <c r="C3" s="30"/>
      <c r="AB3" s="30"/>
      <c r="AD3" s="25"/>
      <c r="AE3" s="25"/>
      <c r="AF3" s="25"/>
      <c r="AG3" s="25"/>
      <c r="AH3" s="25"/>
      <c r="AI3" s="25"/>
      <c r="AJ3" s="25"/>
      <c r="AK3" s="25"/>
    </row>
    <row r="4" spans="1:39" ht="51.75" customHeight="1">
      <c r="A4" s="36" t="s">
        <v>0</v>
      </c>
      <c r="B4" s="47" t="s">
        <v>8</v>
      </c>
      <c r="C4" s="41" t="s">
        <v>131</v>
      </c>
      <c r="D4" s="40" t="s">
        <v>21</v>
      </c>
      <c r="E4" s="40" t="s">
        <v>228</v>
      </c>
      <c r="F4" s="40" t="s">
        <v>227</v>
      </c>
      <c r="G4" s="41" t="s">
        <v>132</v>
      </c>
      <c r="H4" s="40" t="s">
        <v>21</v>
      </c>
      <c r="I4" s="40" t="s">
        <v>159</v>
      </c>
      <c r="J4" s="40" t="s">
        <v>21</v>
      </c>
      <c r="K4" s="41" t="s">
        <v>186</v>
      </c>
      <c r="L4" s="40" t="s">
        <v>26</v>
      </c>
      <c r="M4" s="40" t="s">
        <v>212</v>
      </c>
      <c r="N4" s="40" t="s">
        <v>26</v>
      </c>
      <c r="O4" s="41" t="s">
        <v>213</v>
      </c>
      <c r="P4" s="40" t="s">
        <v>214</v>
      </c>
      <c r="Q4" s="227" t="s">
        <v>290</v>
      </c>
      <c r="R4" s="40" t="s">
        <v>26</v>
      </c>
      <c r="S4" s="41" t="s">
        <v>226</v>
      </c>
      <c r="T4" s="40" t="s">
        <v>138</v>
      </c>
      <c r="U4" s="41" t="s">
        <v>215</v>
      </c>
      <c r="V4" s="40" t="s">
        <v>216</v>
      </c>
      <c r="W4" s="40" t="s">
        <v>22</v>
      </c>
      <c r="X4" s="40" t="s">
        <v>26</v>
      </c>
      <c r="Y4" s="40" t="s">
        <v>22</v>
      </c>
      <c r="Z4" s="40" t="s">
        <v>26</v>
      </c>
      <c r="AA4" s="40" t="s">
        <v>23</v>
      </c>
      <c r="AB4" s="41" t="s">
        <v>17</v>
      </c>
      <c r="AC4" s="45" t="s">
        <v>20</v>
      </c>
      <c r="AD4" s="40" t="s">
        <v>12</v>
      </c>
      <c r="AE4" s="528" t="s">
        <v>416</v>
      </c>
      <c r="AF4" s="528" t="s">
        <v>26</v>
      </c>
      <c r="AG4" s="528" t="s">
        <v>399</v>
      </c>
      <c r="AH4" s="40" t="s">
        <v>13</v>
      </c>
      <c r="AI4" s="40" t="s">
        <v>14</v>
      </c>
      <c r="AJ4" s="40" t="s">
        <v>9</v>
      </c>
      <c r="AK4" s="40" t="s">
        <v>15</v>
      </c>
      <c r="AL4" s="54" t="s">
        <v>7</v>
      </c>
      <c r="AM4" s="55" t="s">
        <v>16</v>
      </c>
    </row>
    <row r="5" spans="1:39">
      <c r="A5" s="26"/>
      <c r="B5" s="113"/>
      <c r="C5" s="35"/>
      <c r="D5" s="27"/>
      <c r="E5" s="27"/>
      <c r="F5" s="27"/>
      <c r="G5" s="35"/>
      <c r="H5" s="27"/>
      <c r="I5" s="31"/>
      <c r="J5" s="27"/>
      <c r="K5" s="31"/>
      <c r="L5" s="154"/>
      <c r="M5" s="27"/>
      <c r="N5" s="27"/>
      <c r="O5" s="31"/>
      <c r="P5" s="154"/>
      <c r="Q5" s="231"/>
      <c r="R5" s="27"/>
      <c r="S5" s="31"/>
      <c r="T5" s="154"/>
      <c r="U5" s="31"/>
      <c r="V5" s="154"/>
      <c r="W5" s="31"/>
      <c r="X5" s="27"/>
      <c r="Y5" s="27"/>
      <c r="Z5" s="265"/>
      <c r="AA5" s="265"/>
      <c r="AB5" s="263"/>
      <c r="AC5" s="268"/>
      <c r="AD5" s="265"/>
      <c r="AE5" s="529"/>
      <c r="AF5" s="529"/>
      <c r="AG5" s="529"/>
      <c r="AH5" s="265"/>
      <c r="AI5" s="265"/>
      <c r="AJ5" s="27"/>
      <c r="AK5" s="27"/>
      <c r="AL5" s="56"/>
      <c r="AM5" s="57">
        <f>SUM(AH5:AH248)</f>
        <v>615159.5</v>
      </c>
    </row>
    <row r="6" spans="1:39">
      <c r="A6" s="26">
        <v>42187</v>
      </c>
      <c r="B6" s="113">
        <v>498451</v>
      </c>
      <c r="C6" s="35">
        <v>1</v>
      </c>
      <c r="D6" s="27">
        <v>2600</v>
      </c>
      <c r="E6" s="27"/>
      <c r="F6" s="27">
        <v>2600</v>
      </c>
      <c r="G6" s="35">
        <v>1</v>
      </c>
      <c r="H6" s="27">
        <v>2600</v>
      </c>
      <c r="I6" s="31"/>
      <c r="J6" s="27">
        <v>130</v>
      </c>
      <c r="K6" s="31"/>
      <c r="L6" s="154">
        <v>2600</v>
      </c>
      <c r="M6" s="27"/>
      <c r="N6" s="27">
        <v>70</v>
      </c>
      <c r="O6" s="31"/>
      <c r="P6" s="154">
        <v>2600</v>
      </c>
      <c r="Q6" s="231"/>
      <c r="R6" s="27">
        <v>91</v>
      </c>
      <c r="S6" s="31"/>
      <c r="T6" s="154">
        <v>2600</v>
      </c>
      <c r="U6" s="31"/>
      <c r="V6" s="154">
        <v>245</v>
      </c>
      <c r="W6" s="31"/>
      <c r="X6" s="27">
        <v>60</v>
      </c>
      <c r="Y6" s="27"/>
      <c r="Z6" s="265">
        <v>46</v>
      </c>
      <c r="AA6" s="265">
        <f t="shared" ref="AA6:AA36" si="0">SUM(L6,J6,H6,D6)</f>
        <v>7930</v>
      </c>
      <c r="AB6" s="263" t="e">
        <f>(#REF!+#REF!)*#REF!</f>
        <v>#REF!</v>
      </c>
      <c r="AC6" s="268"/>
      <c r="AD6" s="265"/>
      <c r="AE6" s="529"/>
      <c r="AF6" s="529"/>
      <c r="AG6" s="529"/>
      <c r="AH6" s="265">
        <f t="shared" ref="AH6:AH36" si="1">SUM(C6*D6)+(G6*H6)+(I6*J6)+(K6*L6)+(M6*N6)+(W6*X6)+(Y6*Z6)+(O6*P6)+(U6*V6)+(S6*T6)+(E6*F6)</f>
        <v>5200</v>
      </c>
      <c r="AI6" s="265">
        <f t="shared" ref="AI6:AI28" si="2">(AH6*5%)</f>
        <v>260</v>
      </c>
      <c r="AJ6" s="27">
        <f t="shared" ref="AJ6:AJ28" si="3">SUM(AH6+AI6)</f>
        <v>5460</v>
      </c>
      <c r="AK6" s="31">
        <v>1001037136</v>
      </c>
      <c r="AL6" s="56"/>
      <c r="AM6" s="58"/>
    </row>
    <row r="7" spans="1:39">
      <c r="A7" s="34">
        <v>42188</v>
      </c>
      <c r="B7" s="113">
        <v>498453</v>
      </c>
      <c r="C7" s="35">
        <v>1</v>
      </c>
      <c r="D7" s="27">
        <v>2600</v>
      </c>
      <c r="E7" s="27"/>
      <c r="F7" s="27">
        <v>2600</v>
      </c>
      <c r="G7" s="35">
        <v>1</v>
      </c>
      <c r="H7" s="27">
        <v>2600</v>
      </c>
      <c r="I7" s="31"/>
      <c r="J7" s="27">
        <v>130</v>
      </c>
      <c r="K7" s="31"/>
      <c r="L7" s="154">
        <v>2600</v>
      </c>
      <c r="M7" s="27"/>
      <c r="N7" s="27">
        <v>70</v>
      </c>
      <c r="O7" s="31"/>
      <c r="P7" s="154">
        <v>2600</v>
      </c>
      <c r="Q7" s="231"/>
      <c r="R7" s="27">
        <v>91</v>
      </c>
      <c r="S7" s="31"/>
      <c r="T7" s="154">
        <v>2600</v>
      </c>
      <c r="U7" s="31"/>
      <c r="V7" s="154">
        <v>245</v>
      </c>
      <c r="W7" s="31"/>
      <c r="X7" s="27">
        <v>60</v>
      </c>
      <c r="Y7" s="27"/>
      <c r="Z7" s="265">
        <v>46</v>
      </c>
      <c r="AA7" s="265">
        <f t="shared" si="0"/>
        <v>7930</v>
      </c>
      <c r="AB7" s="263" t="e">
        <f>(#REF!+#REF!)*#REF!</f>
        <v>#REF!</v>
      </c>
      <c r="AC7" s="268"/>
      <c r="AD7" s="265"/>
      <c r="AE7" s="529"/>
      <c r="AF7" s="529"/>
      <c r="AG7" s="529"/>
      <c r="AH7" s="265">
        <f t="shared" si="1"/>
        <v>5200</v>
      </c>
      <c r="AI7" s="265">
        <f t="shared" si="2"/>
        <v>260</v>
      </c>
      <c r="AJ7" s="27">
        <f t="shared" si="3"/>
        <v>5460</v>
      </c>
      <c r="AK7" s="35">
        <v>1001037136</v>
      </c>
      <c r="AL7" s="56"/>
    </row>
    <row r="8" spans="1:39">
      <c r="A8" s="34">
        <v>42189</v>
      </c>
      <c r="B8" s="114">
        <v>498454</v>
      </c>
      <c r="C8" s="35">
        <v>1</v>
      </c>
      <c r="D8" s="27">
        <v>2600</v>
      </c>
      <c r="E8" s="27"/>
      <c r="F8" s="27">
        <v>2600</v>
      </c>
      <c r="G8" s="35">
        <v>1</v>
      </c>
      <c r="H8" s="27">
        <v>2600</v>
      </c>
      <c r="I8" s="31"/>
      <c r="J8" s="27">
        <v>130</v>
      </c>
      <c r="K8" s="31"/>
      <c r="L8" s="154">
        <v>2600</v>
      </c>
      <c r="M8" s="27"/>
      <c r="N8" s="27">
        <v>70</v>
      </c>
      <c r="O8" s="31"/>
      <c r="P8" s="154">
        <v>2600</v>
      </c>
      <c r="Q8" s="231"/>
      <c r="R8" s="27">
        <v>91</v>
      </c>
      <c r="S8" s="31"/>
      <c r="T8" s="154">
        <v>2600</v>
      </c>
      <c r="U8" s="31"/>
      <c r="V8" s="154">
        <v>245</v>
      </c>
      <c r="W8" s="31"/>
      <c r="X8" s="27">
        <v>60</v>
      </c>
      <c r="Y8" s="27"/>
      <c r="Z8" s="265">
        <v>46</v>
      </c>
      <c r="AA8" s="265">
        <f t="shared" si="0"/>
        <v>7930</v>
      </c>
      <c r="AB8" s="263" t="e">
        <f>(#REF!+#REF!)*#REF!</f>
        <v>#REF!</v>
      </c>
      <c r="AC8" s="268"/>
      <c r="AD8" s="265"/>
      <c r="AE8" s="529"/>
      <c r="AF8" s="529"/>
      <c r="AG8" s="529"/>
      <c r="AH8" s="265">
        <f t="shared" si="1"/>
        <v>5200</v>
      </c>
      <c r="AI8" s="265">
        <f t="shared" si="2"/>
        <v>260</v>
      </c>
      <c r="AJ8" s="27">
        <f t="shared" si="3"/>
        <v>5460</v>
      </c>
      <c r="AK8" s="31">
        <v>1001037136</v>
      </c>
      <c r="AL8" s="56"/>
      <c r="AM8" s="59"/>
    </row>
    <row r="9" spans="1:39">
      <c r="A9" s="26">
        <v>42191</v>
      </c>
      <c r="B9" s="114">
        <v>498455</v>
      </c>
      <c r="C9" s="35">
        <v>1</v>
      </c>
      <c r="D9" s="27">
        <v>2600</v>
      </c>
      <c r="E9" s="27"/>
      <c r="F9" s="27">
        <v>2600</v>
      </c>
      <c r="G9" s="35">
        <v>1</v>
      </c>
      <c r="H9" s="27">
        <v>2600</v>
      </c>
      <c r="I9" s="31"/>
      <c r="J9" s="27">
        <v>130</v>
      </c>
      <c r="K9" s="31"/>
      <c r="L9" s="154">
        <v>2600</v>
      </c>
      <c r="M9" s="27"/>
      <c r="N9" s="27">
        <v>70</v>
      </c>
      <c r="O9" s="31"/>
      <c r="P9" s="154">
        <v>2600</v>
      </c>
      <c r="Q9" s="231"/>
      <c r="R9" s="27">
        <v>91</v>
      </c>
      <c r="S9" s="31"/>
      <c r="T9" s="154">
        <v>2600</v>
      </c>
      <c r="U9" s="31"/>
      <c r="V9" s="154">
        <v>245</v>
      </c>
      <c r="W9" s="31"/>
      <c r="X9" s="27">
        <v>60</v>
      </c>
      <c r="Y9" s="27"/>
      <c r="Z9" s="265">
        <v>46</v>
      </c>
      <c r="AA9" s="265">
        <f t="shared" si="0"/>
        <v>7930</v>
      </c>
      <c r="AB9" s="263" t="e">
        <f>(#REF!+#REF!)*#REF!</f>
        <v>#REF!</v>
      </c>
      <c r="AC9" s="268"/>
      <c r="AD9" s="265"/>
      <c r="AE9" s="529"/>
      <c r="AF9" s="529"/>
      <c r="AG9" s="529"/>
      <c r="AH9" s="265">
        <f t="shared" si="1"/>
        <v>5200</v>
      </c>
      <c r="AI9" s="265">
        <f t="shared" si="2"/>
        <v>260</v>
      </c>
      <c r="AJ9" s="27">
        <f t="shared" si="3"/>
        <v>5460</v>
      </c>
      <c r="AK9" s="35">
        <v>1001037136</v>
      </c>
      <c r="AL9" s="56"/>
      <c r="AM9" s="60"/>
    </row>
    <row r="10" spans="1:39">
      <c r="A10" s="26">
        <v>42192</v>
      </c>
      <c r="B10" s="114">
        <v>498456</v>
      </c>
      <c r="C10" s="35">
        <v>1</v>
      </c>
      <c r="D10" s="27">
        <v>2600</v>
      </c>
      <c r="E10" s="27"/>
      <c r="F10" s="27">
        <v>2600</v>
      </c>
      <c r="G10" s="35">
        <v>1</v>
      </c>
      <c r="H10" s="27">
        <v>2600</v>
      </c>
      <c r="I10" s="31"/>
      <c r="J10" s="27">
        <v>130</v>
      </c>
      <c r="K10" s="31"/>
      <c r="L10" s="154">
        <v>2600</v>
      </c>
      <c r="M10" s="27"/>
      <c r="N10" s="27">
        <v>70</v>
      </c>
      <c r="O10" s="31"/>
      <c r="P10" s="154">
        <v>2600</v>
      </c>
      <c r="Q10" s="231"/>
      <c r="R10" s="27">
        <v>91</v>
      </c>
      <c r="S10" s="31"/>
      <c r="T10" s="154">
        <v>2600</v>
      </c>
      <c r="U10" s="31"/>
      <c r="V10" s="154">
        <v>245</v>
      </c>
      <c r="W10" s="31"/>
      <c r="X10" s="27">
        <v>60</v>
      </c>
      <c r="Y10" s="27"/>
      <c r="Z10" s="265">
        <v>46</v>
      </c>
      <c r="AA10" s="265">
        <f t="shared" si="0"/>
        <v>7930</v>
      </c>
      <c r="AB10" s="263" t="e">
        <f>(#REF!+#REF!)*#REF!</f>
        <v>#REF!</v>
      </c>
      <c r="AC10" s="268"/>
      <c r="AD10" s="265"/>
      <c r="AE10" s="529"/>
      <c r="AF10" s="529"/>
      <c r="AG10" s="529"/>
      <c r="AH10" s="265">
        <f t="shared" si="1"/>
        <v>5200</v>
      </c>
      <c r="AI10" s="265">
        <f t="shared" si="2"/>
        <v>260</v>
      </c>
      <c r="AJ10" s="27">
        <f t="shared" si="3"/>
        <v>5460</v>
      </c>
      <c r="AK10" s="31">
        <v>1001037136</v>
      </c>
      <c r="AL10" s="56"/>
      <c r="AM10" s="60"/>
    </row>
    <row r="11" spans="1:39">
      <c r="A11" s="26">
        <v>42193</v>
      </c>
      <c r="B11" s="114">
        <v>498457</v>
      </c>
      <c r="C11" s="35">
        <v>0</v>
      </c>
      <c r="D11" s="27">
        <v>2600</v>
      </c>
      <c r="E11" s="27"/>
      <c r="F11" s="27">
        <v>2600</v>
      </c>
      <c r="G11" s="35">
        <v>0</v>
      </c>
      <c r="H11" s="27">
        <v>2600</v>
      </c>
      <c r="I11" s="31">
        <v>9</v>
      </c>
      <c r="J11" s="27">
        <v>130</v>
      </c>
      <c r="K11" s="31"/>
      <c r="L11" s="154">
        <v>2600</v>
      </c>
      <c r="M11" s="27"/>
      <c r="N11" s="27">
        <v>70</v>
      </c>
      <c r="O11" s="31"/>
      <c r="P11" s="154">
        <v>2600</v>
      </c>
      <c r="Q11" s="231"/>
      <c r="R11" s="27">
        <v>91</v>
      </c>
      <c r="S11" s="31"/>
      <c r="T11" s="154">
        <v>2600</v>
      </c>
      <c r="U11" s="31"/>
      <c r="V11" s="154">
        <v>245</v>
      </c>
      <c r="W11" s="31"/>
      <c r="X11" s="27">
        <v>60</v>
      </c>
      <c r="Y11" s="27"/>
      <c r="Z11" s="265">
        <v>46</v>
      </c>
      <c r="AA11" s="265">
        <f t="shared" si="0"/>
        <v>7930</v>
      </c>
      <c r="AB11" s="263" t="e">
        <f>(#REF!+#REF!)*#REF!</f>
        <v>#REF!</v>
      </c>
      <c r="AC11" s="268"/>
      <c r="AD11" s="265"/>
      <c r="AE11" s="529"/>
      <c r="AF11" s="529"/>
      <c r="AG11" s="529"/>
      <c r="AH11" s="265">
        <f t="shared" si="1"/>
        <v>1170</v>
      </c>
      <c r="AI11" s="265">
        <f t="shared" si="2"/>
        <v>58.5</v>
      </c>
      <c r="AJ11" s="27">
        <f t="shared" si="3"/>
        <v>1228.5</v>
      </c>
      <c r="AK11" s="35">
        <v>1001037136</v>
      </c>
      <c r="AL11" s="56"/>
      <c r="AM11" s="60"/>
    </row>
    <row r="12" spans="1:39">
      <c r="A12" s="26">
        <v>42193</v>
      </c>
      <c r="B12" s="114">
        <v>498458</v>
      </c>
      <c r="C12" s="35">
        <v>1</v>
      </c>
      <c r="D12" s="27">
        <v>2600</v>
      </c>
      <c r="E12" s="27"/>
      <c r="F12" s="27">
        <v>2600</v>
      </c>
      <c r="G12" s="35">
        <v>1</v>
      </c>
      <c r="H12" s="27">
        <v>2600</v>
      </c>
      <c r="I12" s="31"/>
      <c r="J12" s="27">
        <v>130</v>
      </c>
      <c r="K12" s="31"/>
      <c r="L12" s="154">
        <v>2600</v>
      </c>
      <c r="M12" s="27"/>
      <c r="N12" s="27">
        <v>70</v>
      </c>
      <c r="O12" s="31"/>
      <c r="P12" s="154">
        <v>2600</v>
      </c>
      <c r="Q12" s="231"/>
      <c r="R12" s="27">
        <v>91</v>
      </c>
      <c r="S12" s="31"/>
      <c r="T12" s="154">
        <v>2600</v>
      </c>
      <c r="U12" s="31"/>
      <c r="V12" s="154">
        <v>245</v>
      </c>
      <c r="W12" s="31"/>
      <c r="X12" s="27">
        <v>60</v>
      </c>
      <c r="Y12" s="27"/>
      <c r="Z12" s="265">
        <v>46</v>
      </c>
      <c r="AA12" s="265">
        <f t="shared" si="0"/>
        <v>7930</v>
      </c>
      <c r="AB12" s="263" t="e">
        <f>(#REF!+#REF!)*#REF!</f>
        <v>#REF!</v>
      </c>
      <c r="AC12" s="268"/>
      <c r="AD12" s="265"/>
      <c r="AE12" s="529"/>
      <c r="AF12" s="529"/>
      <c r="AG12" s="529"/>
      <c r="AH12" s="265">
        <f t="shared" si="1"/>
        <v>5200</v>
      </c>
      <c r="AI12" s="265">
        <f t="shared" si="2"/>
        <v>260</v>
      </c>
      <c r="AJ12" s="27">
        <f t="shared" si="3"/>
        <v>5460</v>
      </c>
      <c r="AK12" s="31">
        <v>1001037136</v>
      </c>
      <c r="AL12" s="56"/>
      <c r="AM12" s="60"/>
    </row>
    <row r="13" spans="1:39">
      <c r="A13" s="26">
        <v>42194</v>
      </c>
      <c r="B13" s="114">
        <v>498459</v>
      </c>
      <c r="C13" s="35"/>
      <c r="D13" s="27">
        <v>2600</v>
      </c>
      <c r="E13" s="27"/>
      <c r="F13" s="27">
        <v>2600</v>
      </c>
      <c r="G13" s="35"/>
      <c r="H13" s="27">
        <v>2600</v>
      </c>
      <c r="I13" s="31">
        <v>12</v>
      </c>
      <c r="J13" s="27">
        <v>130</v>
      </c>
      <c r="K13" s="31"/>
      <c r="L13" s="154">
        <v>2600</v>
      </c>
      <c r="M13" s="27"/>
      <c r="N13" s="27">
        <v>70</v>
      </c>
      <c r="O13" s="31"/>
      <c r="P13" s="154">
        <v>2600</v>
      </c>
      <c r="Q13" s="231"/>
      <c r="R13" s="27">
        <v>91</v>
      </c>
      <c r="S13" s="31"/>
      <c r="T13" s="154">
        <v>2600</v>
      </c>
      <c r="U13" s="31"/>
      <c r="V13" s="154">
        <v>245</v>
      </c>
      <c r="W13" s="31"/>
      <c r="X13" s="27">
        <v>60</v>
      </c>
      <c r="Y13" s="27"/>
      <c r="Z13" s="265">
        <v>46</v>
      </c>
      <c r="AA13" s="265">
        <f t="shared" si="0"/>
        <v>7930</v>
      </c>
      <c r="AB13" s="263" t="e">
        <f>(#REF!+#REF!)*#REF!</f>
        <v>#REF!</v>
      </c>
      <c r="AC13" s="268"/>
      <c r="AD13" s="265"/>
      <c r="AE13" s="529"/>
      <c r="AF13" s="529"/>
      <c r="AG13" s="529"/>
      <c r="AH13" s="265">
        <f t="shared" si="1"/>
        <v>1560</v>
      </c>
      <c r="AI13" s="265">
        <f t="shared" si="2"/>
        <v>78</v>
      </c>
      <c r="AJ13" s="27">
        <f t="shared" si="3"/>
        <v>1638</v>
      </c>
      <c r="AK13" s="35">
        <v>1001037136</v>
      </c>
      <c r="AL13" s="56"/>
      <c r="AM13" s="60"/>
    </row>
    <row r="14" spans="1:39">
      <c r="A14" s="26">
        <v>42194</v>
      </c>
      <c r="B14" s="114">
        <v>498460</v>
      </c>
      <c r="C14" s="35">
        <v>1</v>
      </c>
      <c r="D14" s="27">
        <v>2600</v>
      </c>
      <c r="E14" s="27"/>
      <c r="F14" s="27">
        <v>2600</v>
      </c>
      <c r="G14" s="35">
        <v>1</v>
      </c>
      <c r="H14" s="27">
        <v>2600</v>
      </c>
      <c r="I14" s="31"/>
      <c r="J14" s="27">
        <v>130</v>
      </c>
      <c r="K14" s="31"/>
      <c r="L14" s="154">
        <v>2600</v>
      </c>
      <c r="M14" s="27"/>
      <c r="N14" s="27">
        <v>70</v>
      </c>
      <c r="O14" s="31"/>
      <c r="P14" s="154">
        <v>2600</v>
      </c>
      <c r="Q14" s="231"/>
      <c r="R14" s="27">
        <v>91</v>
      </c>
      <c r="S14" s="31"/>
      <c r="T14" s="154">
        <v>2600</v>
      </c>
      <c r="U14" s="31"/>
      <c r="V14" s="154">
        <v>245</v>
      </c>
      <c r="W14" s="31"/>
      <c r="X14" s="27">
        <v>60</v>
      </c>
      <c r="Y14" s="27"/>
      <c r="Z14" s="265">
        <v>46</v>
      </c>
      <c r="AA14" s="265">
        <f t="shared" si="0"/>
        <v>7930</v>
      </c>
      <c r="AB14" s="263" t="e">
        <f>(#REF!+#REF!)*#REF!</f>
        <v>#REF!</v>
      </c>
      <c r="AC14" s="268"/>
      <c r="AD14" s="265"/>
      <c r="AE14" s="529"/>
      <c r="AF14" s="529"/>
      <c r="AG14" s="529"/>
      <c r="AH14" s="265">
        <f t="shared" si="1"/>
        <v>5200</v>
      </c>
      <c r="AI14" s="265">
        <f t="shared" si="2"/>
        <v>260</v>
      </c>
      <c r="AJ14" s="27">
        <f t="shared" si="3"/>
        <v>5460</v>
      </c>
      <c r="AK14" s="31">
        <v>1001037136</v>
      </c>
      <c r="AL14" s="56"/>
      <c r="AM14" s="60"/>
    </row>
    <row r="15" spans="1:39">
      <c r="A15" s="26">
        <v>42195</v>
      </c>
      <c r="B15" s="114">
        <v>498461</v>
      </c>
      <c r="C15" s="35">
        <v>1</v>
      </c>
      <c r="D15" s="27">
        <v>2600</v>
      </c>
      <c r="E15" s="27"/>
      <c r="F15" s="27">
        <v>2600</v>
      </c>
      <c r="G15" s="35"/>
      <c r="H15" s="27">
        <v>2600</v>
      </c>
      <c r="I15" s="31">
        <v>12</v>
      </c>
      <c r="J15" s="27">
        <v>130</v>
      </c>
      <c r="K15" s="31"/>
      <c r="L15" s="154">
        <v>2600</v>
      </c>
      <c r="M15" s="27"/>
      <c r="N15" s="27">
        <v>70</v>
      </c>
      <c r="O15" s="31"/>
      <c r="P15" s="154">
        <v>2600</v>
      </c>
      <c r="Q15" s="231"/>
      <c r="R15" s="27">
        <v>91</v>
      </c>
      <c r="S15" s="31"/>
      <c r="T15" s="154">
        <v>2600</v>
      </c>
      <c r="U15" s="31"/>
      <c r="V15" s="154">
        <v>245</v>
      </c>
      <c r="W15" s="31"/>
      <c r="X15" s="27">
        <v>60</v>
      </c>
      <c r="Y15" s="27"/>
      <c r="Z15" s="265">
        <v>46</v>
      </c>
      <c r="AA15" s="265">
        <f t="shared" si="0"/>
        <v>7930</v>
      </c>
      <c r="AB15" s="263" t="e">
        <f>(#REF!+#REF!)*#REF!</f>
        <v>#REF!</v>
      </c>
      <c r="AC15" s="268"/>
      <c r="AD15" s="265"/>
      <c r="AE15" s="529"/>
      <c r="AF15" s="529"/>
      <c r="AG15" s="529"/>
      <c r="AH15" s="265">
        <f t="shared" si="1"/>
        <v>4160</v>
      </c>
      <c r="AI15" s="265">
        <f t="shared" si="2"/>
        <v>208</v>
      </c>
      <c r="AJ15" s="27">
        <f t="shared" si="3"/>
        <v>4368</v>
      </c>
      <c r="AK15" s="35">
        <v>1001037136</v>
      </c>
      <c r="AL15" s="56"/>
      <c r="AM15" s="60"/>
    </row>
    <row r="16" spans="1:39">
      <c r="A16" s="26">
        <v>42196</v>
      </c>
      <c r="B16" s="114">
        <v>498462</v>
      </c>
      <c r="C16" s="35">
        <v>1</v>
      </c>
      <c r="D16" s="27">
        <v>2600</v>
      </c>
      <c r="E16" s="27"/>
      <c r="F16" s="27">
        <v>2600</v>
      </c>
      <c r="G16" s="35"/>
      <c r="H16" s="27">
        <v>2600</v>
      </c>
      <c r="I16" s="31">
        <v>12</v>
      </c>
      <c r="J16" s="27">
        <v>130</v>
      </c>
      <c r="K16" s="31"/>
      <c r="L16" s="154">
        <v>2600</v>
      </c>
      <c r="M16" s="27"/>
      <c r="N16" s="27">
        <v>70</v>
      </c>
      <c r="O16" s="31"/>
      <c r="P16" s="154">
        <v>2600</v>
      </c>
      <c r="Q16" s="231"/>
      <c r="R16" s="27">
        <v>91</v>
      </c>
      <c r="S16" s="31"/>
      <c r="T16" s="154">
        <v>2600</v>
      </c>
      <c r="U16" s="31"/>
      <c r="V16" s="154">
        <v>245</v>
      </c>
      <c r="W16" s="31"/>
      <c r="X16" s="27">
        <v>60</v>
      </c>
      <c r="Y16" s="27"/>
      <c r="Z16" s="265">
        <v>46</v>
      </c>
      <c r="AA16" s="265">
        <f t="shared" si="0"/>
        <v>7930</v>
      </c>
      <c r="AB16" s="263" t="e">
        <f>(#REF!+#REF!)*#REF!</f>
        <v>#REF!</v>
      </c>
      <c r="AC16" s="268"/>
      <c r="AD16" s="265"/>
      <c r="AE16" s="529"/>
      <c r="AF16" s="529"/>
      <c r="AG16" s="529"/>
      <c r="AH16" s="265">
        <f t="shared" si="1"/>
        <v>4160</v>
      </c>
      <c r="AI16" s="265">
        <f t="shared" si="2"/>
        <v>208</v>
      </c>
      <c r="AJ16" s="27">
        <f t="shared" si="3"/>
        <v>4368</v>
      </c>
      <c r="AK16" s="31">
        <v>1001037136</v>
      </c>
      <c r="AL16" s="56"/>
      <c r="AM16" s="60"/>
    </row>
    <row r="17" spans="1:39">
      <c r="A17" s="26">
        <v>42199</v>
      </c>
      <c r="B17" s="114">
        <v>498463</v>
      </c>
      <c r="C17" s="35"/>
      <c r="D17" s="27">
        <v>2600</v>
      </c>
      <c r="E17" s="27"/>
      <c r="F17" s="27">
        <v>2600</v>
      </c>
      <c r="G17" s="35"/>
      <c r="H17" s="27">
        <v>2600</v>
      </c>
      <c r="I17" s="31"/>
      <c r="J17" s="27">
        <v>130</v>
      </c>
      <c r="K17" s="31">
        <v>1</v>
      </c>
      <c r="L17" s="154">
        <v>2600</v>
      </c>
      <c r="M17" s="27"/>
      <c r="N17" s="27">
        <v>70</v>
      </c>
      <c r="O17" s="31"/>
      <c r="P17" s="154">
        <v>2600</v>
      </c>
      <c r="Q17" s="231"/>
      <c r="R17" s="27">
        <v>91</v>
      </c>
      <c r="S17" s="31"/>
      <c r="T17" s="154">
        <v>2600</v>
      </c>
      <c r="U17" s="31"/>
      <c r="V17" s="154">
        <v>245</v>
      </c>
      <c r="W17" s="31"/>
      <c r="X17" s="27">
        <v>60</v>
      </c>
      <c r="Y17" s="27"/>
      <c r="Z17" s="265">
        <v>46</v>
      </c>
      <c r="AA17" s="265">
        <f t="shared" si="0"/>
        <v>7930</v>
      </c>
      <c r="AB17" s="263" t="e">
        <f>(#REF!+#REF!)*#REF!</f>
        <v>#REF!</v>
      </c>
      <c r="AC17" s="268"/>
      <c r="AD17" s="265"/>
      <c r="AE17" s="529"/>
      <c r="AF17" s="529"/>
      <c r="AG17" s="529"/>
      <c r="AH17" s="265">
        <f t="shared" si="1"/>
        <v>2600</v>
      </c>
      <c r="AI17" s="265">
        <f t="shared" si="2"/>
        <v>130</v>
      </c>
      <c r="AJ17" s="27">
        <f t="shared" si="3"/>
        <v>2730</v>
      </c>
      <c r="AK17" s="35">
        <v>1001037136</v>
      </c>
      <c r="AL17" s="56"/>
      <c r="AM17" s="60"/>
    </row>
    <row r="18" spans="1:39">
      <c r="A18" s="26">
        <v>42200</v>
      </c>
      <c r="B18" s="114">
        <v>498464</v>
      </c>
      <c r="C18" s="35">
        <v>1</v>
      </c>
      <c r="D18" s="27">
        <v>2600</v>
      </c>
      <c r="E18" s="27"/>
      <c r="F18" s="27">
        <v>2600</v>
      </c>
      <c r="G18" s="35"/>
      <c r="H18" s="27">
        <v>2600</v>
      </c>
      <c r="I18" s="31"/>
      <c r="J18" s="27">
        <v>130</v>
      </c>
      <c r="K18" s="31">
        <v>1</v>
      </c>
      <c r="L18" s="154">
        <v>2600</v>
      </c>
      <c r="M18" s="27"/>
      <c r="N18" s="27">
        <v>70</v>
      </c>
      <c r="O18" s="31"/>
      <c r="P18" s="154">
        <v>2600</v>
      </c>
      <c r="Q18" s="231"/>
      <c r="R18" s="27">
        <v>91</v>
      </c>
      <c r="S18" s="31"/>
      <c r="T18" s="154">
        <v>2600</v>
      </c>
      <c r="U18" s="31"/>
      <c r="V18" s="154">
        <v>245</v>
      </c>
      <c r="W18" s="31"/>
      <c r="X18" s="27">
        <v>60</v>
      </c>
      <c r="Y18" s="27"/>
      <c r="Z18" s="265">
        <v>46</v>
      </c>
      <c r="AA18" s="265">
        <f t="shared" si="0"/>
        <v>7930</v>
      </c>
      <c r="AB18" s="263" t="e">
        <f>(#REF!+#REF!)*#REF!</f>
        <v>#REF!</v>
      </c>
      <c r="AC18" s="268"/>
      <c r="AD18" s="265"/>
      <c r="AE18" s="529"/>
      <c r="AF18" s="529"/>
      <c r="AG18" s="529"/>
      <c r="AH18" s="265">
        <f t="shared" si="1"/>
        <v>5200</v>
      </c>
      <c r="AI18" s="265">
        <f t="shared" si="2"/>
        <v>260</v>
      </c>
      <c r="AJ18" s="27">
        <f t="shared" si="3"/>
        <v>5460</v>
      </c>
      <c r="AK18" s="31">
        <v>1001037136</v>
      </c>
      <c r="AL18" s="56"/>
    </row>
    <row r="19" spans="1:39">
      <c r="A19" s="26">
        <v>42204</v>
      </c>
      <c r="B19" s="114">
        <v>498465</v>
      </c>
      <c r="C19" s="35">
        <v>1</v>
      </c>
      <c r="D19" s="27">
        <v>2600</v>
      </c>
      <c r="E19" s="27"/>
      <c r="F19" s="27">
        <v>2600</v>
      </c>
      <c r="G19" s="35"/>
      <c r="H19" s="27">
        <v>2600</v>
      </c>
      <c r="I19" s="31"/>
      <c r="J19" s="27">
        <v>130</v>
      </c>
      <c r="K19" s="31">
        <v>1</v>
      </c>
      <c r="L19" s="154">
        <v>2600</v>
      </c>
      <c r="M19" s="27"/>
      <c r="N19" s="27">
        <v>70</v>
      </c>
      <c r="O19" s="31"/>
      <c r="P19" s="154">
        <v>2600</v>
      </c>
      <c r="Q19" s="231"/>
      <c r="R19" s="27">
        <v>91</v>
      </c>
      <c r="S19" s="31"/>
      <c r="T19" s="154">
        <v>2600</v>
      </c>
      <c r="U19" s="31"/>
      <c r="V19" s="154">
        <v>245</v>
      </c>
      <c r="W19" s="31"/>
      <c r="X19" s="27">
        <v>60</v>
      </c>
      <c r="Y19" s="27"/>
      <c r="Z19" s="265">
        <v>46</v>
      </c>
      <c r="AA19" s="265">
        <f t="shared" si="0"/>
        <v>7930</v>
      </c>
      <c r="AB19" s="263" t="e">
        <f>(#REF!+#REF!)*#REF!</f>
        <v>#REF!</v>
      </c>
      <c r="AC19" s="268"/>
      <c r="AD19" s="265"/>
      <c r="AE19" s="529"/>
      <c r="AF19" s="529"/>
      <c r="AG19" s="529"/>
      <c r="AH19" s="265">
        <f t="shared" si="1"/>
        <v>5200</v>
      </c>
      <c r="AI19" s="265">
        <f t="shared" si="2"/>
        <v>260</v>
      </c>
      <c r="AJ19" s="27">
        <f t="shared" si="3"/>
        <v>5460</v>
      </c>
      <c r="AK19" s="35">
        <v>1001037136</v>
      </c>
      <c r="AL19" s="56"/>
    </row>
    <row r="20" spans="1:39">
      <c r="A20" s="26">
        <v>42205</v>
      </c>
      <c r="B20" s="114">
        <v>498466</v>
      </c>
      <c r="C20" s="35">
        <v>1</v>
      </c>
      <c r="D20" s="27">
        <v>2600</v>
      </c>
      <c r="E20" s="27"/>
      <c r="F20" s="27">
        <v>2600</v>
      </c>
      <c r="G20" s="35"/>
      <c r="H20" s="27">
        <v>2600</v>
      </c>
      <c r="I20" s="31"/>
      <c r="J20" s="27">
        <v>130</v>
      </c>
      <c r="K20" s="31">
        <v>1</v>
      </c>
      <c r="L20" s="154">
        <v>2600</v>
      </c>
      <c r="M20" s="27"/>
      <c r="N20" s="27">
        <v>70</v>
      </c>
      <c r="O20" s="31"/>
      <c r="P20" s="154">
        <v>2600</v>
      </c>
      <c r="Q20" s="231"/>
      <c r="R20" s="27">
        <v>91</v>
      </c>
      <c r="S20" s="31"/>
      <c r="T20" s="154">
        <v>2600</v>
      </c>
      <c r="U20" s="31"/>
      <c r="V20" s="154">
        <v>245</v>
      </c>
      <c r="W20" s="31"/>
      <c r="X20" s="27">
        <v>60</v>
      </c>
      <c r="Y20" s="160"/>
      <c r="Z20" s="265">
        <v>46</v>
      </c>
      <c r="AA20" s="265">
        <f t="shared" si="0"/>
        <v>7930</v>
      </c>
      <c r="AB20" s="263" t="e">
        <f>(#REF!+#REF!)*#REF!</f>
        <v>#REF!</v>
      </c>
      <c r="AC20" s="268"/>
      <c r="AD20" s="265"/>
      <c r="AE20" s="529"/>
      <c r="AF20" s="529"/>
      <c r="AG20" s="529"/>
      <c r="AH20" s="265">
        <f t="shared" si="1"/>
        <v>5200</v>
      </c>
      <c r="AI20" s="265">
        <f t="shared" si="2"/>
        <v>260</v>
      </c>
      <c r="AJ20" s="27">
        <f t="shared" si="3"/>
        <v>5460</v>
      </c>
      <c r="AK20" s="31">
        <v>1001037136</v>
      </c>
      <c r="AL20" s="56"/>
      <c r="AM20" s="177"/>
    </row>
    <row r="21" spans="1:39">
      <c r="A21" s="26">
        <v>42205</v>
      </c>
      <c r="B21" s="114">
        <v>498467</v>
      </c>
      <c r="C21" s="35"/>
      <c r="D21" s="27">
        <v>2600</v>
      </c>
      <c r="E21" s="27"/>
      <c r="F21" s="27">
        <v>2600</v>
      </c>
      <c r="G21" s="35"/>
      <c r="H21" s="27">
        <v>2600</v>
      </c>
      <c r="I21" s="31">
        <v>12</v>
      </c>
      <c r="J21" s="27">
        <v>130</v>
      </c>
      <c r="K21" s="31"/>
      <c r="L21" s="154">
        <v>2600</v>
      </c>
      <c r="M21" s="31"/>
      <c r="N21" s="27">
        <v>70</v>
      </c>
      <c r="O21" s="31"/>
      <c r="P21" s="154">
        <v>2600</v>
      </c>
      <c r="Q21" s="231"/>
      <c r="R21" s="27">
        <v>91</v>
      </c>
      <c r="S21" s="31"/>
      <c r="T21" s="154">
        <v>2600</v>
      </c>
      <c r="U21" s="31"/>
      <c r="V21" s="154">
        <v>245</v>
      </c>
      <c r="W21" s="31"/>
      <c r="X21" s="27">
        <v>60</v>
      </c>
      <c r="Y21" s="159"/>
      <c r="Z21" s="265">
        <v>46</v>
      </c>
      <c r="AA21" s="265">
        <f t="shared" si="0"/>
        <v>7930</v>
      </c>
      <c r="AB21" s="263" t="e">
        <f>(#REF!+#REF!)*#REF!</f>
        <v>#REF!</v>
      </c>
      <c r="AC21" s="268"/>
      <c r="AD21" s="265"/>
      <c r="AE21" s="529"/>
      <c r="AF21" s="529"/>
      <c r="AG21" s="529"/>
      <c r="AH21" s="265">
        <f t="shared" si="1"/>
        <v>1560</v>
      </c>
      <c r="AI21" s="265">
        <f t="shared" si="2"/>
        <v>78</v>
      </c>
      <c r="AJ21" s="27">
        <f t="shared" si="3"/>
        <v>1638</v>
      </c>
      <c r="AK21" s="35">
        <v>1001037136</v>
      </c>
      <c r="AL21" s="56"/>
      <c r="AM21" s="177"/>
    </row>
    <row r="22" spans="1:39">
      <c r="A22" s="26">
        <v>42206</v>
      </c>
      <c r="B22" s="114">
        <v>498468</v>
      </c>
      <c r="C22" s="35">
        <v>1</v>
      </c>
      <c r="D22" s="27">
        <v>2600</v>
      </c>
      <c r="E22" s="27"/>
      <c r="F22" s="27">
        <v>2600</v>
      </c>
      <c r="G22" s="35"/>
      <c r="H22" s="27">
        <v>2600</v>
      </c>
      <c r="I22" s="31"/>
      <c r="J22" s="27">
        <v>130</v>
      </c>
      <c r="K22" s="31">
        <v>1</v>
      </c>
      <c r="L22" s="154">
        <v>2600</v>
      </c>
      <c r="M22" s="31"/>
      <c r="N22" s="27">
        <v>70</v>
      </c>
      <c r="O22" s="31"/>
      <c r="P22" s="154">
        <v>2600</v>
      </c>
      <c r="Q22" s="231"/>
      <c r="R22" s="27">
        <v>91</v>
      </c>
      <c r="S22" s="31"/>
      <c r="T22" s="154">
        <v>2600</v>
      </c>
      <c r="U22" s="31"/>
      <c r="V22" s="154">
        <v>245</v>
      </c>
      <c r="W22" s="31"/>
      <c r="X22" s="27">
        <v>60</v>
      </c>
      <c r="Y22" s="159"/>
      <c r="Z22" s="265">
        <v>46</v>
      </c>
      <c r="AA22" s="265">
        <f t="shared" si="0"/>
        <v>7930</v>
      </c>
      <c r="AB22" s="263" t="e">
        <f>(#REF!+#REF!)*#REF!</f>
        <v>#REF!</v>
      </c>
      <c r="AC22" s="268"/>
      <c r="AD22" s="265"/>
      <c r="AE22" s="529"/>
      <c r="AF22" s="529"/>
      <c r="AG22" s="529"/>
      <c r="AH22" s="265">
        <f t="shared" si="1"/>
        <v>5200</v>
      </c>
      <c r="AI22" s="265">
        <f t="shared" si="2"/>
        <v>260</v>
      </c>
      <c r="AJ22" s="27">
        <f t="shared" si="3"/>
        <v>5460</v>
      </c>
      <c r="AK22" s="31">
        <v>1001037136</v>
      </c>
      <c r="AL22" s="56"/>
      <c r="AM22" s="178"/>
    </row>
    <row r="23" spans="1:39">
      <c r="A23" s="26">
        <v>42206</v>
      </c>
      <c r="B23" s="114">
        <v>498469</v>
      </c>
      <c r="C23" s="35"/>
      <c r="D23" s="27">
        <v>2600</v>
      </c>
      <c r="E23" s="31">
        <v>1</v>
      </c>
      <c r="F23" s="27">
        <v>2600</v>
      </c>
      <c r="G23" s="35"/>
      <c r="H23" s="27">
        <v>2600</v>
      </c>
      <c r="I23" s="31">
        <v>12</v>
      </c>
      <c r="J23" s="27">
        <v>130</v>
      </c>
      <c r="K23" s="31"/>
      <c r="L23" s="154">
        <v>2600</v>
      </c>
      <c r="M23" s="31"/>
      <c r="N23" s="27">
        <v>70</v>
      </c>
      <c r="O23" s="31"/>
      <c r="P23" s="154">
        <v>2600</v>
      </c>
      <c r="Q23" s="231"/>
      <c r="R23" s="27">
        <v>91</v>
      </c>
      <c r="S23" s="31"/>
      <c r="T23" s="154">
        <v>2600</v>
      </c>
      <c r="U23" s="31"/>
      <c r="V23" s="154">
        <v>245</v>
      </c>
      <c r="W23" s="31"/>
      <c r="X23" s="27">
        <v>60</v>
      </c>
      <c r="Y23" s="159"/>
      <c r="Z23" s="265">
        <v>46</v>
      </c>
      <c r="AA23" s="265">
        <f t="shared" si="0"/>
        <v>7930</v>
      </c>
      <c r="AB23" s="263" t="e">
        <f>(#REF!+#REF!)*#REF!</f>
        <v>#REF!</v>
      </c>
      <c r="AC23" s="268"/>
      <c r="AD23" s="265"/>
      <c r="AE23" s="529"/>
      <c r="AF23" s="529"/>
      <c r="AG23" s="529"/>
      <c r="AH23" s="265">
        <f t="shared" si="1"/>
        <v>4160</v>
      </c>
      <c r="AI23" s="265">
        <f t="shared" si="2"/>
        <v>208</v>
      </c>
      <c r="AJ23" s="27">
        <f t="shared" si="3"/>
        <v>4368</v>
      </c>
      <c r="AK23" s="35">
        <v>1001037136</v>
      </c>
      <c r="AL23" s="56"/>
      <c r="AM23" s="178"/>
    </row>
    <row r="24" spans="1:39">
      <c r="A24" s="26">
        <v>42206</v>
      </c>
      <c r="B24" s="114">
        <v>498471</v>
      </c>
      <c r="C24" s="35"/>
      <c r="D24" s="27">
        <v>2600</v>
      </c>
      <c r="E24" s="27"/>
      <c r="F24" s="27">
        <v>2600</v>
      </c>
      <c r="G24" s="35"/>
      <c r="H24" s="27">
        <v>2600</v>
      </c>
      <c r="I24" s="31"/>
      <c r="J24" s="27">
        <v>130</v>
      </c>
      <c r="K24" s="31"/>
      <c r="L24" s="154">
        <v>2600</v>
      </c>
      <c r="M24" s="31"/>
      <c r="N24" s="27">
        <v>70</v>
      </c>
      <c r="O24" s="31">
        <v>1</v>
      </c>
      <c r="P24" s="154">
        <v>2600</v>
      </c>
      <c r="Q24" s="232"/>
      <c r="R24" s="27">
        <v>91</v>
      </c>
      <c r="S24" s="31"/>
      <c r="T24" s="154">
        <v>2600</v>
      </c>
      <c r="U24" s="31"/>
      <c r="V24" s="154">
        <v>245</v>
      </c>
      <c r="W24" s="31"/>
      <c r="X24" s="27">
        <v>60</v>
      </c>
      <c r="Y24" s="159"/>
      <c r="Z24" s="265">
        <v>46</v>
      </c>
      <c r="AA24" s="265">
        <f t="shared" si="0"/>
        <v>7930</v>
      </c>
      <c r="AB24" s="263" t="e">
        <f>(#REF!+#REF!)*#REF!</f>
        <v>#REF!</v>
      </c>
      <c r="AC24" s="268"/>
      <c r="AD24" s="265"/>
      <c r="AE24" s="529"/>
      <c r="AF24" s="529"/>
      <c r="AG24" s="529"/>
      <c r="AH24" s="265">
        <f t="shared" si="1"/>
        <v>2600</v>
      </c>
      <c r="AI24" s="265">
        <f t="shared" si="2"/>
        <v>130</v>
      </c>
      <c r="AJ24" s="27">
        <f t="shared" si="3"/>
        <v>2730</v>
      </c>
      <c r="AK24" s="31">
        <v>1001037136</v>
      </c>
      <c r="AL24" s="56"/>
      <c r="AM24" s="178"/>
    </row>
    <row r="25" spans="1:39">
      <c r="A25" s="26">
        <v>42206</v>
      </c>
      <c r="B25" s="114">
        <v>498472</v>
      </c>
      <c r="C25" s="35"/>
      <c r="D25" s="27">
        <v>2600</v>
      </c>
      <c r="E25" s="27"/>
      <c r="F25" s="27">
        <v>2600</v>
      </c>
      <c r="G25" s="35"/>
      <c r="H25" s="27">
        <v>2600</v>
      </c>
      <c r="I25" s="31"/>
      <c r="J25" s="27">
        <v>130</v>
      </c>
      <c r="K25" s="31"/>
      <c r="L25" s="154">
        <v>2600</v>
      </c>
      <c r="M25" s="31"/>
      <c r="N25" s="27">
        <v>70</v>
      </c>
      <c r="O25" s="31"/>
      <c r="P25" s="154">
        <v>2600</v>
      </c>
      <c r="Q25" s="232"/>
      <c r="R25" s="27">
        <v>91</v>
      </c>
      <c r="S25" s="31"/>
      <c r="T25" s="154">
        <v>2600</v>
      </c>
      <c r="U25" s="31">
        <v>2</v>
      </c>
      <c r="V25" s="154">
        <v>245</v>
      </c>
      <c r="W25" s="31"/>
      <c r="X25" s="27">
        <v>60</v>
      </c>
      <c r="Y25" s="159"/>
      <c r="Z25" s="265">
        <v>46</v>
      </c>
      <c r="AA25" s="265">
        <f t="shared" si="0"/>
        <v>7930</v>
      </c>
      <c r="AB25" s="263" t="e">
        <f>(#REF!+#REF!)*#REF!</f>
        <v>#REF!</v>
      </c>
      <c r="AC25" s="268"/>
      <c r="AD25" s="265"/>
      <c r="AE25" s="529"/>
      <c r="AF25" s="529"/>
      <c r="AG25" s="529"/>
      <c r="AH25" s="265">
        <f t="shared" si="1"/>
        <v>490</v>
      </c>
      <c r="AI25" s="265">
        <f t="shared" si="2"/>
        <v>24.5</v>
      </c>
      <c r="AJ25" s="27">
        <f t="shared" si="3"/>
        <v>514.5</v>
      </c>
      <c r="AK25" s="35">
        <v>1001037136</v>
      </c>
      <c r="AL25" s="56"/>
      <c r="AM25" s="178"/>
    </row>
    <row r="26" spans="1:39">
      <c r="A26" s="26">
        <v>42207</v>
      </c>
      <c r="B26" s="114">
        <v>498473</v>
      </c>
      <c r="C26" s="35">
        <v>1</v>
      </c>
      <c r="D26" s="27">
        <v>2600</v>
      </c>
      <c r="E26" s="27"/>
      <c r="F26" s="27">
        <v>2600</v>
      </c>
      <c r="G26" s="35"/>
      <c r="H26" s="27">
        <v>2600</v>
      </c>
      <c r="I26" s="31"/>
      <c r="J26" s="27">
        <v>130</v>
      </c>
      <c r="K26" s="31">
        <v>1</v>
      </c>
      <c r="L26" s="154">
        <v>2600</v>
      </c>
      <c r="M26" s="31"/>
      <c r="N26" s="27">
        <v>70</v>
      </c>
      <c r="O26" s="31"/>
      <c r="P26" s="154">
        <v>2600</v>
      </c>
      <c r="Q26" s="232"/>
      <c r="R26" s="27">
        <v>91</v>
      </c>
      <c r="S26" s="31"/>
      <c r="T26" s="154">
        <v>2600</v>
      </c>
      <c r="U26" s="31"/>
      <c r="V26" s="154">
        <v>245</v>
      </c>
      <c r="W26" s="31"/>
      <c r="X26" s="27">
        <v>60</v>
      </c>
      <c r="Y26" s="159"/>
      <c r="Z26" s="265">
        <v>46</v>
      </c>
      <c r="AA26" s="265">
        <f t="shared" si="0"/>
        <v>7930</v>
      </c>
      <c r="AB26" s="263" t="e">
        <f>(#REF!+#REF!)*#REF!</f>
        <v>#REF!</v>
      </c>
      <c r="AC26" s="268"/>
      <c r="AD26" s="265"/>
      <c r="AE26" s="529"/>
      <c r="AF26" s="529"/>
      <c r="AG26" s="529"/>
      <c r="AH26" s="265">
        <f t="shared" si="1"/>
        <v>5200</v>
      </c>
      <c r="AI26" s="265">
        <f t="shared" si="2"/>
        <v>260</v>
      </c>
      <c r="AJ26" s="27">
        <f t="shared" si="3"/>
        <v>5460</v>
      </c>
      <c r="AK26" s="31">
        <v>1001037136</v>
      </c>
      <c r="AL26" s="56"/>
      <c r="AM26" s="179"/>
    </row>
    <row r="27" spans="1:39">
      <c r="A27" s="26">
        <v>42207</v>
      </c>
      <c r="B27" s="114">
        <v>498474</v>
      </c>
      <c r="C27" s="35"/>
      <c r="D27" s="27">
        <v>2600</v>
      </c>
      <c r="E27" s="27"/>
      <c r="F27" s="27">
        <v>2600</v>
      </c>
      <c r="G27" s="35"/>
      <c r="H27" s="27">
        <v>2600</v>
      </c>
      <c r="I27" s="31"/>
      <c r="J27" s="27">
        <v>130</v>
      </c>
      <c r="K27" s="31"/>
      <c r="L27" s="154">
        <v>2600</v>
      </c>
      <c r="M27" s="31">
        <v>12</v>
      </c>
      <c r="N27" s="27">
        <v>70</v>
      </c>
      <c r="O27" s="31">
        <v>1</v>
      </c>
      <c r="P27" s="154">
        <v>2600</v>
      </c>
      <c r="Q27" s="232"/>
      <c r="R27" s="27">
        <v>91</v>
      </c>
      <c r="S27" s="31"/>
      <c r="T27" s="154">
        <v>2600</v>
      </c>
      <c r="U27" s="31"/>
      <c r="V27" s="154">
        <v>245</v>
      </c>
      <c r="W27" s="31">
        <v>12</v>
      </c>
      <c r="X27" s="27">
        <v>60</v>
      </c>
      <c r="Y27" s="159"/>
      <c r="Z27" s="265">
        <v>46</v>
      </c>
      <c r="AA27" s="265">
        <f t="shared" si="0"/>
        <v>7930</v>
      </c>
      <c r="AB27" s="263" t="e">
        <f>(#REF!+#REF!)*#REF!</f>
        <v>#REF!</v>
      </c>
      <c r="AC27" s="268"/>
      <c r="AD27" s="265"/>
      <c r="AE27" s="529"/>
      <c r="AF27" s="529"/>
      <c r="AG27" s="529"/>
      <c r="AH27" s="265">
        <f t="shared" si="1"/>
        <v>4160</v>
      </c>
      <c r="AI27" s="265">
        <f t="shared" si="2"/>
        <v>208</v>
      </c>
      <c r="AJ27" s="27">
        <f t="shared" si="3"/>
        <v>4368</v>
      </c>
      <c r="AK27" s="35">
        <v>1001037136</v>
      </c>
      <c r="AL27" s="56"/>
      <c r="AM27" s="179"/>
    </row>
    <row r="28" spans="1:39">
      <c r="A28" s="26">
        <v>42207</v>
      </c>
      <c r="B28" s="114">
        <v>498475</v>
      </c>
      <c r="C28" s="35"/>
      <c r="D28" s="27">
        <v>2600</v>
      </c>
      <c r="E28" s="27"/>
      <c r="F28" s="27">
        <v>2600</v>
      </c>
      <c r="G28" s="35"/>
      <c r="H28" s="27">
        <v>2600</v>
      </c>
      <c r="I28" s="31">
        <v>12</v>
      </c>
      <c r="J28" s="27">
        <v>130</v>
      </c>
      <c r="K28" s="31"/>
      <c r="L28" s="154">
        <v>2600</v>
      </c>
      <c r="M28" s="31"/>
      <c r="N28" s="27">
        <v>70</v>
      </c>
      <c r="O28" s="31"/>
      <c r="P28" s="154">
        <v>2600</v>
      </c>
      <c r="Q28" s="232"/>
      <c r="R28" s="27">
        <v>91</v>
      </c>
      <c r="S28" s="31"/>
      <c r="T28" s="154">
        <v>2600</v>
      </c>
      <c r="U28" s="31"/>
      <c r="V28" s="154">
        <v>245</v>
      </c>
      <c r="W28" s="31"/>
      <c r="X28" s="27">
        <v>60</v>
      </c>
      <c r="Y28" s="159"/>
      <c r="Z28" s="265">
        <v>46</v>
      </c>
      <c r="AA28" s="265">
        <f t="shared" si="0"/>
        <v>7930</v>
      </c>
      <c r="AB28" s="263" t="e">
        <f>(#REF!+#REF!)*#REF!</f>
        <v>#REF!</v>
      </c>
      <c r="AC28" s="268"/>
      <c r="AD28" s="265"/>
      <c r="AE28" s="529"/>
      <c r="AF28" s="529"/>
      <c r="AG28" s="529"/>
      <c r="AH28" s="265">
        <f t="shared" si="1"/>
        <v>1560</v>
      </c>
      <c r="AI28" s="265">
        <f t="shared" si="2"/>
        <v>78</v>
      </c>
      <c r="AJ28" s="27">
        <f t="shared" si="3"/>
        <v>1638</v>
      </c>
      <c r="AK28" s="31">
        <v>1001037136</v>
      </c>
      <c r="AL28" s="56"/>
      <c r="AM28" s="179"/>
    </row>
    <row r="29" spans="1:39">
      <c r="A29" s="26">
        <v>42208</v>
      </c>
      <c r="B29" s="114">
        <v>574339</v>
      </c>
      <c r="C29" s="35"/>
      <c r="D29" s="27">
        <v>2600</v>
      </c>
      <c r="E29" s="31"/>
      <c r="F29" s="27">
        <v>2600</v>
      </c>
      <c r="G29" s="35"/>
      <c r="H29" s="27">
        <v>2600</v>
      </c>
      <c r="I29" s="31">
        <v>12</v>
      </c>
      <c r="J29" s="27">
        <v>130</v>
      </c>
      <c r="K29" s="31"/>
      <c r="L29" s="154">
        <v>2600</v>
      </c>
      <c r="M29" s="31"/>
      <c r="N29" s="27">
        <v>70</v>
      </c>
      <c r="O29" s="31"/>
      <c r="P29" s="154">
        <v>2600</v>
      </c>
      <c r="Q29" s="232"/>
      <c r="R29" s="27">
        <v>91</v>
      </c>
      <c r="S29" s="31"/>
      <c r="T29" s="154">
        <v>2600</v>
      </c>
      <c r="U29" s="31"/>
      <c r="V29" s="154">
        <v>245</v>
      </c>
      <c r="W29" s="31"/>
      <c r="X29" s="27">
        <v>60</v>
      </c>
      <c r="Y29" s="31"/>
      <c r="Z29" s="265">
        <v>46</v>
      </c>
      <c r="AA29" s="265">
        <f t="shared" si="0"/>
        <v>7930</v>
      </c>
      <c r="AB29" s="263" t="e">
        <f>(#REF!+#REF!)*#REF!</f>
        <v>#REF!</v>
      </c>
      <c r="AC29" s="268"/>
      <c r="AD29" s="265"/>
      <c r="AE29" s="529"/>
      <c r="AF29" s="529"/>
      <c r="AG29" s="529"/>
      <c r="AH29" s="265">
        <f t="shared" si="1"/>
        <v>1560</v>
      </c>
      <c r="AI29" s="265">
        <f t="shared" ref="AI29:AI34" si="4">(AH29*5%)</f>
        <v>78</v>
      </c>
      <c r="AJ29" s="27">
        <f t="shared" ref="AJ29:AJ34" si="5">SUM(AH29+AI29)</f>
        <v>1638</v>
      </c>
      <c r="AK29" s="35">
        <v>1001037136</v>
      </c>
      <c r="AL29" s="56"/>
      <c r="AM29" s="181"/>
    </row>
    <row r="30" spans="1:39">
      <c r="A30" s="26">
        <v>42208</v>
      </c>
      <c r="B30" s="114">
        <v>574340</v>
      </c>
      <c r="C30" s="35"/>
      <c r="D30" s="27">
        <v>2600</v>
      </c>
      <c r="E30" s="31"/>
      <c r="F30" s="27">
        <v>2600</v>
      </c>
      <c r="G30" s="35"/>
      <c r="H30" s="27">
        <v>2600</v>
      </c>
      <c r="I30" s="31"/>
      <c r="J30" s="27">
        <v>130</v>
      </c>
      <c r="K30" s="31"/>
      <c r="L30" s="154">
        <v>2600</v>
      </c>
      <c r="M30" s="31">
        <v>12</v>
      </c>
      <c r="N30" s="27">
        <v>70</v>
      </c>
      <c r="O30" s="31"/>
      <c r="P30" s="154">
        <v>2600</v>
      </c>
      <c r="Q30" s="232"/>
      <c r="R30" s="27">
        <v>91</v>
      </c>
      <c r="S30" s="31">
        <v>1</v>
      </c>
      <c r="T30" s="154">
        <v>2600</v>
      </c>
      <c r="U30" s="31"/>
      <c r="V30" s="154">
        <v>245</v>
      </c>
      <c r="W30" s="31">
        <v>12</v>
      </c>
      <c r="X30" s="27">
        <v>60</v>
      </c>
      <c r="Y30" s="31"/>
      <c r="Z30" s="265">
        <v>46</v>
      </c>
      <c r="AA30" s="265">
        <f t="shared" si="0"/>
        <v>7930</v>
      </c>
      <c r="AB30" s="263" t="e">
        <f>(#REF!+#REF!)*#REF!</f>
        <v>#REF!</v>
      </c>
      <c r="AC30" s="268"/>
      <c r="AD30" s="265"/>
      <c r="AE30" s="529"/>
      <c r="AF30" s="529"/>
      <c r="AG30" s="529"/>
      <c r="AH30" s="265">
        <f t="shared" si="1"/>
        <v>4160</v>
      </c>
      <c r="AI30" s="265">
        <f t="shared" si="4"/>
        <v>208</v>
      </c>
      <c r="AJ30" s="27">
        <f t="shared" si="5"/>
        <v>4368</v>
      </c>
      <c r="AK30" s="31">
        <v>1001037136</v>
      </c>
      <c r="AL30" s="56"/>
      <c r="AM30" s="181"/>
    </row>
    <row r="31" spans="1:39">
      <c r="A31" s="26">
        <v>42208</v>
      </c>
      <c r="B31" s="114">
        <v>574341</v>
      </c>
      <c r="C31" s="35">
        <v>1</v>
      </c>
      <c r="D31" s="27">
        <v>2600</v>
      </c>
      <c r="E31" s="31"/>
      <c r="F31" s="27">
        <v>2600</v>
      </c>
      <c r="G31" s="35"/>
      <c r="H31" s="27">
        <v>2600</v>
      </c>
      <c r="I31" s="31"/>
      <c r="J31" s="27">
        <v>130</v>
      </c>
      <c r="K31" s="31">
        <v>1</v>
      </c>
      <c r="L31" s="154">
        <v>2600</v>
      </c>
      <c r="M31" s="31"/>
      <c r="N31" s="27">
        <v>70</v>
      </c>
      <c r="O31" s="31"/>
      <c r="P31" s="154">
        <v>2600</v>
      </c>
      <c r="Q31" s="232"/>
      <c r="R31" s="27">
        <v>91</v>
      </c>
      <c r="S31" s="31"/>
      <c r="T31" s="154">
        <v>2600</v>
      </c>
      <c r="U31" s="31"/>
      <c r="V31" s="154">
        <v>245</v>
      </c>
      <c r="W31" s="31"/>
      <c r="X31" s="27">
        <v>60</v>
      </c>
      <c r="Y31" s="31"/>
      <c r="Z31" s="265">
        <v>46</v>
      </c>
      <c r="AA31" s="265">
        <f t="shared" si="0"/>
        <v>7930</v>
      </c>
      <c r="AB31" s="263" t="e">
        <f>(#REF!+#REF!)*#REF!</f>
        <v>#REF!</v>
      </c>
      <c r="AC31" s="268"/>
      <c r="AD31" s="265"/>
      <c r="AE31" s="529"/>
      <c r="AF31" s="529"/>
      <c r="AG31" s="529"/>
      <c r="AH31" s="265">
        <f t="shared" si="1"/>
        <v>5200</v>
      </c>
      <c r="AI31" s="265">
        <f t="shared" si="4"/>
        <v>260</v>
      </c>
      <c r="AJ31" s="27">
        <f t="shared" si="5"/>
        <v>5460</v>
      </c>
      <c r="AK31" s="35">
        <v>1001037136</v>
      </c>
      <c r="AL31" s="56"/>
      <c r="AM31" s="181"/>
    </row>
    <row r="32" spans="1:39">
      <c r="A32" s="26">
        <v>42209</v>
      </c>
      <c r="B32" s="114">
        <v>574342</v>
      </c>
      <c r="C32" s="35"/>
      <c r="D32" s="27">
        <v>2600</v>
      </c>
      <c r="E32" s="31">
        <v>1</v>
      </c>
      <c r="F32" s="27">
        <v>2600</v>
      </c>
      <c r="G32" s="35"/>
      <c r="H32" s="27">
        <v>2600</v>
      </c>
      <c r="I32" s="31">
        <v>12</v>
      </c>
      <c r="J32" s="27">
        <v>130</v>
      </c>
      <c r="K32" s="31"/>
      <c r="L32" s="154">
        <v>2600</v>
      </c>
      <c r="M32" s="31"/>
      <c r="N32" s="27">
        <v>70</v>
      </c>
      <c r="O32" s="31"/>
      <c r="P32" s="154">
        <v>2600</v>
      </c>
      <c r="Q32" s="232"/>
      <c r="R32" s="27">
        <v>91</v>
      </c>
      <c r="S32" s="31"/>
      <c r="T32" s="154">
        <v>2600</v>
      </c>
      <c r="U32" s="31"/>
      <c r="V32" s="154">
        <v>245</v>
      </c>
      <c r="W32" s="31"/>
      <c r="X32" s="27">
        <v>60</v>
      </c>
      <c r="Y32" s="31"/>
      <c r="Z32" s="265">
        <v>46</v>
      </c>
      <c r="AA32" s="265">
        <f t="shared" si="0"/>
        <v>7930</v>
      </c>
      <c r="AB32" s="263" t="e">
        <f>(#REF!+#REF!)*#REF!</f>
        <v>#REF!</v>
      </c>
      <c r="AC32" s="268"/>
      <c r="AD32" s="265"/>
      <c r="AE32" s="529"/>
      <c r="AF32" s="529"/>
      <c r="AG32" s="529"/>
      <c r="AH32" s="265">
        <f t="shared" si="1"/>
        <v>4160</v>
      </c>
      <c r="AI32" s="265">
        <f t="shared" si="4"/>
        <v>208</v>
      </c>
      <c r="AJ32" s="27">
        <f t="shared" si="5"/>
        <v>4368</v>
      </c>
      <c r="AK32" s="31">
        <v>1001037136</v>
      </c>
      <c r="AL32" s="56"/>
      <c r="AM32" s="181"/>
    </row>
    <row r="33" spans="1:39">
      <c r="A33" s="26">
        <v>42209</v>
      </c>
      <c r="B33" s="114">
        <v>574343</v>
      </c>
      <c r="C33" s="35"/>
      <c r="D33" s="27">
        <v>2600</v>
      </c>
      <c r="E33" s="31"/>
      <c r="F33" s="27">
        <v>2600</v>
      </c>
      <c r="G33" s="35"/>
      <c r="H33" s="27">
        <v>2600</v>
      </c>
      <c r="I33" s="31"/>
      <c r="J33" s="27">
        <v>130</v>
      </c>
      <c r="K33" s="31"/>
      <c r="L33" s="154">
        <v>2600</v>
      </c>
      <c r="M33" s="31">
        <v>12</v>
      </c>
      <c r="N33" s="27">
        <v>70</v>
      </c>
      <c r="O33" s="31"/>
      <c r="P33" s="154">
        <v>2600</v>
      </c>
      <c r="Q33" s="232"/>
      <c r="R33" s="27">
        <v>91</v>
      </c>
      <c r="S33" s="31">
        <v>1</v>
      </c>
      <c r="T33" s="154">
        <v>2600</v>
      </c>
      <c r="U33" s="31"/>
      <c r="V33" s="154">
        <v>245</v>
      </c>
      <c r="W33" s="31">
        <v>12</v>
      </c>
      <c r="X33" s="27">
        <v>60</v>
      </c>
      <c r="Y33" s="31"/>
      <c r="Z33" s="265">
        <v>46</v>
      </c>
      <c r="AA33" s="265">
        <f t="shared" si="0"/>
        <v>7930</v>
      </c>
      <c r="AB33" s="263" t="e">
        <f>(#REF!+#REF!)*#REF!</f>
        <v>#REF!</v>
      </c>
      <c r="AC33" s="268"/>
      <c r="AD33" s="265"/>
      <c r="AE33" s="529"/>
      <c r="AF33" s="529"/>
      <c r="AG33" s="529"/>
      <c r="AH33" s="265">
        <f t="shared" si="1"/>
        <v>4160</v>
      </c>
      <c r="AI33" s="265">
        <f t="shared" si="4"/>
        <v>208</v>
      </c>
      <c r="AJ33" s="27">
        <f t="shared" si="5"/>
        <v>4368</v>
      </c>
      <c r="AK33" s="35">
        <v>1001037136</v>
      </c>
      <c r="AL33" s="56"/>
      <c r="AM33" s="181"/>
    </row>
    <row r="34" spans="1:39">
      <c r="A34" s="26">
        <v>42209</v>
      </c>
      <c r="B34" s="114">
        <v>574344</v>
      </c>
      <c r="C34" s="35">
        <v>1</v>
      </c>
      <c r="D34" s="27">
        <v>2600</v>
      </c>
      <c r="E34" s="31"/>
      <c r="F34" s="27">
        <v>2600</v>
      </c>
      <c r="G34" s="35"/>
      <c r="H34" s="27">
        <v>2600</v>
      </c>
      <c r="I34" s="31"/>
      <c r="J34" s="27">
        <v>130</v>
      </c>
      <c r="K34" s="31">
        <v>1</v>
      </c>
      <c r="L34" s="154">
        <v>2600</v>
      </c>
      <c r="M34" s="31"/>
      <c r="N34" s="27">
        <v>70</v>
      </c>
      <c r="O34" s="31"/>
      <c r="P34" s="154">
        <v>2600</v>
      </c>
      <c r="Q34" s="232"/>
      <c r="R34" s="27">
        <v>91</v>
      </c>
      <c r="S34" s="31"/>
      <c r="T34" s="154">
        <v>2600</v>
      </c>
      <c r="U34" s="31"/>
      <c r="V34" s="154">
        <v>245</v>
      </c>
      <c r="W34" s="31"/>
      <c r="X34" s="27">
        <v>60</v>
      </c>
      <c r="Y34" s="31"/>
      <c r="Z34" s="265">
        <v>46</v>
      </c>
      <c r="AA34" s="265">
        <f t="shared" si="0"/>
        <v>7930</v>
      </c>
      <c r="AB34" s="263" t="e">
        <f>(#REF!+#REF!)*#REF!</f>
        <v>#REF!</v>
      </c>
      <c r="AC34" s="268"/>
      <c r="AD34" s="265"/>
      <c r="AE34" s="529"/>
      <c r="AF34" s="529"/>
      <c r="AG34" s="529"/>
      <c r="AH34" s="265">
        <f t="shared" si="1"/>
        <v>5200</v>
      </c>
      <c r="AI34" s="265">
        <f t="shared" si="4"/>
        <v>260</v>
      </c>
      <c r="AJ34" s="27">
        <f t="shared" si="5"/>
        <v>5460</v>
      </c>
      <c r="AK34" s="31">
        <v>1001037136</v>
      </c>
      <c r="AL34" s="56"/>
      <c r="AM34" s="181"/>
    </row>
    <row r="35" spans="1:39">
      <c r="A35" s="26">
        <v>42210</v>
      </c>
      <c r="B35" s="114">
        <v>574345</v>
      </c>
      <c r="C35" s="35">
        <v>1</v>
      </c>
      <c r="D35" s="27">
        <v>2600</v>
      </c>
      <c r="E35" s="31"/>
      <c r="F35" s="27">
        <v>2600</v>
      </c>
      <c r="G35" s="35"/>
      <c r="H35" s="27">
        <v>2600</v>
      </c>
      <c r="I35" s="31"/>
      <c r="J35" s="27">
        <v>130</v>
      </c>
      <c r="K35" s="31">
        <v>1</v>
      </c>
      <c r="L35" s="154">
        <v>2600</v>
      </c>
      <c r="M35" s="31"/>
      <c r="N35" s="27">
        <v>70</v>
      </c>
      <c r="O35" s="31"/>
      <c r="P35" s="154">
        <v>2600</v>
      </c>
      <c r="Q35" s="232"/>
      <c r="R35" s="27">
        <v>91</v>
      </c>
      <c r="S35" s="31"/>
      <c r="T35" s="154">
        <v>2600</v>
      </c>
      <c r="U35" s="31"/>
      <c r="V35" s="154">
        <v>245</v>
      </c>
      <c r="W35" s="31"/>
      <c r="X35" s="27">
        <v>60</v>
      </c>
      <c r="Y35" s="31"/>
      <c r="Z35" s="265">
        <v>46</v>
      </c>
      <c r="AA35" s="265">
        <f t="shared" si="0"/>
        <v>7930</v>
      </c>
      <c r="AB35" s="263" t="e">
        <f>(#REF!+#REF!)*#REF!</f>
        <v>#REF!</v>
      </c>
      <c r="AC35" s="268"/>
      <c r="AD35" s="265"/>
      <c r="AE35" s="529"/>
      <c r="AF35" s="529"/>
      <c r="AG35" s="529"/>
      <c r="AH35" s="265">
        <f t="shared" si="1"/>
        <v>5200</v>
      </c>
      <c r="AI35" s="265">
        <f t="shared" ref="AI35:AI53" si="6">(AH35*5%)</f>
        <v>260</v>
      </c>
      <c r="AJ35" s="27">
        <f t="shared" ref="AJ35:AJ53" si="7">SUM(AH35+AI35)</f>
        <v>5460</v>
      </c>
      <c r="AK35" s="35">
        <v>1001037136</v>
      </c>
      <c r="AL35" s="56"/>
      <c r="AM35" s="183"/>
    </row>
    <row r="36" spans="1:39">
      <c r="A36" s="26">
        <v>42210</v>
      </c>
      <c r="B36" s="114">
        <v>574346</v>
      </c>
      <c r="C36" s="35"/>
      <c r="D36" s="27">
        <v>2600</v>
      </c>
      <c r="E36" s="31">
        <v>1</v>
      </c>
      <c r="F36" s="27">
        <v>2600</v>
      </c>
      <c r="G36" s="35"/>
      <c r="H36" s="27">
        <v>2600</v>
      </c>
      <c r="I36" s="31"/>
      <c r="J36" s="27">
        <v>130</v>
      </c>
      <c r="K36" s="31"/>
      <c r="L36" s="154">
        <v>2600</v>
      </c>
      <c r="M36" s="31">
        <v>12</v>
      </c>
      <c r="N36" s="27">
        <v>70</v>
      </c>
      <c r="O36" s="31"/>
      <c r="P36" s="154">
        <v>2600</v>
      </c>
      <c r="Q36" s="232"/>
      <c r="R36" s="27">
        <v>91</v>
      </c>
      <c r="S36" s="31"/>
      <c r="T36" s="154">
        <v>2600</v>
      </c>
      <c r="U36" s="31"/>
      <c r="V36" s="154">
        <v>245</v>
      </c>
      <c r="W36" s="31">
        <v>12</v>
      </c>
      <c r="X36" s="27">
        <v>60</v>
      </c>
      <c r="Y36" s="31"/>
      <c r="Z36" s="265">
        <v>46</v>
      </c>
      <c r="AA36" s="265">
        <f t="shared" si="0"/>
        <v>7930</v>
      </c>
      <c r="AB36" s="263" t="e">
        <f>(#REF!+#REF!)*#REF!</f>
        <v>#REF!</v>
      </c>
      <c r="AC36" s="268"/>
      <c r="AD36" s="265"/>
      <c r="AE36" s="529"/>
      <c r="AF36" s="529"/>
      <c r="AG36" s="529"/>
      <c r="AH36" s="265">
        <f t="shared" si="1"/>
        <v>4160</v>
      </c>
      <c r="AI36" s="265">
        <f t="shared" si="6"/>
        <v>208</v>
      </c>
      <c r="AJ36" s="27">
        <f t="shared" si="7"/>
        <v>4368</v>
      </c>
      <c r="AK36" s="31">
        <v>1001037136</v>
      </c>
      <c r="AL36" s="56"/>
      <c r="AM36" s="183"/>
    </row>
    <row r="37" spans="1:39">
      <c r="A37" s="26">
        <v>42210</v>
      </c>
      <c r="B37" s="114">
        <v>574347</v>
      </c>
      <c r="C37" s="35"/>
      <c r="D37" s="27">
        <v>2600</v>
      </c>
      <c r="E37" s="31"/>
      <c r="F37" s="27">
        <v>2600</v>
      </c>
      <c r="G37" s="35"/>
      <c r="H37" s="27">
        <v>2600</v>
      </c>
      <c r="I37" s="31">
        <v>12</v>
      </c>
      <c r="J37" s="27">
        <v>130</v>
      </c>
      <c r="K37" s="31"/>
      <c r="L37" s="154">
        <v>2600</v>
      </c>
      <c r="M37" s="31"/>
      <c r="N37" s="27">
        <v>70</v>
      </c>
      <c r="O37" s="31"/>
      <c r="P37" s="154">
        <v>2600</v>
      </c>
      <c r="Q37" s="232"/>
      <c r="R37" s="27">
        <v>91</v>
      </c>
      <c r="S37" s="31"/>
      <c r="T37" s="154">
        <v>2600</v>
      </c>
      <c r="U37" s="31"/>
      <c r="V37" s="154">
        <v>245</v>
      </c>
      <c r="W37" s="31"/>
      <c r="X37" s="27">
        <v>60</v>
      </c>
      <c r="Y37" s="31"/>
      <c r="Z37" s="265">
        <v>46</v>
      </c>
      <c r="AA37" s="265">
        <f t="shared" ref="AA37:AA53" si="8">SUM(L37,J37,H37,D37)</f>
        <v>7930</v>
      </c>
      <c r="AB37" s="263" t="e">
        <f>(#REF!+#REF!)*#REF!</f>
        <v>#REF!</v>
      </c>
      <c r="AC37" s="268"/>
      <c r="AD37" s="265"/>
      <c r="AE37" s="529"/>
      <c r="AF37" s="529"/>
      <c r="AG37" s="529"/>
      <c r="AH37" s="265">
        <f t="shared" ref="AH37:AH53" si="9">SUM(C37*D37)+(G37*H37)+(I37*J37)+(K37*L37)+(M37*N37)+(W37*X37)+(Y37*Z37)+(O37*P37)+(U37*V37)+(S37*T37)+(E37*F37)</f>
        <v>1560</v>
      </c>
      <c r="AI37" s="265">
        <f t="shared" si="6"/>
        <v>78</v>
      </c>
      <c r="AJ37" s="27">
        <f t="shared" si="7"/>
        <v>1638</v>
      </c>
      <c r="AK37" s="35">
        <v>1001037136</v>
      </c>
      <c r="AL37" s="56"/>
      <c r="AM37" s="183"/>
    </row>
    <row r="38" spans="1:39">
      <c r="A38" s="26">
        <v>42212</v>
      </c>
      <c r="B38" s="114">
        <v>574851</v>
      </c>
      <c r="C38" s="35">
        <v>1</v>
      </c>
      <c r="D38" s="27">
        <v>2600</v>
      </c>
      <c r="E38" s="31"/>
      <c r="F38" s="27">
        <v>2600</v>
      </c>
      <c r="G38" s="35"/>
      <c r="H38" s="27">
        <v>2600</v>
      </c>
      <c r="I38" s="31"/>
      <c r="J38" s="27">
        <v>130</v>
      </c>
      <c r="K38" s="31">
        <v>1</v>
      </c>
      <c r="L38" s="154">
        <v>2600</v>
      </c>
      <c r="M38" s="31"/>
      <c r="N38" s="27">
        <v>70</v>
      </c>
      <c r="O38" s="31"/>
      <c r="P38" s="154">
        <v>2600</v>
      </c>
      <c r="Q38" s="232"/>
      <c r="R38" s="27">
        <v>91</v>
      </c>
      <c r="S38" s="31"/>
      <c r="T38" s="154">
        <v>2600</v>
      </c>
      <c r="U38" s="31"/>
      <c r="V38" s="154">
        <v>245</v>
      </c>
      <c r="W38" s="31"/>
      <c r="X38" s="27">
        <v>60</v>
      </c>
      <c r="Y38" s="31"/>
      <c r="Z38" s="265">
        <v>46</v>
      </c>
      <c r="AA38" s="265">
        <f t="shared" si="8"/>
        <v>7930</v>
      </c>
      <c r="AB38" s="263" t="e">
        <f>(#REF!+#REF!)*#REF!</f>
        <v>#REF!</v>
      </c>
      <c r="AC38" s="268"/>
      <c r="AD38" s="265"/>
      <c r="AE38" s="529"/>
      <c r="AF38" s="529"/>
      <c r="AG38" s="529"/>
      <c r="AH38" s="265">
        <f t="shared" si="9"/>
        <v>5200</v>
      </c>
      <c r="AI38" s="265">
        <f t="shared" si="6"/>
        <v>260</v>
      </c>
      <c r="AJ38" s="27">
        <f t="shared" si="7"/>
        <v>5460</v>
      </c>
      <c r="AK38" s="31">
        <v>1001037136</v>
      </c>
      <c r="AL38" s="56"/>
      <c r="AM38" s="201"/>
    </row>
    <row r="39" spans="1:39">
      <c r="A39" s="26">
        <v>42212</v>
      </c>
      <c r="B39" s="114">
        <v>574852</v>
      </c>
      <c r="C39" s="35"/>
      <c r="D39" s="27">
        <v>2600</v>
      </c>
      <c r="E39" s="31">
        <v>1</v>
      </c>
      <c r="F39" s="27">
        <v>2600</v>
      </c>
      <c r="G39" s="35"/>
      <c r="H39" s="27">
        <v>2600</v>
      </c>
      <c r="I39" s="31"/>
      <c r="J39" s="27">
        <v>130</v>
      </c>
      <c r="K39" s="31"/>
      <c r="L39" s="154">
        <v>2600</v>
      </c>
      <c r="M39" s="31">
        <v>12</v>
      </c>
      <c r="N39" s="27">
        <v>70</v>
      </c>
      <c r="O39" s="31"/>
      <c r="P39" s="154">
        <v>2600</v>
      </c>
      <c r="Q39" s="232"/>
      <c r="R39" s="27">
        <v>91</v>
      </c>
      <c r="S39" s="31"/>
      <c r="T39" s="154">
        <v>2600</v>
      </c>
      <c r="U39" s="31"/>
      <c r="V39" s="154">
        <v>245</v>
      </c>
      <c r="W39" s="31">
        <v>12</v>
      </c>
      <c r="X39" s="27">
        <v>60</v>
      </c>
      <c r="Y39" s="31"/>
      <c r="Z39" s="265">
        <v>46</v>
      </c>
      <c r="AA39" s="265">
        <f t="shared" si="8"/>
        <v>7930</v>
      </c>
      <c r="AB39" s="263" t="e">
        <f>(#REF!+#REF!)*#REF!</f>
        <v>#REF!</v>
      </c>
      <c r="AC39" s="268"/>
      <c r="AD39" s="265"/>
      <c r="AE39" s="529"/>
      <c r="AF39" s="529"/>
      <c r="AG39" s="529"/>
      <c r="AH39" s="265">
        <f t="shared" si="9"/>
        <v>4160</v>
      </c>
      <c r="AI39" s="265">
        <f t="shared" si="6"/>
        <v>208</v>
      </c>
      <c r="AJ39" s="27">
        <f t="shared" si="7"/>
        <v>4368</v>
      </c>
      <c r="AK39" s="35">
        <v>1001037136</v>
      </c>
      <c r="AL39" s="56"/>
      <c r="AM39" s="201"/>
    </row>
    <row r="40" spans="1:39">
      <c r="A40" s="26">
        <v>42212</v>
      </c>
      <c r="B40" s="114">
        <v>574853</v>
      </c>
      <c r="C40" s="35"/>
      <c r="D40" s="27">
        <v>2600</v>
      </c>
      <c r="E40" s="31"/>
      <c r="F40" s="27">
        <v>2600</v>
      </c>
      <c r="G40" s="35"/>
      <c r="H40" s="27">
        <v>2600</v>
      </c>
      <c r="I40" s="31">
        <v>12</v>
      </c>
      <c r="J40" s="27">
        <v>130</v>
      </c>
      <c r="K40" s="31"/>
      <c r="L40" s="154">
        <v>2600</v>
      </c>
      <c r="M40" s="31"/>
      <c r="N40" s="27">
        <v>70</v>
      </c>
      <c r="O40" s="31"/>
      <c r="P40" s="154">
        <v>2600</v>
      </c>
      <c r="Q40" s="232"/>
      <c r="R40" s="27">
        <v>91</v>
      </c>
      <c r="S40" s="31">
        <v>1</v>
      </c>
      <c r="T40" s="154">
        <v>2600</v>
      </c>
      <c r="U40" s="31"/>
      <c r="V40" s="154">
        <v>245</v>
      </c>
      <c r="W40" s="31"/>
      <c r="X40" s="27">
        <v>60</v>
      </c>
      <c r="Y40" s="31"/>
      <c r="Z40" s="265">
        <v>46</v>
      </c>
      <c r="AA40" s="265">
        <f t="shared" si="8"/>
        <v>7930</v>
      </c>
      <c r="AB40" s="263" t="e">
        <f>(#REF!+#REF!)*#REF!</f>
        <v>#REF!</v>
      </c>
      <c r="AC40" s="268"/>
      <c r="AD40" s="265"/>
      <c r="AE40" s="529"/>
      <c r="AF40" s="529"/>
      <c r="AG40" s="529"/>
      <c r="AH40" s="265">
        <f t="shared" si="9"/>
        <v>4160</v>
      </c>
      <c r="AI40" s="265">
        <f t="shared" si="6"/>
        <v>208</v>
      </c>
      <c r="AJ40" s="27">
        <f t="shared" si="7"/>
        <v>4368</v>
      </c>
      <c r="AK40" s="31">
        <v>1001037136</v>
      </c>
      <c r="AL40" s="56"/>
      <c r="AM40" s="201"/>
    </row>
    <row r="41" spans="1:39">
      <c r="A41" s="26">
        <v>42213</v>
      </c>
      <c r="B41" s="114">
        <v>574856</v>
      </c>
      <c r="C41" s="35"/>
      <c r="D41" s="27">
        <v>2600</v>
      </c>
      <c r="E41" s="31"/>
      <c r="F41" s="27">
        <v>2600</v>
      </c>
      <c r="G41" s="35">
        <v>1</v>
      </c>
      <c r="H41" s="27">
        <v>2600</v>
      </c>
      <c r="I41" s="31">
        <v>12</v>
      </c>
      <c r="J41" s="27">
        <v>130</v>
      </c>
      <c r="K41" s="31"/>
      <c r="L41" s="154">
        <v>2600</v>
      </c>
      <c r="M41" s="31"/>
      <c r="N41" s="27">
        <v>70</v>
      </c>
      <c r="O41" s="31"/>
      <c r="P41" s="154">
        <v>2600</v>
      </c>
      <c r="Q41" s="232"/>
      <c r="R41" s="27">
        <v>91</v>
      </c>
      <c r="S41" s="31"/>
      <c r="T41" s="154">
        <v>2600</v>
      </c>
      <c r="U41" s="31"/>
      <c r="V41" s="154">
        <v>245</v>
      </c>
      <c r="W41" s="31"/>
      <c r="X41" s="27">
        <v>60</v>
      </c>
      <c r="Y41" s="31"/>
      <c r="Z41" s="265">
        <v>46</v>
      </c>
      <c r="AA41" s="265">
        <f t="shared" si="8"/>
        <v>7930</v>
      </c>
      <c r="AB41" s="263" t="e">
        <f>(#REF!+#REF!)*#REF!</f>
        <v>#REF!</v>
      </c>
      <c r="AC41" s="268"/>
      <c r="AD41" s="265"/>
      <c r="AE41" s="529"/>
      <c r="AF41" s="529"/>
      <c r="AG41" s="529"/>
      <c r="AH41" s="265">
        <f t="shared" si="9"/>
        <v>4160</v>
      </c>
      <c r="AI41" s="265">
        <f t="shared" si="6"/>
        <v>208</v>
      </c>
      <c r="AJ41" s="27">
        <f t="shared" si="7"/>
        <v>4368</v>
      </c>
      <c r="AK41" s="31">
        <v>1001037136</v>
      </c>
      <c r="AL41" s="56"/>
      <c r="AM41" s="207"/>
    </row>
    <row r="42" spans="1:39">
      <c r="A42" s="26">
        <v>42213</v>
      </c>
      <c r="B42" s="114">
        <v>574855</v>
      </c>
      <c r="C42" s="35"/>
      <c r="D42" s="27">
        <v>2600</v>
      </c>
      <c r="E42" s="31">
        <v>1</v>
      </c>
      <c r="F42" s="27">
        <v>2600</v>
      </c>
      <c r="G42" s="35"/>
      <c r="H42" s="27">
        <v>2600</v>
      </c>
      <c r="I42" s="31"/>
      <c r="J42" s="27">
        <v>130</v>
      </c>
      <c r="K42" s="31"/>
      <c r="L42" s="154">
        <v>2600</v>
      </c>
      <c r="M42" s="31">
        <v>12</v>
      </c>
      <c r="N42" s="27">
        <v>70</v>
      </c>
      <c r="O42" s="31"/>
      <c r="P42" s="154">
        <v>2600</v>
      </c>
      <c r="Q42" s="232"/>
      <c r="R42" s="27">
        <v>91</v>
      </c>
      <c r="S42" s="31"/>
      <c r="T42" s="154">
        <v>2600</v>
      </c>
      <c r="U42" s="31"/>
      <c r="V42" s="154">
        <v>245</v>
      </c>
      <c r="W42" s="31">
        <v>12</v>
      </c>
      <c r="X42" s="27">
        <v>60</v>
      </c>
      <c r="Y42" s="31"/>
      <c r="Z42" s="265">
        <v>46</v>
      </c>
      <c r="AA42" s="265">
        <f t="shared" si="8"/>
        <v>7930</v>
      </c>
      <c r="AB42" s="263" t="e">
        <f>(#REF!+#REF!)*#REF!</f>
        <v>#REF!</v>
      </c>
      <c r="AC42" s="268"/>
      <c r="AD42" s="265"/>
      <c r="AE42" s="529"/>
      <c r="AF42" s="529"/>
      <c r="AG42" s="529"/>
      <c r="AH42" s="265">
        <f t="shared" si="9"/>
        <v>4160</v>
      </c>
      <c r="AI42" s="265">
        <f t="shared" si="6"/>
        <v>208</v>
      </c>
      <c r="AJ42" s="27">
        <f t="shared" si="7"/>
        <v>4368</v>
      </c>
      <c r="AK42" s="31">
        <v>1001037136</v>
      </c>
      <c r="AL42" s="56"/>
      <c r="AM42" s="207"/>
    </row>
    <row r="43" spans="1:39">
      <c r="A43" s="26">
        <v>42213</v>
      </c>
      <c r="B43" s="114">
        <v>574854</v>
      </c>
      <c r="C43" s="35">
        <v>1</v>
      </c>
      <c r="D43" s="27">
        <v>2600</v>
      </c>
      <c r="E43" s="31"/>
      <c r="F43" s="27">
        <v>2600</v>
      </c>
      <c r="G43" s="35"/>
      <c r="H43" s="27">
        <v>2600</v>
      </c>
      <c r="I43" s="31"/>
      <c r="J43" s="27">
        <v>130</v>
      </c>
      <c r="K43" s="31">
        <v>1</v>
      </c>
      <c r="L43" s="154">
        <v>2600</v>
      </c>
      <c r="M43" s="31"/>
      <c r="N43" s="27">
        <v>70</v>
      </c>
      <c r="O43" s="31"/>
      <c r="P43" s="154">
        <v>2600</v>
      </c>
      <c r="Q43" s="232"/>
      <c r="R43" s="27">
        <v>91</v>
      </c>
      <c r="S43" s="31"/>
      <c r="T43" s="154">
        <v>2600</v>
      </c>
      <c r="U43" s="31"/>
      <c r="V43" s="154">
        <v>245</v>
      </c>
      <c r="W43" s="31"/>
      <c r="X43" s="27">
        <v>60</v>
      </c>
      <c r="Y43" s="31"/>
      <c r="Z43" s="265">
        <v>46</v>
      </c>
      <c r="AA43" s="265">
        <f t="shared" si="8"/>
        <v>7930</v>
      </c>
      <c r="AB43" s="263" t="e">
        <f>(#REF!+#REF!)*#REF!</f>
        <v>#REF!</v>
      </c>
      <c r="AC43" s="268"/>
      <c r="AD43" s="265"/>
      <c r="AE43" s="529"/>
      <c r="AF43" s="529"/>
      <c r="AG43" s="529"/>
      <c r="AH43" s="265">
        <f t="shared" si="9"/>
        <v>5200</v>
      </c>
      <c r="AI43" s="265">
        <f t="shared" si="6"/>
        <v>260</v>
      </c>
      <c r="AJ43" s="27">
        <f t="shared" si="7"/>
        <v>5460</v>
      </c>
      <c r="AK43" s="31">
        <v>1001037136</v>
      </c>
      <c r="AL43" s="56"/>
      <c r="AM43" s="207"/>
    </row>
    <row r="44" spans="1:39">
      <c r="A44" s="26">
        <v>42214</v>
      </c>
      <c r="B44" s="114">
        <v>574857</v>
      </c>
      <c r="C44" s="35">
        <v>1</v>
      </c>
      <c r="D44" s="27">
        <v>2600</v>
      </c>
      <c r="E44" s="31"/>
      <c r="F44" s="27">
        <v>2600</v>
      </c>
      <c r="G44" s="35"/>
      <c r="H44" s="27">
        <v>2600</v>
      </c>
      <c r="I44" s="31"/>
      <c r="J44" s="27">
        <v>130</v>
      </c>
      <c r="K44" s="31">
        <v>1</v>
      </c>
      <c r="L44" s="154">
        <v>2600</v>
      </c>
      <c r="M44" s="31"/>
      <c r="N44" s="27">
        <v>70</v>
      </c>
      <c r="O44" s="31"/>
      <c r="P44" s="154">
        <v>2600</v>
      </c>
      <c r="Q44" s="232"/>
      <c r="R44" s="27">
        <v>91</v>
      </c>
      <c r="S44" s="31"/>
      <c r="T44" s="154">
        <v>2600</v>
      </c>
      <c r="U44" s="31"/>
      <c r="V44" s="154">
        <v>245</v>
      </c>
      <c r="W44" s="31"/>
      <c r="X44" s="27">
        <v>60</v>
      </c>
      <c r="Y44" s="31"/>
      <c r="Z44" s="265">
        <v>46</v>
      </c>
      <c r="AA44" s="265">
        <f t="shared" si="8"/>
        <v>7930</v>
      </c>
      <c r="AB44" s="263" t="e">
        <f>(#REF!+#REF!)*#REF!</f>
        <v>#REF!</v>
      </c>
      <c r="AC44" s="268"/>
      <c r="AD44" s="265"/>
      <c r="AE44" s="529"/>
      <c r="AF44" s="529"/>
      <c r="AG44" s="529"/>
      <c r="AH44" s="265">
        <f t="shared" si="9"/>
        <v>5200</v>
      </c>
      <c r="AI44" s="265">
        <f t="shared" si="6"/>
        <v>260</v>
      </c>
      <c r="AJ44" s="27">
        <f t="shared" si="7"/>
        <v>5460</v>
      </c>
      <c r="AK44" s="31">
        <v>1001037136</v>
      </c>
      <c r="AL44" s="56"/>
      <c r="AM44" s="207"/>
    </row>
    <row r="45" spans="1:39">
      <c r="A45" s="26">
        <v>42214</v>
      </c>
      <c r="B45" s="114">
        <v>574858</v>
      </c>
      <c r="C45" s="35"/>
      <c r="D45" s="27">
        <v>2600</v>
      </c>
      <c r="E45" s="31"/>
      <c r="F45" s="27">
        <v>2600</v>
      </c>
      <c r="G45" s="35"/>
      <c r="H45" s="27">
        <v>2600</v>
      </c>
      <c r="I45" s="31">
        <v>12</v>
      </c>
      <c r="J45" s="27">
        <v>130</v>
      </c>
      <c r="K45" s="31"/>
      <c r="L45" s="154">
        <v>2600</v>
      </c>
      <c r="M45" s="31"/>
      <c r="N45" s="27">
        <v>70</v>
      </c>
      <c r="O45" s="31"/>
      <c r="P45" s="154">
        <v>2600</v>
      </c>
      <c r="Q45" s="232"/>
      <c r="R45" s="27">
        <v>91</v>
      </c>
      <c r="S45" s="31">
        <v>1</v>
      </c>
      <c r="T45" s="154">
        <v>2600</v>
      </c>
      <c r="U45" s="31"/>
      <c r="V45" s="154">
        <v>245</v>
      </c>
      <c r="W45" s="31"/>
      <c r="X45" s="27">
        <v>60</v>
      </c>
      <c r="Y45" s="31"/>
      <c r="Z45" s="265">
        <v>46</v>
      </c>
      <c r="AA45" s="265">
        <f t="shared" si="8"/>
        <v>7930</v>
      </c>
      <c r="AB45" s="263" t="e">
        <f>(#REF!+#REF!)*#REF!</f>
        <v>#REF!</v>
      </c>
      <c r="AC45" s="268"/>
      <c r="AD45" s="265"/>
      <c r="AE45" s="529"/>
      <c r="AF45" s="529"/>
      <c r="AG45" s="529"/>
      <c r="AH45" s="265">
        <f t="shared" si="9"/>
        <v>4160</v>
      </c>
      <c r="AI45" s="265">
        <f t="shared" si="6"/>
        <v>208</v>
      </c>
      <c r="AJ45" s="27">
        <f t="shared" si="7"/>
        <v>4368</v>
      </c>
      <c r="AK45" s="31">
        <v>1001037136</v>
      </c>
      <c r="AL45" s="56"/>
      <c r="AM45" s="207"/>
    </row>
    <row r="46" spans="1:39">
      <c r="A46" s="26">
        <v>42214</v>
      </c>
      <c r="B46" s="114">
        <v>574859</v>
      </c>
      <c r="C46" s="35"/>
      <c r="D46" s="27">
        <v>2600</v>
      </c>
      <c r="E46" s="31">
        <v>1</v>
      </c>
      <c r="F46" s="27">
        <v>2600</v>
      </c>
      <c r="G46" s="35"/>
      <c r="H46" s="27">
        <v>2600</v>
      </c>
      <c r="I46" s="31"/>
      <c r="J46" s="27">
        <v>130</v>
      </c>
      <c r="K46" s="31"/>
      <c r="L46" s="154">
        <v>2600</v>
      </c>
      <c r="M46" s="31">
        <v>12</v>
      </c>
      <c r="N46" s="27">
        <v>70</v>
      </c>
      <c r="O46" s="31"/>
      <c r="P46" s="154">
        <v>2600</v>
      </c>
      <c r="Q46" s="232"/>
      <c r="R46" s="27">
        <v>91</v>
      </c>
      <c r="S46" s="31"/>
      <c r="T46" s="154">
        <v>2600</v>
      </c>
      <c r="U46" s="31"/>
      <c r="V46" s="154">
        <v>245</v>
      </c>
      <c r="W46" s="31">
        <v>12</v>
      </c>
      <c r="X46" s="27">
        <v>60</v>
      </c>
      <c r="Y46" s="31"/>
      <c r="Z46" s="265">
        <v>46</v>
      </c>
      <c r="AA46" s="265">
        <f t="shared" si="8"/>
        <v>7930</v>
      </c>
      <c r="AB46" s="263" t="e">
        <f>(#REF!+#REF!)*#REF!</f>
        <v>#REF!</v>
      </c>
      <c r="AC46" s="268"/>
      <c r="AD46" s="265"/>
      <c r="AE46" s="529"/>
      <c r="AF46" s="529"/>
      <c r="AG46" s="529"/>
      <c r="AH46" s="265">
        <f t="shared" si="9"/>
        <v>4160</v>
      </c>
      <c r="AI46" s="265">
        <f t="shared" si="6"/>
        <v>208</v>
      </c>
      <c r="AJ46" s="27">
        <f t="shared" si="7"/>
        <v>4368</v>
      </c>
      <c r="AK46" s="31">
        <v>1001037136</v>
      </c>
      <c r="AL46" s="56"/>
      <c r="AM46" s="207"/>
    </row>
    <row r="47" spans="1:39">
      <c r="A47" s="26">
        <v>42215</v>
      </c>
      <c r="B47" s="114">
        <v>574860</v>
      </c>
      <c r="C47" s="35">
        <v>1</v>
      </c>
      <c r="D47" s="27">
        <v>2600</v>
      </c>
      <c r="E47" s="31"/>
      <c r="F47" s="27">
        <v>2600</v>
      </c>
      <c r="G47" s="35"/>
      <c r="H47" s="27">
        <v>2600</v>
      </c>
      <c r="I47" s="31"/>
      <c r="J47" s="27">
        <v>130</v>
      </c>
      <c r="K47" s="31">
        <v>1</v>
      </c>
      <c r="L47" s="154">
        <v>2600</v>
      </c>
      <c r="M47" s="31"/>
      <c r="N47" s="27">
        <v>70</v>
      </c>
      <c r="O47" s="31"/>
      <c r="P47" s="154">
        <v>2600</v>
      </c>
      <c r="Q47" s="232"/>
      <c r="R47" s="27">
        <v>91</v>
      </c>
      <c r="S47" s="31"/>
      <c r="T47" s="154">
        <v>2600</v>
      </c>
      <c r="U47" s="31"/>
      <c r="V47" s="154">
        <v>245</v>
      </c>
      <c r="W47" s="31"/>
      <c r="X47" s="27">
        <v>60</v>
      </c>
      <c r="Y47" s="31"/>
      <c r="Z47" s="265">
        <v>46</v>
      </c>
      <c r="AA47" s="265">
        <f>SUM(L47,J47,H47,D47)</f>
        <v>7930</v>
      </c>
      <c r="AB47" s="263" t="e">
        <f>(#REF!+#REF!)*#REF!</f>
        <v>#REF!</v>
      </c>
      <c r="AC47" s="268"/>
      <c r="AD47" s="265"/>
      <c r="AE47" s="529"/>
      <c r="AF47" s="529"/>
      <c r="AG47" s="529"/>
      <c r="AH47" s="265">
        <f t="shared" si="9"/>
        <v>5200</v>
      </c>
      <c r="AI47" s="265">
        <f t="shared" si="6"/>
        <v>260</v>
      </c>
      <c r="AJ47" s="27">
        <f t="shared" si="7"/>
        <v>5460</v>
      </c>
      <c r="AK47" s="31">
        <v>1001037136</v>
      </c>
      <c r="AL47" s="56"/>
      <c r="AM47" s="207"/>
    </row>
    <row r="48" spans="1:39">
      <c r="A48" s="26">
        <v>42215</v>
      </c>
      <c r="B48" s="114">
        <v>574861</v>
      </c>
      <c r="C48" s="35"/>
      <c r="D48" s="27">
        <v>2600</v>
      </c>
      <c r="E48" s="31"/>
      <c r="F48" s="27">
        <v>2600</v>
      </c>
      <c r="G48" s="35"/>
      <c r="H48" s="27">
        <v>2600</v>
      </c>
      <c r="I48" s="31">
        <v>12</v>
      </c>
      <c r="J48" s="27">
        <v>130</v>
      </c>
      <c r="K48" s="31"/>
      <c r="L48" s="154">
        <v>2600</v>
      </c>
      <c r="M48" s="31"/>
      <c r="N48" s="27">
        <v>70</v>
      </c>
      <c r="O48" s="31"/>
      <c r="P48" s="154">
        <v>2600</v>
      </c>
      <c r="Q48" s="232"/>
      <c r="R48" s="27">
        <v>91</v>
      </c>
      <c r="S48" s="31"/>
      <c r="T48" s="154">
        <v>2600</v>
      </c>
      <c r="U48" s="31"/>
      <c r="V48" s="154">
        <v>245</v>
      </c>
      <c r="W48" s="31"/>
      <c r="X48" s="27">
        <v>60</v>
      </c>
      <c r="Y48" s="31"/>
      <c r="Z48" s="265">
        <v>46</v>
      </c>
      <c r="AA48" s="265">
        <f>SUM(L48,J48,H48,D48)</f>
        <v>7930</v>
      </c>
      <c r="AB48" s="263" t="e">
        <f>(#REF!+#REF!)*#REF!</f>
        <v>#REF!</v>
      </c>
      <c r="AC48" s="268"/>
      <c r="AD48" s="265"/>
      <c r="AE48" s="529"/>
      <c r="AF48" s="529"/>
      <c r="AG48" s="529"/>
      <c r="AH48" s="265">
        <f t="shared" si="9"/>
        <v>1560</v>
      </c>
      <c r="AI48" s="265">
        <f t="shared" si="6"/>
        <v>78</v>
      </c>
      <c r="AJ48" s="27">
        <f t="shared" si="7"/>
        <v>1638</v>
      </c>
      <c r="AK48" s="31">
        <v>1001037136</v>
      </c>
      <c r="AL48" s="56"/>
      <c r="AM48" s="207"/>
    </row>
    <row r="49" spans="1:39">
      <c r="A49" s="26">
        <v>42215</v>
      </c>
      <c r="B49" s="114">
        <v>574862</v>
      </c>
      <c r="C49" s="35"/>
      <c r="D49" s="27">
        <v>2600</v>
      </c>
      <c r="E49" s="31"/>
      <c r="F49" s="27">
        <v>2600</v>
      </c>
      <c r="G49" s="35"/>
      <c r="H49" s="27">
        <v>2600</v>
      </c>
      <c r="I49" s="31"/>
      <c r="J49" s="27">
        <v>130</v>
      </c>
      <c r="K49" s="31"/>
      <c r="L49" s="154">
        <v>2600</v>
      </c>
      <c r="M49" s="31">
        <v>12</v>
      </c>
      <c r="N49" s="27">
        <v>70</v>
      </c>
      <c r="O49" s="31"/>
      <c r="P49" s="154">
        <v>2600</v>
      </c>
      <c r="Q49" s="232"/>
      <c r="R49" s="27">
        <v>91</v>
      </c>
      <c r="S49" s="31">
        <v>1</v>
      </c>
      <c r="T49" s="154">
        <v>2600</v>
      </c>
      <c r="U49" s="31"/>
      <c r="V49" s="154">
        <v>245</v>
      </c>
      <c r="W49" s="31">
        <v>12</v>
      </c>
      <c r="X49" s="27">
        <v>60</v>
      </c>
      <c r="Y49" s="31"/>
      <c r="Z49" s="265">
        <v>46</v>
      </c>
      <c r="AA49" s="265">
        <f t="shared" si="8"/>
        <v>7930</v>
      </c>
      <c r="AB49" s="263" t="e">
        <f>(#REF!+#REF!)*#REF!</f>
        <v>#REF!</v>
      </c>
      <c r="AC49" s="268"/>
      <c r="AD49" s="265"/>
      <c r="AE49" s="529"/>
      <c r="AF49" s="529"/>
      <c r="AG49" s="529"/>
      <c r="AH49" s="265">
        <f t="shared" si="9"/>
        <v>4160</v>
      </c>
      <c r="AI49" s="265">
        <f t="shared" si="6"/>
        <v>208</v>
      </c>
      <c r="AJ49" s="27">
        <f t="shared" si="7"/>
        <v>4368</v>
      </c>
      <c r="AK49" s="31">
        <v>1001037136</v>
      </c>
      <c r="AL49" s="56"/>
      <c r="AM49" s="207"/>
    </row>
    <row r="50" spans="1:39">
      <c r="A50" s="26">
        <v>42216</v>
      </c>
      <c r="B50" s="114">
        <v>574863</v>
      </c>
      <c r="C50" s="35"/>
      <c r="D50" s="27">
        <v>2600</v>
      </c>
      <c r="E50" s="31"/>
      <c r="F50" s="27">
        <v>2600</v>
      </c>
      <c r="G50" s="35"/>
      <c r="H50" s="27">
        <v>2600</v>
      </c>
      <c r="I50" s="31">
        <v>12</v>
      </c>
      <c r="J50" s="27">
        <v>130</v>
      </c>
      <c r="K50" s="31"/>
      <c r="L50" s="154">
        <v>2600</v>
      </c>
      <c r="M50" s="31"/>
      <c r="N50" s="27">
        <v>70</v>
      </c>
      <c r="O50" s="31"/>
      <c r="P50" s="154">
        <v>2600</v>
      </c>
      <c r="Q50" s="232"/>
      <c r="R50" s="27">
        <v>91</v>
      </c>
      <c r="S50" s="31">
        <v>1</v>
      </c>
      <c r="T50" s="154">
        <v>2600</v>
      </c>
      <c r="U50" s="31"/>
      <c r="V50" s="154">
        <v>245</v>
      </c>
      <c r="W50" s="31"/>
      <c r="X50" s="27">
        <v>60</v>
      </c>
      <c r="Y50" s="31"/>
      <c r="Z50" s="265">
        <v>46</v>
      </c>
      <c r="AA50" s="265">
        <f>SUM(L50,J50,H50,D50)</f>
        <v>7930</v>
      </c>
      <c r="AB50" s="263" t="e">
        <f>(#REF!+#REF!)*#REF!</f>
        <v>#REF!</v>
      </c>
      <c r="AC50" s="268"/>
      <c r="AD50" s="265"/>
      <c r="AE50" s="529"/>
      <c r="AF50" s="529"/>
      <c r="AG50" s="529"/>
      <c r="AH50" s="265">
        <f t="shared" si="9"/>
        <v>4160</v>
      </c>
      <c r="AI50" s="265">
        <f t="shared" si="6"/>
        <v>208</v>
      </c>
      <c r="AJ50" s="27">
        <f t="shared" si="7"/>
        <v>4368</v>
      </c>
      <c r="AK50" s="31">
        <v>1001037136</v>
      </c>
      <c r="AL50" s="56"/>
      <c r="AM50" s="216"/>
    </row>
    <row r="51" spans="1:39">
      <c r="A51" s="26">
        <v>42216</v>
      </c>
      <c r="B51" s="114">
        <v>574864</v>
      </c>
      <c r="C51" s="35">
        <v>1</v>
      </c>
      <c r="D51" s="27">
        <v>2600</v>
      </c>
      <c r="E51" s="31"/>
      <c r="F51" s="27">
        <v>2600</v>
      </c>
      <c r="G51" s="35"/>
      <c r="H51" s="27">
        <v>2600</v>
      </c>
      <c r="I51" s="31"/>
      <c r="J51" s="27">
        <v>130</v>
      </c>
      <c r="K51" s="31">
        <v>1</v>
      </c>
      <c r="L51" s="154">
        <v>2600</v>
      </c>
      <c r="M51" s="31"/>
      <c r="N51" s="27">
        <v>70</v>
      </c>
      <c r="O51" s="31"/>
      <c r="P51" s="154">
        <v>2600</v>
      </c>
      <c r="Q51" s="232"/>
      <c r="R51" s="27">
        <v>91</v>
      </c>
      <c r="S51" s="31"/>
      <c r="T51" s="154">
        <v>2600</v>
      </c>
      <c r="U51" s="31"/>
      <c r="V51" s="154">
        <v>245</v>
      </c>
      <c r="W51" s="31"/>
      <c r="X51" s="27">
        <v>60</v>
      </c>
      <c r="Y51" s="31"/>
      <c r="Z51" s="265">
        <v>46</v>
      </c>
      <c r="AA51" s="265">
        <f>SUM(L51,J51,H51,D51)</f>
        <v>7930</v>
      </c>
      <c r="AB51" s="263" t="e">
        <f>(#REF!+#REF!)*#REF!</f>
        <v>#REF!</v>
      </c>
      <c r="AC51" s="268"/>
      <c r="AD51" s="265"/>
      <c r="AE51" s="529"/>
      <c r="AF51" s="529"/>
      <c r="AG51" s="529"/>
      <c r="AH51" s="265">
        <f t="shared" si="9"/>
        <v>5200</v>
      </c>
      <c r="AI51" s="265">
        <f t="shared" si="6"/>
        <v>260</v>
      </c>
      <c r="AJ51" s="27">
        <f t="shared" si="7"/>
        <v>5460</v>
      </c>
      <c r="AK51" s="31">
        <v>1001037136</v>
      </c>
      <c r="AL51" s="56"/>
      <c r="AM51" s="216"/>
    </row>
    <row r="52" spans="1:39">
      <c r="A52" s="26">
        <v>42216</v>
      </c>
      <c r="B52" s="114">
        <v>574865</v>
      </c>
      <c r="C52" s="35"/>
      <c r="D52" s="27">
        <v>2600</v>
      </c>
      <c r="E52" s="31">
        <v>1</v>
      </c>
      <c r="F52" s="27">
        <v>2600</v>
      </c>
      <c r="G52" s="35"/>
      <c r="H52" s="27">
        <v>2600</v>
      </c>
      <c r="I52" s="31"/>
      <c r="J52" s="27">
        <v>130</v>
      </c>
      <c r="K52" s="31"/>
      <c r="L52" s="154">
        <v>2600</v>
      </c>
      <c r="M52" s="31">
        <v>12</v>
      </c>
      <c r="N52" s="27">
        <v>70</v>
      </c>
      <c r="O52" s="31"/>
      <c r="P52" s="154">
        <v>2600</v>
      </c>
      <c r="Q52" s="232"/>
      <c r="R52" s="27">
        <v>91</v>
      </c>
      <c r="S52" s="31"/>
      <c r="T52" s="154">
        <v>2600</v>
      </c>
      <c r="U52" s="31"/>
      <c r="V52" s="154">
        <v>245</v>
      </c>
      <c r="W52" s="31">
        <v>12</v>
      </c>
      <c r="X52" s="27">
        <v>60</v>
      </c>
      <c r="Y52" s="31"/>
      <c r="Z52" s="265">
        <v>46</v>
      </c>
      <c r="AA52" s="265">
        <f>SUM(L52,J52,H52,D52)</f>
        <v>7930</v>
      </c>
      <c r="AB52" s="263" t="e">
        <f>(#REF!+#REF!)*#REF!</f>
        <v>#REF!</v>
      </c>
      <c r="AC52" s="268"/>
      <c r="AD52" s="265"/>
      <c r="AE52" s="529"/>
      <c r="AF52" s="529"/>
      <c r="AG52" s="529"/>
      <c r="AH52" s="265">
        <f t="shared" si="9"/>
        <v>4160</v>
      </c>
      <c r="AI52" s="265">
        <f t="shared" si="6"/>
        <v>208</v>
      </c>
      <c r="AJ52" s="27">
        <f t="shared" si="7"/>
        <v>4368</v>
      </c>
      <c r="AK52" s="31">
        <v>1001037136</v>
      </c>
      <c r="AL52" s="56"/>
      <c r="AM52" s="216"/>
    </row>
    <row r="53" spans="1:39">
      <c r="A53" s="26">
        <v>42216</v>
      </c>
      <c r="B53" s="114">
        <v>574866</v>
      </c>
      <c r="C53" s="35"/>
      <c r="D53" s="27">
        <v>2600</v>
      </c>
      <c r="E53" s="31"/>
      <c r="F53" s="27">
        <v>2600</v>
      </c>
      <c r="G53" s="35"/>
      <c r="H53" s="27">
        <v>2600</v>
      </c>
      <c r="I53" s="31">
        <v>3</v>
      </c>
      <c r="J53" s="27">
        <v>130</v>
      </c>
      <c r="K53" s="31"/>
      <c r="L53" s="154">
        <v>2600</v>
      </c>
      <c r="M53" s="31"/>
      <c r="N53" s="27">
        <v>70</v>
      </c>
      <c r="O53" s="31"/>
      <c r="P53" s="154">
        <v>2600</v>
      </c>
      <c r="Q53" s="232"/>
      <c r="R53" s="27">
        <v>91</v>
      </c>
      <c r="S53" s="31"/>
      <c r="T53" s="154">
        <v>2600</v>
      </c>
      <c r="U53" s="31"/>
      <c r="V53" s="154">
        <v>245</v>
      </c>
      <c r="W53" s="31"/>
      <c r="X53" s="27">
        <v>60</v>
      </c>
      <c r="Y53" s="31"/>
      <c r="Z53" s="265">
        <v>46</v>
      </c>
      <c r="AA53" s="265">
        <f t="shared" si="8"/>
        <v>7930</v>
      </c>
      <c r="AB53" s="263" t="e">
        <f>(#REF!+#REF!)*#REF!</f>
        <v>#REF!</v>
      </c>
      <c r="AC53" s="268"/>
      <c r="AD53" s="265"/>
      <c r="AE53" s="529"/>
      <c r="AF53" s="529"/>
      <c r="AG53" s="529"/>
      <c r="AH53" s="265">
        <f t="shared" si="9"/>
        <v>390</v>
      </c>
      <c r="AI53" s="265">
        <f t="shared" si="6"/>
        <v>19.5</v>
      </c>
      <c r="AJ53" s="27">
        <f t="shared" si="7"/>
        <v>409.5</v>
      </c>
      <c r="AK53" s="31">
        <v>1001037136</v>
      </c>
      <c r="AL53" s="56"/>
      <c r="AM53" s="216"/>
    </row>
    <row r="54" spans="1:39" s="371" customFormat="1">
      <c r="A54" s="405">
        <v>42217</v>
      </c>
      <c r="B54" s="1115">
        <v>574867</v>
      </c>
      <c r="C54" s="122">
        <v>1</v>
      </c>
      <c r="D54" s="123">
        <v>2600</v>
      </c>
      <c r="E54" s="123"/>
      <c r="F54" s="123">
        <v>2600</v>
      </c>
      <c r="G54" s="122"/>
      <c r="H54" s="123">
        <v>2600</v>
      </c>
      <c r="I54" s="124"/>
      <c r="J54" s="123">
        <v>130</v>
      </c>
      <c r="K54" s="124"/>
      <c r="L54" s="1116">
        <v>2600</v>
      </c>
      <c r="M54" s="124"/>
      <c r="N54" s="123">
        <v>70</v>
      </c>
      <c r="O54" s="124"/>
      <c r="P54" s="1116">
        <v>2600</v>
      </c>
      <c r="Q54" s="1117"/>
      <c r="R54" s="123">
        <v>91</v>
      </c>
      <c r="S54" s="124">
        <v>1</v>
      </c>
      <c r="T54" s="1116">
        <v>2600</v>
      </c>
      <c r="U54" s="124"/>
      <c r="V54" s="1116">
        <v>245</v>
      </c>
      <c r="W54" s="124"/>
      <c r="X54" s="123">
        <v>60</v>
      </c>
      <c r="Y54" s="124"/>
      <c r="Z54" s="123">
        <v>46</v>
      </c>
      <c r="AA54" s="123">
        <f t="shared" ref="AA54:AA62" si="10">SUM(L54,J54,H54,D54)</f>
        <v>7930</v>
      </c>
      <c r="AB54" s="124" t="e">
        <f>(#REF!+#REF!)*#REF!</f>
        <v>#REF!</v>
      </c>
      <c r="AC54" s="127"/>
      <c r="AD54" s="123"/>
      <c r="AE54" s="1118"/>
      <c r="AF54" s="1118"/>
      <c r="AG54" s="1118"/>
      <c r="AH54" s="123">
        <f t="shared" ref="AH54:AH63" si="11">SUM(C54*D54)+(G54*H54)+(I54*J54)+(K54*L54)+(M54*N54)+(W54*X54)+(Y54*Z54)+(O54*P54)+(U54*V54)+(S54*T54)+(E54*F54)</f>
        <v>5200</v>
      </c>
      <c r="AI54" s="123">
        <f t="shared" ref="AI54:AI85" si="12">(AH54*5%)</f>
        <v>260</v>
      </c>
      <c r="AJ54" s="123">
        <f t="shared" ref="AJ54:AJ85" si="13">SUM(AH54+AI54)</f>
        <v>5460</v>
      </c>
      <c r="AK54" s="124">
        <v>1001161064</v>
      </c>
      <c r="AL54" s="128"/>
      <c r="AM54" s="370"/>
    </row>
    <row r="55" spans="1:39" s="371" customFormat="1">
      <c r="A55" s="405">
        <v>42217</v>
      </c>
      <c r="B55" s="1115">
        <v>574868</v>
      </c>
      <c r="C55" s="122"/>
      <c r="D55" s="123">
        <v>2600</v>
      </c>
      <c r="E55" s="123"/>
      <c r="F55" s="123">
        <v>2600</v>
      </c>
      <c r="G55" s="122">
        <v>1</v>
      </c>
      <c r="H55" s="123">
        <v>2600</v>
      </c>
      <c r="I55" s="124"/>
      <c r="J55" s="123">
        <v>130</v>
      </c>
      <c r="K55" s="124">
        <v>1</v>
      </c>
      <c r="L55" s="1116">
        <v>2600</v>
      </c>
      <c r="M55" s="124"/>
      <c r="N55" s="123">
        <v>70</v>
      </c>
      <c r="O55" s="124"/>
      <c r="P55" s="1116">
        <v>2600</v>
      </c>
      <c r="Q55" s="1117"/>
      <c r="R55" s="123">
        <v>91</v>
      </c>
      <c r="S55" s="124"/>
      <c r="T55" s="1116">
        <v>2600</v>
      </c>
      <c r="U55" s="124"/>
      <c r="V55" s="1116">
        <v>245</v>
      </c>
      <c r="W55" s="124"/>
      <c r="X55" s="123">
        <v>60</v>
      </c>
      <c r="Y55" s="124"/>
      <c r="Z55" s="123">
        <v>46</v>
      </c>
      <c r="AA55" s="123">
        <f t="shared" si="10"/>
        <v>7930</v>
      </c>
      <c r="AB55" s="124" t="e">
        <f>(#REF!+#REF!)*#REF!</f>
        <v>#REF!</v>
      </c>
      <c r="AC55" s="127"/>
      <c r="AD55" s="123"/>
      <c r="AE55" s="1118"/>
      <c r="AF55" s="1118"/>
      <c r="AG55" s="1118"/>
      <c r="AH55" s="123">
        <f t="shared" si="11"/>
        <v>5200</v>
      </c>
      <c r="AI55" s="123">
        <f t="shared" si="12"/>
        <v>260</v>
      </c>
      <c r="AJ55" s="123">
        <f t="shared" si="13"/>
        <v>5460</v>
      </c>
      <c r="AK55" s="124">
        <v>1001161064</v>
      </c>
      <c r="AL55" s="128"/>
      <c r="AM55" s="370"/>
    </row>
    <row r="56" spans="1:39" s="371" customFormat="1">
      <c r="A56" s="405">
        <v>42217</v>
      </c>
      <c r="B56" s="1115">
        <v>574869</v>
      </c>
      <c r="C56" s="122"/>
      <c r="D56" s="123">
        <v>2600</v>
      </c>
      <c r="E56" s="123"/>
      <c r="F56" s="123">
        <v>2600</v>
      </c>
      <c r="G56" s="122"/>
      <c r="H56" s="123">
        <v>2600</v>
      </c>
      <c r="I56" s="124">
        <v>12</v>
      </c>
      <c r="J56" s="123">
        <v>130</v>
      </c>
      <c r="K56" s="124"/>
      <c r="L56" s="1116">
        <v>2600</v>
      </c>
      <c r="M56" s="124"/>
      <c r="N56" s="123">
        <v>70</v>
      </c>
      <c r="O56" s="124"/>
      <c r="P56" s="1116">
        <v>2600</v>
      </c>
      <c r="Q56" s="1117"/>
      <c r="R56" s="123">
        <v>91</v>
      </c>
      <c r="S56" s="124"/>
      <c r="T56" s="1116">
        <v>2600</v>
      </c>
      <c r="U56" s="124"/>
      <c r="V56" s="1116">
        <v>245</v>
      </c>
      <c r="W56" s="124"/>
      <c r="X56" s="123">
        <v>60</v>
      </c>
      <c r="Y56" s="124"/>
      <c r="Z56" s="123">
        <v>46</v>
      </c>
      <c r="AA56" s="123">
        <f t="shared" si="10"/>
        <v>7930</v>
      </c>
      <c r="AB56" s="124" t="e">
        <f>(#REF!+#REF!)*#REF!</f>
        <v>#REF!</v>
      </c>
      <c r="AC56" s="127"/>
      <c r="AD56" s="123"/>
      <c r="AE56" s="1118"/>
      <c r="AF56" s="1118"/>
      <c r="AG56" s="1118"/>
      <c r="AH56" s="123">
        <f t="shared" si="11"/>
        <v>1560</v>
      </c>
      <c r="AI56" s="123">
        <f t="shared" si="12"/>
        <v>78</v>
      </c>
      <c r="AJ56" s="123">
        <f t="shared" si="13"/>
        <v>1638</v>
      </c>
      <c r="AK56" s="124">
        <v>1001161064</v>
      </c>
      <c r="AL56" s="128"/>
      <c r="AM56" s="370"/>
    </row>
    <row r="57" spans="1:39" s="371" customFormat="1">
      <c r="A57" s="405">
        <v>42219</v>
      </c>
      <c r="B57" s="1115">
        <v>574872</v>
      </c>
      <c r="C57" s="122"/>
      <c r="D57" s="123">
        <v>2600</v>
      </c>
      <c r="E57" s="123"/>
      <c r="F57" s="123">
        <v>2600</v>
      </c>
      <c r="G57" s="122"/>
      <c r="H57" s="123">
        <v>2600</v>
      </c>
      <c r="I57" s="124">
        <v>10</v>
      </c>
      <c r="J57" s="123">
        <v>130</v>
      </c>
      <c r="K57" s="124"/>
      <c r="L57" s="1116">
        <v>2600</v>
      </c>
      <c r="M57" s="124"/>
      <c r="N57" s="123">
        <v>70</v>
      </c>
      <c r="O57" s="124"/>
      <c r="P57" s="1116">
        <v>2600</v>
      </c>
      <c r="Q57" s="1117"/>
      <c r="R57" s="123">
        <v>91</v>
      </c>
      <c r="S57" s="124"/>
      <c r="T57" s="1116">
        <v>2600</v>
      </c>
      <c r="U57" s="124"/>
      <c r="V57" s="1116">
        <v>245</v>
      </c>
      <c r="W57" s="124"/>
      <c r="X57" s="123">
        <v>60</v>
      </c>
      <c r="Y57" s="124"/>
      <c r="Z57" s="123">
        <v>46</v>
      </c>
      <c r="AA57" s="123">
        <f t="shared" si="10"/>
        <v>7930</v>
      </c>
      <c r="AB57" s="124" t="e">
        <f>(#REF!+#REF!)*#REF!</f>
        <v>#REF!</v>
      </c>
      <c r="AC57" s="127"/>
      <c r="AD57" s="123"/>
      <c r="AE57" s="1118"/>
      <c r="AF57" s="1118"/>
      <c r="AG57" s="1118"/>
      <c r="AH57" s="123">
        <f t="shared" si="11"/>
        <v>1300</v>
      </c>
      <c r="AI57" s="123">
        <f t="shared" si="12"/>
        <v>65</v>
      </c>
      <c r="AJ57" s="123">
        <f t="shared" si="13"/>
        <v>1365</v>
      </c>
      <c r="AK57" s="124">
        <v>1001161064</v>
      </c>
      <c r="AL57" s="128"/>
      <c r="AM57" s="370"/>
    </row>
    <row r="58" spans="1:39" s="371" customFormat="1">
      <c r="A58" s="405">
        <v>42219</v>
      </c>
      <c r="B58" s="1115">
        <v>574870</v>
      </c>
      <c r="C58" s="122">
        <v>1</v>
      </c>
      <c r="D58" s="123">
        <v>2600</v>
      </c>
      <c r="E58" s="123"/>
      <c r="F58" s="123">
        <v>2600</v>
      </c>
      <c r="G58" s="122"/>
      <c r="H58" s="123">
        <v>2600</v>
      </c>
      <c r="I58" s="124"/>
      <c r="J58" s="123">
        <v>130</v>
      </c>
      <c r="K58" s="124">
        <v>1</v>
      </c>
      <c r="L58" s="1116">
        <v>2600</v>
      </c>
      <c r="M58" s="124"/>
      <c r="N58" s="123">
        <v>70</v>
      </c>
      <c r="O58" s="124"/>
      <c r="P58" s="1116">
        <v>2600</v>
      </c>
      <c r="Q58" s="1117"/>
      <c r="R58" s="123">
        <v>91</v>
      </c>
      <c r="S58" s="124"/>
      <c r="T58" s="1116">
        <v>2600</v>
      </c>
      <c r="U58" s="124"/>
      <c r="V58" s="1116">
        <v>245</v>
      </c>
      <c r="W58" s="124"/>
      <c r="X58" s="123">
        <v>60</v>
      </c>
      <c r="Y58" s="124"/>
      <c r="Z58" s="123">
        <v>46</v>
      </c>
      <c r="AA58" s="123">
        <f t="shared" si="10"/>
        <v>7930</v>
      </c>
      <c r="AB58" s="124" t="e">
        <f>(#REF!+#REF!)*#REF!</f>
        <v>#REF!</v>
      </c>
      <c r="AC58" s="127"/>
      <c r="AD58" s="123"/>
      <c r="AE58" s="1118"/>
      <c r="AF58" s="1118"/>
      <c r="AG58" s="1118"/>
      <c r="AH58" s="123">
        <f t="shared" si="11"/>
        <v>5200</v>
      </c>
      <c r="AI58" s="123">
        <f t="shared" si="12"/>
        <v>260</v>
      </c>
      <c r="AJ58" s="123">
        <f t="shared" si="13"/>
        <v>5460</v>
      </c>
      <c r="AK58" s="124">
        <v>1001161064</v>
      </c>
      <c r="AL58" s="128"/>
      <c r="AM58" s="370"/>
    </row>
    <row r="59" spans="1:39" s="371" customFormat="1">
      <c r="A59" s="405">
        <v>42219</v>
      </c>
      <c r="B59" s="1115">
        <v>574871</v>
      </c>
      <c r="C59" s="122"/>
      <c r="D59" s="123">
        <v>2600</v>
      </c>
      <c r="E59" s="123"/>
      <c r="F59" s="123">
        <v>2600</v>
      </c>
      <c r="G59" s="122"/>
      <c r="H59" s="123">
        <v>2600</v>
      </c>
      <c r="I59" s="124"/>
      <c r="J59" s="123">
        <v>130</v>
      </c>
      <c r="K59" s="124"/>
      <c r="L59" s="1116">
        <v>2600</v>
      </c>
      <c r="M59" s="124">
        <v>4</v>
      </c>
      <c r="N59" s="123">
        <v>70</v>
      </c>
      <c r="O59" s="124"/>
      <c r="P59" s="1116">
        <v>2600</v>
      </c>
      <c r="Q59" s="1117"/>
      <c r="R59" s="123">
        <v>91</v>
      </c>
      <c r="S59" s="124">
        <v>1</v>
      </c>
      <c r="T59" s="1116">
        <v>2600</v>
      </c>
      <c r="U59" s="124"/>
      <c r="V59" s="1116">
        <v>245</v>
      </c>
      <c r="W59" s="124">
        <v>4</v>
      </c>
      <c r="X59" s="123">
        <v>60</v>
      </c>
      <c r="Y59" s="124"/>
      <c r="Z59" s="123">
        <v>46</v>
      </c>
      <c r="AA59" s="123">
        <f t="shared" si="10"/>
        <v>7930</v>
      </c>
      <c r="AB59" s="124" t="e">
        <f>(#REF!+#REF!)*#REF!</f>
        <v>#REF!</v>
      </c>
      <c r="AC59" s="127"/>
      <c r="AD59" s="123"/>
      <c r="AE59" s="1118"/>
      <c r="AF59" s="1118"/>
      <c r="AG59" s="1118"/>
      <c r="AH59" s="123">
        <f t="shared" si="11"/>
        <v>3120</v>
      </c>
      <c r="AI59" s="123">
        <f t="shared" si="12"/>
        <v>156</v>
      </c>
      <c r="AJ59" s="123">
        <f t="shared" si="13"/>
        <v>3276</v>
      </c>
      <c r="AK59" s="124">
        <v>1001161064</v>
      </c>
      <c r="AL59" s="128"/>
      <c r="AM59" s="370"/>
    </row>
    <row r="60" spans="1:39" s="371" customFormat="1">
      <c r="A60" s="366">
        <v>42221</v>
      </c>
      <c r="B60" s="880">
        <v>574873</v>
      </c>
      <c r="C60" s="387">
        <v>1</v>
      </c>
      <c r="D60" s="123">
        <v>2600</v>
      </c>
      <c r="E60" s="123"/>
      <c r="F60" s="123">
        <v>2600</v>
      </c>
      <c r="G60" s="122"/>
      <c r="H60" s="123">
        <v>2600</v>
      </c>
      <c r="I60" s="125"/>
      <c r="J60" s="123">
        <v>130</v>
      </c>
      <c r="K60" s="124">
        <v>1</v>
      </c>
      <c r="L60" s="1116">
        <v>2600</v>
      </c>
      <c r="M60" s="123"/>
      <c r="N60" s="123">
        <v>70</v>
      </c>
      <c r="O60" s="124"/>
      <c r="P60" s="1116">
        <v>2600</v>
      </c>
      <c r="Q60" s="407"/>
      <c r="R60" s="123">
        <v>91</v>
      </c>
      <c r="S60" s="124"/>
      <c r="T60" s="1116">
        <v>2600</v>
      </c>
      <c r="U60" s="124"/>
      <c r="V60" s="1116">
        <v>245</v>
      </c>
      <c r="W60" s="124"/>
      <c r="X60" s="123">
        <v>60</v>
      </c>
      <c r="Y60" s="123"/>
      <c r="Z60" s="123">
        <v>46</v>
      </c>
      <c r="AA60" s="123">
        <f t="shared" si="10"/>
        <v>7930</v>
      </c>
      <c r="AB60" s="124" t="e">
        <f>(#REF!+#REF!)*#REF!</f>
        <v>#REF!</v>
      </c>
      <c r="AC60" s="372"/>
      <c r="AD60" s="368"/>
      <c r="AE60" s="1119"/>
      <c r="AF60" s="1119"/>
      <c r="AG60" s="1119"/>
      <c r="AH60" s="123">
        <f t="shared" si="11"/>
        <v>5200</v>
      </c>
      <c r="AI60" s="123">
        <f t="shared" si="12"/>
        <v>260</v>
      </c>
      <c r="AJ60" s="123">
        <f t="shared" si="13"/>
        <v>5460</v>
      </c>
      <c r="AK60" s="124">
        <v>1001161064</v>
      </c>
      <c r="AL60" s="128"/>
      <c r="AM60" s="370"/>
    </row>
    <row r="61" spans="1:39" s="371" customFormat="1">
      <c r="A61" s="366">
        <v>42221</v>
      </c>
      <c r="B61" s="880">
        <v>574874</v>
      </c>
      <c r="C61" s="387"/>
      <c r="D61" s="123">
        <v>2600</v>
      </c>
      <c r="E61" s="123"/>
      <c r="F61" s="123">
        <v>2600</v>
      </c>
      <c r="G61" s="122"/>
      <c r="H61" s="123">
        <v>2600</v>
      </c>
      <c r="I61" s="1120">
        <v>12</v>
      </c>
      <c r="J61" s="123">
        <v>130</v>
      </c>
      <c r="K61" s="124"/>
      <c r="L61" s="1116">
        <v>2600</v>
      </c>
      <c r="M61" s="123"/>
      <c r="N61" s="123">
        <v>70</v>
      </c>
      <c r="O61" s="124"/>
      <c r="P61" s="1116">
        <v>2600</v>
      </c>
      <c r="Q61" s="407"/>
      <c r="R61" s="123">
        <v>91</v>
      </c>
      <c r="S61" s="124"/>
      <c r="T61" s="1116">
        <v>2600</v>
      </c>
      <c r="U61" s="124"/>
      <c r="V61" s="1116">
        <v>245</v>
      </c>
      <c r="W61" s="124"/>
      <c r="X61" s="123">
        <v>60</v>
      </c>
      <c r="Y61" s="123"/>
      <c r="Z61" s="123">
        <v>46</v>
      </c>
      <c r="AA61" s="123">
        <f t="shared" si="10"/>
        <v>7930</v>
      </c>
      <c r="AB61" s="124" t="e">
        <f>(#REF!+#REF!)*#REF!</f>
        <v>#REF!</v>
      </c>
      <c r="AC61" s="127"/>
      <c r="AD61" s="368"/>
      <c r="AE61" s="1119"/>
      <c r="AF61" s="1119"/>
      <c r="AG61" s="1119"/>
      <c r="AH61" s="123">
        <f t="shared" si="11"/>
        <v>1560</v>
      </c>
      <c r="AI61" s="123">
        <f t="shared" si="12"/>
        <v>78</v>
      </c>
      <c r="AJ61" s="123">
        <f t="shared" si="13"/>
        <v>1638</v>
      </c>
      <c r="AK61" s="124">
        <v>1001161064</v>
      </c>
      <c r="AL61" s="128"/>
      <c r="AM61" s="370"/>
    </row>
    <row r="62" spans="1:39" s="371" customFormat="1">
      <c r="A62" s="366">
        <v>42221</v>
      </c>
      <c r="B62" s="880">
        <v>574875</v>
      </c>
      <c r="C62" s="387"/>
      <c r="D62" s="123">
        <v>2600</v>
      </c>
      <c r="E62" s="123"/>
      <c r="F62" s="123">
        <v>2600</v>
      </c>
      <c r="G62" s="122"/>
      <c r="H62" s="123">
        <v>2600</v>
      </c>
      <c r="I62" s="1121"/>
      <c r="J62" s="123">
        <v>130</v>
      </c>
      <c r="K62" s="124"/>
      <c r="L62" s="1116">
        <v>2600</v>
      </c>
      <c r="M62" s="124"/>
      <c r="N62" s="123">
        <v>70</v>
      </c>
      <c r="O62" s="124"/>
      <c r="P62" s="1116">
        <v>2600</v>
      </c>
      <c r="Q62" s="407"/>
      <c r="R62" s="123">
        <v>91</v>
      </c>
      <c r="S62" s="124">
        <v>1</v>
      </c>
      <c r="T62" s="1116">
        <v>2600</v>
      </c>
      <c r="U62" s="124"/>
      <c r="V62" s="1116">
        <v>245</v>
      </c>
      <c r="W62" s="124"/>
      <c r="X62" s="123">
        <v>60</v>
      </c>
      <c r="Y62" s="123"/>
      <c r="Z62" s="123">
        <v>46</v>
      </c>
      <c r="AA62" s="123">
        <f t="shared" si="10"/>
        <v>7930</v>
      </c>
      <c r="AB62" s="124" t="e">
        <f>(#REF!+#REF!)*#REF!</f>
        <v>#REF!</v>
      </c>
      <c r="AC62" s="127"/>
      <c r="AD62" s="368"/>
      <c r="AE62" s="1119"/>
      <c r="AF62" s="1119"/>
      <c r="AG62" s="1119"/>
      <c r="AH62" s="123">
        <f t="shared" si="11"/>
        <v>2600</v>
      </c>
      <c r="AI62" s="123">
        <f t="shared" si="12"/>
        <v>130</v>
      </c>
      <c r="AJ62" s="123">
        <f t="shared" si="13"/>
        <v>2730</v>
      </c>
      <c r="AK62" s="124">
        <v>1001161064</v>
      </c>
      <c r="AL62" s="128"/>
      <c r="AM62" s="370"/>
    </row>
    <row r="63" spans="1:39" s="371" customFormat="1">
      <c r="A63" s="366">
        <v>42221</v>
      </c>
      <c r="B63" s="1115">
        <v>574348</v>
      </c>
      <c r="C63" s="368">
        <v>1</v>
      </c>
      <c r="D63" s="123">
        <v>2600</v>
      </c>
      <c r="E63" s="123"/>
      <c r="F63" s="123">
        <v>2600</v>
      </c>
      <c r="G63" s="124"/>
      <c r="H63" s="123">
        <v>2600</v>
      </c>
      <c r="I63" s="1121"/>
      <c r="J63" s="123">
        <v>130</v>
      </c>
      <c r="K63" s="124">
        <v>1</v>
      </c>
      <c r="L63" s="1116">
        <v>2600</v>
      </c>
      <c r="M63" s="124"/>
      <c r="N63" s="123">
        <v>70</v>
      </c>
      <c r="O63" s="124"/>
      <c r="P63" s="1116">
        <v>2600</v>
      </c>
      <c r="Q63" s="407"/>
      <c r="R63" s="123">
        <v>91</v>
      </c>
      <c r="S63" s="124"/>
      <c r="T63" s="1116">
        <v>2600</v>
      </c>
      <c r="U63" s="124"/>
      <c r="V63" s="1116">
        <v>245</v>
      </c>
      <c r="W63" s="124"/>
      <c r="X63" s="123">
        <v>60</v>
      </c>
      <c r="Y63" s="123"/>
      <c r="Z63" s="123">
        <v>46</v>
      </c>
      <c r="AA63" s="123">
        <f>SUM(L63,J63,H63,,N63,X63,Z599)</f>
        <v>5460</v>
      </c>
      <c r="AB63" s="124" t="e">
        <f>(#REF!+#REF!)*#REF!</f>
        <v>#REF!</v>
      </c>
      <c r="AC63" s="372"/>
      <c r="AD63" s="368"/>
      <c r="AE63" s="1119"/>
      <c r="AF63" s="1119"/>
      <c r="AG63" s="1119"/>
      <c r="AH63" s="123">
        <f t="shared" si="11"/>
        <v>5200</v>
      </c>
      <c r="AI63" s="123">
        <f t="shared" si="12"/>
        <v>260</v>
      </c>
      <c r="AJ63" s="123">
        <f t="shared" si="13"/>
        <v>5460</v>
      </c>
      <c r="AK63" s="124">
        <v>1001161064</v>
      </c>
      <c r="AL63" s="128"/>
      <c r="AM63" s="370"/>
    </row>
    <row r="64" spans="1:39" s="371" customFormat="1">
      <c r="A64" s="366">
        <v>42221</v>
      </c>
      <c r="B64" s="1115">
        <v>574349</v>
      </c>
      <c r="C64" s="387"/>
      <c r="D64" s="123">
        <v>2600</v>
      </c>
      <c r="E64" s="123"/>
      <c r="F64" s="123">
        <v>2600</v>
      </c>
      <c r="G64" s="122"/>
      <c r="H64" s="123">
        <v>2600</v>
      </c>
      <c r="I64" s="1121">
        <v>14</v>
      </c>
      <c r="J64" s="123">
        <v>130</v>
      </c>
      <c r="K64" s="124"/>
      <c r="L64" s="1116">
        <v>2600</v>
      </c>
      <c r="M64" s="1117"/>
      <c r="N64" s="123">
        <v>70</v>
      </c>
      <c r="O64" s="124"/>
      <c r="P64" s="1116">
        <v>2600</v>
      </c>
      <c r="Q64" s="1117"/>
      <c r="R64" s="123">
        <v>91</v>
      </c>
      <c r="S64" s="124"/>
      <c r="T64" s="1116">
        <v>2600</v>
      </c>
      <c r="U64" s="124"/>
      <c r="V64" s="1116">
        <v>245</v>
      </c>
      <c r="W64" s="124"/>
      <c r="X64" s="123">
        <v>60</v>
      </c>
      <c r="Y64" s="123"/>
      <c r="Z64" s="123">
        <v>46</v>
      </c>
      <c r="AA64" s="123">
        <f t="shared" ref="AA64:AA95" si="14">SUM(L64,J64,H64,D64)</f>
        <v>7930</v>
      </c>
      <c r="AB64" s="124" t="e">
        <f>(#REF!+#REF!)*#REF!</f>
        <v>#REF!</v>
      </c>
      <c r="AC64" s="372"/>
      <c r="AD64" s="368"/>
      <c r="AE64" s="1119"/>
      <c r="AF64" s="1119"/>
      <c r="AG64" s="1119"/>
      <c r="AH64" s="123">
        <f t="shared" ref="AH64:AH95" si="15">SUM(C64*D64)+(G64*H64)+(I64*J64)+(Q64*R64)+(K64*L64)+(M64*N64)+(W64*X64)+(Y64*Z64)+(O64*P64)+(U64*V64)+(S64*T64)+(E64*F64)</f>
        <v>1820</v>
      </c>
      <c r="AI64" s="123">
        <f t="shared" si="12"/>
        <v>91</v>
      </c>
      <c r="AJ64" s="123">
        <f t="shared" si="13"/>
        <v>1911</v>
      </c>
      <c r="AK64" s="124">
        <v>1001161064</v>
      </c>
      <c r="AL64" s="128"/>
      <c r="AM64" s="370"/>
    </row>
    <row r="65" spans="1:38" s="371" customFormat="1">
      <c r="A65" s="366">
        <v>42221</v>
      </c>
      <c r="B65" s="1115">
        <v>574350</v>
      </c>
      <c r="C65" s="387"/>
      <c r="D65" s="123">
        <v>2600</v>
      </c>
      <c r="E65" s="123"/>
      <c r="F65" s="123">
        <v>2600</v>
      </c>
      <c r="G65" s="122"/>
      <c r="H65" s="123">
        <v>2600</v>
      </c>
      <c r="I65" s="1121">
        <v>12</v>
      </c>
      <c r="J65" s="123">
        <v>130</v>
      </c>
      <c r="K65" s="124"/>
      <c r="L65" s="1116">
        <v>2600</v>
      </c>
      <c r="M65" s="124"/>
      <c r="N65" s="123">
        <v>70</v>
      </c>
      <c r="O65" s="124"/>
      <c r="P65" s="1116">
        <v>2600</v>
      </c>
      <c r="Q65" s="407"/>
      <c r="R65" s="123">
        <v>91</v>
      </c>
      <c r="S65" s="124">
        <v>1</v>
      </c>
      <c r="T65" s="1116">
        <v>2600</v>
      </c>
      <c r="U65" s="124"/>
      <c r="V65" s="1116">
        <v>245</v>
      </c>
      <c r="W65" s="124"/>
      <c r="X65" s="123">
        <v>60</v>
      </c>
      <c r="Y65" s="123"/>
      <c r="Z65" s="123">
        <v>46</v>
      </c>
      <c r="AA65" s="123">
        <f t="shared" si="14"/>
        <v>7930</v>
      </c>
      <c r="AB65" s="124" t="e">
        <f>(#REF!+#REF!)*#REF!</f>
        <v>#REF!</v>
      </c>
      <c r="AC65" s="372"/>
      <c r="AD65" s="368"/>
      <c r="AE65" s="1119"/>
      <c r="AF65" s="1119"/>
      <c r="AG65" s="1119"/>
      <c r="AH65" s="123">
        <f t="shared" si="15"/>
        <v>4160</v>
      </c>
      <c r="AI65" s="123">
        <f t="shared" si="12"/>
        <v>208</v>
      </c>
      <c r="AJ65" s="123">
        <f t="shared" si="13"/>
        <v>4368</v>
      </c>
      <c r="AK65" s="124">
        <v>1001161064</v>
      </c>
      <c r="AL65" s="128"/>
    </row>
    <row r="66" spans="1:38" s="371" customFormat="1">
      <c r="A66" s="366">
        <v>42222</v>
      </c>
      <c r="B66" s="1115">
        <v>615454</v>
      </c>
      <c r="C66" s="368">
        <v>1</v>
      </c>
      <c r="D66" s="123">
        <v>2600</v>
      </c>
      <c r="E66" s="123"/>
      <c r="F66" s="123">
        <v>2600</v>
      </c>
      <c r="G66" s="122"/>
      <c r="H66" s="123">
        <v>2600</v>
      </c>
      <c r="I66" s="1121"/>
      <c r="J66" s="123">
        <v>130</v>
      </c>
      <c r="K66" s="124">
        <v>1</v>
      </c>
      <c r="L66" s="1116">
        <v>2600</v>
      </c>
      <c r="M66" s="124"/>
      <c r="N66" s="123">
        <v>70</v>
      </c>
      <c r="O66" s="124"/>
      <c r="P66" s="1116">
        <v>2600</v>
      </c>
      <c r="Q66" s="407"/>
      <c r="R66" s="123">
        <v>91</v>
      </c>
      <c r="S66" s="124"/>
      <c r="T66" s="1116">
        <v>2600</v>
      </c>
      <c r="U66" s="124"/>
      <c r="V66" s="1116">
        <v>245</v>
      </c>
      <c r="W66" s="124"/>
      <c r="X66" s="123">
        <v>60</v>
      </c>
      <c r="Y66" s="123"/>
      <c r="Z66" s="123">
        <v>46</v>
      </c>
      <c r="AA66" s="123">
        <f t="shared" si="14"/>
        <v>7930</v>
      </c>
      <c r="AB66" s="124" t="e">
        <f>(#REF!+#REF!)*#REF!</f>
        <v>#REF!</v>
      </c>
      <c r="AC66" s="372"/>
      <c r="AD66" s="368"/>
      <c r="AE66" s="1119"/>
      <c r="AF66" s="1119"/>
      <c r="AG66" s="1119"/>
      <c r="AH66" s="123">
        <f t="shared" si="15"/>
        <v>5200</v>
      </c>
      <c r="AI66" s="123">
        <f t="shared" si="12"/>
        <v>260</v>
      </c>
      <c r="AJ66" s="123">
        <f t="shared" si="13"/>
        <v>5460</v>
      </c>
      <c r="AK66" s="124">
        <v>1001161064</v>
      </c>
      <c r="AL66" s="128"/>
    </row>
    <row r="67" spans="1:38" s="371" customFormat="1">
      <c r="A67" s="366">
        <v>42222</v>
      </c>
      <c r="B67" s="1115">
        <v>615455</v>
      </c>
      <c r="C67" s="387"/>
      <c r="D67" s="123">
        <v>2600</v>
      </c>
      <c r="E67" s="123"/>
      <c r="F67" s="123">
        <v>2600</v>
      </c>
      <c r="G67" s="122"/>
      <c r="H67" s="123">
        <v>2600</v>
      </c>
      <c r="I67" s="1121">
        <v>12</v>
      </c>
      <c r="J67" s="123">
        <v>130</v>
      </c>
      <c r="K67" s="124"/>
      <c r="L67" s="1116">
        <v>2600</v>
      </c>
      <c r="M67" s="124"/>
      <c r="N67" s="123">
        <v>70</v>
      </c>
      <c r="O67" s="124"/>
      <c r="P67" s="1116">
        <v>2600</v>
      </c>
      <c r="Q67" s="407"/>
      <c r="R67" s="123">
        <v>91</v>
      </c>
      <c r="S67" s="124"/>
      <c r="T67" s="1116">
        <v>2600</v>
      </c>
      <c r="U67" s="124"/>
      <c r="V67" s="1116">
        <v>245</v>
      </c>
      <c r="W67" s="124"/>
      <c r="X67" s="123">
        <v>60</v>
      </c>
      <c r="Y67" s="123"/>
      <c r="Z67" s="123">
        <v>46</v>
      </c>
      <c r="AA67" s="123">
        <f t="shared" si="14"/>
        <v>7930</v>
      </c>
      <c r="AB67" s="124" t="e">
        <f>(#REF!+#REF!)*#REF!</f>
        <v>#REF!</v>
      </c>
      <c r="AC67" s="127"/>
      <c r="AD67" s="368"/>
      <c r="AE67" s="1119"/>
      <c r="AF67" s="1119"/>
      <c r="AG67" s="1119"/>
      <c r="AH67" s="123">
        <f t="shared" si="15"/>
        <v>1560</v>
      </c>
      <c r="AI67" s="123">
        <f t="shared" si="12"/>
        <v>78</v>
      </c>
      <c r="AJ67" s="123">
        <f t="shared" si="13"/>
        <v>1638</v>
      </c>
      <c r="AK67" s="124">
        <v>1001161064</v>
      </c>
      <c r="AL67" s="128"/>
    </row>
    <row r="68" spans="1:38" s="371" customFormat="1">
      <c r="A68" s="366">
        <v>42222</v>
      </c>
      <c r="B68" s="1115">
        <v>615456</v>
      </c>
      <c r="C68" s="387"/>
      <c r="D68" s="123">
        <v>2600</v>
      </c>
      <c r="E68" s="123"/>
      <c r="F68" s="123">
        <v>2600</v>
      </c>
      <c r="G68" s="122"/>
      <c r="H68" s="123">
        <v>2600</v>
      </c>
      <c r="I68" s="1121"/>
      <c r="J68" s="123">
        <v>130</v>
      </c>
      <c r="K68" s="124"/>
      <c r="L68" s="1116">
        <v>2600</v>
      </c>
      <c r="M68" s="124"/>
      <c r="N68" s="123">
        <v>70</v>
      </c>
      <c r="O68" s="124"/>
      <c r="P68" s="1116">
        <v>2600</v>
      </c>
      <c r="Q68" s="407"/>
      <c r="R68" s="123">
        <v>91</v>
      </c>
      <c r="S68" s="124">
        <v>1</v>
      </c>
      <c r="T68" s="1116">
        <v>2600</v>
      </c>
      <c r="U68" s="124"/>
      <c r="V68" s="1116">
        <v>245</v>
      </c>
      <c r="W68" s="124"/>
      <c r="X68" s="123">
        <v>60</v>
      </c>
      <c r="Y68" s="123"/>
      <c r="Z68" s="123">
        <v>46</v>
      </c>
      <c r="AA68" s="123">
        <f t="shared" si="14"/>
        <v>7930</v>
      </c>
      <c r="AB68" s="124" t="e">
        <f>(#REF!+#REF!)*#REF!</f>
        <v>#REF!</v>
      </c>
      <c r="AC68" s="127"/>
      <c r="AD68" s="368"/>
      <c r="AE68" s="1119"/>
      <c r="AF68" s="1119"/>
      <c r="AG68" s="1119"/>
      <c r="AH68" s="123">
        <f t="shared" si="15"/>
        <v>2600</v>
      </c>
      <c r="AI68" s="123">
        <f t="shared" si="12"/>
        <v>130</v>
      </c>
      <c r="AJ68" s="123">
        <f t="shared" si="13"/>
        <v>2730</v>
      </c>
      <c r="AK68" s="124">
        <v>1001161064</v>
      </c>
      <c r="AL68" s="128"/>
    </row>
    <row r="69" spans="1:38" s="371" customFormat="1">
      <c r="A69" s="366">
        <v>42223</v>
      </c>
      <c r="B69" s="1115">
        <v>615457</v>
      </c>
      <c r="C69" s="124">
        <v>1</v>
      </c>
      <c r="D69" s="123">
        <v>2600</v>
      </c>
      <c r="E69" s="123"/>
      <c r="F69" s="123">
        <v>2600</v>
      </c>
      <c r="G69" s="124"/>
      <c r="H69" s="123">
        <v>2600</v>
      </c>
      <c r="I69" s="1121"/>
      <c r="J69" s="123">
        <v>130</v>
      </c>
      <c r="K69" s="124">
        <v>1</v>
      </c>
      <c r="L69" s="1116">
        <v>2600</v>
      </c>
      <c r="M69" s="124"/>
      <c r="N69" s="123">
        <v>70</v>
      </c>
      <c r="O69" s="124"/>
      <c r="P69" s="1116">
        <v>2600</v>
      </c>
      <c r="Q69" s="407"/>
      <c r="R69" s="123">
        <v>91</v>
      </c>
      <c r="S69" s="124"/>
      <c r="T69" s="1116">
        <v>2600</v>
      </c>
      <c r="U69" s="124"/>
      <c r="V69" s="1116">
        <v>245</v>
      </c>
      <c r="W69" s="124"/>
      <c r="X69" s="123">
        <v>60</v>
      </c>
      <c r="Y69" s="123"/>
      <c r="Z69" s="123">
        <v>46</v>
      </c>
      <c r="AA69" s="123">
        <f t="shared" si="14"/>
        <v>7930</v>
      </c>
      <c r="AB69" s="124" t="e">
        <f>(#REF!+#REF!)*#REF!</f>
        <v>#REF!</v>
      </c>
      <c r="AC69" s="372"/>
      <c r="AD69" s="368"/>
      <c r="AE69" s="1119"/>
      <c r="AF69" s="1119"/>
      <c r="AG69" s="1119"/>
      <c r="AH69" s="123">
        <f t="shared" si="15"/>
        <v>5200</v>
      </c>
      <c r="AI69" s="123">
        <f t="shared" si="12"/>
        <v>260</v>
      </c>
      <c r="AJ69" s="123">
        <f t="shared" si="13"/>
        <v>5460</v>
      </c>
      <c r="AK69" s="124">
        <v>1001161064</v>
      </c>
      <c r="AL69" s="128"/>
    </row>
    <row r="70" spans="1:38" s="371" customFormat="1">
      <c r="A70" s="366">
        <v>42223</v>
      </c>
      <c r="B70" s="1115">
        <v>615458</v>
      </c>
      <c r="C70" s="387"/>
      <c r="D70" s="123">
        <v>2600</v>
      </c>
      <c r="E70" s="123"/>
      <c r="F70" s="123">
        <v>2600</v>
      </c>
      <c r="G70" s="122"/>
      <c r="H70" s="123">
        <v>2600</v>
      </c>
      <c r="I70" s="1121">
        <v>12</v>
      </c>
      <c r="J70" s="123">
        <v>130</v>
      </c>
      <c r="K70" s="124"/>
      <c r="L70" s="1116">
        <v>2600</v>
      </c>
      <c r="M70" s="124"/>
      <c r="N70" s="123">
        <v>70</v>
      </c>
      <c r="O70" s="124"/>
      <c r="P70" s="1116">
        <v>2600</v>
      </c>
      <c r="Q70" s="407"/>
      <c r="R70" s="123">
        <v>91</v>
      </c>
      <c r="S70" s="124"/>
      <c r="T70" s="1116">
        <v>2600</v>
      </c>
      <c r="U70" s="124"/>
      <c r="V70" s="1116">
        <v>245</v>
      </c>
      <c r="W70" s="124"/>
      <c r="X70" s="123">
        <v>60</v>
      </c>
      <c r="Y70" s="123"/>
      <c r="Z70" s="123">
        <v>46</v>
      </c>
      <c r="AA70" s="123">
        <f t="shared" si="14"/>
        <v>7930</v>
      </c>
      <c r="AB70" s="124" t="e">
        <f>(#REF!+#REF!)*#REF!</f>
        <v>#REF!</v>
      </c>
      <c r="AC70" s="372"/>
      <c r="AD70" s="368"/>
      <c r="AE70" s="1119"/>
      <c r="AF70" s="1119"/>
      <c r="AG70" s="1119"/>
      <c r="AH70" s="123">
        <f t="shared" si="15"/>
        <v>1560</v>
      </c>
      <c r="AI70" s="123">
        <f t="shared" si="12"/>
        <v>78</v>
      </c>
      <c r="AJ70" s="123">
        <f t="shared" si="13"/>
        <v>1638</v>
      </c>
      <c r="AK70" s="124">
        <v>1001161064</v>
      </c>
      <c r="AL70" s="128"/>
    </row>
    <row r="71" spans="1:38" s="371" customFormat="1">
      <c r="A71" s="366">
        <v>42223</v>
      </c>
      <c r="B71" s="1115">
        <v>615459</v>
      </c>
      <c r="C71" s="387"/>
      <c r="D71" s="123">
        <v>2600</v>
      </c>
      <c r="E71" s="123"/>
      <c r="F71" s="123">
        <v>2600</v>
      </c>
      <c r="G71" s="122">
        <v>1</v>
      </c>
      <c r="H71" s="123">
        <v>2600</v>
      </c>
      <c r="I71" s="1121"/>
      <c r="J71" s="123">
        <v>130</v>
      </c>
      <c r="K71" s="124"/>
      <c r="L71" s="1116">
        <v>2600</v>
      </c>
      <c r="M71" s="124"/>
      <c r="N71" s="123">
        <v>70</v>
      </c>
      <c r="O71" s="124"/>
      <c r="P71" s="1116">
        <v>2600</v>
      </c>
      <c r="Q71" s="407"/>
      <c r="R71" s="123">
        <v>91</v>
      </c>
      <c r="S71" s="124"/>
      <c r="T71" s="1116">
        <v>2600</v>
      </c>
      <c r="U71" s="124"/>
      <c r="V71" s="1116">
        <v>245</v>
      </c>
      <c r="W71" s="124"/>
      <c r="X71" s="123">
        <v>60</v>
      </c>
      <c r="Y71" s="123"/>
      <c r="Z71" s="123">
        <v>46</v>
      </c>
      <c r="AA71" s="123">
        <f t="shared" si="14"/>
        <v>7930</v>
      </c>
      <c r="AB71" s="124" t="e">
        <f>(#REF!+#REF!)*#REF!</f>
        <v>#REF!</v>
      </c>
      <c r="AC71" s="127"/>
      <c r="AD71" s="368"/>
      <c r="AE71" s="1119"/>
      <c r="AF71" s="1119"/>
      <c r="AG71" s="1119"/>
      <c r="AH71" s="123">
        <f t="shared" si="15"/>
        <v>2600</v>
      </c>
      <c r="AI71" s="123">
        <f t="shared" si="12"/>
        <v>130</v>
      </c>
      <c r="AJ71" s="123">
        <f t="shared" si="13"/>
        <v>2730</v>
      </c>
      <c r="AK71" s="124">
        <v>1001161064</v>
      </c>
      <c r="AL71" s="128"/>
    </row>
    <row r="72" spans="1:38" s="371" customFormat="1">
      <c r="A72" s="366">
        <v>42224</v>
      </c>
      <c r="B72" s="1115">
        <v>615460</v>
      </c>
      <c r="C72" s="124">
        <v>1</v>
      </c>
      <c r="D72" s="123">
        <v>2600</v>
      </c>
      <c r="E72" s="123"/>
      <c r="F72" s="123">
        <v>2600</v>
      </c>
      <c r="G72" s="124"/>
      <c r="H72" s="123">
        <v>2600</v>
      </c>
      <c r="I72" s="1121"/>
      <c r="J72" s="123">
        <v>130</v>
      </c>
      <c r="K72" s="124">
        <v>1</v>
      </c>
      <c r="L72" s="1116">
        <v>2600</v>
      </c>
      <c r="M72" s="124"/>
      <c r="N72" s="123">
        <v>70</v>
      </c>
      <c r="O72" s="124"/>
      <c r="P72" s="1116">
        <v>2600</v>
      </c>
      <c r="Q72" s="407"/>
      <c r="R72" s="123">
        <v>91</v>
      </c>
      <c r="S72" s="124"/>
      <c r="T72" s="1116">
        <v>2600</v>
      </c>
      <c r="U72" s="124"/>
      <c r="V72" s="1116">
        <v>245</v>
      </c>
      <c r="W72" s="124"/>
      <c r="X72" s="123">
        <v>60</v>
      </c>
      <c r="Y72" s="123"/>
      <c r="Z72" s="123">
        <v>46</v>
      </c>
      <c r="AA72" s="123">
        <f t="shared" si="14"/>
        <v>7930</v>
      </c>
      <c r="AB72" s="124" t="e">
        <f>(#REF!+#REF!)*#REF!</f>
        <v>#REF!</v>
      </c>
      <c r="AC72" s="372"/>
      <c r="AD72" s="368"/>
      <c r="AE72" s="1119"/>
      <c r="AF72" s="1119"/>
      <c r="AG72" s="1119"/>
      <c r="AH72" s="123">
        <f t="shared" si="15"/>
        <v>5200</v>
      </c>
      <c r="AI72" s="123">
        <f t="shared" si="12"/>
        <v>260</v>
      </c>
      <c r="AJ72" s="123">
        <f t="shared" si="13"/>
        <v>5460</v>
      </c>
      <c r="AK72" s="124">
        <v>1001161064</v>
      </c>
      <c r="AL72" s="128"/>
    </row>
    <row r="73" spans="1:38" s="371" customFormat="1">
      <c r="A73" s="366">
        <v>42224</v>
      </c>
      <c r="B73" s="1115">
        <v>615461</v>
      </c>
      <c r="C73" s="387"/>
      <c r="D73" s="123">
        <v>2600</v>
      </c>
      <c r="E73" s="123"/>
      <c r="F73" s="123">
        <v>2600</v>
      </c>
      <c r="G73" s="122"/>
      <c r="H73" s="123">
        <v>2600</v>
      </c>
      <c r="I73" s="1121"/>
      <c r="J73" s="123">
        <v>130</v>
      </c>
      <c r="K73" s="124"/>
      <c r="L73" s="1116">
        <v>2600</v>
      </c>
      <c r="M73" s="124"/>
      <c r="N73" s="123">
        <v>70</v>
      </c>
      <c r="O73" s="124">
        <v>1</v>
      </c>
      <c r="P73" s="1116">
        <v>2600</v>
      </c>
      <c r="Q73" s="407"/>
      <c r="R73" s="123">
        <v>91</v>
      </c>
      <c r="S73" s="124"/>
      <c r="T73" s="1116">
        <v>2600</v>
      </c>
      <c r="U73" s="124"/>
      <c r="V73" s="1116">
        <v>245</v>
      </c>
      <c r="W73" s="124"/>
      <c r="X73" s="123">
        <v>60</v>
      </c>
      <c r="Y73" s="123"/>
      <c r="Z73" s="123">
        <v>46</v>
      </c>
      <c r="AA73" s="123">
        <f t="shared" si="14"/>
        <v>7930</v>
      </c>
      <c r="AB73" s="124" t="e">
        <f>(#REF!+#REF!)*#REF!</f>
        <v>#REF!</v>
      </c>
      <c r="AC73" s="372"/>
      <c r="AD73" s="368"/>
      <c r="AE73" s="1119"/>
      <c r="AF73" s="1119"/>
      <c r="AG73" s="1119"/>
      <c r="AH73" s="123">
        <f t="shared" si="15"/>
        <v>2600</v>
      </c>
      <c r="AI73" s="123">
        <f t="shared" si="12"/>
        <v>130</v>
      </c>
      <c r="AJ73" s="123">
        <f t="shared" si="13"/>
        <v>2730</v>
      </c>
      <c r="AK73" s="124">
        <v>1001161064</v>
      </c>
      <c r="AL73" s="128"/>
    </row>
    <row r="74" spans="1:38" s="371" customFormat="1">
      <c r="A74" s="366">
        <v>42224</v>
      </c>
      <c r="B74" s="880">
        <v>615463</v>
      </c>
      <c r="C74" s="387"/>
      <c r="D74" s="123">
        <v>2600</v>
      </c>
      <c r="E74" s="123"/>
      <c r="F74" s="123">
        <v>2600</v>
      </c>
      <c r="G74" s="122"/>
      <c r="H74" s="123">
        <v>2600</v>
      </c>
      <c r="I74" s="1121">
        <v>4</v>
      </c>
      <c r="J74" s="123">
        <v>130</v>
      </c>
      <c r="K74" s="124"/>
      <c r="L74" s="1116">
        <v>2600</v>
      </c>
      <c r="M74" s="124">
        <v>8</v>
      </c>
      <c r="N74" s="123">
        <v>70</v>
      </c>
      <c r="O74" s="124"/>
      <c r="P74" s="1116">
        <v>2600</v>
      </c>
      <c r="Q74" s="407"/>
      <c r="R74" s="123">
        <v>91</v>
      </c>
      <c r="S74" s="124"/>
      <c r="T74" s="1116">
        <v>2600</v>
      </c>
      <c r="U74" s="124"/>
      <c r="V74" s="1116">
        <v>245</v>
      </c>
      <c r="W74" s="122">
        <v>8</v>
      </c>
      <c r="X74" s="123">
        <v>60</v>
      </c>
      <c r="Y74" s="123"/>
      <c r="Z74" s="123">
        <v>46</v>
      </c>
      <c r="AA74" s="123">
        <f t="shared" si="14"/>
        <v>7930</v>
      </c>
      <c r="AB74" s="124" t="e">
        <f>(#REF!+#REF!)*#REF!</f>
        <v>#REF!</v>
      </c>
      <c r="AC74" s="127"/>
      <c r="AD74" s="368"/>
      <c r="AE74" s="1119"/>
      <c r="AF74" s="1119"/>
      <c r="AG74" s="1119"/>
      <c r="AH74" s="123">
        <f t="shared" si="15"/>
        <v>1560</v>
      </c>
      <c r="AI74" s="123">
        <f t="shared" si="12"/>
        <v>78</v>
      </c>
      <c r="AJ74" s="123">
        <f t="shared" si="13"/>
        <v>1638</v>
      </c>
      <c r="AK74" s="124">
        <v>1001161064</v>
      </c>
      <c r="AL74" s="128"/>
    </row>
    <row r="75" spans="1:38" s="371" customFormat="1">
      <c r="A75" s="366">
        <v>42226</v>
      </c>
      <c r="B75" s="880">
        <v>615464</v>
      </c>
      <c r="C75" s="387">
        <v>1</v>
      </c>
      <c r="D75" s="123">
        <v>2600</v>
      </c>
      <c r="E75" s="123"/>
      <c r="F75" s="123">
        <v>2600</v>
      </c>
      <c r="G75" s="122"/>
      <c r="H75" s="123">
        <v>2600</v>
      </c>
      <c r="I75" s="1121"/>
      <c r="J75" s="123">
        <v>130</v>
      </c>
      <c r="K75" s="124">
        <v>1</v>
      </c>
      <c r="L75" s="1116">
        <v>2600</v>
      </c>
      <c r="M75" s="124"/>
      <c r="N75" s="123">
        <v>70</v>
      </c>
      <c r="O75" s="124"/>
      <c r="P75" s="1116">
        <v>2600</v>
      </c>
      <c r="Q75" s="407"/>
      <c r="R75" s="123">
        <v>91</v>
      </c>
      <c r="S75" s="124"/>
      <c r="T75" s="1116">
        <v>2600</v>
      </c>
      <c r="U75" s="124"/>
      <c r="V75" s="1116">
        <v>245</v>
      </c>
      <c r="W75" s="124"/>
      <c r="X75" s="123">
        <v>60</v>
      </c>
      <c r="Y75" s="123"/>
      <c r="Z75" s="123">
        <v>46</v>
      </c>
      <c r="AA75" s="123">
        <f t="shared" si="14"/>
        <v>7930</v>
      </c>
      <c r="AB75" s="124" t="e">
        <f>(#REF!+#REF!)*#REF!</f>
        <v>#REF!</v>
      </c>
      <c r="AC75" s="372"/>
      <c r="AD75" s="368"/>
      <c r="AE75" s="1119"/>
      <c r="AF75" s="1119"/>
      <c r="AG75" s="1119"/>
      <c r="AH75" s="123">
        <f t="shared" si="15"/>
        <v>5200</v>
      </c>
      <c r="AI75" s="123">
        <f t="shared" si="12"/>
        <v>260</v>
      </c>
      <c r="AJ75" s="123">
        <f t="shared" si="13"/>
        <v>5460</v>
      </c>
      <c r="AK75" s="124">
        <v>1001161064</v>
      </c>
      <c r="AL75" s="128"/>
    </row>
    <row r="76" spans="1:38" s="371" customFormat="1">
      <c r="A76" s="366">
        <v>42226</v>
      </c>
      <c r="B76" s="880">
        <v>615465</v>
      </c>
      <c r="C76" s="368"/>
      <c r="D76" s="123">
        <v>2600</v>
      </c>
      <c r="E76" s="123"/>
      <c r="F76" s="123">
        <v>2600</v>
      </c>
      <c r="G76" s="124"/>
      <c r="H76" s="123">
        <v>2600</v>
      </c>
      <c r="I76" s="1121">
        <v>12</v>
      </c>
      <c r="J76" s="123">
        <v>130</v>
      </c>
      <c r="K76" s="124"/>
      <c r="L76" s="1116">
        <v>2600</v>
      </c>
      <c r="M76" s="123"/>
      <c r="N76" s="123">
        <v>70</v>
      </c>
      <c r="O76" s="124"/>
      <c r="P76" s="1116">
        <v>2600</v>
      </c>
      <c r="Q76" s="407"/>
      <c r="R76" s="123">
        <v>91</v>
      </c>
      <c r="S76" s="124"/>
      <c r="T76" s="1116">
        <v>2600</v>
      </c>
      <c r="U76" s="124"/>
      <c r="V76" s="1116">
        <v>245</v>
      </c>
      <c r="W76" s="124"/>
      <c r="X76" s="123">
        <v>60</v>
      </c>
      <c r="Y76" s="123"/>
      <c r="Z76" s="123">
        <v>46</v>
      </c>
      <c r="AA76" s="123">
        <f t="shared" si="14"/>
        <v>7930</v>
      </c>
      <c r="AB76" s="124" t="e">
        <f>(#REF!+#REF!)*#REF!</f>
        <v>#REF!</v>
      </c>
      <c r="AC76" s="372"/>
      <c r="AD76" s="368"/>
      <c r="AE76" s="1119"/>
      <c r="AF76" s="1119"/>
      <c r="AG76" s="1119"/>
      <c r="AH76" s="123">
        <f t="shared" si="15"/>
        <v>1560</v>
      </c>
      <c r="AI76" s="123">
        <f t="shared" si="12"/>
        <v>78</v>
      </c>
      <c r="AJ76" s="123">
        <f t="shared" si="13"/>
        <v>1638</v>
      </c>
      <c r="AK76" s="124">
        <v>1001161064</v>
      </c>
      <c r="AL76" s="128"/>
    </row>
    <row r="77" spans="1:38" s="371" customFormat="1">
      <c r="A77" s="366">
        <v>42226</v>
      </c>
      <c r="B77" s="1122">
        <v>615466</v>
      </c>
      <c r="C77" s="1123">
        <v>1</v>
      </c>
      <c r="D77" s="123">
        <v>2600</v>
      </c>
      <c r="E77" s="407"/>
      <c r="F77" s="123">
        <v>2600</v>
      </c>
      <c r="G77" s="1117"/>
      <c r="H77" s="123">
        <v>2600</v>
      </c>
      <c r="I77" s="1124"/>
      <c r="J77" s="123">
        <v>130</v>
      </c>
      <c r="K77" s="1117"/>
      <c r="L77" s="1116">
        <v>2600</v>
      </c>
      <c r="M77" s="124">
        <v>12</v>
      </c>
      <c r="N77" s="123">
        <v>70</v>
      </c>
      <c r="O77" s="124"/>
      <c r="P77" s="1116">
        <v>2600</v>
      </c>
      <c r="Q77" s="407"/>
      <c r="R77" s="123">
        <v>91</v>
      </c>
      <c r="S77" s="124"/>
      <c r="T77" s="1116">
        <v>2600</v>
      </c>
      <c r="U77" s="124"/>
      <c r="V77" s="1116">
        <v>245</v>
      </c>
      <c r="W77" s="124">
        <v>12</v>
      </c>
      <c r="X77" s="123">
        <v>60</v>
      </c>
      <c r="Y77" s="407"/>
      <c r="Z77" s="123">
        <v>47</v>
      </c>
      <c r="AA77" s="123">
        <f t="shared" si="14"/>
        <v>7930</v>
      </c>
      <c r="AB77" s="124" t="e">
        <f>(#REF!+#REF!)*#REF!</f>
        <v>#REF!</v>
      </c>
      <c r="AC77" s="372"/>
      <c r="AD77" s="368"/>
      <c r="AE77" s="1119"/>
      <c r="AF77" s="1119"/>
      <c r="AG77" s="1119"/>
      <c r="AH77" s="123">
        <f t="shared" si="15"/>
        <v>4160</v>
      </c>
      <c r="AI77" s="123">
        <f t="shared" si="12"/>
        <v>208</v>
      </c>
      <c r="AJ77" s="123">
        <f t="shared" si="13"/>
        <v>4368</v>
      </c>
      <c r="AK77" s="124">
        <v>1001161064</v>
      </c>
      <c r="AL77" s="1125"/>
    </row>
    <row r="78" spans="1:38" s="371" customFormat="1">
      <c r="A78" s="366">
        <v>42227</v>
      </c>
      <c r="B78" s="1122">
        <v>615470</v>
      </c>
      <c r="C78" s="1123"/>
      <c r="D78" s="123">
        <v>2600</v>
      </c>
      <c r="E78" s="407"/>
      <c r="F78" s="123">
        <v>2600</v>
      </c>
      <c r="G78" s="1117"/>
      <c r="H78" s="123">
        <v>2600</v>
      </c>
      <c r="I78" s="1124"/>
      <c r="J78" s="123">
        <v>130</v>
      </c>
      <c r="K78" s="1117"/>
      <c r="L78" s="1116">
        <v>2600</v>
      </c>
      <c r="M78" s="124">
        <v>12</v>
      </c>
      <c r="N78" s="123">
        <v>70</v>
      </c>
      <c r="O78" s="124"/>
      <c r="P78" s="1116">
        <v>2600</v>
      </c>
      <c r="Q78" s="407"/>
      <c r="R78" s="123">
        <v>91</v>
      </c>
      <c r="S78" s="124"/>
      <c r="T78" s="1116">
        <v>2600</v>
      </c>
      <c r="U78" s="124"/>
      <c r="V78" s="1116">
        <v>245</v>
      </c>
      <c r="W78" s="124">
        <v>12</v>
      </c>
      <c r="X78" s="123">
        <v>60</v>
      </c>
      <c r="Y78" s="407"/>
      <c r="Z78" s="123">
        <v>48</v>
      </c>
      <c r="AA78" s="123">
        <f t="shared" si="14"/>
        <v>7930</v>
      </c>
      <c r="AB78" s="124" t="e">
        <f>(#REF!+#REF!)*#REF!</f>
        <v>#REF!</v>
      </c>
      <c r="AC78" s="372"/>
      <c r="AD78" s="368"/>
      <c r="AE78" s="1119"/>
      <c r="AF78" s="1119"/>
      <c r="AG78" s="1119"/>
      <c r="AH78" s="123">
        <f t="shared" si="15"/>
        <v>1560</v>
      </c>
      <c r="AI78" s="123">
        <f t="shared" si="12"/>
        <v>78</v>
      </c>
      <c r="AJ78" s="123">
        <f t="shared" si="13"/>
        <v>1638</v>
      </c>
      <c r="AK78" s="124">
        <v>1001161064</v>
      </c>
      <c r="AL78" s="1125"/>
    </row>
    <row r="79" spans="1:38" s="371" customFormat="1">
      <c r="A79" s="366">
        <v>42227</v>
      </c>
      <c r="B79" s="880">
        <v>615467</v>
      </c>
      <c r="C79" s="387">
        <v>1</v>
      </c>
      <c r="D79" s="123">
        <v>2600</v>
      </c>
      <c r="E79" s="123"/>
      <c r="F79" s="123">
        <v>2600</v>
      </c>
      <c r="G79" s="122"/>
      <c r="H79" s="123">
        <v>2600</v>
      </c>
      <c r="I79" s="1121"/>
      <c r="J79" s="123">
        <v>130</v>
      </c>
      <c r="K79" s="124">
        <v>1</v>
      </c>
      <c r="L79" s="1116">
        <v>2600</v>
      </c>
      <c r="M79" s="124"/>
      <c r="N79" s="123">
        <v>70</v>
      </c>
      <c r="O79" s="124"/>
      <c r="P79" s="1116">
        <v>2600</v>
      </c>
      <c r="Q79" s="407"/>
      <c r="R79" s="123">
        <v>91</v>
      </c>
      <c r="S79" s="124"/>
      <c r="T79" s="1116">
        <v>2600</v>
      </c>
      <c r="U79" s="124"/>
      <c r="V79" s="1116">
        <v>245</v>
      </c>
      <c r="W79" s="124"/>
      <c r="X79" s="123">
        <v>60</v>
      </c>
      <c r="Y79" s="123"/>
      <c r="Z79" s="123">
        <v>46</v>
      </c>
      <c r="AA79" s="123">
        <f t="shared" si="14"/>
        <v>7930</v>
      </c>
      <c r="AB79" s="124" t="e">
        <f>(#REF!+#REF!)*#REF!</f>
        <v>#REF!</v>
      </c>
      <c r="AC79" s="127"/>
      <c r="AD79" s="368"/>
      <c r="AE79" s="1119"/>
      <c r="AF79" s="1119"/>
      <c r="AG79" s="1119"/>
      <c r="AH79" s="123">
        <f t="shared" si="15"/>
        <v>5200</v>
      </c>
      <c r="AI79" s="123">
        <f t="shared" si="12"/>
        <v>260</v>
      </c>
      <c r="AJ79" s="123">
        <f t="shared" si="13"/>
        <v>5460</v>
      </c>
      <c r="AK79" s="124">
        <v>1001161064</v>
      </c>
      <c r="AL79" s="128"/>
    </row>
    <row r="80" spans="1:38" s="371" customFormat="1">
      <c r="A80" s="366">
        <v>42227</v>
      </c>
      <c r="B80" s="880">
        <v>615468</v>
      </c>
      <c r="C80" s="368"/>
      <c r="D80" s="123">
        <v>2600</v>
      </c>
      <c r="E80" s="123"/>
      <c r="F80" s="123">
        <v>2600</v>
      </c>
      <c r="G80" s="124"/>
      <c r="H80" s="123">
        <v>2600</v>
      </c>
      <c r="I80" s="1121">
        <v>12</v>
      </c>
      <c r="J80" s="123">
        <v>130</v>
      </c>
      <c r="K80" s="124"/>
      <c r="L80" s="1116">
        <v>2600</v>
      </c>
      <c r="M80" s="124"/>
      <c r="N80" s="123">
        <v>70</v>
      </c>
      <c r="O80" s="124"/>
      <c r="P80" s="1116">
        <v>2600</v>
      </c>
      <c r="Q80" s="407"/>
      <c r="R80" s="123">
        <v>91</v>
      </c>
      <c r="S80" s="124"/>
      <c r="T80" s="1116">
        <v>2600</v>
      </c>
      <c r="U80" s="124"/>
      <c r="V80" s="1116">
        <v>245</v>
      </c>
      <c r="W80" s="124"/>
      <c r="X80" s="123">
        <v>60</v>
      </c>
      <c r="Y80" s="124"/>
      <c r="Z80" s="123">
        <v>46</v>
      </c>
      <c r="AA80" s="123">
        <f t="shared" si="14"/>
        <v>7930</v>
      </c>
      <c r="AB80" s="124" t="e">
        <f>(#REF!+#REF!)*#REF!</f>
        <v>#REF!</v>
      </c>
      <c r="AC80" s="372"/>
      <c r="AD80" s="368"/>
      <c r="AE80" s="1119"/>
      <c r="AF80" s="1119"/>
      <c r="AG80" s="1119"/>
      <c r="AH80" s="123">
        <f t="shared" si="15"/>
        <v>1560</v>
      </c>
      <c r="AI80" s="123">
        <f t="shared" si="12"/>
        <v>78</v>
      </c>
      <c r="AJ80" s="123">
        <f t="shared" si="13"/>
        <v>1638</v>
      </c>
      <c r="AK80" s="124">
        <v>1001161064</v>
      </c>
      <c r="AL80" s="128"/>
    </row>
    <row r="81" spans="1:38" s="371" customFormat="1">
      <c r="A81" s="366">
        <v>42227</v>
      </c>
      <c r="B81" s="880">
        <v>615469</v>
      </c>
      <c r="C81" s="1123">
        <v>1</v>
      </c>
      <c r="D81" s="123">
        <v>2600</v>
      </c>
      <c r="E81" s="407"/>
      <c r="F81" s="123">
        <v>2600</v>
      </c>
      <c r="G81" s="1117"/>
      <c r="H81" s="123">
        <v>2600</v>
      </c>
      <c r="I81" s="1124">
        <v>12</v>
      </c>
      <c r="J81" s="123">
        <v>130</v>
      </c>
      <c r="K81" s="124"/>
      <c r="L81" s="1116">
        <v>2600</v>
      </c>
      <c r="M81" s="124"/>
      <c r="N81" s="123">
        <v>70</v>
      </c>
      <c r="O81" s="124"/>
      <c r="P81" s="1116">
        <v>2600</v>
      </c>
      <c r="Q81" s="407"/>
      <c r="R81" s="123">
        <v>91</v>
      </c>
      <c r="S81" s="124"/>
      <c r="T81" s="1116">
        <v>2600</v>
      </c>
      <c r="U81" s="124"/>
      <c r="V81" s="1116">
        <v>245</v>
      </c>
      <c r="W81" s="124"/>
      <c r="X81" s="123">
        <v>60</v>
      </c>
      <c r="Y81" s="1117"/>
      <c r="Z81" s="123">
        <v>46</v>
      </c>
      <c r="AA81" s="123">
        <f t="shared" si="14"/>
        <v>7930</v>
      </c>
      <c r="AB81" s="124" t="e">
        <f>(#REF!+#REF!)*#REF!</f>
        <v>#REF!</v>
      </c>
      <c r="AC81" s="372"/>
      <c r="AD81" s="368"/>
      <c r="AE81" s="1119"/>
      <c r="AF81" s="1119"/>
      <c r="AG81" s="1119"/>
      <c r="AH81" s="123">
        <f t="shared" si="15"/>
        <v>4160</v>
      </c>
      <c r="AI81" s="123">
        <f t="shared" si="12"/>
        <v>208</v>
      </c>
      <c r="AJ81" s="123">
        <f t="shared" si="13"/>
        <v>4368</v>
      </c>
      <c r="AK81" s="124">
        <v>1001161064</v>
      </c>
      <c r="AL81" s="1125"/>
    </row>
    <row r="82" spans="1:38" s="371" customFormat="1">
      <c r="A82" s="366">
        <v>42228</v>
      </c>
      <c r="B82" s="1115">
        <v>615471</v>
      </c>
      <c r="C82" s="368">
        <v>2</v>
      </c>
      <c r="D82" s="123">
        <v>2600</v>
      </c>
      <c r="E82" s="123"/>
      <c r="F82" s="123">
        <v>2600</v>
      </c>
      <c r="G82" s="124"/>
      <c r="H82" s="123">
        <v>2600</v>
      </c>
      <c r="I82" s="1121"/>
      <c r="J82" s="123">
        <v>130</v>
      </c>
      <c r="K82" s="124"/>
      <c r="L82" s="1116">
        <v>2600</v>
      </c>
      <c r="M82" s="124"/>
      <c r="N82" s="123">
        <v>70</v>
      </c>
      <c r="O82" s="124"/>
      <c r="P82" s="1116">
        <v>2600</v>
      </c>
      <c r="Q82" s="407"/>
      <c r="R82" s="123">
        <v>91</v>
      </c>
      <c r="S82" s="124"/>
      <c r="T82" s="1116">
        <v>2600</v>
      </c>
      <c r="U82" s="124"/>
      <c r="V82" s="1116">
        <v>245</v>
      </c>
      <c r="W82" s="124"/>
      <c r="X82" s="123">
        <v>60</v>
      </c>
      <c r="Y82" s="124"/>
      <c r="Z82" s="123">
        <v>46</v>
      </c>
      <c r="AA82" s="123">
        <f t="shared" si="14"/>
        <v>7930</v>
      </c>
      <c r="AB82" s="124" t="e">
        <f>(#REF!+#REF!)*#REF!</f>
        <v>#REF!</v>
      </c>
      <c r="AC82" s="372"/>
      <c r="AD82" s="368"/>
      <c r="AE82" s="1119"/>
      <c r="AF82" s="1119"/>
      <c r="AG82" s="1119"/>
      <c r="AH82" s="123">
        <f t="shared" si="15"/>
        <v>5200</v>
      </c>
      <c r="AI82" s="123">
        <f t="shared" si="12"/>
        <v>260</v>
      </c>
      <c r="AJ82" s="123">
        <f t="shared" si="13"/>
        <v>5460</v>
      </c>
      <c r="AK82" s="124">
        <v>1001161064</v>
      </c>
      <c r="AL82" s="128"/>
    </row>
    <row r="83" spans="1:38" s="371" customFormat="1">
      <c r="A83" s="366">
        <v>42228</v>
      </c>
      <c r="B83" s="1115">
        <v>615472</v>
      </c>
      <c r="C83" s="387"/>
      <c r="D83" s="123">
        <v>2600</v>
      </c>
      <c r="E83" s="123"/>
      <c r="F83" s="123">
        <v>2600</v>
      </c>
      <c r="G83" s="122"/>
      <c r="H83" s="123">
        <v>2600</v>
      </c>
      <c r="I83" s="1121">
        <v>12</v>
      </c>
      <c r="J83" s="123">
        <v>130</v>
      </c>
      <c r="K83" s="124"/>
      <c r="L83" s="1116">
        <v>2600</v>
      </c>
      <c r="M83" s="124"/>
      <c r="N83" s="123">
        <v>70</v>
      </c>
      <c r="O83" s="124"/>
      <c r="P83" s="1116">
        <v>2600</v>
      </c>
      <c r="Q83" s="407"/>
      <c r="R83" s="123">
        <v>91</v>
      </c>
      <c r="S83" s="124"/>
      <c r="T83" s="1116">
        <v>2600</v>
      </c>
      <c r="U83" s="124"/>
      <c r="V83" s="1116">
        <v>245</v>
      </c>
      <c r="W83" s="124"/>
      <c r="X83" s="123">
        <v>60</v>
      </c>
      <c r="Y83" s="124"/>
      <c r="Z83" s="123">
        <v>46</v>
      </c>
      <c r="AA83" s="123">
        <f t="shared" si="14"/>
        <v>7930</v>
      </c>
      <c r="AB83" s="124" t="e">
        <f>(#REF!+#REF!)*#REF!</f>
        <v>#REF!</v>
      </c>
      <c r="AC83" s="127"/>
      <c r="AD83" s="368"/>
      <c r="AE83" s="1119"/>
      <c r="AF83" s="1119"/>
      <c r="AG83" s="1119"/>
      <c r="AH83" s="123">
        <f t="shared" si="15"/>
        <v>1560</v>
      </c>
      <c r="AI83" s="123">
        <f t="shared" si="12"/>
        <v>78</v>
      </c>
      <c r="AJ83" s="123">
        <f t="shared" si="13"/>
        <v>1638</v>
      </c>
      <c r="AK83" s="124">
        <v>1001161064</v>
      </c>
      <c r="AL83" s="128"/>
    </row>
    <row r="84" spans="1:38" s="371" customFormat="1">
      <c r="A84" s="366">
        <v>42228</v>
      </c>
      <c r="B84" s="880">
        <v>615473</v>
      </c>
      <c r="C84" s="387"/>
      <c r="D84" s="123">
        <v>2600</v>
      </c>
      <c r="E84" s="123"/>
      <c r="F84" s="123">
        <v>2600</v>
      </c>
      <c r="G84" s="122"/>
      <c r="H84" s="123">
        <v>2600</v>
      </c>
      <c r="I84" s="1121"/>
      <c r="J84" s="123">
        <v>130</v>
      </c>
      <c r="K84" s="124">
        <v>1</v>
      </c>
      <c r="L84" s="1116">
        <v>2600</v>
      </c>
      <c r="M84" s="124"/>
      <c r="N84" s="123">
        <v>70</v>
      </c>
      <c r="O84" s="124"/>
      <c r="P84" s="1116">
        <v>2600</v>
      </c>
      <c r="Q84" s="407"/>
      <c r="R84" s="123">
        <v>91</v>
      </c>
      <c r="S84" s="124"/>
      <c r="T84" s="1116">
        <v>2600</v>
      </c>
      <c r="U84" s="124"/>
      <c r="V84" s="1116">
        <v>245</v>
      </c>
      <c r="W84" s="124"/>
      <c r="X84" s="123">
        <v>60</v>
      </c>
      <c r="Y84" s="124"/>
      <c r="Z84" s="123">
        <v>46</v>
      </c>
      <c r="AA84" s="123">
        <f t="shared" si="14"/>
        <v>7930</v>
      </c>
      <c r="AB84" s="124" t="e">
        <f>(#REF!+#REF!)*#REF!</f>
        <v>#REF!</v>
      </c>
      <c r="AC84" s="372"/>
      <c r="AD84" s="368"/>
      <c r="AE84" s="1119"/>
      <c r="AF84" s="1119"/>
      <c r="AG84" s="1119"/>
      <c r="AH84" s="123">
        <f t="shared" si="15"/>
        <v>2600</v>
      </c>
      <c r="AI84" s="123">
        <f t="shared" si="12"/>
        <v>130</v>
      </c>
      <c r="AJ84" s="123">
        <f t="shared" si="13"/>
        <v>2730</v>
      </c>
      <c r="AK84" s="124">
        <v>1001161064</v>
      </c>
      <c r="AL84" s="128"/>
    </row>
    <row r="85" spans="1:38" s="371" customFormat="1">
      <c r="A85" s="366">
        <v>42229</v>
      </c>
      <c r="B85" s="880">
        <v>615474</v>
      </c>
      <c r="C85" s="387">
        <v>2</v>
      </c>
      <c r="D85" s="123">
        <v>2600</v>
      </c>
      <c r="E85" s="123"/>
      <c r="F85" s="123">
        <v>2600</v>
      </c>
      <c r="G85" s="122"/>
      <c r="H85" s="123">
        <v>2600</v>
      </c>
      <c r="I85" s="1121"/>
      <c r="J85" s="123">
        <v>130</v>
      </c>
      <c r="K85" s="124"/>
      <c r="L85" s="1116">
        <v>2600</v>
      </c>
      <c r="M85" s="124"/>
      <c r="N85" s="123">
        <v>70</v>
      </c>
      <c r="O85" s="124"/>
      <c r="P85" s="1116">
        <v>2600</v>
      </c>
      <c r="Q85" s="407"/>
      <c r="R85" s="123">
        <v>91</v>
      </c>
      <c r="S85" s="124"/>
      <c r="T85" s="1116">
        <v>2600</v>
      </c>
      <c r="U85" s="124"/>
      <c r="V85" s="1116">
        <v>245</v>
      </c>
      <c r="W85" s="124"/>
      <c r="X85" s="123">
        <v>60</v>
      </c>
      <c r="Y85" s="123"/>
      <c r="Z85" s="123">
        <v>46</v>
      </c>
      <c r="AA85" s="123">
        <f t="shared" si="14"/>
        <v>7930</v>
      </c>
      <c r="AB85" s="124" t="e">
        <f>(#REF!+#REF!)*#REF!</f>
        <v>#REF!</v>
      </c>
      <c r="AC85" s="127"/>
      <c r="AD85" s="368"/>
      <c r="AE85" s="1119"/>
      <c r="AF85" s="1119"/>
      <c r="AG85" s="1119"/>
      <c r="AH85" s="123">
        <f t="shared" si="15"/>
        <v>5200</v>
      </c>
      <c r="AI85" s="123">
        <f t="shared" si="12"/>
        <v>260</v>
      </c>
      <c r="AJ85" s="123">
        <f t="shared" si="13"/>
        <v>5460</v>
      </c>
      <c r="AK85" s="124">
        <v>1001161064</v>
      </c>
      <c r="AL85" s="128"/>
    </row>
    <row r="86" spans="1:38" s="371" customFormat="1">
      <c r="A86" s="366">
        <v>42229</v>
      </c>
      <c r="B86" s="880">
        <v>615475</v>
      </c>
      <c r="C86" s="387">
        <v>1</v>
      </c>
      <c r="D86" s="123">
        <v>2600</v>
      </c>
      <c r="E86" s="123"/>
      <c r="F86" s="123">
        <v>2600</v>
      </c>
      <c r="G86" s="122"/>
      <c r="H86" s="123">
        <v>2600</v>
      </c>
      <c r="I86" s="1121">
        <v>12</v>
      </c>
      <c r="J86" s="123">
        <v>130</v>
      </c>
      <c r="K86" s="124"/>
      <c r="L86" s="1116">
        <v>2600</v>
      </c>
      <c r="M86" s="124"/>
      <c r="N86" s="123">
        <v>70</v>
      </c>
      <c r="O86" s="124"/>
      <c r="P86" s="1116">
        <v>2600</v>
      </c>
      <c r="Q86" s="407"/>
      <c r="R86" s="123">
        <v>91</v>
      </c>
      <c r="S86" s="124"/>
      <c r="T86" s="1116">
        <v>2600</v>
      </c>
      <c r="U86" s="124"/>
      <c r="V86" s="1116">
        <v>245</v>
      </c>
      <c r="W86" s="124"/>
      <c r="X86" s="123">
        <v>60</v>
      </c>
      <c r="Y86" s="123"/>
      <c r="Z86" s="123">
        <v>46</v>
      </c>
      <c r="AA86" s="123">
        <f t="shared" si="14"/>
        <v>7930</v>
      </c>
      <c r="AB86" s="124" t="e">
        <f>(#REF!+#REF!)*#REF!</f>
        <v>#REF!</v>
      </c>
      <c r="AC86" s="372"/>
      <c r="AD86" s="368"/>
      <c r="AE86" s="1119"/>
      <c r="AF86" s="1119"/>
      <c r="AG86" s="1119"/>
      <c r="AH86" s="123">
        <f t="shared" si="15"/>
        <v>4160</v>
      </c>
      <c r="AI86" s="123">
        <f t="shared" ref="AI86:AI117" si="16">(AH86*5%)</f>
        <v>208</v>
      </c>
      <c r="AJ86" s="123">
        <f t="shared" ref="AJ86:AJ117" si="17">SUM(AH86+AI86)</f>
        <v>4368</v>
      </c>
      <c r="AK86" s="124">
        <v>1001161064</v>
      </c>
      <c r="AL86" s="128"/>
    </row>
    <row r="87" spans="1:38" s="371" customFormat="1">
      <c r="A87" s="1126">
        <v>42229</v>
      </c>
      <c r="B87" s="1127">
        <v>615576</v>
      </c>
      <c r="C87" s="1128"/>
      <c r="D87" s="123">
        <v>2600</v>
      </c>
      <c r="E87" s="123"/>
      <c r="F87" s="123">
        <v>2600</v>
      </c>
      <c r="G87" s="122"/>
      <c r="H87" s="123">
        <v>2600</v>
      </c>
      <c r="I87" s="1121">
        <v>12</v>
      </c>
      <c r="J87" s="123">
        <v>130</v>
      </c>
      <c r="K87" s="124"/>
      <c r="L87" s="1116">
        <v>2600</v>
      </c>
      <c r="M87" s="124"/>
      <c r="N87" s="123">
        <v>70</v>
      </c>
      <c r="O87" s="124"/>
      <c r="P87" s="1116">
        <v>2600</v>
      </c>
      <c r="Q87" s="407"/>
      <c r="R87" s="123">
        <v>91</v>
      </c>
      <c r="S87" s="124"/>
      <c r="T87" s="1116">
        <v>2600</v>
      </c>
      <c r="U87" s="124"/>
      <c r="V87" s="1116">
        <v>245</v>
      </c>
      <c r="W87" s="124"/>
      <c r="X87" s="123">
        <v>60</v>
      </c>
      <c r="Y87" s="123"/>
      <c r="Z87" s="123">
        <v>46</v>
      </c>
      <c r="AA87" s="123">
        <f t="shared" si="14"/>
        <v>7930</v>
      </c>
      <c r="AB87" s="124" t="e">
        <f>(#REF!+#REF!)*#REF!</f>
        <v>#REF!</v>
      </c>
      <c r="AC87" s="372"/>
      <c r="AD87" s="368"/>
      <c r="AE87" s="1119"/>
      <c r="AF87" s="1119"/>
      <c r="AG87" s="1119"/>
      <c r="AH87" s="123">
        <f t="shared" si="15"/>
        <v>1560</v>
      </c>
      <c r="AI87" s="123">
        <f t="shared" si="16"/>
        <v>78</v>
      </c>
      <c r="AJ87" s="123">
        <f t="shared" si="17"/>
        <v>1638</v>
      </c>
      <c r="AK87" s="124">
        <v>1001161064</v>
      </c>
      <c r="AL87" s="1129"/>
    </row>
    <row r="88" spans="1:38" s="371" customFormat="1">
      <c r="A88" s="1126">
        <v>42230</v>
      </c>
      <c r="B88" s="1127">
        <v>615577</v>
      </c>
      <c r="C88" s="1128"/>
      <c r="D88" s="123">
        <v>2600</v>
      </c>
      <c r="E88" s="123"/>
      <c r="F88" s="123">
        <v>2600</v>
      </c>
      <c r="G88" s="122"/>
      <c r="H88" s="123">
        <v>2600</v>
      </c>
      <c r="I88" s="1121">
        <v>12</v>
      </c>
      <c r="J88" s="123">
        <v>130</v>
      </c>
      <c r="K88" s="124"/>
      <c r="L88" s="1116">
        <v>2600</v>
      </c>
      <c r="M88" s="124"/>
      <c r="N88" s="123">
        <v>70</v>
      </c>
      <c r="O88" s="124"/>
      <c r="P88" s="1116">
        <v>2600</v>
      </c>
      <c r="Q88" s="407"/>
      <c r="R88" s="123">
        <v>91</v>
      </c>
      <c r="S88" s="124"/>
      <c r="T88" s="1116">
        <v>2600</v>
      </c>
      <c r="U88" s="124"/>
      <c r="V88" s="1116">
        <v>245</v>
      </c>
      <c r="W88" s="124"/>
      <c r="X88" s="123">
        <v>60</v>
      </c>
      <c r="Y88" s="123"/>
      <c r="Z88" s="123">
        <v>46</v>
      </c>
      <c r="AA88" s="123">
        <f t="shared" si="14"/>
        <v>7930</v>
      </c>
      <c r="AB88" s="124" t="e">
        <f>(#REF!+#REF!)*#REF!</f>
        <v>#REF!</v>
      </c>
      <c r="AC88" s="372"/>
      <c r="AD88" s="368"/>
      <c r="AE88" s="1119"/>
      <c r="AF88" s="1119"/>
      <c r="AG88" s="1119"/>
      <c r="AH88" s="123">
        <f t="shared" si="15"/>
        <v>1560</v>
      </c>
      <c r="AI88" s="123">
        <f t="shared" si="16"/>
        <v>78</v>
      </c>
      <c r="AJ88" s="123">
        <f t="shared" si="17"/>
        <v>1638</v>
      </c>
      <c r="AK88" s="124">
        <v>1001161064</v>
      </c>
      <c r="AL88" s="1129"/>
    </row>
    <row r="89" spans="1:38" s="371" customFormat="1">
      <c r="A89" s="366">
        <v>42230</v>
      </c>
      <c r="B89" s="880">
        <v>651578</v>
      </c>
      <c r="C89" s="387">
        <v>1</v>
      </c>
      <c r="D89" s="123">
        <v>2600</v>
      </c>
      <c r="E89" s="123"/>
      <c r="F89" s="123">
        <v>2600</v>
      </c>
      <c r="G89" s="122"/>
      <c r="H89" s="123">
        <v>2600</v>
      </c>
      <c r="I89" s="1121"/>
      <c r="J89" s="123">
        <v>130</v>
      </c>
      <c r="K89" s="124">
        <v>1</v>
      </c>
      <c r="L89" s="1116">
        <v>2600</v>
      </c>
      <c r="M89" s="124"/>
      <c r="N89" s="123">
        <v>70</v>
      </c>
      <c r="O89" s="124"/>
      <c r="P89" s="1116">
        <v>2600</v>
      </c>
      <c r="Q89" s="407"/>
      <c r="R89" s="123">
        <v>91</v>
      </c>
      <c r="S89" s="124"/>
      <c r="T89" s="1116">
        <v>2600</v>
      </c>
      <c r="U89" s="124"/>
      <c r="V89" s="1116">
        <v>245</v>
      </c>
      <c r="W89" s="124"/>
      <c r="X89" s="123">
        <v>60</v>
      </c>
      <c r="Y89" s="123"/>
      <c r="Z89" s="123">
        <v>46</v>
      </c>
      <c r="AA89" s="123">
        <f t="shared" si="14"/>
        <v>7930</v>
      </c>
      <c r="AB89" s="124" t="e">
        <f>(#REF!+#REF!)*#REF!</f>
        <v>#REF!</v>
      </c>
      <c r="AC89" s="372"/>
      <c r="AD89" s="368"/>
      <c r="AE89" s="1119"/>
      <c r="AF89" s="1119"/>
      <c r="AG89" s="1119"/>
      <c r="AH89" s="123">
        <f t="shared" si="15"/>
        <v>5200</v>
      </c>
      <c r="AI89" s="123">
        <f t="shared" si="16"/>
        <v>260</v>
      </c>
      <c r="AJ89" s="123">
        <f t="shared" si="17"/>
        <v>5460</v>
      </c>
      <c r="AK89" s="124">
        <v>1001161064</v>
      </c>
      <c r="AL89" s="128"/>
    </row>
    <row r="90" spans="1:38" s="371" customFormat="1">
      <c r="A90" s="366">
        <v>42230</v>
      </c>
      <c r="B90" s="880">
        <v>651579</v>
      </c>
      <c r="C90" s="387"/>
      <c r="D90" s="123">
        <v>2600</v>
      </c>
      <c r="E90" s="123"/>
      <c r="F90" s="123">
        <v>2600</v>
      </c>
      <c r="G90" s="122"/>
      <c r="H90" s="123">
        <v>2600</v>
      </c>
      <c r="I90" s="1121">
        <v>12</v>
      </c>
      <c r="J90" s="123">
        <v>130</v>
      </c>
      <c r="K90" s="124"/>
      <c r="L90" s="1116">
        <v>2600</v>
      </c>
      <c r="M90" s="124"/>
      <c r="N90" s="123">
        <v>70</v>
      </c>
      <c r="O90" s="124"/>
      <c r="P90" s="1116">
        <v>2600</v>
      </c>
      <c r="Q90" s="407"/>
      <c r="R90" s="123">
        <v>91</v>
      </c>
      <c r="S90" s="124"/>
      <c r="T90" s="1116">
        <v>2600</v>
      </c>
      <c r="U90" s="124"/>
      <c r="V90" s="1116">
        <v>245</v>
      </c>
      <c r="W90" s="124"/>
      <c r="X90" s="123">
        <v>60</v>
      </c>
      <c r="Y90" s="123"/>
      <c r="Z90" s="123">
        <v>46</v>
      </c>
      <c r="AA90" s="123">
        <f t="shared" si="14"/>
        <v>7930</v>
      </c>
      <c r="AB90" s="124" t="e">
        <f>(#REF!+#REF!)*#REF!</f>
        <v>#REF!</v>
      </c>
      <c r="AC90" s="127"/>
      <c r="AD90" s="368"/>
      <c r="AE90" s="1119"/>
      <c r="AF90" s="1119"/>
      <c r="AG90" s="1119"/>
      <c r="AH90" s="123">
        <f t="shared" si="15"/>
        <v>1560</v>
      </c>
      <c r="AI90" s="123">
        <f t="shared" si="16"/>
        <v>78</v>
      </c>
      <c r="AJ90" s="123">
        <f t="shared" si="17"/>
        <v>1638</v>
      </c>
      <c r="AK90" s="124">
        <v>1001161064</v>
      </c>
      <c r="AL90" s="128"/>
    </row>
    <row r="91" spans="1:38" s="371" customFormat="1">
      <c r="A91" s="366">
        <v>42231</v>
      </c>
      <c r="B91" s="880">
        <v>651580</v>
      </c>
      <c r="C91" s="387"/>
      <c r="D91" s="123">
        <v>2600</v>
      </c>
      <c r="E91" s="123"/>
      <c r="F91" s="123">
        <v>2600</v>
      </c>
      <c r="G91" s="122"/>
      <c r="H91" s="123">
        <v>2600</v>
      </c>
      <c r="I91" s="1121">
        <v>12</v>
      </c>
      <c r="J91" s="123">
        <v>130</v>
      </c>
      <c r="K91" s="124"/>
      <c r="L91" s="1116">
        <v>2600</v>
      </c>
      <c r="M91" s="124"/>
      <c r="N91" s="123">
        <v>70</v>
      </c>
      <c r="O91" s="124"/>
      <c r="P91" s="1116">
        <v>2600</v>
      </c>
      <c r="Q91" s="407"/>
      <c r="R91" s="123">
        <v>91</v>
      </c>
      <c r="S91" s="124"/>
      <c r="T91" s="1116">
        <v>2600</v>
      </c>
      <c r="U91" s="124"/>
      <c r="V91" s="1116">
        <v>245</v>
      </c>
      <c r="W91" s="124"/>
      <c r="X91" s="123">
        <v>60</v>
      </c>
      <c r="Y91" s="123"/>
      <c r="Z91" s="123">
        <v>46</v>
      </c>
      <c r="AA91" s="123">
        <f t="shared" si="14"/>
        <v>7930</v>
      </c>
      <c r="AB91" s="124" t="e">
        <f>(#REF!+#REF!)*#REF!</f>
        <v>#REF!</v>
      </c>
      <c r="AC91" s="127"/>
      <c r="AD91" s="368"/>
      <c r="AE91" s="1119"/>
      <c r="AF91" s="1119"/>
      <c r="AG91" s="1119"/>
      <c r="AH91" s="123">
        <f t="shared" si="15"/>
        <v>1560</v>
      </c>
      <c r="AI91" s="123">
        <f t="shared" si="16"/>
        <v>78</v>
      </c>
      <c r="AJ91" s="123">
        <f t="shared" si="17"/>
        <v>1638</v>
      </c>
      <c r="AK91" s="124">
        <v>1001161064</v>
      </c>
      <c r="AL91" s="128"/>
    </row>
    <row r="92" spans="1:38" s="371" customFormat="1">
      <c r="A92" s="366">
        <v>42231</v>
      </c>
      <c r="B92" s="880">
        <v>651581</v>
      </c>
      <c r="C92" s="387"/>
      <c r="D92" s="123">
        <v>2600</v>
      </c>
      <c r="E92" s="123"/>
      <c r="F92" s="123">
        <v>2600</v>
      </c>
      <c r="G92" s="122">
        <v>2</v>
      </c>
      <c r="H92" s="123">
        <v>2600</v>
      </c>
      <c r="I92" s="1121"/>
      <c r="J92" s="123">
        <v>130</v>
      </c>
      <c r="K92" s="124"/>
      <c r="L92" s="1116">
        <v>2600</v>
      </c>
      <c r="M92" s="124"/>
      <c r="N92" s="123">
        <v>70</v>
      </c>
      <c r="O92" s="124"/>
      <c r="P92" s="1116">
        <v>2600</v>
      </c>
      <c r="Q92" s="407"/>
      <c r="R92" s="123">
        <v>91</v>
      </c>
      <c r="S92" s="124"/>
      <c r="T92" s="1116">
        <v>2600</v>
      </c>
      <c r="U92" s="124"/>
      <c r="V92" s="1116">
        <v>245</v>
      </c>
      <c r="W92" s="124"/>
      <c r="X92" s="123">
        <v>60</v>
      </c>
      <c r="Y92" s="123"/>
      <c r="Z92" s="123">
        <v>46</v>
      </c>
      <c r="AA92" s="123">
        <f t="shared" si="14"/>
        <v>7930</v>
      </c>
      <c r="AB92" s="124" t="e">
        <f>(#REF!+#REF!)*#REF!</f>
        <v>#REF!</v>
      </c>
      <c r="AC92" s="127"/>
      <c r="AD92" s="368"/>
      <c r="AE92" s="1119"/>
      <c r="AF92" s="1119"/>
      <c r="AG92" s="1119"/>
      <c r="AH92" s="123">
        <f t="shared" si="15"/>
        <v>5200</v>
      </c>
      <c r="AI92" s="123">
        <f t="shared" si="16"/>
        <v>260</v>
      </c>
      <c r="AJ92" s="123">
        <f t="shared" si="17"/>
        <v>5460</v>
      </c>
      <c r="AK92" s="124">
        <v>1001161064</v>
      </c>
      <c r="AL92" s="128"/>
    </row>
    <row r="93" spans="1:38" s="371" customFormat="1">
      <c r="A93" s="366">
        <v>42231</v>
      </c>
      <c r="B93" s="880">
        <v>651582</v>
      </c>
      <c r="C93" s="387"/>
      <c r="D93" s="123">
        <v>2600</v>
      </c>
      <c r="E93" s="123"/>
      <c r="F93" s="123">
        <v>2600</v>
      </c>
      <c r="G93" s="122">
        <v>1</v>
      </c>
      <c r="H93" s="123">
        <v>2600</v>
      </c>
      <c r="I93" s="1121"/>
      <c r="J93" s="123">
        <v>130</v>
      </c>
      <c r="K93" s="124"/>
      <c r="L93" s="1116">
        <v>2600</v>
      </c>
      <c r="M93" s="124"/>
      <c r="N93" s="123">
        <v>70</v>
      </c>
      <c r="O93" s="124"/>
      <c r="P93" s="1116">
        <v>2600</v>
      </c>
      <c r="Q93" s="407"/>
      <c r="R93" s="123">
        <v>91</v>
      </c>
      <c r="S93" s="124"/>
      <c r="T93" s="1116">
        <v>2600</v>
      </c>
      <c r="U93" s="124"/>
      <c r="V93" s="1116">
        <v>245</v>
      </c>
      <c r="W93" s="124"/>
      <c r="X93" s="123">
        <v>60</v>
      </c>
      <c r="Y93" s="123"/>
      <c r="Z93" s="123">
        <v>46</v>
      </c>
      <c r="AA93" s="123">
        <f t="shared" si="14"/>
        <v>7930</v>
      </c>
      <c r="AB93" s="124" t="e">
        <f>(#REF!+#REF!)*#REF!</f>
        <v>#REF!</v>
      </c>
      <c r="AC93" s="127"/>
      <c r="AD93" s="368"/>
      <c r="AE93" s="1119"/>
      <c r="AF93" s="1119"/>
      <c r="AG93" s="1119"/>
      <c r="AH93" s="123">
        <f t="shared" si="15"/>
        <v>2600</v>
      </c>
      <c r="AI93" s="123">
        <f t="shared" si="16"/>
        <v>130</v>
      </c>
      <c r="AJ93" s="123">
        <f t="shared" si="17"/>
        <v>2730</v>
      </c>
      <c r="AK93" s="124">
        <v>1001161064</v>
      </c>
      <c r="AL93" s="128"/>
    </row>
    <row r="94" spans="1:38" s="371" customFormat="1">
      <c r="A94" s="366">
        <v>42233</v>
      </c>
      <c r="B94" s="880">
        <v>651583</v>
      </c>
      <c r="C94" s="368"/>
      <c r="D94" s="123">
        <v>2600</v>
      </c>
      <c r="E94" s="123"/>
      <c r="F94" s="123">
        <v>2600</v>
      </c>
      <c r="G94" s="124">
        <v>2</v>
      </c>
      <c r="H94" s="123">
        <v>2600</v>
      </c>
      <c r="I94" s="1121"/>
      <c r="J94" s="123">
        <v>130</v>
      </c>
      <c r="K94" s="124"/>
      <c r="L94" s="1116">
        <v>2600</v>
      </c>
      <c r="M94" s="124"/>
      <c r="N94" s="123">
        <v>70</v>
      </c>
      <c r="O94" s="124"/>
      <c r="P94" s="1116">
        <v>2600</v>
      </c>
      <c r="Q94" s="407"/>
      <c r="R94" s="123">
        <v>91</v>
      </c>
      <c r="S94" s="124"/>
      <c r="T94" s="1116">
        <v>2600</v>
      </c>
      <c r="U94" s="124"/>
      <c r="V94" s="1116">
        <v>245</v>
      </c>
      <c r="W94" s="124"/>
      <c r="X94" s="123">
        <v>60</v>
      </c>
      <c r="Y94" s="123"/>
      <c r="Z94" s="123">
        <v>46</v>
      </c>
      <c r="AA94" s="123">
        <f t="shared" si="14"/>
        <v>7930</v>
      </c>
      <c r="AB94" s="124" t="e">
        <f>(#REF!+#REF!)*#REF!</f>
        <v>#REF!</v>
      </c>
      <c r="AC94" s="127"/>
      <c r="AD94" s="368"/>
      <c r="AE94" s="1119"/>
      <c r="AF94" s="1119"/>
      <c r="AG94" s="1119"/>
      <c r="AH94" s="123">
        <f t="shared" si="15"/>
        <v>5200</v>
      </c>
      <c r="AI94" s="123">
        <f t="shared" si="16"/>
        <v>260</v>
      </c>
      <c r="AJ94" s="123">
        <f t="shared" si="17"/>
        <v>5460</v>
      </c>
      <c r="AK94" s="124">
        <v>1001161064</v>
      </c>
      <c r="AL94" s="128"/>
    </row>
    <row r="95" spans="1:38" s="371" customFormat="1">
      <c r="A95" s="366">
        <v>42233</v>
      </c>
      <c r="B95" s="880">
        <v>651584</v>
      </c>
      <c r="C95" s="368"/>
      <c r="D95" s="123">
        <v>2600</v>
      </c>
      <c r="E95" s="123"/>
      <c r="F95" s="123">
        <v>2600</v>
      </c>
      <c r="G95" s="124">
        <v>1</v>
      </c>
      <c r="H95" s="123">
        <v>2600</v>
      </c>
      <c r="I95" s="1121">
        <v>10</v>
      </c>
      <c r="J95" s="123">
        <v>130</v>
      </c>
      <c r="K95" s="124"/>
      <c r="L95" s="1116">
        <v>2600</v>
      </c>
      <c r="M95" s="124"/>
      <c r="N95" s="123">
        <v>70</v>
      </c>
      <c r="O95" s="124"/>
      <c r="P95" s="1116">
        <v>2600</v>
      </c>
      <c r="Q95" s="407"/>
      <c r="R95" s="123">
        <v>91</v>
      </c>
      <c r="S95" s="124"/>
      <c r="T95" s="1116">
        <v>2600</v>
      </c>
      <c r="U95" s="124"/>
      <c r="V95" s="1116">
        <v>245</v>
      </c>
      <c r="W95" s="124"/>
      <c r="X95" s="123">
        <v>60</v>
      </c>
      <c r="Y95" s="123"/>
      <c r="Z95" s="123">
        <v>46</v>
      </c>
      <c r="AA95" s="123">
        <f t="shared" si="14"/>
        <v>7930</v>
      </c>
      <c r="AB95" s="124" t="e">
        <f>(#REF!+#REF!)*#REF!</f>
        <v>#REF!</v>
      </c>
      <c r="AC95" s="372"/>
      <c r="AD95" s="368"/>
      <c r="AE95" s="1119"/>
      <c r="AF95" s="1119"/>
      <c r="AG95" s="1119"/>
      <c r="AH95" s="123">
        <f t="shared" si="15"/>
        <v>3900</v>
      </c>
      <c r="AI95" s="123">
        <f t="shared" si="16"/>
        <v>195</v>
      </c>
      <c r="AJ95" s="123">
        <f t="shared" si="17"/>
        <v>4095</v>
      </c>
      <c r="AK95" s="124">
        <v>1001161064</v>
      </c>
      <c r="AL95" s="128"/>
    </row>
    <row r="96" spans="1:38" s="371" customFormat="1">
      <c r="A96" s="366">
        <v>42233</v>
      </c>
      <c r="B96" s="880">
        <v>651585</v>
      </c>
      <c r="C96" s="368"/>
      <c r="D96" s="123">
        <v>2600</v>
      </c>
      <c r="E96" s="123"/>
      <c r="F96" s="123">
        <v>2600</v>
      </c>
      <c r="G96" s="124">
        <v>1</v>
      </c>
      <c r="H96" s="123">
        <v>2600</v>
      </c>
      <c r="I96" s="1121"/>
      <c r="J96" s="123">
        <v>130</v>
      </c>
      <c r="K96" s="124">
        <v>1</v>
      </c>
      <c r="L96" s="1116">
        <v>2600</v>
      </c>
      <c r="M96" s="124"/>
      <c r="N96" s="123">
        <v>70</v>
      </c>
      <c r="O96" s="124"/>
      <c r="P96" s="1116">
        <v>2600</v>
      </c>
      <c r="Q96" s="407"/>
      <c r="R96" s="123">
        <v>91</v>
      </c>
      <c r="S96" s="124"/>
      <c r="T96" s="1116">
        <v>2600</v>
      </c>
      <c r="U96" s="124"/>
      <c r="V96" s="1116">
        <v>245</v>
      </c>
      <c r="W96" s="124"/>
      <c r="X96" s="123">
        <v>60</v>
      </c>
      <c r="Y96" s="123"/>
      <c r="Z96" s="123">
        <v>46</v>
      </c>
      <c r="AA96" s="123">
        <f t="shared" ref="AA96:AA121" si="18">SUM(L96,J96,H96,D96)</f>
        <v>7930</v>
      </c>
      <c r="AB96" s="124" t="e">
        <f>(#REF!+#REF!)*#REF!</f>
        <v>#REF!</v>
      </c>
      <c r="AC96" s="372"/>
      <c r="AD96" s="368"/>
      <c r="AE96" s="1119"/>
      <c r="AF96" s="1119"/>
      <c r="AG96" s="1119"/>
      <c r="AH96" s="123">
        <f t="shared" ref="AH96:AH122" si="19">SUM(C96*D96)+(G96*H96)+(I96*J96)+(Q96*R96)+(K96*L96)+(M96*N96)+(W96*X96)+(Y96*Z96)+(O96*P96)+(U96*V96)+(S96*T96)+(E96*F96)</f>
        <v>5200</v>
      </c>
      <c r="AI96" s="123">
        <f t="shared" si="16"/>
        <v>260</v>
      </c>
      <c r="AJ96" s="123">
        <f t="shared" si="17"/>
        <v>5460</v>
      </c>
      <c r="AK96" s="124">
        <v>1001161064</v>
      </c>
      <c r="AL96" s="128"/>
    </row>
    <row r="97" spans="1:38" s="371" customFormat="1">
      <c r="A97" s="366">
        <v>42233</v>
      </c>
      <c r="B97" s="880">
        <v>651586</v>
      </c>
      <c r="C97" s="368"/>
      <c r="D97" s="123">
        <v>2600</v>
      </c>
      <c r="E97" s="123"/>
      <c r="F97" s="123">
        <v>2600</v>
      </c>
      <c r="G97" s="124"/>
      <c r="H97" s="123">
        <v>2600</v>
      </c>
      <c r="I97" s="1121">
        <v>12</v>
      </c>
      <c r="J97" s="123">
        <v>130</v>
      </c>
      <c r="K97" s="124">
        <v>1</v>
      </c>
      <c r="L97" s="1116">
        <v>2600</v>
      </c>
      <c r="M97" s="124"/>
      <c r="N97" s="123">
        <v>70</v>
      </c>
      <c r="O97" s="124"/>
      <c r="P97" s="1116">
        <v>2600</v>
      </c>
      <c r="Q97" s="407"/>
      <c r="R97" s="123">
        <v>91</v>
      </c>
      <c r="S97" s="124"/>
      <c r="T97" s="1116">
        <v>2600</v>
      </c>
      <c r="U97" s="124"/>
      <c r="V97" s="1116">
        <v>245</v>
      </c>
      <c r="W97" s="124"/>
      <c r="X97" s="123">
        <v>60</v>
      </c>
      <c r="Y97" s="123"/>
      <c r="Z97" s="123">
        <v>46</v>
      </c>
      <c r="AA97" s="123">
        <f t="shared" si="18"/>
        <v>7930</v>
      </c>
      <c r="AB97" s="124" t="e">
        <f>(#REF!+#REF!)*#REF!</f>
        <v>#REF!</v>
      </c>
      <c r="AC97" s="372"/>
      <c r="AD97" s="368"/>
      <c r="AE97" s="1119"/>
      <c r="AF97" s="1119"/>
      <c r="AG97" s="1119"/>
      <c r="AH97" s="123">
        <f t="shared" si="19"/>
        <v>4160</v>
      </c>
      <c r="AI97" s="123">
        <f t="shared" si="16"/>
        <v>208</v>
      </c>
      <c r="AJ97" s="123">
        <f t="shared" si="17"/>
        <v>4368</v>
      </c>
      <c r="AK97" s="124">
        <v>1001161064</v>
      </c>
      <c r="AL97" s="128"/>
    </row>
    <row r="98" spans="1:38" s="371" customFormat="1">
      <c r="A98" s="366">
        <v>42235</v>
      </c>
      <c r="B98" s="1115">
        <v>615589</v>
      </c>
      <c r="C98" s="368"/>
      <c r="D98" s="123">
        <v>2600</v>
      </c>
      <c r="E98" s="123"/>
      <c r="F98" s="123">
        <v>2600</v>
      </c>
      <c r="G98" s="124"/>
      <c r="H98" s="123">
        <v>2600</v>
      </c>
      <c r="I98" s="1121">
        <v>12</v>
      </c>
      <c r="J98" s="123">
        <v>130</v>
      </c>
      <c r="K98" s="124"/>
      <c r="L98" s="1116">
        <v>2600</v>
      </c>
      <c r="M98" s="123"/>
      <c r="N98" s="123">
        <v>70</v>
      </c>
      <c r="O98" s="124"/>
      <c r="P98" s="1116">
        <v>2600</v>
      </c>
      <c r="Q98" s="407"/>
      <c r="R98" s="123">
        <v>91</v>
      </c>
      <c r="S98" s="124"/>
      <c r="T98" s="1116">
        <v>2600</v>
      </c>
      <c r="U98" s="124"/>
      <c r="V98" s="1116">
        <v>245</v>
      </c>
      <c r="W98" s="124"/>
      <c r="X98" s="123">
        <v>60</v>
      </c>
      <c r="Y98" s="123"/>
      <c r="Z98" s="123">
        <v>46</v>
      </c>
      <c r="AA98" s="123">
        <f t="shared" si="18"/>
        <v>7930</v>
      </c>
      <c r="AB98" s="124" t="e">
        <f>(#REF!+#REF!)*#REF!</f>
        <v>#REF!</v>
      </c>
      <c r="AC98" s="372"/>
      <c r="AD98" s="368"/>
      <c r="AE98" s="1119"/>
      <c r="AF98" s="1119"/>
      <c r="AG98" s="1119"/>
      <c r="AH98" s="123">
        <f t="shared" si="19"/>
        <v>1560</v>
      </c>
      <c r="AI98" s="123">
        <f t="shared" si="16"/>
        <v>78</v>
      </c>
      <c r="AJ98" s="123">
        <f t="shared" si="17"/>
        <v>1638</v>
      </c>
      <c r="AK98" s="124">
        <v>1001161064</v>
      </c>
      <c r="AL98" s="128"/>
    </row>
    <row r="99" spans="1:38" s="371" customFormat="1">
      <c r="A99" s="366">
        <v>42235</v>
      </c>
      <c r="B99" s="1115">
        <v>615588</v>
      </c>
      <c r="C99" s="368">
        <v>1</v>
      </c>
      <c r="D99" s="123">
        <v>2600</v>
      </c>
      <c r="E99" s="123"/>
      <c r="F99" s="123">
        <v>2600</v>
      </c>
      <c r="G99" s="124"/>
      <c r="H99" s="123">
        <v>2600</v>
      </c>
      <c r="I99" s="1121"/>
      <c r="J99" s="123">
        <v>130</v>
      </c>
      <c r="K99" s="124"/>
      <c r="L99" s="1116">
        <v>2600</v>
      </c>
      <c r="M99" s="123">
        <v>12</v>
      </c>
      <c r="N99" s="123">
        <v>70</v>
      </c>
      <c r="O99" s="124"/>
      <c r="P99" s="1116">
        <v>2600</v>
      </c>
      <c r="Q99" s="407"/>
      <c r="R99" s="123">
        <v>91</v>
      </c>
      <c r="S99" s="124"/>
      <c r="T99" s="1116">
        <v>2600</v>
      </c>
      <c r="U99" s="124"/>
      <c r="V99" s="1116">
        <v>245</v>
      </c>
      <c r="W99" s="124">
        <v>12</v>
      </c>
      <c r="X99" s="123">
        <v>60</v>
      </c>
      <c r="Y99" s="123"/>
      <c r="Z99" s="123">
        <v>46</v>
      </c>
      <c r="AA99" s="123">
        <f t="shared" si="18"/>
        <v>7930</v>
      </c>
      <c r="AB99" s="124" t="e">
        <f>(#REF!+#REF!)*#REF!</f>
        <v>#REF!</v>
      </c>
      <c r="AC99" s="372"/>
      <c r="AD99" s="368"/>
      <c r="AE99" s="1119"/>
      <c r="AF99" s="1119"/>
      <c r="AG99" s="1119"/>
      <c r="AH99" s="123">
        <f t="shared" si="19"/>
        <v>4160</v>
      </c>
      <c r="AI99" s="123">
        <f t="shared" si="16"/>
        <v>208</v>
      </c>
      <c r="AJ99" s="123">
        <f t="shared" si="17"/>
        <v>4368</v>
      </c>
      <c r="AK99" s="124">
        <v>1001161064</v>
      </c>
      <c r="AL99" s="128"/>
    </row>
    <row r="100" spans="1:38" s="371" customFormat="1">
      <c r="A100" s="366">
        <v>42235</v>
      </c>
      <c r="B100" s="1115">
        <v>615587</v>
      </c>
      <c r="C100" s="368">
        <v>1</v>
      </c>
      <c r="D100" s="123">
        <v>2600</v>
      </c>
      <c r="E100" s="124">
        <v>1</v>
      </c>
      <c r="F100" s="123">
        <v>2600</v>
      </c>
      <c r="G100" s="124"/>
      <c r="H100" s="123">
        <v>2600</v>
      </c>
      <c r="I100" s="1121"/>
      <c r="J100" s="123">
        <v>130</v>
      </c>
      <c r="K100" s="124"/>
      <c r="L100" s="1116">
        <v>2600</v>
      </c>
      <c r="M100" s="123"/>
      <c r="N100" s="123">
        <v>70</v>
      </c>
      <c r="O100" s="124"/>
      <c r="P100" s="1116">
        <v>2600</v>
      </c>
      <c r="Q100" s="407"/>
      <c r="R100" s="123">
        <v>91</v>
      </c>
      <c r="S100" s="124"/>
      <c r="T100" s="1116">
        <v>2600</v>
      </c>
      <c r="U100" s="124"/>
      <c r="V100" s="1116">
        <v>245</v>
      </c>
      <c r="W100" s="124"/>
      <c r="X100" s="123">
        <v>60</v>
      </c>
      <c r="Y100" s="123"/>
      <c r="Z100" s="123">
        <v>46</v>
      </c>
      <c r="AA100" s="123">
        <f t="shared" si="18"/>
        <v>7930</v>
      </c>
      <c r="AB100" s="124" t="e">
        <f>(#REF!+#REF!)*#REF!</f>
        <v>#REF!</v>
      </c>
      <c r="AC100" s="372"/>
      <c r="AD100" s="368"/>
      <c r="AE100" s="1119"/>
      <c r="AF100" s="1119"/>
      <c r="AG100" s="1119"/>
      <c r="AH100" s="123">
        <f t="shared" si="19"/>
        <v>5200</v>
      </c>
      <c r="AI100" s="123">
        <f t="shared" si="16"/>
        <v>260</v>
      </c>
      <c r="AJ100" s="123">
        <f t="shared" si="17"/>
        <v>5460</v>
      </c>
      <c r="AK100" s="124">
        <v>1001161064</v>
      </c>
      <c r="AL100" s="128"/>
    </row>
    <row r="101" spans="1:38" s="371" customFormat="1">
      <c r="A101" s="366">
        <v>42236</v>
      </c>
      <c r="B101" s="880">
        <v>615591</v>
      </c>
      <c r="C101" s="387"/>
      <c r="D101" s="123">
        <v>2600</v>
      </c>
      <c r="E101" s="123"/>
      <c r="F101" s="123">
        <v>2600</v>
      </c>
      <c r="G101" s="122"/>
      <c r="H101" s="123">
        <v>2600</v>
      </c>
      <c r="I101" s="1121">
        <v>12</v>
      </c>
      <c r="J101" s="123">
        <v>130</v>
      </c>
      <c r="K101" s="124"/>
      <c r="L101" s="1116">
        <v>2600</v>
      </c>
      <c r="M101" s="123"/>
      <c r="N101" s="123">
        <v>70</v>
      </c>
      <c r="O101" s="124"/>
      <c r="P101" s="1116">
        <v>2600</v>
      </c>
      <c r="Q101" s="407"/>
      <c r="R101" s="123">
        <v>91</v>
      </c>
      <c r="S101" s="124"/>
      <c r="T101" s="1116">
        <v>2600</v>
      </c>
      <c r="U101" s="124"/>
      <c r="V101" s="1116">
        <v>245</v>
      </c>
      <c r="W101" s="124"/>
      <c r="X101" s="123">
        <v>60</v>
      </c>
      <c r="Y101" s="123"/>
      <c r="Z101" s="123">
        <v>46</v>
      </c>
      <c r="AA101" s="123">
        <f t="shared" si="18"/>
        <v>7930</v>
      </c>
      <c r="AB101" s="124" t="e">
        <f>(#REF!+#REF!)*#REF!</f>
        <v>#REF!</v>
      </c>
      <c r="AC101" s="127"/>
      <c r="AD101" s="368"/>
      <c r="AE101" s="1119"/>
      <c r="AF101" s="1119"/>
      <c r="AG101" s="1119"/>
      <c r="AH101" s="123">
        <f t="shared" si="19"/>
        <v>1560</v>
      </c>
      <c r="AI101" s="123">
        <f t="shared" si="16"/>
        <v>78</v>
      </c>
      <c r="AJ101" s="123">
        <f t="shared" si="17"/>
        <v>1638</v>
      </c>
      <c r="AK101" s="124">
        <v>1001161064</v>
      </c>
      <c r="AL101" s="128"/>
    </row>
    <row r="102" spans="1:38" s="371" customFormat="1">
      <c r="A102" s="366">
        <v>42236</v>
      </c>
      <c r="B102" s="880">
        <v>615590</v>
      </c>
      <c r="C102" s="387">
        <v>1</v>
      </c>
      <c r="D102" s="123">
        <v>2600</v>
      </c>
      <c r="E102" s="124">
        <v>1</v>
      </c>
      <c r="F102" s="123">
        <v>2600</v>
      </c>
      <c r="G102" s="122"/>
      <c r="H102" s="123">
        <v>2600</v>
      </c>
      <c r="I102" s="1121"/>
      <c r="J102" s="123">
        <v>130</v>
      </c>
      <c r="K102" s="124"/>
      <c r="L102" s="1116">
        <v>2600</v>
      </c>
      <c r="M102" s="123"/>
      <c r="N102" s="123">
        <v>70</v>
      </c>
      <c r="O102" s="124"/>
      <c r="P102" s="1116">
        <v>2600</v>
      </c>
      <c r="Q102" s="407"/>
      <c r="R102" s="123">
        <v>91</v>
      </c>
      <c r="S102" s="124"/>
      <c r="T102" s="1116">
        <v>2600</v>
      </c>
      <c r="U102" s="124"/>
      <c r="V102" s="1116">
        <v>245</v>
      </c>
      <c r="W102" s="124"/>
      <c r="X102" s="123">
        <v>60</v>
      </c>
      <c r="Y102" s="123"/>
      <c r="Z102" s="123">
        <v>46</v>
      </c>
      <c r="AA102" s="123">
        <f t="shared" si="18"/>
        <v>7930</v>
      </c>
      <c r="AB102" s="124" t="e">
        <f>(#REF!+#REF!)*#REF!</f>
        <v>#REF!</v>
      </c>
      <c r="AC102" s="127"/>
      <c r="AD102" s="368"/>
      <c r="AE102" s="1119"/>
      <c r="AF102" s="1119"/>
      <c r="AG102" s="1119"/>
      <c r="AH102" s="123">
        <f t="shared" si="19"/>
        <v>5200</v>
      </c>
      <c r="AI102" s="123">
        <f t="shared" si="16"/>
        <v>260</v>
      </c>
      <c r="AJ102" s="123">
        <f t="shared" si="17"/>
        <v>5460</v>
      </c>
      <c r="AK102" s="124">
        <v>1001161064</v>
      </c>
      <c r="AL102" s="128"/>
    </row>
    <row r="103" spans="1:38" s="371" customFormat="1">
      <c r="A103" s="366">
        <v>42237</v>
      </c>
      <c r="B103" s="880">
        <v>615593</v>
      </c>
      <c r="C103" s="387"/>
      <c r="D103" s="123">
        <v>2600</v>
      </c>
      <c r="E103" s="123"/>
      <c r="F103" s="123">
        <v>2600</v>
      </c>
      <c r="G103" s="122"/>
      <c r="H103" s="123">
        <v>2600</v>
      </c>
      <c r="I103" s="1121">
        <v>14.5</v>
      </c>
      <c r="J103" s="123">
        <v>130</v>
      </c>
      <c r="K103" s="124"/>
      <c r="L103" s="1116">
        <v>2600</v>
      </c>
      <c r="M103" s="123"/>
      <c r="N103" s="123">
        <v>70</v>
      </c>
      <c r="O103" s="124"/>
      <c r="P103" s="1116">
        <v>2600</v>
      </c>
      <c r="Q103" s="407"/>
      <c r="R103" s="123">
        <v>91</v>
      </c>
      <c r="S103" s="124"/>
      <c r="T103" s="1116">
        <v>2600</v>
      </c>
      <c r="U103" s="124"/>
      <c r="V103" s="1116">
        <v>245</v>
      </c>
      <c r="W103" s="124"/>
      <c r="X103" s="123">
        <v>60</v>
      </c>
      <c r="Y103" s="123"/>
      <c r="Z103" s="123">
        <v>46</v>
      </c>
      <c r="AA103" s="123">
        <f t="shared" si="18"/>
        <v>7930</v>
      </c>
      <c r="AB103" s="124" t="e">
        <f>(#REF!+#REF!)*#REF!</f>
        <v>#REF!</v>
      </c>
      <c r="AC103" s="127"/>
      <c r="AD103" s="368"/>
      <c r="AE103" s="1119"/>
      <c r="AF103" s="1119"/>
      <c r="AG103" s="1119"/>
      <c r="AH103" s="123">
        <f t="shared" si="19"/>
        <v>1885</v>
      </c>
      <c r="AI103" s="123">
        <f t="shared" si="16"/>
        <v>94.25</v>
      </c>
      <c r="AJ103" s="123">
        <f t="shared" si="17"/>
        <v>1979.25</v>
      </c>
      <c r="AK103" s="124">
        <v>1001161064</v>
      </c>
      <c r="AL103" s="128"/>
    </row>
    <row r="104" spans="1:38" s="371" customFormat="1">
      <c r="A104" s="366">
        <v>42237</v>
      </c>
      <c r="B104" s="880">
        <v>615592</v>
      </c>
      <c r="C104" s="387">
        <v>1</v>
      </c>
      <c r="D104" s="123">
        <v>2600</v>
      </c>
      <c r="E104" s="124">
        <v>1</v>
      </c>
      <c r="F104" s="123">
        <v>2600</v>
      </c>
      <c r="G104" s="122"/>
      <c r="H104" s="123">
        <v>2600</v>
      </c>
      <c r="I104" s="1121"/>
      <c r="J104" s="123">
        <v>130</v>
      </c>
      <c r="K104" s="124"/>
      <c r="L104" s="1116">
        <v>2600</v>
      </c>
      <c r="M104" s="123"/>
      <c r="N104" s="123">
        <v>70</v>
      </c>
      <c r="O104" s="124"/>
      <c r="P104" s="1116">
        <v>2600</v>
      </c>
      <c r="Q104" s="407"/>
      <c r="R104" s="123">
        <v>91</v>
      </c>
      <c r="S104" s="124"/>
      <c r="T104" s="1116">
        <v>2600</v>
      </c>
      <c r="U104" s="124"/>
      <c r="V104" s="1116">
        <v>245</v>
      </c>
      <c r="W104" s="124"/>
      <c r="X104" s="123">
        <v>60</v>
      </c>
      <c r="Y104" s="123"/>
      <c r="Z104" s="123">
        <v>46</v>
      </c>
      <c r="AA104" s="123">
        <f t="shared" si="18"/>
        <v>7930</v>
      </c>
      <c r="AB104" s="124" t="e">
        <f>(#REF!+#REF!)*#REF!</f>
        <v>#REF!</v>
      </c>
      <c r="AC104" s="127"/>
      <c r="AD104" s="368"/>
      <c r="AE104" s="1119"/>
      <c r="AF104" s="1119"/>
      <c r="AG104" s="1119"/>
      <c r="AH104" s="123">
        <f t="shared" si="19"/>
        <v>5200</v>
      </c>
      <c r="AI104" s="123">
        <f t="shared" si="16"/>
        <v>260</v>
      </c>
      <c r="AJ104" s="123">
        <f t="shared" si="17"/>
        <v>5460</v>
      </c>
      <c r="AK104" s="124">
        <v>1001161064</v>
      </c>
      <c r="AL104" s="128"/>
    </row>
    <row r="105" spans="1:38" s="371" customFormat="1">
      <c r="A105" s="366">
        <v>42240</v>
      </c>
      <c r="B105" s="880">
        <v>615595</v>
      </c>
      <c r="C105" s="387"/>
      <c r="D105" s="123">
        <v>2600</v>
      </c>
      <c r="E105" s="123"/>
      <c r="F105" s="123">
        <v>2600</v>
      </c>
      <c r="G105" s="122"/>
      <c r="H105" s="123">
        <v>2600</v>
      </c>
      <c r="I105" s="1121">
        <v>14</v>
      </c>
      <c r="J105" s="123">
        <v>130</v>
      </c>
      <c r="K105" s="124"/>
      <c r="L105" s="1116">
        <v>2600</v>
      </c>
      <c r="M105" s="124"/>
      <c r="N105" s="123">
        <v>70</v>
      </c>
      <c r="O105" s="124"/>
      <c r="P105" s="1116">
        <v>2600</v>
      </c>
      <c r="Q105" s="407"/>
      <c r="R105" s="123">
        <v>91</v>
      </c>
      <c r="S105" s="124"/>
      <c r="T105" s="1116">
        <v>2600</v>
      </c>
      <c r="U105" s="124"/>
      <c r="V105" s="1116">
        <v>245</v>
      </c>
      <c r="W105" s="124"/>
      <c r="X105" s="123">
        <v>60</v>
      </c>
      <c r="Y105" s="123"/>
      <c r="Z105" s="123">
        <v>46</v>
      </c>
      <c r="AA105" s="123">
        <f t="shared" si="18"/>
        <v>7930</v>
      </c>
      <c r="AB105" s="124" t="e">
        <f>(#REF!+#REF!)*#REF!</f>
        <v>#REF!</v>
      </c>
      <c r="AC105" s="127"/>
      <c r="AD105" s="368"/>
      <c r="AE105" s="1119"/>
      <c r="AF105" s="1119"/>
      <c r="AG105" s="1119"/>
      <c r="AH105" s="123">
        <f t="shared" si="19"/>
        <v>1820</v>
      </c>
      <c r="AI105" s="123">
        <f t="shared" si="16"/>
        <v>91</v>
      </c>
      <c r="AJ105" s="123">
        <f t="shared" si="17"/>
        <v>1911</v>
      </c>
      <c r="AK105" s="124">
        <v>1001161064</v>
      </c>
      <c r="AL105" s="128"/>
    </row>
    <row r="106" spans="1:38" s="371" customFormat="1">
      <c r="A106" s="366">
        <v>42240</v>
      </c>
      <c r="B106" s="897">
        <v>615594</v>
      </c>
      <c r="C106" s="387"/>
      <c r="D106" s="123">
        <v>2600</v>
      </c>
      <c r="E106" s="123"/>
      <c r="F106" s="123">
        <v>2600</v>
      </c>
      <c r="G106" s="122"/>
      <c r="H106" s="123">
        <v>2600</v>
      </c>
      <c r="I106" s="1121"/>
      <c r="J106" s="123">
        <v>130</v>
      </c>
      <c r="K106" s="124">
        <v>2</v>
      </c>
      <c r="L106" s="1116">
        <v>2600</v>
      </c>
      <c r="M106" s="124"/>
      <c r="N106" s="123">
        <v>70</v>
      </c>
      <c r="O106" s="124"/>
      <c r="P106" s="1116">
        <v>2600</v>
      </c>
      <c r="Q106" s="407"/>
      <c r="R106" s="123">
        <v>91</v>
      </c>
      <c r="S106" s="124"/>
      <c r="T106" s="1116">
        <v>2600</v>
      </c>
      <c r="U106" s="124"/>
      <c r="V106" s="1116">
        <v>245</v>
      </c>
      <c r="W106" s="124"/>
      <c r="X106" s="123">
        <v>60</v>
      </c>
      <c r="Y106" s="123"/>
      <c r="Z106" s="123">
        <v>46</v>
      </c>
      <c r="AA106" s="123">
        <f t="shared" si="18"/>
        <v>7930</v>
      </c>
      <c r="AB106" s="124" t="e">
        <f>(#REF!+#REF!)*#REF!</f>
        <v>#REF!</v>
      </c>
      <c r="AC106" s="127"/>
      <c r="AD106" s="368"/>
      <c r="AE106" s="1119"/>
      <c r="AF106" s="1119"/>
      <c r="AG106" s="1119"/>
      <c r="AH106" s="123">
        <f t="shared" si="19"/>
        <v>5200</v>
      </c>
      <c r="AI106" s="123">
        <f t="shared" si="16"/>
        <v>260</v>
      </c>
      <c r="AJ106" s="123">
        <f t="shared" si="17"/>
        <v>5460</v>
      </c>
      <c r="AK106" s="124">
        <v>1001161064</v>
      </c>
      <c r="AL106" s="128"/>
    </row>
    <row r="107" spans="1:38" s="371" customFormat="1">
      <c r="A107" s="366">
        <v>42241</v>
      </c>
      <c r="B107" s="897">
        <v>615596</v>
      </c>
      <c r="C107" s="368">
        <v>1</v>
      </c>
      <c r="D107" s="123">
        <v>2600</v>
      </c>
      <c r="E107" s="123"/>
      <c r="F107" s="123">
        <v>2600</v>
      </c>
      <c r="G107" s="124"/>
      <c r="H107" s="123">
        <v>2600</v>
      </c>
      <c r="I107" s="1121">
        <v>13.5</v>
      </c>
      <c r="J107" s="123">
        <v>130</v>
      </c>
      <c r="K107" s="124"/>
      <c r="L107" s="1116">
        <v>2600</v>
      </c>
      <c r="M107" s="124"/>
      <c r="N107" s="123">
        <v>70</v>
      </c>
      <c r="O107" s="124"/>
      <c r="P107" s="1116">
        <v>2600</v>
      </c>
      <c r="Q107" s="407"/>
      <c r="R107" s="123">
        <v>91</v>
      </c>
      <c r="S107" s="124"/>
      <c r="T107" s="1116">
        <v>2600</v>
      </c>
      <c r="U107" s="124"/>
      <c r="V107" s="1116">
        <v>245</v>
      </c>
      <c r="W107" s="124"/>
      <c r="X107" s="123">
        <v>60</v>
      </c>
      <c r="Y107" s="123"/>
      <c r="Z107" s="123">
        <v>46</v>
      </c>
      <c r="AA107" s="123">
        <f t="shared" si="18"/>
        <v>7930</v>
      </c>
      <c r="AB107" s="124" t="e">
        <f>(#REF!+#REF!)*#REF!</f>
        <v>#REF!</v>
      </c>
      <c r="AC107" s="372"/>
      <c r="AD107" s="368"/>
      <c r="AE107" s="1119"/>
      <c r="AF107" s="1119"/>
      <c r="AG107" s="1119"/>
      <c r="AH107" s="123">
        <f t="shared" si="19"/>
        <v>4355</v>
      </c>
      <c r="AI107" s="123">
        <f t="shared" si="16"/>
        <v>217.75</v>
      </c>
      <c r="AJ107" s="123">
        <f t="shared" si="17"/>
        <v>4572.75</v>
      </c>
      <c r="AK107" s="124">
        <v>1001161064</v>
      </c>
      <c r="AL107" s="128"/>
    </row>
    <row r="108" spans="1:38" s="371" customFormat="1">
      <c r="A108" s="366">
        <v>42242</v>
      </c>
      <c r="B108" s="897">
        <v>497826</v>
      </c>
      <c r="C108" s="368"/>
      <c r="D108" s="123">
        <v>2600</v>
      </c>
      <c r="E108" s="123"/>
      <c r="F108" s="123">
        <v>2600</v>
      </c>
      <c r="G108" s="124"/>
      <c r="H108" s="123">
        <v>2600</v>
      </c>
      <c r="I108" s="1121"/>
      <c r="J108" s="123">
        <v>130</v>
      </c>
      <c r="K108" s="124"/>
      <c r="L108" s="1116">
        <v>2600</v>
      </c>
      <c r="M108" s="124">
        <v>12</v>
      </c>
      <c r="N108" s="123">
        <v>70</v>
      </c>
      <c r="O108" s="124"/>
      <c r="P108" s="1116">
        <v>2600</v>
      </c>
      <c r="Q108" s="407"/>
      <c r="R108" s="123">
        <v>91</v>
      </c>
      <c r="S108" s="124"/>
      <c r="T108" s="1116">
        <v>2600</v>
      </c>
      <c r="U108" s="124"/>
      <c r="V108" s="1116">
        <v>245</v>
      </c>
      <c r="W108" s="124">
        <v>12</v>
      </c>
      <c r="X108" s="123">
        <v>60</v>
      </c>
      <c r="Y108" s="123"/>
      <c r="Z108" s="123">
        <v>46</v>
      </c>
      <c r="AA108" s="123">
        <f t="shared" si="18"/>
        <v>7930</v>
      </c>
      <c r="AB108" s="124" t="e">
        <f>(#REF!+#REF!)*#REF!</f>
        <v>#REF!</v>
      </c>
      <c r="AC108" s="372"/>
      <c r="AD108" s="368"/>
      <c r="AE108" s="1119"/>
      <c r="AF108" s="1119"/>
      <c r="AG108" s="1119"/>
      <c r="AH108" s="123">
        <f t="shared" si="19"/>
        <v>1560</v>
      </c>
      <c r="AI108" s="123">
        <f t="shared" si="16"/>
        <v>78</v>
      </c>
      <c r="AJ108" s="123">
        <f t="shared" si="17"/>
        <v>1638</v>
      </c>
      <c r="AK108" s="124">
        <v>1001161064</v>
      </c>
      <c r="AL108" s="128"/>
    </row>
    <row r="109" spans="1:38" s="371" customFormat="1">
      <c r="A109" s="366">
        <v>42242</v>
      </c>
      <c r="B109" s="897">
        <v>615597</v>
      </c>
      <c r="C109" s="368">
        <v>1</v>
      </c>
      <c r="D109" s="123">
        <v>2600</v>
      </c>
      <c r="E109" s="123"/>
      <c r="F109" s="123">
        <v>2600</v>
      </c>
      <c r="G109" s="124"/>
      <c r="H109" s="123">
        <v>2600</v>
      </c>
      <c r="I109" s="1121">
        <v>12.5</v>
      </c>
      <c r="J109" s="123">
        <v>130</v>
      </c>
      <c r="K109" s="124"/>
      <c r="L109" s="1116">
        <v>2600</v>
      </c>
      <c r="M109" s="124"/>
      <c r="N109" s="123">
        <v>70</v>
      </c>
      <c r="O109" s="124"/>
      <c r="P109" s="1116">
        <v>2600</v>
      </c>
      <c r="Q109" s="407"/>
      <c r="R109" s="123">
        <v>91</v>
      </c>
      <c r="S109" s="124"/>
      <c r="T109" s="1116">
        <v>2600</v>
      </c>
      <c r="U109" s="124"/>
      <c r="V109" s="1116">
        <v>245</v>
      </c>
      <c r="W109" s="124"/>
      <c r="X109" s="123">
        <v>60</v>
      </c>
      <c r="Y109" s="123"/>
      <c r="Z109" s="123">
        <v>46</v>
      </c>
      <c r="AA109" s="123">
        <f t="shared" si="18"/>
        <v>7930</v>
      </c>
      <c r="AB109" s="124" t="e">
        <f>(#REF!+#REF!)*#REF!</f>
        <v>#REF!</v>
      </c>
      <c r="AC109" s="372"/>
      <c r="AD109" s="368"/>
      <c r="AE109" s="1119"/>
      <c r="AF109" s="1119"/>
      <c r="AG109" s="1119"/>
      <c r="AH109" s="123">
        <f t="shared" si="19"/>
        <v>4225</v>
      </c>
      <c r="AI109" s="123">
        <f t="shared" si="16"/>
        <v>211.25</v>
      </c>
      <c r="AJ109" s="123">
        <f t="shared" si="17"/>
        <v>4436.25</v>
      </c>
      <c r="AK109" s="124">
        <v>1001161064</v>
      </c>
      <c r="AL109" s="128"/>
    </row>
    <row r="110" spans="1:38" s="371" customFormat="1">
      <c r="A110" s="366">
        <v>42243</v>
      </c>
      <c r="B110" s="897">
        <v>497827</v>
      </c>
      <c r="C110" s="368"/>
      <c r="D110" s="123">
        <v>2600</v>
      </c>
      <c r="E110" s="123"/>
      <c r="F110" s="123">
        <v>2600</v>
      </c>
      <c r="G110" s="124"/>
      <c r="H110" s="123">
        <v>2600</v>
      </c>
      <c r="I110" s="1121"/>
      <c r="J110" s="123">
        <v>130</v>
      </c>
      <c r="K110" s="124"/>
      <c r="L110" s="1116">
        <v>2600</v>
      </c>
      <c r="M110" s="124">
        <v>12</v>
      </c>
      <c r="N110" s="123">
        <v>70</v>
      </c>
      <c r="O110" s="124"/>
      <c r="P110" s="1116">
        <v>2600</v>
      </c>
      <c r="Q110" s="407"/>
      <c r="R110" s="123">
        <v>91</v>
      </c>
      <c r="S110" s="124"/>
      <c r="T110" s="1116">
        <v>2600</v>
      </c>
      <c r="U110" s="124"/>
      <c r="V110" s="1116">
        <v>245</v>
      </c>
      <c r="W110" s="124">
        <v>12</v>
      </c>
      <c r="X110" s="123">
        <v>60</v>
      </c>
      <c r="Y110" s="123"/>
      <c r="Z110" s="123">
        <v>46</v>
      </c>
      <c r="AA110" s="123">
        <f t="shared" si="18"/>
        <v>7930</v>
      </c>
      <c r="AB110" s="124" t="e">
        <f>(#REF!+#REF!)*#REF!</f>
        <v>#REF!</v>
      </c>
      <c r="AC110" s="372"/>
      <c r="AD110" s="368"/>
      <c r="AE110" s="1119"/>
      <c r="AF110" s="1119"/>
      <c r="AG110" s="1119"/>
      <c r="AH110" s="123">
        <f t="shared" si="19"/>
        <v>1560</v>
      </c>
      <c r="AI110" s="123">
        <f t="shared" si="16"/>
        <v>78</v>
      </c>
      <c r="AJ110" s="123">
        <f t="shared" si="17"/>
        <v>1638</v>
      </c>
      <c r="AK110" s="124">
        <v>1001161064</v>
      </c>
      <c r="AL110" s="128"/>
    </row>
    <row r="111" spans="1:38" s="371" customFormat="1">
      <c r="A111" s="366">
        <v>42243</v>
      </c>
      <c r="B111" s="897">
        <v>615598</v>
      </c>
      <c r="C111" s="368">
        <v>1</v>
      </c>
      <c r="D111" s="123">
        <v>2600</v>
      </c>
      <c r="E111" s="123"/>
      <c r="F111" s="123">
        <v>2600</v>
      </c>
      <c r="G111" s="124"/>
      <c r="H111" s="123">
        <v>2600</v>
      </c>
      <c r="I111" s="1121">
        <v>13</v>
      </c>
      <c r="J111" s="123">
        <v>130</v>
      </c>
      <c r="K111" s="124"/>
      <c r="L111" s="1116">
        <v>2600</v>
      </c>
      <c r="M111" s="124"/>
      <c r="N111" s="123">
        <v>70</v>
      </c>
      <c r="O111" s="124"/>
      <c r="P111" s="1116">
        <v>2600</v>
      </c>
      <c r="Q111" s="407"/>
      <c r="R111" s="123">
        <v>91</v>
      </c>
      <c r="S111" s="124"/>
      <c r="T111" s="1116">
        <v>2600</v>
      </c>
      <c r="U111" s="124"/>
      <c r="V111" s="1116">
        <v>245</v>
      </c>
      <c r="W111" s="124"/>
      <c r="X111" s="123">
        <v>60</v>
      </c>
      <c r="Y111" s="123"/>
      <c r="Z111" s="123">
        <v>46</v>
      </c>
      <c r="AA111" s="123">
        <f t="shared" si="18"/>
        <v>7930</v>
      </c>
      <c r="AB111" s="124" t="e">
        <f>(#REF!+#REF!)*#REF!</f>
        <v>#REF!</v>
      </c>
      <c r="AC111" s="372"/>
      <c r="AD111" s="368"/>
      <c r="AE111" s="1119"/>
      <c r="AF111" s="1119"/>
      <c r="AG111" s="1119"/>
      <c r="AH111" s="123">
        <f t="shared" si="19"/>
        <v>4290</v>
      </c>
      <c r="AI111" s="123">
        <f t="shared" si="16"/>
        <v>214.5</v>
      </c>
      <c r="AJ111" s="123">
        <f t="shared" si="17"/>
        <v>4504.5</v>
      </c>
      <c r="AK111" s="124">
        <v>1001161064</v>
      </c>
      <c r="AL111" s="128"/>
    </row>
    <row r="112" spans="1:38" s="371" customFormat="1">
      <c r="A112" s="366">
        <v>42243</v>
      </c>
      <c r="B112" s="897">
        <v>497828</v>
      </c>
      <c r="C112" s="368"/>
      <c r="D112" s="123">
        <v>2600</v>
      </c>
      <c r="E112" s="123"/>
      <c r="F112" s="123">
        <v>2600</v>
      </c>
      <c r="G112" s="124"/>
      <c r="H112" s="123">
        <v>2600</v>
      </c>
      <c r="I112" s="1121"/>
      <c r="J112" s="123">
        <v>130</v>
      </c>
      <c r="K112" s="124"/>
      <c r="L112" s="1116">
        <v>2600</v>
      </c>
      <c r="M112" s="124">
        <v>7</v>
      </c>
      <c r="N112" s="123">
        <v>70</v>
      </c>
      <c r="O112" s="124"/>
      <c r="P112" s="1116">
        <v>2600</v>
      </c>
      <c r="Q112" s="407"/>
      <c r="R112" s="123">
        <v>91</v>
      </c>
      <c r="S112" s="124"/>
      <c r="T112" s="1116">
        <v>2600</v>
      </c>
      <c r="U112" s="124"/>
      <c r="V112" s="1116">
        <v>245</v>
      </c>
      <c r="W112" s="124">
        <v>7</v>
      </c>
      <c r="X112" s="123">
        <v>60</v>
      </c>
      <c r="Y112" s="123"/>
      <c r="Z112" s="123">
        <v>46</v>
      </c>
      <c r="AA112" s="123">
        <f t="shared" si="18"/>
        <v>7930</v>
      </c>
      <c r="AB112" s="124" t="e">
        <f>(#REF!+#REF!)*#REF!</f>
        <v>#REF!</v>
      </c>
      <c r="AC112" s="372"/>
      <c r="AD112" s="368"/>
      <c r="AE112" s="1119"/>
      <c r="AF112" s="1119"/>
      <c r="AG112" s="1119"/>
      <c r="AH112" s="123">
        <f t="shared" si="19"/>
        <v>910</v>
      </c>
      <c r="AI112" s="123">
        <f t="shared" si="16"/>
        <v>45.5</v>
      </c>
      <c r="AJ112" s="123">
        <f t="shared" si="17"/>
        <v>955.5</v>
      </c>
      <c r="AK112" s="124">
        <v>1001161064</v>
      </c>
      <c r="AL112" s="128"/>
    </row>
    <row r="113" spans="1:39" s="371" customFormat="1">
      <c r="A113" s="366">
        <v>42244</v>
      </c>
      <c r="B113" s="472">
        <v>615599</v>
      </c>
      <c r="C113" s="368">
        <v>1</v>
      </c>
      <c r="D113" s="123">
        <v>2600</v>
      </c>
      <c r="E113" s="123"/>
      <c r="F113" s="123">
        <v>2600</v>
      </c>
      <c r="G113" s="124"/>
      <c r="H113" s="123">
        <v>2600</v>
      </c>
      <c r="I113" s="1121">
        <v>13</v>
      </c>
      <c r="J113" s="123">
        <v>130</v>
      </c>
      <c r="K113" s="124"/>
      <c r="L113" s="1116">
        <v>2600</v>
      </c>
      <c r="M113" s="124"/>
      <c r="N113" s="123">
        <v>70</v>
      </c>
      <c r="O113" s="124"/>
      <c r="P113" s="1116">
        <v>2600</v>
      </c>
      <c r="Q113" s="407"/>
      <c r="R113" s="123">
        <v>91</v>
      </c>
      <c r="S113" s="124"/>
      <c r="T113" s="1116">
        <v>2600</v>
      </c>
      <c r="U113" s="124"/>
      <c r="V113" s="1116">
        <v>245</v>
      </c>
      <c r="W113" s="124"/>
      <c r="X113" s="123">
        <v>60</v>
      </c>
      <c r="Y113" s="123"/>
      <c r="Z113" s="123">
        <v>46</v>
      </c>
      <c r="AA113" s="123">
        <f t="shared" si="18"/>
        <v>7930</v>
      </c>
      <c r="AB113" s="124" t="e">
        <f>(#REF!+#REF!)*#REF!</f>
        <v>#REF!</v>
      </c>
      <c r="AC113" s="372"/>
      <c r="AD113" s="368"/>
      <c r="AE113" s="1119"/>
      <c r="AF113" s="1119"/>
      <c r="AG113" s="1119"/>
      <c r="AH113" s="123">
        <f t="shared" si="19"/>
        <v>4290</v>
      </c>
      <c r="AI113" s="123">
        <f t="shared" si="16"/>
        <v>214.5</v>
      </c>
      <c r="AJ113" s="123">
        <f t="shared" si="17"/>
        <v>4504.5</v>
      </c>
      <c r="AK113" s="124">
        <v>1001161064</v>
      </c>
      <c r="AL113" s="128"/>
    </row>
    <row r="114" spans="1:39" s="371" customFormat="1">
      <c r="A114" s="366">
        <v>42245</v>
      </c>
      <c r="B114" s="472">
        <v>497829</v>
      </c>
      <c r="C114" s="368"/>
      <c r="D114" s="123">
        <v>2600</v>
      </c>
      <c r="E114" s="123"/>
      <c r="F114" s="123">
        <v>2600</v>
      </c>
      <c r="G114" s="124"/>
      <c r="H114" s="123">
        <v>2600</v>
      </c>
      <c r="I114" s="1121"/>
      <c r="J114" s="123">
        <v>130</v>
      </c>
      <c r="K114" s="124"/>
      <c r="L114" s="1116">
        <v>2600</v>
      </c>
      <c r="M114" s="124">
        <v>5</v>
      </c>
      <c r="N114" s="123">
        <v>70</v>
      </c>
      <c r="O114" s="124"/>
      <c r="P114" s="1116">
        <v>2600</v>
      </c>
      <c r="Q114" s="407"/>
      <c r="R114" s="123">
        <v>91</v>
      </c>
      <c r="S114" s="124"/>
      <c r="T114" s="1116">
        <v>2600</v>
      </c>
      <c r="U114" s="124"/>
      <c r="V114" s="1116">
        <v>245</v>
      </c>
      <c r="W114" s="124">
        <v>5</v>
      </c>
      <c r="X114" s="123">
        <v>60</v>
      </c>
      <c r="Y114" s="123"/>
      <c r="Z114" s="123">
        <v>46</v>
      </c>
      <c r="AA114" s="123">
        <f t="shared" si="18"/>
        <v>7930</v>
      </c>
      <c r="AB114" s="124" t="e">
        <f>(#REF!+#REF!)*#REF!</f>
        <v>#REF!</v>
      </c>
      <c r="AC114" s="372"/>
      <c r="AD114" s="368"/>
      <c r="AE114" s="1119"/>
      <c r="AF114" s="1119"/>
      <c r="AG114" s="1119"/>
      <c r="AH114" s="123">
        <f t="shared" si="19"/>
        <v>650</v>
      </c>
      <c r="AI114" s="123">
        <f t="shared" si="16"/>
        <v>32.5</v>
      </c>
      <c r="AJ114" s="123">
        <f t="shared" si="17"/>
        <v>682.5</v>
      </c>
      <c r="AK114" s="124">
        <v>1001161064</v>
      </c>
      <c r="AL114" s="128"/>
    </row>
    <row r="115" spans="1:39" s="371" customFormat="1">
      <c r="A115" s="366">
        <v>42245</v>
      </c>
      <c r="B115" s="472">
        <v>615600</v>
      </c>
      <c r="C115" s="368">
        <v>1</v>
      </c>
      <c r="D115" s="123">
        <v>2600</v>
      </c>
      <c r="E115" s="123"/>
      <c r="F115" s="123">
        <v>2600</v>
      </c>
      <c r="G115" s="124"/>
      <c r="H115" s="123">
        <v>2600</v>
      </c>
      <c r="I115" s="122">
        <v>12.5</v>
      </c>
      <c r="J115" s="123">
        <v>130</v>
      </c>
      <c r="K115" s="124"/>
      <c r="L115" s="1116">
        <v>2600</v>
      </c>
      <c r="M115" s="124"/>
      <c r="N115" s="123">
        <v>70</v>
      </c>
      <c r="O115" s="124"/>
      <c r="P115" s="1116">
        <v>2600</v>
      </c>
      <c r="Q115" s="407"/>
      <c r="R115" s="123">
        <v>91</v>
      </c>
      <c r="S115" s="124"/>
      <c r="T115" s="1116">
        <v>2600</v>
      </c>
      <c r="U115" s="124"/>
      <c r="V115" s="1116">
        <v>245</v>
      </c>
      <c r="W115" s="124"/>
      <c r="X115" s="123">
        <v>60</v>
      </c>
      <c r="Y115" s="123"/>
      <c r="Z115" s="123">
        <v>46</v>
      </c>
      <c r="AA115" s="123">
        <f t="shared" si="18"/>
        <v>7930</v>
      </c>
      <c r="AB115" s="124" t="e">
        <f>(#REF!+#REF!)*#REF!</f>
        <v>#REF!</v>
      </c>
      <c r="AC115" s="372"/>
      <c r="AD115" s="368"/>
      <c r="AE115" s="1119"/>
      <c r="AF115" s="1119"/>
      <c r="AG115" s="1119"/>
      <c r="AH115" s="123">
        <f t="shared" si="19"/>
        <v>4225</v>
      </c>
      <c r="AI115" s="123">
        <f t="shared" si="16"/>
        <v>211.25</v>
      </c>
      <c r="AJ115" s="123">
        <f t="shared" si="17"/>
        <v>4436.25</v>
      </c>
      <c r="AK115" s="124">
        <v>1001161064</v>
      </c>
      <c r="AL115" s="128"/>
    </row>
    <row r="116" spans="1:39" s="371" customFormat="1">
      <c r="A116" s="366">
        <v>42246</v>
      </c>
      <c r="B116" s="472">
        <v>614527</v>
      </c>
      <c r="C116" s="368">
        <v>1</v>
      </c>
      <c r="D116" s="123">
        <v>2600</v>
      </c>
      <c r="E116" s="123"/>
      <c r="F116" s="123">
        <v>2600</v>
      </c>
      <c r="G116" s="124"/>
      <c r="H116" s="123">
        <v>2600</v>
      </c>
      <c r="I116" s="1121">
        <v>12.5</v>
      </c>
      <c r="J116" s="123">
        <v>130</v>
      </c>
      <c r="K116" s="124"/>
      <c r="L116" s="1116">
        <v>2600</v>
      </c>
      <c r="M116" s="124"/>
      <c r="N116" s="123">
        <v>70</v>
      </c>
      <c r="O116" s="124"/>
      <c r="P116" s="1116">
        <v>2600</v>
      </c>
      <c r="Q116" s="407"/>
      <c r="R116" s="123">
        <v>91</v>
      </c>
      <c r="S116" s="124"/>
      <c r="T116" s="1116">
        <v>2600</v>
      </c>
      <c r="U116" s="124"/>
      <c r="V116" s="1116">
        <v>245</v>
      </c>
      <c r="W116" s="124"/>
      <c r="X116" s="123">
        <v>60</v>
      </c>
      <c r="Y116" s="123"/>
      <c r="Z116" s="123">
        <v>46</v>
      </c>
      <c r="AA116" s="123">
        <f t="shared" si="18"/>
        <v>7930</v>
      </c>
      <c r="AB116" s="124" t="e">
        <f>(#REF!+#REF!)*#REF!</f>
        <v>#REF!</v>
      </c>
      <c r="AC116" s="372"/>
      <c r="AD116" s="368"/>
      <c r="AE116" s="1119"/>
      <c r="AF116" s="1119"/>
      <c r="AG116" s="1119"/>
      <c r="AH116" s="123">
        <f t="shared" si="19"/>
        <v>4225</v>
      </c>
      <c r="AI116" s="123">
        <f t="shared" si="16"/>
        <v>211.25</v>
      </c>
      <c r="AJ116" s="123">
        <f t="shared" si="17"/>
        <v>4436.25</v>
      </c>
      <c r="AK116" s="124">
        <v>1001161064</v>
      </c>
      <c r="AL116" s="128"/>
    </row>
    <row r="117" spans="1:39" s="371" customFormat="1">
      <c r="A117" s="366">
        <v>42247</v>
      </c>
      <c r="B117" s="472">
        <v>497830</v>
      </c>
      <c r="C117" s="368"/>
      <c r="D117" s="123">
        <v>2600</v>
      </c>
      <c r="E117" s="123"/>
      <c r="F117" s="123">
        <v>2600</v>
      </c>
      <c r="G117" s="124"/>
      <c r="H117" s="123">
        <v>2600</v>
      </c>
      <c r="I117" s="1121"/>
      <c r="J117" s="123">
        <v>130</v>
      </c>
      <c r="K117" s="124"/>
      <c r="L117" s="1116">
        <v>2600</v>
      </c>
      <c r="M117" s="124">
        <v>12</v>
      </c>
      <c r="N117" s="123">
        <v>70</v>
      </c>
      <c r="O117" s="124"/>
      <c r="P117" s="1116">
        <v>2600</v>
      </c>
      <c r="Q117" s="407"/>
      <c r="R117" s="123">
        <v>91</v>
      </c>
      <c r="S117" s="124"/>
      <c r="T117" s="1116">
        <v>2600</v>
      </c>
      <c r="U117" s="124"/>
      <c r="V117" s="1116">
        <v>245</v>
      </c>
      <c r="W117" s="124">
        <v>12</v>
      </c>
      <c r="X117" s="123">
        <v>60</v>
      </c>
      <c r="Y117" s="123"/>
      <c r="Z117" s="123">
        <v>46</v>
      </c>
      <c r="AA117" s="123">
        <f t="shared" si="18"/>
        <v>7930</v>
      </c>
      <c r="AB117" s="124" t="e">
        <f>(#REF!+#REF!)*#REF!</f>
        <v>#REF!</v>
      </c>
      <c r="AC117" s="372"/>
      <c r="AD117" s="368"/>
      <c r="AE117" s="1119"/>
      <c r="AF117" s="1119"/>
      <c r="AG117" s="1119"/>
      <c r="AH117" s="123">
        <f t="shared" si="19"/>
        <v>1560</v>
      </c>
      <c r="AI117" s="123">
        <f t="shared" si="16"/>
        <v>78</v>
      </c>
      <c r="AJ117" s="123">
        <f t="shared" si="17"/>
        <v>1638</v>
      </c>
      <c r="AK117" s="124">
        <v>1001161064</v>
      </c>
      <c r="AL117" s="128"/>
    </row>
    <row r="118" spans="1:39" s="371" customFormat="1">
      <c r="A118" s="366">
        <v>42247</v>
      </c>
      <c r="B118" s="472">
        <v>614526</v>
      </c>
      <c r="C118" s="368"/>
      <c r="D118" s="123">
        <v>2600</v>
      </c>
      <c r="E118" s="123"/>
      <c r="F118" s="123">
        <v>2600</v>
      </c>
      <c r="G118" s="124">
        <v>1</v>
      </c>
      <c r="H118" s="123">
        <v>2600</v>
      </c>
      <c r="I118" s="1121">
        <v>12.5</v>
      </c>
      <c r="J118" s="123">
        <v>130</v>
      </c>
      <c r="K118" s="124"/>
      <c r="L118" s="1116">
        <v>2600</v>
      </c>
      <c r="M118" s="124"/>
      <c r="N118" s="123">
        <v>70</v>
      </c>
      <c r="O118" s="124"/>
      <c r="P118" s="1116">
        <v>2600</v>
      </c>
      <c r="Q118" s="407"/>
      <c r="R118" s="123">
        <v>91</v>
      </c>
      <c r="S118" s="124"/>
      <c r="T118" s="1116">
        <v>2600</v>
      </c>
      <c r="U118" s="124">
        <v>2</v>
      </c>
      <c r="V118" s="1116">
        <v>245</v>
      </c>
      <c r="W118" s="124"/>
      <c r="X118" s="123">
        <v>60</v>
      </c>
      <c r="Y118" s="123"/>
      <c r="Z118" s="123">
        <v>46</v>
      </c>
      <c r="AA118" s="123">
        <f t="shared" si="18"/>
        <v>7930</v>
      </c>
      <c r="AB118" s="124" t="e">
        <f>(#REF!+#REF!)*#REF!</f>
        <v>#REF!</v>
      </c>
      <c r="AC118" s="372"/>
      <c r="AD118" s="368"/>
      <c r="AE118" s="1119"/>
      <c r="AF118" s="1119"/>
      <c r="AG118" s="1119"/>
      <c r="AH118" s="123">
        <f t="shared" si="19"/>
        <v>4715</v>
      </c>
      <c r="AI118" s="123">
        <f t="shared" ref="AI118:AI149" si="20">(AH118*5%)</f>
        <v>235.75</v>
      </c>
      <c r="AJ118" s="123">
        <f t="shared" ref="AJ118:AJ149" si="21">SUM(AH118+AI118)</f>
        <v>4950.75</v>
      </c>
      <c r="AK118" s="124">
        <v>1001161064</v>
      </c>
      <c r="AL118" s="128"/>
      <c r="AM118" s="370"/>
    </row>
    <row r="119" spans="1:39" s="384" customFormat="1">
      <c r="A119" s="373">
        <v>42248</v>
      </c>
      <c r="B119" s="735">
        <v>498831</v>
      </c>
      <c r="C119" s="375"/>
      <c r="D119" s="376">
        <v>2600</v>
      </c>
      <c r="E119" s="376"/>
      <c r="F119" s="376">
        <v>2600</v>
      </c>
      <c r="G119" s="379"/>
      <c r="H119" s="376">
        <v>2600</v>
      </c>
      <c r="I119" s="736">
        <v>12</v>
      </c>
      <c r="J119" s="376">
        <v>130</v>
      </c>
      <c r="K119" s="379"/>
      <c r="L119" s="737">
        <v>2600</v>
      </c>
      <c r="M119" s="736">
        <v>12</v>
      </c>
      <c r="N119" s="376">
        <v>70</v>
      </c>
      <c r="O119" s="379"/>
      <c r="P119" s="737">
        <v>2600</v>
      </c>
      <c r="Q119" s="738"/>
      <c r="R119" s="376">
        <v>91</v>
      </c>
      <c r="S119" s="379"/>
      <c r="T119" s="737">
        <v>2600</v>
      </c>
      <c r="U119" s="379"/>
      <c r="V119" s="737">
        <v>245</v>
      </c>
      <c r="W119" s="379">
        <v>12</v>
      </c>
      <c r="X119" s="376">
        <v>60</v>
      </c>
      <c r="Y119" s="376"/>
      <c r="Z119" s="376">
        <v>46</v>
      </c>
      <c r="AA119" s="27">
        <f t="shared" si="18"/>
        <v>7930</v>
      </c>
      <c r="AB119" s="31" t="e">
        <f>(#REF!+#REF!)*#REF!</f>
        <v>#REF!</v>
      </c>
      <c r="AC119" s="29"/>
      <c r="AD119" s="64"/>
      <c r="AE119" s="740"/>
      <c r="AF119" s="740"/>
      <c r="AG119" s="740"/>
      <c r="AH119" s="376">
        <f t="shared" si="19"/>
        <v>3120</v>
      </c>
      <c r="AI119" s="376">
        <f t="shared" si="20"/>
        <v>156</v>
      </c>
      <c r="AJ119" s="376">
        <f t="shared" si="21"/>
        <v>3276</v>
      </c>
      <c r="AK119" s="375">
        <v>1001154781</v>
      </c>
      <c r="AL119" s="382"/>
      <c r="AM119" s="383"/>
    </row>
    <row r="120" spans="1:39" s="384" customFormat="1">
      <c r="A120" s="373">
        <v>42248</v>
      </c>
      <c r="B120" s="735">
        <v>614528</v>
      </c>
      <c r="C120" s="375"/>
      <c r="D120" s="376">
        <v>2600</v>
      </c>
      <c r="E120" s="376"/>
      <c r="F120" s="376">
        <v>2600</v>
      </c>
      <c r="G120" s="379">
        <v>0.5</v>
      </c>
      <c r="H120" s="376">
        <v>2600</v>
      </c>
      <c r="I120" s="736">
        <v>7</v>
      </c>
      <c r="J120" s="376">
        <v>130</v>
      </c>
      <c r="K120" s="379"/>
      <c r="L120" s="737">
        <v>2600</v>
      </c>
      <c r="M120" s="376"/>
      <c r="N120" s="376">
        <v>70</v>
      </c>
      <c r="O120" s="379"/>
      <c r="P120" s="737">
        <v>2600</v>
      </c>
      <c r="Q120" s="738"/>
      <c r="R120" s="376">
        <v>91</v>
      </c>
      <c r="S120" s="379"/>
      <c r="T120" s="737">
        <v>2600</v>
      </c>
      <c r="U120" s="379"/>
      <c r="V120" s="737">
        <v>245</v>
      </c>
      <c r="W120" s="379"/>
      <c r="X120" s="376">
        <v>60</v>
      </c>
      <c r="Y120" s="376"/>
      <c r="Z120" s="376">
        <v>46</v>
      </c>
      <c r="AA120" s="27">
        <f t="shared" si="18"/>
        <v>7930</v>
      </c>
      <c r="AB120" s="31" t="e">
        <f>(#REF!+#REF!)*#REF!</f>
        <v>#REF!</v>
      </c>
      <c r="AC120" s="29"/>
      <c r="AD120" s="64"/>
      <c r="AE120" s="740"/>
      <c r="AF120" s="740"/>
      <c r="AG120" s="740"/>
      <c r="AH120" s="376">
        <f t="shared" si="19"/>
        <v>2210</v>
      </c>
      <c r="AI120" s="376">
        <f t="shared" si="20"/>
        <v>110.5</v>
      </c>
      <c r="AJ120" s="376">
        <f t="shared" si="21"/>
        <v>2320.5</v>
      </c>
      <c r="AK120" s="375">
        <v>1001154781</v>
      </c>
      <c r="AL120" s="382"/>
      <c r="AM120" s="383"/>
    </row>
    <row r="121" spans="1:39" s="384" customFormat="1">
      <c r="A121" s="373">
        <v>42249</v>
      </c>
      <c r="B121" s="735">
        <v>497832</v>
      </c>
      <c r="C121" s="375"/>
      <c r="D121" s="376">
        <v>2600</v>
      </c>
      <c r="E121" s="376"/>
      <c r="F121" s="376">
        <v>2600</v>
      </c>
      <c r="G121" s="379"/>
      <c r="H121" s="376">
        <v>2600</v>
      </c>
      <c r="I121" s="736"/>
      <c r="J121" s="376">
        <v>130</v>
      </c>
      <c r="K121" s="379"/>
      <c r="L121" s="737">
        <v>2600</v>
      </c>
      <c r="M121" s="736">
        <v>12</v>
      </c>
      <c r="N121" s="376">
        <v>70</v>
      </c>
      <c r="O121" s="379"/>
      <c r="P121" s="737">
        <v>2600</v>
      </c>
      <c r="Q121" s="738"/>
      <c r="R121" s="376">
        <v>91</v>
      </c>
      <c r="S121" s="379"/>
      <c r="T121" s="737">
        <v>2600</v>
      </c>
      <c r="U121" s="379"/>
      <c r="V121" s="737">
        <v>245</v>
      </c>
      <c r="W121" s="379">
        <v>12</v>
      </c>
      <c r="X121" s="376">
        <v>60</v>
      </c>
      <c r="Y121" s="376"/>
      <c r="Z121" s="376">
        <v>46</v>
      </c>
      <c r="AA121" s="27">
        <f t="shared" si="18"/>
        <v>7930</v>
      </c>
      <c r="AB121" s="31" t="e">
        <f>(#REF!+#REF!)*#REF!</f>
        <v>#REF!</v>
      </c>
      <c r="AC121" s="29"/>
      <c r="AD121" s="64"/>
      <c r="AE121" s="740"/>
      <c r="AF121" s="740"/>
      <c r="AG121" s="740"/>
      <c r="AH121" s="376">
        <f t="shared" si="19"/>
        <v>1560</v>
      </c>
      <c r="AI121" s="376">
        <f t="shared" si="20"/>
        <v>78</v>
      </c>
      <c r="AJ121" s="376">
        <f t="shared" si="21"/>
        <v>1638</v>
      </c>
      <c r="AK121" s="375">
        <v>1001154781</v>
      </c>
      <c r="AL121" s="382"/>
      <c r="AM121" s="383"/>
    </row>
    <row r="122" spans="1:39" s="384" customFormat="1">
      <c r="A122" s="784">
        <v>42249</v>
      </c>
      <c r="B122" s="785">
        <v>614529</v>
      </c>
      <c r="C122" s="786"/>
      <c r="D122" s="787"/>
      <c r="E122" s="787"/>
      <c r="F122" s="787"/>
      <c r="G122" s="789">
        <v>1</v>
      </c>
      <c r="H122" s="376">
        <v>2600</v>
      </c>
      <c r="I122" s="788">
        <v>13</v>
      </c>
      <c r="J122" s="376">
        <v>130</v>
      </c>
      <c r="K122" s="789"/>
      <c r="L122" s="790"/>
      <c r="M122" s="788"/>
      <c r="N122" s="787"/>
      <c r="O122" s="789"/>
      <c r="P122" s="790"/>
      <c r="Q122" s="787"/>
      <c r="R122" s="787"/>
      <c r="S122" s="789"/>
      <c r="T122" s="790"/>
      <c r="U122" s="789">
        <v>2</v>
      </c>
      <c r="V122" s="737">
        <v>245</v>
      </c>
      <c r="W122" s="789"/>
      <c r="X122" s="787"/>
      <c r="Y122" s="787"/>
      <c r="Z122" s="787"/>
      <c r="AA122" s="774"/>
      <c r="AB122" s="775"/>
      <c r="AC122" s="791"/>
      <c r="AD122" s="776"/>
      <c r="AE122" s="786"/>
      <c r="AF122" s="786"/>
      <c r="AG122" s="786"/>
      <c r="AH122" s="376">
        <f t="shared" si="19"/>
        <v>4780</v>
      </c>
      <c r="AI122" s="376">
        <f t="shared" si="20"/>
        <v>239</v>
      </c>
      <c r="AJ122" s="376">
        <f t="shared" si="21"/>
        <v>5019</v>
      </c>
      <c r="AK122" s="375">
        <v>1001154781</v>
      </c>
      <c r="AL122" s="792"/>
      <c r="AM122" s="383"/>
    </row>
    <row r="123" spans="1:39" s="384" customFormat="1">
      <c r="A123" s="373">
        <v>42250</v>
      </c>
      <c r="B123" s="739">
        <v>614530</v>
      </c>
      <c r="C123" s="740"/>
      <c r="D123" s="376">
        <v>2600</v>
      </c>
      <c r="E123" s="741"/>
      <c r="F123" s="376">
        <v>2600</v>
      </c>
      <c r="G123" s="742">
        <v>1</v>
      </c>
      <c r="H123" s="741">
        <v>2600</v>
      </c>
      <c r="I123" s="743">
        <v>12.5</v>
      </c>
      <c r="J123" s="376">
        <v>130</v>
      </c>
      <c r="K123" s="742"/>
      <c r="L123" s="737">
        <v>2600</v>
      </c>
      <c r="M123" s="743"/>
      <c r="N123" s="376">
        <v>70</v>
      </c>
      <c r="O123" s="742"/>
      <c r="P123" s="737">
        <v>2600</v>
      </c>
      <c r="Q123" s="741"/>
      <c r="R123" s="376">
        <v>91</v>
      </c>
      <c r="S123" s="742"/>
      <c r="T123" s="737">
        <v>2600</v>
      </c>
      <c r="U123" s="742"/>
      <c r="V123" s="737">
        <v>245</v>
      </c>
      <c r="W123" s="742"/>
      <c r="X123" s="376">
        <v>60</v>
      </c>
      <c r="Y123" s="741"/>
      <c r="Z123" s="376">
        <v>46</v>
      </c>
      <c r="AA123" s="507"/>
      <c r="AB123" s="508"/>
      <c r="AC123" s="526"/>
      <c r="AD123" s="509"/>
      <c r="AE123" s="740">
        <v>2</v>
      </c>
      <c r="AF123" s="747">
        <v>245</v>
      </c>
      <c r="AG123" s="747"/>
      <c r="AH123" s="376">
        <f>SUM(C123*D123)+(G123*H123)+(I123*J123)+(Q123*R123)+(K123*L123)+(M123*N123)+(W123*X123)+(Y123*Z123)+(O123*P123)+(U123*V123)+(S123*T123)+(E123*F123)+(AE123*AF123)</f>
        <v>4715</v>
      </c>
      <c r="AI123" s="376">
        <f t="shared" si="20"/>
        <v>235.75</v>
      </c>
      <c r="AJ123" s="376">
        <f t="shared" si="21"/>
        <v>4950.75</v>
      </c>
      <c r="AK123" s="375">
        <v>1001154781</v>
      </c>
      <c r="AL123" s="748"/>
      <c r="AM123" s="383"/>
    </row>
    <row r="124" spans="1:39" s="384" customFormat="1">
      <c r="A124" s="784">
        <v>42250</v>
      </c>
      <c r="B124" s="785">
        <v>497833</v>
      </c>
      <c r="C124" s="786"/>
      <c r="D124" s="787"/>
      <c r="E124" s="787"/>
      <c r="F124" s="787"/>
      <c r="G124" s="789"/>
      <c r="H124" s="787"/>
      <c r="I124" s="788"/>
      <c r="J124" s="787"/>
      <c r="K124" s="789"/>
      <c r="L124" s="790"/>
      <c r="M124" s="788"/>
      <c r="N124" s="787"/>
      <c r="O124" s="789">
        <v>11</v>
      </c>
      <c r="P124" s="790">
        <v>130</v>
      </c>
      <c r="Q124" s="787"/>
      <c r="R124" s="787"/>
      <c r="S124" s="789"/>
      <c r="T124" s="790"/>
      <c r="U124" s="789"/>
      <c r="V124" s="790"/>
      <c r="W124" s="789"/>
      <c r="X124" s="787"/>
      <c r="Y124" s="787"/>
      <c r="Z124" s="787"/>
      <c r="AA124" s="774"/>
      <c r="AB124" s="775"/>
      <c r="AC124" s="791"/>
      <c r="AD124" s="776"/>
      <c r="AE124" s="786"/>
      <c r="AF124" s="793"/>
      <c r="AG124" s="793"/>
      <c r="AH124" s="376">
        <f>SUM(C124*D124)+(G124*H124)+(I124*J124)+(Q124*R124)+(K124*L124)+(M124*N124)+(W124*X124)+(Y124*Z124)+(O124*P124)+(U124*V124)+(S124*T124)+(E124*F124)+(AE124*AF124)</f>
        <v>1430</v>
      </c>
      <c r="AI124" s="376">
        <f t="shared" si="20"/>
        <v>71.5</v>
      </c>
      <c r="AJ124" s="376">
        <f t="shared" si="21"/>
        <v>1501.5</v>
      </c>
      <c r="AK124" s="375">
        <v>1001154781</v>
      </c>
      <c r="AL124" s="792"/>
      <c r="AM124" s="383"/>
    </row>
    <row r="125" spans="1:39" s="384" customFormat="1">
      <c r="A125" s="373">
        <v>42251</v>
      </c>
      <c r="B125" s="735">
        <v>614531</v>
      </c>
      <c r="C125" s="375"/>
      <c r="D125" s="376">
        <v>2600</v>
      </c>
      <c r="E125" s="376"/>
      <c r="F125" s="376">
        <v>2600</v>
      </c>
      <c r="G125" s="379">
        <v>1</v>
      </c>
      <c r="H125" s="376">
        <v>2600</v>
      </c>
      <c r="I125" s="736">
        <v>12</v>
      </c>
      <c r="J125" s="376">
        <v>130</v>
      </c>
      <c r="K125" s="379"/>
      <c r="L125" s="737">
        <v>2600</v>
      </c>
      <c r="M125" s="379"/>
      <c r="N125" s="376">
        <v>70</v>
      </c>
      <c r="O125" s="379"/>
      <c r="P125" s="737">
        <v>2600</v>
      </c>
      <c r="Q125" s="738"/>
      <c r="R125" s="376">
        <v>91</v>
      </c>
      <c r="S125" s="379"/>
      <c r="T125" s="737">
        <v>2600</v>
      </c>
      <c r="U125" s="379"/>
      <c r="V125" s="737">
        <v>245</v>
      </c>
      <c r="W125" s="379"/>
      <c r="X125" s="376">
        <v>60</v>
      </c>
      <c r="Y125" s="376"/>
      <c r="Z125" s="376">
        <v>46</v>
      </c>
      <c r="AA125" s="27">
        <f>SUM(L125,J125,H125,D125)</f>
        <v>7930</v>
      </c>
      <c r="AB125" s="31" t="e">
        <f>(#REF!+#REF!)*#REF!</f>
        <v>#REF!</v>
      </c>
      <c r="AC125" s="29"/>
      <c r="AD125" s="64"/>
      <c r="AE125" s="740"/>
      <c r="AF125" s="747">
        <v>245</v>
      </c>
      <c r="AG125" s="747"/>
      <c r="AH125" s="376">
        <f>SUM(C125*D125)+(G125*H125)+(I125*J125)+(Q125*R125)+(K125*L125)+(M125*N125)+(W125*X125)+(Y125*Z125)+(O125*P125)+(U125*V125)+(S125*T125)+(E125*F125)+(AE125*AF125)</f>
        <v>4160</v>
      </c>
      <c r="AI125" s="376">
        <f t="shared" si="20"/>
        <v>208</v>
      </c>
      <c r="AJ125" s="376">
        <f t="shared" si="21"/>
        <v>4368</v>
      </c>
      <c r="AK125" s="375">
        <v>1001154781</v>
      </c>
      <c r="AL125" s="382"/>
      <c r="AM125" s="383"/>
    </row>
    <row r="126" spans="1:39" s="384" customFormat="1">
      <c r="A126" s="373">
        <v>42252</v>
      </c>
      <c r="B126" s="735">
        <v>614532</v>
      </c>
      <c r="C126" s="375"/>
      <c r="D126" s="376">
        <v>2600</v>
      </c>
      <c r="E126" s="376"/>
      <c r="F126" s="376">
        <v>2600</v>
      </c>
      <c r="G126" s="379"/>
      <c r="H126" s="376">
        <v>2600</v>
      </c>
      <c r="I126" s="736">
        <v>9</v>
      </c>
      <c r="J126" s="376">
        <v>130</v>
      </c>
      <c r="K126" s="379">
        <v>1</v>
      </c>
      <c r="L126" s="737">
        <v>2600</v>
      </c>
      <c r="M126" s="379"/>
      <c r="N126" s="376">
        <v>70</v>
      </c>
      <c r="O126" s="379"/>
      <c r="P126" s="737">
        <v>2600</v>
      </c>
      <c r="Q126" s="738"/>
      <c r="R126" s="376">
        <v>91</v>
      </c>
      <c r="S126" s="379"/>
      <c r="T126" s="737">
        <v>2600</v>
      </c>
      <c r="U126" s="379"/>
      <c r="V126" s="737">
        <v>245</v>
      </c>
      <c r="W126" s="379"/>
      <c r="X126" s="376">
        <v>60</v>
      </c>
      <c r="Y126" s="376"/>
      <c r="Z126" s="376">
        <v>46</v>
      </c>
      <c r="AA126" s="27">
        <f>SUM(L126,J126,H126,D126)</f>
        <v>7930</v>
      </c>
      <c r="AB126" s="31" t="e">
        <f>(#REF!+#REF!)*#REF!</f>
        <v>#REF!</v>
      </c>
      <c r="AC126" s="29"/>
      <c r="AD126" s="64"/>
      <c r="AE126" s="740"/>
      <c r="AF126" s="747">
        <v>245</v>
      </c>
      <c r="AG126" s="747"/>
      <c r="AH126" s="376">
        <f>SUM(C126*D126)+(G126*H126)+(I126*J126)+(Q126*R126)+(K126*L126)+(M126*N126)+(W126*X126)+(Y126*Z126)+(O126*P126)+(U126*V126)+(S126*T126)+(E126*F126)+(AE126*AF126)</f>
        <v>3770</v>
      </c>
      <c r="AI126" s="376">
        <f t="shared" si="20"/>
        <v>188.5</v>
      </c>
      <c r="AJ126" s="376">
        <f t="shared" si="21"/>
        <v>3958.5</v>
      </c>
      <c r="AK126" s="375">
        <v>1001154781</v>
      </c>
      <c r="AL126" s="382"/>
      <c r="AM126" s="383"/>
    </row>
    <row r="127" spans="1:39" s="384" customFormat="1">
      <c r="A127" s="744">
        <v>42253</v>
      </c>
      <c r="B127" s="735">
        <v>614533</v>
      </c>
      <c r="C127" s="375"/>
      <c r="D127" s="376">
        <v>2600</v>
      </c>
      <c r="E127" s="376"/>
      <c r="F127" s="376">
        <v>2600</v>
      </c>
      <c r="G127" s="379"/>
      <c r="H127" s="376">
        <v>2600</v>
      </c>
      <c r="I127" s="736">
        <v>3</v>
      </c>
      <c r="J127" s="376">
        <v>130</v>
      </c>
      <c r="K127" s="379">
        <v>0.5</v>
      </c>
      <c r="L127" s="737">
        <v>2600</v>
      </c>
      <c r="M127" s="376"/>
      <c r="N127" s="376">
        <v>70</v>
      </c>
      <c r="O127" s="379"/>
      <c r="P127" s="737">
        <v>2600</v>
      </c>
      <c r="Q127" s="738"/>
      <c r="R127" s="376">
        <v>91</v>
      </c>
      <c r="S127" s="379"/>
      <c r="T127" s="737">
        <v>2600</v>
      </c>
      <c r="U127" s="379"/>
      <c r="V127" s="737">
        <v>245</v>
      </c>
      <c r="W127" s="379"/>
      <c r="X127" s="376">
        <v>60</v>
      </c>
      <c r="Y127" s="376"/>
      <c r="Z127" s="376">
        <v>46</v>
      </c>
      <c r="AA127" s="27">
        <f>SUM(L127,J127,H127,D127)</f>
        <v>7930</v>
      </c>
      <c r="AB127" s="31" t="e">
        <f>(#REF!+#REF!)*#REF!</f>
        <v>#REF!</v>
      </c>
      <c r="AC127" s="29"/>
      <c r="AD127" s="64"/>
      <c r="AE127" s="740"/>
      <c r="AF127" s="747">
        <v>245</v>
      </c>
      <c r="AG127" s="747"/>
      <c r="AH127" s="376">
        <f>SUM(C127*D127)+(G127*H127)+(I127*J127)+(Q127*R127)+(K127*L127)+(M127*N127)+(W127*X127)+(Y127*Z127)+(O127*P127)+(U127*V127)+(S127*T127)+(E127*F127)+(AE127*AF127)</f>
        <v>1690</v>
      </c>
      <c r="AI127" s="376">
        <f t="shared" si="20"/>
        <v>84.5</v>
      </c>
      <c r="AJ127" s="376">
        <f t="shared" si="21"/>
        <v>1774.5</v>
      </c>
      <c r="AK127" s="375">
        <v>1001154781</v>
      </c>
      <c r="AL127" s="382"/>
      <c r="AM127" s="383"/>
    </row>
    <row r="128" spans="1:39" s="384" customFormat="1">
      <c r="A128" s="373">
        <v>42255</v>
      </c>
      <c r="B128" s="735">
        <v>614534</v>
      </c>
      <c r="C128" s="375"/>
      <c r="D128" s="376">
        <v>2600</v>
      </c>
      <c r="E128" s="376"/>
      <c r="F128" s="376">
        <v>2600</v>
      </c>
      <c r="G128" s="379"/>
      <c r="H128" s="376">
        <v>2600</v>
      </c>
      <c r="I128" s="745">
        <v>12.5</v>
      </c>
      <c r="J128" s="376">
        <v>130</v>
      </c>
      <c r="K128" s="379">
        <v>1</v>
      </c>
      <c r="L128" s="737">
        <v>2600</v>
      </c>
      <c r="M128" s="376"/>
      <c r="N128" s="376">
        <v>70</v>
      </c>
      <c r="O128" s="379"/>
      <c r="P128" s="737">
        <v>2600</v>
      </c>
      <c r="Q128" s="738"/>
      <c r="R128" s="376">
        <v>91</v>
      </c>
      <c r="S128" s="379"/>
      <c r="T128" s="737">
        <v>2600</v>
      </c>
      <c r="U128" s="379"/>
      <c r="V128" s="737">
        <v>245</v>
      </c>
      <c r="W128" s="379"/>
      <c r="X128" s="376">
        <v>60</v>
      </c>
      <c r="Y128" s="376"/>
      <c r="Z128" s="376">
        <v>46</v>
      </c>
      <c r="AA128" s="27">
        <f>SUM(L128,J128,H128,D128)</f>
        <v>7930</v>
      </c>
      <c r="AB128" s="31" t="e">
        <f>(#REF!+#REF!)*#REF!</f>
        <v>#REF!</v>
      </c>
      <c r="AC128" s="29"/>
      <c r="AD128" s="64"/>
      <c r="AE128" s="740">
        <v>2</v>
      </c>
      <c r="AF128" s="747">
        <v>245</v>
      </c>
      <c r="AG128" s="759"/>
      <c r="AH128" s="376">
        <f t="shared" ref="AH128:AH142" si="22">SUM(C128*D128)+(G128*H128)+(I128*J128)+(Q128*R128)+(K128*L128)+(M128*N128)+(W128*X128)+(Y128*Z128)+(O128*P128)+(U128*V128)+(S128*T128)+(E128*F128)+(AE128*AF128)+AG128</f>
        <v>4715</v>
      </c>
      <c r="AI128" s="376">
        <f t="shared" si="20"/>
        <v>235.75</v>
      </c>
      <c r="AJ128" s="376">
        <f t="shared" si="21"/>
        <v>4950.75</v>
      </c>
      <c r="AK128" s="375">
        <v>1001154781</v>
      </c>
      <c r="AL128" s="382"/>
      <c r="AM128" s="383"/>
    </row>
    <row r="129" spans="1:39" s="384" customFormat="1">
      <c r="A129" s="373">
        <v>42255</v>
      </c>
      <c r="B129" s="749">
        <v>497834</v>
      </c>
      <c r="C129" s="750"/>
      <c r="D129" s="751"/>
      <c r="E129" s="751"/>
      <c r="F129" s="751"/>
      <c r="G129" s="752"/>
      <c r="H129" s="751"/>
      <c r="I129" s="753"/>
      <c r="J129" s="751"/>
      <c r="K129" s="752"/>
      <c r="L129" s="754"/>
      <c r="M129" s="751">
        <v>3</v>
      </c>
      <c r="N129" s="376">
        <v>70</v>
      </c>
      <c r="O129" s="752"/>
      <c r="P129" s="754"/>
      <c r="Q129" s="751"/>
      <c r="R129" s="751"/>
      <c r="S129" s="752"/>
      <c r="T129" s="754"/>
      <c r="U129" s="752"/>
      <c r="V129" s="754"/>
      <c r="W129" s="752">
        <v>3</v>
      </c>
      <c r="X129" s="376">
        <v>60</v>
      </c>
      <c r="Y129" s="751"/>
      <c r="Z129" s="376"/>
      <c r="AA129" s="755"/>
      <c r="AB129" s="568"/>
      <c r="AC129" s="756"/>
      <c r="AD129" s="567"/>
      <c r="AE129" s="750"/>
      <c r="AF129" s="757"/>
      <c r="AG129" s="760"/>
      <c r="AH129" s="376">
        <f t="shared" si="22"/>
        <v>390</v>
      </c>
      <c r="AI129" s="376">
        <f t="shared" si="20"/>
        <v>19.5</v>
      </c>
      <c r="AJ129" s="376">
        <f t="shared" si="21"/>
        <v>409.5</v>
      </c>
      <c r="AK129" s="375">
        <v>1001154781</v>
      </c>
      <c r="AL129" s="758"/>
      <c r="AM129" s="383"/>
    </row>
    <row r="130" spans="1:39" s="384" customFormat="1">
      <c r="A130" s="373">
        <v>42256</v>
      </c>
      <c r="B130" s="735">
        <v>614535</v>
      </c>
      <c r="C130" s="375"/>
      <c r="D130" s="376">
        <v>2600</v>
      </c>
      <c r="E130" s="376"/>
      <c r="F130" s="376">
        <v>2600</v>
      </c>
      <c r="G130" s="379"/>
      <c r="H130" s="376">
        <v>2600</v>
      </c>
      <c r="I130" s="745">
        <v>13.5</v>
      </c>
      <c r="J130" s="376">
        <v>130</v>
      </c>
      <c r="K130" s="379">
        <v>1</v>
      </c>
      <c r="L130" s="737">
        <v>2600</v>
      </c>
      <c r="M130" s="376"/>
      <c r="N130" s="376">
        <v>70</v>
      </c>
      <c r="O130" s="379"/>
      <c r="P130" s="737">
        <v>2600</v>
      </c>
      <c r="Q130" s="738"/>
      <c r="R130" s="376">
        <v>91</v>
      </c>
      <c r="S130" s="379"/>
      <c r="T130" s="737">
        <v>2600</v>
      </c>
      <c r="U130" s="379"/>
      <c r="V130" s="737">
        <v>245</v>
      </c>
      <c r="W130" s="376"/>
      <c r="X130" s="376">
        <v>60</v>
      </c>
      <c r="Y130" s="376"/>
      <c r="Z130" s="376">
        <v>46</v>
      </c>
      <c r="AA130" s="27">
        <f>SUM(L130,J130,H130,D130)</f>
        <v>7930</v>
      </c>
      <c r="AB130" s="31" t="e">
        <f>(#REF!+#REF!)*#REF!</f>
        <v>#REF!</v>
      </c>
      <c r="AC130" s="29"/>
      <c r="AD130" s="64"/>
      <c r="AE130" s="740">
        <v>2</v>
      </c>
      <c r="AF130" s="747">
        <v>245</v>
      </c>
      <c r="AG130" s="759"/>
      <c r="AH130" s="376">
        <f t="shared" si="22"/>
        <v>4845</v>
      </c>
      <c r="AI130" s="376">
        <f t="shared" si="20"/>
        <v>242.25</v>
      </c>
      <c r="AJ130" s="376">
        <f t="shared" si="21"/>
        <v>5087.25</v>
      </c>
      <c r="AK130" s="375">
        <v>1001154781</v>
      </c>
      <c r="AL130" s="382"/>
      <c r="AM130" s="383"/>
    </row>
    <row r="131" spans="1:39" s="384" customFormat="1">
      <c r="A131" s="373">
        <v>42256</v>
      </c>
      <c r="B131" s="749">
        <v>497835</v>
      </c>
      <c r="C131" s="750"/>
      <c r="D131" s="751"/>
      <c r="E131" s="751"/>
      <c r="F131" s="751"/>
      <c r="G131" s="752"/>
      <c r="H131" s="751"/>
      <c r="I131" s="753"/>
      <c r="J131" s="751"/>
      <c r="K131" s="752"/>
      <c r="L131" s="754"/>
      <c r="M131" s="751">
        <v>4</v>
      </c>
      <c r="N131" s="376">
        <v>70</v>
      </c>
      <c r="O131" s="752"/>
      <c r="P131" s="754"/>
      <c r="Q131" s="751"/>
      <c r="R131" s="751"/>
      <c r="S131" s="752"/>
      <c r="T131" s="754"/>
      <c r="U131" s="752"/>
      <c r="V131" s="754"/>
      <c r="W131" s="751">
        <v>4</v>
      </c>
      <c r="X131" s="376">
        <v>60</v>
      </c>
      <c r="Y131" s="751"/>
      <c r="Z131" s="751"/>
      <c r="AA131" s="755"/>
      <c r="AB131" s="568"/>
      <c r="AC131" s="756"/>
      <c r="AD131" s="567"/>
      <c r="AE131" s="750"/>
      <c r="AF131" s="757"/>
      <c r="AG131" s="757"/>
      <c r="AH131" s="376">
        <f t="shared" si="22"/>
        <v>520</v>
      </c>
      <c r="AI131" s="376">
        <f t="shared" si="20"/>
        <v>26</v>
      </c>
      <c r="AJ131" s="376">
        <f t="shared" si="21"/>
        <v>546</v>
      </c>
      <c r="AK131" s="375">
        <v>1001154781</v>
      </c>
      <c r="AL131" s="758"/>
      <c r="AM131" s="383"/>
    </row>
    <row r="132" spans="1:39" s="384" customFormat="1">
      <c r="A132" s="373">
        <v>42257</v>
      </c>
      <c r="B132" s="735">
        <v>614536</v>
      </c>
      <c r="C132" s="375"/>
      <c r="D132" s="376">
        <v>2600</v>
      </c>
      <c r="E132" s="376"/>
      <c r="F132" s="376">
        <v>2600</v>
      </c>
      <c r="G132" s="379"/>
      <c r="H132" s="376">
        <v>2600</v>
      </c>
      <c r="I132" s="736">
        <v>13</v>
      </c>
      <c r="J132" s="376">
        <v>130</v>
      </c>
      <c r="K132" s="379">
        <v>1</v>
      </c>
      <c r="L132" s="737">
        <v>2600</v>
      </c>
      <c r="M132" s="376"/>
      <c r="N132" s="376">
        <v>70</v>
      </c>
      <c r="O132" s="379"/>
      <c r="P132" s="737">
        <v>2600</v>
      </c>
      <c r="Q132" s="738"/>
      <c r="R132" s="376">
        <v>91</v>
      </c>
      <c r="S132" s="379"/>
      <c r="T132" s="737">
        <v>2600</v>
      </c>
      <c r="U132" s="379"/>
      <c r="V132" s="737">
        <v>245</v>
      </c>
      <c r="W132" s="376"/>
      <c r="X132" s="376">
        <v>60</v>
      </c>
      <c r="Y132" s="376"/>
      <c r="Z132" s="376">
        <v>46</v>
      </c>
      <c r="AA132" s="27">
        <f t="shared" ref="AA132:AA163" si="23">SUM(L132,J132,H132,D132)</f>
        <v>7930</v>
      </c>
      <c r="AB132" s="31" t="e">
        <f>(#REF!+#REF!)*#REF!</f>
        <v>#REF!</v>
      </c>
      <c r="AC132" s="29"/>
      <c r="AD132" s="64"/>
      <c r="AE132" s="740">
        <v>2</v>
      </c>
      <c r="AF132" s="747">
        <v>245</v>
      </c>
      <c r="AG132" s="747"/>
      <c r="AH132" s="376">
        <f t="shared" si="22"/>
        <v>4780</v>
      </c>
      <c r="AI132" s="376">
        <f t="shared" si="20"/>
        <v>239</v>
      </c>
      <c r="AJ132" s="376">
        <f t="shared" si="21"/>
        <v>5019</v>
      </c>
      <c r="AK132" s="375">
        <v>1001154781</v>
      </c>
      <c r="AL132" s="382"/>
      <c r="AM132" s="383"/>
    </row>
    <row r="133" spans="1:39" s="384" customFormat="1">
      <c r="A133" s="373">
        <v>42258</v>
      </c>
      <c r="B133" s="735">
        <v>614537</v>
      </c>
      <c r="C133" s="375"/>
      <c r="D133" s="376">
        <v>2600</v>
      </c>
      <c r="E133" s="376"/>
      <c r="F133" s="376">
        <v>2600</v>
      </c>
      <c r="G133" s="379"/>
      <c r="H133" s="376">
        <v>2600</v>
      </c>
      <c r="I133" s="736">
        <v>14.5</v>
      </c>
      <c r="J133" s="376">
        <v>130</v>
      </c>
      <c r="K133" s="379">
        <v>1</v>
      </c>
      <c r="L133" s="737">
        <v>2600</v>
      </c>
      <c r="M133" s="376"/>
      <c r="N133" s="376">
        <v>70</v>
      </c>
      <c r="O133" s="379"/>
      <c r="P133" s="737">
        <v>2600</v>
      </c>
      <c r="Q133" s="738"/>
      <c r="R133" s="376">
        <v>91</v>
      </c>
      <c r="S133" s="379"/>
      <c r="T133" s="737">
        <v>2600</v>
      </c>
      <c r="U133" s="379"/>
      <c r="V133" s="737">
        <v>245</v>
      </c>
      <c r="W133" s="376"/>
      <c r="X133" s="376">
        <v>60</v>
      </c>
      <c r="Y133" s="376"/>
      <c r="Z133" s="376">
        <v>46</v>
      </c>
      <c r="AA133" s="27">
        <f t="shared" si="23"/>
        <v>7930</v>
      </c>
      <c r="AB133" s="31" t="e">
        <f>(#REF!+#REF!)*#REF!</f>
        <v>#REF!</v>
      </c>
      <c r="AC133" s="29"/>
      <c r="AD133" s="64"/>
      <c r="AE133" s="740">
        <v>2</v>
      </c>
      <c r="AF133" s="747">
        <v>245</v>
      </c>
      <c r="AG133" s="747"/>
      <c r="AH133" s="376">
        <f t="shared" si="22"/>
        <v>4975</v>
      </c>
      <c r="AI133" s="376">
        <f t="shared" si="20"/>
        <v>248.75</v>
      </c>
      <c r="AJ133" s="376">
        <f t="shared" si="21"/>
        <v>5223.75</v>
      </c>
      <c r="AK133" s="375">
        <v>1001154781</v>
      </c>
      <c r="AL133" s="382"/>
      <c r="AM133" s="383"/>
    </row>
    <row r="134" spans="1:39" s="384" customFormat="1">
      <c r="A134" s="373">
        <v>42259</v>
      </c>
      <c r="B134" s="735">
        <v>614538</v>
      </c>
      <c r="C134" s="375"/>
      <c r="D134" s="376">
        <v>2600</v>
      </c>
      <c r="E134" s="376"/>
      <c r="F134" s="376">
        <v>2600</v>
      </c>
      <c r="G134" s="379">
        <v>1</v>
      </c>
      <c r="H134" s="376">
        <v>2600</v>
      </c>
      <c r="I134" s="736">
        <v>14</v>
      </c>
      <c r="J134" s="376">
        <v>130</v>
      </c>
      <c r="K134" s="379"/>
      <c r="L134" s="737">
        <v>2600</v>
      </c>
      <c r="M134" s="376"/>
      <c r="N134" s="376">
        <v>70</v>
      </c>
      <c r="O134" s="379"/>
      <c r="P134" s="737">
        <v>2600</v>
      </c>
      <c r="Q134" s="738"/>
      <c r="R134" s="376">
        <v>91</v>
      </c>
      <c r="S134" s="379"/>
      <c r="T134" s="737">
        <v>2600</v>
      </c>
      <c r="U134" s="379"/>
      <c r="V134" s="737">
        <v>245</v>
      </c>
      <c r="W134" s="376"/>
      <c r="X134" s="376">
        <v>60</v>
      </c>
      <c r="Y134" s="376"/>
      <c r="Z134" s="376">
        <v>46</v>
      </c>
      <c r="AA134" s="27">
        <f t="shared" si="23"/>
        <v>7930</v>
      </c>
      <c r="AB134" s="31" t="e">
        <f>(#REF!+#REF!)*#REF!</f>
        <v>#REF!</v>
      </c>
      <c r="AC134" s="29"/>
      <c r="AD134" s="64"/>
      <c r="AE134" s="740">
        <v>2</v>
      </c>
      <c r="AF134" s="747">
        <v>245</v>
      </c>
      <c r="AG134" s="747"/>
      <c r="AH134" s="376">
        <f t="shared" si="22"/>
        <v>4910</v>
      </c>
      <c r="AI134" s="376">
        <f t="shared" si="20"/>
        <v>245.5</v>
      </c>
      <c r="AJ134" s="376">
        <f t="shared" si="21"/>
        <v>5155.5</v>
      </c>
      <c r="AK134" s="375">
        <v>1001154781</v>
      </c>
      <c r="AL134" s="382"/>
      <c r="AM134" s="383"/>
    </row>
    <row r="135" spans="1:39" s="384" customFormat="1">
      <c r="A135" s="373">
        <v>42260</v>
      </c>
      <c r="B135" s="735">
        <v>614539</v>
      </c>
      <c r="C135" s="375"/>
      <c r="D135" s="376">
        <v>2600</v>
      </c>
      <c r="E135" s="376"/>
      <c r="F135" s="376">
        <v>2600</v>
      </c>
      <c r="G135" s="379">
        <v>1</v>
      </c>
      <c r="H135" s="376">
        <v>2600</v>
      </c>
      <c r="I135" s="745">
        <v>12.5</v>
      </c>
      <c r="J135" s="376">
        <v>130</v>
      </c>
      <c r="K135" s="379"/>
      <c r="L135" s="737">
        <v>2600</v>
      </c>
      <c r="M135" s="376"/>
      <c r="N135" s="376">
        <v>70</v>
      </c>
      <c r="O135" s="379"/>
      <c r="P135" s="737">
        <v>2600</v>
      </c>
      <c r="Q135" s="738"/>
      <c r="R135" s="376">
        <v>91</v>
      </c>
      <c r="S135" s="379"/>
      <c r="T135" s="737">
        <v>2600</v>
      </c>
      <c r="U135" s="379"/>
      <c r="V135" s="737">
        <v>245</v>
      </c>
      <c r="W135" s="376"/>
      <c r="X135" s="376">
        <v>60</v>
      </c>
      <c r="Y135" s="376"/>
      <c r="Z135" s="376">
        <v>46</v>
      </c>
      <c r="AA135" s="27">
        <f t="shared" si="23"/>
        <v>7930</v>
      </c>
      <c r="AB135" s="31" t="e">
        <f>(#REF!+#REF!)*#REF!</f>
        <v>#REF!</v>
      </c>
      <c r="AC135" s="29"/>
      <c r="AD135" s="64"/>
      <c r="AE135" s="740">
        <v>2</v>
      </c>
      <c r="AF135" s="747">
        <v>245</v>
      </c>
      <c r="AG135" s="747"/>
      <c r="AH135" s="376">
        <f t="shared" si="22"/>
        <v>4715</v>
      </c>
      <c r="AI135" s="376">
        <f t="shared" si="20"/>
        <v>235.75</v>
      </c>
      <c r="AJ135" s="376">
        <f t="shared" si="21"/>
        <v>4950.75</v>
      </c>
      <c r="AK135" s="375">
        <v>1001154781</v>
      </c>
      <c r="AL135" s="382"/>
      <c r="AM135" s="383"/>
    </row>
    <row r="136" spans="1:39" s="384" customFormat="1">
      <c r="A136" s="373">
        <v>42261</v>
      </c>
      <c r="B136" s="735">
        <v>497836</v>
      </c>
      <c r="C136" s="375"/>
      <c r="D136" s="376">
        <v>2600</v>
      </c>
      <c r="E136" s="376"/>
      <c r="F136" s="376">
        <v>2600</v>
      </c>
      <c r="G136" s="379"/>
      <c r="H136" s="376">
        <v>2600</v>
      </c>
      <c r="I136" s="736"/>
      <c r="J136" s="376">
        <v>130</v>
      </c>
      <c r="K136" s="379"/>
      <c r="L136" s="737">
        <v>2600</v>
      </c>
      <c r="M136" s="379">
        <v>11</v>
      </c>
      <c r="N136" s="376">
        <v>70</v>
      </c>
      <c r="O136" s="379"/>
      <c r="P136" s="737">
        <v>2600</v>
      </c>
      <c r="Q136" s="738"/>
      <c r="R136" s="376">
        <v>91</v>
      </c>
      <c r="S136" s="379"/>
      <c r="T136" s="737">
        <v>2600</v>
      </c>
      <c r="U136" s="379"/>
      <c r="V136" s="737">
        <v>245</v>
      </c>
      <c r="W136" s="379">
        <v>11</v>
      </c>
      <c r="X136" s="376">
        <v>60</v>
      </c>
      <c r="Y136" s="376"/>
      <c r="Z136" s="376">
        <v>46</v>
      </c>
      <c r="AA136" s="27">
        <f t="shared" si="23"/>
        <v>7930</v>
      </c>
      <c r="AB136" s="31" t="e">
        <f>(#REF!+#REF!)*#REF!</f>
        <v>#REF!</v>
      </c>
      <c r="AC136" s="29"/>
      <c r="AD136" s="64"/>
      <c r="AE136" s="740"/>
      <c r="AF136" s="747">
        <v>245</v>
      </c>
      <c r="AG136" s="747"/>
      <c r="AH136" s="376">
        <f t="shared" si="22"/>
        <v>1430</v>
      </c>
      <c r="AI136" s="376">
        <f t="shared" si="20"/>
        <v>71.5</v>
      </c>
      <c r="AJ136" s="376">
        <f t="shared" si="21"/>
        <v>1501.5</v>
      </c>
      <c r="AK136" s="375">
        <v>1001154781</v>
      </c>
      <c r="AL136" s="382"/>
      <c r="AM136" s="383"/>
    </row>
    <row r="137" spans="1:39" s="384" customFormat="1">
      <c r="A137" s="373">
        <v>42263</v>
      </c>
      <c r="B137" s="735">
        <v>614540</v>
      </c>
      <c r="C137" s="375"/>
      <c r="D137" s="376">
        <v>2600</v>
      </c>
      <c r="E137" s="376"/>
      <c r="F137" s="376">
        <v>2600</v>
      </c>
      <c r="G137" s="379"/>
      <c r="H137" s="376">
        <v>2600</v>
      </c>
      <c r="I137" s="736">
        <v>14</v>
      </c>
      <c r="J137" s="376">
        <v>130</v>
      </c>
      <c r="K137" s="379">
        <v>1</v>
      </c>
      <c r="L137" s="737">
        <v>2600</v>
      </c>
      <c r="M137" s="376"/>
      <c r="N137" s="376">
        <v>70</v>
      </c>
      <c r="O137" s="379"/>
      <c r="P137" s="737">
        <v>2600</v>
      </c>
      <c r="Q137" s="738"/>
      <c r="R137" s="376">
        <v>91</v>
      </c>
      <c r="S137" s="379"/>
      <c r="T137" s="737">
        <v>2600</v>
      </c>
      <c r="U137" s="379"/>
      <c r="V137" s="737">
        <v>245</v>
      </c>
      <c r="W137" s="376"/>
      <c r="X137" s="376">
        <v>60</v>
      </c>
      <c r="Y137" s="376"/>
      <c r="Z137" s="376">
        <v>46</v>
      </c>
      <c r="AA137" s="27">
        <f t="shared" si="23"/>
        <v>7930</v>
      </c>
      <c r="AB137" s="31" t="e">
        <f>(#REF!+#REF!)*#REF!</f>
        <v>#REF!</v>
      </c>
      <c r="AC137" s="29"/>
      <c r="AD137" s="64"/>
      <c r="AE137" s="740">
        <v>2</v>
      </c>
      <c r="AF137" s="747">
        <v>245</v>
      </c>
      <c r="AG137" s="747"/>
      <c r="AH137" s="376">
        <f t="shared" si="22"/>
        <v>4910</v>
      </c>
      <c r="AI137" s="376">
        <f t="shared" si="20"/>
        <v>245.5</v>
      </c>
      <c r="AJ137" s="376">
        <f t="shared" si="21"/>
        <v>5155.5</v>
      </c>
      <c r="AK137" s="375">
        <v>1001154781</v>
      </c>
      <c r="AL137" s="382"/>
      <c r="AM137" s="383"/>
    </row>
    <row r="138" spans="1:39" s="384" customFormat="1">
      <c r="A138" s="373">
        <v>42264</v>
      </c>
      <c r="B138" s="735">
        <v>614541</v>
      </c>
      <c r="C138" s="375"/>
      <c r="D138" s="376">
        <v>2600</v>
      </c>
      <c r="E138" s="376"/>
      <c r="F138" s="376">
        <v>2600</v>
      </c>
      <c r="G138" s="379"/>
      <c r="H138" s="376">
        <v>2600</v>
      </c>
      <c r="I138" s="736">
        <v>14</v>
      </c>
      <c r="J138" s="376">
        <v>130</v>
      </c>
      <c r="K138" s="379">
        <v>1</v>
      </c>
      <c r="L138" s="737">
        <v>2600</v>
      </c>
      <c r="M138" s="376"/>
      <c r="N138" s="376">
        <v>70</v>
      </c>
      <c r="O138" s="379"/>
      <c r="P138" s="737">
        <v>2600</v>
      </c>
      <c r="Q138" s="738"/>
      <c r="R138" s="376">
        <v>91</v>
      </c>
      <c r="S138" s="379"/>
      <c r="T138" s="737">
        <v>2600</v>
      </c>
      <c r="U138" s="379"/>
      <c r="V138" s="737">
        <v>245</v>
      </c>
      <c r="W138" s="376"/>
      <c r="X138" s="376">
        <v>60</v>
      </c>
      <c r="Y138" s="376"/>
      <c r="Z138" s="376">
        <v>46</v>
      </c>
      <c r="AA138" s="27">
        <f t="shared" si="23"/>
        <v>7930</v>
      </c>
      <c r="AB138" s="31" t="e">
        <f>(#REF!+#REF!)*#REF!</f>
        <v>#REF!</v>
      </c>
      <c r="AC138" s="29"/>
      <c r="AD138" s="64"/>
      <c r="AE138" s="740">
        <v>2</v>
      </c>
      <c r="AF138" s="747">
        <v>245</v>
      </c>
      <c r="AG138" s="747"/>
      <c r="AH138" s="376">
        <f t="shared" si="22"/>
        <v>4910</v>
      </c>
      <c r="AI138" s="376">
        <f t="shared" si="20"/>
        <v>245.5</v>
      </c>
      <c r="AJ138" s="376">
        <f t="shared" si="21"/>
        <v>5155.5</v>
      </c>
      <c r="AK138" s="375">
        <v>1001154781</v>
      </c>
      <c r="AL138" s="382"/>
      <c r="AM138" s="383"/>
    </row>
    <row r="139" spans="1:39" s="384" customFormat="1">
      <c r="A139" s="373">
        <v>42265</v>
      </c>
      <c r="B139" s="735">
        <v>614542</v>
      </c>
      <c r="C139" s="375"/>
      <c r="D139" s="376">
        <v>2600</v>
      </c>
      <c r="E139" s="376"/>
      <c r="F139" s="376">
        <v>2600</v>
      </c>
      <c r="G139" s="379"/>
      <c r="H139" s="376">
        <v>2600</v>
      </c>
      <c r="I139" s="736">
        <v>14</v>
      </c>
      <c r="J139" s="376">
        <v>130</v>
      </c>
      <c r="K139" s="379">
        <v>1</v>
      </c>
      <c r="L139" s="737">
        <v>2600</v>
      </c>
      <c r="M139" s="376"/>
      <c r="N139" s="376">
        <v>70</v>
      </c>
      <c r="O139" s="379"/>
      <c r="P139" s="737">
        <v>2600</v>
      </c>
      <c r="Q139" s="738"/>
      <c r="R139" s="376">
        <v>91</v>
      </c>
      <c r="S139" s="379"/>
      <c r="T139" s="737">
        <v>2600</v>
      </c>
      <c r="U139" s="379"/>
      <c r="V139" s="737">
        <v>245</v>
      </c>
      <c r="W139" s="376"/>
      <c r="X139" s="376">
        <v>60</v>
      </c>
      <c r="Y139" s="376"/>
      <c r="Z139" s="376">
        <v>46</v>
      </c>
      <c r="AA139" s="27">
        <f t="shared" si="23"/>
        <v>7930</v>
      </c>
      <c r="AB139" s="31" t="e">
        <f>(#REF!+#REF!)*#REF!</f>
        <v>#REF!</v>
      </c>
      <c r="AC139" s="29"/>
      <c r="AD139" s="64"/>
      <c r="AE139" s="740">
        <v>2</v>
      </c>
      <c r="AF139" s="747">
        <v>245</v>
      </c>
      <c r="AG139" s="747"/>
      <c r="AH139" s="376">
        <f t="shared" si="22"/>
        <v>4910</v>
      </c>
      <c r="AI139" s="376">
        <f t="shared" si="20"/>
        <v>245.5</v>
      </c>
      <c r="AJ139" s="376">
        <f t="shared" si="21"/>
        <v>5155.5</v>
      </c>
      <c r="AK139" s="375">
        <v>1001154781</v>
      </c>
      <c r="AL139" s="382"/>
      <c r="AM139" s="383"/>
    </row>
    <row r="140" spans="1:39" s="384" customFormat="1">
      <c r="A140" s="373">
        <v>42266</v>
      </c>
      <c r="B140" s="735">
        <v>614543</v>
      </c>
      <c r="C140" s="375"/>
      <c r="D140" s="376">
        <v>2600</v>
      </c>
      <c r="E140" s="376"/>
      <c r="F140" s="376">
        <v>2600</v>
      </c>
      <c r="G140" s="379">
        <v>1</v>
      </c>
      <c r="H140" s="376">
        <v>2600</v>
      </c>
      <c r="I140" s="736">
        <v>13</v>
      </c>
      <c r="J140" s="376">
        <v>130</v>
      </c>
      <c r="K140" s="379"/>
      <c r="L140" s="737">
        <v>2600</v>
      </c>
      <c r="M140" s="376"/>
      <c r="N140" s="376">
        <v>70</v>
      </c>
      <c r="O140" s="379"/>
      <c r="P140" s="737">
        <v>2600</v>
      </c>
      <c r="Q140" s="738"/>
      <c r="R140" s="376">
        <v>91</v>
      </c>
      <c r="S140" s="379"/>
      <c r="T140" s="737">
        <v>2600</v>
      </c>
      <c r="U140" s="379"/>
      <c r="V140" s="737">
        <v>245</v>
      </c>
      <c r="W140" s="376"/>
      <c r="X140" s="376">
        <v>60</v>
      </c>
      <c r="Y140" s="376"/>
      <c r="Z140" s="376">
        <v>46</v>
      </c>
      <c r="AA140" s="27">
        <f t="shared" si="23"/>
        <v>7930</v>
      </c>
      <c r="AB140" s="31" t="e">
        <f>(#REF!+#REF!)*#REF!</f>
        <v>#REF!</v>
      </c>
      <c r="AC140" s="29"/>
      <c r="AD140" s="64"/>
      <c r="AE140" s="740">
        <v>2</v>
      </c>
      <c r="AF140" s="747">
        <v>245</v>
      </c>
      <c r="AG140" s="747"/>
      <c r="AH140" s="376">
        <f t="shared" si="22"/>
        <v>4780</v>
      </c>
      <c r="AI140" s="376">
        <f t="shared" si="20"/>
        <v>239</v>
      </c>
      <c r="AJ140" s="376">
        <f t="shared" si="21"/>
        <v>5019</v>
      </c>
      <c r="AK140" s="375">
        <v>1001154781</v>
      </c>
      <c r="AL140" s="382"/>
      <c r="AM140" s="383"/>
    </row>
    <row r="141" spans="1:39" s="384" customFormat="1">
      <c r="A141" s="373">
        <v>42267</v>
      </c>
      <c r="B141" s="735">
        <v>614544</v>
      </c>
      <c r="C141" s="375"/>
      <c r="D141" s="376">
        <v>2600</v>
      </c>
      <c r="E141" s="376"/>
      <c r="F141" s="376">
        <v>2600</v>
      </c>
      <c r="G141" s="379">
        <v>0.5</v>
      </c>
      <c r="H141" s="376">
        <v>2600</v>
      </c>
      <c r="I141" s="736">
        <v>8</v>
      </c>
      <c r="J141" s="376">
        <v>130</v>
      </c>
      <c r="K141" s="379"/>
      <c r="L141" s="737">
        <v>2600</v>
      </c>
      <c r="M141" s="376"/>
      <c r="N141" s="376">
        <v>70</v>
      </c>
      <c r="O141" s="379"/>
      <c r="P141" s="737">
        <v>2600</v>
      </c>
      <c r="Q141" s="738"/>
      <c r="R141" s="376">
        <v>91</v>
      </c>
      <c r="S141" s="379"/>
      <c r="T141" s="737">
        <v>2600</v>
      </c>
      <c r="U141" s="379"/>
      <c r="V141" s="737">
        <v>245</v>
      </c>
      <c r="W141" s="376"/>
      <c r="X141" s="376">
        <v>60</v>
      </c>
      <c r="Y141" s="376"/>
      <c r="Z141" s="376">
        <v>46</v>
      </c>
      <c r="AA141" s="27">
        <f t="shared" si="23"/>
        <v>7930</v>
      </c>
      <c r="AB141" s="31" t="e">
        <f>(#REF!+#REF!)*#REF!</f>
        <v>#REF!</v>
      </c>
      <c r="AC141" s="29"/>
      <c r="AD141" s="64"/>
      <c r="AE141" s="740"/>
      <c r="AF141" s="747">
        <v>245</v>
      </c>
      <c r="AG141" s="747"/>
      <c r="AH141" s="376">
        <f t="shared" si="22"/>
        <v>2340</v>
      </c>
      <c r="AI141" s="376">
        <f t="shared" si="20"/>
        <v>117</v>
      </c>
      <c r="AJ141" s="376">
        <f t="shared" si="21"/>
        <v>2457</v>
      </c>
      <c r="AK141" s="375">
        <v>1001154781</v>
      </c>
      <c r="AL141" s="382"/>
      <c r="AM141" s="383"/>
    </row>
    <row r="142" spans="1:39" s="384" customFormat="1">
      <c r="A142" s="373">
        <v>42268</v>
      </c>
      <c r="B142" s="735">
        <v>614545</v>
      </c>
      <c r="C142" s="375"/>
      <c r="D142" s="376">
        <v>2600</v>
      </c>
      <c r="E142" s="376"/>
      <c r="F142" s="376">
        <v>2600</v>
      </c>
      <c r="G142" s="379"/>
      <c r="H142" s="376">
        <v>2600</v>
      </c>
      <c r="I142" s="745">
        <v>12.5</v>
      </c>
      <c r="J142" s="376">
        <v>130</v>
      </c>
      <c r="K142" s="379">
        <v>1</v>
      </c>
      <c r="L142" s="737">
        <v>2600</v>
      </c>
      <c r="M142" s="376"/>
      <c r="N142" s="376">
        <v>70</v>
      </c>
      <c r="O142" s="379"/>
      <c r="P142" s="737">
        <v>2600</v>
      </c>
      <c r="Q142" s="738"/>
      <c r="R142" s="376">
        <v>91</v>
      </c>
      <c r="S142" s="379"/>
      <c r="T142" s="737">
        <v>2600</v>
      </c>
      <c r="U142" s="379"/>
      <c r="V142" s="737">
        <v>245</v>
      </c>
      <c r="W142" s="376"/>
      <c r="X142" s="376">
        <v>60</v>
      </c>
      <c r="Y142" s="376"/>
      <c r="Z142" s="376">
        <v>46</v>
      </c>
      <c r="AA142" s="27">
        <f t="shared" si="23"/>
        <v>7930</v>
      </c>
      <c r="AB142" s="31" t="e">
        <f>(#REF!+#REF!)*#REF!</f>
        <v>#REF!</v>
      </c>
      <c r="AC142" s="29"/>
      <c r="AD142" s="64"/>
      <c r="AE142" s="740">
        <v>2</v>
      </c>
      <c r="AF142" s="747">
        <v>245</v>
      </c>
      <c r="AG142" s="747"/>
      <c r="AH142" s="376">
        <f t="shared" si="22"/>
        <v>4715</v>
      </c>
      <c r="AI142" s="376">
        <f t="shared" si="20"/>
        <v>235.75</v>
      </c>
      <c r="AJ142" s="376">
        <f t="shared" si="21"/>
        <v>4950.75</v>
      </c>
      <c r="AK142" s="375">
        <v>1001154781</v>
      </c>
      <c r="AL142" s="382"/>
      <c r="AM142" s="383"/>
    </row>
    <row r="143" spans="1:39" s="384" customFormat="1">
      <c r="A143" s="373">
        <v>42269</v>
      </c>
      <c r="B143" s="735">
        <v>614547</v>
      </c>
      <c r="C143" s="375">
        <v>1</v>
      </c>
      <c r="D143" s="376">
        <v>2600</v>
      </c>
      <c r="E143" s="376"/>
      <c r="F143" s="376">
        <v>2600</v>
      </c>
      <c r="G143" s="379"/>
      <c r="H143" s="376">
        <v>2600</v>
      </c>
      <c r="I143" s="745">
        <v>12.5</v>
      </c>
      <c r="J143" s="376">
        <v>130</v>
      </c>
      <c r="K143" s="379"/>
      <c r="L143" s="737">
        <v>2600</v>
      </c>
      <c r="M143" s="376"/>
      <c r="N143" s="376">
        <v>70</v>
      </c>
      <c r="O143" s="379"/>
      <c r="P143" s="737">
        <v>2600</v>
      </c>
      <c r="Q143" s="738"/>
      <c r="R143" s="376">
        <v>91</v>
      </c>
      <c r="S143" s="379"/>
      <c r="T143" s="737">
        <v>2600</v>
      </c>
      <c r="U143" s="379"/>
      <c r="V143" s="737">
        <v>245</v>
      </c>
      <c r="W143" s="376"/>
      <c r="X143" s="376">
        <v>60</v>
      </c>
      <c r="Y143" s="376"/>
      <c r="Z143" s="376">
        <v>46</v>
      </c>
      <c r="AA143" s="27">
        <f t="shared" si="23"/>
        <v>7930</v>
      </c>
      <c r="AB143" s="31" t="e">
        <f>(#REF!+#REF!)*#REF!</f>
        <v>#REF!</v>
      </c>
      <c r="AC143" s="29"/>
      <c r="AD143" s="64"/>
      <c r="AE143" s="740">
        <v>2</v>
      </c>
      <c r="AF143" s="747">
        <v>245</v>
      </c>
      <c r="AG143" s="747"/>
      <c r="AH143" s="376">
        <f t="shared" ref="AH143:AH181" si="24">SUM(C143*D143)+(G143*H143)+(I143*J143)+(Q143*R143)+(K143*L143)+(M143*N143)+(W143*X143)+(Y143*Z143)+(O143*P143)+(U143*V143)+(S143*T143)+(E143*F143)+(AE143*AF143)</f>
        <v>4715</v>
      </c>
      <c r="AI143" s="376">
        <f t="shared" si="20"/>
        <v>235.75</v>
      </c>
      <c r="AJ143" s="376">
        <f t="shared" si="21"/>
        <v>4950.75</v>
      </c>
      <c r="AK143" s="375">
        <v>1001154781</v>
      </c>
      <c r="AL143" s="382"/>
      <c r="AM143" s="383"/>
    </row>
    <row r="144" spans="1:39" s="384" customFormat="1">
      <c r="A144" s="373">
        <v>42269</v>
      </c>
      <c r="B144" s="746" t="s">
        <v>517</v>
      </c>
      <c r="C144" s="375">
        <v>1</v>
      </c>
      <c r="D144" s="376">
        <v>2600</v>
      </c>
      <c r="E144" s="376"/>
      <c r="F144" s="376">
        <v>2600</v>
      </c>
      <c r="G144" s="379"/>
      <c r="H144" s="376">
        <v>2600</v>
      </c>
      <c r="I144" s="736"/>
      <c r="J144" s="376">
        <v>130</v>
      </c>
      <c r="K144" s="379"/>
      <c r="L144" s="737">
        <v>2600</v>
      </c>
      <c r="M144" s="376"/>
      <c r="N144" s="376">
        <v>70</v>
      </c>
      <c r="O144" s="379"/>
      <c r="P144" s="737">
        <v>2600</v>
      </c>
      <c r="Q144" s="738"/>
      <c r="R144" s="376">
        <v>91</v>
      </c>
      <c r="S144" s="379"/>
      <c r="T144" s="737">
        <v>2600</v>
      </c>
      <c r="U144" s="379"/>
      <c r="V144" s="737">
        <v>245</v>
      </c>
      <c r="W144" s="376"/>
      <c r="X144" s="376">
        <v>60</v>
      </c>
      <c r="Y144" s="376"/>
      <c r="Z144" s="376">
        <v>46</v>
      </c>
      <c r="AA144" s="27">
        <f t="shared" si="23"/>
        <v>7930</v>
      </c>
      <c r="AB144" s="31" t="e">
        <f>(#REF!+#REF!)*#REF!</f>
        <v>#REF!</v>
      </c>
      <c r="AC144" s="29"/>
      <c r="AD144" s="64"/>
      <c r="AE144" s="740">
        <v>2</v>
      </c>
      <c r="AF144" s="747">
        <v>245</v>
      </c>
      <c r="AG144" s="747"/>
      <c r="AH144" s="376">
        <f t="shared" si="24"/>
        <v>3090</v>
      </c>
      <c r="AI144" s="376">
        <f t="shared" si="20"/>
        <v>154.5</v>
      </c>
      <c r="AJ144" s="376">
        <f t="shared" si="21"/>
        <v>3244.5</v>
      </c>
      <c r="AK144" s="375">
        <v>1001154781</v>
      </c>
      <c r="AL144" s="382"/>
      <c r="AM144" s="383"/>
    </row>
    <row r="145" spans="1:39" s="384" customFormat="1">
      <c r="A145" s="373">
        <v>42270</v>
      </c>
      <c r="B145" s="735">
        <v>614548</v>
      </c>
      <c r="C145" s="375">
        <v>1</v>
      </c>
      <c r="D145" s="376">
        <v>2600</v>
      </c>
      <c r="E145" s="376"/>
      <c r="F145" s="376">
        <v>2600</v>
      </c>
      <c r="G145" s="379"/>
      <c r="H145" s="376">
        <v>2600</v>
      </c>
      <c r="I145" s="736">
        <v>13</v>
      </c>
      <c r="J145" s="376">
        <v>130</v>
      </c>
      <c r="K145" s="379"/>
      <c r="L145" s="737">
        <v>2600</v>
      </c>
      <c r="M145" s="376"/>
      <c r="N145" s="376">
        <v>70</v>
      </c>
      <c r="O145" s="379"/>
      <c r="P145" s="737">
        <v>2600</v>
      </c>
      <c r="Q145" s="738"/>
      <c r="R145" s="376">
        <v>91</v>
      </c>
      <c r="S145" s="379"/>
      <c r="T145" s="737">
        <v>2600</v>
      </c>
      <c r="U145" s="379"/>
      <c r="V145" s="737">
        <v>245</v>
      </c>
      <c r="W145" s="376"/>
      <c r="X145" s="376">
        <v>60</v>
      </c>
      <c r="Y145" s="376"/>
      <c r="Z145" s="376">
        <v>46</v>
      </c>
      <c r="AA145" s="27">
        <f t="shared" si="23"/>
        <v>7930</v>
      </c>
      <c r="AB145" s="31" t="e">
        <f>(#REF!+#REF!)*#REF!</f>
        <v>#REF!</v>
      </c>
      <c r="AC145" s="29"/>
      <c r="AD145" s="64"/>
      <c r="AE145" s="740">
        <v>2</v>
      </c>
      <c r="AF145" s="747">
        <v>245</v>
      </c>
      <c r="AG145" s="747"/>
      <c r="AH145" s="376">
        <f t="shared" si="24"/>
        <v>4780</v>
      </c>
      <c r="AI145" s="376">
        <f t="shared" si="20"/>
        <v>239</v>
      </c>
      <c r="AJ145" s="376">
        <f t="shared" si="21"/>
        <v>5019</v>
      </c>
      <c r="AK145" s="375">
        <v>1001154781</v>
      </c>
      <c r="AL145" s="382"/>
      <c r="AM145" s="383"/>
    </row>
    <row r="146" spans="1:39" s="384" customFormat="1">
      <c r="A146" s="373">
        <v>42270</v>
      </c>
      <c r="B146" s="735">
        <v>614549</v>
      </c>
      <c r="C146" s="375">
        <v>1</v>
      </c>
      <c r="D146" s="376">
        <v>2600</v>
      </c>
      <c r="E146" s="376"/>
      <c r="F146" s="376">
        <v>2600</v>
      </c>
      <c r="G146" s="379"/>
      <c r="H146" s="376">
        <v>2600</v>
      </c>
      <c r="I146" s="736">
        <v>14</v>
      </c>
      <c r="J146" s="376">
        <v>130</v>
      </c>
      <c r="K146" s="379"/>
      <c r="L146" s="737">
        <v>2600</v>
      </c>
      <c r="M146" s="376"/>
      <c r="N146" s="376">
        <v>70</v>
      </c>
      <c r="O146" s="379"/>
      <c r="P146" s="737">
        <v>2600</v>
      </c>
      <c r="Q146" s="738"/>
      <c r="R146" s="376">
        <v>91</v>
      </c>
      <c r="S146" s="379"/>
      <c r="T146" s="737">
        <v>2600</v>
      </c>
      <c r="U146" s="379"/>
      <c r="V146" s="737">
        <v>245</v>
      </c>
      <c r="W146" s="376"/>
      <c r="X146" s="376">
        <v>60</v>
      </c>
      <c r="Y146" s="376"/>
      <c r="Z146" s="376">
        <v>46</v>
      </c>
      <c r="AA146" s="27">
        <f t="shared" si="23"/>
        <v>7930</v>
      </c>
      <c r="AB146" s="31" t="e">
        <f>(#REF!+#REF!)*#REF!</f>
        <v>#REF!</v>
      </c>
      <c r="AC146" s="29"/>
      <c r="AD146" s="64"/>
      <c r="AE146" s="740">
        <v>2</v>
      </c>
      <c r="AF146" s="747">
        <v>245</v>
      </c>
      <c r="AG146" s="747"/>
      <c r="AH146" s="376">
        <f t="shared" si="24"/>
        <v>4910</v>
      </c>
      <c r="AI146" s="376">
        <f t="shared" si="20"/>
        <v>245.5</v>
      </c>
      <c r="AJ146" s="376">
        <f t="shared" si="21"/>
        <v>5155.5</v>
      </c>
      <c r="AK146" s="375">
        <v>1001154781</v>
      </c>
      <c r="AL146" s="382"/>
      <c r="AM146" s="383"/>
    </row>
    <row r="147" spans="1:39" s="384" customFormat="1">
      <c r="A147" s="373">
        <v>42271</v>
      </c>
      <c r="B147" s="735">
        <v>615330</v>
      </c>
      <c r="C147" s="375"/>
      <c r="D147" s="376">
        <v>2600</v>
      </c>
      <c r="E147" s="376"/>
      <c r="F147" s="376">
        <v>2600</v>
      </c>
      <c r="G147" s="379"/>
      <c r="H147" s="376">
        <v>2600</v>
      </c>
      <c r="I147" s="736">
        <v>13</v>
      </c>
      <c r="J147" s="376">
        <v>130</v>
      </c>
      <c r="K147" s="379"/>
      <c r="L147" s="737">
        <v>2600</v>
      </c>
      <c r="M147" s="376"/>
      <c r="N147" s="376">
        <v>70</v>
      </c>
      <c r="O147" s="379"/>
      <c r="P147" s="737">
        <v>2600</v>
      </c>
      <c r="Q147" s="738"/>
      <c r="R147" s="376">
        <v>91</v>
      </c>
      <c r="S147" s="379"/>
      <c r="T147" s="737">
        <v>2600</v>
      </c>
      <c r="U147" s="379"/>
      <c r="V147" s="737">
        <v>245</v>
      </c>
      <c r="W147" s="376"/>
      <c r="X147" s="376">
        <v>60</v>
      </c>
      <c r="Y147" s="376"/>
      <c r="Z147" s="376">
        <v>46</v>
      </c>
      <c r="AA147" s="27">
        <f t="shared" si="23"/>
        <v>7930</v>
      </c>
      <c r="AB147" s="31" t="e">
        <f>(#REF!+#REF!)*#REF!</f>
        <v>#REF!</v>
      </c>
      <c r="AC147" s="29"/>
      <c r="AD147" s="64"/>
      <c r="AE147" s="740"/>
      <c r="AF147" s="747">
        <v>245</v>
      </c>
      <c r="AG147" s="747"/>
      <c r="AH147" s="376">
        <f t="shared" si="24"/>
        <v>1690</v>
      </c>
      <c r="AI147" s="376">
        <f t="shared" si="20"/>
        <v>84.5</v>
      </c>
      <c r="AJ147" s="376">
        <f t="shared" si="21"/>
        <v>1774.5</v>
      </c>
      <c r="AK147" s="375">
        <v>1001154781</v>
      </c>
      <c r="AL147" s="382"/>
      <c r="AM147" s="383"/>
    </row>
    <row r="148" spans="1:39" s="384" customFormat="1">
      <c r="A148" s="373">
        <v>42271</v>
      </c>
      <c r="B148" s="735">
        <v>615327</v>
      </c>
      <c r="C148" s="375">
        <v>1</v>
      </c>
      <c r="D148" s="376">
        <v>2600</v>
      </c>
      <c r="E148" s="376"/>
      <c r="F148" s="376">
        <v>2600</v>
      </c>
      <c r="G148" s="379"/>
      <c r="H148" s="376">
        <v>2600</v>
      </c>
      <c r="I148" s="736"/>
      <c r="J148" s="376">
        <v>130</v>
      </c>
      <c r="K148" s="379">
        <v>1</v>
      </c>
      <c r="L148" s="737">
        <v>2600</v>
      </c>
      <c r="M148" s="376"/>
      <c r="N148" s="376">
        <v>70</v>
      </c>
      <c r="O148" s="379"/>
      <c r="P148" s="737">
        <v>2600</v>
      </c>
      <c r="Q148" s="738"/>
      <c r="R148" s="376">
        <v>91</v>
      </c>
      <c r="S148" s="379"/>
      <c r="T148" s="737">
        <v>2600</v>
      </c>
      <c r="U148" s="379"/>
      <c r="V148" s="737">
        <v>245</v>
      </c>
      <c r="W148" s="376"/>
      <c r="X148" s="376">
        <v>60</v>
      </c>
      <c r="Y148" s="376"/>
      <c r="Z148" s="376">
        <v>46</v>
      </c>
      <c r="AA148" s="27">
        <f t="shared" si="23"/>
        <v>7930</v>
      </c>
      <c r="AB148" s="31" t="e">
        <f>(#REF!+#REF!)*#REF!</f>
        <v>#REF!</v>
      </c>
      <c r="AC148" s="29"/>
      <c r="AD148" s="64"/>
      <c r="AE148" s="740">
        <v>2.5</v>
      </c>
      <c r="AF148" s="747">
        <v>245</v>
      </c>
      <c r="AG148" s="747"/>
      <c r="AH148" s="376">
        <f t="shared" si="24"/>
        <v>5812.5</v>
      </c>
      <c r="AI148" s="376">
        <f t="shared" si="20"/>
        <v>290.625</v>
      </c>
      <c r="AJ148" s="376">
        <f t="shared" si="21"/>
        <v>6103.125</v>
      </c>
      <c r="AK148" s="375">
        <v>1001154781</v>
      </c>
      <c r="AL148" s="382"/>
      <c r="AM148" s="383"/>
    </row>
    <row r="149" spans="1:39" s="384" customFormat="1">
      <c r="A149" s="373">
        <v>42271</v>
      </c>
      <c r="B149" s="735">
        <v>615328</v>
      </c>
      <c r="C149" s="375">
        <v>1</v>
      </c>
      <c r="D149" s="376">
        <v>2600</v>
      </c>
      <c r="E149" s="376"/>
      <c r="F149" s="376">
        <v>2600</v>
      </c>
      <c r="G149" s="379"/>
      <c r="H149" s="376">
        <v>2600</v>
      </c>
      <c r="I149" s="736">
        <v>13</v>
      </c>
      <c r="J149" s="376">
        <v>130</v>
      </c>
      <c r="K149" s="379"/>
      <c r="L149" s="737">
        <v>2600</v>
      </c>
      <c r="M149" s="376"/>
      <c r="N149" s="376">
        <v>70</v>
      </c>
      <c r="O149" s="379"/>
      <c r="P149" s="737">
        <v>2600</v>
      </c>
      <c r="Q149" s="738"/>
      <c r="R149" s="376">
        <v>91</v>
      </c>
      <c r="S149" s="379"/>
      <c r="T149" s="737">
        <v>2600</v>
      </c>
      <c r="U149" s="379"/>
      <c r="V149" s="737">
        <v>245</v>
      </c>
      <c r="W149" s="376"/>
      <c r="X149" s="376">
        <v>60</v>
      </c>
      <c r="Y149" s="376"/>
      <c r="Z149" s="376">
        <v>46</v>
      </c>
      <c r="AA149" s="27">
        <f t="shared" si="23"/>
        <v>7930</v>
      </c>
      <c r="AB149" s="31" t="e">
        <f>(#REF!+#REF!)*#REF!</f>
        <v>#REF!</v>
      </c>
      <c r="AC149" s="29"/>
      <c r="AD149" s="64"/>
      <c r="AE149" s="740">
        <v>2</v>
      </c>
      <c r="AF149" s="747">
        <v>245</v>
      </c>
      <c r="AG149" s="747"/>
      <c r="AH149" s="376">
        <f t="shared" si="24"/>
        <v>4780</v>
      </c>
      <c r="AI149" s="376">
        <f t="shared" si="20"/>
        <v>239</v>
      </c>
      <c r="AJ149" s="376">
        <f t="shared" si="21"/>
        <v>5019</v>
      </c>
      <c r="AK149" s="375">
        <v>1001154781</v>
      </c>
      <c r="AL149" s="382"/>
      <c r="AM149" s="383"/>
    </row>
    <row r="150" spans="1:39" s="384" customFormat="1">
      <c r="A150" s="373">
        <v>42271</v>
      </c>
      <c r="B150" s="746" t="s">
        <v>466</v>
      </c>
      <c r="C150" s="375">
        <v>1</v>
      </c>
      <c r="D150" s="376">
        <v>2600</v>
      </c>
      <c r="E150" s="376"/>
      <c r="F150" s="376">
        <v>2600</v>
      </c>
      <c r="G150" s="379"/>
      <c r="H150" s="376">
        <v>2600</v>
      </c>
      <c r="I150" s="736"/>
      <c r="J150" s="376">
        <v>130</v>
      </c>
      <c r="K150" s="379">
        <v>1</v>
      </c>
      <c r="L150" s="737">
        <v>2600</v>
      </c>
      <c r="M150" s="376"/>
      <c r="N150" s="376">
        <v>70</v>
      </c>
      <c r="O150" s="379"/>
      <c r="P150" s="737">
        <v>2600</v>
      </c>
      <c r="Q150" s="738"/>
      <c r="R150" s="376">
        <v>91</v>
      </c>
      <c r="S150" s="379"/>
      <c r="T150" s="737">
        <v>2600</v>
      </c>
      <c r="U150" s="379"/>
      <c r="V150" s="737">
        <v>245</v>
      </c>
      <c r="W150" s="376"/>
      <c r="X150" s="376">
        <v>60</v>
      </c>
      <c r="Y150" s="376"/>
      <c r="Z150" s="376">
        <v>46</v>
      </c>
      <c r="AA150" s="27">
        <f t="shared" si="23"/>
        <v>7930</v>
      </c>
      <c r="AB150" s="31" t="e">
        <f>(#REF!+#REF!)*#REF!</f>
        <v>#REF!</v>
      </c>
      <c r="AC150" s="29"/>
      <c r="AD150" s="64"/>
      <c r="AE150" s="740">
        <v>5</v>
      </c>
      <c r="AF150" s="747">
        <v>245</v>
      </c>
      <c r="AG150" s="747"/>
      <c r="AH150" s="376">
        <f t="shared" si="24"/>
        <v>6425</v>
      </c>
      <c r="AI150" s="376">
        <f t="shared" ref="AI150:AI181" si="25">(AH150*5%)</f>
        <v>321.25</v>
      </c>
      <c r="AJ150" s="376">
        <f t="shared" ref="AJ150:AJ181" si="26">SUM(AH150+AI150)</f>
        <v>6746.25</v>
      </c>
      <c r="AK150" s="375">
        <v>1001154781</v>
      </c>
      <c r="AL150" s="382"/>
      <c r="AM150" s="383"/>
    </row>
    <row r="151" spans="1:39" s="384" customFormat="1">
      <c r="A151" s="373">
        <v>42272</v>
      </c>
      <c r="B151" s="746" t="s">
        <v>518</v>
      </c>
      <c r="C151" s="375">
        <v>1</v>
      </c>
      <c r="D151" s="376">
        <v>2600</v>
      </c>
      <c r="E151" s="379">
        <v>1</v>
      </c>
      <c r="F151" s="376">
        <v>2600</v>
      </c>
      <c r="G151" s="379"/>
      <c r="H151" s="376">
        <v>2600</v>
      </c>
      <c r="I151" s="736"/>
      <c r="J151" s="376">
        <v>130</v>
      </c>
      <c r="K151" s="379"/>
      <c r="L151" s="737">
        <v>2600</v>
      </c>
      <c r="M151" s="376"/>
      <c r="N151" s="376">
        <v>70</v>
      </c>
      <c r="O151" s="379"/>
      <c r="P151" s="737">
        <v>2600</v>
      </c>
      <c r="Q151" s="738"/>
      <c r="R151" s="376">
        <v>91</v>
      </c>
      <c r="S151" s="379"/>
      <c r="T151" s="737">
        <v>2600</v>
      </c>
      <c r="U151" s="379"/>
      <c r="V151" s="737">
        <v>245</v>
      </c>
      <c r="W151" s="376"/>
      <c r="X151" s="376">
        <v>60</v>
      </c>
      <c r="Y151" s="376"/>
      <c r="Z151" s="376">
        <v>46</v>
      </c>
      <c r="AA151" s="27">
        <f t="shared" si="23"/>
        <v>7930</v>
      </c>
      <c r="AB151" s="31" t="e">
        <f>(#REF!+#REF!)*#REF!</f>
        <v>#REF!</v>
      </c>
      <c r="AC151" s="29"/>
      <c r="AD151" s="64"/>
      <c r="AE151" s="740">
        <v>8</v>
      </c>
      <c r="AF151" s="747">
        <v>245</v>
      </c>
      <c r="AG151" s="747"/>
      <c r="AH151" s="376">
        <f t="shared" si="24"/>
        <v>7160</v>
      </c>
      <c r="AI151" s="376">
        <f t="shared" si="25"/>
        <v>358</v>
      </c>
      <c r="AJ151" s="376">
        <f t="shared" si="26"/>
        <v>7518</v>
      </c>
      <c r="AK151" s="375">
        <v>1001154781</v>
      </c>
      <c r="AL151" s="382"/>
      <c r="AM151" s="383"/>
    </row>
    <row r="152" spans="1:39" s="384" customFormat="1">
      <c r="A152" s="373">
        <v>42272</v>
      </c>
      <c r="B152" s="746" t="s">
        <v>519</v>
      </c>
      <c r="C152" s="375">
        <v>1</v>
      </c>
      <c r="D152" s="376">
        <v>2600</v>
      </c>
      <c r="E152" s="379"/>
      <c r="F152" s="376">
        <v>2600</v>
      </c>
      <c r="G152" s="379"/>
      <c r="H152" s="376">
        <v>2600</v>
      </c>
      <c r="I152" s="736">
        <v>14</v>
      </c>
      <c r="J152" s="376">
        <v>130</v>
      </c>
      <c r="K152" s="379"/>
      <c r="L152" s="737">
        <v>2600</v>
      </c>
      <c r="M152" s="376"/>
      <c r="N152" s="376">
        <v>70</v>
      </c>
      <c r="O152" s="379"/>
      <c r="P152" s="737">
        <v>2600</v>
      </c>
      <c r="Q152" s="738"/>
      <c r="R152" s="376">
        <v>91</v>
      </c>
      <c r="S152" s="379"/>
      <c r="T152" s="737">
        <v>2600</v>
      </c>
      <c r="U152" s="379"/>
      <c r="V152" s="737">
        <v>245</v>
      </c>
      <c r="W152" s="376"/>
      <c r="X152" s="376">
        <v>60</v>
      </c>
      <c r="Y152" s="376"/>
      <c r="Z152" s="376">
        <v>46</v>
      </c>
      <c r="AA152" s="27">
        <f t="shared" si="23"/>
        <v>7930</v>
      </c>
      <c r="AB152" s="31" t="e">
        <f>(#REF!+#REF!)*#REF!</f>
        <v>#REF!</v>
      </c>
      <c r="AC152" s="29"/>
      <c r="AD152" s="64"/>
      <c r="AE152" s="740">
        <v>4</v>
      </c>
      <c r="AF152" s="747">
        <v>245</v>
      </c>
      <c r="AG152" s="747"/>
      <c r="AH152" s="376">
        <f t="shared" si="24"/>
        <v>5400</v>
      </c>
      <c r="AI152" s="376">
        <f t="shared" si="25"/>
        <v>270</v>
      </c>
      <c r="AJ152" s="376">
        <f t="shared" si="26"/>
        <v>5670</v>
      </c>
      <c r="AK152" s="375">
        <v>1001154781</v>
      </c>
      <c r="AL152" s="382"/>
      <c r="AM152" s="383"/>
    </row>
    <row r="153" spans="1:39" s="384" customFormat="1">
      <c r="A153" s="373">
        <v>42272</v>
      </c>
      <c r="B153" s="746" t="s">
        <v>520</v>
      </c>
      <c r="C153" s="375"/>
      <c r="D153" s="376">
        <v>2600</v>
      </c>
      <c r="E153" s="379"/>
      <c r="F153" s="376">
        <v>2600</v>
      </c>
      <c r="G153" s="379"/>
      <c r="H153" s="376">
        <v>2600</v>
      </c>
      <c r="I153" s="736"/>
      <c r="J153" s="376">
        <v>130</v>
      </c>
      <c r="K153" s="379"/>
      <c r="L153" s="737">
        <v>2600</v>
      </c>
      <c r="M153" s="376"/>
      <c r="N153" s="376">
        <v>70</v>
      </c>
      <c r="O153" s="379"/>
      <c r="P153" s="737">
        <v>2600</v>
      </c>
      <c r="Q153" s="738"/>
      <c r="R153" s="376">
        <v>91</v>
      </c>
      <c r="S153" s="379"/>
      <c r="T153" s="737">
        <v>2600</v>
      </c>
      <c r="U153" s="379"/>
      <c r="V153" s="737">
        <v>245</v>
      </c>
      <c r="W153" s="379">
        <v>8</v>
      </c>
      <c r="X153" s="376">
        <v>60</v>
      </c>
      <c r="Y153" s="376">
        <v>8</v>
      </c>
      <c r="Z153" s="376">
        <v>46</v>
      </c>
      <c r="AA153" s="27">
        <f t="shared" si="23"/>
        <v>7930</v>
      </c>
      <c r="AB153" s="31" t="e">
        <f>(#REF!+#REF!)*#REF!</f>
        <v>#REF!</v>
      </c>
      <c r="AC153" s="29"/>
      <c r="AD153" s="64"/>
      <c r="AE153" s="740"/>
      <c r="AF153" s="747">
        <v>245</v>
      </c>
      <c r="AG153" s="747"/>
      <c r="AH153" s="376">
        <f t="shared" si="24"/>
        <v>848</v>
      </c>
      <c r="AI153" s="376">
        <f t="shared" si="25"/>
        <v>42.400000000000006</v>
      </c>
      <c r="AJ153" s="376">
        <f t="shared" si="26"/>
        <v>890.4</v>
      </c>
      <c r="AK153" s="375">
        <v>1001154781</v>
      </c>
      <c r="AL153" s="382"/>
      <c r="AM153" s="383"/>
    </row>
    <row r="154" spans="1:39" s="384" customFormat="1">
      <c r="A154" s="373">
        <v>42272</v>
      </c>
      <c r="B154" s="746" t="s">
        <v>521</v>
      </c>
      <c r="C154" s="375"/>
      <c r="D154" s="376">
        <v>2600</v>
      </c>
      <c r="E154" s="379"/>
      <c r="F154" s="376">
        <v>2600</v>
      </c>
      <c r="G154" s="379"/>
      <c r="H154" s="376">
        <v>2600</v>
      </c>
      <c r="I154" s="736"/>
      <c r="J154" s="376">
        <v>130</v>
      </c>
      <c r="K154" s="379"/>
      <c r="L154" s="737">
        <v>2600</v>
      </c>
      <c r="M154" s="376"/>
      <c r="N154" s="376">
        <v>70</v>
      </c>
      <c r="O154" s="379"/>
      <c r="P154" s="737">
        <v>2600</v>
      </c>
      <c r="Q154" s="738"/>
      <c r="R154" s="376">
        <v>91</v>
      </c>
      <c r="S154" s="379"/>
      <c r="T154" s="737">
        <v>2600</v>
      </c>
      <c r="U154" s="379"/>
      <c r="V154" s="737">
        <v>245</v>
      </c>
      <c r="W154" s="379">
        <v>4</v>
      </c>
      <c r="X154" s="376">
        <v>60</v>
      </c>
      <c r="Y154" s="376"/>
      <c r="Z154" s="376">
        <v>46</v>
      </c>
      <c r="AA154" s="27">
        <f t="shared" si="23"/>
        <v>7930</v>
      </c>
      <c r="AB154" s="31" t="e">
        <f>(#REF!+#REF!)*#REF!</f>
        <v>#REF!</v>
      </c>
      <c r="AC154" s="29"/>
      <c r="AD154" s="64"/>
      <c r="AE154" s="740"/>
      <c r="AF154" s="747">
        <v>245</v>
      </c>
      <c r="AG154" s="747"/>
      <c r="AH154" s="376">
        <f t="shared" si="24"/>
        <v>240</v>
      </c>
      <c r="AI154" s="376">
        <f t="shared" si="25"/>
        <v>12</v>
      </c>
      <c r="AJ154" s="376">
        <f t="shared" si="26"/>
        <v>252</v>
      </c>
      <c r="AK154" s="375">
        <v>1001154781</v>
      </c>
      <c r="AL154" s="382"/>
      <c r="AM154" s="383"/>
    </row>
    <row r="155" spans="1:39" s="384" customFormat="1">
      <c r="A155" s="373">
        <v>42273</v>
      </c>
      <c r="B155" s="746" t="s">
        <v>522</v>
      </c>
      <c r="C155" s="375">
        <v>0</v>
      </c>
      <c r="D155" s="376">
        <v>2600</v>
      </c>
      <c r="E155" s="379"/>
      <c r="F155" s="376">
        <v>2600</v>
      </c>
      <c r="G155" s="379"/>
      <c r="H155" s="376">
        <v>2600</v>
      </c>
      <c r="I155" s="736">
        <v>0</v>
      </c>
      <c r="J155" s="376">
        <v>130</v>
      </c>
      <c r="K155" s="379"/>
      <c r="L155" s="737">
        <v>2600</v>
      </c>
      <c r="M155" s="376"/>
      <c r="N155" s="376">
        <v>70</v>
      </c>
      <c r="O155" s="379"/>
      <c r="P155" s="737">
        <v>2600</v>
      </c>
      <c r="Q155" s="738"/>
      <c r="R155" s="376">
        <v>91</v>
      </c>
      <c r="S155" s="379"/>
      <c r="T155" s="737">
        <v>2600</v>
      </c>
      <c r="U155" s="379"/>
      <c r="V155" s="737">
        <v>245</v>
      </c>
      <c r="W155" s="379"/>
      <c r="X155" s="376">
        <v>60</v>
      </c>
      <c r="Y155" s="376"/>
      <c r="Z155" s="376">
        <v>46</v>
      </c>
      <c r="AA155" s="27">
        <f t="shared" si="23"/>
        <v>7930</v>
      </c>
      <c r="AB155" s="31" t="e">
        <f>(#REF!+#REF!)*#REF!</f>
        <v>#REF!</v>
      </c>
      <c r="AC155" s="29"/>
      <c r="AD155" s="64"/>
      <c r="AE155" s="740">
        <v>0</v>
      </c>
      <c r="AF155" s="747">
        <v>245</v>
      </c>
      <c r="AG155" s="747"/>
      <c r="AH155" s="376">
        <f t="shared" si="24"/>
        <v>0</v>
      </c>
      <c r="AI155" s="376">
        <f t="shared" si="25"/>
        <v>0</v>
      </c>
      <c r="AJ155" s="376">
        <f t="shared" si="26"/>
        <v>0</v>
      </c>
      <c r="AK155" s="375">
        <v>1001154781</v>
      </c>
      <c r="AL155" s="382"/>
      <c r="AM155" s="383"/>
    </row>
    <row r="156" spans="1:39" s="384" customFormat="1">
      <c r="A156" s="373">
        <v>42273</v>
      </c>
      <c r="B156" s="746" t="s">
        <v>523</v>
      </c>
      <c r="C156" s="375">
        <v>1</v>
      </c>
      <c r="D156" s="376">
        <v>2600</v>
      </c>
      <c r="E156" s="379">
        <v>1</v>
      </c>
      <c r="F156" s="376">
        <v>2600</v>
      </c>
      <c r="G156" s="379"/>
      <c r="H156" s="376">
        <v>2600</v>
      </c>
      <c r="I156" s="736"/>
      <c r="J156" s="376">
        <v>130</v>
      </c>
      <c r="K156" s="379"/>
      <c r="L156" s="737">
        <v>2600</v>
      </c>
      <c r="M156" s="376"/>
      <c r="N156" s="376">
        <v>70</v>
      </c>
      <c r="O156" s="379"/>
      <c r="P156" s="737">
        <v>2600</v>
      </c>
      <c r="Q156" s="738"/>
      <c r="R156" s="376">
        <v>91</v>
      </c>
      <c r="S156" s="379"/>
      <c r="T156" s="737">
        <v>2600</v>
      </c>
      <c r="U156" s="379"/>
      <c r="V156" s="737">
        <v>245</v>
      </c>
      <c r="W156" s="379"/>
      <c r="X156" s="376">
        <v>60</v>
      </c>
      <c r="Y156" s="376"/>
      <c r="Z156" s="376">
        <v>46</v>
      </c>
      <c r="AA156" s="27">
        <f t="shared" si="23"/>
        <v>7930</v>
      </c>
      <c r="AB156" s="31" t="e">
        <f>(#REF!+#REF!)*#REF!</f>
        <v>#REF!</v>
      </c>
      <c r="AC156" s="29"/>
      <c r="AD156" s="64"/>
      <c r="AE156" s="740">
        <v>3</v>
      </c>
      <c r="AF156" s="747">
        <v>245</v>
      </c>
      <c r="AG156" s="747"/>
      <c r="AH156" s="376">
        <f t="shared" si="24"/>
        <v>5935</v>
      </c>
      <c r="AI156" s="376">
        <f t="shared" si="25"/>
        <v>296.75</v>
      </c>
      <c r="AJ156" s="376">
        <f t="shared" si="26"/>
        <v>6231.75</v>
      </c>
      <c r="AK156" s="375">
        <v>1001154781</v>
      </c>
      <c r="AL156" s="382"/>
      <c r="AM156" s="383"/>
    </row>
    <row r="157" spans="1:39" s="384" customFormat="1">
      <c r="A157" s="373">
        <v>42273</v>
      </c>
      <c r="B157" s="746" t="s">
        <v>524</v>
      </c>
      <c r="C157" s="375">
        <v>1</v>
      </c>
      <c r="D157" s="376">
        <v>2600</v>
      </c>
      <c r="E157" s="379">
        <v>1</v>
      </c>
      <c r="F157" s="376">
        <v>2600</v>
      </c>
      <c r="G157" s="379"/>
      <c r="H157" s="376">
        <v>2600</v>
      </c>
      <c r="I157" s="736"/>
      <c r="J157" s="376">
        <v>130</v>
      </c>
      <c r="K157" s="379"/>
      <c r="L157" s="737">
        <v>2600</v>
      </c>
      <c r="M157" s="376"/>
      <c r="N157" s="376">
        <v>70</v>
      </c>
      <c r="O157" s="379"/>
      <c r="P157" s="737">
        <v>2600</v>
      </c>
      <c r="Q157" s="738"/>
      <c r="R157" s="376">
        <v>91</v>
      </c>
      <c r="S157" s="379"/>
      <c r="T157" s="737">
        <v>2600</v>
      </c>
      <c r="U157" s="379"/>
      <c r="V157" s="737">
        <v>245</v>
      </c>
      <c r="W157" s="379"/>
      <c r="X157" s="376">
        <v>60</v>
      </c>
      <c r="Y157" s="376"/>
      <c r="Z157" s="376">
        <v>46</v>
      </c>
      <c r="AA157" s="27">
        <f t="shared" si="23"/>
        <v>7930</v>
      </c>
      <c r="AB157" s="31" t="e">
        <f>(#REF!+#REF!)*#REF!</f>
        <v>#REF!</v>
      </c>
      <c r="AC157" s="29"/>
      <c r="AD157" s="64"/>
      <c r="AE157" s="740"/>
      <c r="AF157" s="747">
        <v>245</v>
      </c>
      <c r="AG157" s="747"/>
      <c r="AH157" s="376">
        <f t="shared" si="24"/>
        <v>5200</v>
      </c>
      <c r="AI157" s="376">
        <f t="shared" si="25"/>
        <v>260</v>
      </c>
      <c r="AJ157" s="376">
        <f t="shared" si="26"/>
        <v>5460</v>
      </c>
      <c r="AK157" s="375">
        <v>1001154781</v>
      </c>
      <c r="AL157" s="382"/>
      <c r="AM157" s="383"/>
    </row>
    <row r="158" spans="1:39" s="384" customFormat="1">
      <c r="A158" s="373">
        <v>42274</v>
      </c>
      <c r="B158" s="746" t="s">
        <v>525</v>
      </c>
      <c r="C158" s="375">
        <v>0</v>
      </c>
      <c r="D158" s="376">
        <v>2600</v>
      </c>
      <c r="E158" s="379">
        <v>0</v>
      </c>
      <c r="F158" s="376">
        <v>2600</v>
      </c>
      <c r="G158" s="379"/>
      <c r="H158" s="376">
        <v>2600</v>
      </c>
      <c r="I158" s="736"/>
      <c r="J158" s="376">
        <v>130</v>
      </c>
      <c r="K158" s="379"/>
      <c r="L158" s="737">
        <v>2600</v>
      </c>
      <c r="M158" s="376"/>
      <c r="N158" s="376">
        <v>70</v>
      </c>
      <c r="O158" s="379"/>
      <c r="P158" s="737">
        <v>2600</v>
      </c>
      <c r="Q158" s="738"/>
      <c r="R158" s="376">
        <v>91</v>
      </c>
      <c r="S158" s="379"/>
      <c r="T158" s="737">
        <v>2600</v>
      </c>
      <c r="U158" s="379"/>
      <c r="V158" s="737">
        <v>245</v>
      </c>
      <c r="W158" s="379"/>
      <c r="X158" s="376">
        <v>60</v>
      </c>
      <c r="Y158" s="376"/>
      <c r="Z158" s="376">
        <v>46</v>
      </c>
      <c r="AA158" s="27">
        <f t="shared" si="23"/>
        <v>7930</v>
      </c>
      <c r="AB158" s="31" t="e">
        <f>(#REF!+#REF!)*#REF!</f>
        <v>#REF!</v>
      </c>
      <c r="AC158" s="29"/>
      <c r="AD158" s="64"/>
      <c r="AE158" s="740"/>
      <c r="AF158" s="747">
        <v>245</v>
      </c>
      <c r="AG158" s="747"/>
      <c r="AH158" s="376">
        <f t="shared" si="24"/>
        <v>0</v>
      </c>
      <c r="AI158" s="376">
        <f t="shared" si="25"/>
        <v>0</v>
      </c>
      <c r="AJ158" s="376">
        <f t="shared" si="26"/>
        <v>0</v>
      </c>
      <c r="AK158" s="375">
        <v>1001154781</v>
      </c>
      <c r="AL158" s="382"/>
      <c r="AM158" s="383"/>
    </row>
    <row r="159" spans="1:39" s="384" customFormat="1">
      <c r="A159" s="373">
        <v>42274</v>
      </c>
      <c r="B159" s="746" t="s">
        <v>526</v>
      </c>
      <c r="C159" s="375">
        <v>1</v>
      </c>
      <c r="D159" s="376">
        <v>2600</v>
      </c>
      <c r="E159" s="379">
        <v>1</v>
      </c>
      <c r="F159" s="376">
        <v>2600</v>
      </c>
      <c r="G159" s="379"/>
      <c r="H159" s="376">
        <v>2600</v>
      </c>
      <c r="I159" s="736"/>
      <c r="J159" s="376">
        <v>130</v>
      </c>
      <c r="K159" s="379"/>
      <c r="L159" s="737">
        <v>2600</v>
      </c>
      <c r="M159" s="376"/>
      <c r="N159" s="376">
        <v>70</v>
      </c>
      <c r="O159" s="379"/>
      <c r="P159" s="737">
        <v>2600</v>
      </c>
      <c r="Q159" s="738"/>
      <c r="R159" s="376">
        <v>91</v>
      </c>
      <c r="S159" s="379"/>
      <c r="T159" s="737">
        <v>2600</v>
      </c>
      <c r="U159" s="379"/>
      <c r="V159" s="737">
        <v>245</v>
      </c>
      <c r="W159" s="379"/>
      <c r="X159" s="376">
        <v>60</v>
      </c>
      <c r="Y159" s="376"/>
      <c r="Z159" s="376">
        <v>46</v>
      </c>
      <c r="AA159" s="27">
        <f t="shared" si="23"/>
        <v>7930</v>
      </c>
      <c r="AB159" s="31" t="e">
        <f>(#REF!+#REF!)*#REF!</f>
        <v>#REF!</v>
      </c>
      <c r="AC159" s="29"/>
      <c r="AD159" s="64"/>
      <c r="AE159" s="740"/>
      <c r="AF159" s="747">
        <v>245</v>
      </c>
      <c r="AG159" s="747"/>
      <c r="AH159" s="376">
        <f t="shared" si="24"/>
        <v>5200</v>
      </c>
      <c r="AI159" s="376">
        <f t="shared" si="25"/>
        <v>260</v>
      </c>
      <c r="AJ159" s="376">
        <f t="shared" si="26"/>
        <v>5460</v>
      </c>
      <c r="AK159" s="375">
        <v>1001154781</v>
      </c>
      <c r="AL159" s="382"/>
      <c r="AM159" s="383"/>
    </row>
    <row r="160" spans="1:39" s="384" customFormat="1">
      <c r="A160" s="373">
        <v>42275</v>
      </c>
      <c r="B160" s="746" t="s">
        <v>527</v>
      </c>
      <c r="C160" s="375">
        <v>0</v>
      </c>
      <c r="D160" s="376">
        <v>2600</v>
      </c>
      <c r="E160" s="379"/>
      <c r="F160" s="376">
        <v>2600</v>
      </c>
      <c r="G160" s="379"/>
      <c r="H160" s="376">
        <v>2600</v>
      </c>
      <c r="I160" s="736"/>
      <c r="J160" s="376">
        <v>130</v>
      </c>
      <c r="K160" s="379"/>
      <c r="L160" s="737">
        <v>2600</v>
      </c>
      <c r="M160" s="376"/>
      <c r="N160" s="376">
        <v>70</v>
      </c>
      <c r="O160" s="379"/>
      <c r="P160" s="737">
        <v>2600</v>
      </c>
      <c r="Q160" s="738"/>
      <c r="R160" s="376">
        <v>91</v>
      </c>
      <c r="S160" s="379"/>
      <c r="T160" s="737">
        <v>2600</v>
      </c>
      <c r="U160" s="379"/>
      <c r="V160" s="737">
        <v>245</v>
      </c>
      <c r="W160" s="379"/>
      <c r="X160" s="376">
        <v>60</v>
      </c>
      <c r="Y160" s="376"/>
      <c r="Z160" s="376">
        <v>46</v>
      </c>
      <c r="AA160" s="27">
        <f t="shared" si="23"/>
        <v>7930</v>
      </c>
      <c r="AB160" s="31" t="e">
        <f>(#REF!+#REF!)*#REF!</f>
        <v>#REF!</v>
      </c>
      <c r="AC160" s="29"/>
      <c r="AD160" s="64"/>
      <c r="AE160" s="740"/>
      <c r="AF160" s="747">
        <v>245</v>
      </c>
      <c r="AG160" s="747"/>
      <c r="AH160" s="376">
        <f t="shared" si="24"/>
        <v>0</v>
      </c>
      <c r="AI160" s="376">
        <f t="shared" si="25"/>
        <v>0</v>
      </c>
      <c r="AJ160" s="376">
        <f t="shared" si="26"/>
        <v>0</v>
      </c>
      <c r="AK160" s="375">
        <v>1001154781</v>
      </c>
      <c r="AL160" s="382"/>
      <c r="AM160" s="383"/>
    </row>
    <row r="161" spans="1:39" s="384" customFormat="1">
      <c r="A161" s="373">
        <v>42275</v>
      </c>
      <c r="B161" s="746" t="s">
        <v>528</v>
      </c>
      <c r="C161" s="375"/>
      <c r="D161" s="376">
        <v>2600</v>
      </c>
      <c r="E161" s="379"/>
      <c r="F161" s="376">
        <v>2600</v>
      </c>
      <c r="G161" s="379"/>
      <c r="H161" s="376">
        <v>2600</v>
      </c>
      <c r="I161" s="736"/>
      <c r="J161" s="376">
        <v>130</v>
      </c>
      <c r="K161" s="379"/>
      <c r="L161" s="737">
        <v>2600</v>
      </c>
      <c r="M161" s="376"/>
      <c r="N161" s="376">
        <v>70</v>
      </c>
      <c r="O161" s="379"/>
      <c r="P161" s="737">
        <v>2600</v>
      </c>
      <c r="Q161" s="738"/>
      <c r="R161" s="376">
        <v>91</v>
      </c>
      <c r="S161" s="379"/>
      <c r="T161" s="737">
        <v>2600</v>
      </c>
      <c r="U161" s="379"/>
      <c r="V161" s="737">
        <v>245</v>
      </c>
      <c r="W161" s="379"/>
      <c r="X161" s="376">
        <v>60</v>
      </c>
      <c r="Y161" s="376"/>
      <c r="Z161" s="376">
        <v>46</v>
      </c>
      <c r="AA161" s="27">
        <f t="shared" si="23"/>
        <v>7930</v>
      </c>
      <c r="AB161" s="31" t="e">
        <f>(#REF!+#REF!)*#REF!</f>
        <v>#REF!</v>
      </c>
      <c r="AC161" s="29"/>
      <c r="AD161" s="64"/>
      <c r="AE161" s="740"/>
      <c r="AF161" s="747">
        <v>245</v>
      </c>
      <c r="AG161" s="747"/>
      <c r="AH161" s="376">
        <f t="shared" si="24"/>
        <v>0</v>
      </c>
      <c r="AI161" s="376">
        <f t="shared" si="25"/>
        <v>0</v>
      </c>
      <c r="AJ161" s="376">
        <f t="shared" si="26"/>
        <v>0</v>
      </c>
      <c r="AK161" s="375">
        <v>1001154781</v>
      </c>
      <c r="AL161" s="382"/>
      <c r="AM161" s="383"/>
    </row>
    <row r="162" spans="1:39" s="384" customFormat="1">
      <c r="A162" s="373">
        <v>42275</v>
      </c>
      <c r="B162" s="746" t="s">
        <v>529</v>
      </c>
      <c r="C162" s="375">
        <v>1</v>
      </c>
      <c r="D162" s="376">
        <v>2600</v>
      </c>
      <c r="E162" s="379"/>
      <c r="F162" s="376">
        <v>2600</v>
      </c>
      <c r="G162" s="379">
        <v>1</v>
      </c>
      <c r="H162" s="376">
        <v>2600</v>
      </c>
      <c r="I162" s="736"/>
      <c r="J162" s="376">
        <v>130</v>
      </c>
      <c r="K162" s="379"/>
      <c r="L162" s="737">
        <v>2600</v>
      </c>
      <c r="M162" s="376"/>
      <c r="N162" s="376">
        <v>70</v>
      </c>
      <c r="O162" s="379"/>
      <c r="P162" s="737">
        <v>2600</v>
      </c>
      <c r="Q162" s="738"/>
      <c r="R162" s="376">
        <v>91</v>
      </c>
      <c r="S162" s="379"/>
      <c r="T162" s="737">
        <v>2600</v>
      </c>
      <c r="U162" s="379"/>
      <c r="V162" s="737">
        <v>245</v>
      </c>
      <c r="W162" s="379"/>
      <c r="X162" s="376">
        <v>60</v>
      </c>
      <c r="Y162" s="376"/>
      <c r="Z162" s="376">
        <v>46</v>
      </c>
      <c r="AA162" s="27">
        <f t="shared" si="23"/>
        <v>7930</v>
      </c>
      <c r="AB162" s="31" t="e">
        <f>(#REF!+#REF!)*#REF!</f>
        <v>#REF!</v>
      </c>
      <c r="AC162" s="29"/>
      <c r="AD162" s="64"/>
      <c r="AE162" s="740"/>
      <c r="AF162" s="747">
        <v>245</v>
      </c>
      <c r="AG162" s="747"/>
      <c r="AH162" s="376">
        <f t="shared" si="24"/>
        <v>5200</v>
      </c>
      <c r="AI162" s="376">
        <f t="shared" si="25"/>
        <v>260</v>
      </c>
      <c r="AJ162" s="376">
        <f t="shared" si="26"/>
        <v>5460</v>
      </c>
      <c r="AK162" s="375">
        <v>1001154781</v>
      </c>
      <c r="AL162" s="382"/>
      <c r="AM162" s="383"/>
    </row>
    <row r="163" spans="1:39" s="384" customFormat="1">
      <c r="A163" s="373">
        <v>42275</v>
      </c>
      <c r="B163" s="746" t="s">
        <v>530</v>
      </c>
      <c r="C163" s="375">
        <v>1</v>
      </c>
      <c r="D163" s="376">
        <v>2600</v>
      </c>
      <c r="E163" s="379">
        <v>1</v>
      </c>
      <c r="F163" s="376">
        <v>2600</v>
      </c>
      <c r="G163" s="379"/>
      <c r="H163" s="376">
        <v>2600</v>
      </c>
      <c r="I163" s="736"/>
      <c r="J163" s="376">
        <v>130</v>
      </c>
      <c r="K163" s="379"/>
      <c r="L163" s="737">
        <v>2600</v>
      </c>
      <c r="M163" s="376"/>
      <c r="N163" s="376">
        <v>70</v>
      </c>
      <c r="O163" s="379"/>
      <c r="P163" s="737">
        <v>2600</v>
      </c>
      <c r="Q163" s="738"/>
      <c r="R163" s="376">
        <v>91</v>
      </c>
      <c r="S163" s="379"/>
      <c r="T163" s="737">
        <v>2600</v>
      </c>
      <c r="U163" s="379"/>
      <c r="V163" s="737">
        <v>245</v>
      </c>
      <c r="W163" s="379"/>
      <c r="X163" s="376">
        <v>60</v>
      </c>
      <c r="Y163" s="376"/>
      <c r="Z163" s="376">
        <v>46</v>
      </c>
      <c r="AA163" s="27">
        <f t="shared" si="23"/>
        <v>7930</v>
      </c>
      <c r="AB163" s="31" t="e">
        <f>(#REF!+#REF!)*#REF!</f>
        <v>#REF!</v>
      </c>
      <c r="AC163" s="29"/>
      <c r="AD163" s="64"/>
      <c r="AE163" s="740">
        <v>3</v>
      </c>
      <c r="AF163" s="747">
        <v>245</v>
      </c>
      <c r="AG163" s="747"/>
      <c r="AH163" s="376">
        <f t="shared" si="24"/>
        <v>5935</v>
      </c>
      <c r="AI163" s="376">
        <f t="shared" si="25"/>
        <v>296.75</v>
      </c>
      <c r="AJ163" s="376">
        <f t="shared" si="26"/>
        <v>6231.75</v>
      </c>
      <c r="AK163" s="375">
        <v>1001154781</v>
      </c>
      <c r="AL163" s="382"/>
      <c r="AM163" s="383"/>
    </row>
    <row r="164" spans="1:39" s="384" customFormat="1">
      <c r="A164" s="373">
        <v>42276</v>
      </c>
      <c r="B164" s="746" t="s">
        <v>531</v>
      </c>
      <c r="C164" s="375"/>
      <c r="D164" s="376">
        <v>2600</v>
      </c>
      <c r="E164" s="379"/>
      <c r="F164" s="376">
        <v>2600</v>
      </c>
      <c r="G164" s="379"/>
      <c r="H164" s="376">
        <v>2600</v>
      </c>
      <c r="I164" s="736"/>
      <c r="J164" s="376">
        <v>130</v>
      </c>
      <c r="K164" s="379"/>
      <c r="L164" s="737">
        <v>2600</v>
      </c>
      <c r="M164" s="376"/>
      <c r="N164" s="376">
        <v>70</v>
      </c>
      <c r="O164" s="379">
        <v>0.5</v>
      </c>
      <c r="P164" s="737">
        <v>2600</v>
      </c>
      <c r="Q164" s="738"/>
      <c r="R164" s="376">
        <v>91</v>
      </c>
      <c r="S164" s="379"/>
      <c r="T164" s="737">
        <v>2600</v>
      </c>
      <c r="U164" s="379">
        <v>1</v>
      </c>
      <c r="V164" s="737">
        <v>245</v>
      </c>
      <c r="W164" s="379">
        <v>4</v>
      </c>
      <c r="X164" s="376">
        <v>60</v>
      </c>
      <c r="Y164" s="379">
        <v>4</v>
      </c>
      <c r="Z164" s="376">
        <v>46</v>
      </c>
      <c r="AA164" s="27">
        <f t="shared" ref="AA164:AA195" si="27">SUM(L164,J164,H164,D164)</f>
        <v>7930</v>
      </c>
      <c r="AB164" s="31" t="e">
        <f>(#REF!+#REF!)*#REF!</f>
        <v>#REF!</v>
      </c>
      <c r="AC164" s="29"/>
      <c r="AD164" s="64"/>
      <c r="AE164" s="740"/>
      <c r="AF164" s="747">
        <v>245</v>
      </c>
      <c r="AG164" s="747"/>
      <c r="AH164" s="376">
        <f t="shared" si="24"/>
        <v>1969</v>
      </c>
      <c r="AI164" s="376">
        <f t="shared" si="25"/>
        <v>98.45</v>
      </c>
      <c r="AJ164" s="376">
        <f t="shared" si="26"/>
        <v>2067.4499999999998</v>
      </c>
      <c r="AK164" s="375">
        <v>1001154781</v>
      </c>
      <c r="AL164" s="382"/>
      <c r="AM164" s="383"/>
    </row>
    <row r="165" spans="1:39" s="384" customFormat="1">
      <c r="A165" s="373">
        <v>42277</v>
      </c>
      <c r="B165" s="746" t="s">
        <v>630</v>
      </c>
      <c r="C165" s="375">
        <v>1</v>
      </c>
      <c r="D165" s="376">
        <v>2600</v>
      </c>
      <c r="E165" s="379"/>
      <c r="F165" s="376">
        <v>2600</v>
      </c>
      <c r="G165" s="379"/>
      <c r="H165" s="376">
        <v>2600</v>
      </c>
      <c r="I165" s="736"/>
      <c r="J165" s="376">
        <v>130</v>
      </c>
      <c r="K165" s="379"/>
      <c r="L165" s="737">
        <v>2600</v>
      </c>
      <c r="M165" s="376"/>
      <c r="N165" s="376">
        <v>70</v>
      </c>
      <c r="O165" s="379"/>
      <c r="P165" s="737">
        <v>2600</v>
      </c>
      <c r="Q165" s="738"/>
      <c r="R165" s="376">
        <v>91</v>
      </c>
      <c r="S165" s="379"/>
      <c r="T165" s="737">
        <v>2600</v>
      </c>
      <c r="U165" s="379"/>
      <c r="V165" s="737">
        <v>245</v>
      </c>
      <c r="W165" s="379"/>
      <c r="X165" s="376">
        <v>60</v>
      </c>
      <c r="Y165" s="376"/>
      <c r="Z165" s="376">
        <v>46</v>
      </c>
      <c r="AA165" s="27">
        <f t="shared" si="27"/>
        <v>7930</v>
      </c>
      <c r="AB165" s="31" t="e">
        <f>(#REF!+#REF!)*#REF!</f>
        <v>#REF!</v>
      </c>
      <c r="AC165" s="29"/>
      <c r="AD165" s="64"/>
      <c r="AE165" s="740"/>
      <c r="AF165" s="747">
        <v>245</v>
      </c>
      <c r="AG165" s="747"/>
      <c r="AH165" s="376">
        <f t="shared" si="24"/>
        <v>2600</v>
      </c>
      <c r="AI165" s="376">
        <f t="shared" si="25"/>
        <v>130</v>
      </c>
      <c r="AJ165" s="376">
        <f t="shared" si="26"/>
        <v>2730</v>
      </c>
      <c r="AK165" s="375">
        <v>1001154781</v>
      </c>
      <c r="AL165" s="382"/>
      <c r="AM165" s="383"/>
    </row>
    <row r="166" spans="1:39" s="559" customFormat="1">
      <c r="A166" s="817">
        <v>42278</v>
      </c>
      <c r="B166" s="1067" t="s">
        <v>631</v>
      </c>
      <c r="C166" s="818"/>
      <c r="D166" s="700">
        <v>2600</v>
      </c>
      <c r="E166" s="701"/>
      <c r="F166" s="700">
        <v>2600</v>
      </c>
      <c r="G166" s="701"/>
      <c r="H166" s="700">
        <v>2600</v>
      </c>
      <c r="I166" s="1068">
        <v>12</v>
      </c>
      <c r="J166" s="700">
        <v>130</v>
      </c>
      <c r="K166" s="701"/>
      <c r="L166" s="1069">
        <v>2600</v>
      </c>
      <c r="M166" s="700"/>
      <c r="N166" s="700">
        <v>70</v>
      </c>
      <c r="O166" s="701"/>
      <c r="P166" s="1069">
        <v>2600</v>
      </c>
      <c r="Q166" s="1070"/>
      <c r="R166" s="700">
        <v>91</v>
      </c>
      <c r="S166" s="701"/>
      <c r="T166" s="1069">
        <v>2600</v>
      </c>
      <c r="U166" s="701"/>
      <c r="V166" s="1069">
        <v>245</v>
      </c>
      <c r="W166" s="701"/>
      <c r="X166" s="700">
        <v>60</v>
      </c>
      <c r="Y166" s="700"/>
      <c r="Z166" s="700">
        <v>46</v>
      </c>
      <c r="AA166" s="700">
        <f t="shared" si="27"/>
        <v>7930</v>
      </c>
      <c r="AB166" s="701" t="e">
        <f>(#REF!+#REF!)*#REF!</f>
        <v>#REF!</v>
      </c>
      <c r="AC166" s="829"/>
      <c r="AD166" s="818"/>
      <c r="AE166" s="1071"/>
      <c r="AF166" s="1072">
        <v>245</v>
      </c>
      <c r="AG166" s="1072"/>
      <c r="AH166" s="700">
        <f t="shared" si="24"/>
        <v>1560</v>
      </c>
      <c r="AI166" s="700">
        <f t="shared" si="25"/>
        <v>78</v>
      </c>
      <c r="AJ166" s="700">
        <f t="shared" si="26"/>
        <v>1638</v>
      </c>
      <c r="AK166" s="37">
        <v>1001231770</v>
      </c>
      <c r="AL166" s="830"/>
      <c r="AM166" s="626"/>
    </row>
    <row r="167" spans="1:39" s="559" customFormat="1">
      <c r="A167" s="817">
        <v>42279</v>
      </c>
      <c r="B167" s="1067" t="s">
        <v>632</v>
      </c>
      <c r="C167" s="818"/>
      <c r="D167" s="700">
        <v>2600</v>
      </c>
      <c r="E167" s="701"/>
      <c r="F167" s="700">
        <v>2600</v>
      </c>
      <c r="G167" s="701"/>
      <c r="H167" s="700">
        <v>2600</v>
      </c>
      <c r="I167" s="1068">
        <v>12</v>
      </c>
      <c r="J167" s="700">
        <v>130</v>
      </c>
      <c r="K167" s="701"/>
      <c r="L167" s="1069">
        <v>2600</v>
      </c>
      <c r="M167" s="700"/>
      <c r="N167" s="700">
        <v>70</v>
      </c>
      <c r="O167" s="701"/>
      <c r="P167" s="1069">
        <v>2600</v>
      </c>
      <c r="Q167" s="1070"/>
      <c r="R167" s="700">
        <v>91</v>
      </c>
      <c r="S167" s="701"/>
      <c r="T167" s="1069">
        <v>2600</v>
      </c>
      <c r="U167" s="701"/>
      <c r="V167" s="1069">
        <v>245</v>
      </c>
      <c r="W167" s="701"/>
      <c r="X167" s="700">
        <v>60</v>
      </c>
      <c r="Y167" s="700"/>
      <c r="Z167" s="700">
        <v>46</v>
      </c>
      <c r="AA167" s="700">
        <f t="shared" si="27"/>
        <v>7930</v>
      </c>
      <c r="AB167" s="701" t="e">
        <f>(#REF!+#REF!)*#REF!</f>
        <v>#REF!</v>
      </c>
      <c r="AC167" s="829"/>
      <c r="AD167" s="818"/>
      <c r="AE167" s="1071"/>
      <c r="AF167" s="1072">
        <v>245</v>
      </c>
      <c r="AG167" s="1072"/>
      <c r="AH167" s="700">
        <f t="shared" si="24"/>
        <v>1560</v>
      </c>
      <c r="AI167" s="700">
        <f t="shared" si="25"/>
        <v>78</v>
      </c>
      <c r="AJ167" s="700">
        <f t="shared" si="26"/>
        <v>1638</v>
      </c>
      <c r="AK167" s="37">
        <v>1001231770</v>
      </c>
      <c r="AL167" s="830"/>
      <c r="AM167" s="626"/>
    </row>
    <row r="168" spans="1:39" s="559" customFormat="1">
      <c r="A168" s="817">
        <v>42279</v>
      </c>
      <c r="B168" s="1067" t="s">
        <v>633</v>
      </c>
      <c r="C168" s="818">
        <v>1</v>
      </c>
      <c r="D168" s="700">
        <v>2600</v>
      </c>
      <c r="E168" s="701"/>
      <c r="F168" s="700">
        <v>2600</v>
      </c>
      <c r="G168" s="701"/>
      <c r="H168" s="700">
        <v>2600</v>
      </c>
      <c r="I168" s="1068"/>
      <c r="J168" s="700">
        <v>130</v>
      </c>
      <c r="K168" s="701"/>
      <c r="L168" s="1069">
        <v>2600</v>
      </c>
      <c r="M168" s="700"/>
      <c r="N168" s="700">
        <v>70</v>
      </c>
      <c r="O168" s="701"/>
      <c r="P168" s="1069">
        <v>2600</v>
      </c>
      <c r="Q168" s="1070"/>
      <c r="R168" s="700">
        <v>91</v>
      </c>
      <c r="S168" s="701"/>
      <c r="T168" s="1069">
        <v>2600</v>
      </c>
      <c r="U168" s="701"/>
      <c r="V168" s="1069">
        <v>245</v>
      </c>
      <c r="W168" s="701"/>
      <c r="X168" s="700">
        <v>60</v>
      </c>
      <c r="Y168" s="700"/>
      <c r="Z168" s="700">
        <v>46</v>
      </c>
      <c r="AA168" s="700">
        <f t="shared" si="27"/>
        <v>7930</v>
      </c>
      <c r="AB168" s="701" t="e">
        <f>(#REF!+#REF!)*#REF!</f>
        <v>#REF!</v>
      </c>
      <c r="AC168" s="829"/>
      <c r="AD168" s="818"/>
      <c r="AE168" s="1071"/>
      <c r="AF168" s="1072">
        <v>245</v>
      </c>
      <c r="AG168" s="1072"/>
      <c r="AH168" s="700">
        <f t="shared" si="24"/>
        <v>2600</v>
      </c>
      <c r="AI168" s="700">
        <f t="shared" si="25"/>
        <v>130</v>
      </c>
      <c r="AJ168" s="700">
        <f t="shared" si="26"/>
        <v>2730</v>
      </c>
      <c r="AK168" s="37">
        <v>1001231770</v>
      </c>
      <c r="AL168" s="830"/>
      <c r="AM168" s="626"/>
    </row>
    <row r="169" spans="1:39" s="559" customFormat="1">
      <c r="A169" s="817">
        <v>42280</v>
      </c>
      <c r="B169" s="1067" t="s">
        <v>634</v>
      </c>
      <c r="C169" s="818"/>
      <c r="D169" s="700">
        <v>2600</v>
      </c>
      <c r="E169" s="701"/>
      <c r="F169" s="700">
        <v>2600</v>
      </c>
      <c r="G169" s="701"/>
      <c r="H169" s="700">
        <v>2600</v>
      </c>
      <c r="I169" s="1068">
        <v>4</v>
      </c>
      <c r="J169" s="700">
        <v>130</v>
      </c>
      <c r="K169" s="701"/>
      <c r="L169" s="1069">
        <v>2600</v>
      </c>
      <c r="M169" s="700"/>
      <c r="N169" s="700">
        <v>70</v>
      </c>
      <c r="O169" s="701"/>
      <c r="P169" s="1069">
        <v>2600</v>
      </c>
      <c r="Q169" s="1070"/>
      <c r="R169" s="700">
        <v>91</v>
      </c>
      <c r="S169" s="701"/>
      <c r="T169" s="1069">
        <v>2600</v>
      </c>
      <c r="U169" s="701"/>
      <c r="V169" s="1069">
        <v>245</v>
      </c>
      <c r="W169" s="701"/>
      <c r="X169" s="700">
        <v>60</v>
      </c>
      <c r="Y169" s="700"/>
      <c r="Z169" s="700">
        <v>46</v>
      </c>
      <c r="AA169" s="700">
        <f t="shared" si="27"/>
        <v>7930</v>
      </c>
      <c r="AB169" s="701" t="e">
        <f>(#REF!+#REF!)*#REF!</f>
        <v>#REF!</v>
      </c>
      <c r="AC169" s="829"/>
      <c r="AD169" s="818"/>
      <c r="AE169" s="1071"/>
      <c r="AF169" s="1072">
        <v>245</v>
      </c>
      <c r="AG169" s="1072"/>
      <c r="AH169" s="700">
        <f t="shared" si="24"/>
        <v>520</v>
      </c>
      <c r="AI169" s="700">
        <f t="shared" si="25"/>
        <v>26</v>
      </c>
      <c r="AJ169" s="700">
        <f t="shared" si="26"/>
        <v>546</v>
      </c>
      <c r="AK169" s="37">
        <v>1001231770</v>
      </c>
      <c r="AL169" s="830"/>
      <c r="AM169" s="626"/>
    </row>
    <row r="170" spans="1:39" s="559" customFormat="1">
      <c r="A170" s="817">
        <v>42280</v>
      </c>
      <c r="B170" s="1067" t="s">
        <v>636</v>
      </c>
      <c r="C170" s="818">
        <v>1</v>
      </c>
      <c r="D170" s="700">
        <v>2600</v>
      </c>
      <c r="E170" s="701"/>
      <c r="F170" s="700">
        <v>2600</v>
      </c>
      <c r="G170" s="701"/>
      <c r="H170" s="700">
        <v>2600</v>
      </c>
      <c r="I170" s="1068"/>
      <c r="J170" s="700">
        <v>130</v>
      </c>
      <c r="K170" s="701"/>
      <c r="L170" s="1069">
        <v>2600</v>
      </c>
      <c r="M170" s="700"/>
      <c r="N170" s="700">
        <v>70</v>
      </c>
      <c r="O170" s="701"/>
      <c r="P170" s="1069">
        <v>2600</v>
      </c>
      <c r="Q170" s="1070"/>
      <c r="R170" s="700">
        <v>91</v>
      </c>
      <c r="S170" s="701"/>
      <c r="T170" s="1069">
        <v>2600</v>
      </c>
      <c r="U170" s="701"/>
      <c r="V170" s="1069">
        <v>245</v>
      </c>
      <c r="W170" s="701"/>
      <c r="X170" s="700">
        <v>60</v>
      </c>
      <c r="Y170" s="700"/>
      <c r="Z170" s="700">
        <v>46</v>
      </c>
      <c r="AA170" s="700">
        <f t="shared" si="27"/>
        <v>7930</v>
      </c>
      <c r="AB170" s="701" t="e">
        <f>(#REF!+#REF!)*#REF!</f>
        <v>#REF!</v>
      </c>
      <c r="AC170" s="829"/>
      <c r="AD170" s="818"/>
      <c r="AE170" s="1071"/>
      <c r="AF170" s="1072">
        <v>245</v>
      </c>
      <c r="AG170" s="1072"/>
      <c r="AH170" s="700">
        <f t="shared" si="24"/>
        <v>2600</v>
      </c>
      <c r="AI170" s="700">
        <f t="shared" si="25"/>
        <v>130</v>
      </c>
      <c r="AJ170" s="700">
        <f t="shared" si="26"/>
        <v>2730</v>
      </c>
      <c r="AK170" s="37">
        <v>1001231770</v>
      </c>
      <c r="AL170" s="830"/>
      <c r="AM170" s="626"/>
    </row>
    <row r="171" spans="1:39" s="559" customFormat="1">
      <c r="A171" s="817">
        <v>42282</v>
      </c>
      <c r="B171" s="1067" t="s">
        <v>646</v>
      </c>
      <c r="C171" s="818"/>
      <c r="D171" s="700">
        <v>2600</v>
      </c>
      <c r="E171" s="701"/>
      <c r="F171" s="700">
        <v>2600</v>
      </c>
      <c r="G171" s="701"/>
      <c r="H171" s="700">
        <v>2600</v>
      </c>
      <c r="I171" s="1068">
        <v>12</v>
      </c>
      <c r="J171" s="700">
        <v>130</v>
      </c>
      <c r="K171" s="701"/>
      <c r="L171" s="1069">
        <v>2600</v>
      </c>
      <c r="M171" s="700"/>
      <c r="N171" s="700">
        <v>70</v>
      </c>
      <c r="O171" s="701"/>
      <c r="P171" s="1069">
        <v>2600</v>
      </c>
      <c r="Q171" s="1070"/>
      <c r="R171" s="700">
        <v>91</v>
      </c>
      <c r="S171" s="701"/>
      <c r="T171" s="1069">
        <v>2600</v>
      </c>
      <c r="U171" s="701"/>
      <c r="V171" s="1069">
        <v>245</v>
      </c>
      <c r="W171" s="701"/>
      <c r="X171" s="700">
        <v>60</v>
      </c>
      <c r="Y171" s="700"/>
      <c r="Z171" s="700">
        <v>46</v>
      </c>
      <c r="AA171" s="700">
        <f t="shared" si="27"/>
        <v>7930</v>
      </c>
      <c r="AB171" s="701" t="e">
        <f>(#REF!+#REF!)*#REF!</f>
        <v>#REF!</v>
      </c>
      <c r="AC171" s="829"/>
      <c r="AD171" s="818"/>
      <c r="AE171" s="1071"/>
      <c r="AF171" s="1072">
        <v>245</v>
      </c>
      <c r="AG171" s="1072"/>
      <c r="AH171" s="700">
        <f t="shared" si="24"/>
        <v>1560</v>
      </c>
      <c r="AI171" s="700">
        <f t="shared" si="25"/>
        <v>78</v>
      </c>
      <c r="AJ171" s="700">
        <f t="shared" si="26"/>
        <v>1638</v>
      </c>
      <c r="AK171" s="37">
        <v>1001231770</v>
      </c>
      <c r="AL171" s="830"/>
      <c r="AM171" s="626"/>
    </row>
    <row r="172" spans="1:39" s="559" customFormat="1">
      <c r="A172" s="817">
        <v>42283</v>
      </c>
      <c r="B172" s="1067" t="s">
        <v>660</v>
      </c>
      <c r="C172" s="818"/>
      <c r="D172" s="700">
        <v>2600</v>
      </c>
      <c r="E172" s="701"/>
      <c r="F172" s="700">
        <v>2600</v>
      </c>
      <c r="G172" s="701"/>
      <c r="H172" s="700">
        <v>2600</v>
      </c>
      <c r="I172" s="1068">
        <v>12</v>
      </c>
      <c r="J172" s="700">
        <v>130</v>
      </c>
      <c r="K172" s="701"/>
      <c r="L172" s="1069">
        <v>2600</v>
      </c>
      <c r="M172" s="700"/>
      <c r="N172" s="700">
        <v>70</v>
      </c>
      <c r="O172" s="701"/>
      <c r="P172" s="1069">
        <v>2600</v>
      </c>
      <c r="Q172" s="1070"/>
      <c r="R172" s="700">
        <v>91</v>
      </c>
      <c r="S172" s="701"/>
      <c r="T172" s="1069">
        <v>2600</v>
      </c>
      <c r="U172" s="701"/>
      <c r="V172" s="1069">
        <v>245</v>
      </c>
      <c r="W172" s="701"/>
      <c r="X172" s="700">
        <v>60</v>
      </c>
      <c r="Y172" s="700"/>
      <c r="Z172" s="700">
        <v>46</v>
      </c>
      <c r="AA172" s="700">
        <f t="shared" si="27"/>
        <v>7930</v>
      </c>
      <c r="AB172" s="701" t="e">
        <f>(#REF!+#REF!)*#REF!</f>
        <v>#REF!</v>
      </c>
      <c r="AC172" s="829"/>
      <c r="AD172" s="818"/>
      <c r="AE172" s="1071"/>
      <c r="AF172" s="1072">
        <v>245</v>
      </c>
      <c r="AG172" s="1072"/>
      <c r="AH172" s="700">
        <f t="shared" si="24"/>
        <v>1560</v>
      </c>
      <c r="AI172" s="700">
        <f t="shared" si="25"/>
        <v>78</v>
      </c>
      <c r="AJ172" s="700">
        <f t="shared" si="26"/>
        <v>1638</v>
      </c>
      <c r="AK172" s="37">
        <v>1001231770</v>
      </c>
      <c r="AL172" s="830"/>
      <c r="AM172" s="626"/>
    </row>
    <row r="173" spans="1:39" s="559" customFormat="1">
      <c r="A173" s="817">
        <v>42291</v>
      </c>
      <c r="B173" s="1067" t="s">
        <v>661</v>
      </c>
      <c r="C173" s="818">
        <v>1</v>
      </c>
      <c r="D173" s="700">
        <v>2600</v>
      </c>
      <c r="E173" s="701"/>
      <c r="F173" s="700">
        <v>2600</v>
      </c>
      <c r="G173" s="701"/>
      <c r="H173" s="700">
        <v>2600</v>
      </c>
      <c r="I173" s="1068"/>
      <c r="J173" s="700">
        <v>130</v>
      </c>
      <c r="K173" s="701"/>
      <c r="L173" s="1069">
        <v>2600</v>
      </c>
      <c r="M173" s="700"/>
      <c r="N173" s="700">
        <v>70</v>
      </c>
      <c r="O173" s="701"/>
      <c r="P173" s="1069">
        <v>2600</v>
      </c>
      <c r="Q173" s="1070"/>
      <c r="R173" s="700">
        <v>91</v>
      </c>
      <c r="S173" s="701"/>
      <c r="T173" s="1069">
        <v>2600</v>
      </c>
      <c r="U173" s="701"/>
      <c r="V173" s="1069">
        <v>245</v>
      </c>
      <c r="W173" s="701"/>
      <c r="X173" s="700">
        <v>60</v>
      </c>
      <c r="Y173" s="700"/>
      <c r="Z173" s="700">
        <v>46</v>
      </c>
      <c r="AA173" s="700">
        <f t="shared" si="27"/>
        <v>7930</v>
      </c>
      <c r="AB173" s="701" t="e">
        <f>(#REF!+#REF!)*#REF!</f>
        <v>#REF!</v>
      </c>
      <c r="AC173" s="829"/>
      <c r="AD173" s="818"/>
      <c r="AE173" s="1071"/>
      <c r="AF173" s="1072">
        <v>245</v>
      </c>
      <c r="AG173" s="1072"/>
      <c r="AH173" s="700">
        <f t="shared" si="24"/>
        <v>2600</v>
      </c>
      <c r="AI173" s="700">
        <f t="shared" si="25"/>
        <v>130</v>
      </c>
      <c r="AJ173" s="700">
        <f t="shared" si="26"/>
        <v>2730</v>
      </c>
      <c r="AK173" s="37">
        <v>1001231770</v>
      </c>
      <c r="AL173" s="830"/>
      <c r="AM173" s="626"/>
    </row>
    <row r="174" spans="1:39" s="559" customFormat="1">
      <c r="A174" s="817">
        <v>42292</v>
      </c>
      <c r="B174" s="1067" t="s">
        <v>672</v>
      </c>
      <c r="C174" s="818"/>
      <c r="D174" s="700">
        <v>2600</v>
      </c>
      <c r="E174" s="701"/>
      <c r="F174" s="700">
        <v>2600</v>
      </c>
      <c r="G174" s="701"/>
      <c r="H174" s="700">
        <v>2600</v>
      </c>
      <c r="I174" s="1068"/>
      <c r="J174" s="700">
        <v>130</v>
      </c>
      <c r="K174" s="701">
        <v>1</v>
      </c>
      <c r="L174" s="1069">
        <v>2600</v>
      </c>
      <c r="M174" s="700"/>
      <c r="N174" s="700">
        <v>70</v>
      </c>
      <c r="O174" s="701"/>
      <c r="P174" s="1069">
        <v>2600</v>
      </c>
      <c r="Q174" s="1070"/>
      <c r="R174" s="700">
        <v>91</v>
      </c>
      <c r="S174" s="701"/>
      <c r="T174" s="1069">
        <v>2600</v>
      </c>
      <c r="U174" s="701"/>
      <c r="V174" s="1069">
        <v>245</v>
      </c>
      <c r="W174" s="701"/>
      <c r="X174" s="700">
        <v>60</v>
      </c>
      <c r="Y174" s="700"/>
      <c r="Z174" s="700">
        <v>46</v>
      </c>
      <c r="AA174" s="700">
        <f t="shared" si="27"/>
        <v>7930</v>
      </c>
      <c r="AB174" s="701" t="e">
        <f>(#REF!+#REF!)*#REF!</f>
        <v>#REF!</v>
      </c>
      <c r="AC174" s="829"/>
      <c r="AD174" s="818"/>
      <c r="AE174" s="1071"/>
      <c r="AF174" s="1072">
        <v>245</v>
      </c>
      <c r="AG174" s="1072"/>
      <c r="AH174" s="700">
        <f t="shared" si="24"/>
        <v>2600</v>
      </c>
      <c r="AI174" s="700">
        <f t="shared" si="25"/>
        <v>130</v>
      </c>
      <c r="AJ174" s="700">
        <f t="shared" si="26"/>
        <v>2730</v>
      </c>
      <c r="AK174" s="37">
        <v>1001231770</v>
      </c>
      <c r="AL174" s="830"/>
      <c r="AM174" s="626"/>
    </row>
    <row r="175" spans="1:39" s="559" customFormat="1">
      <c r="A175" s="817">
        <v>42293</v>
      </c>
      <c r="B175" s="1067" t="s">
        <v>673</v>
      </c>
      <c r="C175" s="818"/>
      <c r="D175" s="700">
        <v>2600</v>
      </c>
      <c r="E175" s="701"/>
      <c r="F175" s="700">
        <v>2600</v>
      </c>
      <c r="G175" s="701"/>
      <c r="H175" s="700">
        <v>2600</v>
      </c>
      <c r="I175" s="1068"/>
      <c r="J175" s="700">
        <v>130</v>
      </c>
      <c r="K175" s="701">
        <v>1</v>
      </c>
      <c r="L175" s="1069">
        <v>2600</v>
      </c>
      <c r="M175" s="700"/>
      <c r="N175" s="700">
        <v>70</v>
      </c>
      <c r="O175" s="701"/>
      <c r="P175" s="1069">
        <v>2600</v>
      </c>
      <c r="Q175" s="1070"/>
      <c r="R175" s="700">
        <v>91</v>
      </c>
      <c r="S175" s="701"/>
      <c r="T175" s="1069">
        <v>2600</v>
      </c>
      <c r="U175" s="701"/>
      <c r="V175" s="1069">
        <v>245</v>
      </c>
      <c r="W175" s="701"/>
      <c r="X175" s="700">
        <v>60</v>
      </c>
      <c r="Y175" s="700"/>
      <c r="Z175" s="700">
        <v>46</v>
      </c>
      <c r="AA175" s="700">
        <f t="shared" si="27"/>
        <v>7930</v>
      </c>
      <c r="AB175" s="701" t="e">
        <f>(#REF!+#REF!)*#REF!</f>
        <v>#REF!</v>
      </c>
      <c r="AC175" s="829"/>
      <c r="AD175" s="818"/>
      <c r="AE175" s="1071"/>
      <c r="AF175" s="1072">
        <v>245</v>
      </c>
      <c r="AG175" s="1072"/>
      <c r="AH175" s="700">
        <f t="shared" si="24"/>
        <v>2600</v>
      </c>
      <c r="AI175" s="700">
        <f t="shared" si="25"/>
        <v>130</v>
      </c>
      <c r="AJ175" s="700">
        <f t="shared" si="26"/>
        <v>2730</v>
      </c>
      <c r="AK175" s="37">
        <v>1001231770</v>
      </c>
      <c r="AL175" s="830"/>
      <c r="AM175" s="626"/>
    </row>
    <row r="176" spans="1:39" s="559" customFormat="1">
      <c r="A176" s="817">
        <v>42293</v>
      </c>
      <c r="B176" s="1067" t="s">
        <v>674</v>
      </c>
      <c r="C176" s="818"/>
      <c r="D176" s="700">
        <v>2600</v>
      </c>
      <c r="E176" s="701"/>
      <c r="F176" s="700">
        <v>2600</v>
      </c>
      <c r="G176" s="701"/>
      <c r="H176" s="700">
        <v>2600</v>
      </c>
      <c r="I176" s="1068"/>
      <c r="J176" s="700">
        <v>130</v>
      </c>
      <c r="K176" s="701"/>
      <c r="L176" s="1069">
        <v>2600</v>
      </c>
      <c r="M176" s="700"/>
      <c r="N176" s="700">
        <v>70</v>
      </c>
      <c r="O176" s="701"/>
      <c r="P176" s="1069">
        <v>2600</v>
      </c>
      <c r="Q176" s="1070"/>
      <c r="R176" s="700">
        <v>91</v>
      </c>
      <c r="S176" s="701">
        <v>1</v>
      </c>
      <c r="T176" s="1069">
        <v>2600</v>
      </c>
      <c r="U176" s="701">
        <v>2</v>
      </c>
      <c r="V176" s="1069">
        <v>245</v>
      </c>
      <c r="W176" s="701"/>
      <c r="X176" s="700">
        <v>60</v>
      </c>
      <c r="Y176" s="700"/>
      <c r="Z176" s="700">
        <v>46</v>
      </c>
      <c r="AA176" s="700">
        <f t="shared" si="27"/>
        <v>7930</v>
      </c>
      <c r="AB176" s="701" t="e">
        <f>(#REF!+#REF!)*#REF!</f>
        <v>#REF!</v>
      </c>
      <c r="AC176" s="829"/>
      <c r="AD176" s="818"/>
      <c r="AE176" s="1071"/>
      <c r="AF176" s="1072">
        <v>245</v>
      </c>
      <c r="AG176" s="1072"/>
      <c r="AH176" s="700">
        <f t="shared" si="24"/>
        <v>3090</v>
      </c>
      <c r="AI176" s="700">
        <f t="shared" si="25"/>
        <v>154.5</v>
      </c>
      <c r="AJ176" s="700">
        <f t="shared" si="26"/>
        <v>3244.5</v>
      </c>
      <c r="AK176" s="37">
        <v>1001231770</v>
      </c>
      <c r="AL176" s="830"/>
      <c r="AM176" s="626"/>
    </row>
    <row r="177" spans="1:39" s="559" customFormat="1">
      <c r="A177" s="817">
        <v>42294</v>
      </c>
      <c r="B177" s="901" t="s">
        <v>679</v>
      </c>
      <c r="C177" s="818"/>
      <c r="D177" s="700">
        <v>2600</v>
      </c>
      <c r="E177" s="701"/>
      <c r="F177" s="700">
        <v>2600</v>
      </c>
      <c r="G177" s="701"/>
      <c r="H177" s="700">
        <v>2600</v>
      </c>
      <c r="I177" s="1068">
        <v>5</v>
      </c>
      <c r="J177" s="700">
        <v>130</v>
      </c>
      <c r="K177" s="701"/>
      <c r="L177" s="1069">
        <v>2600</v>
      </c>
      <c r="M177" s="700"/>
      <c r="N177" s="700">
        <v>70</v>
      </c>
      <c r="O177" s="701"/>
      <c r="P177" s="1069">
        <v>2600</v>
      </c>
      <c r="Q177" s="1070"/>
      <c r="R177" s="700">
        <v>91</v>
      </c>
      <c r="S177" s="701"/>
      <c r="T177" s="1069">
        <v>2600</v>
      </c>
      <c r="U177" s="701"/>
      <c r="V177" s="1069">
        <v>245</v>
      </c>
      <c r="W177" s="701"/>
      <c r="X177" s="700">
        <v>60</v>
      </c>
      <c r="Y177" s="700"/>
      <c r="Z177" s="700">
        <v>46</v>
      </c>
      <c r="AA177" s="700">
        <f t="shared" si="27"/>
        <v>7930</v>
      </c>
      <c r="AB177" s="701" t="e">
        <f>(#REF!+#REF!)*#REF!</f>
        <v>#REF!</v>
      </c>
      <c r="AC177" s="829"/>
      <c r="AD177" s="818"/>
      <c r="AE177" s="1071"/>
      <c r="AF177" s="1072">
        <v>245</v>
      </c>
      <c r="AG177" s="1072"/>
      <c r="AH177" s="700">
        <f t="shared" si="24"/>
        <v>650</v>
      </c>
      <c r="AI177" s="700">
        <f t="shared" si="25"/>
        <v>32.5</v>
      </c>
      <c r="AJ177" s="700">
        <f t="shared" si="26"/>
        <v>682.5</v>
      </c>
      <c r="AK177" s="37">
        <v>1001231770</v>
      </c>
      <c r="AL177" s="830"/>
      <c r="AM177" s="626"/>
    </row>
    <row r="178" spans="1:39" s="559" customFormat="1">
      <c r="A178" s="817">
        <v>42294</v>
      </c>
      <c r="B178" s="901" t="s">
        <v>680</v>
      </c>
      <c r="C178" s="818"/>
      <c r="D178" s="700">
        <v>2600</v>
      </c>
      <c r="E178" s="700"/>
      <c r="F178" s="700">
        <v>2600</v>
      </c>
      <c r="G178" s="701"/>
      <c r="H178" s="700">
        <v>2600</v>
      </c>
      <c r="I178" s="1068"/>
      <c r="J178" s="700">
        <v>130</v>
      </c>
      <c r="K178" s="701"/>
      <c r="L178" s="1069">
        <v>2600</v>
      </c>
      <c r="M178" s="700"/>
      <c r="N178" s="700">
        <v>70</v>
      </c>
      <c r="O178" s="701">
        <v>1</v>
      </c>
      <c r="P178" s="1069">
        <v>2600</v>
      </c>
      <c r="Q178" s="1070"/>
      <c r="R178" s="700">
        <v>91</v>
      </c>
      <c r="S178" s="701"/>
      <c r="T178" s="1069">
        <v>2600</v>
      </c>
      <c r="U178" s="701">
        <v>2</v>
      </c>
      <c r="V178" s="1069">
        <v>245</v>
      </c>
      <c r="W178" s="701"/>
      <c r="X178" s="700">
        <v>60</v>
      </c>
      <c r="Y178" s="700"/>
      <c r="Z178" s="700">
        <v>46</v>
      </c>
      <c r="AA178" s="700">
        <f t="shared" si="27"/>
        <v>7930</v>
      </c>
      <c r="AB178" s="701" t="e">
        <f>(#REF!+#REF!)*#REF!</f>
        <v>#REF!</v>
      </c>
      <c r="AC178" s="829"/>
      <c r="AD178" s="818"/>
      <c r="AE178" s="1071"/>
      <c r="AF178" s="1072">
        <v>245</v>
      </c>
      <c r="AG178" s="1072"/>
      <c r="AH178" s="700">
        <f t="shared" si="24"/>
        <v>3090</v>
      </c>
      <c r="AI178" s="700">
        <f t="shared" si="25"/>
        <v>154.5</v>
      </c>
      <c r="AJ178" s="700">
        <f t="shared" si="26"/>
        <v>3244.5</v>
      </c>
      <c r="AK178" s="37">
        <v>1001231770</v>
      </c>
      <c r="AL178" s="830"/>
      <c r="AM178" s="626"/>
    </row>
    <row r="179" spans="1:39" s="559" customFormat="1">
      <c r="A179" s="817">
        <v>42296</v>
      </c>
      <c r="B179" s="901" t="s">
        <v>693</v>
      </c>
      <c r="C179" s="818"/>
      <c r="D179" s="700">
        <v>2600</v>
      </c>
      <c r="E179" s="700"/>
      <c r="F179" s="700">
        <v>2600</v>
      </c>
      <c r="G179" s="701">
        <v>1</v>
      </c>
      <c r="H179" s="700">
        <v>2600</v>
      </c>
      <c r="I179" s="1068"/>
      <c r="J179" s="700">
        <v>130</v>
      </c>
      <c r="K179" s="701"/>
      <c r="L179" s="1069">
        <v>2600</v>
      </c>
      <c r="M179" s="700"/>
      <c r="N179" s="700">
        <v>70</v>
      </c>
      <c r="O179" s="701"/>
      <c r="P179" s="1069">
        <v>2600</v>
      </c>
      <c r="Q179" s="1070"/>
      <c r="R179" s="700">
        <v>91</v>
      </c>
      <c r="S179" s="701"/>
      <c r="T179" s="1069">
        <v>2600</v>
      </c>
      <c r="U179" s="701"/>
      <c r="V179" s="1069">
        <v>245</v>
      </c>
      <c r="W179" s="701"/>
      <c r="X179" s="700">
        <v>60</v>
      </c>
      <c r="Y179" s="700"/>
      <c r="Z179" s="700">
        <v>46</v>
      </c>
      <c r="AA179" s="700">
        <f t="shared" si="27"/>
        <v>7930</v>
      </c>
      <c r="AB179" s="701" t="e">
        <f>(#REF!+#REF!)*#REF!</f>
        <v>#REF!</v>
      </c>
      <c r="AC179" s="829"/>
      <c r="AD179" s="818"/>
      <c r="AE179" s="1071"/>
      <c r="AF179" s="1072">
        <v>245</v>
      </c>
      <c r="AG179" s="1072"/>
      <c r="AH179" s="700">
        <f t="shared" si="24"/>
        <v>2600</v>
      </c>
      <c r="AI179" s="700">
        <f t="shared" si="25"/>
        <v>130</v>
      </c>
      <c r="AJ179" s="700">
        <f t="shared" si="26"/>
        <v>2730</v>
      </c>
      <c r="AK179" s="37">
        <v>1001231770</v>
      </c>
      <c r="AL179" s="830"/>
      <c r="AM179" s="626"/>
    </row>
    <row r="180" spans="1:39" s="559" customFormat="1">
      <c r="A180" s="817"/>
      <c r="B180" s="901" t="s">
        <v>694</v>
      </c>
      <c r="C180" s="818"/>
      <c r="D180" s="700">
        <v>2600</v>
      </c>
      <c r="E180" s="700"/>
      <c r="F180" s="700">
        <v>2600</v>
      </c>
      <c r="G180" s="701"/>
      <c r="H180" s="700">
        <v>2600</v>
      </c>
      <c r="I180" s="1068">
        <v>10</v>
      </c>
      <c r="J180" s="700">
        <v>130</v>
      </c>
      <c r="K180" s="701"/>
      <c r="L180" s="1069">
        <v>2600</v>
      </c>
      <c r="M180" s="700"/>
      <c r="N180" s="700">
        <v>70</v>
      </c>
      <c r="O180" s="701"/>
      <c r="P180" s="1069">
        <v>2600</v>
      </c>
      <c r="Q180" s="1070"/>
      <c r="R180" s="700">
        <v>91</v>
      </c>
      <c r="S180" s="701"/>
      <c r="T180" s="1069">
        <v>2600</v>
      </c>
      <c r="U180" s="701"/>
      <c r="V180" s="1069">
        <v>245</v>
      </c>
      <c r="W180" s="701"/>
      <c r="X180" s="700">
        <v>60</v>
      </c>
      <c r="Y180" s="700"/>
      <c r="Z180" s="700">
        <v>46</v>
      </c>
      <c r="AA180" s="700">
        <f t="shared" si="27"/>
        <v>7930</v>
      </c>
      <c r="AB180" s="701" t="e">
        <f>(#REF!+#REF!)*#REF!</f>
        <v>#REF!</v>
      </c>
      <c r="AC180" s="829"/>
      <c r="AD180" s="818"/>
      <c r="AE180" s="1071"/>
      <c r="AF180" s="1072">
        <v>245</v>
      </c>
      <c r="AG180" s="1072"/>
      <c r="AH180" s="700">
        <f t="shared" si="24"/>
        <v>1300</v>
      </c>
      <c r="AI180" s="700">
        <f t="shared" si="25"/>
        <v>65</v>
      </c>
      <c r="AJ180" s="700">
        <f t="shared" si="26"/>
        <v>1365</v>
      </c>
      <c r="AK180" s="37">
        <v>1001231770</v>
      </c>
      <c r="AL180" s="830"/>
      <c r="AM180" s="626"/>
    </row>
    <row r="181" spans="1:39" s="559" customFormat="1">
      <c r="A181" s="817">
        <v>42297</v>
      </c>
      <c r="B181" s="1067" t="s">
        <v>697</v>
      </c>
      <c r="C181" s="818"/>
      <c r="D181" s="700">
        <v>2600</v>
      </c>
      <c r="E181" s="700"/>
      <c r="F181" s="700">
        <v>2600</v>
      </c>
      <c r="G181" s="701">
        <v>1</v>
      </c>
      <c r="H181" s="700">
        <v>2600</v>
      </c>
      <c r="I181" s="1068"/>
      <c r="J181" s="700">
        <v>130</v>
      </c>
      <c r="K181" s="701"/>
      <c r="L181" s="1069">
        <v>2600</v>
      </c>
      <c r="M181" s="700"/>
      <c r="N181" s="700">
        <v>70</v>
      </c>
      <c r="O181" s="701"/>
      <c r="P181" s="1069">
        <v>2600</v>
      </c>
      <c r="Q181" s="1070"/>
      <c r="R181" s="700">
        <v>91</v>
      </c>
      <c r="S181" s="701"/>
      <c r="T181" s="1069">
        <v>2600</v>
      </c>
      <c r="U181" s="701"/>
      <c r="V181" s="1069">
        <v>245</v>
      </c>
      <c r="W181" s="701"/>
      <c r="X181" s="700">
        <v>60</v>
      </c>
      <c r="Y181" s="700"/>
      <c r="Z181" s="700">
        <v>46</v>
      </c>
      <c r="AA181" s="700">
        <f t="shared" si="27"/>
        <v>7930</v>
      </c>
      <c r="AB181" s="701" t="e">
        <f>(#REF!+#REF!)*#REF!</f>
        <v>#REF!</v>
      </c>
      <c r="AC181" s="829"/>
      <c r="AD181" s="818"/>
      <c r="AE181" s="1071"/>
      <c r="AF181" s="1072">
        <v>245</v>
      </c>
      <c r="AG181" s="1072"/>
      <c r="AH181" s="700">
        <f t="shared" si="24"/>
        <v>2600</v>
      </c>
      <c r="AI181" s="700">
        <f t="shared" si="25"/>
        <v>130</v>
      </c>
      <c r="AJ181" s="700">
        <f t="shared" si="26"/>
        <v>2730</v>
      </c>
      <c r="AK181" s="37">
        <v>1001231770</v>
      </c>
      <c r="AL181" s="830"/>
      <c r="AM181" s="626"/>
    </row>
    <row r="182" spans="1:39" s="559" customFormat="1">
      <c r="A182" s="817">
        <v>42298</v>
      </c>
      <c r="B182" s="1067" t="s">
        <v>698</v>
      </c>
      <c r="C182" s="818"/>
      <c r="D182" s="700">
        <v>2600</v>
      </c>
      <c r="E182" s="700"/>
      <c r="F182" s="700">
        <v>2600</v>
      </c>
      <c r="G182" s="701"/>
      <c r="H182" s="700">
        <v>2600</v>
      </c>
      <c r="I182" s="1068" t="s">
        <v>699</v>
      </c>
      <c r="J182" s="700">
        <v>130</v>
      </c>
      <c r="K182" s="701"/>
      <c r="L182" s="1069">
        <v>2600</v>
      </c>
      <c r="M182" s="700"/>
      <c r="N182" s="700">
        <v>70</v>
      </c>
      <c r="O182" s="701"/>
      <c r="P182" s="1069">
        <v>2600</v>
      </c>
      <c r="Q182" s="1070"/>
      <c r="R182" s="700">
        <v>91</v>
      </c>
      <c r="S182" s="701"/>
      <c r="T182" s="1069">
        <v>2600</v>
      </c>
      <c r="U182" s="701"/>
      <c r="V182" s="1069">
        <v>245</v>
      </c>
      <c r="W182" s="701"/>
      <c r="X182" s="700">
        <v>60</v>
      </c>
      <c r="Y182" s="700"/>
      <c r="Z182" s="700">
        <v>46</v>
      </c>
      <c r="AA182" s="700">
        <f t="shared" si="27"/>
        <v>7930</v>
      </c>
      <c r="AB182" s="701" t="e">
        <f>(#REF!+#REF!)*#REF!</f>
        <v>#REF!</v>
      </c>
      <c r="AC182" s="829"/>
      <c r="AD182" s="818"/>
      <c r="AE182" s="1071"/>
      <c r="AF182" s="1072">
        <v>245</v>
      </c>
      <c r="AG182" s="1072"/>
      <c r="AH182" s="702" t="s">
        <v>700</v>
      </c>
      <c r="AI182" s="702" t="s">
        <v>700</v>
      </c>
      <c r="AJ182" s="702" t="s">
        <v>700</v>
      </c>
      <c r="AK182" s="37">
        <v>1001231770</v>
      </c>
      <c r="AL182" s="830"/>
      <c r="AM182" s="626"/>
    </row>
    <row r="183" spans="1:39" s="559" customFormat="1">
      <c r="A183" s="817">
        <v>42299</v>
      </c>
      <c r="B183" s="1067" t="s">
        <v>701</v>
      </c>
      <c r="C183" s="818"/>
      <c r="D183" s="700">
        <v>2600</v>
      </c>
      <c r="E183" s="700"/>
      <c r="F183" s="700">
        <v>2600</v>
      </c>
      <c r="G183" s="701"/>
      <c r="H183" s="700">
        <v>2600</v>
      </c>
      <c r="I183" s="1068" t="s">
        <v>699</v>
      </c>
      <c r="J183" s="700">
        <v>130</v>
      </c>
      <c r="K183" s="701"/>
      <c r="L183" s="1069">
        <v>2600</v>
      </c>
      <c r="M183" s="700"/>
      <c r="N183" s="700">
        <v>70</v>
      </c>
      <c r="O183" s="701"/>
      <c r="P183" s="1069">
        <v>2600</v>
      </c>
      <c r="Q183" s="1070"/>
      <c r="R183" s="700">
        <v>91</v>
      </c>
      <c r="S183" s="701"/>
      <c r="T183" s="1069">
        <v>2600</v>
      </c>
      <c r="U183" s="701"/>
      <c r="V183" s="1069">
        <v>245</v>
      </c>
      <c r="W183" s="701"/>
      <c r="X183" s="700">
        <v>60</v>
      </c>
      <c r="Y183" s="700"/>
      <c r="Z183" s="700">
        <v>46</v>
      </c>
      <c r="AA183" s="700">
        <f t="shared" si="27"/>
        <v>7930</v>
      </c>
      <c r="AB183" s="701" t="e">
        <f>(#REF!+#REF!)*#REF!</f>
        <v>#REF!</v>
      </c>
      <c r="AC183" s="829"/>
      <c r="AD183" s="818"/>
      <c r="AE183" s="1071"/>
      <c r="AF183" s="1072">
        <v>245</v>
      </c>
      <c r="AG183" s="1072"/>
      <c r="AH183" s="702" t="s">
        <v>700</v>
      </c>
      <c r="AI183" s="702" t="s">
        <v>700</v>
      </c>
      <c r="AJ183" s="702" t="s">
        <v>700</v>
      </c>
      <c r="AK183" s="37">
        <v>1001231770</v>
      </c>
      <c r="AL183" s="830"/>
      <c r="AM183" s="626"/>
    </row>
    <row r="184" spans="1:39" s="192" customFormat="1">
      <c r="A184" s="197">
        <v>42310</v>
      </c>
      <c r="B184" s="668" t="s">
        <v>834</v>
      </c>
      <c r="C184" s="199"/>
      <c r="D184" s="188">
        <v>2600</v>
      </c>
      <c r="E184" s="188"/>
      <c r="F184" s="188">
        <v>2600</v>
      </c>
      <c r="G184" s="186"/>
      <c r="H184" s="188">
        <v>2600</v>
      </c>
      <c r="I184" s="1026" t="s">
        <v>699</v>
      </c>
      <c r="J184" s="188">
        <v>130</v>
      </c>
      <c r="K184" s="186"/>
      <c r="L184" s="1027">
        <v>2600</v>
      </c>
      <c r="M184" s="188"/>
      <c r="N184" s="188">
        <v>70</v>
      </c>
      <c r="O184" s="186"/>
      <c r="P184" s="1027">
        <v>2600</v>
      </c>
      <c r="Q184" s="504"/>
      <c r="R184" s="188">
        <v>91</v>
      </c>
      <c r="S184" s="186"/>
      <c r="T184" s="1027">
        <v>2600</v>
      </c>
      <c r="U184" s="186"/>
      <c r="V184" s="1027">
        <v>245</v>
      </c>
      <c r="W184" s="186"/>
      <c r="X184" s="188">
        <v>60</v>
      </c>
      <c r="Y184" s="188"/>
      <c r="Z184" s="188">
        <v>46</v>
      </c>
      <c r="AA184" s="188">
        <f t="shared" si="27"/>
        <v>7930</v>
      </c>
      <c r="AB184" s="186" t="e">
        <f>(#REF!+#REF!)*#REF!</f>
        <v>#REF!</v>
      </c>
      <c r="AC184" s="204"/>
      <c r="AD184" s="199"/>
      <c r="AE184" s="857"/>
      <c r="AF184" s="1028">
        <v>245</v>
      </c>
      <c r="AG184" s="1028"/>
      <c r="AH184" s="195" t="s">
        <v>700</v>
      </c>
      <c r="AI184" s="195" t="s">
        <v>700</v>
      </c>
      <c r="AJ184" s="195" t="s">
        <v>700</v>
      </c>
      <c r="AK184" s="199">
        <v>1001173212</v>
      </c>
      <c r="AL184" s="190"/>
      <c r="AM184" s="194"/>
    </row>
    <row r="185" spans="1:39" s="192" customFormat="1">
      <c r="A185" s="197">
        <v>42310</v>
      </c>
      <c r="B185" s="668" t="s">
        <v>835</v>
      </c>
      <c r="C185" s="199"/>
      <c r="D185" s="188">
        <v>2600</v>
      </c>
      <c r="E185" s="188"/>
      <c r="F185" s="188">
        <v>2600</v>
      </c>
      <c r="G185" s="186"/>
      <c r="H185" s="188">
        <v>2600</v>
      </c>
      <c r="I185" s="1026"/>
      <c r="J185" s="188">
        <v>130</v>
      </c>
      <c r="K185" s="186"/>
      <c r="L185" s="1027">
        <v>2600</v>
      </c>
      <c r="M185" s="188"/>
      <c r="N185" s="188">
        <v>70</v>
      </c>
      <c r="O185" s="186">
        <v>1</v>
      </c>
      <c r="P185" s="1027">
        <v>2600</v>
      </c>
      <c r="Q185" s="504"/>
      <c r="R185" s="188">
        <v>91</v>
      </c>
      <c r="S185" s="186"/>
      <c r="T185" s="1027">
        <v>2600</v>
      </c>
      <c r="U185" s="186"/>
      <c r="V185" s="1027">
        <v>245</v>
      </c>
      <c r="W185" s="186"/>
      <c r="X185" s="188">
        <v>60</v>
      </c>
      <c r="Y185" s="188"/>
      <c r="Z185" s="188">
        <v>46</v>
      </c>
      <c r="AA185" s="188">
        <f t="shared" si="27"/>
        <v>7930</v>
      </c>
      <c r="AB185" s="186" t="e">
        <f>(#REF!+#REF!)*#REF!</f>
        <v>#REF!</v>
      </c>
      <c r="AC185" s="204"/>
      <c r="AD185" s="199"/>
      <c r="AE185" s="857"/>
      <c r="AF185" s="1028">
        <v>245</v>
      </c>
      <c r="AG185" s="1028"/>
      <c r="AH185" s="188">
        <f t="shared" ref="AH185:AH225" si="28">SUM(C185*D185)+(G185*H185)+(I185*J185)+(Q185*R185)+(K185*L185)+(M185*N185)+(W185*X185)+(Y185*Z185)+(O185*P185)+(U185*V185)+(S185*T185)+(E185*F185)+(AE185*AF185)</f>
        <v>2600</v>
      </c>
      <c r="AI185" s="188">
        <f t="shared" ref="AI185:AI225" si="29">(AH185*5%)</f>
        <v>130</v>
      </c>
      <c r="AJ185" s="188">
        <f t="shared" ref="AJ185:AJ225" si="30">SUM(AH185+AI185)</f>
        <v>2730</v>
      </c>
      <c r="AK185" s="199">
        <v>1001173212</v>
      </c>
      <c r="AL185" s="190"/>
      <c r="AM185" s="194"/>
    </row>
    <row r="186" spans="1:39" s="192" customFormat="1">
      <c r="A186" s="197">
        <v>42310</v>
      </c>
      <c r="B186" s="668" t="s">
        <v>836</v>
      </c>
      <c r="C186" s="199"/>
      <c r="D186" s="188">
        <v>2600</v>
      </c>
      <c r="E186" s="188"/>
      <c r="F186" s="188">
        <v>2600</v>
      </c>
      <c r="G186" s="186">
        <v>1</v>
      </c>
      <c r="H186" s="188">
        <v>2600</v>
      </c>
      <c r="I186" s="1026"/>
      <c r="J186" s="188">
        <v>130</v>
      </c>
      <c r="K186" s="186"/>
      <c r="L186" s="1027">
        <v>2600</v>
      </c>
      <c r="M186" s="188"/>
      <c r="N186" s="188">
        <v>70</v>
      </c>
      <c r="O186" s="186"/>
      <c r="P186" s="1027">
        <v>2600</v>
      </c>
      <c r="Q186" s="504"/>
      <c r="R186" s="188">
        <v>91</v>
      </c>
      <c r="S186" s="186"/>
      <c r="T186" s="1027">
        <v>2600</v>
      </c>
      <c r="U186" s="186"/>
      <c r="V186" s="1027">
        <v>245</v>
      </c>
      <c r="W186" s="188"/>
      <c r="X186" s="188">
        <v>60</v>
      </c>
      <c r="Y186" s="188"/>
      <c r="Z186" s="188">
        <v>46</v>
      </c>
      <c r="AA186" s="188">
        <f t="shared" si="27"/>
        <v>7930</v>
      </c>
      <c r="AB186" s="186" t="e">
        <f>(#REF!+#REF!)*#REF!</f>
        <v>#REF!</v>
      </c>
      <c r="AC186" s="204"/>
      <c r="AD186" s="199"/>
      <c r="AE186" s="857"/>
      <c r="AF186" s="1028">
        <v>245</v>
      </c>
      <c r="AG186" s="1028"/>
      <c r="AH186" s="188">
        <f t="shared" si="28"/>
        <v>2600</v>
      </c>
      <c r="AI186" s="188">
        <f t="shared" si="29"/>
        <v>130</v>
      </c>
      <c r="AJ186" s="188">
        <f t="shared" si="30"/>
        <v>2730</v>
      </c>
      <c r="AK186" s="199">
        <v>1001173212</v>
      </c>
      <c r="AL186" s="190"/>
      <c r="AM186" s="194"/>
    </row>
    <row r="187" spans="1:39">
      <c r="A187" s="63"/>
      <c r="B187" s="49"/>
      <c r="C187" s="64"/>
      <c r="D187" s="27">
        <v>2600</v>
      </c>
      <c r="E187" s="27"/>
      <c r="F187" s="27">
        <v>2600</v>
      </c>
      <c r="G187" s="31"/>
      <c r="H187" s="27">
        <v>2600</v>
      </c>
      <c r="I187" s="218"/>
      <c r="J187" s="27">
        <v>130</v>
      </c>
      <c r="K187" s="31"/>
      <c r="L187" s="154">
        <v>2600</v>
      </c>
      <c r="M187" s="27"/>
      <c r="N187" s="27">
        <v>70</v>
      </c>
      <c r="O187" s="31"/>
      <c r="P187" s="154">
        <v>2600</v>
      </c>
      <c r="Q187" s="231"/>
      <c r="R187" s="27">
        <v>91</v>
      </c>
      <c r="S187" s="31"/>
      <c r="T187" s="154">
        <v>2600</v>
      </c>
      <c r="U187" s="31"/>
      <c r="V187" s="154">
        <v>245</v>
      </c>
      <c r="W187" s="27"/>
      <c r="X187" s="27">
        <v>60</v>
      </c>
      <c r="Y187" s="27"/>
      <c r="Z187" s="27">
        <v>46</v>
      </c>
      <c r="AA187" s="27">
        <f t="shared" si="27"/>
        <v>7930</v>
      </c>
      <c r="AB187" s="31" t="e">
        <f>(#REF!+#REF!)*#REF!</f>
        <v>#REF!</v>
      </c>
      <c r="AC187" s="29"/>
      <c r="AD187" s="64"/>
      <c r="AE187" s="509"/>
      <c r="AF187" s="530">
        <v>245</v>
      </c>
      <c r="AG187" s="530"/>
      <c r="AH187" s="27">
        <f t="shared" si="28"/>
        <v>0</v>
      </c>
      <c r="AI187" s="27">
        <f t="shared" si="29"/>
        <v>0</v>
      </c>
      <c r="AJ187" s="27">
        <f t="shared" si="30"/>
        <v>0</v>
      </c>
      <c r="AK187" s="64"/>
      <c r="AL187" s="56"/>
    </row>
    <row r="188" spans="1:39">
      <c r="A188" s="63"/>
      <c r="B188" s="49"/>
      <c r="C188" s="64"/>
      <c r="D188" s="27">
        <v>2600</v>
      </c>
      <c r="E188" s="27"/>
      <c r="F188" s="27">
        <v>2600</v>
      </c>
      <c r="G188" s="31"/>
      <c r="H188" s="27">
        <v>2600</v>
      </c>
      <c r="I188" s="218"/>
      <c r="J188" s="27">
        <v>130</v>
      </c>
      <c r="K188" s="31"/>
      <c r="L188" s="154">
        <v>2600</v>
      </c>
      <c r="M188" s="27"/>
      <c r="N188" s="27">
        <v>70</v>
      </c>
      <c r="O188" s="31"/>
      <c r="P188" s="154">
        <v>2600</v>
      </c>
      <c r="Q188" s="231"/>
      <c r="R188" s="27">
        <v>91</v>
      </c>
      <c r="S188" s="31"/>
      <c r="T188" s="154">
        <v>2600</v>
      </c>
      <c r="U188" s="31"/>
      <c r="V188" s="154">
        <v>245</v>
      </c>
      <c r="W188" s="27"/>
      <c r="X188" s="27">
        <v>60</v>
      </c>
      <c r="Y188" s="27"/>
      <c r="Z188" s="27">
        <v>46</v>
      </c>
      <c r="AA188" s="27">
        <f t="shared" si="27"/>
        <v>7930</v>
      </c>
      <c r="AB188" s="31" t="e">
        <f>(#REF!+#REF!)*#REF!</f>
        <v>#REF!</v>
      </c>
      <c r="AC188" s="29"/>
      <c r="AD188" s="64"/>
      <c r="AE188" s="509"/>
      <c r="AF188" s="530">
        <v>245</v>
      </c>
      <c r="AG188" s="530"/>
      <c r="AH188" s="27">
        <f t="shared" si="28"/>
        <v>0</v>
      </c>
      <c r="AI188" s="27">
        <f t="shared" si="29"/>
        <v>0</v>
      </c>
      <c r="AJ188" s="27">
        <f t="shared" si="30"/>
        <v>0</v>
      </c>
      <c r="AK188" s="64"/>
      <c r="AL188" s="56"/>
    </row>
    <row r="189" spans="1:39">
      <c r="A189" s="63"/>
      <c r="B189" s="49"/>
      <c r="C189" s="64"/>
      <c r="D189" s="27">
        <v>2600</v>
      </c>
      <c r="E189" s="27"/>
      <c r="F189" s="27">
        <v>2600</v>
      </c>
      <c r="G189" s="31"/>
      <c r="H189" s="27">
        <v>2600</v>
      </c>
      <c r="I189" s="218"/>
      <c r="J189" s="27">
        <v>130</v>
      </c>
      <c r="K189" s="31"/>
      <c r="L189" s="154">
        <v>2600</v>
      </c>
      <c r="M189" s="27"/>
      <c r="N189" s="27">
        <v>70</v>
      </c>
      <c r="O189" s="31"/>
      <c r="P189" s="154">
        <v>2600</v>
      </c>
      <c r="Q189" s="231"/>
      <c r="R189" s="27">
        <v>91</v>
      </c>
      <c r="S189" s="31"/>
      <c r="T189" s="154">
        <v>2600</v>
      </c>
      <c r="U189" s="31"/>
      <c r="V189" s="154">
        <v>245</v>
      </c>
      <c r="W189" s="27"/>
      <c r="X189" s="27">
        <v>60</v>
      </c>
      <c r="Y189" s="27"/>
      <c r="Z189" s="27">
        <v>46</v>
      </c>
      <c r="AA189" s="27">
        <f t="shared" si="27"/>
        <v>7930</v>
      </c>
      <c r="AB189" s="31" t="e">
        <f>(#REF!+#REF!)*#REF!</f>
        <v>#REF!</v>
      </c>
      <c r="AC189" s="29"/>
      <c r="AD189" s="64"/>
      <c r="AE189" s="509"/>
      <c r="AF189" s="530">
        <v>245</v>
      </c>
      <c r="AG189" s="530"/>
      <c r="AH189" s="27">
        <f t="shared" si="28"/>
        <v>0</v>
      </c>
      <c r="AI189" s="27">
        <f t="shared" si="29"/>
        <v>0</v>
      </c>
      <c r="AJ189" s="27">
        <f t="shared" si="30"/>
        <v>0</v>
      </c>
      <c r="AK189" s="64"/>
      <c r="AL189" s="56"/>
    </row>
    <row r="190" spans="1:39">
      <c r="A190" s="63"/>
      <c r="B190" s="49"/>
      <c r="C190" s="64"/>
      <c r="D190" s="27">
        <v>2600</v>
      </c>
      <c r="E190" s="27"/>
      <c r="F190" s="27">
        <v>2600</v>
      </c>
      <c r="G190" s="31"/>
      <c r="H190" s="27">
        <v>2600</v>
      </c>
      <c r="I190" s="218"/>
      <c r="J190" s="27">
        <v>130</v>
      </c>
      <c r="K190" s="31"/>
      <c r="L190" s="154">
        <v>2600</v>
      </c>
      <c r="M190" s="27"/>
      <c r="N190" s="27">
        <v>70</v>
      </c>
      <c r="O190" s="31"/>
      <c r="P190" s="154">
        <v>2600</v>
      </c>
      <c r="Q190" s="231"/>
      <c r="R190" s="27">
        <v>91</v>
      </c>
      <c r="S190" s="31"/>
      <c r="T190" s="154">
        <v>2600</v>
      </c>
      <c r="U190" s="31"/>
      <c r="V190" s="154">
        <v>245</v>
      </c>
      <c r="W190" s="27"/>
      <c r="X190" s="27">
        <v>60</v>
      </c>
      <c r="Y190" s="27"/>
      <c r="Z190" s="27">
        <v>46</v>
      </c>
      <c r="AA190" s="27">
        <f t="shared" si="27"/>
        <v>7930</v>
      </c>
      <c r="AB190" s="31" t="e">
        <f>(#REF!+#REF!)*#REF!</f>
        <v>#REF!</v>
      </c>
      <c r="AC190" s="29"/>
      <c r="AD190" s="64"/>
      <c r="AE190" s="509"/>
      <c r="AF190" s="530">
        <v>245</v>
      </c>
      <c r="AG190" s="530"/>
      <c r="AH190" s="27">
        <f t="shared" si="28"/>
        <v>0</v>
      </c>
      <c r="AI190" s="27">
        <f t="shared" si="29"/>
        <v>0</v>
      </c>
      <c r="AJ190" s="27">
        <f t="shared" si="30"/>
        <v>0</v>
      </c>
      <c r="AK190" s="64"/>
      <c r="AL190" s="56"/>
    </row>
    <row r="191" spans="1:39">
      <c r="A191" s="63"/>
      <c r="B191" s="49"/>
      <c r="C191" s="64"/>
      <c r="D191" s="27">
        <v>2600</v>
      </c>
      <c r="E191" s="27"/>
      <c r="F191" s="27">
        <v>2600</v>
      </c>
      <c r="G191" s="31"/>
      <c r="H191" s="27">
        <v>2600</v>
      </c>
      <c r="I191" s="218"/>
      <c r="J191" s="27">
        <v>130</v>
      </c>
      <c r="K191" s="31"/>
      <c r="L191" s="154">
        <v>2600</v>
      </c>
      <c r="M191" s="27"/>
      <c r="N191" s="27">
        <v>70</v>
      </c>
      <c r="O191" s="31"/>
      <c r="P191" s="154">
        <v>2600</v>
      </c>
      <c r="Q191" s="231"/>
      <c r="R191" s="27">
        <v>91</v>
      </c>
      <c r="S191" s="31"/>
      <c r="T191" s="154">
        <v>2600</v>
      </c>
      <c r="U191" s="31"/>
      <c r="V191" s="154">
        <v>245</v>
      </c>
      <c r="W191" s="27"/>
      <c r="X191" s="27">
        <v>60</v>
      </c>
      <c r="Y191" s="27"/>
      <c r="Z191" s="27">
        <v>46</v>
      </c>
      <c r="AA191" s="27">
        <f t="shared" si="27"/>
        <v>7930</v>
      </c>
      <c r="AB191" s="31" t="e">
        <f>(#REF!+#REF!)*#REF!</f>
        <v>#REF!</v>
      </c>
      <c r="AC191" s="29"/>
      <c r="AD191" s="64"/>
      <c r="AE191" s="509"/>
      <c r="AF191" s="530">
        <v>245</v>
      </c>
      <c r="AG191" s="530"/>
      <c r="AH191" s="27">
        <f t="shared" si="28"/>
        <v>0</v>
      </c>
      <c r="AI191" s="27">
        <f t="shared" si="29"/>
        <v>0</v>
      </c>
      <c r="AJ191" s="27">
        <f t="shared" si="30"/>
        <v>0</v>
      </c>
      <c r="AK191" s="64"/>
      <c r="AL191" s="56"/>
    </row>
    <row r="192" spans="1:39">
      <c r="A192" s="63"/>
      <c r="B192" s="49"/>
      <c r="C192" s="64"/>
      <c r="D192" s="27">
        <v>2600</v>
      </c>
      <c r="E192" s="27"/>
      <c r="F192" s="27">
        <v>2600</v>
      </c>
      <c r="G192" s="31"/>
      <c r="H192" s="27">
        <v>2600</v>
      </c>
      <c r="I192" s="218"/>
      <c r="J192" s="27">
        <v>130</v>
      </c>
      <c r="K192" s="31"/>
      <c r="L192" s="154">
        <v>2600</v>
      </c>
      <c r="M192" s="27"/>
      <c r="N192" s="27">
        <v>70</v>
      </c>
      <c r="O192" s="31"/>
      <c r="P192" s="154">
        <v>2600</v>
      </c>
      <c r="Q192" s="231"/>
      <c r="R192" s="27">
        <v>91</v>
      </c>
      <c r="S192" s="31"/>
      <c r="T192" s="154">
        <v>2600</v>
      </c>
      <c r="U192" s="31"/>
      <c r="V192" s="154">
        <v>245</v>
      </c>
      <c r="W192" s="27"/>
      <c r="X192" s="27">
        <v>60</v>
      </c>
      <c r="Y192" s="27"/>
      <c r="Z192" s="27">
        <v>46</v>
      </c>
      <c r="AA192" s="27">
        <f t="shared" si="27"/>
        <v>7930</v>
      </c>
      <c r="AB192" s="31" t="e">
        <f>(#REF!+#REF!)*#REF!</f>
        <v>#REF!</v>
      </c>
      <c r="AC192" s="29"/>
      <c r="AD192" s="64"/>
      <c r="AE192" s="509"/>
      <c r="AF192" s="530">
        <v>245</v>
      </c>
      <c r="AG192" s="530"/>
      <c r="AH192" s="27">
        <f t="shared" si="28"/>
        <v>0</v>
      </c>
      <c r="AI192" s="27">
        <f t="shared" si="29"/>
        <v>0</v>
      </c>
      <c r="AJ192" s="27">
        <f t="shared" si="30"/>
        <v>0</v>
      </c>
      <c r="AK192" s="64"/>
      <c r="AL192" s="56"/>
    </row>
    <row r="193" spans="1:38">
      <c r="A193" s="63"/>
      <c r="B193" s="49"/>
      <c r="C193" s="64"/>
      <c r="D193" s="27">
        <v>2600</v>
      </c>
      <c r="E193" s="27"/>
      <c r="F193" s="27">
        <v>2600</v>
      </c>
      <c r="G193" s="31"/>
      <c r="H193" s="27">
        <v>2600</v>
      </c>
      <c r="I193" s="218"/>
      <c r="J193" s="27">
        <v>130</v>
      </c>
      <c r="K193" s="31"/>
      <c r="L193" s="154">
        <v>2600</v>
      </c>
      <c r="M193" s="27"/>
      <c r="N193" s="27">
        <v>70</v>
      </c>
      <c r="O193" s="31"/>
      <c r="P193" s="154">
        <v>2600</v>
      </c>
      <c r="Q193" s="231"/>
      <c r="R193" s="27">
        <v>91</v>
      </c>
      <c r="S193" s="31"/>
      <c r="T193" s="154">
        <v>2600</v>
      </c>
      <c r="U193" s="31"/>
      <c r="V193" s="154">
        <v>245</v>
      </c>
      <c r="W193" s="27"/>
      <c r="X193" s="27">
        <v>60</v>
      </c>
      <c r="Y193" s="27"/>
      <c r="Z193" s="27">
        <v>46</v>
      </c>
      <c r="AA193" s="27">
        <f t="shared" si="27"/>
        <v>7930</v>
      </c>
      <c r="AB193" s="31" t="e">
        <f>(#REF!+#REF!)*#REF!</f>
        <v>#REF!</v>
      </c>
      <c r="AC193" s="29"/>
      <c r="AD193" s="64"/>
      <c r="AE193" s="509"/>
      <c r="AF193" s="530">
        <v>245</v>
      </c>
      <c r="AG193" s="530"/>
      <c r="AH193" s="27">
        <f t="shared" si="28"/>
        <v>0</v>
      </c>
      <c r="AI193" s="27">
        <f t="shared" si="29"/>
        <v>0</v>
      </c>
      <c r="AJ193" s="27">
        <f t="shared" si="30"/>
        <v>0</v>
      </c>
      <c r="AK193" s="64"/>
      <c r="AL193" s="56"/>
    </row>
    <row r="194" spans="1:38">
      <c r="A194" s="63"/>
      <c r="B194" s="49"/>
      <c r="C194" s="64"/>
      <c r="D194" s="27">
        <v>2600</v>
      </c>
      <c r="E194" s="27"/>
      <c r="F194" s="27">
        <v>2600</v>
      </c>
      <c r="G194" s="31"/>
      <c r="H194" s="27">
        <v>2600</v>
      </c>
      <c r="I194" s="218"/>
      <c r="J194" s="27">
        <v>130</v>
      </c>
      <c r="K194" s="31"/>
      <c r="L194" s="154">
        <v>2600</v>
      </c>
      <c r="M194" s="27"/>
      <c r="N194" s="27">
        <v>70</v>
      </c>
      <c r="O194" s="31"/>
      <c r="P194" s="154">
        <v>2600</v>
      </c>
      <c r="Q194" s="231"/>
      <c r="R194" s="27">
        <v>91</v>
      </c>
      <c r="S194" s="31"/>
      <c r="T194" s="154">
        <v>2600</v>
      </c>
      <c r="U194" s="31"/>
      <c r="V194" s="154">
        <v>245</v>
      </c>
      <c r="W194" s="27"/>
      <c r="X194" s="27">
        <v>60</v>
      </c>
      <c r="Y194" s="27"/>
      <c r="Z194" s="27">
        <v>46</v>
      </c>
      <c r="AA194" s="27">
        <f t="shared" si="27"/>
        <v>7930</v>
      </c>
      <c r="AB194" s="31" t="e">
        <f>(#REF!+#REF!)*#REF!</f>
        <v>#REF!</v>
      </c>
      <c r="AC194" s="29"/>
      <c r="AD194" s="64"/>
      <c r="AE194" s="509"/>
      <c r="AF194" s="530">
        <v>245</v>
      </c>
      <c r="AG194" s="530"/>
      <c r="AH194" s="27">
        <f t="shared" si="28"/>
        <v>0</v>
      </c>
      <c r="AI194" s="27">
        <f t="shared" si="29"/>
        <v>0</v>
      </c>
      <c r="AJ194" s="27">
        <f t="shared" si="30"/>
        <v>0</v>
      </c>
      <c r="AK194" s="64"/>
      <c r="AL194" s="56"/>
    </row>
    <row r="195" spans="1:38">
      <c r="A195" s="63"/>
      <c r="B195" s="49"/>
      <c r="C195" s="64"/>
      <c r="D195" s="27">
        <v>2600</v>
      </c>
      <c r="E195" s="27"/>
      <c r="F195" s="27">
        <v>2600</v>
      </c>
      <c r="G195" s="31"/>
      <c r="H195" s="27">
        <v>2600</v>
      </c>
      <c r="I195" s="218"/>
      <c r="J195" s="27">
        <v>130</v>
      </c>
      <c r="K195" s="31"/>
      <c r="L195" s="154">
        <v>2600</v>
      </c>
      <c r="M195" s="27"/>
      <c r="N195" s="27">
        <v>70</v>
      </c>
      <c r="O195" s="31"/>
      <c r="P195" s="154">
        <v>2600</v>
      </c>
      <c r="Q195" s="231"/>
      <c r="R195" s="27">
        <v>91</v>
      </c>
      <c r="S195" s="31"/>
      <c r="T195" s="154">
        <v>2600</v>
      </c>
      <c r="U195" s="31"/>
      <c r="V195" s="154">
        <v>245</v>
      </c>
      <c r="W195" s="27"/>
      <c r="X195" s="27">
        <v>60</v>
      </c>
      <c r="Y195" s="27"/>
      <c r="Z195" s="27">
        <v>46</v>
      </c>
      <c r="AA195" s="27">
        <f t="shared" si="27"/>
        <v>7930</v>
      </c>
      <c r="AB195" s="31" t="e">
        <f>(#REF!+#REF!)*#REF!</f>
        <v>#REF!</v>
      </c>
      <c r="AC195" s="29"/>
      <c r="AD195" s="64"/>
      <c r="AE195" s="509"/>
      <c r="AF195" s="530">
        <v>245</v>
      </c>
      <c r="AG195" s="530"/>
      <c r="AH195" s="27">
        <f t="shared" si="28"/>
        <v>0</v>
      </c>
      <c r="AI195" s="27">
        <f t="shared" si="29"/>
        <v>0</v>
      </c>
      <c r="AJ195" s="27">
        <f t="shared" si="30"/>
        <v>0</v>
      </c>
      <c r="AK195" s="64"/>
      <c r="AL195" s="56"/>
    </row>
    <row r="196" spans="1:38">
      <c r="A196" s="63"/>
      <c r="B196" s="49"/>
      <c r="C196" s="64"/>
      <c r="D196" s="27">
        <v>2600</v>
      </c>
      <c r="E196" s="27"/>
      <c r="F196" s="27">
        <v>2600</v>
      </c>
      <c r="G196" s="31"/>
      <c r="H196" s="27">
        <v>2600</v>
      </c>
      <c r="I196" s="218"/>
      <c r="J196" s="27">
        <v>130</v>
      </c>
      <c r="K196" s="31"/>
      <c r="L196" s="154">
        <v>2600</v>
      </c>
      <c r="M196" s="27"/>
      <c r="N196" s="27">
        <v>70</v>
      </c>
      <c r="O196" s="31"/>
      <c r="P196" s="154">
        <v>2600</v>
      </c>
      <c r="Q196" s="231"/>
      <c r="R196" s="27">
        <v>91</v>
      </c>
      <c r="S196" s="31"/>
      <c r="T196" s="154">
        <v>2600</v>
      </c>
      <c r="U196" s="31"/>
      <c r="V196" s="154">
        <v>245</v>
      </c>
      <c r="W196" s="27"/>
      <c r="X196" s="27">
        <v>60</v>
      </c>
      <c r="Y196" s="27"/>
      <c r="Z196" s="27">
        <v>46</v>
      </c>
      <c r="AA196" s="27">
        <f t="shared" ref="AA196:AA225" si="31">SUM(L196,J196,H196,D196)</f>
        <v>7930</v>
      </c>
      <c r="AB196" s="31" t="e">
        <f>(#REF!+#REF!)*#REF!</f>
        <v>#REF!</v>
      </c>
      <c r="AC196" s="29"/>
      <c r="AD196" s="64"/>
      <c r="AE196" s="509"/>
      <c r="AF196" s="530">
        <v>245</v>
      </c>
      <c r="AG196" s="530"/>
      <c r="AH196" s="27">
        <f t="shared" si="28"/>
        <v>0</v>
      </c>
      <c r="AI196" s="27">
        <f t="shared" si="29"/>
        <v>0</v>
      </c>
      <c r="AJ196" s="27">
        <f t="shared" si="30"/>
        <v>0</v>
      </c>
      <c r="AK196" s="64"/>
      <c r="AL196" s="56"/>
    </row>
    <row r="197" spans="1:38">
      <c r="A197" s="63"/>
      <c r="B197" s="49"/>
      <c r="C197" s="64"/>
      <c r="D197" s="27">
        <v>2600</v>
      </c>
      <c r="E197" s="27"/>
      <c r="F197" s="27">
        <v>2600</v>
      </c>
      <c r="G197" s="31"/>
      <c r="H197" s="27">
        <v>2600</v>
      </c>
      <c r="I197" s="218"/>
      <c r="J197" s="27">
        <v>130</v>
      </c>
      <c r="K197" s="31"/>
      <c r="L197" s="154">
        <v>2600</v>
      </c>
      <c r="M197" s="27"/>
      <c r="N197" s="27">
        <v>70</v>
      </c>
      <c r="O197" s="31"/>
      <c r="P197" s="154">
        <v>2600</v>
      </c>
      <c r="Q197" s="231"/>
      <c r="R197" s="27">
        <v>91</v>
      </c>
      <c r="S197" s="31"/>
      <c r="T197" s="154">
        <v>2600</v>
      </c>
      <c r="U197" s="31"/>
      <c r="V197" s="154">
        <v>245</v>
      </c>
      <c r="W197" s="27"/>
      <c r="X197" s="27">
        <v>60</v>
      </c>
      <c r="Y197" s="27"/>
      <c r="Z197" s="27">
        <v>46</v>
      </c>
      <c r="AA197" s="27">
        <f t="shared" si="31"/>
        <v>7930</v>
      </c>
      <c r="AB197" s="31" t="e">
        <f>(#REF!+#REF!)*#REF!</f>
        <v>#REF!</v>
      </c>
      <c r="AC197" s="29"/>
      <c r="AD197" s="64"/>
      <c r="AE197" s="509"/>
      <c r="AF197" s="530">
        <v>245</v>
      </c>
      <c r="AG197" s="530"/>
      <c r="AH197" s="27">
        <f t="shared" si="28"/>
        <v>0</v>
      </c>
      <c r="AI197" s="27">
        <f t="shared" si="29"/>
        <v>0</v>
      </c>
      <c r="AJ197" s="27">
        <f t="shared" si="30"/>
        <v>0</v>
      </c>
      <c r="AK197" s="64"/>
      <c r="AL197" s="56"/>
    </row>
    <row r="198" spans="1:38">
      <c r="A198" s="63"/>
      <c r="B198" s="49"/>
      <c r="C198" s="64"/>
      <c r="D198" s="27">
        <v>2600</v>
      </c>
      <c r="E198" s="27"/>
      <c r="F198" s="27">
        <v>2600</v>
      </c>
      <c r="G198" s="31"/>
      <c r="H198" s="27">
        <v>2600</v>
      </c>
      <c r="I198" s="218"/>
      <c r="J198" s="27">
        <v>130</v>
      </c>
      <c r="K198" s="31"/>
      <c r="L198" s="154">
        <v>2600</v>
      </c>
      <c r="M198" s="27"/>
      <c r="N198" s="27">
        <v>70</v>
      </c>
      <c r="O198" s="31"/>
      <c r="P198" s="154">
        <v>2600</v>
      </c>
      <c r="Q198" s="231"/>
      <c r="R198" s="27">
        <v>91</v>
      </c>
      <c r="S198" s="31"/>
      <c r="T198" s="154">
        <v>2600</v>
      </c>
      <c r="U198" s="31"/>
      <c r="V198" s="154">
        <v>245</v>
      </c>
      <c r="W198" s="27"/>
      <c r="X198" s="27">
        <v>60</v>
      </c>
      <c r="Y198" s="27"/>
      <c r="Z198" s="27">
        <v>46</v>
      </c>
      <c r="AA198" s="27">
        <f t="shared" si="31"/>
        <v>7930</v>
      </c>
      <c r="AB198" s="31" t="e">
        <f>(#REF!+#REF!)*#REF!</f>
        <v>#REF!</v>
      </c>
      <c r="AC198" s="29"/>
      <c r="AD198" s="64"/>
      <c r="AE198" s="509"/>
      <c r="AF198" s="530">
        <v>245</v>
      </c>
      <c r="AG198" s="530"/>
      <c r="AH198" s="27">
        <f t="shared" si="28"/>
        <v>0</v>
      </c>
      <c r="AI198" s="27">
        <f t="shared" si="29"/>
        <v>0</v>
      </c>
      <c r="AJ198" s="27">
        <f t="shared" si="30"/>
        <v>0</v>
      </c>
      <c r="AK198" s="64"/>
      <c r="AL198" s="56"/>
    </row>
    <row r="199" spans="1:38">
      <c r="A199" s="63"/>
      <c r="B199" s="49"/>
      <c r="C199" s="64"/>
      <c r="D199" s="27">
        <v>2600</v>
      </c>
      <c r="E199" s="27"/>
      <c r="F199" s="27">
        <v>2600</v>
      </c>
      <c r="G199" s="31"/>
      <c r="H199" s="27">
        <v>2600</v>
      </c>
      <c r="I199" s="218"/>
      <c r="J199" s="27">
        <v>130</v>
      </c>
      <c r="K199" s="31"/>
      <c r="L199" s="154">
        <v>2600</v>
      </c>
      <c r="M199" s="27"/>
      <c r="N199" s="27">
        <v>70</v>
      </c>
      <c r="O199" s="31"/>
      <c r="P199" s="154">
        <v>2600</v>
      </c>
      <c r="Q199" s="231"/>
      <c r="R199" s="27">
        <v>91</v>
      </c>
      <c r="S199" s="31"/>
      <c r="T199" s="154">
        <v>2600</v>
      </c>
      <c r="U199" s="31"/>
      <c r="V199" s="154">
        <v>245</v>
      </c>
      <c r="W199" s="27"/>
      <c r="X199" s="27">
        <v>60</v>
      </c>
      <c r="Y199" s="27"/>
      <c r="Z199" s="27">
        <v>46</v>
      </c>
      <c r="AA199" s="27">
        <f t="shared" si="31"/>
        <v>7930</v>
      </c>
      <c r="AB199" s="31" t="e">
        <f>(#REF!+#REF!)*#REF!</f>
        <v>#REF!</v>
      </c>
      <c r="AC199" s="29"/>
      <c r="AD199" s="64"/>
      <c r="AE199" s="509"/>
      <c r="AF199" s="530">
        <v>245</v>
      </c>
      <c r="AG199" s="530"/>
      <c r="AH199" s="27">
        <f t="shared" si="28"/>
        <v>0</v>
      </c>
      <c r="AI199" s="27">
        <f t="shared" si="29"/>
        <v>0</v>
      </c>
      <c r="AJ199" s="27">
        <f t="shared" si="30"/>
        <v>0</v>
      </c>
      <c r="AK199" s="64"/>
      <c r="AL199" s="56"/>
    </row>
    <row r="200" spans="1:38">
      <c r="A200" s="63"/>
      <c r="B200" s="49"/>
      <c r="C200" s="64"/>
      <c r="D200" s="27">
        <v>2600</v>
      </c>
      <c r="E200" s="27"/>
      <c r="F200" s="27">
        <v>2600</v>
      </c>
      <c r="G200" s="31"/>
      <c r="H200" s="27">
        <v>2600</v>
      </c>
      <c r="I200" s="218"/>
      <c r="J200" s="27">
        <v>130</v>
      </c>
      <c r="K200" s="31"/>
      <c r="L200" s="154">
        <v>2600</v>
      </c>
      <c r="M200" s="27"/>
      <c r="N200" s="27">
        <v>70</v>
      </c>
      <c r="O200" s="31"/>
      <c r="P200" s="154">
        <v>2600</v>
      </c>
      <c r="Q200" s="231"/>
      <c r="R200" s="27">
        <v>91</v>
      </c>
      <c r="S200" s="31"/>
      <c r="T200" s="154">
        <v>2600</v>
      </c>
      <c r="U200" s="31"/>
      <c r="V200" s="154">
        <v>245</v>
      </c>
      <c r="W200" s="27"/>
      <c r="X200" s="27">
        <v>60</v>
      </c>
      <c r="Y200" s="27"/>
      <c r="Z200" s="27">
        <v>46</v>
      </c>
      <c r="AA200" s="27">
        <f t="shared" si="31"/>
        <v>7930</v>
      </c>
      <c r="AB200" s="31" t="e">
        <f>(#REF!+#REF!)*#REF!</f>
        <v>#REF!</v>
      </c>
      <c r="AC200" s="29"/>
      <c r="AD200" s="64"/>
      <c r="AE200" s="509"/>
      <c r="AF200" s="530">
        <v>245</v>
      </c>
      <c r="AG200" s="530"/>
      <c r="AH200" s="27">
        <f t="shared" si="28"/>
        <v>0</v>
      </c>
      <c r="AI200" s="27">
        <f t="shared" si="29"/>
        <v>0</v>
      </c>
      <c r="AJ200" s="27">
        <f t="shared" si="30"/>
        <v>0</v>
      </c>
      <c r="AK200" s="64"/>
      <c r="AL200" s="56"/>
    </row>
    <row r="201" spans="1:38">
      <c r="A201" s="63"/>
      <c r="B201" s="49"/>
      <c r="C201" s="64"/>
      <c r="D201" s="27">
        <v>2600</v>
      </c>
      <c r="E201" s="27"/>
      <c r="F201" s="27">
        <v>2600</v>
      </c>
      <c r="G201" s="31"/>
      <c r="H201" s="27">
        <v>2600</v>
      </c>
      <c r="I201" s="218"/>
      <c r="J201" s="27">
        <v>130</v>
      </c>
      <c r="K201" s="31"/>
      <c r="L201" s="154">
        <v>2600</v>
      </c>
      <c r="M201" s="27"/>
      <c r="N201" s="27">
        <v>70</v>
      </c>
      <c r="O201" s="31"/>
      <c r="P201" s="154">
        <v>2600</v>
      </c>
      <c r="Q201" s="231"/>
      <c r="R201" s="27">
        <v>91</v>
      </c>
      <c r="S201" s="31"/>
      <c r="T201" s="154">
        <v>2600</v>
      </c>
      <c r="U201" s="31"/>
      <c r="V201" s="154">
        <v>245</v>
      </c>
      <c r="W201" s="27"/>
      <c r="X201" s="27">
        <v>60</v>
      </c>
      <c r="Y201" s="27"/>
      <c r="Z201" s="27">
        <v>46</v>
      </c>
      <c r="AA201" s="27">
        <f t="shared" si="31"/>
        <v>7930</v>
      </c>
      <c r="AB201" s="31" t="e">
        <f>(#REF!+#REF!)*#REF!</f>
        <v>#REF!</v>
      </c>
      <c r="AC201" s="29"/>
      <c r="AD201" s="64"/>
      <c r="AE201" s="509"/>
      <c r="AF201" s="530">
        <v>245</v>
      </c>
      <c r="AG201" s="530"/>
      <c r="AH201" s="27">
        <f t="shared" si="28"/>
        <v>0</v>
      </c>
      <c r="AI201" s="27">
        <f t="shared" si="29"/>
        <v>0</v>
      </c>
      <c r="AJ201" s="27">
        <f t="shared" si="30"/>
        <v>0</v>
      </c>
      <c r="AK201" s="64"/>
      <c r="AL201" s="56"/>
    </row>
    <row r="202" spans="1:38">
      <c r="A202" s="63"/>
      <c r="B202" s="49"/>
      <c r="C202" s="64"/>
      <c r="D202" s="27">
        <v>2600</v>
      </c>
      <c r="E202" s="27"/>
      <c r="F202" s="27">
        <v>2600</v>
      </c>
      <c r="G202" s="31"/>
      <c r="H202" s="27">
        <v>2600</v>
      </c>
      <c r="I202" s="218"/>
      <c r="J202" s="27">
        <v>130</v>
      </c>
      <c r="K202" s="31"/>
      <c r="L202" s="154">
        <v>2600</v>
      </c>
      <c r="M202" s="27"/>
      <c r="N202" s="27">
        <v>70</v>
      </c>
      <c r="O202" s="31"/>
      <c r="P202" s="154">
        <v>2600</v>
      </c>
      <c r="Q202" s="231"/>
      <c r="R202" s="27">
        <v>91</v>
      </c>
      <c r="S202" s="31"/>
      <c r="T202" s="154">
        <v>2600</v>
      </c>
      <c r="U202" s="31"/>
      <c r="V202" s="154">
        <v>245</v>
      </c>
      <c r="W202" s="27"/>
      <c r="X202" s="27">
        <v>60</v>
      </c>
      <c r="Y202" s="27"/>
      <c r="Z202" s="27">
        <v>46</v>
      </c>
      <c r="AA202" s="27">
        <f t="shared" si="31"/>
        <v>7930</v>
      </c>
      <c r="AB202" s="31" t="e">
        <f>(#REF!+#REF!)*#REF!</f>
        <v>#REF!</v>
      </c>
      <c r="AC202" s="29"/>
      <c r="AD202" s="64"/>
      <c r="AE202" s="509"/>
      <c r="AF202" s="530">
        <v>245</v>
      </c>
      <c r="AG202" s="530"/>
      <c r="AH202" s="27">
        <f t="shared" si="28"/>
        <v>0</v>
      </c>
      <c r="AI202" s="27">
        <f t="shared" si="29"/>
        <v>0</v>
      </c>
      <c r="AJ202" s="27">
        <f t="shared" si="30"/>
        <v>0</v>
      </c>
      <c r="AK202" s="64"/>
      <c r="AL202" s="56"/>
    </row>
    <row r="203" spans="1:38">
      <c r="A203" s="63"/>
      <c r="B203" s="49"/>
      <c r="C203" s="64"/>
      <c r="D203" s="27">
        <v>2600</v>
      </c>
      <c r="E203" s="27"/>
      <c r="F203" s="27">
        <v>2600</v>
      </c>
      <c r="G203" s="31"/>
      <c r="H203" s="27">
        <v>2600</v>
      </c>
      <c r="I203" s="218"/>
      <c r="J203" s="27">
        <v>130</v>
      </c>
      <c r="K203" s="31"/>
      <c r="L203" s="154">
        <v>2600</v>
      </c>
      <c r="M203" s="27"/>
      <c r="N203" s="27">
        <v>70</v>
      </c>
      <c r="O203" s="31"/>
      <c r="P203" s="154">
        <v>2600</v>
      </c>
      <c r="Q203" s="231"/>
      <c r="R203" s="27">
        <v>91</v>
      </c>
      <c r="S203" s="31"/>
      <c r="T203" s="154">
        <v>2600</v>
      </c>
      <c r="U203" s="31"/>
      <c r="V203" s="154">
        <v>245</v>
      </c>
      <c r="W203" s="27"/>
      <c r="X203" s="27">
        <v>60</v>
      </c>
      <c r="Y203" s="27"/>
      <c r="Z203" s="27">
        <v>46</v>
      </c>
      <c r="AA203" s="27">
        <f t="shared" si="31"/>
        <v>7930</v>
      </c>
      <c r="AB203" s="31" t="e">
        <f>(#REF!+#REF!)*#REF!</f>
        <v>#REF!</v>
      </c>
      <c r="AC203" s="29"/>
      <c r="AD203" s="64"/>
      <c r="AE203" s="509"/>
      <c r="AF203" s="530">
        <v>245</v>
      </c>
      <c r="AG203" s="530"/>
      <c r="AH203" s="27">
        <f t="shared" si="28"/>
        <v>0</v>
      </c>
      <c r="AI203" s="27">
        <f t="shared" si="29"/>
        <v>0</v>
      </c>
      <c r="AJ203" s="27">
        <f t="shared" si="30"/>
        <v>0</v>
      </c>
      <c r="AK203" s="64"/>
      <c r="AL203" s="56"/>
    </row>
    <row r="204" spans="1:38">
      <c r="A204" s="63"/>
      <c r="B204" s="49"/>
      <c r="C204" s="64"/>
      <c r="D204" s="27">
        <v>2600</v>
      </c>
      <c r="E204" s="27"/>
      <c r="F204" s="27">
        <v>2600</v>
      </c>
      <c r="G204" s="31"/>
      <c r="H204" s="27">
        <v>2600</v>
      </c>
      <c r="I204" s="218"/>
      <c r="J204" s="27">
        <v>130</v>
      </c>
      <c r="K204" s="31"/>
      <c r="L204" s="154">
        <v>2600</v>
      </c>
      <c r="M204" s="27"/>
      <c r="N204" s="27">
        <v>70</v>
      </c>
      <c r="O204" s="31"/>
      <c r="P204" s="154">
        <v>2600</v>
      </c>
      <c r="Q204" s="231"/>
      <c r="R204" s="27">
        <v>91</v>
      </c>
      <c r="S204" s="31"/>
      <c r="T204" s="154">
        <v>2600</v>
      </c>
      <c r="U204" s="31"/>
      <c r="V204" s="154">
        <v>245</v>
      </c>
      <c r="W204" s="27"/>
      <c r="X204" s="27">
        <v>60</v>
      </c>
      <c r="Y204" s="27"/>
      <c r="Z204" s="27">
        <v>46</v>
      </c>
      <c r="AA204" s="27">
        <f t="shared" si="31"/>
        <v>7930</v>
      </c>
      <c r="AB204" s="31" t="e">
        <f>(#REF!+#REF!)*#REF!</f>
        <v>#REF!</v>
      </c>
      <c r="AC204" s="29"/>
      <c r="AD204" s="64"/>
      <c r="AE204" s="509"/>
      <c r="AF204" s="530">
        <v>245</v>
      </c>
      <c r="AG204" s="530"/>
      <c r="AH204" s="27">
        <f t="shared" si="28"/>
        <v>0</v>
      </c>
      <c r="AI204" s="27">
        <f t="shared" si="29"/>
        <v>0</v>
      </c>
      <c r="AJ204" s="27">
        <f t="shared" si="30"/>
        <v>0</v>
      </c>
      <c r="AK204" s="64"/>
      <c r="AL204" s="56"/>
    </row>
    <row r="205" spans="1:38">
      <c r="A205" s="63"/>
      <c r="B205" s="49"/>
      <c r="C205" s="64"/>
      <c r="D205" s="27">
        <v>2600</v>
      </c>
      <c r="E205" s="27"/>
      <c r="F205" s="27">
        <v>2600</v>
      </c>
      <c r="G205" s="31"/>
      <c r="H205" s="27">
        <v>2600</v>
      </c>
      <c r="I205" s="218"/>
      <c r="J205" s="27">
        <v>130</v>
      </c>
      <c r="K205" s="31"/>
      <c r="L205" s="154">
        <v>2600</v>
      </c>
      <c r="M205" s="27"/>
      <c r="N205" s="27">
        <v>70</v>
      </c>
      <c r="O205" s="31"/>
      <c r="P205" s="154">
        <v>2600</v>
      </c>
      <c r="Q205" s="231"/>
      <c r="R205" s="27">
        <v>91</v>
      </c>
      <c r="S205" s="31"/>
      <c r="T205" s="154">
        <v>2600</v>
      </c>
      <c r="U205" s="31"/>
      <c r="V205" s="154">
        <v>245</v>
      </c>
      <c r="W205" s="27"/>
      <c r="X205" s="27">
        <v>60</v>
      </c>
      <c r="Y205" s="27"/>
      <c r="Z205" s="27">
        <v>46</v>
      </c>
      <c r="AA205" s="27">
        <f t="shared" si="31"/>
        <v>7930</v>
      </c>
      <c r="AB205" s="31" t="e">
        <f>(#REF!+#REF!)*#REF!</f>
        <v>#REF!</v>
      </c>
      <c r="AC205" s="29"/>
      <c r="AD205" s="64"/>
      <c r="AE205" s="509"/>
      <c r="AF205" s="530">
        <v>245</v>
      </c>
      <c r="AG205" s="530"/>
      <c r="AH205" s="27">
        <f t="shared" si="28"/>
        <v>0</v>
      </c>
      <c r="AI205" s="27">
        <f t="shared" si="29"/>
        <v>0</v>
      </c>
      <c r="AJ205" s="27">
        <f t="shared" si="30"/>
        <v>0</v>
      </c>
      <c r="AK205" s="64"/>
      <c r="AL205" s="56"/>
    </row>
    <row r="206" spans="1:38">
      <c r="A206" s="63"/>
      <c r="B206" s="49"/>
      <c r="C206" s="64"/>
      <c r="D206" s="27">
        <v>2600</v>
      </c>
      <c r="E206" s="27"/>
      <c r="F206" s="27">
        <v>2600</v>
      </c>
      <c r="G206" s="31"/>
      <c r="H206" s="27">
        <v>2600</v>
      </c>
      <c r="I206" s="218"/>
      <c r="J206" s="27">
        <v>130</v>
      </c>
      <c r="K206" s="31"/>
      <c r="L206" s="154">
        <v>2600</v>
      </c>
      <c r="M206" s="27"/>
      <c r="N206" s="27">
        <v>70</v>
      </c>
      <c r="O206" s="31"/>
      <c r="P206" s="154">
        <v>2600</v>
      </c>
      <c r="Q206" s="231"/>
      <c r="R206" s="27">
        <v>91</v>
      </c>
      <c r="S206" s="31"/>
      <c r="T206" s="154">
        <v>2600</v>
      </c>
      <c r="U206" s="31"/>
      <c r="V206" s="154">
        <v>245</v>
      </c>
      <c r="W206" s="27"/>
      <c r="X206" s="27">
        <v>60</v>
      </c>
      <c r="Y206" s="27"/>
      <c r="Z206" s="27">
        <v>46</v>
      </c>
      <c r="AA206" s="27">
        <f t="shared" si="31"/>
        <v>7930</v>
      </c>
      <c r="AB206" s="31" t="e">
        <f>(#REF!+#REF!)*#REF!</f>
        <v>#REF!</v>
      </c>
      <c r="AC206" s="29"/>
      <c r="AD206" s="64"/>
      <c r="AE206" s="509"/>
      <c r="AF206" s="530">
        <v>245</v>
      </c>
      <c r="AG206" s="530"/>
      <c r="AH206" s="27">
        <f t="shared" si="28"/>
        <v>0</v>
      </c>
      <c r="AI206" s="27">
        <f t="shared" si="29"/>
        <v>0</v>
      </c>
      <c r="AJ206" s="27">
        <f t="shared" si="30"/>
        <v>0</v>
      </c>
      <c r="AK206" s="64"/>
      <c r="AL206" s="56"/>
    </row>
    <row r="207" spans="1:38">
      <c r="A207" s="63"/>
      <c r="B207" s="49"/>
      <c r="C207" s="64"/>
      <c r="D207" s="27">
        <v>2600</v>
      </c>
      <c r="E207" s="27"/>
      <c r="F207" s="27">
        <v>2600</v>
      </c>
      <c r="G207" s="31"/>
      <c r="H207" s="27">
        <v>2600</v>
      </c>
      <c r="I207" s="218"/>
      <c r="J207" s="27">
        <v>130</v>
      </c>
      <c r="K207" s="31"/>
      <c r="L207" s="154">
        <v>2600</v>
      </c>
      <c r="M207" s="27"/>
      <c r="N207" s="27">
        <v>70</v>
      </c>
      <c r="O207" s="31"/>
      <c r="P207" s="154">
        <v>2600</v>
      </c>
      <c r="Q207" s="231"/>
      <c r="R207" s="27">
        <v>91</v>
      </c>
      <c r="S207" s="31"/>
      <c r="T207" s="154">
        <v>2600</v>
      </c>
      <c r="U207" s="31"/>
      <c r="V207" s="154">
        <v>245</v>
      </c>
      <c r="W207" s="27"/>
      <c r="X207" s="27">
        <v>60</v>
      </c>
      <c r="Y207" s="27"/>
      <c r="Z207" s="27">
        <v>46</v>
      </c>
      <c r="AA207" s="27">
        <f t="shared" si="31"/>
        <v>7930</v>
      </c>
      <c r="AB207" s="31" t="e">
        <f>(#REF!+#REF!)*#REF!</f>
        <v>#REF!</v>
      </c>
      <c r="AC207" s="29"/>
      <c r="AD207" s="64"/>
      <c r="AE207" s="509"/>
      <c r="AF207" s="530">
        <v>245</v>
      </c>
      <c r="AG207" s="530"/>
      <c r="AH207" s="27">
        <f t="shared" si="28"/>
        <v>0</v>
      </c>
      <c r="AI207" s="27">
        <f t="shared" si="29"/>
        <v>0</v>
      </c>
      <c r="AJ207" s="27">
        <f t="shared" si="30"/>
        <v>0</v>
      </c>
      <c r="AK207" s="64"/>
      <c r="AL207" s="56"/>
    </row>
    <row r="208" spans="1:38">
      <c r="A208" s="63"/>
      <c r="B208" s="49"/>
      <c r="C208" s="64"/>
      <c r="D208" s="27">
        <v>2600</v>
      </c>
      <c r="E208" s="27"/>
      <c r="F208" s="27">
        <v>2600</v>
      </c>
      <c r="G208" s="31"/>
      <c r="H208" s="27">
        <v>2600</v>
      </c>
      <c r="I208" s="218"/>
      <c r="J208" s="27">
        <v>130</v>
      </c>
      <c r="K208" s="31"/>
      <c r="L208" s="154">
        <v>2600</v>
      </c>
      <c r="M208" s="27"/>
      <c r="N208" s="27">
        <v>70</v>
      </c>
      <c r="O208" s="31"/>
      <c r="P208" s="154">
        <v>2600</v>
      </c>
      <c r="Q208" s="231"/>
      <c r="R208" s="27">
        <v>91</v>
      </c>
      <c r="S208" s="31"/>
      <c r="T208" s="154">
        <v>2600</v>
      </c>
      <c r="U208" s="31"/>
      <c r="V208" s="154">
        <v>245</v>
      </c>
      <c r="W208" s="27"/>
      <c r="X208" s="27">
        <v>60</v>
      </c>
      <c r="Y208" s="27"/>
      <c r="Z208" s="27">
        <v>46</v>
      </c>
      <c r="AA208" s="27">
        <f t="shared" si="31"/>
        <v>7930</v>
      </c>
      <c r="AB208" s="31" t="e">
        <f>(#REF!+#REF!)*#REF!</f>
        <v>#REF!</v>
      </c>
      <c r="AC208" s="29"/>
      <c r="AD208" s="64"/>
      <c r="AE208" s="509"/>
      <c r="AF208" s="530">
        <v>245</v>
      </c>
      <c r="AG208" s="530"/>
      <c r="AH208" s="27">
        <f t="shared" si="28"/>
        <v>0</v>
      </c>
      <c r="AI208" s="27">
        <f t="shared" si="29"/>
        <v>0</v>
      </c>
      <c r="AJ208" s="27">
        <f t="shared" si="30"/>
        <v>0</v>
      </c>
      <c r="AK208" s="64"/>
      <c r="AL208" s="56"/>
    </row>
    <row r="209" spans="1:38">
      <c r="A209" s="63"/>
      <c r="B209" s="49"/>
      <c r="C209" s="64"/>
      <c r="D209" s="27">
        <v>2600</v>
      </c>
      <c r="E209" s="27"/>
      <c r="F209" s="27">
        <v>2600</v>
      </c>
      <c r="G209" s="31"/>
      <c r="H209" s="27">
        <v>2600</v>
      </c>
      <c r="I209" s="218"/>
      <c r="J209" s="27">
        <v>130</v>
      </c>
      <c r="K209" s="31"/>
      <c r="L209" s="154">
        <v>2600</v>
      </c>
      <c r="M209" s="27"/>
      <c r="N209" s="27">
        <v>70</v>
      </c>
      <c r="O209" s="31"/>
      <c r="P209" s="154">
        <v>2600</v>
      </c>
      <c r="Q209" s="231"/>
      <c r="R209" s="27">
        <v>91</v>
      </c>
      <c r="S209" s="31"/>
      <c r="T209" s="154">
        <v>2600</v>
      </c>
      <c r="U209" s="31"/>
      <c r="V209" s="154">
        <v>245</v>
      </c>
      <c r="W209" s="27"/>
      <c r="X209" s="27">
        <v>60</v>
      </c>
      <c r="Y209" s="27"/>
      <c r="Z209" s="27">
        <v>46</v>
      </c>
      <c r="AA209" s="27">
        <f t="shared" si="31"/>
        <v>7930</v>
      </c>
      <c r="AB209" s="31" t="e">
        <f>(#REF!+#REF!)*#REF!</f>
        <v>#REF!</v>
      </c>
      <c r="AC209" s="29"/>
      <c r="AD209" s="64"/>
      <c r="AE209" s="509"/>
      <c r="AF209" s="530">
        <v>245</v>
      </c>
      <c r="AG209" s="530"/>
      <c r="AH209" s="27">
        <f t="shared" si="28"/>
        <v>0</v>
      </c>
      <c r="AI209" s="27">
        <f t="shared" si="29"/>
        <v>0</v>
      </c>
      <c r="AJ209" s="27">
        <f t="shared" si="30"/>
        <v>0</v>
      </c>
      <c r="AK209" s="64"/>
      <c r="AL209" s="56"/>
    </row>
    <row r="210" spans="1:38">
      <c r="A210" s="63"/>
      <c r="B210" s="49"/>
      <c r="C210" s="64"/>
      <c r="D210" s="27">
        <v>2600</v>
      </c>
      <c r="E210" s="27"/>
      <c r="F210" s="27">
        <v>2600</v>
      </c>
      <c r="G210" s="31"/>
      <c r="H210" s="27">
        <v>2600</v>
      </c>
      <c r="I210" s="218"/>
      <c r="J210" s="27">
        <v>130</v>
      </c>
      <c r="K210" s="31"/>
      <c r="L210" s="154">
        <v>2600</v>
      </c>
      <c r="M210" s="27"/>
      <c r="N210" s="27">
        <v>70</v>
      </c>
      <c r="O210" s="31"/>
      <c r="P210" s="154">
        <v>2600</v>
      </c>
      <c r="Q210" s="231"/>
      <c r="R210" s="27">
        <v>91</v>
      </c>
      <c r="S210" s="31"/>
      <c r="T210" s="154">
        <v>2600</v>
      </c>
      <c r="U210" s="31"/>
      <c r="V210" s="154">
        <v>245</v>
      </c>
      <c r="W210" s="27"/>
      <c r="X210" s="27">
        <v>60</v>
      </c>
      <c r="Y210" s="27"/>
      <c r="Z210" s="27">
        <v>46</v>
      </c>
      <c r="AA210" s="27">
        <f t="shared" si="31"/>
        <v>7930</v>
      </c>
      <c r="AB210" s="31" t="e">
        <f>(#REF!+#REF!)*#REF!</f>
        <v>#REF!</v>
      </c>
      <c r="AC210" s="29"/>
      <c r="AD210" s="64"/>
      <c r="AE210" s="509"/>
      <c r="AF210" s="530">
        <v>245</v>
      </c>
      <c r="AG210" s="530"/>
      <c r="AH210" s="27">
        <f t="shared" si="28"/>
        <v>0</v>
      </c>
      <c r="AI210" s="27">
        <f t="shared" si="29"/>
        <v>0</v>
      </c>
      <c r="AJ210" s="27">
        <f t="shared" si="30"/>
        <v>0</v>
      </c>
      <c r="AK210" s="64"/>
      <c r="AL210" s="56"/>
    </row>
    <row r="211" spans="1:38">
      <c r="A211" s="63"/>
      <c r="B211" s="49"/>
      <c r="C211" s="64"/>
      <c r="D211" s="27">
        <v>2600</v>
      </c>
      <c r="E211" s="27"/>
      <c r="F211" s="27">
        <v>2600</v>
      </c>
      <c r="G211" s="31"/>
      <c r="H211" s="27">
        <v>2600</v>
      </c>
      <c r="I211" s="218"/>
      <c r="J211" s="27">
        <v>130</v>
      </c>
      <c r="K211" s="31"/>
      <c r="L211" s="154">
        <v>2600</v>
      </c>
      <c r="M211" s="27"/>
      <c r="N211" s="27">
        <v>70</v>
      </c>
      <c r="O211" s="31"/>
      <c r="P211" s="154">
        <v>2600</v>
      </c>
      <c r="Q211" s="231"/>
      <c r="R211" s="27">
        <v>91</v>
      </c>
      <c r="S211" s="31"/>
      <c r="T211" s="154">
        <v>2600</v>
      </c>
      <c r="U211" s="31"/>
      <c r="V211" s="154">
        <v>245</v>
      </c>
      <c r="W211" s="27"/>
      <c r="X211" s="27">
        <v>60</v>
      </c>
      <c r="Y211" s="27"/>
      <c r="Z211" s="27">
        <v>46</v>
      </c>
      <c r="AA211" s="27">
        <f t="shared" si="31"/>
        <v>7930</v>
      </c>
      <c r="AB211" s="31" t="e">
        <f>(#REF!+#REF!)*#REF!</f>
        <v>#REF!</v>
      </c>
      <c r="AC211" s="29"/>
      <c r="AD211" s="64"/>
      <c r="AE211" s="509"/>
      <c r="AF211" s="530">
        <v>245</v>
      </c>
      <c r="AG211" s="530"/>
      <c r="AH211" s="27">
        <f t="shared" si="28"/>
        <v>0</v>
      </c>
      <c r="AI211" s="27">
        <f t="shared" si="29"/>
        <v>0</v>
      </c>
      <c r="AJ211" s="27">
        <f t="shared" si="30"/>
        <v>0</v>
      </c>
      <c r="AK211" s="64"/>
      <c r="AL211" s="56"/>
    </row>
    <row r="212" spans="1:38">
      <c r="A212" s="63"/>
      <c r="B212" s="49"/>
      <c r="C212" s="64"/>
      <c r="D212" s="27">
        <v>2600</v>
      </c>
      <c r="E212" s="27"/>
      <c r="F212" s="27">
        <v>2600</v>
      </c>
      <c r="G212" s="31"/>
      <c r="H212" s="27">
        <v>2600</v>
      </c>
      <c r="I212" s="218"/>
      <c r="J212" s="27">
        <v>130</v>
      </c>
      <c r="K212" s="31"/>
      <c r="L212" s="154">
        <v>2600</v>
      </c>
      <c r="M212" s="27"/>
      <c r="N212" s="27">
        <v>70</v>
      </c>
      <c r="O212" s="31"/>
      <c r="P212" s="154">
        <v>2600</v>
      </c>
      <c r="Q212" s="231"/>
      <c r="R212" s="27">
        <v>91</v>
      </c>
      <c r="S212" s="31"/>
      <c r="T212" s="154">
        <v>2600</v>
      </c>
      <c r="U212" s="31"/>
      <c r="V212" s="154">
        <v>245</v>
      </c>
      <c r="W212" s="27"/>
      <c r="X212" s="27">
        <v>60</v>
      </c>
      <c r="Y212" s="27"/>
      <c r="Z212" s="27">
        <v>46</v>
      </c>
      <c r="AA212" s="27">
        <f t="shared" si="31"/>
        <v>7930</v>
      </c>
      <c r="AB212" s="31" t="e">
        <f>(#REF!+#REF!)*#REF!</f>
        <v>#REF!</v>
      </c>
      <c r="AC212" s="29"/>
      <c r="AD212" s="64"/>
      <c r="AE212" s="509"/>
      <c r="AF212" s="530">
        <v>245</v>
      </c>
      <c r="AG212" s="530"/>
      <c r="AH212" s="27">
        <f t="shared" si="28"/>
        <v>0</v>
      </c>
      <c r="AI212" s="27">
        <f t="shared" si="29"/>
        <v>0</v>
      </c>
      <c r="AJ212" s="27">
        <f t="shared" si="30"/>
        <v>0</v>
      </c>
      <c r="AK212" s="64"/>
      <c r="AL212" s="56"/>
    </row>
    <row r="213" spans="1:38">
      <c r="A213" s="63"/>
      <c r="B213" s="49"/>
      <c r="C213" s="64"/>
      <c r="D213" s="27">
        <v>2600</v>
      </c>
      <c r="E213" s="27"/>
      <c r="F213" s="27">
        <v>2600</v>
      </c>
      <c r="G213" s="31"/>
      <c r="H213" s="27">
        <v>2600</v>
      </c>
      <c r="I213" s="218"/>
      <c r="J213" s="27">
        <v>130</v>
      </c>
      <c r="K213" s="31"/>
      <c r="L213" s="154">
        <v>2600</v>
      </c>
      <c r="M213" s="27"/>
      <c r="N213" s="27">
        <v>70</v>
      </c>
      <c r="O213" s="31"/>
      <c r="P213" s="154">
        <v>2600</v>
      </c>
      <c r="Q213" s="231"/>
      <c r="R213" s="27">
        <v>91</v>
      </c>
      <c r="S213" s="31"/>
      <c r="T213" s="154">
        <v>2600</v>
      </c>
      <c r="U213" s="31"/>
      <c r="V213" s="154">
        <v>245</v>
      </c>
      <c r="W213" s="27"/>
      <c r="X213" s="27">
        <v>60</v>
      </c>
      <c r="Y213" s="27"/>
      <c r="Z213" s="27">
        <v>46</v>
      </c>
      <c r="AA213" s="27">
        <f t="shared" si="31"/>
        <v>7930</v>
      </c>
      <c r="AB213" s="31" t="e">
        <f>(#REF!+#REF!)*#REF!</f>
        <v>#REF!</v>
      </c>
      <c r="AC213" s="29"/>
      <c r="AD213" s="64"/>
      <c r="AE213" s="509"/>
      <c r="AF213" s="530">
        <v>245</v>
      </c>
      <c r="AG213" s="530"/>
      <c r="AH213" s="27">
        <f t="shared" si="28"/>
        <v>0</v>
      </c>
      <c r="AI213" s="27">
        <f t="shared" si="29"/>
        <v>0</v>
      </c>
      <c r="AJ213" s="27">
        <f t="shared" si="30"/>
        <v>0</v>
      </c>
      <c r="AK213" s="64"/>
      <c r="AL213" s="56"/>
    </row>
    <row r="214" spans="1:38">
      <c r="A214" s="63"/>
      <c r="B214" s="49"/>
      <c r="C214" s="64"/>
      <c r="D214" s="27">
        <v>2600</v>
      </c>
      <c r="E214" s="27"/>
      <c r="F214" s="27">
        <v>2600</v>
      </c>
      <c r="G214" s="31"/>
      <c r="H214" s="27">
        <v>2600</v>
      </c>
      <c r="I214" s="218"/>
      <c r="J214" s="27">
        <v>130</v>
      </c>
      <c r="K214" s="31"/>
      <c r="L214" s="154">
        <v>2600</v>
      </c>
      <c r="M214" s="27"/>
      <c r="N214" s="27">
        <v>70</v>
      </c>
      <c r="O214" s="31"/>
      <c r="P214" s="154">
        <v>2600</v>
      </c>
      <c r="Q214" s="231"/>
      <c r="R214" s="27">
        <v>91</v>
      </c>
      <c r="S214" s="31"/>
      <c r="T214" s="154">
        <v>2600</v>
      </c>
      <c r="U214" s="31"/>
      <c r="V214" s="154">
        <v>245</v>
      </c>
      <c r="W214" s="27"/>
      <c r="X214" s="27">
        <v>60</v>
      </c>
      <c r="Y214" s="27"/>
      <c r="Z214" s="27">
        <v>46</v>
      </c>
      <c r="AA214" s="27">
        <f t="shared" si="31"/>
        <v>7930</v>
      </c>
      <c r="AB214" s="31" t="e">
        <f>(#REF!+#REF!)*#REF!</f>
        <v>#REF!</v>
      </c>
      <c r="AC214" s="29"/>
      <c r="AD214" s="64"/>
      <c r="AE214" s="509"/>
      <c r="AF214" s="530">
        <v>245</v>
      </c>
      <c r="AG214" s="530"/>
      <c r="AH214" s="27">
        <f t="shared" si="28"/>
        <v>0</v>
      </c>
      <c r="AI214" s="27">
        <f t="shared" si="29"/>
        <v>0</v>
      </c>
      <c r="AJ214" s="27">
        <f t="shared" si="30"/>
        <v>0</v>
      </c>
      <c r="AK214" s="64"/>
      <c r="AL214" s="56"/>
    </row>
    <row r="215" spans="1:38">
      <c r="A215" s="63"/>
      <c r="B215" s="49"/>
      <c r="C215" s="64"/>
      <c r="D215" s="27">
        <v>2600</v>
      </c>
      <c r="E215" s="27"/>
      <c r="F215" s="27">
        <v>2600</v>
      </c>
      <c r="G215" s="31"/>
      <c r="H215" s="27">
        <v>2600</v>
      </c>
      <c r="I215" s="218"/>
      <c r="J215" s="27">
        <v>130</v>
      </c>
      <c r="K215" s="31"/>
      <c r="L215" s="154">
        <v>2600</v>
      </c>
      <c r="M215" s="27"/>
      <c r="N215" s="27">
        <v>70</v>
      </c>
      <c r="O215" s="31"/>
      <c r="P215" s="154">
        <v>2600</v>
      </c>
      <c r="Q215" s="231"/>
      <c r="R215" s="27">
        <v>91</v>
      </c>
      <c r="S215" s="31"/>
      <c r="T215" s="154">
        <v>2600</v>
      </c>
      <c r="U215" s="31"/>
      <c r="V215" s="154">
        <v>245</v>
      </c>
      <c r="W215" s="27"/>
      <c r="X215" s="27">
        <v>60</v>
      </c>
      <c r="Y215" s="27"/>
      <c r="Z215" s="27">
        <v>46</v>
      </c>
      <c r="AA215" s="27">
        <f t="shared" si="31"/>
        <v>7930</v>
      </c>
      <c r="AB215" s="31" t="e">
        <f>(#REF!+#REF!)*#REF!</f>
        <v>#REF!</v>
      </c>
      <c r="AC215" s="29"/>
      <c r="AD215" s="64"/>
      <c r="AE215" s="509"/>
      <c r="AF215" s="530">
        <v>245</v>
      </c>
      <c r="AG215" s="530"/>
      <c r="AH215" s="27">
        <f t="shared" si="28"/>
        <v>0</v>
      </c>
      <c r="AI215" s="27">
        <f t="shared" si="29"/>
        <v>0</v>
      </c>
      <c r="AJ215" s="27">
        <f t="shared" si="30"/>
        <v>0</v>
      </c>
      <c r="AK215" s="64"/>
      <c r="AL215" s="56"/>
    </row>
    <row r="216" spans="1:38">
      <c r="A216" s="63"/>
      <c r="B216" s="49"/>
      <c r="C216" s="64"/>
      <c r="D216" s="27">
        <v>2600</v>
      </c>
      <c r="E216" s="27"/>
      <c r="F216" s="27">
        <v>2600</v>
      </c>
      <c r="G216" s="31"/>
      <c r="H216" s="27">
        <v>2600</v>
      </c>
      <c r="I216" s="218"/>
      <c r="J216" s="27">
        <v>130</v>
      </c>
      <c r="K216" s="31"/>
      <c r="L216" s="154">
        <v>2600</v>
      </c>
      <c r="M216" s="27"/>
      <c r="N216" s="27">
        <v>70</v>
      </c>
      <c r="O216" s="31"/>
      <c r="P216" s="154">
        <v>2600</v>
      </c>
      <c r="Q216" s="231"/>
      <c r="R216" s="27">
        <v>91</v>
      </c>
      <c r="S216" s="31"/>
      <c r="T216" s="154">
        <v>2600</v>
      </c>
      <c r="U216" s="31"/>
      <c r="V216" s="154">
        <v>245</v>
      </c>
      <c r="W216" s="27"/>
      <c r="X216" s="27">
        <v>60</v>
      </c>
      <c r="Y216" s="27"/>
      <c r="Z216" s="27">
        <v>46</v>
      </c>
      <c r="AA216" s="27">
        <f t="shared" si="31"/>
        <v>7930</v>
      </c>
      <c r="AB216" s="31" t="e">
        <f>(#REF!+#REF!)*#REF!</f>
        <v>#REF!</v>
      </c>
      <c r="AC216" s="29"/>
      <c r="AD216" s="64"/>
      <c r="AE216" s="509"/>
      <c r="AF216" s="530">
        <v>245</v>
      </c>
      <c r="AG216" s="530"/>
      <c r="AH216" s="27">
        <f t="shared" si="28"/>
        <v>0</v>
      </c>
      <c r="AI216" s="27">
        <f t="shared" si="29"/>
        <v>0</v>
      </c>
      <c r="AJ216" s="27">
        <f t="shared" si="30"/>
        <v>0</v>
      </c>
      <c r="AK216" s="64"/>
      <c r="AL216" s="56"/>
    </row>
    <row r="217" spans="1:38">
      <c r="A217" s="63"/>
      <c r="B217" s="49"/>
      <c r="C217" s="64"/>
      <c r="D217" s="27">
        <v>2600</v>
      </c>
      <c r="E217" s="27"/>
      <c r="F217" s="27">
        <v>2600</v>
      </c>
      <c r="G217" s="31"/>
      <c r="H217" s="27">
        <v>2600</v>
      </c>
      <c r="I217" s="218"/>
      <c r="J217" s="27">
        <v>130</v>
      </c>
      <c r="K217" s="31"/>
      <c r="L217" s="154">
        <v>2600</v>
      </c>
      <c r="M217" s="27"/>
      <c r="N217" s="27">
        <v>70</v>
      </c>
      <c r="O217" s="31"/>
      <c r="P217" s="154">
        <v>2600</v>
      </c>
      <c r="Q217" s="231"/>
      <c r="R217" s="27">
        <v>91</v>
      </c>
      <c r="S217" s="31"/>
      <c r="T217" s="154">
        <v>2600</v>
      </c>
      <c r="U217" s="31"/>
      <c r="V217" s="154">
        <v>245</v>
      </c>
      <c r="W217" s="27"/>
      <c r="X217" s="27">
        <v>60</v>
      </c>
      <c r="Y217" s="27"/>
      <c r="Z217" s="27">
        <v>46</v>
      </c>
      <c r="AA217" s="27">
        <f t="shared" si="31"/>
        <v>7930</v>
      </c>
      <c r="AB217" s="31" t="e">
        <f>(#REF!+#REF!)*#REF!</f>
        <v>#REF!</v>
      </c>
      <c r="AC217" s="29"/>
      <c r="AD217" s="64"/>
      <c r="AE217" s="509"/>
      <c r="AF217" s="530">
        <v>245</v>
      </c>
      <c r="AG217" s="530"/>
      <c r="AH217" s="27">
        <f t="shared" si="28"/>
        <v>0</v>
      </c>
      <c r="AI217" s="27">
        <f t="shared" si="29"/>
        <v>0</v>
      </c>
      <c r="AJ217" s="27">
        <f t="shared" si="30"/>
        <v>0</v>
      </c>
      <c r="AK217" s="64"/>
      <c r="AL217" s="56"/>
    </row>
    <row r="218" spans="1:38">
      <c r="A218" s="63"/>
      <c r="B218" s="49"/>
      <c r="C218" s="64"/>
      <c r="D218" s="27">
        <v>2600</v>
      </c>
      <c r="E218" s="27"/>
      <c r="F218" s="27">
        <v>2600</v>
      </c>
      <c r="G218" s="31"/>
      <c r="H218" s="27">
        <v>2600</v>
      </c>
      <c r="I218" s="218"/>
      <c r="J218" s="27">
        <v>130</v>
      </c>
      <c r="K218" s="31"/>
      <c r="L218" s="154">
        <v>2600</v>
      </c>
      <c r="M218" s="27"/>
      <c r="N218" s="27">
        <v>70</v>
      </c>
      <c r="O218" s="31"/>
      <c r="P218" s="154">
        <v>2600</v>
      </c>
      <c r="Q218" s="231"/>
      <c r="R218" s="27">
        <v>91</v>
      </c>
      <c r="S218" s="31"/>
      <c r="T218" s="154">
        <v>2600</v>
      </c>
      <c r="U218" s="31"/>
      <c r="V218" s="154">
        <v>245</v>
      </c>
      <c r="W218" s="27"/>
      <c r="X218" s="27">
        <v>60</v>
      </c>
      <c r="Y218" s="27"/>
      <c r="Z218" s="27">
        <v>46</v>
      </c>
      <c r="AA218" s="27">
        <f t="shared" si="31"/>
        <v>7930</v>
      </c>
      <c r="AB218" s="31" t="e">
        <f>(#REF!+#REF!)*#REF!</f>
        <v>#REF!</v>
      </c>
      <c r="AC218" s="29"/>
      <c r="AD218" s="64"/>
      <c r="AE218" s="509"/>
      <c r="AF218" s="530">
        <v>245</v>
      </c>
      <c r="AG218" s="530"/>
      <c r="AH218" s="27">
        <f t="shared" si="28"/>
        <v>0</v>
      </c>
      <c r="AI218" s="27">
        <f t="shared" si="29"/>
        <v>0</v>
      </c>
      <c r="AJ218" s="27">
        <f t="shared" si="30"/>
        <v>0</v>
      </c>
      <c r="AK218" s="64"/>
      <c r="AL218" s="56"/>
    </row>
    <row r="219" spans="1:38">
      <c r="A219" s="63"/>
      <c r="B219" s="49"/>
      <c r="C219" s="64"/>
      <c r="D219" s="27">
        <v>2600</v>
      </c>
      <c r="E219" s="27"/>
      <c r="F219" s="27">
        <v>2600</v>
      </c>
      <c r="G219" s="31"/>
      <c r="H219" s="27">
        <v>2600</v>
      </c>
      <c r="I219" s="218"/>
      <c r="J219" s="27">
        <v>130</v>
      </c>
      <c r="K219" s="31"/>
      <c r="L219" s="154">
        <v>2600</v>
      </c>
      <c r="M219" s="27"/>
      <c r="N219" s="27">
        <v>70</v>
      </c>
      <c r="O219" s="31"/>
      <c r="P219" s="154">
        <v>2600</v>
      </c>
      <c r="Q219" s="231"/>
      <c r="R219" s="27">
        <v>91</v>
      </c>
      <c r="S219" s="31"/>
      <c r="T219" s="154">
        <v>2600</v>
      </c>
      <c r="U219" s="31"/>
      <c r="V219" s="154">
        <v>245</v>
      </c>
      <c r="W219" s="27"/>
      <c r="X219" s="27">
        <v>60</v>
      </c>
      <c r="Y219" s="27"/>
      <c r="Z219" s="27">
        <v>46</v>
      </c>
      <c r="AA219" s="27">
        <f t="shared" si="31"/>
        <v>7930</v>
      </c>
      <c r="AB219" s="31" t="e">
        <f>(#REF!+#REF!)*#REF!</f>
        <v>#REF!</v>
      </c>
      <c r="AC219" s="29"/>
      <c r="AD219" s="64"/>
      <c r="AE219" s="509"/>
      <c r="AF219" s="530">
        <v>245</v>
      </c>
      <c r="AG219" s="530"/>
      <c r="AH219" s="27">
        <f t="shared" si="28"/>
        <v>0</v>
      </c>
      <c r="AI219" s="27">
        <f t="shared" si="29"/>
        <v>0</v>
      </c>
      <c r="AJ219" s="27">
        <f t="shared" si="30"/>
        <v>0</v>
      </c>
      <c r="AK219" s="64"/>
      <c r="AL219" s="56"/>
    </row>
    <row r="220" spans="1:38">
      <c r="A220" s="63"/>
      <c r="B220" s="49"/>
      <c r="C220" s="64"/>
      <c r="D220" s="27">
        <v>2600</v>
      </c>
      <c r="E220" s="27"/>
      <c r="F220" s="27">
        <v>2600</v>
      </c>
      <c r="G220" s="31"/>
      <c r="H220" s="27">
        <v>2600</v>
      </c>
      <c r="I220" s="218"/>
      <c r="J220" s="27">
        <v>130</v>
      </c>
      <c r="K220" s="31"/>
      <c r="L220" s="154">
        <v>2600</v>
      </c>
      <c r="M220" s="27"/>
      <c r="N220" s="27">
        <v>70</v>
      </c>
      <c r="O220" s="31"/>
      <c r="P220" s="154">
        <v>2600</v>
      </c>
      <c r="Q220" s="231"/>
      <c r="R220" s="27">
        <v>91</v>
      </c>
      <c r="S220" s="31"/>
      <c r="T220" s="154">
        <v>2600</v>
      </c>
      <c r="U220" s="31"/>
      <c r="V220" s="154">
        <v>245</v>
      </c>
      <c r="W220" s="27"/>
      <c r="X220" s="27">
        <v>60</v>
      </c>
      <c r="Y220" s="27"/>
      <c r="Z220" s="27">
        <v>46</v>
      </c>
      <c r="AA220" s="27">
        <f t="shared" si="31"/>
        <v>7930</v>
      </c>
      <c r="AB220" s="31" t="e">
        <f>(#REF!+#REF!)*#REF!</f>
        <v>#REF!</v>
      </c>
      <c r="AC220" s="29"/>
      <c r="AD220" s="64"/>
      <c r="AE220" s="509"/>
      <c r="AF220" s="530">
        <v>245</v>
      </c>
      <c r="AG220" s="530"/>
      <c r="AH220" s="27">
        <f t="shared" si="28"/>
        <v>0</v>
      </c>
      <c r="AI220" s="27">
        <f t="shared" si="29"/>
        <v>0</v>
      </c>
      <c r="AJ220" s="27">
        <f t="shared" si="30"/>
        <v>0</v>
      </c>
      <c r="AK220" s="64"/>
      <c r="AL220" s="56"/>
    </row>
    <row r="221" spans="1:38">
      <c r="A221" s="63"/>
      <c r="B221" s="49"/>
      <c r="C221" s="64"/>
      <c r="D221" s="27">
        <v>2600</v>
      </c>
      <c r="E221" s="27"/>
      <c r="F221" s="27">
        <v>2600</v>
      </c>
      <c r="G221" s="31"/>
      <c r="H221" s="27">
        <v>2600</v>
      </c>
      <c r="I221" s="218"/>
      <c r="J221" s="27">
        <v>130</v>
      </c>
      <c r="K221" s="31"/>
      <c r="L221" s="154">
        <v>2600</v>
      </c>
      <c r="M221" s="27"/>
      <c r="N221" s="27">
        <v>70</v>
      </c>
      <c r="O221" s="31"/>
      <c r="P221" s="154">
        <v>2600</v>
      </c>
      <c r="Q221" s="231"/>
      <c r="R221" s="27">
        <v>91</v>
      </c>
      <c r="S221" s="31"/>
      <c r="T221" s="154">
        <v>2600</v>
      </c>
      <c r="U221" s="31"/>
      <c r="V221" s="154">
        <v>245</v>
      </c>
      <c r="W221" s="27"/>
      <c r="X221" s="27">
        <v>60</v>
      </c>
      <c r="Y221" s="27"/>
      <c r="Z221" s="27">
        <v>46</v>
      </c>
      <c r="AA221" s="27">
        <f t="shared" si="31"/>
        <v>7930</v>
      </c>
      <c r="AB221" s="31" t="e">
        <f>(#REF!+#REF!)*#REF!</f>
        <v>#REF!</v>
      </c>
      <c r="AC221" s="29"/>
      <c r="AD221" s="64"/>
      <c r="AE221" s="509"/>
      <c r="AF221" s="530">
        <v>245</v>
      </c>
      <c r="AG221" s="530"/>
      <c r="AH221" s="27">
        <f t="shared" si="28"/>
        <v>0</v>
      </c>
      <c r="AI221" s="27">
        <f t="shared" si="29"/>
        <v>0</v>
      </c>
      <c r="AJ221" s="27">
        <f t="shared" si="30"/>
        <v>0</v>
      </c>
      <c r="AK221" s="64"/>
      <c r="AL221" s="56"/>
    </row>
    <row r="222" spans="1:38">
      <c r="A222" s="63"/>
      <c r="B222" s="49"/>
      <c r="C222" s="64"/>
      <c r="D222" s="27">
        <v>2600</v>
      </c>
      <c r="E222" s="27"/>
      <c r="F222" s="27">
        <v>2600</v>
      </c>
      <c r="G222" s="31"/>
      <c r="H222" s="27">
        <v>2600</v>
      </c>
      <c r="I222" s="218"/>
      <c r="J222" s="27">
        <v>130</v>
      </c>
      <c r="K222" s="31"/>
      <c r="L222" s="154">
        <v>2600</v>
      </c>
      <c r="M222" s="27"/>
      <c r="N222" s="27">
        <v>70</v>
      </c>
      <c r="O222" s="31"/>
      <c r="P222" s="154">
        <v>2600</v>
      </c>
      <c r="Q222" s="231"/>
      <c r="R222" s="27">
        <v>91</v>
      </c>
      <c r="S222" s="31"/>
      <c r="T222" s="154">
        <v>2600</v>
      </c>
      <c r="U222" s="31"/>
      <c r="V222" s="154">
        <v>245</v>
      </c>
      <c r="W222" s="27"/>
      <c r="X222" s="27">
        <v>60</v>
      </c>
      <c r="Y222" s="27"/>
      <c r="Z222" s="27">
        <v>46</v>
      </c>
      <c r="AA222" s="27">
        <f t="shared" si="31"/>
        <v>7930</v>
      </c>
      <c r="AB222" s="31" t="e">
        <f>(#REF!+#REF!)*#REF!</f>
        <v>#REF!</v>
      </c>
      <c r="AC222" s="29"/>
      <c r="AD222" s="64"/>
      <c r="AE222" s="509"/>
      <c r="AF222" s="530">
        <v>245</v>
      </c>
      <c r="AG222" s="530"/>
      <c r="AH222" s="27">
        <f t="shared" si="28"/>
        <v>0</v>
      </c>
      <c r="AI222" s="27">
        <f t="shared" si="29"/>
        <v>0</v>
      </c>
      <c r="AJ222" s="27">
        <f t="shared" si="30"/>
        <v>0</v>
      </c>
      <c r="AK222" s="64"/>
      <c r="AL222" s="56"/>
    </row>
    <row r="223" spans="1:38">
      <c r="A223" s="63"/>
      <c r="B223" s="49"/>
      <c r="C223" s="64"/>
      <c r="D223" s="27">
        <v>2600</v>
      </c>
      <c r="E223" s="27"/>
      <c r="F223" s="27">
        <v>2600</v>
      </c>
      <c r="G223" s="31"/>
      <c r="H223" s="27">
        <v>2600</v>
      </c>
      <c r="I223" s="218"/>
      <c r="J223" s="27">
        <v>130</v>
      </c>
      <c r="K223" s="31"/>
      <c r="L223" s="154">
        <v>2600</v>
      </c>
      <c r="M223" s="27"/>
      <c r="N223" s="27">
        <v>70</v>
      </c>
      <c r="O223" s="31"/>
      <c r="P223" s="154">
        <v>2600</v>
      </c>
      <c r="Q223" s="231"/>
      <c r="R223" s="27">
        <v>91</v>
      </c>
      <c r="S223" s="31"/>
      <c r="T223" s="154">
        <v>2600</v>
      </c>
      <c r="U223" s="31"/>
      <c r="V223" s="154">
        <v>245</v>
      </c>
      <c r="W223" s="27"/>
      <c r="X223" s="27">
        <v>60</v>
      </c>
      <c r="Y223" s="27"/>
      <c r="Z223" s="27">
        <v>46</v>
      </c>
      <c r="AA223" s="27">
        <f t="shared" si="31"/>
        <v>7930</v>
      </c>
      <c r="AB223" s="31" t="e">
        <f>(#REF!+#REF!)*#REF!</f>
        <v>#REF!</v>
      </c>
      <c r="AC223" s="29"/>
      <c r="AD223" s="64"/>
      <c r="AE223" s="509"/>
      <c r="AF223" s="530">
        <v>245</v>
      </c>
      <c r="AG223" s="530"/>
      <c r="AH223" s="27">
        <f t="shared" si="28"/>
        <v>0</v>
      </c>
      <c r="AI223" s="27">
        <f t="shared" si="29"/>
        <v>0</v>
      </c>
      <c r="AJ223" s="27">
        <f t="shared" si="30"/>
        <v>0</v>
      </c>
      <c r="AK223" s="64"/>
      <c r="AL223" s="56"/>
    </row>
    <row r="224" spans="1:38">
      <c r="A224" s="63"/>
      <c r="B224" s="49"/>
      <c r="C224" s="64"/>
      <c r="D224" s="27">
        <v>2600</v>
      </c>
      <c r="E224" s="27"/>
      <c r="F224" s="27">
        <v>2600</v>
      </c>
      <c r="G224" s="31"/>
      <c r="H224" s="27">
        <v>2600</v>
      </c>
      <c r="I224" s="218"/>
      <c r="J224" s="27">
        <v>130</v>
      </c>
      <c r="K224" s="31"/>
      <c r="L224" s="154">
        <v>2600</v>
      </c>
      <c r="M224" s="27"/>
      <c r="N224" s="27">
        <v>70</v>
      </c>
      <c r="O224" s="31"/>
      <c r="P224" s="154">
        <v>2600</v>
      </c>
      <c r="Q224" s="231"/>
      <c r="R224" s="27">
        <v>91</v>
      </c>
      <c r="S224" s="31"/>
      <c r="T224" s="154">
        <v>2600</v>
      </c>
      <c r="U224" s="31"/>
      <c r="V224" s="154">
        <v>245</v>
      </c>
      <c r="W224" s="27"/>
      <c r="X224" s="27">
        <v>60</v>
      </c>
      <c r="Y224" s="27"/>
      <c r="Z224" s="27">
        <v>46</v>
      </c>
      <c r="AA224" s="27">
        <f t="shared" si="31"/>
        <v>7930</v>
      </c>
      <c r="AB224" s="31" t="e">
        <f>(#REF!+#REF!)*#REF!</f>
        <v>#REF!</v>
      </c>
      <c r="AC224" s="29"/>
      <c r="AD224" s="64"/>
      <c r="AE224" s="509"/>
      <c r="AF224" s="530">
        <v>245</v>
      </c>
      <c r="AG224" s="530"/>
      <c r="AH224" s="27">
        <f t="shared" si="28"/>
        <v>0</v>
      </c>
      <c r="AI224" s="27">
        <f t="shared" si="29"/>
        <v>0</v>
      </c>
      <c r="AJ224" s="27">
        <f t="shared" si="30"/>
        <v>0</v>
      </c>
      <c r="AK224" s="64"/>
      <c r="AL224" s="56"/>
    </row>
    <row r="225" spans="1:38">
      <c r="A225" s="63"/>
      <c r="B225" s="49"/>
      <c r="C225" s="64"/>
      <c r="D225" s="27">
        <v>2600</v>
      </c>
      <c r="E225" s="27"/>
      <c r="F225" s="27">
        <v>2600</v>
      </c>
      <c r="G225" s="31"/>
      <c r="H225" s="27">
        <v>2600</v>
      </c>
      <c r="I225" s="218"/>
      <c r="J225" s="27">
        <v>130</v>
      </c>
      <c r="K225" s="31"/>
      <c r="L225" s="154">
        <v>2600</v>
      </c>
      <c r="M225" s="27"/>
      <c r="N225" s="27">
        <v>70</v>
      </c>
      <c r="O225" s="31"/>
      <c r="P225" s="154">
        <v>2600</v>
      </c>
      <c r="Q225" s="231"/>
      <c r="R225" s="27">
        <v>91</v>
      </c>
      <c r="S225" s="31"/>
      <c r="T225" s="154">
        <v>2600</v>
      </c>
      <c r="U225" s="31"/>
      <c r="V225" s="154">
        <v>245</v>
      </c>
      <c r="W225" s="27"/>
      <c r="X225" s="27">
        <v>60</v>
      </c>
      <c r="Y225" s="27"/>
      <c r="Z225" s="27">
        <v>46</v>
      </c>
      <c r="AA225" s="27">
        <f t="shared" si="31"/>
        <v>7930</v>
      </c>
      <c r="AB225" s="31" t="e">
        <f>(#REF!+#REF!)*#REF!</f>
        <v>#REF!</v>
      </c>
      <c r="AC225" s="29"/>
      <c r="AD225" s="64"/>
      <c r="AE225" s="509"/>
      <c r="AF225" s="530">
        <v>245</v>
      </c>
      <c r="AG225" s="530"/>
      <c r="AH225" s="27">
        <f t="shared" si="28"/>
        <v>0</v>
      </c>
      <c r="AI225" s="27">
        <f t="shared" si="29"/>
        <v>0</v>
      </c>
      <c r="AJ225" s="27">
        <f t="shared" si="30"/>
        <v>0</v>
      </c>
      <c r="AK225" s="64"/>
      <c r="AL225" s="56"/>
    </row>
    <row r="1048429" spans="1:39">
      <c r="A1048429"/>
      <c r="B1048429"/>
      <c r="C1048429"/>
      <c r="D1048429"/>
      <c r="E1048429"/>
      <c r="F1048429"/>
      <c r="G1048429" s="693"/>
      <c r="H1048429"/>
      <c r="I1048429"/>
      <c r="J1048429"/>
      <c r="K1048429" s="693"/>
      <c r="L1048429"/>
      <c r="M1048429"/>
      <c r="N1048429"/>
      <c r="O1048429" s="693"/>
      <c r="P1048429"/>
      <c r="Q1048429"/>
      <c r="R1048429"/>
      <c r="S1048429" s="693"/>
      <c r="T1048429"/>
      <c r="U1048429" s="693"/>
      <c r="V1048429"/>
      <c r="W1048429"/>
      <c r="X1048429"/>
      <c r="Y1048429"/>
      <c r="Z1048429"/>
      <c r="AA1048429"/>
      <c r="AB1048429"/>
      <c r="AC1048429" s="38"/>
      <c r="AD1048429"/>
      <c r="AE1048429"/>
      <c r="AF1048429"/>
      <c r="AG1048429"/>
      <c r="AH1048429"/>
      <c r="AI1048429"/>
      <c r="AJ1048429"/>
      <c r="AK1048429"/>
      <c r="AL1048429"/>
      <c r="AM1048429"/>
    </row>
  </sheetData>
  <autoFilter ref="A4:AM225">
    <sortState ref="A54:AM225">
      <sortCondition ref="A4:A225"/>
    </sortState>
  </autoFilter>
  <phoneticPr fontId="3" type="noConversion"/>
  <pageMargins left="0.7" right="0.7" top="0.75" bottom="0.75" header="0.3" footer="0.3"/>
  <pageSetup orientation="portrait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theme="0"/>
  </sheetPr>
  <dimension ref="A1:AW1048576"/>
  <sheetViews>
    <sheetView topLeftCell="AC1" workbookViewId="0">
      <pane ySplit="5" topLeftCell="A6" activePane="bottomLeft" state="frozen"/>
      <selection activeCell="K94" sqref="K94"/>
      <selection pane="bottomLeft" activeCell="A5" sqref="A5:U5"/>
    </sheetView>
  </sheetViews>
  <sheetFormatPr baseColWidth="10" defaultColWidth="8.83203125" defaultRowHeight="12" x14ac:dyDescent="0.75"/>
  <cols>
    <col min="1" max="1" width="17.33203125" style="71" customWidth="1"/>
    <col min="2" max="2" width="13" style="46" customWidth="1"/>
    <col min="3" max="3" width="11.83203125" style="53" customWidth="1"/>
    <col min="4" max="5" width="8.83203125" style="71"/>
    <col min="6" max="6" width="8.83203125" style="25"/>
    <col min="7" max="7" width="10.83203125" style="25" hidden="1" customWidth="1"/>
    <col min="8" max="8" width="10.33203125" style="25" hidden="1" customWidth="1"/>
    <col min="9" max="9" width="10.1640625" style="25" hidden="1" customWidth="1"/>
    <col min="10" max="10" width="9.1640625" style="25" hidden="1" customWidth="1"/>
    <col min="11" max="11" width="11.5" style="25" customWidth="1"/>
    <col min="12" max="12" width="8.83203125" style="25"/>
    <col min="13" max="13" width="10.1640625" style="25" customWidth="1"/>
    <col min="14" max="14" width="9.1640625" style="25" customWidth="1"/>
    <col min="15" max="15" width="10.1640625" style="25" customWidth="1"/>
    <col min="16" max="16" width="8.83203125" style="25"/>
    <col min="17" max="17" width="13" style="25" customWidth="1"/>
    <col min="18" max="18" width="9.1640625" style="25" customWidth="1"/>
    <col min="19" max="19" width="7.5" style="25" customWidth="1"/>
    <col min="20" max="20" width="9.1640625" style="25" customWidth="1"/>
    <col min="21" max="21" width="8.5" style="25" customWidth="1"/>
    <col min="22" max="22" width="7.6640625" style="25" customWidth="1"/>
    <col min="23" max="23" width="8.33203125" style="25" customWidth="1"/>
    <col min="24" max="28" width="7.6640625" style="25" customWidth="1"/>
    <col min="29" max="29" width="11" style="25" customWidth="1"/>
    <col min="30" max="30" width="7.6640625" style="25" customWidth="1"/>
    <col min="31" max="31" width="9.5" style="25" customWidth="1"/>
    <col min="32" max="32" width="7.6640625" style="25" customWidth="1"/>
    <col min="33" max="35" width="12.33203125" style="28" customWidth="1"/>
    <col min="36" max="41" width="7.83203125" style="28" customWidth="1"/>
    <col min="42" max="42" width="9.5" style="28" customWidth="1"/>
    <col min="43" max="43" width="8.83203125" style="71"/>
    <col min="44" max="44" width="11.33203125" style="71" bestFit="1" customWidth="1"/>
    <col min="45" max="46" width="10.33203125" style="71" bestFit="1" customWidth="1"/>
    <col min="47" max="47" width="8.83203125" style="71"/>
    <col min="48" max="48" width="14.33203125" style="65" bestFit="1" customWidth="1"/>
    <col min="49" max="49" width="19.6640625" style="71" customWidth="1"/>
  </cols>
  <sheetData>
    <row r="1" spans="1:49">
      <c r="A1" s="24"/>
      <c r="C1" s="42"/>
      <c r="D1" s="30"/>
      <c r="E1" s="30"/>
      <c r="AQ1" s="25"/>
      <c r="AR1" s="25"/>
      <c r="AS1" s="25"/>
      <c r="AT1" s="25"/>
      <c r="AU1" s="25"/>
    </row>
    <row r="2" spans="1:49">
      <c r="A2" s="100" t="s">
        <v>1101</v>
      </c>
      <c r="C2" s="42"/>
      <c r="D2" s="30"/>
      <c r="E2" s="30"/>
      <c r="AQ2" s="25"/>
      <c r="AR2" s="25"/>
      <c r="AS2" s="25"/>
      <c r="AT2" s="25"/>
      <c r="AU2" s="25"/>
    </row>
    <row r="3" spans="1:49">
      <c r="A3" s="24"/>
      <c r="C3" s="42"/>
      <c r="D3" s="30"/>
      <c r="E3" s="30"/>
      <c r="AQ3" s="25"/>
      <c r="AR3" s="25"/>
      <c r="AS3" s="25"/>
      <c r="AT3" s="25"/>
      <c r="AU3" s="25"/>
    </row>
    <row r="4" spans="1:49" ht="51.75" customHeight="1">
      <c r="A4" s="36" t="s">
        <v>0</v>
      </c>
      <c r="B4" s="47" t="s">
        <v>8</v>
      </c>
      <c r="C4" s="43" t="s">
        <v>18</v>
      </c>
      <c r="D4" s="41" t="s">
        <v>11</v>
      </c>
      <c r="E4" s="1161" t="s">
        <v>1115</v>
      </c>
      <c r="F4" s="40">
        <v>150</v>
      </c>
      <c r="G4" s="40" t="s">
        <v>81</v>
      </c>
      <c r="H4" s="40">
        <v>130</v>
      </c>
      <c r="I4" s="40" t="s">
        <v>82</v>
      </c>
      <c r="J4" s="40">
        <v>130</v>
      </c>
      <c r="K4" s="1168" t="s">
        <v>1114</v>
      </c>
      <c r="L4" s="40">
        <v>75</v>
      </c>
      <c r="M4" s="1168" t="s">
        <v>1116</v>
      </c>
      <c r="N4" s="40">
        <v>75</v>
      </c>
      <c r="O4" s="1168" t="s">
        <v>1116</v>
      </c>
      <c r="P4" s="40">
        <v>75</v>
      </c>
      <c r="Q4" s="1168" t="s">
        <v>1117</v>
      </c>
      <c r="R4" s="40">
        <v>185</v>
      </c>
      <c r="S4" s="1168" t="s">
        <v>1118</v>
      </c>
      <c r="T4" s="40">
        <v>150</v>
      </c>
      <c r="U4" s="40" t="s">
        <v>80</v>
      </c>
      <c r="V4" s="40">
        <v>0.95</v>
      </c>
      <c r="W4" s="40" t="s">
        <v>112</v>
      </c>
      <c r="X4" s="40">
        <v>0.8</v>
      </c>
      <c r="Y4" s="40" t="s">
        <v>169</v>
      </c>
      <c r="Z4" s="40" t="s">
        <v>138</v>
      </c>
      <c r="AA4" s="40" t="s">
        <v>137</v>
      </c>
      <c r="AB4" s="40" t="s">
        <v>138</v>
      </c>
      <c r="AC4" s="227" t="s">
        <v>306</v>
      </c>
      <c r="AD4" s="227" t="s">
        <v>26</v>
      </c>
      <c r="AE4" s="40" t="s">
        <v>185</v>
      </c>
      <c r="AF4" s="40" t="s">
        <v>26</v>
      </c>
      <c r="AG4" s="45" t="s">
        <v>85</v>
      </c>
      <c r="AH4" s="319" t="s">
        <v>321</v>
      </c>
      <c r="AI4" s="319">
        <v>140</v>
      </c>
      <c r="AJ4" s="40" t="s">
        <v>360</v>
      </c>
      <c r="AK4" s="329" t="s">
        <v>361</v>
      </c>
      <c r="AL4" s="329">
        <v>40</v>
      </c>
      <c r="AM4" s="329" t="s">
        <v>362</v>
      </c>
      <c r="AN4" s="329">
        <v>45</v>
      </c>
      <c r="AO4" s="329" t="s">
        <v>363</v>
      </c>
      <c r="AP4" s="329">
        <v>140</v>
      </c>
      <c r="AQ4" s="40" t="s">
        <v>12</v>
      </c>
      <c r="AR4" s="40" t="s">
        <v>13</v>
      </c>
      <c r="AS4" s="40" t="s">
        <v>14</v>
      </c>
      <c r="AT4" s="40" t="s">
        <v>9</v>
      </c>
      <c r="AU4" s="40" t="s">
        <v>15</v>
      </c>
      <c r="AV4" s="54" t="s">
        <v>7</v>
      </c>
      <c r="AW4" s="55" t="s">
        <v>16</v>
      </c>
    </row>
    <row r="5" spans="1:49">
      <c r="A5" s="26">
        <v>42162</v>
      </c>
      <c r="B5" s="69" t="s">
        <v>79</v>
      </c>
      <c r="C5" s="31">
        <v>26</v>
      </c>
      <c r="D5" s="31">
        <v>1</v>
      </c>
      <c r="E5" s="35">
        <v>4</v>
      </c>
      <c r="F5" s="27">
        <v>150</v>
      </c>
      <c r="G5" s="35">
        <v>4</v>
      </c>
      <c r="H5" s="27">
        <v>130</v>
      </c>
      <c r="I5" s="31">
        <v>4</v>
      </c>
      <c r="J5" s="27">
        <v>130</v>
      </c>
      <c r="K5" s="31">
        <v>5</v>
      </c>
      <c r="L5" s="27">
        <v>75</v>
      </c>
      <c r="M5" s="31">
        <v>5</v>
      </c>
      <c r="N5" s="27">
        <v>75</v>
      </c>
      <c r="O5" s="31"/>
      <c r="P5" s="27">
        <v>75</v>
      </c>
      <c r="Q5" s="31">
        <v>0</v>
      </c>
      <c r="R5" s="27">
        <v>185</v>
      </c>
      <c r="S5" s="31">
        <v>4</v>
      </c>
      <c r="T5" s="27">
        <v>150</v>
      </c>
      <c r="U5" s="31">
        <v>973</v>
      </c>
      <c r="V5" s="27">
        <v>0.95</v>
      </c>
      <c r="W5" s="31"/>
      <c r="X5" s="27">
        <v>0.8</v>
      </c>
      <c r="Y5" s="27"/>
      <c r="Z5" s="121">
        <v>115</v>
      </c>
      <c r="AA5" s="27"/>
      <c r="AB5" s="27">
        <v>55</v>
      </c>
      <c r="AC5" s="231"/>
      <c r="AD5" s="272">
        <v>110</v>
      </c>
      <c r="AE5" s="27"/>
      <c r="AF5" s="27">
        <v>90</v>
      </c>
      <c r="AG5" s="35"/>
      <c r="AH5" s="320"/>
      <c r="AI5" s="320"/>
      <c r="AJ5" s="50">
        <v>78.5</v>
      </c>
      <c r="AK5" s="334"/>
      <c r="AL5" s="334"/>
      <c r="AM5" s="334"/>
      <c r="AN5" s="334"/>
      <c r="AO5" s="334"/>
      <c r="AP5" s="334"/>
      <c r="AQ5" s="27">
        <f t="shared" ref="AQ5:AQ68" si="0">(U5*V5)+(W5*X5)</f>
        <v>924.34999999999991</v>
      </c>
      <c r="AR5" s="27">
        <f t="shared" ref="AR5:AR36" si="1">(E5*F5)+(G5*H5)+(I5*J5)+(K5*L5)+(M5*N5)+(Q5*R5)+(S5*T5)+AQ5+(AG5*AJ5)+(O5*P5)+(Y5*Z5)+(AA5*AB5)+(AE5*AF5)</f>
        <v>3914.35</v>
      </c>
      <c r="AS5" s="27">
        <f>(AR5*5%)</f>
        <v>195.7175</v>
      </c>
      <c r="AT5" s="27">
        <f>SUM(AR5+AS5)</f>
        <v>4110.0675000000001</v>
      </c>
      <c r="AU5" s="27"/>
      <c r="AV5" s="56"/>
      <c r="AW5" s="150">
        <f>SUM(AR5:AR300)</f>
        <v>228259.49999999991</v>
      </c>
    </row>
    <row r="6" spans="1:49">
      <c r="A6" s="26">
        <v>42163</v>
      </c>
      <c r="B6" s="69" t="s">
        <v>83</v>
      </c>
      <c r="C6" s="31">
        <v>50</v>
      </c>
      <c r="D6" s="31">
        <v>1</v>
      </c>
      <c r="E6" s="35">
        <v>11</v>
      </c>
      <c r="F6" s="27">
        <v>150</v>
      </c>
      <c r="G6" s="35">
        <v>4</v>
      </c>
      <c r="H6" s="27">
        <v>130</v>
      </c>
      <c r="I6" s="31">
        <v>11</v>
      </c>
      <c r="J6" s="27">
        <v>130</v>
      </c>
      <c r="K6" s="31">
        <v>4</v>
      </c>
      <c r="L6" s="27">
        <v>75</v>
      </c>
      <c r="M6" s="31">
        <v>4</v>
      </c>
      <c r="N6" s="27">
        <v>75</v>
      </c>
      <c r="O6" s="31"/>
      <c r="P6" s="27">
        <v>75</v>
      </c>
      <c r="Q6" s="31">
        <v>5</v>
      </c>
      <c r="R6" s="27">
        <v>185</v>
      </c>
      <c r="S6" s="31">
        <v>11</v>
      </c>
      <c r="T6" s="27">
        <v>150</v>
      </c>
      <c r="U6" s="31">
        <v>788</v>
      </c>
      <c r="V6" s="27">
        <v>0.95</v>
      </c>
      <c r="W6" s="31"/>
      <c r="X6" s="27">
        <v>0.8</v>
      </c>
      <c r="Y6" s="27"/>
      <c r="Z6" s="121">
        <v>115</v>
      </c>
      <c r="AA6" s="27"/>
      <c r="AB6" s="27">
        <v>55</v>
      </c>
      <c r="AC6" s="231"/>
      <c r="AD6" s="272">
        <v>110</v>
      </c>
      <c r="AE6" s="27"/>
      <c r="AF6" s="27">
        <v>90</v>
      </c>
      <c r="AG6" s="35"/>
      <c r="AH6" s="320"/>
      <c r="AI6" s="320"/>
      <c r="AJ6" s="50">
        <v>78.5</v>
      </c>
      <c r="AK6" s="334"/>
      <c r="AL6" s="334"/>
      <c r="AM6" s="334"/>
      <c r="AN6" s="334"/>
      <c r="AO6" s="334"/>
      <c r="AP6" s="334"/>
      <c r="AQ6" s="27">
        <f t="shared" si="0"/>
        <v>748.59999999999991</v>
      </c>
      <c r="AR6" s="27">
        <f t="shared" si="1"/>
        <v>7523.6</v>
      </c>
      <c r="AS6" s="27">
        <f t="shared" ref="AS6:AS20" si="2">(AR6*5%)</f>
        <v>376.18000000000006</v>
      </c>
      <c r="AT6" s="27">
        <f t="shared" ref="AT6:AT20" si="3">SUM(AR6+AS6)</f>
        <v>7899.7800000000007</v>
      </c>
      <c r="AU6" s="27"/>
      <c r="AV6" s="56"/>
      <c r="AW6" s="58"/>
    </row>
    <row r="7" spans="1:49">
      <c r="A7" s="34">
        <v>42164</v>
      </c>
      <c r="B7" s="69" t="s">
        <v>84</v>
      </c>
      <c r="C7" s="31">
        <v>58</v>
      </c>
      <c r="D7" s="31">
        <v>1</v>
      </c>
      <c r="E7" s="35">
        <v>12</v>
      </c>
      <c r="F7" s="27">
        <v>150</v>
      </c>
      <c r="G7" s="35">
        <v>11.5</v>
      </c>
      <c r="H7" s="27">
        <v>130</v>
      </c>
      <c r="I7" s="31">
        <v>11.5</v>
      </c>
      <c r="J7" s="27">
        <v>130</v>
      </c>
      <c r="K7" s="31">
        <v>11.5</v>
      </c>
      <c r="L7" s="27">
        <v>75</v>
      </c>
      <c r="M7" s="31">
        <v>11.5</v>
      </c>
      <c r="N7" s="27">
        <v>75</v>
      </c>
      <c r="O7" s="31"/>
      <c r="P7" s="27">
        <v>75</v>
      </c>
      <c r="Q7" s="31">
        <v>0</v>
      </c>
      <c r="R7" s="27">
        <v>185</v>
      </c>
      <c r="S7" s="31">
        <v>0</v>
      </c>
      <c r="T7" s="27">
        <v>150</v>
      </c>
      <c r="U7" s="31">
        <v>198</v>
      </c>
      <c r="V7" s="27">
        <v>0.95</v>
      </c>
      <c r="W7" s="31"/>
      <c r="X7" s="27">
        <v>0.8</v>
      </c>
      <c r="Y7" s="27"/>
      <c r="Z7" s="121">
        <v>115</v>
      </c>
      <c r="AA7" s="27"/>
      <c r="AB7" s="27">
        <v>55</v>
      </c>
      <c r="AC7" s="231"/>
      <c r="AD7" s="272">
        <v>110</v>
      </c>
      <c r="AE7" s="27"/>
      <c r="AF7" s="27">
        <v>90</v>
      </c>
      <c r="AG7" s="35">
        <v>2</v>
      </c>
      <c r="AH7" s="320"/>
      <c r="AI7" s="320"/>
      <c r="AJ7" s="50">
        <v>78.5</v>
      </c>
      <c r="AK7" s="334"/>
      <c r="AL7" s="334"/>
      <c r="AM7" s="334"/>
      <c r="AN7" s="334"/>
      <c r="AO7" s="334"/>
      <c r="AP7" s="334"/>
      <c r="AQ7" s="27">
        <f t="shared" si="0"/>
        <v>188.1</v>
      </c>
      <c r="AR7" s="27">
        <f t="shared" si="1"/>
        <v>6860.1</v>
      </c>
      <c r="AS7" s="27">
        <f t="shared" si="2"/>
        <v>343.00500000000005</v>
      </c>
      <c r="AT7" s="27">
        <f t="shared" si="3"/>
        <v>7203.1050000000005</v>
      </c>
      <c r="AU7" s="27"/>
      <c r="AV7" s="56"/>
    </row>
    <row r="8" spans="1:49">
      <c r="A8" s="34">
        <v>42165</v>
      </c>
      <c r="B8" s="69" t="s">
        <v>86</v>
      </c>
      <c r="C8" s="31">
        <v>56</v>
      </c>
      <c r="D8" s="31">
        <v>1</v>
      </c>
      <c r="E8" s="35">
        <v>12</v>
      </c>
      <c r="F8" s="27">
        <v>150</v>
      </c>
      <c r="G8" s="35">
        <v>11.5</v>
      </c>
      <c r="H8" s="27">
        <v>130</v>
      </c>
      <c r="I8" s="31">
        <v>11.5</v>
      </c>
      <c r="J8" s="27">
        <v>130</v>
      </c>
      <c r="K8" s="31">
        <v>10.5</v>
      </c>
      <c r="L8" s="27">
        <v>75</v>
      </c>
      <c r="M8" s="31">
        <v>10.5</v>
      </c>
      <c r="N8" s="27">
        <v>75</v>
      </c>
      <c r="O8" s="31"/>
      <c r="P8" s="27">
        <v>75</v>
      </c>
      <c r="Q8" s="31">
        <v>0</v>
      </c>
      <c r="R8" s="27">
        <v>185</v>
      </c>
      <c r="S8" s="31">
        <v>0</v>
      </c>
      <c r="T8" s="27">
        <v>150</v>
      </c>
      <c r="U8" s="31">
        <v>275</v>
      </c>
      <c r="V8" s="27">
        <v>0.95</v>
      </c>
      <c r="W8" s="31"/>
      <c r="X8" s="27">
        <v>0.8</v>
      </c>
      <c r="Y8" s="27"/>
      <c r="Z8" s="121">
        <v>115</v>
      </c>
      <c r="AA8" s="27"/>
      <c r="AB8" s="27">
        <v>55</v>
      </c>
      <c r="AC8" s="231"/>
      <c r="AD8" s="272">
        <v>110</v>
      </c>
      <c r="AE8" s="27"/>
      <c r="AF8" s="27">
        <v>90</v>
      </c>
      <c r="AG8" s="35">
        <v>1</v>
      </c>
      <c r="AH8" s="320"/>
      <c r="AI8" s="320"/>
      <c r="AJ8" s="50">
        <v>78.5</v>
      </c>
      <c r="AK8" s="334"/>
      <c r="AL8" s="334"/>
      <c r="AM8" s="334"/>
      <c r="AN8" s="334"/>
      <c r="AO8" s="334"/>
      <c r="AP8" s="334"/>
      <c r="AQ8" s="27">
        <f t="shared" si="0"/>
        <v>261.25</v>
      </c>
      <c r="AR8" s="27">
        <f t="shared" si="1"/>
        <v>6704.75</v>
      </c>
      <c r="AS8" s="27">
        <f t="shared" si="2"/>
        <v>335.23750000000001</v>
      </c>
      <c r="AT8" s="27">
        <f t="shared" si="3"/>
        <v>7039.9875000000002</v>
      </c>
      <c r="AU8" s="27"/>
      <c r="AV8" s="56"/>
      <c r="AW8" s="59"/>
    </row>
    <row r="9" spans="1:49">
      <c r="A9" s="34">
        <v>42166</v>
      </c>
      <c r="B9" s="69" t="s">
        <v>87</v>
      </c>
      <c r="C9" s="31">
        <v>24</v>
      </c>
      <c r="D9" s="31">
        <v>1</v>
      </c>
      <c r="E9" s="35">
        <v>8</v>
      </c>
      <c r="F9" s="27">
        <v>150</v>
      </c>
      <c r="G9" s="35"/>
      <c r="H9" s="27">
        <v>130</v>
      </c>
      <c r="I9" s="31"/>
      <c r="J9" s="27">
        <v>130</v>
      </c>
      <c r="K9" s="31">
        <v>8</v>
      </c>
      <c r="L9" s="27">
        <v>75</v>
      </c>
      <c r="M9" s="31">
        <v>8</v>
      </c>
      <c r="N9" s="27">
        <v>75</v>
      </c>
      <c r="O9" s="31"/>
      <c r="P9" s="27">
        <v>75</v>
      </c>
      <c r="Q9" s="31"/>
      <c r="R9" s="27">
        <v>185</v>
      </c>
      <c r="S9" s="31"/>
      <c r="T9" s="27">
        <v>150</v>
      </c>
      <c r="U9" s="31">
        <v>79</v>
      </c>
      <c r="V9" s="27">
        <v>0.95</v>
      </c>
      <c r="W9" s="31"/>
      <c r="X9" s="27">
        <v>0.8</v>
      </c>
      <c r="Y9" s="27"/>
      <c r="Z9" s="121">
        <v>115</v>
      </c>
      <c r="AA9" s="27"/>
      <c r="AB9" s="27">
        <v>55</v>
      </c>
      <c r="AC9" s="231"/>
      <c r="AD9" s="272">
        <v>110</v>
      </c>
      <c r="AE9" s="27"/>
      <c r="AF9" s="27">
        <v>90</v>
      </c>
      <c r="AG9" s="35">
        <v>0.5</v>
      </c>
      <c r="AH9" s="320"/>
      <c r="AI9" s="320"/>
      <c r="AJ9" s="50">
        <v>78.5</v>
      </c>
      <c r="AK9" s="334"/>
      <c r="AL9" s="334"/>
      <c r="AM9" s="334"/>
      <c r="AN9" s="334"/>
      <c r="AO9" s="334"/>
      <c r="AP9" s="334"/>
      <c r="AQ9" s="27">
        <f t="shared" si="0"/>
        <v>75.05</v>
      </c>
      <c r="AR9" s="27">
        <f t="shared" si="1"/>
        <v>2514.3000000000002</v>
      </c>
      <c r="AS9" s="27">
        <f t="shared" si="2"/>
        <v>125.71500000000002</v>
      </c>
      <c r="AT9" s="27">
        <f t="shared" si="3"/>
        <v>2640.0150000000003</v>
      </c>
      <c r="AU9" s="27"/>
      <c r="AV9" s="56"/>
      <c r="AW9" s="60"/>
    </row>
    <row r="10" spans="1:49">
      <c r="A10" s="26">
        <v>42167</v>
      </c>
      <c r="B10" s="69" t="s">
        <v>88</v>
      </c>
      <c r="C10" s="31">
        <v>39</v>
      </c>
      <c r="D10" s="31">
        <v>1</v>
      </c>
      <c r="E10" s="35">
        <v>13</v>
      </c>
      <c r="F10" s="27">
        <v>150</v>
      </c>
      <c r="G10" s="35"/>
      <c r="H10" s="27">
        <v>130</v>
      </c>
      <c r="I10" s="31"/>
      <c r="J10" s="27">
        <v>130</v>
      </c>
      <c r="K10" s="31">
        <v>13</v>
      </c>
      <c r="L10" s="27">
        <v>75</v>
      </c>
      <c r="M10" s="31">
        <v>13</v>
      </c>
      <c r="N10" s="27">
        <v>75</v>
      </c>
      <c r="O10" s="31"/>
      <c r="P10" s="27">
        <v>75</v>
      </c>
      <c r="Q10" s="31"/>
      <c r="R10" s="27">
        <v>185</v>
      </c>
      <c r="S10" s="31"/>
      <c r="T10" s="27">
        <v>150</v>
      </c>
      <c r="U10" s="31">
        <v>121</v>
      </c>
      <c r="V10" s="27">
        <v>0.95</v>
      </c>
      <c r="W10" s="31"/>
      <c r="X10" s="27">
        <v>0.8</v>
      </c>
      <c r="Y10" s="27"/>
      <c r="Z10" s="121">
        <v>115</v>
      </c>
      <c r="AA10" s="27"/>
      <c r="AB10" s="27">
        <v>55</v>
      </c>
      <c r="AC10" s="231"/>
      <c r="AD10" s="272">
        <v>110</v>
      </c>
      <c r="AE10" s="27"/>
      <c r="AF10" s="27">
        <v>90</v>
      </c>
      <c r="AG10" s="35">
        <v>1</v>
      </c>
      <c r="AH10" s="320"/>
      <c r="AI10" s="320"/>
      <c r="AJ10" s="50">
        <v>78.5</v>
      </c>
      <c r="AK10" s="334"/>
      <c r="AL10" s="334"/>
      <c r="AM10" s="334"/>
      <c r="AN10" s="334"/>
      <c r="AO10" s="334"/>
      <c r="AP10" s="334"/>
      <c r="AQ10" s="27">
        <f t="shared" si="0"/>
        <v>114.94999999999999</v>
      </c>
      <c r="AR10" s="27">
        <f t="shared" si="1"/>
        <v>4093.45</v>
      </c>
      <c r="AS10" s="27">
        <f t="shared" si="2"/>
        <v>204.67250000000001</v>
      </c>
      <c r="AT10" s="27">
        <f t="shared" si="3"/>
        <v>4298.1224999999995</v>
      </c>
      <c r="AU10" s="27"/>
      <c r="AV10" s="56"/>
    </row>
    <row r="11" spans="1:49">
      <c r="A11" s="26">
        <v>42168</v>
      </c>
      <c r="B11" s="69" t="s">
        <v>101</v>
      </c>
      <c r="C11" s="31">
        <v>28</v>
      </c>
      <c r="D11" s="31">
        <v>3</v>
      </c>
      <c r="E11" s="35">
        <v>10</v>
      </c>
      <c r="F11" s="27">
        <v>150</v>
      </c>
      <c r="G11" s="35"/>
      <c r="H11" s="27">
        <v>130</v>
      </c>
      <c r="I11" s="31"/>
      <c r="J11" s="27">
        <v>130</v>
      </c>
      <c r="K11" s="31">
        <v>9</v>
      </c>
      <c r="L11" s="27">
        <v>75</v>
      </c>
      <c r="M11" s="31">
        <v>9</v>
      </c>
      <c r="N11" s="27">
        <v>75</v>
      </c>
      <c r="O11" s="31"/>
      <c r="P11" s="27">
        <v>75</v>
      </c>
      <c r="Q11" s="31"/>
      <c r="R11" s="27">
        <v>185</v>
      </c>
      <c r="S11" s="31"/>
      <c r="T11" s="27">
        <v>150</v>
      </c>
      <c r="U11" s="31">
        <v>225</v>
      </c>
      <c r="V11" s="27">
        <v>0.95</v>
      </c>
      <c r="W11" s="31"/>
      <c r="X11" s="27">
        <v>0.8</v>
      </c>
      <c r="Y11" s="27"/>
      <c r="Z11" s="121">
        <v>115</v>
      </c>
      <c r="AA11" s="27"/>
      <c r="AB11" s="27">
        <v>55</v>
      </c>
      <c r="AC11" s="231"/>
      <c r="AD11" s="272">
        <v>110</v>
      </c>
      <c r="AE11" s="27"/>
      <c r="AF11" s="27">
        <v>90</v>
      </c>
      <c r="AG11" s="35">
        <v>1</v>
      </c>
      <c r="AH11" s="320"/>
      <c r="AI11" s="320"/>
      <c r="AJ11" s="50">
        <v>78.5</v>
      </c>
      <c r="AK11" s="334"/>
      <c r="AL11" s="334"/>
      <c r="AM11" s="334"/>
      <c r="AN11" s="334"/>
      <c r="AO11" s="334"/>
      <c r="AP11" s="334"/>
      <c r="AQ11" s="27">
        <f t="shared" si="0"/>
        <v>213.75</v>
      </c>
      <c r="AR11" s="27">
        <f t="shared" si="1"/>
        <v>3142.25</v>
      </c>
      <c r="AS11" s="27">
        <f t="shared" si="2"/>
        <v>157.11250000000001</v>
      </c>
      <c r="AT11" s="27">
        <f t="shared" si="3"/>
        <v>3299.3625000000002</v>
      </c>
      <c r="AU11" s="27"/>
      <c r="AV11" s="56"/>
    </row>
    <row r="12" spans="1:49">
      <c r="A12" s="26">
        <v>42169</v>
      </c>
      <c r="B12" s="69" t="s">
        <v>102</v>
      </c>
      <c r="C12" s="31">
        <v>32</v>
      </c>
      <c r="D12" s="31">
        <v>5</v>
      </c>
      <c r="E12" s="35">
        <v>8</v>
      </c>
      <c r="F12" s="27">
        <v>150</v>
      </c>
      <c r="G12" s="35">
        <v>4</v>
      </c>
      <c r="H12" s="27">
        <v>130</v>
      </c>
      <c r="I12" s="31">
        <v>4</v>
      </c>
      <c r="J12" s="27">
        <v>130</v>
      </c>
      <c r="K12" s="31">
        <v>8</v>
      </c>
      <c r="L12" s="27">
        <v>75</v>
      </c>
      <c r="M12" s="31">
        <v>8</v>
      </c>
      <c r="N12" s="27">
        <v>75</v>
      </c>
      <c r="O12" s="31"/>
      <c r="P12" s="27">
        <v>75</v>
      </c>
      <c r="Q12" s="31"/>
      <c r="R12" s="27">
        <v>185</v>
      </c>
      <c r="S12" s="31"/>
      <c r="T12" s="27">
        <v>150</v>
      </c>
      <c r="U12" s="31">
        <v>102</v>
      </c>
      <c r="V12" s="27">
        <v>0.95</v>
      </c>
      <c r="W12" s="31"/>
      <c r="X12" s="27">
        <v>0.8</v>
      </c>
      <c r="Y12" s="27"/>
      <c r="Z12" s="121">
        <v>115</v>
      </c>
      <c r="AA12" s="27"/>
      <c r="AB12" s="27">
        <v>55</v>
      </c>
      <c r="AC12" s="231"/>
      <c r="AD12" s="272">
        <v>110</v>
      </c>
      <c r="AE12" s="27"/>
      <c r="AF12" s="27">
        <v>90</v>
      </c>
      <c r="AG12" s="35">
        <v>1</v>
      </c>
      <c r="AH12" s="320"/>
      <c r="AI12" s="320"/>
      <c r="AJ12" s="50">
        <v>78.5</v>
      </c>
      <c r="AK12" s="334"/>
      <c r="AL12" s="334"/>
      <c r="AM12" s="334"/>
      <c r="AN12" s="334"/>
      <c r="AO12" s="334"/>
      <c r="AP12" s="334"/>
      <c r="AQ12" s="27">
        <f t="shared" si="0"/>
        <v>96.899999999999991</v>
      </c>
      <c r="AR12" s="27">
        <f t="shared" si="1"/>
        <v>3615.4</v>
      </c>
      <c r="AS12" s="27">
        <f t="shared" si="2"/>
        <v>180.77</v>
      </c>
      <c r="AT12" s="27">
        <f t="shared" si="3"/>
        <v>3796.17</v>
      </c>
      <c r="AU12" s="27"/>
      <c r="AV12" s="56"/>
    </row>
    <row r="13" spans="1:49">
      <c r="A13" s="26">
        <v>42170</v>
      </c>
      <c r="B13" s="69" t="s">
        <v>100</v>
      </c>
      <c r="C13" s="31">
        <v>62</v>
      </c>
      <c r="D13" s="31">
        <v>5</v>
      </c>
      <c r="E13" s="35">
        <v>13</v>
      </c>
      <c r="F13" s="27">
        <v>150</v>
      </c>
      <c r="G13" s="35">
        <v>13</v>
      </c>
      <c r="H13" s="27">
        <v>130</v>
      </c>
      <c r="I13" s="35">
        <v>13</v>
      </c>
      <c r="J13" s="27">
        <v>130</v>
      </c>
      <c r="K13" s="31">
        <v>11.5</v>
      </c>
      <c r="L13" s="27">
        <v>75</v>
      </c>
      <c r="M13" s="31">
        <v>11.5</v>
      </c>
      <c r="N13" s="27">
        <v>75</v>
      </c>
      <c r="O13" s="31"/>
      <c r="P13" s="27">
        <v>75</v>
      </c>
      <c r="Q13" s="31"/>
      <c r="R13" s="27">
        <v>185</v>
      </c>
      <c r="S13" s="31"/>
      <c r="T13" s="27">
        <v>150</v>
      </c>
      <c r="U13" s="31">
        <v>268</v>
      </c>
      <c r="V13" s="27">
        <v>0.95</v>
      </c>
      <c r="W13" s="31"/>
      <c r="X13" s="27">
        <v>0.8</v>
      </c>
      <c r="Y13" s="27"/>
      <c r="Z13" s="121">
        <v>115</v>
      </c>
      <c r="AA13" s="27"/>
      <c r="AB13" s="27">
        <v>55</v>
      </c>
      <c r="AC13" s="231"/>
      <c r="AD13" s="272">
        <v>110</v>
      </c>
      <c r="AE13" s="27"/>
      <c r="AF13" s="27">
        <v>90</v>
      </c>
      <c r="AG13" s="35">
        <v>2</v>
      </c>
      <c r="AH13" s="320"/>
      <c r="AI13" s="320"/>
      <c r="AJ13" s="50">
        <v>78.5</v>
      </c>
      <c r="AK13" s="334"/>
      <c r="AL13" s="334"/>
      <c r="AM13" s="334"/>
      <c r="AN13" s="334"/>
      <c r="AO13" s="334"/>
      <c r="AP13" s="334"/>
      <c r="AQ13" s="27">
        <f t="shared" si="0"/>
        <v>254.6</v>
      </c>
      <c r="AR13" s="27">
        <f t="shared" si="1"/>
        <v>7466.6</v>
      </c>
      <c r="AS13" s="27">
        <f t="shared" si="2"/>
        <v>373.33000000000004</v>
      </c>
      <c r="AT13" s="27">
        <f t="shared" si="3"/>
        <v>7839.93</v>
      </c>
      <c r="AU13" s="27"/>
      <c r="AV13" s="56"/>
    </row>
    <row r="14" spans="1:49">
      <c r="A14" s="26">
        <v>42171</v>
      </c>
      <c r="B14" s="69" t="s">
        <v>106</v>
      </c>
      <c r="C14" s="31">
        <v>57.5</v>
      </c>
      <c r="D14" s="31">
        <v>5</v>
      </c>
      <c r="E14" s="35">
        <v>13</v>
      </c>
      <c r="F14" s="27">
        <v>150</v>
      </c>
      <c r="G14" s="35">
        <v>12</v>
      </c>
      <c r="H14" s="27">
        <v>130</v>
      </c>
      <c r="I14" s="35">
        <v>12.5</v>
      </c>
      <c r="J14" s="27">
        <v>130</v>
      </c>
      <c r="K14" s="31">
        <v>10</v>
      </c>
      <c r="L14" s="27">
        <v>75</v>
      </c>
      <c r="M14" s="31">
        <v>10</v>
      </c>
      <c r="N14" s="27">
        <v>75</v>
      </c>
      <c r="O14" s="31"/>
      <c r="P14" s="27">
        <v>75</v>
      </c>
      <c r="Q14" s="31"/>
      <c r="R14" s="27">
        <v>185</v>
      </c>
      <c r="S14" s="31"/>
      <c r="T14" s="27">
        <v>150</v>
      </c>
      <c r="U14" s="31">
        <v>240</v>
      </c>
      <c r="V14" s="27">
        <v>0.95</v>
      </c>
      <c r="W14" s="31"/>
      <c r="X14" s="27">
        <v>0.8</v>
      </c>
      <c r="Y14" s="27"/>
      <c r="Z14" s="121">
        <v>115</v>
      </c>
      <c r="AA14" s="27"/>
      <c r="AB14" s="27">
        <v>55</v>
      </c>
      <c r="AC14" s="231"/>
      <c r="AD14" s="272">
        <v>110</v>
      </c>
      <c r="AE14" s="27"/>
      <c r="AF14" s="27">
        <v>90</v>
      </c>
      <c r="AG14" s="35">
        <v>2</v>
      </c>
      <c r="AH14" s="320"/>
      <c r="AI14" s="320"/>
      <c r="AJ14" s="50">
        <v>78.5</v>
      </c>
      <c r="AK14" s="334"/>
      <c r="AL14" s="334"/>
      <c r="AM14" s="334"/>
      <c r="AN14" s="334"/>
      <c r="AO14" s="334"/>
      <c r="AP14" s="334"/>
      <c r="AQ14" s="27">
        <f t="shared" si="0"/>
        <v>228</v>
      </c>
      <c r="AR14" s="27">
        <f t="shared" si="1"/>
        <v>7020</v>
      </c>
      <c r="AS14" s="27">
        <f t="shared" si="2"/>
        <v>351</v>
      </c>
      <c r="AT14" s="27">
        <f t="shared" si="3"/>
        <v>7371</v>
      </c>
      <c r="AU14" s="27"/>
      <c r="AV14" s="56"/>
    </row>
    <row r="15" spans="1:49">
      <c r="A15" s="26">
        <v>42172</v>
      </c>
      <c r="B15" s="69" t="s">
        <v>107</v>
      </c>
      <c r="C15" s="31">
        <v>54</v>
      </c>
      <c r="D15" s="31">
        <v>5</v>
      </c>
      <c r="E15" s="35">
        <v>11</v>
      </c>
      <c r="F15" s="27">
        <v>150</v>
      </c>
      <c r="G15" s="35">
        <v>11</v>
      </c>
      <c r="H15" s="27">
        <v>130</v>
      </c>
      <c r="I15" s="35">
        <v>11</v>
      </c>
      <c r="J15" s="27">
        <v>130</v>
      </c>
      <c r="K15" s="31">
        <v>10.5</v>
      </c>
      <c r="L15" s="27">
        <v>75</v>
      </c>
      <c r="M15" s="31">
        <v>10.5</v>
      </c>
      <c r="N15" s="27">
        <v>75</v>
      </c>
      <c r="O15" s="31"/>
      <c r="P15" s="27">
        <v>75</v>
      </c>
      <c r="Q15" s="31"/>
      <c r="R15" s="27">
        <v>185</v>
      </c>
      <c r="S15" s="31"/>
      <c r="T15" s="27">
        <v>150</v>
      </c>
      <c r="U15" s="31">
        <v>318</v>
      </c>
      <c r="V15" s="27">
        <v>0.95</v>
      </c>
      <c r="W15" s="31"/>
      <c r="X15" s="27">
        <v>0.8</v>
      </c>
      <c r="Y15" s="27"/>
      <c r="Z15" s="121">
        <v>115</v>
      </c>
      <c r="AA15" s="27"/>
      <c r="AB15" s="27">
        <v>55</v>
      </c>
      <c r="AC15" s="231"/>
      <c r="AD15" s="272">
        <v>110</v>
      </c>
      <c r="AE15" s="27"/>
      <c r="AF15" s="27">
        <v>90</v>
      </c>
      <c r="AG15" s="35">
        <v>2</v>
      </c>
      <c r="AH15" s="320"/>
      <c r="AI15" s="320"/>
      <c r="AJ15" s="50">
        <v>78.5</v>
      </c>
      <c r="AK15" s="334"/>
      <c r="AL15" s="334"/>
      <c r="AM15" s="334"/>
      <c r="AN15" s="334"/>
      <c r="AO15" s="334"/>
      <c r="AP15" s="334"/>
      <c r="AQ15" s="27">
        <f t="shared" si="0"/>
        <v>302.09999999999997</v>
      </c>
      <c r="AR15" s="27">
        <f t="shared" si="1"/>
        <v>6544.1</v>
      </c>
      <c r="AS15" s="27">
        <f t="shared" si="2"/>
        <v>327.20500000000004</v>
      </c>
      <c r="AT15" s="27">
        <f t="shared" si="3"/>
        <v>6871.3050000000003</v>
      </c>
      <c r="AU15" s="27"/>
      <c r="AV15" s="56"/>
    </row>
    <row r="16" spans="1:49">
      <c r="A16" s="26">
        <v>42173</v>
      </c>
      <c r="B16" s="69" t="s">
        <v>108</v>
      </c>
      <c r="C16" s="31">
        <v>51</v>
      </c>
      <c r="D16" s="31">
        <v>6</v>
      </c>
      <c r="E16" s="35">
        <v>10</v>
      </c>
      <c r="F16" s="27">
        <v>150</v>
      </c>
      <c r="G16" s="35">
        <v>10</v>
      </c>
      <c r="H16" s="27">
        <v>130</v>
      </c>
      <c r="I16" s="35">
        <v>10</v>
      </c>
      <c r="J16" s="27">
        <v>130</v>
      </c>
      <c r="K16" s="31">
        <v>8</v>
      </c>
      <c r="L16" s="27">
        <v>75</v>
      </c>
      <c r="M16" s="31">
        <v>8</v>
      </c>
      <c r="N16" s="27">
        <v>75</v>
      </c>
      <c r="O16" s="31"/>
      <c r="P16" s="27">
        <v>75</v>
      </c>
      <c r="Q16" s="31"/>
      <c r="R16" s="27">
        <v>185</v>
      </c>
      <c r="S16" s="31">
        <v>5</v>
      </c>
      <c r="T16" s="27">
        <v>150</v>
      </c>
      <c r="U16" s="31">
        <v>501</v>
      </c>
      <c r="V16" s="27">
        <v>0.95</v>
      </c>
      <c r="W16" s="31"/>
      <c r="X16" s="27">
        <v>0.8</v>
      </c>
      <c r="Y16" s="27"/>
      <c r="Z16" s="121">
        <v>115</v>
      </c>
      <c r="AA16" s="27"/>
      <c r="AB16" s="27">
        <v>55</v>
      </c>
      <c r="AC16" s="231"/>
      <c r="AD16" s="272">
        <v>110</v>
      </c>
      <c r="AE16" s="27"/>
      <c r="AF16" s="27">
        <v>90</v>
      </c>
      <c r="AG16" s="35">
        <v>2</v>
      </c>
      <c r="AH16" s="320"/>
      <c r="AI16" s="320"/>
      <c r="AJ16" s="50">
        <v>78.5</v>
      </c>
      <c r="AK16" s="334"/>
      <c r="AL16" s="334"/>
      <c r="AM16" s="334"/>
      <c r="AN16" s="334"/>
      <c r="AO16" s="334"/>
      <c r="AP16" s="334"/>
      <c r="AQ16" s="27">
        <f t="shared" si="0"/>
        <v>475.95</v>
      </c>
      <c r="AR16" s="27">
        <f t="shared" si="1"/>
        <v>6682.95</v>
      </c>
      <c r="AS16" s="27">
        <f t="shared" si="2"/>
        <v>334.14750000000004</v>
      </c>
      <c r="AT16" s="27">
        <f t="shared" si="3"/>
        <v>7017.0974999999999</v>
      </c>
      <c r="AU16" s="27"/>
      <c r="AV16" s="56"/>
    </row>
    <row r="17" spans="1:49">
      <c r="A17" s="26">
        <v>42174</v>
      </c>
      <c r="B17" s="69" t="s">
        <v>109</v>
      </c>
      <c r="C17" s="31">
        <v>42</v>
      </c>
      <c r="D17" s="31">
        <v>5</v>
      </c>
      <c r="E17" s="35"/>
      <c r="F17" s="27">
        <v>150</v>
      </c>
      <c r="G17" s="35">
        <v>4</v>
      </c>
      <c r="H17" s="27">
        <v>130</v>
      </c>
      <c r="I17" s="35">
        <v>10</v>
      </c>
      <c r="J17" s="27">
        <v>130</v>
      </c>
      <c r="K17" s="31">
        <v>9</v>
      </c>
      <c r="L17" s="27">
        <v>75</v>
      </c>
      <c r="M17" s="31">
        <v>9.5</v>
      </c>
      <c r="N17" s="27">
        <v>75</v>
      </c>
      <c r="O17" s="31"/>
      <c r="P17" s="27">
        <v>75</v>
      </c>
      <c r="Q17" s="31"/>
      <c r="R17" s="27">
        <v>185</v>
      </c>
      <c r="S17" s="31">
        <v>9.5</v>
      </c>
      <c r="T17" s="27">
        <v>150</v>
      </c>
      <c r="U17" s="31">
        <v>355</v>
      </c>
      <c r="V17" s="27">
        <v>0.95</v>
      </c>
      <c r="W17" s="31"/>
      <c r="X17" s="27">
        <v>0.8</v>
      </c>
      <c r="Y17" s="27"/>
      <c r="Z17" s="121">
        <v>115</v>
      </c>
      <c r="AA17" s="27"/>
      <c r="AB17" s="27">
        <v>55</v>
      </c>
      <c r="AC17" s="231"/>
      <c r="AD17" s="272">
        <v>110</v>
      </c>
      <c r="AE17" s="27"/>
      <c r="AF17" s="27">
        <v>90</v>
      </c>
      <c r="AG17" s="35">
        <v>2</v>
      </c>
      <c r="AH17" s="320"/>
      <c r="AI17" s="320"/>
      <c r="AJ17" s="50">
        <v>78.5</v>
      </c>
      <c r="AK17" s="334"/>
      <c r="AL17" s="334"/>
      <c r="AM17" s="334"/>
      <c r="AN17" s="334"/>
      <c r="AO17" s="334"/>
      <c r="AP17" s="334"/>
      <c r="AQ17" s="27">
        <f t="shared" si="0"/>
        <v>337.25</v>
      </c>
      <c r="AR17" s="27">
        <f t="shared" si="1"/>
        <v>5126.75</v>
      </c>
      <c r="AS17" s="27">
        <f t="shared" si="2"/>
        <v>256.33750000000003</v>
      </c>
      <c r="AT17" s="27">
        <f t="shared" si="3"/>
        <v>5383.0874999999996</v>
      </c>
      <c r="AU17" s="27"/>
      <c r="AV17" s="56"/>
    </row>
    <row r="18" spans="1:49">
      <c r="A18" s="26">
        <v>42175</v>
      </c>
      <c r="B18" s="69" t="s">
        <v>110</v>
      </c>
      <c r="C18" s="31">
        <v>44</v>
      </c>
      <c r="D18" s="31">
        <v>4</v>
      </c>
      <c r="E18" s="35"/>
      <c r="F18" s="27">
        <v>150</v>
      </c>
      <c r="G18" s="50"/>
      <c r="H18" s="27">
        <v>130</v>
      </c>
      <c r="I18" s="35">
        <v>14</v>
      </c>
      <c r="J18" s="27">
        <v>130</v>
      </c>
      <c r="K18" s="31">
        <v>12</v>
      </c>
      <c r="L18" s="27">
        <v>75</v>
      </c>
      <c r="M18" s="31">
        <v>8</v>
      </c>
      <c r="N18" s="27">
        <v>75</v>
      </c>
      <c r="O18" s="31"/>
      <c r="P18" s="27">
        <v>75</v>
      </c>
      <c r="Q18" s="31"/>
      <c r="R18" s="27">
        <v>185</v>
      </c>
      <c r="S18" s="31">
        <v>10</v>
      </c>
      <c r="T18" s="27">
        <v>150</v>
      </c>
      <c r="U18" s="31">
        <v>606</v>
      </c>
      <c r="V18" s="27">
        <v>0.95</v>
      </c>
      <c r="W18" s="31"/>
      <c r="X18" s="27">
        <v>0.8</v>
      </c>
      <c r="Y18" s="27"/>
      <c r="Z18" s="121">
        <v>115</v>
      </c>
      <c r="AA18" s="27"/>
      <c r="AB18" s="27">
        <v>55</v>
      </c>
      <c r="AC18" s="231"/>
      <c r="AD18" s="272">
        <v>110</v>
      </c>
      <c r="AE18" s="27"/>
      <c r="AF18" s="27">
        <v>90</v>
      </c>
      <c r="AG18" s="35">
        <v>2</v>
      </c>
      <c r="AH18" s="320"/>
      <c r="AI18" s="320"/>
      <c r="AJ18" s="50">
        <v>78.5</v>
      </c>
      <c r="AK18" s="334"/>
      <c r="AL18" s="334"/>
      <c r="AM18" s="334"/>
      <c r="AN18" s="334"/>
      <c r="AO18" s="334"/>
      <c r="AP18" s="334"/>
      <c r="AQ18" s="27">
        <f t="shared" si="0"/>
        <v>575.69999999999993</v>
      </c>
      <c r="AR18" s="27">
        <f t="shared" si="1"/>
        <v>5552.7</v>
      </c>
      <c r="AS18" s="27">
        <f t="shared" si="2"/>
        <v>277.63499999999999</v>
      </c>
      <c r="AT18" s="27">
        <f t="shared" si="3"/>
        <v>5830.335</v>
      </c>
      <c r="AU18" s="27"/>
      <c r="AV18" s="56"/>
    </row>
    <row r="19" spans="1:49">
      <c r="A19" s="26">
        <v>42176</v>
      </c>
      <c r="B19" s="69" t="s">
        <v>111</v>
      </c>
      <c r="C19" s="31">
        <v>32</v>
      </c>
      <c r="D19" s="31">
        <v>5</v>
      </c>
      <c r="E19" s="35">
        <v>4</v>
      </c>
      <c r="F19" s="27">
        <v>150</v>
      </c>
      <c r="G19" s="50"/>
      <c r="H19" s="27">
        <v>130</v>
      </c>
      <c r="I19" s="35">
        <v>8</v>
      </c>
      <c r="J19" s="27">
        <v>130</v>
      </c>
      <c r="K19" s="31">
        <v>8</v>
      </c>
      <c r="L19" s="27">
        <v>75</v>
      </c>
      <c r="M19" s="31">
        <v>8</v>
      </c>
      <c r="N19" s="27">
        <v>75</v>
      </c>
      <c r="O19" s="31">
        <v>4</v>
      </c>
      <c r="P19" s="27">
        <v>75</v>
      </c>
      <c r="Q19" s="31"/>
      <c r="R19" s="27">
        <v>185</v>
      </c>
      <c r="S19" s="31"/>
      <c r="T19" s="27">
        <v>150</v>
      </c>
      <c r="U19" s="31">
        <v>326</v>
      </c>
      <c r="V19" s="27">
        <v>0.95</v>
      </c>
      <c r="W19" s="31">
        <v>331</v>
      </c>
      <c r="X19" s="27">
        <v>0.8</v>
      </c>
      <c r="Y19" s="27"/>
      <c r="Z19" s="121">
        <v>115</v>
      </c>
      <c r="AA19" s="27"/>
      <c r="AB19" s="27">
        <v>55</v>
      </c>
      <c r="AC19" s="231"/>
      <c r="AD19" s="272">
        <v>110</v>
      </c>
      <c r="AE19" s="27"/>
      <c r="AF19" s="27">
        <v>90</v>
      </c>
      <c r="AG19" s="35">
        <v>1</v>
      </c>
      <c r="AH19" s="320"/>
      <c r="AI19" s="320"/>
      <c r="AJ19" s="50">
        <v>78.5</v>
      </c>
      <c r="AK19" s="334"/>
      <c r="AL19" s="334"/>
      <c r="AM19" s="334"/>
      <c r="AN19" s="334"/>
      <c r="AO19" s="334"/>
      <c r="AP19" s="334"/>
      <c r="AQ19" s="27">
        <f t="shared" si="0"/>
        <v>574.5</v>
      </c>
      <c r="AR19" s="27">
        <f t="shared" si="1"/>
        <v>3793</v>
      </c>
      <c r="AS19" s="27">
        <f t="shared" si="2"/>
        <v>189.65</v>
      </c>
      <c r="AT19" s="27">
        <f t="shared" si="3"/>
        <v>3982.65</v>
      </c>
      <c r="AU19" s="27"/>
      <c r="AV19" s="56"/>
    </row>
    <row r="20" spans="1:49">
      <c r="A20" s="26">
        <v>42177</v>
      </c>
      <c r="B20" s="69" t="s">
        <v>117</v>
      </c>
      <c r="C20" s="31">
        <v>22.5</v>
      </c>
      <c r="D20" s="31">
        <v>4</v>
      </c>
      <c r="E20" s="35">
        <v>9.5</v>
      </c>
      <c r="F20" s="27">
        <v>150</v>
      </c>
      <c r="G20" s="50"/>
      <c r="H20" s="27">
        <v>130</v>
      </c>
      <c r="I20" s="35">
        <v>4</v>
      </c>
      <c r="J20" s="27">
        <v>130</v>
      </c>
      <c r="K20" s="111">
        <v>9.5</v>
      </c>
      <c r="L20" s="27">
        <v>75</v>
      </c>
      <c r="M20" s="31">
        <v>9.5</v>
      </c>
      <c r="N20" s="27">
        <v>75</v>
      </c>
      <c r="O20" s="31"/>
      <c r="P20" s="27">
        <v>75</v>
      </c>
      <c r="Q20" s="31"/>
      <c r="R20" s="27">
        <v>185</v>
      </c>
      <c r="S20" s="27"/>
      <c r="T20" s="27">
        <v>150</v>
      </c>
      <c r="U20" s="31">
        <v>385</v>
      </c>
      <c r="V20" s="27">
        <v>0.95</v>
      </c>
      <c r="W20" s="27"/>
      <c r="X20" s="27">
        <v>0.8</v>
      </c>
      <c r="Y20" s="27"/>
      <c r="Z20" s="121">
        <v>115</v>
      </c>
      <c r="AA20" s="27"/>
      <c r="AB20" s="27">
        <v>55</v>
      </c>
      <c r="AC20" s="231"/>
      <c r="AD20" s="272">
        <v>110</v>
      </c>
      <c r="AE20" s="27"/>
      <c r="AF20" s="27">
        <v>90</v>
      </c>
      <c r="AG20" s="35">
        <v>2</v>
      </c>
      <c r="AH20" s="320"/>
      <c r="AI20" s="320"/>
      <c r="AJ20" s="50">
        <v>78.5</v>
      </c>
      <c r="AK20" s="334"/>
      <c r="AL20" s="334"/>
      <c r="AM20" s="334"/>
      <c r="AN20" s="334"/>
      <c r="AO20" s="334"/>
      <c r="AP20" s="334"/>
      <c r="AQ20" s="27">
        <f t="shared" si="0"/>
        <v>365.75</v>
      </c>
      <c r="AR20" s="27">
        <f t="shared" si="1"/>
        <v>3892.75</v>
      </c>
      <c r="AS20" s="27">
        <f t="shared" si="2"/>
        <v>194.63750000000002</v>
      </c>
      <c r="AT20" s="27">
        <f t="shared" si="3"/>
        <v>4087.3874999999998</v>
      </c>
      <c r="AU20" s="27"/>
      <c r="AV20" s="56"/>
    </row>
    <row r="21" spans="1:49">
      <c r="A21" s="26">
        <v>42178</v>
      </c>
      <c r="B21" s="69" t="s">
        <v>118</v>
      </c>
      <c r="C21" s="31">
        <v>38</v>
      </c>
      <c r="D21" s="31">
        <v>4</v>
      </c>
      <c r="E21" s="35">
        <v>10</v>
      </c>
      <c r="F21" s="27">
        <v>150</v>
      </c>
      <c r="G21" s="50"/>
      <c r="H21" s="27">
        <v>130</v>
      </c>
      <c r="I21" s="50"/>
      <c r="J21" s="27">
        <v>130</v>
      </c>
      <c r="K21" s="108">
        <v>9.5</v>
      </c>
      <c r="L21" s="27">
        <v>75</v>
      </c>
      <c r="M21" s="108">
        <v>9.5</v>
      </c>
      <c r="N21" s="27">
        <v>75</v>
      </c>
      <c r="O21" s="108">
        <v>9</v>
      </c>
      <c r="P21" s="27">
        <v>75</v>
      </c>
      <c r="Q21" s="27"/>
      <c r="R21" s="27">
        <v>185</v>
      </c>
      <c r="S21" s="27"/>
      <c r="T21" s="27">
        <v>150</v>
      </c>
      <c r="U21" s="31">
        <v>371</v>
      </c>
      <c r="V21" s="27">
        <v>0.95</v>
      </c>
      <c r="W21" s="27"/>
      <c r="X21" s="27">
        <v>0.8</v>
      </c>
      <c r="Y21" s="27"/>
      <c r="Z21" s="121">
        <v>115</v>
      </c>
      <c r="AA21" s="27"/>
      <c r="AB21" s="27">
        <v>55</v>
      </c>
      <c r="AC21" s="231"/>
      <c r="AD21" s="272">
        <v>110</v>
      </c>
      <c r="AE21" s="27"/>
      <c r="AF21" s="27">
        <v>90</v>
      </c>
      <c r="AG21" s="35">
        <v>2</v>
      </c>
      <c r="AH21" s="320"/>
      <c r="AI21" s="320"/>
      <c r="AJ21" s="50">
        <v>78.5</v>
      </c>
      <c r="AK21" s="334"/>
      <c r="AL21" s="334"/>
      <c r="AM21" s="334"/>
      <c r="AN21" s="334"/>
      <c r="AO21" s="334"/>
      <c r="AP21" s="334"/>
      <c r="AQ21" s="27">
        <f t="shared" si="0"/>
        <v>352.45</v>
      </c>
      <c r="AR21" s="27">
        <f t="shared" si="1"/>
        <v>4109.45</v>
      </c>
      <c r="AS21" s="27">
        <f t="shared" ref="AS21:AS68" si="4">(AR21*5%)</f>
        <v>205.4725</v>
      </c>
      <c r="AT21" s="27">
        <f t="shared" ref="AT21:AT68" si="5">SUM(AR21+AS21)</f>
        <v>4314.9224999999997</v>
      </c>
      <c r="AU21" s="27"/>
      <c r="AV21" s="56"/>
    </row>
    <row r="22" spans="1:49">
      <c r="A22" s="26">
        <v>42179</v>
      </c>
      <c r="B22" s="69" t="s">
        <v>119</v>
      </c>
      <c r="C22" s="31">
        <v>42</v>
      </c>
      <c r="D22" s="31">
        <v>4</v>
      </c>
      <c r="E22" s="35">
        <v>11</v>
      </c>
      <c r="F22" s="27">
        <v>150</v>
      </c>
      <c r="G22" s="50"/>
      <c r="H22" s="27">
        <v>130</v>
      </c>
      <c r="I22" s="50"/>
      <c r="J22" s="27">
        <v>130</v>
      </c>
      <c r="K22" s="108">
        <v>11</v>
      </c>
      <c r="L22" s="27">
        <v>75</v>
      </c>
      <c r="M22" s="108">
        <v>10</v>
      </c>
      <c r="N22" s="27">
        <v>75</v>
      </c>
      <c r="O22" s="108">
        <v>10</v>
      </c>
      <c r="P22" s="27">
        <v>75</v>
      </c>
      <c r="Q22" s="27"/>
      <c r="R22" s="27">
        <v>185</v>
      </c>
      <c r="S22" s="27"/>
      <c r="T22" s="27">
        <v>150</v>
      </c>
      <c r="U22" s="31">
        <v>365</v>
      </c>
      <c r="V22" s="27">
        <v>0.95</v>
      </c>
      <c r="W22" s="27"/>
      <c r="X22" s="27">
        <v>0.8</v>
      </c>
      <c r="Y22" s="27"/>
      <c r="Z22" s="121">
        <v>115</v>
      </c>
      <c r="AA22" s="27"/>
      <c r="AB22" s="27">
        <v>55</v>
      </c>
      <c r="AC22" s="231"/>
      <c r="AD22" s="272">
        <v>110</v>
      </c>
      <c r="AE22" s="27"/>
      <c r="AF22" s="27">
        <v>90</v>
      </c>
      <c r="AG22" s="35">
        <v>2</v>
      </c>
      <c r="AH22" s="320"/>
      <c r="AI22" s="320"/>
      <c r="AJ22" s="50">
        <v>78.5</v>
      </c>
      <c r="AK22" s="334"/>
      <c r="AL22" s="334"/>
      <c r="AM22" s="334"/>
      <c r="AN22" s="334"/>
      <c r="AO22" s="334"/>
      <c r="AP22" s="334"/>
      <c r="AQ22" s="27">
        <f t="shared" si="0"/>
        <v>346.75</v>
      </c>
      <c r="AR22" s="27">
        <f t="shared" si="1"/>
        <v>4478.75</v>
      </c>
      <c r="AS22" s="27">
        <f t="shared" si="4"/>
        <v>223.9375</v>
      </c>
      <c r="AT22" s="27">
        <f t="shared" si="5"/>
        <v>4702.6875</v>
      </c>
      <c r="AU22" s="27"/>
      <c r="AV22" s="56"/>
    </row>
    <row r="23" spans="1:49">
      <c r="A23" s="26">
        <v>42180</v>
      </c>
      <c r="B23" s="69" t="s">
        <v>124</v>
      </c>
      <c r="C23" s="31">
        <v>38</v>
      </c>
      <c r="D23" s="31">
        <v>4</v>
      </c>
      <c r="E23" s="35">
        <v>11</v>
      </c>
      <c r="F23" s="27">
        <v>150</v>
      </c>
      <c r="G23" s="50"/>
      <c r="H23" s="27">
        <v>130</v>
      </c>
      <c r="I23" s="27"/>
      <c r="J23" s="27">
        <v>130</v>
      </c>
      <c r="K23" s="111">
        <v>11</v>
      </c>
      <c r="L23" s="27">
        <v>75</v>
      </c>
      <c r="M23" s="111">
        <v>8</v>
      </c>
      <c r="N23" s="27">
        <v>75</v>
      </c>
      <c r="O23" s="111">
        <v>8</v>
      </c>
      <c r="P23" s="27">
        <v>75</v>
      </c>
      <c r="Q23" s="27"/>
      <c r="R23" s="27">
        <v>185</v>
      </c>
      <c r="S23" s="27"/>
      <c r="T23" s="27">
        <v>150</v>
      </c>
      <c r="U23" s="31">
        <v>360</v>
      </c>
      <c r="V23" s="27">
        <v>0.95</v>
      </c>
      <c r="W23" s="31">
        <v>327</v>
      </c>
      <c r="X23" s="27">
        <v>0.8</v>
      </c>
      <c r="Y23" s="27"/>
      <c r="Z23" s="121">
        <v>115</v>
      </c>
      <c r="AA23" s="27"/>
      <c r="AB23" s="27">
        <v>55</v>
      </c>
      <c r="AC23" s="231"/>
      <c r="AD23" s="272">
        <v>110</v>
      </c>
      <c r="AE23" s="27"/>
      <c r="AF23" s="27">
        <v>90</v>
      </c>
      <c r="AG23" s="35">
        <v>2</v>
      </c>
      <c r="AH23" s="320"/>
      <c r="AI23" s="320"/>
      <c r="AJ23" s="50">
        <v>78.5</v>
      </c>
      <c r="AK23" s="334"/>
      <c r="AL23" s="334"/>
      <c r="AM23" s="334"/>
      <c r="AN23" s="334"/>
      <c r="AO23" s="334"/>
      <c r="AP23" s="334"/>
      <c r="AQ23" s="27">
        <f t="shared" si="0"/>
        <v>603.6</v>
      </c>
      <c r="AR23" s="27">
        <f t="shared" si="1"/>
        <v>4435.6000000000004</v>
      </c>
      <c r="AS23" s="27">
        <f t="shared" si="4"/>
        <v>221.78000000000003</v>
      </c>
      <c r="AT23" s="27">
        <f t="shared" si="5"/>
        <v>4657.38</v>
      </c>
      <c r="AU23" s="27"/>
      <c r="AV23" s="61"/>
      <c r="AW23" s="62"/>
    </row>
    <row r="24" spans="1:49">
      <c r="A24" s="26">
        <v>42181</v>
      </c>
      <c r="B24" s="69" t="s">
        <v>125</v>
      </c>
      <c r="C24" s="31">
        <v>29</v>
      </c>
      <c r="D24" s="31">
        <v>3</v>
      </c>
      <c r="E24" s="35">
        <v>10.5</v>
      </c>
      <c r="F24" s="27">
        <v>150</v>
      </c>
      <c r="G24" s="50"/>
      <c r="H24" s="27">
        <v>130</v>
      </c>
      <c r="I24" s="27"/>
      <c r="J24" s="27">
        <v>130</v>
      </c>
      <c r="K24" s="108">
        <v>8</v>
      </c>
      <c r="L24" s="27">
        <v>75</v>
      </c>
      <c r="M24" s="27"/>
      <c r="N24" s="27">
        <v>75</v>
      </c>
      <c r="O24" s="108">
        <v>10.5</v>
      </c>
      <c r="P24" s="27">
        <v>75</v>
      </c>
      <c r="Q24" s="27"/>
      <c r="R24" s="27">
        <v>185</v>
      </c>
      <c r="S24" s="27"/>
      <c r="T24" s="27">
        <v>150</v>
      </c>
      <c r="U24" s="31">
        <v>557</v>
      </c>
      <c r="V24" s="27">
        <v>0.95</v>
      </c>
      <c r="W24" s="27"/>
      <c r="X24" s="27">
        <v>0.8</v>
      </c>
      <c r="Y24" s="27"/>
      <c r="Z24" s="121">
        <v>115</v>
      </c>
      <c r="AA24" s="27"/>
      <c r="AB24" s="27">
        <v>55</v>
      </c>
      <c r="AC24" s="231"/>
      <c r="AD24" s="272">
        <v>110</v>
      </c>
      <c r="AE24" s="27"/>
      <c r="AF24" s="27">
        <v>90</v>
      </c>
      <c r="AG24" s="35">
        <v>1</v>
      </c>
      <c r="AH24" s="320"/>
      <c r="AI24" s="320"/>
      <c r="AJ24" s="50">
        <v>78.5</v>
      </c>
      <c r="AK24" s="334"/>
      <c r="AL24" s="334"/>
      <c r="AM24" s="334"/>
      <c r="AN24" s="334"/>
      <c r="AO24" s="334"/>
      <c r="AP24" s="334"/>
      <c r="AQ24" s="27">
        <f t="shared" si="0"/>
        <v>529.15</v>
      </c>
      <c r="AR24" s="27">
        <f t="shared" si="1"/>
        <v>3570.15</v>
      </c>
      <c r="AS24" s="27">
        <f t="shared" si="4"/>
        <v>178.50750000000002</v>
      </c>
      <c r="AT24" s="27">
        <f t="shared" si="5"/>
        <v>3748.6575000000003</v>
      </c>
      <c r="AU24" s="27"/>
      <c r="AV24" s="56"/>
    </row>
    <row r="25" spans="1:49">
      <c r="A25" s="26">
        <v>42182</v>
      </c>
      <c r="B25" s="69" t="s">
        <v>126</v>
      </c>
      <c r="C25" s="153">
        <v>21</v>
      </c>
      <c r="D25" s="64">
        <v>2</v>
      </c>
      <c r="E25" s="222">
        <v>12</v>
      </c>
      <c r="F25" s="27">
        <v>150</v>
      </c>
      <c r="G25" s="50"/>
      <c r="H25" s="27">
        <v>130</v>
      </c>
      <c r="I25" s="50"/>
      <c r="J25" s="27">
        <v>130</v>
      </c>
      <c r="K25" s="31"/>
      <c r="L25" s="27">
        <v>75</v>
      </c>
      <c r="M25" s="27"/>
      <c r="N25" s="27">
        <v>75</v>
      </c>
      <c r="O25" s="108">
        <v>9</v>
      </c>
      <c r="P25" s="27">
        <v>75</v>
      </c>
      <c r="Q25" s="27"/>
      <c r="R25" s="27">
        <v>185</v>
      </c>
      <c r="S25" s="27"/>
      <c r="T25" s="27">
        <v>150</v>
      </c>
      <c r="U25" s="31">
        <v>255</v>
      </c>
      <c r="V25" s="27">
        <v>0.95</v>
      </c>
      <c r="W25" s="27"/>
      <c r="X25" s="27">
        <v>0.8</v>
      </c>
      <c r="Y25" s="27"/>
      <c r="Z25" s="121">
        <v>115</v>
      </c>
      <c r="AA25" s="27"/>
      <c r="AB25" s="27">
        <v>55</v>
      </c>
      <c r="AC25" s="231"/>
      <c r="AD25" s="272">
        <v>110</v>
      </c>
      <c r="AE25" s="27"/>
      <c r="AF25" s="27">
        <v>90</v>
      </c>
      <c r="AG25" s="31">
        <v>1</v>
      </c>
      <c r="AH25" s="321"/>
      <c r="AI25" s="321"/>
      <c r="AJ25" s="50">
        <v>78.5</v>
      </c>
      <c r="AK25" s="334"/>
      <c r="AL25" s="334"/>
      <c r="AM25" s="334"/>
      <c r="AN25" s="334"/>
      <c r="AO25" s="334"/>
      <c r="AP25" s="334"/>
      <c r="AQ25" s="27">
        <f t="shared" si="0"/>
        <v>242.25</v>
      </c>
      <c r="AR25" s="27">
        <f t="shared" si="1"/>
        <v>2795.75</v>
      </c>
      <c r="AS25" s="27">
        <f t="shared" si="4"/>
        <v>139.78749999999999</v>
      </c>
      <c r="AT25" s="27">
        <f t="shared" si="5"/>
        <v>2935.5374999999999</v>
      </c>
      <c r="AU25" s="64"/>
      <c r="AV25" s="56"/>
    </row>
    <row r="26" spans="1:49">
      <c r="A26" s="26">
        <v>42183</v>
      </c>
      <c r="B26" s="69" t="s">
        <v>127</v>
      </c>
      <c r="C26" s="153">
        <v>22</v>
      </c>
      <c r="D26" s="64">
        <v>3</v>
      </c>
      <c r="E26" s="66">
        <v>10</v>
      </c>
      <c r="F26" s="27">
        <v>150</v>
      </c>
      <c r="G26" s="50"/>
      <c r="H26" s="27">
        <v>130</v>
      </c>
      <c r="I26" s="50"/>
      <c r="J26" s="27">
        <v>130</v>
      </c>
      <c r="K26" s="31"/>
      <c r="L26" s="27">
        <v>75</v>
      </c>
      <c r="M26" s="27"/>
      <c r="N26" s="27">
        <v>75</v>
      </c>
      <c r="O26" s="111">
        <v>8</v>
      </c>
      <c r="P26" s="27">
        <v>75</v>
      </c>
      <c r="Q26" s="103"/>
      <c r="R26" s="27">
        <v>185</v>
      </c>
      <c r="S26" s="111">
        <v>4</v>
      </c>
      <c r="T26" s="27">
        <v>150</v>
      </c>
      <c r="U26" s="31">
        <v>345</v>
      </c>
      <c r="V26" s="27">
        <v>0.95</v>
      </c>
      <c r="W26" s="27"/>
      <c r="X26" s="27">
        <v>0.8</v>
      </c>
      <c r="Y26" s="27"/>
      <c r="Z26" s="121">
        <v>115</v>
      </c>
      <c r="AA26" s="27"/>
      <c r="AB26" s="27">
        <v>55</v>
      </c>
      <c r="AC26" s="231"/>
      <c r="AD26" s="272">
        <v>110</v>
      </c>
      <c r="AE26" s="27"/>
      <c r="AF26" s="27">
        <v>90</v>
      </c>
      <c r="AG26" s="31">
        <v>0.5</v>
      </c>
      <c r="AH26" s="321"/>
      <c r="AI26" s="321"/>
      <c r="AJ26" s="50">
        <v>78.5</v>
      </c>
      <c r="AK26" s="334"/>
      <c r="AL26" s="334"/>
      <c r="AM26" s="334"/>
      <c r="AN26" s="334"/>
      <c r="AO26" s="334"/>
      <c r="AP26" s="334"/>
      <c r="AQ26" s="27">
        <f t="shared" si="0"/>
        <v>327.75</v>
      </c>
      <c r="AR26" s="27">
        <f t="shared" si="1"/>
        <v>3067</v>
      </c>
      <c r="AS26" s="27">
        <f t="shared" si="4"/>
        <v>153.35</v>
      </c>
      <c r="AT26" s="27">
        <f t="shared" si="5"/>
        <v>3220.35</v>
      </c>
      <c r="AU26" s="64"/>
      <c r="AV26" s="56"/>
    </row>
    <row r="27" spans="1:49">
      <c r="A27" s="26">
        <v>42184</v>
      </c>
      <c r="B27" s="69" t="s">
        <v>128</v>
      </c>
      <c r="C27" s="153">
        <v>45</v>
      </c>
      <c r="D27" s="64">
        <v>4</v>
      </c>
      <c r="E27" s="66">
        <v>11</v>
      </c>
      <c r="F27" s="27">
        <v>150</v>
      </c>
      <c r="G27" s="50"/>
      <c r="H27" s="27">
        <v>130</v>
      </c>
      <c r="I27" s="50"/>
      <c r="J27" s="27">
        <v>130</v>
      </c>
      <c r="K27" s="31"/>
      <c r="L27" s="27">
        <v>75</v>
      </c>
      <c r="M27" s="27"/>
      <c r="N27" s="27">
        <v>75</v>
      </c>
      <c r="O27" s="111">
        <v>11</v>
      </c>
      <c r="P27" s="27">
        <v>75</v>
      </c>
      <c r="Q27" s="111">
        <v>12</v>
      </c>
      <c r="R27" s="27">
        <v>185</v>
      </c>
      <c r="S27" s="111">
        <v>11</v>
      </c>
      <c r="T27" s="27">
        <v>150</v>
      </c>
      <c r="U27" s="31">
        <v>534</v>
      </c>
      <c r="V27" s="27">
        <v>0.95</v>
      </c>
      <c r="W27" s="27"/>
      <c r="X27" s="27">
        <v>0.8</v>
      </c>
      <c r="Y27" s="27"/>
      <c r="Z27" s="121">
        <v>115</v>
      </c>
      <c r="AA27" s="27"/>
      <c r="AB27" s="27">
        <v>55</v>
      </c>
      <c r="AC27" s="231"/>
      <c r="AD27" s="272">
        <v>110</v>
      </c>
      <c r="AE27" s="27"/>
      <c r="AF27" s="27">
        <v>90</v>
      </c>
      <c r="AG27" s="31">
        <v>1</v>
      </c>
      <c r="AH27" s="321"/>
      <c r="AI27" s="321"/>
      <c r="AJ27" s="50">
        <v>78.5</v>
      </c>
      <c r="AK27" s="334"/>
      <c r="AL27" s="334"/>
      <c r="AM27" s="334"/>
      <c r="AN27" s="334"/>
      <c r="AO27" s="334"/>
      <c r="AP27" s="334"/>
      <c r="AQ27" s="27">
        <f t="shared" si="0"/>
        <v>507.29999999999995</v>
      </c>
      <c r="AR27" s="27">
        <f t="shared" si="1"/>
        <v>6930.8</v>
      </c>
      <c r="AS27" s="27">
        <f t="shared" si="4"/>
        <v>346.54</v>
      </c>
      <c r="AT27" s="27">
        <f t="shared" si="5"/>
        <v>7277.34</v>
      </c>
      <c r="AU27" s="64"/>
      <c r="AV27" s="56"/>
    </row>
    <row r="28" spans="1:49">
      <c r="A28" s="26">
        <v>42185</v>
      </c>
      <c r="B28" s="69" t="s">
        <v>129</v>
      </c>
      <c r="C28" s="153">
        <v>24</v>
      </c>
      <c r="D28" s="64">
        <v>3</v>
      </c>
      <c r="E28" s="66">
        <v>10</v>
      </c>
      <c r="F28" s="27">
        <v>150</v>
      </c>
      <c r="G28" s="50"/>
      <c r="H28" s="27">
        <v>130</v>
      </c>
      <c r="I28" s="50"/>
      <c r="J28" s="27">
        <v>130</v>
      </c>
      <c r="K28" s="31"/>
      <c r="L28" s="27">
        <v>75</v>
      </c>
      <c r="M28" s="27"/>
      <c r="N28" s="27">
        <v>75</v>
      </c>
      <c r="O28" s="111">
        <v>8</v>
      </c>
      <c r="P28" s="27">
        <v>75</v>
      </c>
      <c r="Q28" s="27"/>
      <c r="R28" s="27">
        <v>185</v>
      </c>
      <c r="S28" s="111">
        <v>6</v>
      </c>
      <c r="T28" s="27">
        <v>150</v>
      </c>
      <c r="U28" s="31">
        <v>468</v>
      </c>
      <c r="V28" s="27">
        <v>0.95</v>
      </c>
      <c r="W28" s="27"/>
      <c r="X28" s="27">
        <v>0.8</v>
      </c>
      <c r="Y28" s="27"/>
      <c r="Z28" s="121">
        <v>115</v>
      </c>
      <c r="AA28" s="27"/>
      <c r="AB28" s="27">
        <v>55</v>
      </c>
      <c r="AC28" s="231"/>
      <c r="AD28" s="272">
        <v>110</v>
      </c>
      <c r="AE28" s="27"/>
      <c r="AF28" s="27">
        <v>90</v>
      </c>
      <c r="AG28" s="31">
        <v>1</v>
      </c>
      <c r="AH28" s="321"/>
      <c r="AI28" s="321"/>
      <c r="AJ28" s="50">
        <v>78.5</v>
      </c>
      <c r="AK28" s="334"/>
      <c r="AL28" s="334"/>
      <c r="AM28" s="334"/>
      <c r="AN28" s="334"/>
      <c r="AO28" s="334"/>
      <c r="AP28" s="334"/>
      <c r="AQ28" s="27">
        <f t="shared" si="0"/>
        <v>444.59999999999997</v>
      </c>
      <c r="AR28" s="27">
        <f t="shared" si="1"/>
        <v>3523.1</v>
      </c>
      <c r="AS28" s="27">
        <f t="shared" si="4"/>
        <v>176.155</v>
      </c>
      <c r="AT28" s="27">
        <f t="shared" si="5"/>
        <v>3699.2550000000001</v>
      </c>
      <c r="AU28" s="64"/>
      <c r="AV28" s="56"/>
    </row>
    <row r="29" spans="1:49">
      <c r="A29" s="26">
        <v>42186</v>
      </c>
      <c r="B29" s="69" t="s">
        <v>134</v>
      </c>
      <c r="C29" s="31">
        <v>18</v>
      </c>
      <c r="D29" s="31">
        <v>2</v>
      </c>
      <c r="E29" s="31">
        <v>10</v>
      </c>
      <c r="F29" s="27">
        <v>150</v>
      </c>
      <c r="G29" s="27"/>
      <c r="H29" s="27">
        <v>130</v>
      </c>
      <c r="I29" s="27"/>
      <c r="J29" s="27">
        <v>130</v>
      </c>
      <c r="K29" s="31"/>
      <c r="L29" s="27">
        <v>75</v>
      </c>
      <c r="M29" s="27"/>
      <c r="N29" s="27">
        <v>75</v>
      </c>
      <c r="O29" s="31">
        <v>8</v>
      </c>
      <c r="P29" s="27">
        <v>75</v>
      </c>
      <c r="Q29" s="27"/>
      <c r="R29" s="27">
        <v>185</v>
      </c>
      <c r="S29" s="27"/>
      <c r="T29" s="27">
        <v>150</v>
      </c>
      <c r="U29" s="31">
        <v>114</v>
      </c>
      <c r="V29" s="27">
        <v>0.95</v>
      </c>
      <c r="W29" s="27"/>
      <c r="X29" s="27">
        <v>0.8</v>
      </c>
      <c r="Y29" s="27"/>
      <c r="Z29" s="121">
        <v>115</v>
      </c>
      <c r="AA29" s="27"/>
      <c r="AB29" s="27">
        <v>55</v>
      </c>
      <c r="AC29" s="231"/>
      <c r="AD29" s="272">
        <v>110</v>
      </c>
      <c r="AE29" s="27"/>
      <c r="AF29" s="27">
        <v>90</v>
      </c>
      <c r="AG29" s="31">
        <v>1</v>
      </c>
      <c r="AH29" s="321"/>
      <c r="AI29" s="321"/>
      <c r="AJ29" s="50">
        <v>78.5</v>
      </c>
      <c r="AK29" s="334"/>
      <c r="AL29" s="334"/>
      <c r="AM29" s="334"/>
      <c r="AN29" s="334"/>
      <c r="AO29" s="334"/>
      <c r="AP29" s="334"/>
      <c r="AQ29" s="27">
        <f t="shared" si="0"/>
        <v>108.3</v>
      </c>
      <c r="AR29" s="27">
        <f t="shared" si="1"/>
        <v>2286.8000000000002</v>
      </c>
      <c r="AS29" s="27">
        <f t="shared" si="4"/>
        <v>114.34000000000002</v>
      </c>
      <c r="AT29" s="27">
        <f t="shared" si="5"/>
        <v>2401.1400000000003</v>
      </c>
      <c r="AU29" s="27"/>
      <c r="AV29" s="56"/>
    </row>
    <row r="30" spans="1:49">
      <c r="A30" s="26">
        <v>42187</v>
      </c>
      <c r="B30" s="69" t="s">
        <v>135</v>
      </c>
      <c r="C30" s="31">
        <v>19.5</v>
      </c>
      <c r="D30" s="31">
        <v>2</v>
      </c>
      <c r="E30" s="31">
        <v>10</v>
      </c>
      <c r="F30" s="27">
        <v>150</v>
      </c>
      <c r="G30" s="27"/>
      <c r="H30" s="27">
        <v>130</v>
      </c>
      <c r="I30" s="27"/>
      <c r="J30" s="27">
        <v>130</v>
      </c>
      <c r="K30" s="31"/>
      <c r="L30" s="27">
        <v>75</v>
      </c>
      <c r="M30" s="27"/>
      <c r="N30" s="27">
        <v>75</v>
      </c>
      <c r="O30" s="31">
        <v>9.5</v>
      </c>
      <c r="P30" s="27">
        <v>75</v>
      </c>
      <c r="Q30" s="27"/>
      <c r="R30" s="27">
        <v>185</v>
      </c>
      <c r="S30" s="27"/>
      <c r="T30" s="27">
        <v>150</v>
      </c>
      <c r="U30" s="31">
        <v>222</v>
      </c>
      <c r="V30" s="27">
        <v>0.95</v>
      </c>
      <c r="W30" s="27"/>
      <c r="X30" s="27">
        <v>0.8</v>
      </c>
      <c r="Y30" s="27"/>
      <c r="Z30" s="121">
        <v>115</v>
      </c>
      <c r="AA30" s="27"/>
      <c r="AB30" s="27">
        <v>55</v>
      </c>
      <c r="AC30" s="231"/>
      <c r="AD30" s="272">
        <v>110</v>
      </c>
      <c r="AE30" s="27"/>
      <c r="AF30" s="27">
        <v>90</v>
      </c>
      <c r="AG30" s="31">
        <v>1</v>
      </c>
      <c r="AH30" s="321"/>
      <c r="AI30" s="321"/>
      <c r="AJ30" s="50">
        <v>78.5</v>
      </c>
      <c r="AK30" s="334"/>
      <c r="AL30" s="334"/>
      <c r="AM30" s="334"/>
      <c r="AN30" s="334"/>
      <c r="AO30" s="334"/>
      <c r="AP30" s="334"/>
      <c r="AQ30" s="27">
        <f t="shared" si="0"/>
        <v>210.89999999999998</v>
      </c>
      <c r="AR30" s="27">
        <f t="shared" si="1"/>
        <v>2501.9</v>
      </c>
      <c r="AS30" s="27">
        <f t="shared" si="4"/>
        <v>125.09500000000001</v>
      </c>
      <c r="AT30" s="27">
        <f t="shared" si="5"/>
        <v>2626.9949999999999</v>
      </c>
      <c r="AU30" s="27"/>
      <c r="AV30" s="56"/>
    </row>
    <row r="31" spans="1:49">
      <c r="A31" s="26">
        <v>42188</v>
      </c>
      <c r="B31" s="69" t="s">
        <v>136</v>
      </c>
      <c r="C31" s="31">
        <v>20.5</v>
      </c>
      <c r="D31" s="31">
        <v>2</v>
      </c>
      <c r="E31" s="31">
        <v>10.5</v>
      </c>
      <c r="F31" s="27">
        <v>150</v>
      </c>
      <c r="G31" s="27"/>
      <c r="H31" s="27">
        <v>130</v>
      </c>
      <c r="I31" s="27"/>
      <c r="J31" s="27">
        <v>130</v>
      </c>
      <c r="K31" s="31"/>
      <c r="L31" s="27">
        <v>75</v>
      </c>
      <c r="M31" s="27"/>
      <c r="N31" s="27">
        <v>75</v>
      </c>
      <c r="O31" s="31">
        <v>10</v>
      </c>
      <c r="P31" s="27">
        <v>75</v>
      </c>
      <c r="Q31" s="27"/>
      <c r="R31" s="27">
        <v>185</v>
      </c>
      <c r="S31" s="27"/>
      <c r="T31" s="27">
        <v>150</v>
      </c>
      <c r="U31" s="31">
        <v>162</v>
      </c>
      <c r="V31" s="27">
        <v>0.95</v>
      </c>
      <c r="W31" s="27"/>
      <c r="X31" s="27">
        <v>0.8</v>
      </c>
      <c r="Y31" s="27"/>
      <c r="Z31" s="121">
        <v>115</v>
      </c>
      <c r="AA31" s="108">
        <v>1</v>
      </c>
      <c r="AB31" s="27">
        <v>55</v>
      </c>
      <c r="AC31" s="231"/>
      <c r="AD31" s="272">
        <v>110</v>
      </c>
      <c r="AE31" s="27"/>
      <c r="AF31" s="27">
        <v>90</v>
      </c>
      <c r="AG31" s="31">
        <v>1</v>
      </c>
      <c r="AH31" s="321"/>
      <c r="AI31" s="321"/>
      <c r="AJ31" s="50">
        <v>78.5</v>
      </c>
      <c r="AK31" s="334"/>
      <c r="AL31" s="334"/>
      <c r="AM31" s="334"/>
      <c r="AN31" s="334"/>
      <c r="AO31" s="334"/>
      <c r="AP31" s="334"/>
      <c r="AQ31" s="27">
        <f t="shared" si="0"/>
        <v>153.9</v>
      </c>
      <c r="AR31" s="27">
        <f t="shared" si="1"/>
        <v>2612.4</v>
      </c>
      <c r="AS31" s="27">
        <f t="shared" si="4"/>
        <v>130.62</v>
      </c>
      <c r="AT31" s="27">
        <f t="shared" si="5"/>
        <v>2743.02</v>
      </c>
      <c r="AU31" s="27"/>
      <c r="AV31" s="56"/>
    </row>
    <row r="32" spans="1:49">
      <c r="A32" s="63">
        <v>42189</v>
      </c>
      <c r="B32" s="70" t="s">
        <v>153</v>
      </c>
      <c r="C32" s="153">
        <v>24</v>
      </c>
      <c r="D32" s="64">
        <v>2</v>
      </c>
      <c r="E32" s="31">
        <v>12</v>
      </c>
      <c r="F32" s="27">
        <v>150</v>
      </c>
      <c r="G32" s="27"/>
      <c r="H32" s="27">
        <v>130</v>
      </c>
      <c r="I32" s="27"/>
      <c r="J32" s="27">
        <v>130</v>
      </c>
      <c r="K32" s="31"/>
      <c r="L32" s="27">
        <v>75</v>
      </c>
      <c r="M32" s="27"/>
      <c r="N32" s="27">
        <v>75</v>
      </c>
      <c r="O32" s="31">
        <v>12</v>
      </c>
      <c r="P32" s="27">
        <v>75</v>
      </c>
      <c r="Q32" s="27"/>
      <c r="R32" s="27">
        <v>185</v>
      </c>
      <c r="S32" s="27"/>
      <c r="T32" s="27">
        <v>150</v>
      </c>
      <c r="U32" s="31">
        <v>482</v>
      </c>
      <c r="V32" s="27">
        <v>0.95</v>
      </c>
      <c r="W32" s="27"/>
      <c r="X32" s="27">
        <v>0.8</v>
      </c>
      <c r="Y32" s="27"/>
      <c r="Z32" s="121">
        <v>115</v>
      </c>
      <c r="AA32" s="27"/>
      <c r="AB32" s="27">
        <v>55</v>
      </c>
      <c r="AC32" s="231"/>
      <c r="AD32" s="272">
        <v>110</v>
      </c>
      <c r="AE32" s="27"/>
      <c r="AF32" s="27">
        <v>90</v>
      </c>
      <c r="AG32" s="31">
        <v>1</v>
      </c>
      <c r="AH32" s="321"/>
      <c r="AI32" s="321"/>
      <c r="AJ32" s="50">
        <v>78.5</v>
      </c>
      <c r="AK32" s="334"/>
      <c r="AL32" s="334"/>
      <c r="AM32" s="334"/>
      <c r="AN32" s="334"/>
      <c r="AO32" s="334"/>
      <c r="AP32" s="334"/>
      <c r="AQ32" s="27">
        <f t="shared" si="0"/>
        <v>457.9</v>
      </c>
      <c r="AR32" s="27">
        <f t="shared" si="1"/>
        <v>3236.4</v>
      </c>
      <c r="AS32" s="27">
        <f t="shared" si="4"/>
        <v>161.82000000000002</v>
      </c>
      <c r="AT32" s="27">
        <f t="shared" si="5"/>
        <v>3398.2200000000003</v>
      </c>
      <c r="AU32" s="64"/>
      <c r="AV32" s="56"/>
    </row>
    <row r="33" spans="1:49">
      <c r="A33" s="63">
        <v>42190</v>
      </c>
      <c r="B33" s="69" t="s">
        <v>154</v>
      </c>
      <c r="C33" s="153">
        <v>8.5</v>
      </c>
      <c r="D33" s="64">
        <v>2</v>
      </c>
      <c r="E33" s="31">
        <v>4</v>
      </c>
      <c r="F33" s="27">
        <v>150</v>
      </c>
      <c r="G33" s="27"/>
      <c r="H33" s="27">
        <v>130</v>
      </c>
      <c r="I33" s="27"/>
      <c r="J33" s="27">
        <v>130</v>
      </c>
      <c r="K33" s="31"/>
      <c r="L33" s="27">
        <v>75</v>
      </c>
      <c r="M33" s="27"/>
      <c r="N33" s="27">
        <v>75</v>
      </c>
      <c r="O33" s="31">
        <v>4.5</v>
      </c>
      <c r="P33" s="27">
        <v>75</v>
      </c>
      <c r="Q33" s="27"/>
      <c r="R33" s="27">
        <v>185</v>
      </c>
      <c r="S33" s="27"/>
      <c r="T33" s="27">
        <v>150</v>
      </c>
      <c r="U33" s="31">
        <v>315</v>
      </c>
      <c r="V33" s="27">
        <v>0.95</v>
      </c>
      <c r="W33" s="27"/>
      <c r="X33" s="27">
        <v>0.8</v>
      </c>
      <c r="Y33" s="27"/>
      <c r="Z33" s="121">
        <v>115</v>
      </c>
      <c r="AA33" s="27"/>
      <c r="AB33" s="27">
        <v>55</v>
      </c>
      <c r="AC33" s="231"/>
      <c r="AD33" s="272">
        <v>110</v>
      </c>
      <c r="AE33" s="27"/>
      <c r="AF33" s="27">
        <v>90</v>
      </c>
      <c r="AG33" s="35"/>
      <c r="AH33" s="320"/>
      <c r="AI33" s="320"/>
      <c r="AJ33" s="50">
        <v>78.5</v>
      </c>
      <c r="AK33" s="334"/>
      <c r="AL33" s="334"/>
      <c r="AM33" s="334"/>
      <c r="AN33" s="334"/>
      <c r="AO33" s="334"/>
      <c r="AP33" s="334"/>
      <c r="AQ33" s="27">
        <f t="shared" si="0"/>
        <v>299.25</v>
      </c>
      <c r="AR33" s="27">
        <f t="shared" si="1"/>
        <v>1236.75</v>
      </c>
      <c r="AS33" s="27">
        <f t="shared" si="4"/>
        <v>61.837500000000006</v>
      </c>
      <c r="AT33" s="27">
        <f t="shared" si="5"/>
        <v>1298.5875000000001</v>
      </c>
      <c r="AU33" s="64"/>
      <c r="AV33" s="56"/>
    </row>
    <row r="34" spans="1:49">
      <c r="A34" s="63">
        <v>42191</v>
      </c>
      <c r="B34" s="69" t="s">
        <v>155</v>
      </c>
      <c r="C34" s="153">
        <v>22.5</v>
      </c>
      <c r="D34" s="64">
        <v>2</v>
      </c>
      <c r="E34" s="31">
        <v>12.5</v>
      </c>
      <c r="F34" s="27">
        <v>150</v>
      </c>
      <c r="G34" s="27"/>
      <c r="H34" s="27">
        <v>130</v>
      </c>
      <c r="I34" s="27"/>
      <c r="J34" s="27">
        <v>130</v>
      </c>
      <c r="K34" s="31"/>
      <c r="L34" s="27">
        <v>75</v>
      </c>
      <c r="M34" s="27"/>
      <c r="N34" s="27">
        <v>75</v>
      </c>
      <c r="O34" s="31">
        <v>10</v>
      </c>
      <c r="P34" s="27">
        <v>75</v>
      </c>
      <c r="Q34" s="27"/>
      <c r="R34" s="27">
        <v>185</v>
      </c>
      <c r="S34" s="27"/>
      <c r="T34" s="27">
        <v>150</v>
      </c>
      <c r="U34" s="31">
        <v>132</v>
      </c>
      <c r="V34" s="27">
        <v>0.95</v>
      </c>
      <c r="W34" s="27"/>
      <c r="X34" s="27">
        <v>0.8</v>
      </c>
      <c r="Y34" s="31"/>
      <c r="Z34" s="121">
        <v>115</v>
      </c>
      <c r="AA34" s="27"/>
      <c r="AB34" s="27">
        <v>55</v>
      </c>
      <c r="AC34" s="231"/>
      <c r="AD34" s="272">
        <v>110</v>
      </c>
      <c r="AE34" s="27"/>
      <c r="AF34" s="27">
        <v>90</v>
      </c>
      <c r="AG34" s="31">
        <v>1</v>
      </c>
      <c r="AH34" s="321"/>
      <c r="AI34" s="321"/>
      <c r="AJ34" s="50">
        <v>78.5</v>
      </c>
      <c r="AK34" s="334"/>
      <c r="AL34" s="334"/>
      <c r="AM34" s="334"/>
      <c r="AN34" s="334"/>
      <c r="AO34" s="334"/>
      <c r="AP34" s="334"/>
      <c r="AQ34" s="27">
        <f t="shared" si="0"/>
        <v>125.39999999999999</v>
      </c>
      <c r="AR34" s="27">
        <f t="shared" si="1"/>
        <v>2828.9</v>
      </c>
      <c r="AS34" s="27">
        <f t="shared" si="4"/>
        <v>141.44500000000002</v>
      </c>
      <c r="AT34" s="27">
        <f t="shared" si="5"/>
        <v>2970.3450000000003</v>
      </c>
      <c r="AU34" s="64"/>
      <c r="AV34" s="56"/>
    </row>
    <row r="35" spans="1:49">
      <c r="A35" s="63">
        <v>42192</v>
      </c>
      <c r="B35" s="69" t="s">
        <v>166</v>
      </c>
      <c r="C35" s="153">
        <v>24</v>
      </c>
      <c r="D35" s="64">
        <v>2</v>
      </c>
      <c r="E35" s="31">
        <v>12</v>
      </c>
      <c r="F35" s="27">
        <v>150</v>
      </c>
      <c r="G35" s="27"/>
      <c r="H35" s="27">
        <v>130</v>
      </c>
      <c r="I35" s="27"/>
      <c r="J35" s="27">
        <v>130</v>
      </c>
      <c r="K35" s="31"/>
      <c r="L35" s="27">
        <v>75</v>
      </c>
      <c r="M35" s="27"/>
      <c r="N35" s="27">
        <v>75</v>
      </c>
      <c r="O35" s="31">
        <v>12</v>
      </c>
      <c r="P35" s="27">
        <v>75</v>
      </c>
      <c r="Q35" s="27"/>
      <c r="R35" s="27">
        <v>185</v>
      </c>
      <c r="S35" s="27"/>
      <c r="T35" s="27">
        <v>150</v>
      </c>
      <c r="U35" s="31">
        <v>200</v>
      </c>
      <c r="V35" s="27">
        <v>0.95</v>
      </c>
      <c r="W35" s="27"/>
      <c r="X35" s="27">
        <v>0.8</v>
      </c>
      <c r="Y35" s="31"/>
      <c r="Z35" s="121">
        <v>115</v>
      </c>
      <c r="AA35" s="27"/>
      <c r="AB35" s="27">
        <v>55</v>
      </c>
      <c r="AC35" s="231"/>
      <c r="AD35" s="272">
        <v>110</v>
      </c>
      <c r="AE35" s="27"/>
      <c r="AF35" s="27">
        <v>90</v>
      </c>
      <c r="AG35" s="35">
        <v>1</v>
      </c>
      <c r="AH35" s="320"/>
      <c r="AI35" s="320"/>
      <c r="AJ35" s="50">
        <v>78.5</v>
      </c>
      <c r="AK35" s="334"/>
      <c r="AL35" s="334"/>
      <c r="AM35" s="334"/>
      <c r="AN35" s="334"/>
      <c r="AO35" s="334"/>
      <c r="AP35" s="334"/>
      <c r="AQ35" s="27">
        <f t="shared" si="0"/>
        <v>190</v>
      </c>
      <c r="AR35" s="27">
        <f t="shared" si="1"/>
        <v>2968.5</v>
      </c>
      <c r="AS35" s="27">
        <f t="shared" si="4"/>
        <v>148.42500000000001</v>
      </c>
      <c r="AT35" s="27">
        <f t="shared" si="5"/>
        <v>3116.9250000000002</v>
      </c>
      <c r="AU35" s="64"/>
      <c r="AV35" s="56"/>
    </row>
    <row r="36" spans="1:49">
      <c r="A36" s="63">
        <v>42193</v>
      </c>
      <c r="B36" s="69" t="s">
        <v>167</v>
      </c>
      <c r="C36" s="153">
        <v>28</v>
      </c>
      <c r="D36" s="64">
        <v>3</v>
      </c>
      <c r="E36" s="31">
        <v>12</v>
      </c>
      <c r="F36" s="27">
        <v>150</v>
      </c>
      <c r="G36" s="27"/>
      <c r="H36" s="27">
        <v>130</v>
      </c>
      <c r="I36" s="27"/>
      <c r="J36" s="27">
        <v>130</v>
      </c>
      <c r="K36" s="31"/>
      <c r="L36" s="27">
        <v>75</v>
      </c>
      <c r="M36" s="27"/>
      <c r="N36" s="27">
        <v>75</v>
      </c>
      <c r="O36" s="31">
        <v>12</v>
      </c>
      <c r="P36" s="27">
        <v>75</v>
      </c>
      <c r="Q36" s="27"/>
      <c r="R36" s="27">
        <v>185</v>
      </c>
      <c r="S36" s="31">
        <v>4</v>
      </c>
      <c r="T36" s="27">
        <v>150</v>
      </c>
      <c r="U36" s="31">
        <v>278</v>
      </c>
      <c r="V36" s="27">
        <v>0.95</v>
      </c>
      <c r="W36" s="27"/>
      <c r="X36" s="27">
        <v>0.8</v>
      </c>
      <c r="Y36" s="31">
        <v>1</v>
      </c>
      <c r="Z36" s="121">
        <v>115</v>
      </c>
      <c r="AA36" s="27"/>
      <c r="AB36" s="27">
        <v>55</v>
      </c>
      <c r="AC36" s="231"/>
      <c r="AD36" s="272">
        <v>110</v>
      </c>
      <c r="AE36" s="27"/>
      <c r="AF36" s="27">
        <v>90</v>
      </c>
      <c r="AG36" s="35">
        <v>1</v>
      </c>
      <c r="AH36" s="320"/>
      <c r="AI36" s="320"/>
      <c r="AJ36" s="50">
        <v>78.5</v>
      </c>
      <c r="AK36" s="334"/>
      <c r="AL36" s="334"/>
      <c r="AM36" s="334"/>
      <c r="AN36" s="334"/>
      <c r="AO36" s="334"/>
      <c r="AP36" s="334"/>
      <c r="AQ36" s="27">
        <f t="shared" si="0"/>
        <v>264.09999999999997</v>
      </c>
      <c r="AR36" s="27">
        <f t="shared" si="1"/>
        <v>3757.6</v>
      </c>
      <c r="AS36" s="27">
        <f t="shared" si="4"/>
        <v>187.88</v>
      </c>
      <c r="AT36" s="27">
        <f t="shared" si="5"/>
        <v>3945.48</v>
      </c>
      <c r="AU36" s="64"/>
      <c r="AV36" s="56"/>
    </row>
    <row r="37" spans="1:49">
      <c r="A37" s="63">
        <v>42194</v>
      </c>
      <c r="B37" s="69" t="s">
        <v>168</v>
      </c>
      <c r="C37" s="153">
        <v>21.5</v>
      </c>
      <c r="D37" s="64">
        <v>2</v>
      </c>
      <c r="E37" s="31">
        <v>11</v>
      </c>
      <c r="F37" s="27">
        <v>150</v>
      </c>
      <c r="G37" s="27"/>
      <c r="H37" s="27">
        <v>130</v>
      </c>
      <c r="I37" s="27"/>
      <c r="J37" s="27">
        <v>130</v>
      </c>
      <c r="K37" s="31"/>
      <c r="L37" s="27">
        <v>75</v>
      </c>
      <c r="M37" s="27"/>
      <c r="N37" s="27">
        <v>75</v>
      </c>
      <c r="O37" s="31">
        <v>10.5</v>
      </c>
      <c r="P37" s="27">
        <v>75</v>
      </c>
      <c r="Q37" s="27"/>
      <c r="R37" s="27">
        <v>185</v>
      </c>
      <c r="S37" s="27"/>
      <c r="T37" s="27">
        <v>150</v>
      </c>
      <c r="U37" s="31">
        <v>142</v>
      </c>
      <c r="V37" s="27">
        <v>0.95</v>
      </c>
      <c r="W37" s="27"/>
      <c r="X37" s="27">
        <v>0.8</v>
      </c>
      <c r="Y37" s="31"/>
      <c r="Z37" s="121">
        <v>115</v>
      </c>
      <c r="AA37" s="27"/>
      <c r="AB37" s="27">
        <v>55</v>
      </c>
      <c r="AC37" s="231"/>
      <c r="AD37" s="272">
        <v>110</v>
      </c>
      <c r="AE37" s="27"/>
      <c r="AF37" s="27">
        <v>90</v>
      </c>
      <c r="AG37" s="35">
        <v>1</v>
      </c>
      <c r="AH37" s="320"/>
      <c r="AI37" s="320"/>
      <c r="AJ37" s="50">
        <v>78.5</v>
      </c>
      <c r="AK37" s="334"/>
      <c r="AL37" s="334"/>
      <c r="AM37" s="334"/>
      <c r="AN37" s="334"/>
      <c r="AO37" s="334"/>
      <c r="AP37" s="334"/>
      <c r="AQ37" s="27">
        <f t="shared" si="0"/>
        <v>134.9</v>
      </c>
      <c r="AR37" s="27">
        <f t="shared" ref="AR37:AR66" si="6">(E37*F37)+(G37*H37)+(I37*J37)+(K37*L37)+(M37*N37)+(Q37*R37)+(S37*T37)+AQ37+(AG37*AJ37)+(O37*P37)+(Y37*Z37)+(AA37*AB37)+(AE37*AF37)</f>
        <v>2650.9</v>
      </c>
      <c r="AS37" s="27">
        <f t="shared" si="4"/>
        <v>132.54500000000002</v>
      </c>
      <c r="AT37" s="27">
        <f t="shared" si="5"/>
        <v>2783.4450000000002</v>
      </c>
      <c r="AU37" s="64"/>
      <c r="AV37" s="56"/>
    </row>
    <row r="38" spans="1:49">
      <c r="A38" s="63">
        <v>42195</v>
      </c>
      <c r="B38" s="69" t="s">
        <v>181</v>
      </c>
      <c r="C38" s="153">
        <v>19</v>
      </c>
      <c r="D38" s="64">
        <v>2</v>
      </c>
      <c r="E38" s="31">
        <v>10</v>
      </c>
      <c r="F38" s="27">
        <v>150</v>
      </c>
      <c r="G38" s="27"/>
      <c r="H38" s="27">
        <v>130</v>
      </c>
      <c r="I38" s="27"/>
      <c r="J38" s="27">
        <v>130</v>
      </c>
      <c r="K38" s="31"/>
      <c r="L38" s="27">
        <v>75</v>
      </c>
      <c r="M38" s="27"/>
      <c r="N38" s="27">
        <v>75</v>
      </c>
      <c r="O38" s="31">
        <v>9</v>
      </c>
      <c r="P38" s="27">
        <v>75</v>
      </c>
      <c r="Q38" s="27"/>
      <c r="R38" s="27">
        <v>185</v>
      </c>
      <c r="S38" s="27"/>
      <c r="T38" s="27">
        <v>150</v>
      </c>
      <c r="U38" s="31">
        <v>158</v>
      </c>
      <c r="V38" s="27">
        <v>0.95</v>
      </c>
      <c r="W38" s="27"/>
      <c r="X38" s="27">
        <v>0.8</v>
      </c>
      <c r="Y38" s="31"/>
      <c r="Z38" s="121">
        <v>115</v>
      </c>
      <c r="AA38" s="27"/>
      <c r="AB38" s="27">
        <v>55</v>
      </c>
      <c r="AC38" s="231"/>
      <c r="AD38" s="272">
        <v>110</v>
      </c>
      <c r="AE38" s="31">
        <v>1</v>
      </c>
      <c r="AF38" s="27">
        <v>90</v>
      </c>
      <c r="AG38" s="35">
        <v>1</v>
      </c>
      <c r="AH38" s="320"/>
      <c r="AI38" s="320"/>
      <c r="AJ38" s="50">
        <v>78.5</v>
      </c>
      <c r="AK38" s="334"/>
      <c r="AL38" s="334"/>
      <c r="AM38" s="334"/>
      <c r="AN38" s="334"/>
      <c r="AO38" s="334"/>
      <c r="AP38" s="334"/>
      <c r="AQ38" s="27">
        <f t="shared" si="0"/>
        <v>150.1</v>
      </c>
      <c r="AR38" s="27">
        <f t="shared" si="6"/>
        <v>2493.6</v>
      </c>
      <c r="AS38" s="27">
        <f t="shared" si="4"/>
        <v>124.68</v>
      </c>
      <c r="AT38" s="27">
        <f t="shared" si="5"/>
        <v>2618.2799999999997</v>
      </c>
      <c r="AU38" s="64"/>
      <c r="AV38" s="56"/>
      <c r="AW38" s="151"/>
    </row>
    <row r="39" spans="1:49">
      <c r="A39" s="63">
        <v>42196</v>
      </c>
      <c r="B39" s="69" t="s">
        <v>182</v>
      </c>
      <c r="C39" s="153">
        <v>19</v>
      </c>
      <c r="D39" s="64">
        <v>2</v>
      </c>
      <c r="E39" s="31">
        <v>10</v>
      </c>
      <c r="F39" s="27">
        <v>150</v>
      </c>
      <c r="G39" s="27"/>
      <c r="H39" s="27">
        <v>130</v>
      </c>
      <c r="I39" s="27"/>
      <c r="J39" s="27">
        <v>130</v>
      </c>
      <c r="K39" s="31"/>
      <c r="L39" s="27">
        <v>75</v>
      </c>
      <c r="M39" s="27"/>
      <c r="N39" s="27">
        <v>75</v>
      </c>
      <c r="O39" s="31">
        <v>9</v>
      </c>
      <c r="P39" s="27">
        <v>75</v>
      </c>
      <c r="Q39" s="27"/>
      <c r="R39" s="27">
        <v>185</v>
      </c>
      <c r="S39" s="27"/>
      <c r="T39" s="27">
        <v>150</v>
      </c>
      <c r="U39" s="31">
        <v>129</v>
      </c>
      <c r="V39" s="27">
        <v>0.95</v>
      </c>
      <c r="W39" s="27"/>
      <c r="X39" s="27">
        <v>0.8</v>
      </c>
      <c r="Y39" s="27"/>
      <c r="Z39" s="121">
        <v>115</v>
      </c>
      <c r="AA39" s="27"/>
      <c r="AB39" s="27">
        <v>55</v>
      </c>
      <c r="AC39" s="231"/>
      <c r="AD39" s="272">
        <v>110</v>
      </c>
      <c r="AE39" s="31">
        <v>1</v>
      </c>
      <c r="AF39" s="27">
        <v>90</v>
      </c>
      <c r="AG39" s="35">
        <v>1</v>
      </c>
      <c r="AH39" s="320"/>
      <c r="AI39" s="320"/>
      <c r="AJ39" s="50">
        <v>78.5</v>
      </c>
      <c r="AK39" s="334"/>
      <c r="AL39" s="334"/>
      <c r="AM39" s="334"/>
      <c r="AN39" s="334"/>
      <c r="AO39" s="334"/>
      <c r="AP39" s="334"/>
      <c r="AQ39" s="27">
        <f t="shared" si="0"/>
        <v>122.55</v>
      </c>
      <c r="AR39" s="27">
        <f t="shared" si="6"/>
        <v>2466.0500000000002</v>
      </c>
      <c r="AS39" s="27">
        <f t="shared" si="4"/>
        <v>123.30250000000001</v>
      </c>
      <c r="AT39" s="27">
        <f t="shared" si="5"/>
        <v>2589.3525</v>
      </c>
      <c r="AU39" s="64"/>
      <c r="AV39" s="56"/>
      <c r="AW39" s="151"/>
    </row>
    <row r="40" spans="1:49">
      <c r="A40" s="63">
        <v>42197</v>
      </c>
      <c r="B40" s="69" t="s">
        <v>183</v>
      </c>
      <c r="C40" s="153">
        <v>23</v>
      </c>
      <c r="D40" s="64">
        <v>3</v>
      </c>
      <c r="E40" s="31">
        <v>10</v>
      </c>
      <c r="F40" s="27">
        <v>150</v>
      </c>
      <c r="G40" s="27"/>
      <c r="H40" s="27">
        <v>130</v>
      </c>
      <c r="I40" s="27"/>
      <c r="J40" s="27">
        <v>130</v>
      </c>
      <c r="K40" s="31">
        <v>5</v>
      </c>
      <c r="L40" s="27">
        <v>75</v>
      </c>
      <c r="M40" s="27"/>
      <c r="N40" s="27">
        <v>75</v>
      </c>
      <c r="O40" s="31">
        <v>8</v>
      </c>
      <c r="P40" s="27">
        <v>75</v>
      </c>
      <c r="Q40" s="27"/>
      <c r="R40" s="27">
        <v>185</v>
      </c>
      <c r="S40" s="27"/>
      <c r="T40" s="27">
        <v>150</v>
      </c>
      <c r="U40" s="31">
        <v>85</v>
      </c>
      <c r="V40" s="27">
        <v>0.95</v>
      </c>
      <c r="W40" s="31">
        <v>346</v>
      </c>
      <c r="X40" s="27">
        <v>0.8</v>
      </c>
      <c r="Y40" s="27"/>
      <c r="Z40" s="121">
        <v>115</v>
      </c>
      <c r="AA40" s="27"/>
      <c r="AB40" s="27">
        <v>55</v>
      </c>
      <c r="AC40" s="231"/>
      <c r="AD40" s="272">
        <v>110</v>
      </c>
      <c r="AE40" s="31">
        <v>1</v>
      </c>
      <c r="AF40" s="27">
        <v>90</v>
      </c>
      <c r="AG40" s="35">
        <v>1</v>
      </c>
      <c r="AH40" s="320"/>
      <c r="AI40" s="320"/>
      <c r="AJ40" s="50">
        <v>78.5</v>
      </c>
      <c r="AK40" s="334"/>
      <c r="AL40" s="334"/>
      <c r="AM40" s="334"/>
      <c r="AN40" s="334"/>
      <c r="AO40" s="334"/>
      <c r="AP40" s="334"/>
      <c r="AQ40" s="27">
        <f t="shared" si="0"/>
        <v>357.55</v>
      </c>
      <c r="AR40" s="27">
        <f t="shared" si="6"/>
        <v>3001.05</v>
      </c>
      <c r="AS40" s="27">
        <f t="shared" si="4"/>
        <v>150.05250000000001</v>
      </c>
      <c r="AT40" s="27">
        <f t="shared" si="5"/>
        <v>3151.1025</v>
      </c>
      <c r="AU40" s="64"/>
      <c r="AV40" s="56"/>
      <c r="AW40" s="151"/>
    </row>
    <row r="41" spans="1:49">
      <c r="A41" s="63">
        <v>42198</v>
      </c>
      <c r="B41" s="69" t="s">
        <v>184</v>
      </c>
      <c r="C41" s="153">
        <v>26</v>
      </c>
      <c r="D41" s="64">
        <v>3</v>
      </c>
      <c r="E41" s="31">
        <v>10</v>
      </c>
      <c r="F41" s="27">
        <v>150</v>
      </c>
      <c r="G41" s="27"/>
      <c r="H41" s="27">
        <v>130</v>
      </c>
      <c r="I41" s="27"/>
      <c r="J41" s="27">
        <v>130</v>
      </c>
      <c r="K41" s="31">
        <v>8</v>
      </c>
      <c r="L41" s="27">
        <v>75</v>
      </c>
      <c r="M41" s="27"/>
      <c r="N41" s="27">
        <v>75</v>
      </c>
      <c r="O41" s="31">
        <v>8</v>
      </c>
      <c r="P41" s="27">
        <v>75</v>
      </c>
      <c r="Q41" s="27"/>
      <c r="R41" s="27">
        <v>185</v>
      </c>
      <c r="S41" s="27"/>
      <c r="T41" s="27">
        <v>150</v>
      </c>
      <c r="U41" s="31">
        <v>195</v>
      </c>
      <c r="V41" s="27">
        <v>0.95</v>
      </c>
      <c r="W41" s="27"/>
      <c r="X41" s="27">
        <v>0.8</v>
      </c>
      <c r="Y41" s="27"/>
      <c r="Z41" s="121">
        <v>115</v>
      </c>
      <c r="AA41" s="27"/>
      <c r="AB41" s="27">
        <v>55</v>
      </c>
      <c r="AC41" s="231"/>
      <c r="AD41" s="272">
        <v>110</v>
      </c>
      <c r="AE41" s="31">
        <v>1</v>
      </c>
      <c r="AF41" s="27">
        <v>90</v>
      </c>
      <c r="AG41" s="35">
        <v>1</v>
      </c>
      <c r="AH41" s="320"/>
      <c r="AI41" s="320"/>
      <c r="AJ41" s="50">
        <v>78.5</v>
      </c>
      <c r="AK41" s="334"/>
      <c r="AL41" s="334"/>
      <c r="AM41" s="334"/>
      <c r="AN41" s="334"/>
      <c r="AO41" s="334"/>
      <c r="AP41" s="334"/>
      <c r="AQ41" s="27">
        <f t="shared" si="0"/>
        <v>185.25</v>
      </c>
      <c r="AR41" s="27">
        <f t="shared" si="6"/>
        <v>3053.75</v>
      </c>
      <c r="AS41" s="27">
        <f t="shared" si="4"/>
        <v>152.6875</v>
      </c>
      <c r="AT41" s="27">
        <f t="shared" si="5"/>
        <v>3206.4375</v>
      </c>
      <c r="AU41" s="64"/>
      <c r="AV41" s="56"/>
      <c r="AW41" s="151"/>
    </row>
    <row r="42" spans="1:49">
      <c r="A42" s="63">
        <v>42199</v>
      </c>
      <c r="B42" s="69" t="s">
        <v>195</v>
      </c>
      <c r="C42" s="153">
        <v>27.5</v>
      </c>
      <c r="D42" s="64">
        <v>3</v>
      </c>
      <c r="E42" s="31">
        <v>10</v>
      </c>
      <c r="F42" s="27">
        <v>150</v>
      </c>
      <c r="G42" s="27"/>
      <c r="H42" s="27">
        <v>130</v>
      </c>
      <c r="I42" s="27"/>
      <c r="J42" s="27">
        <v>130</v>
      </c>
      <c r="K42" s="31">
        <v>8.5</v>
      </c>
      <c r="L42" s="27">
        <v>75</v>
      </c>
      <c r="M42" s="27"/>
      <c r="N42" s="27">
        <v>75</v>
      </c>
      <c r="O42" s="31">
        <v>9</v>
      </c>
      <c r="P42" s="27">
        <v>75</v>
      </c>
      <c r="Q42" s="27"/>
      <c r="R42" s="27">
        <v>185</v>
      </c>
      <c r="S42" s="27"/>
      <c r="T42" s="27">
        <v>150</v>
      </c>
      <c r="U42" s="31">
        <v>151</v>
      </c>
      <c r="V42" s="27">
        <v>0.95</v>
      </c>
      <c r="W42" s="27"/>
      <c r="X42" s="27">
        <v>0.8</v>
      </c>
      <c r="Y42" s="27"/>
      <c r="Z42" s="121">
        <v>115</v>
      </c>
      <c r="AA42" s="27"/>
      <c r="AB42" s="27">
        <v>55</v>
      </c>
      <c r="AC42" s="231"/>
      <c r="AD42" s="272">
        <v>110</v>
      </c>
      <c r="AE42" s="31">
        <v>1</v>
      </c>
      <c r="AF42" s="27">
        <v>90</v>
      </c>
      <c r="AG42" s="35">
        <v>1</v>
      </c>
      <c r="AH42" s="320"/>
      <c r="AI42" s="320"/>
      <c r="AJ42" s="50">
        <v>78.5</v>
      </c>
      <c r="AK42" s="334"/>
      <c r="AL42" s="334"/>
      <c r="AM42" s="334"/>
      <c r="AN42" s="334"/>
      <c r="AO42" s="334"/>
      <c r="AP42" s="334"/>
      <c r="AQ42" s="27">
        <f t="shared" si="0"/>
        <v>143.44999999999999</v>
      </c>
      <c r="AR42" s="27">
        <f t="shared" si="6"/>
        <v>3124.45</v>
      </c>
      <c r="AS42" s="27">
        <f t="shared" si="4"/>
        <v>156.2225</v>
      </c>
      <c r="AT42" s="27">
        <f t="shared" si="5"/>
        <v>3280.6724999999997</v>
      </c>
      <c r="AU42" s="64"/>
      <c r="AV42" s="56"/>
      <c r="AW42" s="174"/>
    </row>
    <row r="43" spans="1:49">
      <c r="A43" s="63">
        <v>42200</v>
      </c>
      <c r="B43" s="69" t="s">
        <v>196</v>
      </c>
      <c r="C43" s="153">
        <v>34</v>
      </c>
      <c r="D43" s="64">
        <v>3</v>
      </c>
      <c r="E43" s="31">
        <v>11.5</v>
      </c>
      <c r="F43" s="27">
        <v>150</v>
      </c>
      <c r="G43" s="27"/>
      <c r="H43" s="27">
        <v>130</v>
      </c>
      <c r="I43" s="27"/>
      <c r="J43" s="27">
        <v>130</v>
      </c>
      <c r="K43" s="31">
        <v>11</v>
      </c>
      <c r="L43" s="27">
        <v>75</v>
      </c>
      <c r="M43" s="27"/>
      <c r="N43" s="27">
        <v>75</v>
      </c>
      <c r="O43" s="31">
        <v>12.5</v>
      </c>
      <c r="P43" s="27">
        <v>75</v>
      </c>
      <c r="Q43" s="27"/>
      <c r="R43" s="27">
        <v>185</v>
      </c>
      <c r="S43" s="27"/>
      <c r="T43" s="27">
        <v>150</v>
      </c>
      <c r="U43" s="31">
        <v>200</v>
      </c>
      <c r="V43" s="27">
        <v>0.95</v>
      </c>
      <c r="W43" s="31">
        <v>325</v>
      </c>
      <c r="X43" s="27">
        <v>0.8</v>
      </c>
      <c r="Y43" s="27"/>
      <c r="Z43" s="121">
        <v>115</v>
      </c>
      <c r="AA43" s="27"/>
      <c r="AB43" s="27">
        <v>55</v>
      </c>
      <c r="AC43" s="231"/>
      <c r="AD43" s="272">
        <v>110</v>
      </c>
      <c r="AE43" s="31">
        <v>1</v>
      </c>
      <c r="AF43" s="27">
        <v>90</v>
      </c>
      <c r="AG43" s="35">
        <v>1</v>
      </c>
      <c r="AH43" s="320"/>
      <c r="AI43" s="320"/>
      <c r="AJ43" s="50">
        <v>78.5</v>
      </c>
      <c r="AK43" s="334"/>
      <c r="AL43" s="334"/>
      <c r="AM43" s="334"/>
      <c r="AN43" s="334"/>
      <c r="AO43" s="334"/>
      <c r="AP43" s="334"/>
      <c r="AQ43" s="27">
        <f t="shared" si="0"/>
        <v>450</v>
      </c>
      <c r="AR43" s="27">
        <f t="shared" si="6"/>
        <v>4106</v>
      </c>
      <c r="AS43" s="27">
        <f t="shared" si="4"/>
        <v>205.3</v>
      </c>
      <c r="AT43" s="27">
        <f t="shared" si="5"/>
        <v>4311.3</v>
      </c>
      <c r="AU43" s="64"/>
      <c r="AV43" s="56"/>
      <c r="AW43" s="174"/>
    </row>
    <row r="44" spans="1:49">
      <c r="A44" s="63">
        <v>42201</v>
      </c>
      <c r="B44" s="69" t="s">
        <v>197</v>
      </c>
      <c r="C44" s="153">
        <v>18</v>
      </c>
      <c r="D44" s="64">
        <v>2</v>
      </c>
      <c r="E44" s="31">
        <v>10</v>
      </c>
      <c r="F44" s="27">
        <v>150</v>
      </c>
      <c r="G44" s="27"/>
      <c r="H44" s="27">
        <v>130</v>
      </c>
      <c r="I44" s="27"/>
      <c r="J44" s="27">
        <v>130</v>
      </c>
      <c r="K44" s="31">
        <v>8</v>
      </c>
      <c r="L44" s="27">
        <v>75</v>
      </c>
      <c r="M44" s="27"/>
      <c r="N44" s="27">
        <v>75</v>
      </c>
      <c r="O44" s="31"/>
      <c r="P44" s="27">
        <v>75</v>
      </c>
      <c r="Q44" s="27"/>
      <c r="R44" s="27">
        <v>185</v>
      </c>
      <c r="S44" s="27"/>
      <c r="T44" s="27">
        <v>150</v>
      </c>
      <c r="U44" s="31">
        <v>129</v>
      </c>
      <c r="V44" s="27">
        <v>0.95</v>
      </c>
      <c r="W44" s="27"/>
      <c r="X44" s="27">
        <v>0.8</v>
      </c>
      <c r="Y44" s="27"/>
      <c r="Z44" s="121">
        <v>115</v>
      </c>
      <c r="AA44" s="27"/>
      <c r="AB44" s="27">
        <v>55</v>
      </c>
      <c r="AC44" s="231"/>
      <c r="AD44" s="272">
        <v>110</v>
      </c>
      <c r="AE44" s="31"/>
      <c r="AF44" s="27">
        <v>90</v>
      </c>
      <c r="AG44" s="35"/>
      <c r="AH44" s="320"/>
      <c r="AI44" s="320"/>
      <c r="AJ44" s="50">
        <v>78.5</v>
      </c>
      <c r="AK44" s="334"/>
      <c r="AL44" s="334"/>
      <c r="AM44" s="334"/>
      <c r="AN44" s="334"/>
      <c r="AO44" s="334"/>
      <c r="AP44" s="334"/>
      <c r="AQ44" s="27">
        <f t="shared" si="0"/>
        <v>122.55</v>
      </c>
      <c r="AR44" s="27">
        <f t="shared" si="6"/>
        <v>2222.5500000000002</v>
      </c>
      <c r="AS44" s="27">
        <f t="shared" si="4"/>
        <v>111.12750000000001</v>
      </c>
      <c r="AT44" s="27">
        <f t="shared" si="5"/>
        <v>2333.6775000000002</v>
      </c>
      <c r="AU44" s="64"/>
      <c r="AV44" s="56"/>
      <c r="AW44" s="174"/>
    </row>
    <row r="45" spans="1:49">
      <c r="A45" s="63">
        <v>42202</v>
      </c>
      <c r="B45" s="69" t="s">
        <v>206</v>
      </c>
      <c r="C45" s="153">
        <v>4</v>
      </c>
      <c r="D45" s="64">
        <v>1</v>
      </c>
      <c r="E45" s="31"/>
      <c r="F45" s="27">
        <v>150</v>
      </c>
      <c r="G45" s="27"/>
      <c r="H45" s="27">
        <v>130</v>
      </c>
      <c r="I45" s="27"/>
      <c r="J45" s="27">
        <v>130</v>
      </c>
      <c r="K45" s="31">
        <v>4</v>
      </c>
      <c r="L45" s="27">
        <v>75</v>
      </c>
      <c r="M45" s="27"/>
      <c r="N45" s="27">
        <v>75</v>
      </c>
      <c r="O45" s="31"/>
      <c r="P45" s="27">
        <v>75</v>
      </c>
      <c r="Q45" s="27"/>
      <c r="R45" s="27">
        <v>185</v>
      </c>
      <c r="S45" s="27"/>
      <c r="T45" s="27">
        <v>150</v>
      </c>
      <c r="U45" s="31">
        <v>325</v>
      </c>
      <c r="V45" s="27">
        <v>0.95</v>
      </c>
      <c r="W45" s="27"/>
      <c r="X45" s="27">
        <v>0.8</v>
      </c>
      <c r="Y45" s="27"/>
      <c r="Z45" s="121">
        <v>115</v>
      </c>
      <c r="AA45" s="27"/>
      <c r="AB45" s="27">
        <v>55</v>
      </c>
      <c r="AC45" s="231"/>
      <c r="AD45" s="272">
        <v>110</v>
      </c>
      <c r="AE45" s="31"/>
      <c r="AF45" s="27">
        <v>90</v>
      </c>
      <c r="AG45" s="35"/>
      <c r="AH45" s="320"/>
      <c r="AI45" s="320"/>
      <c r="AJ45" s="50">
        <v>78.5</v>
      </c>
      <c r="AK45" s="334"/>
      <c r="AL45" s="334"/>
      <c r="AM45" s="334"/>
      <c r="AN45" s="334"/>
      <c r="AO45" s="334"/>
      <c r="AP45" s="334"/>
      <c r="AQ45" s="27">
        <f t="shared" si="0"/>
        <v>308.75</v>
      </c>
      <c r="AR45" s="27">
        <f t="shared" si="6"/>
        <v>608.75</v>
      </c>
      <c r="AS45" s="27">
        <f t="shared" si="4"/>
        <v>30.4375</v>
      </c>
      <c r="AT45" s="27">
        <f t="shared" si="5"/>
        <v>639.1875</v>
      </c>
      <c r="AU45" s="64"/>
      <c r="AV45" s="56"/>
      <c r="AW45" s="176"/>
    </row>
    <row r="46" spans="1:49">
      <c r="A46" s="63">
        <v>42203</v>
      </c>
      <c r="B46" s="69" t="s">
        <v>207</v>
      </c>
      <c r="C46" s="153">
        <v>1</v>
      </c>
      <c r="D46" s="64">
        <v>1</v>
      </c>
      <c r="E46" s="31"/>
      <c r="F46" s="27">
        <v>150</v>
      </c>
      <c r="G46" s="27"/>
      <c r="H46" s="27">
        <v>130</v>
      </c>
      <c r="I46" s="27"/>
      <c r="J46" s="27">
        <v>130</v>
      </c>
      <c r="K46" s="31">
        <v>1</v>
      </c>
      <c r="L46" s="27">
        <v>75</v>
      </c>
      <c r="M46" s="27"/>
      <c r="N46" s="27">
        <v>75</v>
      </c>
      <c r="O46" s="31"/>
      <c r="P46" s="27">
        <v>75</v>
      </c>
      <c r="Q46" s="27"/>
      <c r="R46" s="27">
        <v>185</v>
      </c>
      <c r="S46" s="27"/>
      <c r="T46" s="27">
        <v>150</v>
      </c>
      <c r="U46" s="31"/>
      <c r="V46" s="27">
        <v>0.95</v>
      </c>
      <c r="W46" s="27"/>
      <c r="X46" s="27">
        <v>0.8</v>
      </c>
      <c r="Y46" s="27"/>
      <c r="Z46" s="121">
        <v>115</v>
      </c>
      <c r="AA46" s="27"/>
      <c r="AB46" s="27">
        <v>55</v>
      </c>
      <c r="AC46" s="231"/>
      <c r="AD46" s="272">
        <v>110</v>
      </c>
      <c r="AE46" s="31"/>
      <c r="AF46" s="27">
        <v>90</v>
      </c>
      <c r="AG46" s="35"/>
      <c r="AH46" s="320"/>
      <c r="AI46" s="320"/>
      <c r="AJ46" s="50">
        <v>78.5</v>
      </c>
      <c r="AK46" s="334"/>
      <c r="AL46" s="334"/>
      <c r="AM46" s="334"/>
      <c r="AN46" s="334"/>
      <c r="AO46" s="334"/>
      <c r="AP46" s="334"/>
      <c r="AQ46" s="27">
        <f t="shared" si="0"/>
        <v>0</v>
      </c>
      <c r="AR46" s="27">
        <f t="shared" si="6"/>
        <v>75</v>
      </c>
      <c r="AS46" s="27">
        <f t="shared" si="4"/>
        <v>3.75</v>
      </c>
      <c r="AT46" s="27">
        <f t="shared" si="5"/>
        <v>78.75</v>
      </c>
      <c r="AU46" s="64"/>
      <c r="AV46" s="56"/>
      <c r="AW46" s="176"/>
    </row>
    <row r="47" spans="1:49">
      <c r="A47" s="63">
        <v>42204</v>
      </c>
      <c r="B47" s="69" t="s">
        <v>208</v>
      </c>
      <c r="C47" s="153">
        <v>8</v>
      </c>
      <c r="D47" s="64">
        <v>2</v>
      </c>
      <c r="E47" s="31">
        <v>4</v>
      </c>
      <c r="F47" s="27">
        <v>150</v>
      </c>
      <c r="G47" s="27"/>
      <c r="H47" s="27">
        <v>130</v>
      </c>
      <c r="I47" s="27"/>
      <c r="J47" s="27">
        <v>130</v>
      </c>
      <c r="K47" s="31">
        <v>4</v>
      </c>
      <c r="L47" s="27">
        <v>75</v>
      </c>
      <c r="M47" s="27"/>
      <c r="N47" s="27">
        <v>75</v>
      </c>
      <c r="O47" s="31"/>
      <c r="P47" s="27">
        <v>75</v>
      </c>
      <c r="Q47" s="27"/>
      <c r="R47" s="27">
        <v>185</v>
      </c>
      <c r="S47" s="27"/>
      <c r="T47" s="27">
        <v>150</v>
      </c>
      <c r="U47" s="31">
        <v>320</v>
      </c>
      <c r="V47" s="27">
        <v>0.95</v>
      </c>
      <c r="W47" s="27"/>
      <c r="X47" s="27">
        <v>0.8</v>
      </c>
      <c r="Y47" s="27"/>
      <c r="Z47" s="121">
        <v>115</v>
      </c>
      <c r="AA47" s="27"/>
      <c r="AB47" s="27">
        <v>55</v>
      </c>
      <c r="AC47" s="231"/>
      <c r="AD47" s="272">
        <v>110</v>
      </c>
      <c r="AE47" s="31"/>
      <c r="AF47" s="27">
        <v>90</v>
      </c>
      <c r="AG47" s="35"/>
      <c r="AH47" s="320"/>
      <c r="AI47" s="320"/>
      <c r="AJ47" s="50">
        <v>78.5</v>
      </c>
      <c r="AK47" s="334"/>
      <c r="AL47" s="334"/>
      <c r="AM47" s="334"/>
      <c r="AN47" s="334"/>
      <c r="AO47" s="334"/>
      <c r="AP47" s="334"/>
      <c r="AQ47" s="27">
        <f t="shared" si="0"/>
        <v>304</v>
      </c>
      <c r="AR47" s="27">
        <f t="shared" si="6"/>
        <v>1204</v>
      </c>
      <c r="AS47" s="27">
        <f t="shared" si="4"/>
        <v>60.2</v>
      </c>
      <c r="AT47" s="27">
        <f t="shared" si="5"/>
        <v>1264.2</v>
      </c>
      <c r="AU47" s="64"/>
      <c r="AV47" s="56"/>
      <c r="AW47" s="176"/>
    </row>
    <row r="48" spans="1:49">
      <c r="A48" s="63">
        <v>42205</v>
      </c>
      <c r="B48" s="69" t="s">
        <v>223</v>
      </c>
      <c r="C48" s="153">
        <v>18.5</v>
      </c>
      <c r="D48" s="64">
        <v>2</v>
      </c>
      <c r="E48" s="31">
        <v>10</v>
      </c>
      <c r="F48" s="27">
        <v>150</v>
      </c>
      <c r="G48" s="27"/>
      <c r="H48" s="27">
        <v>130</v>
      </c>
      <c r="I48" s="27"/>
      <c r="J48" s="27">
        <v>130</v>
      </c>
      <c r="K48" s="31">
        <v>8.5</v>
      </c>
      <c r="L48" s="27">
        <v>75</v>
      </c>
      <c r="M48" s="27"/>
      <c r="N48" s="27">
        <v>75</v>
      </c>
      <c r="O48" s="31"/>
      <c r="P48" s="27">
        <v>75</v>
      </c>
      <c r="Q48" s="27"/>
      <c r="R48" s="27">
        <v>185</v>
      </c>
      <c r="S48" s="27"/>
      <c r="T48" s="27">
        <v>150</v>
      </c>
      <c r="U48" s="31">
        <v>145</v>
      </c>
      <c r="V48" s="27">
        <v>0.95</v>
      </c>
      <c r="W48" s="27"/>
      <c r="X48" s="27">
        <v>0.8</v>
      </c>
      <c r="Y48" s="27"/>
      <c r="Z48" s="121">
        <v>115</v>
      </c>
      <c r="AA48" s="27"/>
      <c r="AB48" s="27">
        <v>55</v>
      </c>
      <c r="AC48" s="231"/>
      <c r="AD48" s="272">
        <v>110</v>
      </c>
      <c r="AE48" s="31"/>
      <c r="AF48" s="27">
        <v>90</v>
      </c>
      <c r="AG48" s="35">
        <v>1</v>
      </c>
      <c r="AH48" s="320"/>
      <c r="AI48" s="320"/>
      <c r="AJ48" s="50">
        <v>78.5</v>
      </c>
      <c r="AK48" s="334"/>
      <c r="AL48" s="334"/>
      <c r="AM48" s="334"/>
      <c r="AN48" s="334"/>
      <c r="AO48" s="334"/>
      <c r="AP48" s="334"/>
      <c r="AQ48" s="27">
        <f t="shared" si="0"/>
        <v>137.75</v>
      </c>
      <c r="AR48" s="27">
        <f t="shared" si="6"/>
        <v>2353.75</v>
      </c>
      <c r="AS48" s="27">
        <f t="shared" si="4"/>
        <v>117.6875</v>
      </c>
      <c r="AT48" s="27">
        <f t="shared" si="5"/>
        <v>2471.4375</v>
      </c>
      <c r="AU48" s="64"/>
      <c r="AV48" s="56"/>
      <c r="AW48" s="180"/>
    </row>
    <row r="49" spans="1:49">
      <c r="A49" s="63">
        <v>42206</v>
      </c>
      <c r="B49" s="69" t="s">
        <v>224</v>
      </c>
      <c r="C49" s="153">
        <v>18</v>
      </c>
      <c r="D49" s="64">
        <v>2</v>
      </c>
      <c r="E49" s="31">
        <v>10</v>
      </c>
      <c r="F49" s="27">
        <v>150</v>
      </c>
      <c r="G49" s="27"/>
      <c r="H49" s="27">
        <v>130</v>
      </c>
      <c r="I49" s="27"/>
      <c r="J49" s="27">
        <v>130</v>
      </c>
      <c r="K49" s="31">
        <v>8</v>
      </c>
      <c r="L49" s="27">
        <v>75</v>
      </c>
      <c r="M49" s="27"/>
      <c r="N49" s="27">
        <v>75</v>
      </c>
      <c r="O49" s="31"/>
      <c r="P49" s="27">
        <v>75</v>
      </c>
      <c r="Q49" s="27"/>
      <c r="R49" s="27">
        <v>185</v>
      </c>
      <c r="S49" s="27"/>
      <c r="T49" s="27">
        <v>150</v>
      </c>
      <c r="U49" s="31">
        <v>141</v>
      </c>
      <c r="V49" s="27">
        <v>0.95</v>
      </c>
      <c r="W49" s="27"/>
      <c r="X49" s="27">
        <v>0.8</v>
      </c>
      <c r="Y49" s="27"/>
      <c r="Z49" s="121">
        <v>115</v>
      </c>
      <c r="AA49" s="27"/>
      <c r="AB49" s="27">
        <v>55</v>
      </c>
      <c r="AC49" s="231"/>
      <c r="AD49" s="272">
        <v>110</v>
      </c>
      <c r="AE49" s="31"/>
      <c r="AF49" s="27">
        <v>90</v>
      </c>
      <c r="AG49" s="35">
        <v>1</v>
      </c>
      <c r="AH49" s="320"/>
      <c r="AI49" s="320"/>
      <c r="AJ49" s="50">
        <v>78.5</v>
      </c>
      <c r="AK49" s="334"/>
      <c r="AL49" s="334"/>
      <c r="AM49" s="334"/>
      <c r="AN49" s="334"/>
      <c r="AO49" s="334"/>
      <c r="AP49" s="334"/>
      <c r="AQ49" s="27">
        <f t="shared" si="0"/>
        <v>133.94999999999999</v>
      </c>
      <c r="AR49" s="27">
        <f t="shared" si="6"/>
        <v>2312.4499999999998</v>
      </c>
      <c r="AS49" s="27">
        <f t="shared" si="4"/>
        <v>115.6225</v>
      </c>
      <c r="AT49" s="27">
        <f t="shared" si="5"/>
        <v>2428.0724999999998</v>
      </c>
      <c r="AU49" s="64"/>
      <c r="AV49" s="56"/>
      <c r="AW49" s="180"/>
    </row>
    <row r="50" spans="1:49">
      <c r="A50" s="63">
        <v>42207</v>
      </c>
      <c r="B50" s="69" t="s">
        <v>225</v>
      </c>
      <c r="C50" s="153">
        <v>18.5</v>
      </c>
      <c r="D50" s="64">
        <v>2</v>
      </c>
      <c r="E50" s="31">
        <v>10</v>
      </c>
      <c r="F50" s="27">
        <v>150</v>
      </c>
      <c r="G50" s="27"/>
      <c r="H50" s="27">
        <v>130</v>
      </c>
      <c r="I50" s="27"/>
      <c r="J50" s="27">
        <v>130</v>
      </c>
      <c r="K50" s="31">
        <v>8.5</v>
      </c>
      <c r="L50" s="27">
        <v>75</v>
      </c>
      <c r="M50" s="27"/>
      <c r="N50" s="27">
        <v>75</v>
      </c>
      <c r="O50" s="31"/>
      <c r="P50" s="27">
        <v>75</v>
      </c>
      <c r="Q50" s="27"/>
      <c r="R50" s="27">
        <v>185</v>
      </c>
      <c r="S50" s="27"/>
      <c r="T50" s="27">
        <v>150</v>
      </c>
      <c r="U50" s="31">
        <v>180</v>
      </c>
      <c r="V50" s="27">
        <v>0.95</v>
      </c>
      <c r="W50" s="27"/>
      <c r="X50" s="27">
        <v>0.8</v>
      </c>
      <c r="Y50" s="27"/>
      <c r="Z50" s="121">
        <v>115</v>
      </c>
      <c r="AA50" s="27"/>
      <c r="AB50" s="27">
        <v>55</v>
      </c>
      <c r="AC50" s="231"/>
      <c r="AD50" s="272">
        <v>110</v>
      </c>
      <c r="AE50" s="31"/>
      <c r="AF50" s="27">
        <v>90</v>
      </c>
      <c r="AG50" s="35">
        <v>1</v>
      </c>
      <c r="AH50" s="320"/>
      <c r="AI50" s="320"/>
      <c r="AJ50" s="50">
        <v>78.5</v>
      </c>
      <c r="AK50" s="334"/>
      <c r="AL50" s="334"/>
      <c r="AM50" s="334"/>
      <c r="AN50" s="334"/>
      <c r="AO50" s="334"/>
      <c r="AP50" s="334"/>
      <c r="AQ50" s="27">
        <f t="shared" si="0"/>
        <v>171</v>
      </c>
      <c r="AR50" s="27">
        <f t="shared" si="6"/>
        <v>2387</v>
      </c>
      <c r="AS50" s="27">
        <f t="shared" si="4"/>
        <v>119.35000000000001</v>
      </c>
      <c r="AT50" s="27">
        <f t="shared" si="5"/>
        <v>2506.35</v>
      </c>
      <c r="AU50" s="64"/>
      <c r="AV50" s="56"/>
      <c r="AW50" s="180"/>
    </row>
    <row r="51" spans="1:49">
      <c r="A51" s="63">
        <v>42208</v>
      </c>
      <c r="B51" s="69" t="s">
        <v>233</v>
      </c>
      <c r="C51" s="153">
        <v>13.5</v>
      </c>
      <c r="D51" s="64">
        <v>2</v>
      </c>
      <c r="E51" s="31">
        <v>4</v>
      </c>
      <c r="F51" s="27">
        <v>150</v>
      </c>
      <c r="G51" s="27"/>
      <c r="H51" s="27">
        <v>130</v>
      </c>
      <c r="I51" s="27"/>
      <c r="J51" s="27">
        <v>130</v>
      </c>
      <c r="K51" s="31">
        <v>9.5</v>
      </c>
      <c r="L51" s="27">
        <v>75</v>
      </c>
      <c r="M51" s="27"/>
      <c r="N51" s="27">
        <v>75</v>
      </c>
      <c r="O51" s="31"/>
      <c r="P51" s="27">
        <v>75</v>
      </c>
      <c r="Q51" s="27"/>
      <c r="R51" s="27">
        <v>185</v>
      </c>
      <c r="S51" s="27"/>
      <c r="T51" s="27">
        <v>150</v>
      </c>
      <c r="U51" s="31">
        <v>219</v>
      </c>
      <c r="V51" s="27">
        <v>0.95</v>
      </c>
      <c r="W51" s="27"/>
      <c r="X51" s="27">
        <v>0.8</v>
      </c>
      <c r="Y51" s="27"/>
      <c r="Z51" s="121">
        <v>115</v>
      </c>
      <c r="AA51" s="27"/>
      <c r="AB51" s="27">
        <v>55</v>
      </c>
      <c r="AC51" s="231"/>
      <c r="AD51" s="272">
        <v>110</v>
      </c>
      <c r="AE51" s="31"/>
      <c r="AF51" s="27">
        <v>90</v>
      </c>
      <c r="AG51" s="35">
        <v>1</v>
      </c>
      <c r="AH51" s="320"/>
      <c r="AI51" s="320"/>
      <c r="AJ51" s="50">
        <v>78.5</v>
      </c>
      <c r="AK51" s="334"/>
      <c r="AL51" s="334"/>
      <c r="AM51" s="334"/>
      <c r="AN51" s="334"/>
      <c r="AO51" s="334"/>
      <c r="AP51" s="334"/>
      <c r="AQ51" s="27">
        <f t="shared" si="0"/>
        <v>208.04999999999998</v>
      </c>
      <c r="AR51" s="27">
        <f t="shared" si="6"/>
        <v>1599.05</v>
      </c>
      <c r="AS51" s="27">
        <f t="shared" si="4"/>
        <v>79.952500000000001</v>
      </c>
      <c r="AT51" s="27">
        <f t="shared" si="5"/>
        <v>1679.0025000000001</v>
      </c>
      <c r="AU51" s="64"/>
      <c r="AV51" s="56"/>
      <c r="AW51" s="182"/>
    </row>
    <row r="52" spans="1:49">
      <c r="A52" s="63">
        <v>42209</v>
      </c>
      <c r="B52" s="69" t="s">
        <v>234</v>
      </c>
      <c r="C52" s="153">
        <v>8</v>
      </c>
      <c r="D52" s="64">
        <v>1</v>
      </c>
      <c r="E52" s="31"/>
      <c r="F52" s="27">
        <v>150</v>
      </c>
      <c r="G52" s="27"/>
      <c r="H52" s="27">
        <v>130</v>
      </c>
      <c r="I52" s="27"/>
      <c r="J52" s="27">
        <v>130</v>
      </c>
      <c r="K52" s="31">
        <v>8</v>
      </c>
      <c r="L52" s="27">
        <v>75</v>
      </c>
      <c r="M52" s="27"/>
      <c r="N52" s="27">
        <v>75</v>
      </c>
      <c r="O52" s="31"/>
      <c r="P52" s="27">
        <v>75</v>
      </c>
      <c r="Q52" s="27"/>
      <c r="R52" s="27">
        <v>185</v>
      </c>
      <c r="S52" s="27"/>
      <c r="T52" s="27">
        <v>150</v>
      </c>
      <c r="U52" s="31">
        <v>132</v>
      </c>
      <c r="V52" s="27">
        <v>0.95</v>
      </c>
      <c r="W52" s="27"/>
      <c r="X52" s="27">
        <v>0.8</v>
      </c>
      <c r="Y52" s="27"/>
      <c r="Z52" s="121">
        <v>115</v>
      </c>
      <c r="AA52" s="27"/>
      <c r="AB52" s="27">
        <v>55</v>
      </c>
      <c r="AC52" s="231"/>
      <c r="AD52" s="272">
        <v>110</v>
      </c>
      <c r="AE52" s="31"/>
      <c r="AF52" s="27">
        <v>90</v>
      </c>
      <c r="AG52" s="35">
        <v>1</v>
      </c>
      <c r="AH52" s="320"/>
      <c r="AI52" s="320"/>
      <c r="AJ52" s="50">
        <v>78.5</v>
      </c>
      <c r="AK52" s="334"/>
      <c r="AL52" s="334"/>
      <c r="AM52" s="334"/>
      <c r="AN52" s="334"/>
      <c r="AO52" s="334"/>
      <c r="AP52" s="334"/>
      <c r="AQ52" s="27">
        <f t="shared" si="0"/>
        <v>125.39999999999999</v>
      </c>
      <c r="AR52" s="27">
        <f t="shared" si="6"/>
        <v>803.9</v>
      </c>
      <c r="AS52" s="27">
        <f t="shared" si="4"/>
        <v>40.195</v>
      </c>
      <c r="AT52" s="27">
        <f t="shared" si="5"/>
        <v>844.09500000000003</v>
      </c>
      <c r="AU52" s="64"/>
      <c r="AV52" s="56"/>
      <c r="AW52" s="182"/>
    </row>
    <row r="53" spans="1:49">
      <c r="A53" s="63">
        <v>42210</v>
      </c>
      <c r="B53" s="69" t="s">
        <v>235</v>
      </c>
      <c r="C53" s="153">
        <v>8</v>
      </c>
      <c r="D53" s="64">
        <v>1</v>
      </c>
      <c r="E53" s="31"/>
      <c r="F53" s="27">
        <v>150</v>
      </c>
      <c r="G53" s="27"/>
      <c r="H53" s="27">
        <v>130</v>
      </c>
      <c r="I53" s="27"/>
      <c r="J53" s="27">
        <v>130</v>
      </c>
      <c r="K53" s="31">
        <v>9.5</v>
      </c>
      <c r="L53" s="27">
        <v>75</v>
      </c>
      <c r="M53" s="27"/>
      <c r="N53" s="27">
        <v>75</v>
      </c>
      <c r="O53" s="31"/>
      <c r="P53" s="27">
        <v>75</v>
      </c>
      <c r="Q53" s="27"/>
      <c r="R53" s="27">
        <v>185</v>
      </c>
      <c r="S53" s="27"/>
      <c r="T53" s="27">
        <v>150</v>
      </c>
      <c r="U53" s="31">
        <v>123</v>
      </c>
      <c r="V53" s="27">
        <v>0.95</v>
      </c>
      <c r="W53" s="27"/>
      <c r="X53" s="27">
        <v>0.8</v>
      </c>
      <c r="Y53" s="27"/>
      <c r="Z53" s="121">
        <v>115</v>
      </c>
      <c r="AA53" s="27"/>
      <c r="AB53" s="27">
        <v>55</v>
      </c>
      <c r="AC53" s="231"/>
      <c r="AD53" s="272">
        <v>110</v>
      </c>
      <c r="AE53" s="31"/>
      <c r="AF53" s="27">
        <v>90</v>
      </c>
      <c r="AG53" s="35">
        <v>1</v>
      </c>
      <c r="AH53" s="320"/>
      <c r="AI53" s="320"/>
      <c r="AJ53" s="50">
        <v>78.5</v>
      </c>
      <c r="AK53" s="334"/>
      <c r="AL53" s="334"/>
      <c r="AM53" s="334"/>
      <c r="AN53" s="334"/>
      <c r="AO53" s="334"/>
      <c r="AP53" s="334"/>
      <c r="AQ53" s="27">
        <f t="shared" si="0"/>
        <v>116.85</v>
      </c>
      <c r="AR53" s="27">
        <f t="shared" si="6"/>
        <v>907.85</v>
      </c>
      <c r="AS53" s="27">
        <f t="shared" si="4"/>
        <v>45.392500000000005</v>
      </c>
      <c r="AT53" s="27">
        <f t="shared" si="5"/>
        <v>953.24250000000006</v>
      </c>
      <c r="AU53" s="64"/>
      <c r="AV53" s="56"/>
      <c r="AW53" s="182"/>
    </row>
    <row r="54" spans="1:49">
      <c r="A54" s="63">
        <v>42211</v>
      </c>
      <c r="B54" s="69" t="s">
        <v>262</v>
      </c>
      <c r="C54" s="153">
        <v>8</v>
      </c>
      <c r="D54" s="64">
        <v>1</v>
      </c>
      <c r="E54" s="31"/>
      <c r="F54" s="27">
        <v>150</v>
      </c>
      <c r="G54" s="27"/>
      <c r="H54" s="27">
        <v>130</v>
      </c>
      <c r="I54" s="27"/>
      <c r="J54" s="27">
        <v>130</v>
      </c>
      <c r="K54" s="31">
        <v>8</v>
      </c>
      <c r="L54" s="27">
        <v>75</v>
      </c>
      <c r="M54" s="27"/>
      <c r="N54" s="27">
        <v>75</v>
      </c>
      <c r="O54" s="31"/>
      <c r="P54" s="27">
        <v>75</v>
      </c>
      <c r="Q54" s="27"/>
      <c r="R54" s="27">
        <v>185</v>
      </c>
      <c r="S54" s="27"/>
      <c r="T54" s="27">
        <v>150</v>
      </c>
      <c r="U54" s="31">
        <v>219</v>
      </c>
      <c r="V54" s="27">
        <v>0.95</v>
      </c>
      <c r="W54" s="27"/>
      <c r="X54" s="27">
        <v>0.8</v>
      </c>
      <c r="Y54" s="27"/>
      <c r="Z54" s="121">
        <v>115</v>
      </c>
      <c r="AA54" s="27"/>
      <c r="AB54" s="27">
        <v>55</v>
      </c>
      <c r="AC54" s="231"/>
      <c r="AD54" s="272">
        <v>110</v>
      </c>
      <c r="AE54" s="31"/>
      <c r="AF54" s="27">
        <v>90</v>
      </c>
      <c r="AG54" s="35">
        <v>1</v>
      </c>
      <c r="AH54" s="320"/>
      <c r="AI54" s="320"/>
      <c r="AJ54" s="50">
        <v>78.5</v>
      </c>
      <c r="AK54" s="334"/>
      <c r="AL54" s="334"/>
      <c r="AM54" s="334"/>
      <c r="AN54" s="334"/>
      <c r="AO54" s="334"/>
      <c r="AP54" s="334"/>
      <c r="AQ54" s="27">
        <f t="shared" si="0"/>
        <v>208.04999999999998</v>
      </c>
      <c r="AR54" s="27">
        <f t="shared" si="6"/>
        <v>886.55</v>
      </c>
      <c r="AS54" s="27">
        <f t="shared" si="4"/>
        <v>44.327500000000001</v>
      </c>
      <c r="AT54" s="27">
        <f t="shared" si="5"/>
        <v>930.87749999999994</v>
      </c>
      <c r="AU54" s="64"/>
      <c r="AV54" s="56"/>
      <c r="AW54" s="207"/>
    </row>
    <row r="55" spans="1:49">
      <c r="A55" s="63">
        <v>42212</v>
      </c>
      <c r="B55" s="69" t="s">
        <v>263</v>
      </c>
      <c r="C55" s="153">
        <v>9.5</v>
      </c>
      <c r="D55" s="64">
        <v>1</v>
      </c>
      <c r="E55" s="31"/>
      <c r="F55" s="27">
        <v>150</v>
      </c>
      <c r="G55" s="27"/>
      <c r="H55" s="27">
        <v>130</v>
      </c>
      <c r="I55" s="27"/>
      <c r="J55" s="27">
        <v>130</v>
      </c>
      <c r="K55" s="31">
        <v>9.5</v>
      </c>
      <c r="L55" s="27">
        <v>75</v>
      </c>
      <c r="M55" s="27"/>
      <c r="N55" s="27">
        <v>75</v>
      </c>
      <c r="O55" s="31"/>
      <c r="P55" s="27">
        <v>75</v>
      </c>
      <c r="Q55" s="27"/>
      <c r="R55" s="27">
        <v>185</v>
      </c>
      <c r="S55" s="27"/>
      <c r="T55" s="27">
        <v>150</v>
      </c>
      <c r="U55" s="31">
        <v>226</v>
      </c>
      <c r="V55" s="27">
        <v>0.95</v>
      </c>
      <c r="W55" s="27"/>
      <c r="X55" s="27">
        <v>0.8</v>
      </c>
      <c r="Y55" s="27"/>
      <c r="Z55" s="121">
        <v>115</v>
      </c>
      <c r="AA55" s="27"/>
      <c r="AB55" s="27">
        <v>55</v>
      </c>
      <c r="AC55" s="231"/>
      <c r="AD55" s="272">
        <v>110</v>
      </c>
      <c r="AE55" s="31"/>
      <c r="AF55" s="27">
        <v>90</v>
      </c>
      <c r="AG55" s="35">
        <v>1</v>
      </c>
      <c r="AH55" s="320"/>
      <c r="AI55" s="320"/>
      <c r="AJ55" s="50">
        <v>78.5</v>
      </c>
      <c r="AK55" s="334"/>
      <c r="AL55" s="334"/>
      <c r="AM55" s="334"/>
      <c r="AN55" s="334"/>
      <c r="AO55" s="334"/>
      <c r="AP55" s="334"/>
      <c r="AQ55" s="27">
        <f t="shared" si="0"/>
        <v>214.7</v>
      </c>
      <c r="AR55" s="27">
        <f t="shared" si="6"/>
        <v>1005.7</v>
      </c>
      <c r="AS55" s="27">
        <f t="shared" si="4"/>
        <v>50.285000000000004</v>
      </c>
      <c r="AT55" s="27">
        <f t="shared" si="5"/>
        <v>1055.9850000000001</v>
      </c>
      <c r="AU55" s="64"/>
      <c r="AV55" s="56"/>
      <c r="AW55" s="207"/>
    </row>
    <row r="56" spans="1:49">
      <c r="A56" s="63">
        <v>42213</v>
      </c>
      <c r="B56" s="69" t="s">
        <v>264</v>
      </c>
      <c r="C56" s="153">
        <v>8.5</v>
      </c>
      <c r="D56" s="64">
        <v>1</v>
      </c>
      <c r="E56" s="31"/>
      <c r="F56" s="27">
        <v>150</v>
      </c>
      <c r="G56" s="27"/>
      <c r="H56" s="27">
        <v>130</v>
      </c>
      <c r="I56" s="27"/>
      <c r="J56" s="27">
        <v>130</v>
      </c>
      <c r="K56" s="31">
        <v>8.5</v>
      </c>
      <c r="L56" s="27">
        <v>75</v>
      </c>
      <c r="M56" s="27"/>
      <c r="N56" s="27">
        <v>75</v>
      </c>
      <c r="O56" s="31"/>
      <c r="P56" s="27">
        <v>75</v>
      </c>
      <c r="Q56" s="27"/>
      <c r="R56" s="27">
        <v>185</v>
      </c>
      <c r="S56" s="27"/>
      <c r="T56" s="27">
        <v>150</v>
      </c>
      <c r="U56" s="31">
        <v>227</v>
      </c>
      <c r="V56" s="27">
        <v>0.95</v>
      </c>
      <c r="W56" s="27"/>
      <c r="X56" s="27">
        <v>0.8</v>
      </c>
      <c r="Y56" s="27"/>
      <c r="Z56" s="121">
        <v>115</v>
      </c>
      <c r="AA56" s="27"/>
      <c r="AB56" s="27">
        <v>55</v>
      </c>
      <c r="AC56" s="231"/>
      <c r="AD56" s="272">
        <v>110</v>
      </c>
      <c r="AE56" s="31"/>
      <c r="AF56" s="27">
        <v>90</v>
      </c>
      <c r="AG56" s="35">
        <v>1</v>
      </c>
      <c r="AH56" s="320"/>
      <c r="AI56" s="320"/>
      <c r="AJ56" s="50">
        <v>78.5</v>
      </c>
      <c r="AK56" s="334"/>
      <c r="AL56" s="334"/>
      <c r="AM56" s="334"/>
      <c r="AN56" s="334"/>
      <c r="AO56" s="334"/>
      <c r="AP56" s="334"/>
      <c r="AQ56" s="27">
        <f t="shared" si="0"/>
        <v>215.64999999999998</v>
      </c>
      <c r="AR56" s="27">
        <f t="shared" si="6"/>
        <v>931.65</v>
      </c>
      <c r="AS56" s="27">
        <f t="shared" si="4"/>
        <v>46.582500000000003</v>
      </c>
      <c r="AT56" s="27">
        <f t="shared" si="5"/>
        <v>978.23249999999996</v>
      </c>
      <c r="AU56" s="64"/>
      <c r="AV56" s="56"/>
      <c r="AW56" s="207"/>
    </row>
    <row r="57" spans="1:49">
      <c r="A57" s="63">
        <v>42214</v>
      </c>
      <c r="B57" s="69" t="s">
        <v>267</v>
      </c>
      <c r="C57" s="153">
        <v>17</v>
      </c>
      <c r="D57" s="64">
        <v>3</v>
      </c>
      <c r="E57" s="31">
        <v>4</v>
      </c>
      <c r="F57" s="27">
        <v>150</v>
      </c>
      <c r="G57" s="27"/>
      <c r="H57" s="27">
        <v>130</v>
      </c>
      <c r="I57" s="27"/>
      <c r="J57" s="27">
        <v>130</v>
      </c>
      <c r="K57" s="31">
        <v>8</v>
      </c>
      <c r="L57" s="27">
        <v>75</v>
      </c>
      <c r="M57" s="27"/>
      <c r="N57" s="27">
        <v>75</v>
      </c>
      <c r="O57" s="31">
        <v>5</v>
      </c>
      <c r="P57" s="27">
        <v>75</v>
      </c>
      <c r="Q57" s="27"/>
      <c r="R57" s="27">
        <v>185</v>
      </c>
      <c r="S57" s="27"/>
      <c r="T57" s="27">
        <v>150</v>
      </c>
      <c r="U57" s="31">
        <v>219</v>
      </c>
      <c r="V57" s="27">
        <v>0.95</v>
      </c>
      <c r="W57" s="31">
        <v>321</v>
      </c>
      <c r="X57" s="27">
        <v>0.8</v>
      </c>
      <c r="Y57" s="27"/>
      <c r="Z57" s="121">
        <v>115</v>
      </c>
      <c r="AA57" s="27"/>
      <c r="AB57" s="27">
        <v>55</v>
      </c>
      <c r="AC57" s="231"/>
      <c r="AD57" s="272">
        <v>110</v>
      </c>
      <c r="AE57" s="31"/>
      <c r="AF57" s="27">
        <v>90</v>
      </c>
      <c r="AG57" s="35">
        <v>1</v>
      </c>
      <c r="AH57" s="320"/>
      <c r="AI57" s="320"/>
      <c r="AJ57" s="50">
        <v>78.5</v>
      </c>
      <c r="AK57" s="334"/>
      <c r="AL57" s="334"/>
      <c r="AM57" s="334"/>
      <c r="AN57" s="334"/>
      <c r="AO57" s="334"/>
      <c r="AP57" s="334"/>
      <c r="AQ57" s="27">
        <f t="shared" si="0"/>
        <v>464.85</v>
      </c>
      <c r="AR57" s="27">
        <f t="shared" si="6"/>
        <v>2118.35</v>
      </c>
      <c r="AS57" s="27">
        <f t="shared" si="4"/>
        <v>105.9175</v>
      </c>
      <c r="AT57" s="27">
        <f t="shared" si="5"/>
        <v>2224.2674999999999</v>
      </c>
      <c r="AU57" s="64"/>
      <c r="AV57" s="56"/>
      <c r="AW57" s="209"/>
    </row>
    <row r="58" spans="1:49">
      <c r="A58" s="63">
        <v>42215</v>
      </c>
      <c r="B58" s="69" t="s">
        <v>268</v>
      </c>
      <c r="C58" s="153">
        <v>27</v>
      </c>
      <c r="D58" s="64">
        <v>3</v>
      </c>
      <c r="E58" s="31">
        <v>10</v>
      </c>
      <c r="F58" s="27">
        <v>150</v>
      </c>
      <c r="G58" s="27"/>
      <c r="H58" s="27">
        <v>130</v>
      </c>
      <c r="I58" s="27"/>
      <c r="J58" s="27">
        <v>130</v>
      </c>
      <c r="K58" s="31">
        <v>8</v>
      </c>
      <c r="L58" s="27">
        <v>75</v>
      </c>
      <c r="M58" s="27"/>
      <c r="N58" s="27">
        <v>75</v>
      </c>
      <c r="O58" s="31">
        <v>9</v>
      </c>
      <c r="P58" s="27">
        <v>75</v>
      </c>
      <c r="Q58" s="27"/>
      <c r="R58" s="27">
        <v>185</v>
      </c>
      <c r="S58" s="27"/>
      <c r="T58" s="27">
        <v>150</v>
      </c>
      <c r="U58" s="31">
        <v>322</v>
      </c>
      <c r="V58" s="27">
        <v>0.95</v>
      </c>
      <c r="W58" s="31">
        <v>327</v>
      </c>
      <c r="X58" s="27">
        <v>0.8</v>
      </c>
      <c r="Y58" s="27"/>
      <c r="Z58" s="121">
        <v>115</v>
      </c>
      <c r="AA58" s="27"/>
      <c r="AB58" s="27">
        <v>55</v>
      </c>
      <c r="AC58" s="231"/>
      <c r="AD58" s="272">
        <v>110</v>
      </c>
      <c r="AE58" s="31"/>
      <c r="AF58" s="27">
        <v>90</v>
      </c>
      <c r="AG58" s="35">
        <v>1</v>
      </c>
      <c r="AH58" s="320"/>
      <c r="AI58" s="320"/>
      <c r="AJ58" s="50">
        <v>78.5</v>
      </c>
      <c r="AK58" s="334"/>
      <c r="AL58" s="334"/>
      <c r="AM58" s="334"/>
      <c r="AN58" s="334"/>
      <c r="AO58" s="334"/>
      <c r="AP58" s="334"/>
      <c r="AQ58" s="27">
        <f t="shared" si="0"/>
        <v>567.5</v>
      </c>
      <c r="AR58" s="27">
        <f t="shared" si="6"/>
        <v>3421</v>
      </c>
      <c r="AS58" s="27">
        <f t="shared" si="4"/>
        <v>171.05</v>
      </c>
      <c r="AT58" s="27">
        <f t="shared" si="5"/>
        <v>3592.05</v>
      </c>
      <c r="AU58" s="64"/>
      <c r="AV58" s="56"/>
      <c r="AW58" s="209"/>
    </row>
    <row r="59" spans="1:49">
      <c r="A59" s="63">
        <v>42216</v>
      </c>
      <c r="B59" s="69" t="s">
        <v>269</v>
      </c>
      <c r="C59" s="153">
        <v>18.5</v>
      </c>
      <c r="D59" s="64">
        <v>2</v>
      </c>
      <c r="E59" s="31">
        <v>10</v>
      </c>
      <c r="F59" s="27">
        <v>150</v>
      </c>
      <c r="G59" s="27"/>
      <c r="H59" s="27">
        <v>130</v>
      </c>
      <c r="I59" s="27"/>
      <c r="J59" s="27">
        <v>130</v>
      </c>
      <c r="K59" s="31"/>
      <c r="L59" s="27">
        <v>75</v>
      </c>
      <c r="M59" s="27"/>
      <c r="N59" s="27">
        <v>75</v>
      </c>
      <c r="O59" s="31">
        <v>8.5</v>
      </c>
      <c r="P59" s="27">
        <v>75</v>
      </c>
      <c r="Q59" s="27"/>
      <c r="R59" s="27">
        <v>185</v>
      </c>
      <c r="S59" s="27"/>
      <c r="T59" s="27">
        <v>150</v>
      </c>
      <c r="U59" s="31">
        <v>245</v>
      </c>
      <c r="V59" s="27">
        <v>0.95</v>
      </c>
      <c r="W59" s="27"/>
      <c r="X59" s="27">
        <v>0.8</v>
      </c>
      <c r="Y59" s="27"/>
      <c r="Z59" s="121">
        <v>115</v>
      </c>
      <c r="AA59" s="27"/>
      <c r="AB59" s="27">
        <v>55</v>
      </c>
      <c r="AC59" s="231"/>
      <c r="AD59" s="272">
        <v>110</v>
      </c>
      <c r="AE59" s="31"/>
      <c r="AF59" s="27">
        <v>90</v>
      </c>
      <c r="AG59" s="35">
        <v>1</v>
      </c>
      <c r="AH59" s="320"/>
      <c r="AI59" s="320"/>
      <c r="AJ59" s="50">
        <v>78.5</v>
      </c>
      <c r="AK59" s="334"/>
      <c r="AL59" s="334"/>
      <c r="AM59" s="334"/>
      <c r="AN59" s="334"/>
      <c r="AO59" s="334"/>
      <c r="AP59" s="334"/>
      <c r="AQ59" s="27">
        <f t="shared" si="0"/>
        <v>232.75</v>
      </c>
      <c r="AR59" s="27">
        <f t="shared" si="6"/>
        <v>2448.75</v>
      </c>
      <c r="AS59" s="27">
        <f t="shared" si="4"/>
        <v>122.4375</v>
      </c>
      <c r="AT59" s="27">
        <f t="shared" si="5"/>
        <v>2571.1875</v>
      </c>
      <c r="AU59" s="64"/>
      <c r="AV59" s="56"/>
      <c r="AW59" s="209"/>
    </row>
    <row r="60" spans="1:49">
      <c r="A60" s="63">
        <v>42217</v>
      </c>
      <c r="B60" s="69" t="s">
        <v>270</v>
      </c>
      <c r="C60" s="153">
        <v>18</v>
      </c>
      <c r="D60" s="64">
        <v>2</v>
      </c>
      <c r="E60" s="31">
        <v>10</v>
      </c>
      <c r="F60" s="27">
        <v>150</v>
      </c>
      <c r="G60" s="27"/>
      <c r="H60" s="27">
        <v>130</v>
      </c>
      <c r="I60" s="27"/>
      <c r="J60" s="27">
        <v>130</v>
      </c>
      <c r="K60" s="31"/>
      <c r="L60" s="27">
        <v>75</v>
      </c>
      <c r="M60" s="27"/>
      <c r="N60" s="27">
        <v>75</v>
      </c>
      <c r="O60" s="31">
        <v>8</v>
      </c>
      <c r="P60" s="27">
        <v>75</v>
      </c>
      <c r="Q60" s="27"/>
      <c r="R60" s="27">
        <v>185</v>
      </c>
      <c r="S60" s="27"/>
      <c r="T60" s="27">
        <v>150</v>
      </c>
      <c r="U60" s="31">
        <v>201</v>
      </c>
      <c r="V60" s="27">
        <v>0.95</v>
      </c>
      <c r="W60" s="27"/>
      <c r="X60" s="27">
        <v>0.8</v>
      </c>
      <c r="Y60" s="27"/>
      <c r="Z60" s="121">
        <v>115</v>
      </c>
      <c r="AA60" s="27"/>
      <c r="AB60" s="27">
        <v>55</v>
      </c>
      <c r="AC60" s="231"/>
      <c r="AD60" s="272">
        <v>110</v>
      </c>
      <c r="AE60" s="31"/>
      <c r="AF60" s="27">
        <v>90</v>
      </c>
      <c r="AG60" s="35">
        <v>1</v>
      </c>
      <c r="AH60" s="320"/>
      <c r="AI60" s="320"/>
      <c r="AJ60" s="50">
        <v>78.5</v>
      </c>
      <c r="AK60" s="334"/>
      <c r="AL60" s="334"/>
      <c r="AM60" s="334"/>
      <c r="AN60" s="334"/>
      <c r="AO60" s="334"/>
      <c r="AP60" s="334"/>
      <c r="AQ60" s="27">
        <f t="shared" si="0"/>
        <v>190.95</v>
      </c>
      <c r="AR60" s="27">
        <f t="shared" si="6"/>
        <v>2369.4499999999998</v>
      </c>
      <c r="AS60" s="27">
        <f t="shared" si="4"/>
        <v>118.4725</v>
      </c>
      <c r="AT60" s="27">
        <f t="shared" si="5"/>
        <v>2487.9224999999997</v>
      </c>
      <c r="AU60" s="64"/>
      <c r="AV60" s="56"/>
      <c r="AW60" s="209"/>
    </row>
    <row r="61" spans="1:49">
      <c r="A61" s="63">
        <v>42218</v>
      </c>
      <c r="B61" s="69" t="s">
        <v>278</v>
      </c>
      <c r="C61" s="153">
        <v>8</v>
      </c>
      <c r="D61" s="64">
        <v>1</v>
      </c>
      <c r="E61" s="66"/>
      <c r="F61" s="27">
        <v>150</v>
      </c>
      <c r="G61" s="50"/>
      <c r="H61" s="27">
        <v>130</v>
      </c>
      <c r="I61" s="50"/>
      <c r="J61" s="27">
        <v>130</v>
      </c>
      <c r="K61" s="35"/>
      <c r="L61" s="27">
        <v>75</v>
      </c>
      <c r="M61" s="27"/>
      <c r="N61" s="27">
        <v>75</v>
      </c>
      <c r="O61" s="35">
        <v>8</v>
      </c>
      <c r="P61" s="27">
        <v>75</v>
      </c>
      <c r="Q61" s="27"/>
      <c r="R61" s="27">
        <v>185</v>
      </c>
      <c r="S61" s="27"/>
      <c r="T61" s="27">
        <v>150</v>
      </c>
      <c r="U61" s="35">
        <v>172</v>
      </c>
      <c r="V61" s="27">
        <v>0.95</v>
      </c>
      <c r="W61" s="27"/>
      <c r="X61" s="27">
        <v>0.8</v>
      </c>
      <c r="Y61" s="27"/>
      <c r="Z61" s="121">
        <v>115</v>
      </c>
      <c r="AA61" s="27"/>
      <c r="AB61" s="27">
        <v>55</v>
      </c>
      <c r="AC61" s="231"/>
      <c r="AD61" s="272">
        <v>110</v>
      </c>
      <c r="AE61" s="27"/>
      <c r="AF61" s="27">
        <v>90</v>
      </c>
      <c r="AG61" s="35">
        <v>1</v>
      </c>
      <c r="AH61" s="320"/>
      <c r="AI61" s="320"/>
      <c r="AJ61" s="50">
        <v>78.5</v>
      </c>
      <c r="AK61" s="334"/>
      <c r="AL61" s="334"/>
      <c r="AM61" s="334"/>
      <c r="AN61" s="334"/>
      <c r="AO61" s="334"/>
      <c r="AP61" s="334"/>
      <c r="AQ61" s="27">
        <f t="shared" si="0"/>
        <v>163.4</v>
      </c>
      <c r="AR61" s="27">
        <f t="shared" si="6"/>
        <v>841.9</v>
      </c>
      <c r="AS61" s="27">
        <f t="shared" si="4"/>
        <v>42.094999999999999</v>
      </c>
      <c r="AT61" s="27">
        <f t="shared" si="5"/>
        <v>883.995</v>
      </c>
      <c r="AU61" s="64"/>
      <c r="AV61" s="56"/>
    </row>
    <row r="62" spans="1:49">
      <c r="A62" s="63">
        <v>42219</v>
      </c>
      <c r="B62" s="69" t="s">
        <v>279</v>
      </c>
      <c r="C62" s="153">
        <v>8</v>
      </c>
      <c r="D62" s="64">
        <v>1</v>
      </c>
      <c r="E62" s="66"/>
      <c r="F62" s="27">
        <v>150</v>
      </c>
      <c r="G62" s="50"/>
      <c r="H62" s="27">
        <v>130</v>
      </c>
      <c r="I62" s="50"/>
      <c r="J62" s="27">
        <v>130</v>
      </c>
      <c r="K62" s="35"/>
      <c r="L62" s="27">
        <v>75</v>
      </c>
      <c r="M62" s="27"/>
      <c r="N62" s="27">
        <v>75</v>
      </c>
      <c r="O62" s="153">
        <v>8</v>
      </c>
      <c r="P62" s="27">
        <v>75</v>
      </c>
      <c r="Q62" s="27"/>
      <c r="R62" s="27">
        <v>185</v>
      </c>
      <c r="S62" s="27"/>
      <c r="T62" s="27">
        <v>150</v>
      </c>
      <c r="U62" s="35">
        <v>197</v>
      </c>
      <c r="V62" s="27">
        <v>0.95</v>
      </c>
      <c r="W62" s="27"/>
      <c r="X62" s="27">
        <v>0.8</v>
      </c>
      <c r="Y62" s="27"/>
      <c r="Z62" s="121">
        <v>115</v>
      </c>
      <c r="AA62" s="27"/>
      <c r="AB62" s="27">
        <v>55</v>
      </c>
      <c r="AC62" s="231"/>
      <c r="AD62" s="272">
        <v>110</v>
      </c>
      <c r="AE62" s="27"/>
      <c r="AF62" s="27">
        <v>90</v>
      </c>
      <c r="AG62" s="35">
        <v>1</v>
      </c>
      <c r="AH62" s="320"/>
      <c r="AI62" s="320"/>
      <c r="AJ62" s="50">
        <v>78.5</v>
      </c>
      <c r="AK62" s="334"/>
      <c r="AL62" s="334"/>
      <c r="AM62" s="334"/>
      <c r="AN62" s="334"/>
      <c r="AO62" s="334"/>
      <c r="AP62" s="334"/>
      <c r="AQ62" s="27">
        <f t="shared" si="0"/>
        <v>187.14999999999998</v>
      </c>
      <c r="AR62" s="27">
        <f t="shared" si="6"/>
        <v>865.65</v>
      </c>
      <c r="AS62" s="27">
        <f t="shared" si="4"/>
        <v>43.282499999999999</v>
      </c>
      <c r="AT62" s="27">
        <f t="shared" si="5"/>
        <v>908.9325</v>
      </c>
      <c r="AU62" s="64"/>
      <c r="AV62" s="56"/>
      <c r="AW62" s="217"/>
    </row>
    <row r="63" spans="1:49">
      <c r="A63" s="63">
        <v>42220</v>
      </c>
      <c r="B63" s="69" t="s">
        <v>280</v>
      </c>
      <c r="C63" s="153">
        <v>8</v>
      </c>
      <c r="D63" s="66">
        <v>1</v>
      </c>
      <c r="E63" s="66"/>
      <c r="F63" s="27">
        <v>150</v>
      </c>
      <c r="G63" s="50"/>
      <c r="H63" s="27">
        <v>130</v>
      </c>
      <c r="I63" s="50"/>
      <c r="J63" s="27">
        <v>130</v>
      </c>
      <c r="K63" s="31"/>
      <c r="L63" s="27">
        <v>75</v>
      </c>
      <c r="M63" s="27"/>
      <c r="N63" s="27">
        <v>75</v>
      </c>
      <c r="O63" s="31">
        <v>8</v>
      </c>
      <c r="P63" s="27">
        <v>75</v>
      </c>
      <c r="Q63" s="27"/>
      <c r="R63" s="27">
        <v>185</v>
      </c>
      <c r="S63" s="27"/>
      <c r="T63" s="27">
        <v>150</v>
      </c>
      <c r="U63" s="31">
        <v>208</v>
      </c>
      <c r="V63" s="27">
        <v>0.95</v>
      </c>
      <c r="W63" s="27"/>
      <c r="X63" s="27">
        <v>0.8</v>
      </c>
      <c r="Y63" s="27"/>
      <c r="Z63" s="121">
        <v>115</v>
      </c>
      <c r="AA63" s="27"/>
      <c r="AB63" s="27">
        <v>55</v>
      </c>
      <c r="AC63" s="231"/>
      <c r="AD63" s="272">
        <v>110</v>
      </c>
      <c r="AE63" s="27"/>
      <c r="AF63" s="27">
        <v>90</v>
      </c>
      <c r="AG63" s="31">
        <v>1</v>
      </c>
      <c r="AH63" s="321"/>
      <c r="AI63" s="321"/>
      <c r="AJ63" s="50">
        <v>78.5</v>
      </c>
      <c r="AK63" s="334"/>
      <c r="AL63" s="334"/>
      <c r="AM63" s="334"/>
      <c r="AN63" s="334"/>
      <c r="AO63" s="334"/>
      <c r="AP63" s="334"/>
      <c r="AQ63" s="27">
        <f t="shared" si="0"/>
        <v>197.6</v>
      </c>
      <c r="AR63" s="27">
        <f t="shared" si="6"/>
        <v>876.1</v>
      </c>
      <c r="AS63" s="27">
        <f t="shared" si="4"/>
        <v>43.805000000000007</v>
      </c>
      <c r="AT63" s="27">
        <f t="shared" si="5"/>
        <v>919.90499999999997</v>
      </c>
      <c r="AU63" s="64"/>
      <c r="AV63" s="56"/>
    </row>
    <row r="64" spans="1:49">
      <c r="A64" s="63">
        <v>42221</v>
      </c>
      <c r="B64" s="69" t="s">
        <v>293</v>
      </c>
      <c r="C64" s="153">
        <v>12</v>
      </c>
      <c r="D64" s="66">
        <v>2</v>
      </c>
      <c r="E64" s="66">
        <v>4</v>
      </c>
      <c r="F64" s="27">
        <v>150</v>
      </c>
      <c r="G64" s="50"/>
      <c r="H64" s="27">
        <v>130</v>
      </c>
      <c r="I64" s="50"/>
      <c r="J64" s="27">
        <v>130</v>
      </c>
      <c r="K64" s="31"/>
      <c r="L64" s="27">
        <v>75</v>
      </c>
      <c r="M64" s="27"/>
      <c r="N64" s="27">
        <v>75</v>
      </c>
      <c r="O64" s="31">
        <v>8</v>
      </c>
      <c r="P64" s="27">
        <v>75</v>
      </c>
      <c r="Q64" s="27"/>
      <c r="R64" s="27">
        <v>185</v>
      </c>
      <c r="S64" s="27"/>
      <c r="T64" s="27">
        <v>150</v>
      </c>
      <c r="U64" s="31">
        <v>203</v>
      </c>
      <c r="V64" s="27">
        <v>0.95</v>
      </c>
      <c r="W64" s="27"/>
      <c r="X64" s="27">
        <v>0.8</v>
      </c>
      <c r="Y64" s="27"/>
      <c r="Z64" s="121">
        <v>116</v>
      </c>
      <c r="AA64" s="27"/>
      <c r="AB64" s="27">
        <v>55</v>
      </c>
      <c r="AC64" s="231"/>
      <c r="AD64" s="272">
        <v>110</v>
      </c>
      <c r="AE64" s="27"/>
      <c r="AF64" s="27">
        <v>90</v>
      </c>
      <c r="AG64" s="31">
        <v>1</v>
      </c>
      <c r="AH64" s="321"/>
      <c r="AI64" s="321"/>
      <c r="AJ64" s="50">
        <v>78.5</v>
      </c>
      <c r="AK64" s="334"/>
      <c r="AL64" s="334"/>
      <c r="AM64" s="334"/>
      <c r="AN64" s="334"/>
      <c r="AO64" s="334"/>
      <c r="AP64" s="334"/>
      <c r="AQ64" s="27">
        <f t="shared" si="0"/>
        <v>192.85</v>
      </c>
      <c r="AR64" s="27">
        <f t="shared" si="6"/>
        <v>1471.35</v>
      </c>
      <c r="AS64" s="27">
        <f t="shared" si="4"/>
        <v>73.567499999999995</v>
      </c>
      <c r="AT64" s="27">
        <f t="shared" si="5"/>
        <v>1544.9175</v>
      </c>
      <c r="AU64" s="64"/>
      <c r="AV64" s="56"/>
      <c r="AW64" s="234"/>
    </row>
    <row r="65" spans="1:49">
      <c r="A65" s="63">
        <v>42222</v>
      </c>
      <c r="B65" s="69" t="s">
        <v>294</v>
      </c>
      <c r="C65" s="153">
        <v>18</v>
      </c>
      <c r="D65" s="66">
        <v>2</v>
      </c>
      <c r="E65" s="66">
        <v>10</v>
      </c>
      <c r="F65" s="27">
        <v>150</v>
      </c>
      <c r="G65" s="50"/>
      <c r="H65" s="27">
        <v>130</v>
      </c>
      <c r="I65" s="50"/>
      <c r="J65" s="27">
        <v>130</v>
      </c>
      <c r="K65" s="31"/>
      <c r="L65" s="27">
        <v>75</v>
      </c>
      <c r="M65" s="27"/>
      <c r="N65" s="27">
        <v>75</v>
      </c>
      <c r="O65" s="31">
        <v>8</v>
      </c>
      <c r="P65" s="27">
        <v>75</v>
      </c>
      <c r="Q65" s="27"/>
      <c r="R65" s="27">
        <v>185</v>
      </c>
      <c r="S65" s="27"/>
      <c r="T65" s="27">
        <v>150</v>
      </c>
      <c r="U65" s="31">
        <v>224</v>
      </c>
      <c r="V65" s="27">
        <v>0.95</v>
      </c>
      <c r="W65" s="27"/>
      <c r="X65" s="27">
        <v>0.8</v>
      </c>
      <c r="Y65" s="27"/>
      <c r="Z65" s="121">
        <v>117</v>
      </c>
      <c r="AA65" s="27"/>
      <c r="AB65" s="27">
        <v>55</v>
      </c>
      <c r="AC65" s="231"/>
      <c r="AD65" s="272">
        <v>110</v>
      </c>
      <c r="AE65" s="27"/>
      <c r="AF65" s="27">
        <v>90</v>
      </c>
      <c r="AG65" s="31">
        <v>1</v>
      </c>
      <c r="AH65" s="321"/>
      <c r="AI65" s="321"/>
      <c r="AJ65" s="50">
        <v>78.5</v>
      </c>
      <c r="AK65" s="334"/>
      <c r="AL65" s="334"/>
      <c r="AM65" s="334"/>
      <c r="AN65" s="334"/>
      <c r="AO65" s="334"/>
      <c r="AP65" s="334"/>
      <c r="AQ65" s="27">
        <f t="shared" si="0"/>
        <v>212.79999999999998</v>
      </c>
      <c r="AR65" s="27">
        <f t="shared" si="6"/>
        <v>2391.3000000000002</v>
      </c>
      <c r="AS65" s="27">
        <f t="shared" si="4"/>
        <v>119.56500000000001</v>
      </c>
      <c r="AT65" s="27">
        <f t="shared" si="5"/>
        <v>2510.8650000000002</v>
      </c>
      <c r="AU65" s="64"/>
      <c r="AV65" s="56"/>
      <c r="AW65" s="234"/>
    </row>
    <row r="66" spans="1:49">
      <c r="A66" s="63">
        <v>42223</v>
      </c>
      <c r="B66" s="69" t="s">
        <v>295</v>
      </c>
      <c r="C66" s="153">
        <v>18</v>
      </c>
      <c r="D66" s="66">
        <v>2</v>
      </c>
      <c r="E66" s="66">
        <v>10</v>
      </c>
      <c r="F66" s="27">
        <v>150</v>
      </c>
      <c r="G66" s="50"/>
      <c r="H66" s="27">
        <v>130</v>
      </c>
      <c r="I66" s="50"/>
      <c r="J66" s="27">
        <v>130</v>
      </c>
      <c r="K66" s="31"/>
      <c r="L66" s="27">
        <v>75</v>
      </c>
      <c r="M66" s="27"/>
      <c r="N66" s="27">
        <v>75</v>
      </c>
      <c r="O66" s="31">
        <v>8</v>
      </c>
      <c r="P66" s="27">
        <v>75</v>
      </c>
      <c r="Q66" s="27"/>
      <c r="R66" s="27">
        <v>185</v>
      </c>
      <c r="S66" s="27"/>
      <c r="T66" s="27">
        <v>150</v>
      </c>
      <c r="U66" s="31">
        <v>111</v>
      </c>
      <c r="V66" s="27">
        <v>0.95</v>
      </c>
      <c r="W66" s="27"/>
      <c r="X66" s="27">
        <v>0.8</v>
      </c>
      <c r="Y66" s="27"/>
      <c r="Z66" s="121">
        <v>118</v>
      </c>
      <c r="AA66" s="27"/>
      <c r="AB66" s="27">
        <v>55</v>
      </c>
      <c r="AC66" s="231"/>
      <c r="AD66" s="272">
        <v>110</v>
      </c>
      <c r="AE66" s="27"/>
      <c r="AF66" s="27">
        <v>90</v>
      </c>
      <c r="AG66" s="31">
        <v>1</v>
      </c>
      <c r="AH66" s="321"/>
      <c r="AI66" s="321"/>
      <c r="AJ66" s="50">
        <v>78.5</v>
      </c>
      <c r="AK66" s="334"/>
      <c r="AL66" s="334"/>
      <c r="AM66" s="334"/>
      <c r="AN66" s="334"/>
      <c r="AO66" s="334"/>
      <c r="AP66" s="334"/>
      <c r="AQ66" s="27">
        <f t="shared" si="0"/>
        <v>105.44999999999999</v>
      </c>
      <c r="AR66" s="27">
        <f t="shared" si="6"/>
        <v>2283.9499999999998</v>
      </c>
      <c r="AS66" s="27">
        <f t="shared" si="4"/>
        <v>114.19749999999999</v>
      </c>
      <c r="AT66" s="27">
        <f t="shared" si="5"/>
        <v>2398.1475</v>
      </c>
      <c r="AU66" s="64"/>
      <c r="AV66" s="56"/>
      <c r="AW66" s="234"/>
    </row>
    <row r="67" spans="1:49">
      <c r="A67" s="63">
        <v>42224</v>
      </c>
      <c r="B67" s="69" t="s">
        <v>300</v>
      </c>
      <c r="C67" s="153">
        <f>E67+K67+M67+O67+Q67+S67</f>
        <v>18</v>
      </c>
      <c r="D67" s="64"/>
      <c r="E67" s="66">
        <v>10</v>
      </c>
      <c r="F67" s="27">
        <v>150</v>
      </c>
      <c r="G67" s="50"/>
      <c r="H67" s="27">
        <v>130</v>
      </c>
      <c r="I67" s="50"/>
      <c r="J67" s="27">
        <v>130</v>
      </c>
      <c r="K67" s="31"/>
      <c r="L67" s="27">
        <v>75</v>
      </c>
      <c r="M67" s="27"/>
      <c r="N67" s="27">
        <v>75</v>
      </c>
      <c r="O67" s="31">
        <v>8</v>
      </c>
      <c r="P67" s="27">
        <v>75</v>
      </c>
      <c r="Q67" s="27"/>
      <c r="R67" s="27">
        <v>185</v>
      </c>
      <c r="S67" s="27"/>
      <c r="T67" s="27">
        <v>150</v>
      </c>
      <c r="U67" s="31">
        <v>202</v>
      </c>
      <c r="V67" s="27">
        <v>0.95</v>
      </c>
      <c r="W67" s="27"/>
      <c r="X67" s="27">
        <v>0.8</v>
      </c>
      <c r="Y67" s="27"/>
      <c r="Z67" s="121">
        <v>115</v>
      </c>
      <c r="AA67" s="27"/>
      <c r="AB67" s="27">
        <v>55</v>
      </c>
      <c r="AC67" s="231"/>
      <c r="AD67" s="272">
        <v>110</v>
      </c>
      <c r="AE67" s="27"/>
      <c r="AF67" s="27">
        <v>90</v>
      </c>
      <c r="AG67" s="270">
        <v>1</v>
      </c>
      <c r="AH67" s="322"/>
      <c r="AI67" s="322"/>
      <c r="AJ67" s="50">
        <v>78.5</v>
      </c>
      <c r="AK67" s="334"/>
      <c r="AL67" s="334"/>
      <c r="AM67" s="334"/>
      <c r="AN67" s="334"/>
      <c r="AO67" s="334"/>
      <c r="AP67" s="334"/>
      <c r="AQ67" s="27">
        <f t="shared" si="0"/>
        <v>191.89999999999998</v>
      </c>
      <c r="AR67" s="27">
        <f t="shared" ref="AR67:AR75" si="7">(E67*F67)+(G67*H67)+(I67*J67)+(K67*L67)+(M67*N67)+(Q67*R67)+(S67*T67)+AQ67+(AG67*AJ67)+(O67*P67)+(Y67*Z67)+(AA67*AB67)+(AE67*AF67)+(AC67*AD67)</f>
        <v>2370.4</v>
      </c>
      <c r="AS67" s="27">
        <f t="shared" si="4"/>
        <v>118.52000000000001</v>
      </c>
      <c r="AT67" s="27">
        <f t="shared" si="5"/>
        <v>2488.92</v>
      </c>
      <c r="AU67" s="64"/>
      <c r="AV67" s="56"/>
    </row>
    <row r="68" spans="1:49">
      <c r="A68" s="63">
        <v>42225</v>
      </c>
      <c r="B68" s="69" t="s">
        <v>301</v>
      </c>
      <c r="C68" s="153">
        <f>E68+K68+M68+O68+Q68+S68</f>
        <v>23</v>
      </c>
      <c r="D68" s="64"/>
      <c r="E68" s="66">
        <v>10</v>
      </c>
      <c r="F68" s="27">
        <v>150</v>
      </c>
      <c r="G68" s="50"/>
      <c r="H68" s="27">
        <v>130</v>
      </c>
      <c r="I68" s="50"/>
      <c r="J68" s="27">
        <v>130</v>
      </c>
      <c r="K68" s="31">
        <v>5</v>
      </c>
      <c r="L68" s="27">
        <v>75</v>
      </c>
      <c r="M68" s="27"/>
      <c r="N68" s="27">
        <v>75</v>
      </c>
      <c r="O68" s="31">
        <v>8</v>
      </c>
      <c r="P68" s="27">
        <v>75</v>
      </c>
      <c r="Q68" s="27"/>
      <c r="R68" s="27">
        <v>185</v>
      </c>
      <c r="S68" s="27"/>
      <c r="T68" s="27">
        <v>150</v>
      </c>
      <c r="U68" s="31">
        <f>174+336</f>
        <v>510</v>
      </c>
      <c r="V68" s="27">
        <v>0.95</v>
      </c>
      <c r="W68" s="27"/>
      <c r="X68" s="27">
        <v>0.8</v>
      </c>
      <c r="Y68" s="27"/>
      <c r="Z68" s="121">
        <v>115</v>
      </c>
      <c r="AA68" s="27"/>
      <c r="AB68" s="27">
        <v>55</v>
      </c>
      <c r="AC68" s="231"/>
      <c r="AD68" s="272">
        <v>110</v>
      </c>
      <c r="AE68" s="27"/>
      <c r="AF68" s="27">
        <v>90</v>
      </c>
      <c r="AG68" s="270">
        <v>1</v>
      </c>
      <c r="AH68" s="322"/>
      <c r="AI68" s="322"/>
      <c r="AJ68" s="50">
        <v>78.5</v>
      </c>
      <c r="AK68" s="334"/>
      <c r="AL68" s="334"/>
      <c r="AM68" s="334"/>
      <c r="AN68" s="334"/>
      <c r="AO68" s="334"/>
      <c r="AP68" s="334"/>
      <c r="AQ68" s="27">
        <f t="shared" si="0"/>
        <v>484.5</v>
      </c>
      <c r="AR68" s="27">
        <f t="shared" si="7"/>
        <v>3038</v>
      </c>
      <c r="AS68" s="27">
        <f t="shared" si="4"/>
        <v>151.9</v>
      </c>
      <c r="AT68" s="27">
        <f t="shared" si="5"/>
        <v>3189.9</v>
      </c>
      <c r="AU68" s="64"/>
      <c r="AV68" s="56"/>
    </row>
    <row r="69" spans="1:49">
      <c r="A69" s="63">
        <v>42226</v>
      </c>
      <c r="B69" s="69" t="s">
        <v>302</v>
      </c>
      <c r="C69" s="153">
        <f>E69+K69+M69+O69+Q69+S69</f>
        <v>28.5</v>
      </c>
      <c r="D69" s="64"/>
      <c r="E69" s="66">
        <v>10</v>
      </c>
      <c r="F69" s="27">
        <v>150</v>
      </c>
      <c r="G69" s="50"/>
      <c r="H69" s="27">
        <v>130</v>
      </c>
      <c r="I69" s="50"/>
      <c r="J69" s="27">
        <v>130</v>
      </c>
      <c r="K69" s="31">
        <v>9.5</v>
      </c>
      <c r="L69" s="27">
        <v>75</v>
      </c>
      <c r="M69" s="27"/>
      <c r="N69" s="27">
        <v>75</v>
      </c>
      <c r="O69" s="31">
        <v>9</v>
      </c>
      <c r="P69" s="27">
        <v>75</v>
      </c>
      <c r="Q69" s="27"/>
      <c r="R69" s="27">
        <v>185</v>
      </c>
      <c r="S69" s="27"/>
      <c r="T69" s="27">
        <v>150</v>
      </c>
      <c r="U69" s="31">
        <f>259+123</f>
        <v>382</v>
      </c>
      <c r="V69" s="27">
        <v>0.95</v>
      </c>
      <c r="W69" s="27"/>
      <c r="X69" s="27">
        <v>0.8</v>
      </c>
      <c r="Y69" s="27"/>
      <c r="Z69" s="121">
        <v>115</v>
      </c>
      <c r="AA69" s="27"/>
      <c r="AB69" s="27">
        <v>55</v>
      </c>
      <c r="AC69" s="232">
        <v>1</v>
      </c>
      <c r="AD69" s="272">
        <v>110</v>
      </c>
      <c r="AE69" s="27"/>
      <c r="AF69" s="27">
        <v>90</v>
      </c>
      <c r="AG69" s="270">
        <v>1</v>
      </c>
      <c r="AH69" s="322"/>
      <c r="AI69" s="322"/>
      <c r="AJ69" s="50">
        <v>78.5</v>
      </c>
      <c r="AK69" s="334"/>
      <c r="AL69" s="334"/>
      <c r="AM69" s="334"/>
      <c r="AN69" s="334"/>
      <c r="AO69" s="334"/>
      <c r="AP69" s="334"/>
      <c r="AQ69" s="27">
        <f t="shared" ref="AQ69:AQ132" si="8">(U69*V69)+(W69*X69)</f>
        <v>362.9</v>
      </c>
      <c r="AR69" s="27">
        <f t="shared" si="7"/>
        <v>3438.9</v>
      </c>
      <c r="AS69" s="27">
        <f t="shared" ref="AS69:AS132" si="9">(AR69*5%)</f>
        <v>171.94500000000002</v>
      </c>
      <c r="AT69" s="27">
        <f t="shared" ref="AT69:AT87" si="10">SUM(AR69+AS69)</f>
        <v>3610.8450000000003</v>
      </c>
      <c r="AU69" s="64"/>
      <c r="AV69" s="56"/>
    </row>
    <row r="70" spans="1:49">
      <c r="A70" s="63">
        <v>42227</v>
      </c>
      <c r="B70" s="69" t="s">
        <v>303</v>
      </c>
      <c r="C70" s="153">
        <f>E70+K70+M70+O70+Q70+S70</f>
        <v>22</v>
      </c>
      <c r="D70" s="64"/>
      <c r="E70" s="66"/>
      <c r="F70" s="27">
        <v>150</v>
      </c>
      <c r="G70" s="50"/>
      <c r="H70" s="27">
        <v>130</v>
      </c>
      <c r="I70" s="50"/>
      <c r="J70" s="27">
        <v>130</v>
      </c>
      <c r="K70" s="31">
        <v>9</v>
      </c>
      <c r="L70" s="27">
        <v>75</v>
      </c>
      <c r="M70" s="27"/>
      <c r="N70" s="27">
        <v>75</v>
      </c>
      <c r="O70" s="31">
        <v>13</v>
      </c>
      <c r="P70" s="27">
        <v>75</v>
      </c>
      <c r="Q70" s="27"/>
      <c r="R70" s="27">
        <v>185</v>
      </c>
      <c r="S70" s="27"/>
      <c r="T70" s="27">
        <v>150</v>
      </c>
      <c r="U70" s="31">
        <f>316+336</f>
        <v>652</v>
      </c>
      <c r="V70" s="27">
        <v>0.95</v>
      </c>
      <c r="W70" s="27"/>
      <c r="X70" s="27">
        <v>0.8</v>
      </c>
      <c r="Y70" s="27"/>
      <c r="Z70" s="121">
        <v>115</v>
      </c>
      <c r="AA70" s="27"/>
      <c r="AB70" s="27">
        <v>55</v>
      </c>
      <c r="AC70" s="231"/>
      <c r="AD70" s="272">
        <v>110</v>
      </c>
      <c r="AE70" s="27"/>
      <c r="AF70" s="27">
        <v>90</v>
      </c>
      <c r="AG70" s="271">
        <v>1</v>
      </c>
      <c r="AH70" s="323"/>
      <c r="AI70" s="323"/>
      <c r="AJ70" s="50">
        <v>78.5</v>
      </c>
      <c r="AK70" s="334"/>
      <c r="AL70" s="334"/>
      <c r="AM70" s="334"/>
      <c r="AN70" s="334"/>
      <c r="AO70" s="334"/>
      <c r="AP70" s="334"/>
      <c r="AQ70" s="27">
        <f t="shared" si="8"/>
        <v>619.4</v>
      </c>
      <c r="AR70" s="27">
        <f t="shared" si="7"/>
        <v>2347.9</v>
      </c>
      <c r="AS70" s="27">
        <f t="shared" si="9"/>
        <v>117.39500000000001</v>
      </c>
      <c r="AT70" s="27">
        <f t="shared" si="10"/>
        <v>2465.2950000000001</v>
      </c>
      <c r="AU70" s="64"/>
      <c r="AV70" s="56"/>
    </row>
    <row r="71" spans="1:49">
      <c r="A71" s="63">
        <v>42228</v>
      </c>
      <c r="B71" s="69" t="s">
        <v>304</v>
      </c>
      <c r="C71" s="153">
        <f>E71+K71+M71+O71+Q71+S71</f>
        <v>8.5</v>
      </c>
      <c r="D71" s="64"/>
      <c r="E71" s="66"/>
      <c r="F71" s="27">
        <v>150</v>
      </c>
      <c r="G71" s="50"/>
      <c r="H71" s="27">
        <v>130</v>
      </c>
      <c r="I71" s="50"/>
      <c r="J71" s="27">
        <v>130</v>
      </c>
      <c r="K71" s="31">
        <v>8.5</v>
      </c>
      <c r="L71" s="27">
        <v>75</v>
      </c>
      <c r="M71" s="27"/>
      <c r="N71" s="27">
        <v>75</v>
      </c>
      <c r="O71" s="31"/>
      <c r="P71" s="27">
        <v>75</v>
      </c>
      <c r="Q71" s="27"/>
      <c r="R71" s="27">
        <v>185</v>
      </c>
      <c r="S71" s="27"/>
      <c r="T71" s="27">
        <v>150</v>
      </c>
      <c r="U71" s="31">
        <v>245</v>
      </c>
      <c r="V71" s="27">
        <v>0.95</v>
      </c>
      <c r="W71" s="27"/>
      <c r="X71" s="27">
        <v>0.8</v>
      </c>
      <c r="Y71" s="27"/>
      <c r="Z71" s="121">
        <v>115</v>
      </c>
      <c r="AA71" s="27"/>
      <c r="AB71" s="27">
        <v>55</v>
      </c>
      <c r="AC71" s="231"/>
      <c r="AD71" s="272">
        <v>110</v>
      </c>
      <c r="AE71" s="27"/>
      <c r="AF71" s="27">
        <v>90</v>
      </c>
      <c r="AG71" s="271">
        <v>1</v>
      </c>
      <c r="AH71" s="323"/>
      <c r="AI71" s="323"/>
      <c r="AJ71" s="50">
        <v>78.5</v>
      </c>
      <c r="AK71" s="334"/>
      <c r="AL71" s="334"/>
      <c r="AM71" s="334"/>
      <c r="AN71" s="334"/>
      <c r="AO71" s="334"/>
      <c r="AP71" s="334"/>
      <c r="AQ71" s="27">
        <f t="shared" si="8"/>
        <v>232.75</v>
      </c>
      <c r="AR71" s="27">
        <f t="shared" si="7"/>
        <v>948.75</v>
      </c>
      <c r="AS71" s="27">
        <f t="shared" si="9"/>
        <v>47.4375</v>
      </c>
      <c r="AT71" s="27">
        <f t="shared" si="10"/>
        <v>996.1875</v>
      </c>
      <c r="AU71" s="64"/>
      <c r="AV71" s="56"/>
    </row>
    <row r="72" spans="1:49">
      <c r="A72" s="63">
        <v>42229</v>
      </c>
      <c r="B72" s="69" t="s">
        <v>305</v>
      </c>
      <c r="C72" s="153">
        <v>8</v>
      </c>
      <c r="D72" s="64"/>
      <c r="E72" s="64"/>
      <c r="F72" s="27">
        <v>150</v>
      </c>
      <c r="G72" s="27"/>
      <c r="H72" s="27">
        <v>130</v>
      </c>
      <c r="I72" s="27"/>
      <c r="J72" s="27">
        <v>130</v>
      </c>
      <c r="K72" s="31">
        <v>8</v>
      </c>
      <c r="L72" s="27">
        <v>75</v>
      </c>
      <c r="M72" s="27"/>
      <c r="N72" s="27">
        <v>75</v>
      </c>
      <c r="O72" s="31"/>
      <c r="P72" s="27">
        <v>75</v>
      </c>
      <c r="Q72" s="27"/>
      <c r="R72" s="27">
        <v>185</v>
      </c>
      <c r="S72" s="27"/>
      <c r="T72" s="27">
        <v>150</v>
      </c>
      <c r="U72" s="31">
        <v>227</v>
      </c>
      <c r="V72" s="27">
        <v>0.95</v>
      </c>
      <c r="W72" s="27"/>
      <c r="X72" s="27">
        <v>0.8</v>
      </c>
      <c r="Y72" s="27"/>
      <c r="Z72" s="121">
        <v>115</v>
      </c>
      <c r="AA72" s="27"/>
      <c r="AB72" s="27">
        <v>55</v>
      </c>
      <c r="AC72" s="231"/>
      <c r="AD72" s="272">
        <v>110</v>
      </c>
      <c r="AE72" s="27"/>
      <c r="AF72" s="27">
        <v>90</v>
      </c>
      <c r="AG72" s="270">
        <v>1</v>
      </c>
      <c r="AH72" s="322"/>
      <c r="AI72" s="322"/>
      <c r="AJ72" s="50">
        <v>78.5</v>
      </c>
      <c r="AK72" s="334"/>
      <c r="AL72" s="334"/>
      <c r="AM72" s="334"/>
      <c r="AN72" s="334"/>
      <c r="AO72" s="334"/>
      <c r="AP72" s="334"/>
      <c r="AQ72" s="27">
        <f t="shared" si="8"/>
        <v>215.64999999999998</v>
      </c>
      <c r="AR72" s="27">
        <f t="shared" si="7"/>
        <v>894.15</v>
      </c>
      <c r="AS72" s="27">
        <f t="shared" si="9"/>
        <v>44.707500000000003</v>
      </c>
      <c r="AT72" s="27">
        <f t="shared" si="10"/>
        <v>938.85749999999996</v>
      </c>
      <c r="AU72" s="64"/>
      <c r="AV72" s="56"/>
    </row>
    <row r="73" spans="1:49">
      <c r="A73" s="63">
        <v>42230</v>
      </c>
      <c r="B73" s="69" t="s">
        <v>314</v>
      </c>
      <c r="C73" s="153">
        <v>8</v>
      </c>
      <c r="D73" s="64"/>
      <c r="E73" s="66"/>
      <c r="F73" s="27">
        <v>150</v>
      </c>
      <c r="G73" s="50"/>
      <c r="H73" s="27">
        <v>130</v>
      </c>
      <c r="I73" s="50"/>
      <c r="J73" s="27">
        <v>130</v>
      </c>
      <c r="K73" s="31">
        <v>8</v>
      </c>
      <c r="L73" s="27">
        <v>75</v>
      </c>
      <c r="M73" s="27"/>
      <c r="N73" s="27">
        <v>75</v>
      </c>
      <c r="O73" s="31"/>
      <c r="P73" s="27">
        <v>75</v>
      </c>
      <c r="Q73" s="27"/>
      <c r="R73" s="27">
        <v>185</v>
      </c>
      <c r="S73" s="27"/>
      <c r="T73" s="27">
        <v>150</v>
      </c>
      <c r="U73" s="31">
        <v>125</v>
      </c>
      <c r="V73" s="27">
        <v>0.95</v>
      </c>
      <c r="W73" s="27"/>
      <c r="X73" s="27">
        <v>0.8</v>
      </c>
      <c r="Y73" s="27"/>
      <c r="Z73" s="121">
        <v>115</v>
      </c>
      <c r="AA73" s="27"/>
      <c r="AB73" s="27">
        <v>55</v>
      </c>
      <c r="AC73" s="231"/>
      <c r="AD73" s="272">
        <v>110</v>
      </c>
      <c r="AE73" s="27"/>
      <c r="AF73" s="27">
        <v>90</v>
      </c>
      <c r="AG73" s="270">
        <v>1</v>
      </c>
      <c r="AH73" s="322"/>
      <c r="AI73" s="322"/>
      <c r="AJ73" s="50">
        <v>78.5</v>
      </c>
      <c r="AK73" s="334"/>
      <c r="AL73" s="334"/>
      <c r="AM73" s="334"/>
      <c r="AN73" s="334"/>
      <c r="AO73" s="334"/>
      <c r="AP73" s="334"/>
      <c r="AQ73" s="27">
        <f t="shared" si="8"/>
        <v>118.75</v>
      </c>
      <c r="AR73" s="27">
        <f t="shared" si="7"/>
        <v>797.25</v>
      </c>
      <c r="AS73" s="27">
        <f t="shared" si="9"/>
        <v>39.862500000000004</v>
      </c>
      <c r="AT73" s="27">
        <f t="shared" si="10"/>
        <v>837.11249999999995</v>
      </c>
      <c r="AU73" s="64"/>
      <c r="AV73" s="56"/>
    </row>
    <row r="74" spans="1:49">
      <c r="A74" s="63">
        <v>42231</v>
      </c>
      <c r="B74" s="69" t="s">
        <v>315</v>
      </c>
      <c r="C74" s="153">
        <v>8</v>
      </c>
      <c r="D74" s="64"/>
      <c r="E74" s="66"/>
      <c r="F74" s="27">
        <v>150</v>
      </c>
      <c r="G74" s="50"/>
      <c r="H74" s="27">
        <v>130</v>
      </c>
      <c r="I74" s="50"/>
      <c r="J74" s="27">
        <v>130</v>
      </c>
      <c r="K74" s="31">
        <v>8</v>
      </c>
      <c r="L74" s="27">
        <v>75</v>
      </c>
      <c r="M74" s="27"/>
      <c r="N74" s="27">
        <v>75</v>
      </c>
      <c r="O74" s="31"/>
      <c r="P74" s="27">
        <v>75</v>
      </c>
      <c r="Q74" s="27"/>
      <c r="R74" s="27">
        <v>185</v>
      </c>
      <c r="S74" s="27"/>
      <c r="T74" s="27">
        <v>150</v>
      </c>
      <c r="U74" s="31">
        <v>255</v>
      </c>
      <c r="V74" s="27">
        <v>0.95</v>
      </c>
      <c r="W74" s="27"/>
      <c r="X74" s="27">
        <v>0.8</v>
      </c>
      <c r="Y74" s="27"/>
      <c r="Z74" s="121">
        <v>115</v>
      </c>
      <c r="AA74" s="27"/>
      <c r="AB74" s="27">
        <v>55</v>
      </c>
      <c r="AC74" s="231"/>
      <c r="AD74" s="272">
        <v>110</v>
      </c>
      <c r="AE74" s="27"/>
      <c r="AF74" s="27">
        <v>90</v>
      </c>
      <c r="AG74" s="270">
        <v>1</v>
      </c>
      <c r="AH74" s="322"/>
      <c r="AI74" s="322"/>
      <c r="AJ74" s="50">
        <v>78.5</v>
      </c>
      <c r="AK74" s="334"/>
      <c r="AL74" s="334"/>
      <c r="AM74" s="334"/>
      <c r="AN74" s="334"/>
      <c r="AO74" s="334"/>
      <c r="AP74" s="334"/>
      <c r="AQ74" s="27">
        <f t="shared" si="8"/>
        <v>242.25</v>
      </c>
      <c r="AR74" s="27">
        <f t="shared" si="7"/>
        <v>920.75</v>
      </c>
      <c r="AS74" s="27">
        <f t="shared" si="9"/>
        <v>46.037500000000001</v>
      </c>
      <c r="AT74" s="27">
        <f t="shared" si="10"/>
        <v>966.78750000000002</v>
      </c>
      <c r="AU74" s="64"/>
      <c r="AV74" s="56"/>
    </row>
    <row r="75" spans="1:49">
      <c r="A75" s="63">
        <v>42232</v>
      </c>
      <c r="B75" s="69" t="s">
        <v>316</v>
      </c>
      <c r="C75" s="153">
        <v>6.5</v>
      </c>
      <c r="D75" s="64"/>
      <c r="E75" s="66"/>
      <c r="F75" s="27">
        <v>150</v>
      </c>
      <c r="G75" s="50"/>
      <c r="H75" s="27">
        <v>130</v>
      </c>
      <c r="I75" s="50"/>
      <c r="J75" s="27">
        <v>130</v>
      </c>
      <c r="K75" s="31">
        <v>2</v>
      </c>
      <c r="L75" s="27">
        <v>75</v>
      </c>
      <c r="M75" s="27"/>
      <c r="N75" s="27">
        <v>75</v>
      </c>
      <c r="O75" s="31">
        <v>4.5</v>
      </c>
      <c r="P75" s="27">
        <v>75</v>
      </c>
      <c r="Q75" s="27"/>
      <c r="R75" s="27">
        <v>185</v>
      </c>
      <c r="S75" s="27"/>
      <c r="T75" s="27">
        <v>150</v>
      </c>
      <c r="U75" s="31">
        <f>130+322</f>
        <v>452</v>
      </c>
      <c r="V75" s="27">
        <v>0.95</v>
      </c>
      <c r="W75" s="27"/>
      <c r="X75" s="27">
        <v>0.8</v>
      </c>
      <c r="Y75" s="27"/>
      <c r="Z75" s="121">
        <v>115</v>
      </c>
      <c r="AA75" s="27"/>
      <c r="AB75" s="27">
        <v>55</v>
      </c>
      <c r="AC75" s="231"/>
      <c r="AD75" s="272">
        <v>110</v>
      </c>
      <c r="AE75" s="27"/>
      <c r="AF75" s="27">
        <v>90</v>
      </c>
      <c r="AG75" s="270">
        <v>1</v>
      </c>
      <c r="AH75" s="322"/>
      <c r="AI75" s="322"/>
      <c r="AJ75" s="50">
        <v>78.5</v>
      </c>
      <c r="AK75" s="334"/>
      <c r="AL75" s="334"/>
      <c r="AM75" s="334"/>
      <c r="AN75" s="334"/>
      <c r="AO75" s="334"/>
      <c r="AP75" s="334"/>
      <c r="AQ75" s="27">
        <f t="shared" si="8"/>
        <v>429.4</v>
      </c>
      <c r="AR75" s="27">
        <f t="shared" si="7"/>
        <v>995.4</v>
      </c>
      <c r="AS75" s="27">
        <f t="shared" si="9"/>
        <v>49.77</v>
      </c>
      <c r="AT75" s="27">
        <f t="shared" si="10"/>
        <v>1045.17</v>
      </c>
      <c r="AU75" s="64"/>
      <c r="AV75" s="56"/>
    </row>
    <row r="76" spans="1:49">
      <c r="A76" s="345">
        <v>42233</v>
      </c>
      <c r="B76" s="349" t="s">
        <v>358</v>
      </c>
      <c r="C76" s="346"/>
      <c r="D76" s="331"/>
      <c r="E76" s="338"/>
      <c r="F76" s="27">
        <v>150</v>
      </c>
      <c r="G76" s="334"/>
      <c r="H76" s="330"/>
      <c r="I76" s="334"/>
      <c r="J76" s="330"/>
      <c r="K76" s="321">
        <v>13</v>
      </c>
      <c r="L76" s="330">
        <v>75</v>
      </c>
      <c r="M76" s="330"/>
      <c r="N76" s="27">
        <v>75</v>
      </c>
      <c r="O76" s="321">
        <v>13</v>
      </c>
      <c r="P76" s="330">
        <v>75</v>
      </c>
      <c r="Q76" s="330"/>
      <c r="R76" s="27">
        <v>185</v>
      </c>
      <c r="S76" s="330"/>
      <c r="T76" s="27">
        <v>150</v>
      </c>
      <c r="U76" s="321">
        <v>125</v>
      </c>
      <c r="V76" s="330">
        <v>0.95</v>
      </c>
      <c r="W76" s="330"/>
      <c r="X76" s="27">
        <v>0.8</v>
      </c>
      <c r="Y76" s="330"/>
      <c r="Z76" s="121">
        <v>115</v>
      </c>
      <c r="AA76" s="330"/>
      <c r="AB76" s="27">
        <v>55</v>
      </c>
      <c r="AC76" s="330">
        <v>1</v>
      </c>
      <c r="AD76" s="350">
        <v>110</v>
      </c>
      <c r="AE76" s="330"/>
      <c r="AF76" s="27">
        <v>90</v>
      </c>
      <c r="AG76" s="322">
        <v>1</v>
      </c>
      <c r="AH76" s="322">
        <v>1</v>
      </c>
      <c r="AI76" s="322">
        <v>140</v>
      </c>
      <c r="AJ76" s="50">
        <v>78.8</v>
      </c>
      <c r="AK76" s="334"/>
      <c r="AL76" s="334"/>
      <c r="AM76" s="334"/>
      <c r="AN76" s="334"/>
      <c r="AO76" s="334"/>
      <c r="AP76" s="334"/>
      <c r="AQ76" s="27">
        <f t="shared" si="8"/>
        <v>118.75</v>
      </c>
      <c r="AR76" s="27">
        <f>(E76*F76)+(G76*H76)+(I76*J76)+(K76*L76)+(M76*N76)+(Q76*R76)+(S76*T76)+AQ76+(AG76*AJ76)+(O76*P76)+(Y76*Z76)+(AA76*AB76)+(AE76*AF76)+(AC76*AD76)+(AH76*AI76)</f>
        <v>2397.5500000000002</v>
      </c>
      <c r="AS76" s="27">
        <f>(AR76*5%)</f>
        <v>119.87750000000001</v>
      </c>
      <c r="AT76" s="27">
        <f>SUM(AR76+AS76)</f>
        <v>2517.4275000000002</v>
      </c>
      <c r="AU76" s="331"/>
      <c r="AV76" s="333"/>
      <c r="AW76" s="341"/>
    </row>
    <row r="77" spans="1:49">
      <c r="A77" s="345">
        <v>42234</v>
      </c>
      <c r="B77" s="349" t="s">
        <v>359</v>
      </c>
      <c r="C77" s="346"/>
      <c r="D77" s="331"/>
      <c r="E77" s="338"/>
      <c r="F77" s="27">
        <v>150</v>
      </c>
      <c r="G77" s="334"/>
      <c r="H77" s="330"/>
      <c r="I77" s="334"/>
      <c r="J77" s="330"/>
      <c r="K77" s="321">
        <v>15</v>
      </c>
      <c r="L77" s="330">
        <v>75</v>
      </c>
      <c r="M77" s="330"/>
      <c r="N77" s="27">
        <v>75</v>
      </c>
      <c r="O77" s="321">
        <v>15</v>
      </c>
      <c r="P77" s="330">
        <v>75</v>
      </c>
      <c r="Q77" s="330"/>
      <c r="R77" s="27">
        <v>185</v>
      </c>
      <c r="S77" s="330"/>
      <c r="T77" s="27">
        <v>150</v>
      </c>
      <c r="U77" s="321">
        <v>124</v>
      </c>
      <c r="V77" s="330">
        <v>0.95</v>
      </c>
      <c r="W77" s="330"/>
      <c r="X77" s="27">
        <v>0.8</v>
      </c>
      <c r="Y77" s="330"/>
      <c r="Z77" s="121">
        <v>115</v>
      </c>
      <c r="AA77" s="330"/>
      <c r="AB77" s="27">
        <v>55</v>
      </c>
      <c r="AC77" s="330">
        <v>1</v>
      </c>
      <c r="AD77" s="350">
        <v>110</v>
      </c>
      <c r="AE77" s="330"/>
      <c r="AF77" s="27">
        <v>90</v>
      </c>
      <c r="AG77" s="322">
        <v>1</v>
      </c>
      <c r="AH77" s="322">
        <v>1</v>
      </c>
      <c r="AI77" s="322">
        <v>140</v>
      </c>
      <c r="AJ77" s="50">
        <v>78.5</v>
      </c>
      <c r="AK77" s="334">
        <v>1</v>
      </c>
      <c r="AL77" s="334">
        <v>40</v>
      </c>
      <c r="AM77" s="334">
        <v>1</v>
      </c>
      <c r="AN77" s="334">
        <v>45</v>
      </c>
      <c r="AO77" s="334">
        <v>1</v>
      </c>
      <c r="AP77" s="334">
        <v>140</v>
      </c>
      <c r="AQ77" s="27">
        <f t="shared" si="8"/>
        <v>117.8</v>
      </c>
      <c r="AR77" s="27">
        <f>(E77*F77)+(G77*H77)+(I77*J77)+(K77*L77)+(M77*N77)+(Q77*R77)+(S77*T77)+AQ77+(AG77*AJ77)+(O77*P77)+(Y77*Z77)+(AA77*AB77)+(AE77*AF77)+(AC77*AD77)+(AH77*AI77)+(AK77*AL77)+(AM77*AN77)+(AO77*AP77)</f>
        <v>2921.3</v>
      </c>
      <c r="AS77" s="27">
        <f>(AR77*5%)</f>
        <v>146.06500000000003</v>
      </c>
      <c r="AT77" s="27">
        <f>SUM(AR77+AS77)</f>
        <v>3067.3650000000002</v>
      </c>
      <c r="AU77" s="331"/>
      <c r="AV77" s="333"/>
      <c r="AW77" s="341"/>
    </row>
    <row r="78" spans="1:49">
      <c r="A78" s="345">
        <v>42235</v>
      </c>
      <c r="B78" s="349" t="s">
        <v>364</v>
      </c>
      <c r="C78" s="346"/>
      <c r="D78" s="331"/>
      <c r="E78" s="338"/>
      <c r="F78" s="27">
        <v>150</v>
      </c>
      <c r="G78" s="334"/>
      <c r="H78" s="330"/>
      <c r="I78" s="334"/>
      <c r="J78" s="330"/>
      <c r="K78" s="321">
        <v>13</v>
      </c>
      <c r="L78" s="330">
        <v>75</v>
      </c>
      <c r="M78" s="330"/>
      <c r="N78" s="27">
        <v>75</v>
      </c>
      <c r="O78" s="321">
        <v>13</v>
      </c>
      <c r="P78" s="330">
        <v>75</v>
      </c>
      <c r="Q78" s="330"/>
      <c r="R78" s="27">
        <v>185</v>
      </c>
      <c r="S78" s="330"/>
      <c r="T78" s="27">
        <v>150</v>
      </c>
      <c r="U78" s="321">
        <v>99</v>
      </c>
      <c r="V78" s="330">
        <v>0.95</v>
      </c>
      <c r="W78" s="330"/>
      <c r="X78" s="27">
        <v>0.8</v>
      </c>
      <c r="Y78" s="330"/>
      <c r="Z78" s="121">
        <v>115</v>
      </c>
      <c r="AA78" s="330"/>
      <c r="AB78" s="27">
        <v>55</v>
      </c>
      <c r="AC78" s="330">
        <v>1</v>
      </c>
      <c r="AD78" s="350">
        <v>110</v>
      </c>
      <c r="AE78" s="330"/>
      <c r="AF78" s="27">
        <v>90</v>
      </c>
      <c r="AG78" s="322">
        <v>1</v>
      </c>
      <c r="AH78" s="322">
        <v>1</v>
      </c>
      <c r="AI78" s="322">
        <v>140</v>
      </c>
      <c r="AJ78" s="50">
        <v>78.5</v>
      </c>
      <c r="AK78" s="334"/>
      <c r="AL78" s="334"/>
      <c r="AM78" s="334"/>
      <c r="AN78" s="334"/>
      <c r="AO78" s="334"/>
      <c r="AP78" s="334"/>
      <c r="AQ78" s="27">
        <f t="shared" si="8"/>
        <v>94.05</v>
      </c>
      <c r="AR78" s="27">
        <f>(E78*F78)+(G78*H78)+(I78*J78)+(K78*L78)+(M78*N78)+(Q78*R78)+(S78*T78)+AQ78+(AG78*AJ78)+(O78*P78)+(Y78*Z78)+(AA78*AB78)+(AE78*AF78)+(AC78*AD78)+(AH78*AI78)+(AK78*AL78)+(AM78*AN78)+(AO78*AP78)</f>
        <v>2372.5500000000002</v>
      </c>
      <c r="AS78" s="27">
        <f>(AR78*5%)</f>
        <v>118.62750000000001</v>
      </c>
      <c r="AT78" s="27">
        <f>SUM(AR78+AS78)</f>
        <v>2491.1775000000002</v>
      </c>
      <c r="AU78" s="331"/>
      <c r="AV78" s="333"/>
      <c r="AW78" s="341"/>
    </row>
    <row r="79" spans="1:49">
      <c r="A79" s="63">
        <v>42236</v>
      </c>
      <c r="B79" s="69" t="s">
        <v>320</v>
      </c>
      <c r="C79" s="153">
        <v>26</v>
      </c>
      <c r="D79" s="64">
        <v>2</v>
      </c>
      <c r="E79" s="64"/>
      <c r="F79" s="27">
        <v>150</v>
      </c>
      <c r="G79" s="27"/>
      <c r="H79" s="27">
        <v>130</v>
      </c>
      <c r="I79" s="50"/>
      <c r="J79" s="27">
        <v>130</v>
      </c>
      <c r="K79" s="31">
        <v>13</v>
      </c>
      <c r="L79" s="27">
        <v>75</v>
      </c>
      <c r="M79" s="27"/>
      <c r="N79" s="27">
        <v>75</v>
      </c>
      <c r="O79" s="31">
        <v>13</v>
      </c>
      <c r="P79" s="27">
        <v>75</v>
      </c>
      <c r="Q79" s="27"/>
      <c r="R79" s="27">
        <v>185</v>
      </c>
      <c r="S79" s="27"/>
      <c r="T79" s="27">
        <v>150</v>
      </c>
      <c r="U79" s="31">
        <v>98</v>
      </c>
      <c r="V79" s="27">
        <v>0.95</v>
      </c>
      <c r="W79" s="27"/>
      <c r="X79" s="27">
        <v>0.8</v>
      </c>
      <c r="Y79" s="27"/>
      <c r="Z79" s="121">
        <v>115</v>
      </c>
      <c r="AA79" s="27"/>
      <c r="AB79" s="27">
        <v>55</v>
      </c>
      <c r="AC79" s="231">
        <v>1</v>
      </c>
      <c r="AD79" s="272">
        <v>110</v>
      </c>
      <c r="AE79" s="27"/>
      <c r="AF79" s="27">
        <v>90</v>
      </c>
      <c r="AG79" s="29">
        <v>1</v>
      </c>
      <c r="AH79" s="324">
        <v>1</v>
      </c>
      <c r="AI79" s="324">
        <v>140</v>
      </c>
      <c r="AJ79" s="50">
        <v>78.5</v>
      </c>
      <c r="AK79" s="334"/>
      <c r="AL79" s="334"/>
      <c r="AM79" s="334"/>
      <c r="AN79" s="334"/>
      <c r="AO79" s="334"/>
      <c r="AP79" s="334"/>
      <c r="AQ79" s="27">
        <f t="shared" si="8"/>
        <v>93.1</v>
      </c>
      <c r="AR79" s="27">
        <f>(E79*F79)+(G79*H79)+(I79*J79)+(K79*L79)+(M79*N79)+(Q79*R79)+(S79*T79)+AQ79+(AG79*AJ79)+(O79*P79)+(Y79*Z79)+(AA79*AB79)+(AE79*AF79)+(AC79*AD79)+(AH79*AI79)</f>
        <v>2371.6</v>
      </c>
      <c r="AS79" s="27">
        <f t="shared" si="9"/>
        <v>118.58</v>
      </c>
      <c r="AT79" s="27">
        <f t="shared" si="10"/>
        <v>2490.1799999999998</v>
      </c>
      <c r="AU79" s="64"/>
      <c r="AV79" s="56"/>
    </row>
    <row r="80" spans="1:49">
      <c r="A80" s="63">
        <v>42237</v>
      </c>
      <c r="B80" s="69" t="s">
        <v>322</v>
      </c>
      <c r="C80" s="153">
        <v>25.5</v>
      </c>
      <c r="D80" s="64">
        <v>2</v>
      </c>
      <c r="E80" s="66"/>
      <c r="F80" s="27">
        <v>150</v>
      </c>
      <c r="G80" s="50"/>
      <c r="H80" s="27">
        <v>130</v>
      </c>
      <c r="I80" s="50"/>
      <c r="J80" s="27">
        <v>130</v>
      </c>
      <c r="K80" s="31">
        <v>13.5</v>
      </c>
      <c r="L80" s="27">
        <v>75</v>
      </c>
      <c r="M80" s="27"/>
      <c r="N80" s="27">
        <v>75</v>
      </c>
      <c r="O80" s="31">
        <v>12</v>
      </c>
      <c r="P80" s="27">
        <v>75</v>
      </c>
      <c r="Q80" s="27"/>
      <c r="R80" s="27">
        <v>185</v>
      </c>
      <c r="S80" s="27"/>
      <c r="T80" s="27">
        <v>150</v>
      </c>
      <c r="U80" s="31">
        <v>100</v>
      </c>
      <c r="V80" s="27">
        <v>0.95</v>
      </c>
      <c r="W80" s="27"/>
      <c r="X80" s="27">
        <v>0.8</v>
      </c>
      <c r="Y80" s="27"/>
      <c r="Z80" s="121">
        <v>115</v>
      </c>
      <c r="AA80" s="27"/>
      <c r="AB80" s="27">
        <v>55</v>
      </c>
      <c r="AC80" s="231">
        <v>1</v>
      </c>
      <c r="AD80" s="272">
        <v>110</v>
      </c>
      <c r="AE80" s="27"/>
      <c r="AF80" s="27">
        <v>90</v>
      </c>
      <c r="AG80" s="38">
        <v>1</v>
      </c>
      <c r="AH80" s="325">
        <v>1</v>
      </c>
      <c r="AI80" s="324">
        <v>140</v>
      </c>
      <c r="AJ80" s="50">
        <v>78.5</v>
      </c>
      <c r="AK80" s="334"/>
      <c r="AL80" s="334"/>
      <c r="AM80" s="334"/>
      <c r="AN80" s="334"/>
      <c r="AO80" s="334"/>
      <c r="AP80" s="334"/>
      <c r="AQ80" s="27">
        <f t="shared" si="8"/>
        <v>95</v>
      </c>
      <c r="AR80" s="27">
        <f>(E80*F80)+(G80*H80)+(I80*J80)+(K80*L80)+(M80*N80)+(Q80*R80)+(S80*T80)+AQ80+(AG80*AJ80)+(O80*P80)+(Y80*Z80)+(AA80*AB80)+(AE80*AF80)+(AC80*AD80)+(AH80*AI80)</f>
        <v>2336</v>
      </c>
      <c r="AS80" s="27">
        <f t="shared" si="9"/>
        <v>116.80000000000001</v>
      </c>
      <c r="AT80" s="27">
        <f t="shared" si="10"/>
        <v>2452.8000000000002</v>
      </c>
      <c r="AU80" s="64"/>
      <c r="AV80" s="56"/>
    </row>
    <row r="81" spans="1:48">
      <c r="A81" s="63">
        <v>42238</v>
      </c>
      <c r="B81" s="69" t="s">
        <v>323</v>
      </c>
      <c r="C81" s="153">
        <v>20</v>
      </c>
      <c r="D81" s="64">
        <v>2</v>
      </c>
      <c r="E81" s="64"/>
      <c r="F81" s="27">
        <v>150</v>
      </c>
      <c r="G81" s="27"/>
      <c r="H81" s="27">
        <v>130</v>
      </c>
      <c r="I81" s="50"/>
      <c r="J81" s="27">
        <v>130</v>
      </c>
      <c r="K81" s="31">
        <v>13</v>
      </c>
      <c r="L81" s="27">
        <v>75</v>
      </c>
      <c r="M81" s="27"/>
      <c r="N81" s="27">
        <v>75</v>
      </c>
      <c r="O81" s="31">
        <v>7</v>
      </c>
      <c r="P81" s="27">
        <v>75</v>
      </c>
      <c r="Q81" s="27"/>
      <c r="R81" s="27">
        <v>185</v>
      </c>
      <c r="S81" s="27"/>
      <c r="T81" s="27">
        <v>150</v>
      </c>
      <c r="U81" s="31">
        <v>422</v>
      </c>
      <c r="V81" s="27">
        <v>0.95</v>
      </c>
      <c r="W81" s="27"/>
      <c r="X81" s="27">
        <v>0.8</v>
      </c>
      <c r="Y81" s="27"/>
      <c r="Z81" s="121">
        <v>115</v>
      </c>
      <c r="AA81" s="27"/>
      <c r="AB81" s="27">
        <v>55</v>
      </c>
      <c r="AC81" s="231">
        <v>1</v>
      </c>
      <c r="AD81" s="272">
        <v>110</v>
      </c>
      <c r="AE81" s="27"/>
      <c r="AF81" s="27">
        <v>90</v>
      </c>
      <c r="AG81" s="29">
        <v>1</v>
      </c>
      <c r="AH81" s="324">
        <v>1</v>
      </c>
      <c r="AI81" s="324">
        <v>140</v>
      </c>
      <c r="AJ81" s="50">
        <v>78.5</v>
      </c>
      <c r="AK81" s="334"/>
      <c r="AL81" s="334"/>
      <c r="AM81" s="334"/>
      <c r="AN81" s="334"/>
      <c r="AO81" s="334"/>
      <c r="AP81" s="334"/>
      <c r="AQ81" s="27">
        <f t="shared" si="8"/>
        <v>400.9</v>
      </c>
      <c r="AR81" s="27">
        <f>(E81*F81)+(G81*H81)+(I81*J81)+(K81*L81)+(M81*N81)+(Q81*R81)+(S81*T81)+AQ81+(AG81*AJ81)+(O81*P81)+(Y81*Z81)+(AA81*AB81)+(AE81*AF81)+(AC81*AD81)+(AH81*AI81)</f>
        <v>2229.4</v>
      </c>
      <c r="AS81" s="27">
        <f t="shared" si="9"/>
        <v>111.47000000000001</v>
      </c>
      <c r="AT81" s="27">
        <f t="shared" si="10"/>
        <v>2340.87</v>
      </c>
      <c r="AU81" s="64"/>
      <c r="AV81" s="56"/>
    </row>
    <row r="82" spans="1:48">
      <c r="A82" s="63">
        <v>42242</v>
      </c>
      <c r="B82" s="70" t="s">
        <v>357</v>
      </c>
      <c r="C82" s="153"/>
      <c r="D82" s="64"/>
      <c r="E82" s="64"/>
      <c r="F82" s="27">
        <v>150</v>
      </c>
      <c r="G82" s="27"/>
      <c r="H82" s="27">
        <v>130</v>
      </c>
      <c r="I82" s="50"/>
      <c r="J82" s="27">
        <v>130</v>
      </c>
      <c r="K82" s="31">
        <v>10</v>
      </c>
      <c r="L82" s="27">
        <v>75</v>
      </c>
      <c r="M82" s="27"/>
      <c r="N82" s="27">
        <v>75</v>
      </c>
      <c r="O82" s="31"/>
      <c r="P82" s="27">
        <v>75</v>
      </c>
      <c r="Q82" s="27"/>
      <c r="R82" s="27">
        <v>185</v>
      </c>
      <c r="S82" s="27"/>
      <c r="T82" s="27">
        <v>150</v>
      </c>
      <c r="U82" s="31">
        <v>722</v>
      </c>
      <c r="V82" s="27">
        <v>0.95</v>
      </c>
      <c r="W82" s="27"/>
      <c r="X82" s="27">
        <v>0.8</v>
      </c>
      <c r="Y82" s="27"/>
      <c r="Z82" s="121">
        <v>115</v>
      </c>
      <c r="AA82" s="27"/>
      <c r="AB82" s="27">
        <v>55</v>
      </c>
      <c r="AC82" s="231"/>
      <c r="AD82" s="272">
        <v>110</v>
      </c>
      <c r="AE82" s="27"/>
      <c r="AF82" s="27">
        <v>90</v>
      </c>
      <c r="AG82" s="29"/>
      <c r="AH82" s="324"/>
      <c r="AI82" s="324">
        <v>140</v>
      </c>
      <c r="AJ82" s="50">
        <v>78.5</v>
      </c>
      <c r="AK82" s="334"/>
      <c r="AL82" s="334"/>
      <c r="AM82" s="334"/>
      <c r="AN82" s="334"/>
      <c r="AO82" s="334"/>
      <c r="AP82" s="334"/>
      <c r="AQ82" s="27">
        <f t="shared" si="8"/>
        <v>685.9</v>
      </c>
      <c r="AR82" s="27">
        <f t="shared" ref="AR82:AR113" si="11">(E82*F82)+(G82*H82)+(I82*J82)+(K82*L82)+(M82*N82)+(Q82*R82)+(S82*T82)+AQ82+(AG82*AJ82)+(O82*P82)+(Y82*Z82)+(AA82*AB82)+(AE82*AF82)+(AC82*AD82)</f>
        <v>1435.9</v>
      </c>
      <c r="AS82" s="27">
        <f t="shared" si="9"/>
        <v>71.795000000000002</v>
      </c>
      <c r="AT82" s="27">
        <f t="shared" si="10"/>
        <v>1507.6950000000002</v>
      </c>
      <c r="AU82" s="64"/>
      <c r="AV82" s="56"/>
    </row>
    <row r="83" spans="1:48">
      <c r="A83" s="63">
        <v>42243</v>
      </c>
      <c r="B83" s="48"/>
      <c r="C83" s="153"/>
      <c r="D83" s="64"/>
      <c r="E83" s="66"/>
      <c r="F83" s="27">
        <v>150</v>
      </c>
      <c r="G83" s="50"/>
      <c r="H83" s="27">
        <v>130</v>
      </c>
      <c r="I83" s="50"/>
      <c r="J83" s="27">
        <v>130</v>
      </c>
      <c r="K83" s="31"/>
      <c r="L83" s="27">
        <v>75</v>
      </c>
      <c r="M83" s="27"/>
      <c r="N83" s="27">
        <v>75</v>
      </c>
      <c r="O83" s="31"/>
      <c r="P83" s="27">
        <v>75</v>
      </c>
      <c r="Q83" s="27"/>
      <c r="R83" s="27">
        <v>185</v>
      </c>
      <c r="S83" s="27"/>
      <c r="T83" s="27">
        <v>150</v>
      </c>
      <c r="U83" s="31"/>
      <c r="V83" s="27">
        <v>0.95</v>
      </c>
      <c r="W83" s="27"/>
      <c r="X83" s="27">
        <v>0.8</v>
      </c>
      <c r="Y83" s="27"/>
      <c r="Z83" s="121">
        <v>115</v>
      </c>
      <c r="AA83" s="27"/>
      <c r="AB83" s="27">
        <v>55</v>
      </c>
      <c r="AC83" s="231"/>
      <c r="AD83" s="272">
        <v>110</v>
      </c>
      <c r="AE83" s="27"/>
      <c r="AF83" s="27">
        <v>90</v>
      </c>
      <c r="AG83" s="38"/>
      <c r="AH83" s="325"/>
      <c r="AI83" s="324">
        <v>140</v>
      </c>
      <c r="AJ83" s="50">
        <v>78.5</v>
      </c>
      <c r="AK83" s="334"/>
      <c r="AL83" s="334"/>
      <c r="AM83" s="334"/>
      <c r="AN83" s="334"/>
      <c r="AO83" s="334"/>
      <c r="AP83" s="334"/>
      <c r="AQ83" s="27">
        <f t="shared" si="8"/>
        <v>0</v>
      </c>
      <c r="AR83" s="27">
        <f t="shared" si="11"/>
        <v>0</v>
      </c>
      <c r="AS83" s="27">
        <f t="shared" si="9"/>
        <v>0</v>
      </c>
      <c r="AT83" s="27">
        <f t="shared" si="10"/>
        <v>0</v>
      </c>
      <c r="AU83" s="64"/>
      <c r="AV83" s="56"/>
    </row>
    <row r="84" spans="1:48">
      <c r="A84" s="67">
        <v>42244</v>
      </c>
      <c r="B84" s="70" t="s">
        <v>368</v>
      </c>
      <c r="C84" s="153"/>
      <c r="D84" s="64"/>
      <c r="E84" s="66"/>
      <c r="F84" s="27">
        <v>150</v>
      </c>
      <c r="G84" s="50"/>
      <c r="H84" s="27">
        <v>130</v>
      </c>
      <c r="I84" s="50"/>
      <c r="J84" s="27">
        <v>130</v>
      </c>
      <c r="K84" s="31"/>
      <c r="L84" s="27">
        <v>75</v>
      </c>
      <c r="M84" s="27"/>
      <c r="N84" s="27">
        <v>75</v>
      </c>
      <c r="O84" s="31">
        <v>5</v>
      </c>
      <c r="P84" s="27">
        <v>75</v>
      </c>
      <c r="Q84" s="27"/>
      <c r="R84" s="27">
        <v>185</v>
      </c>
      <c r="S84" s="27"/>
      <c r="T84" s="27">
        <v>150</v>
      </c>
      <c r="U84" s="31"/>
      <c r="V84" s="27">
        <v>0.95</v>
      </c>
      <c r="W84" s="27"/>
      <c r="X84" s="27">
        <v>0.8</v>
      </c>
      <c r="Y84" s="27"/>
      <c r="Z84" s="121">
        <v>115</v>
      </c>
      <c r="AA84" s="27"/>
      <c r="AB84" s="27">
        <v>55</v>
      </c>
      <c r="AC84" s="231"/>
      <c r="AD84" s="272">
        <v>110</v>
      </c>
      <c r="AE84" s="27"/>
      <c r="AF84" s="27">
        <v>90</v>
      </c>
      <c r="AG84" s="29"/>
      <c r="AH84" s="324"/>
      <c r="AI84" s="324">
        <v>140</v>
      </c>
      <c r="AJ84" s="50">
        <v>78.5</v>
      </c>
      <c r="AK84" s="334"/>
      <c r="AL84" s="334"/>
      <c r="AM84" s="334"/>
      <c r="AN84" s="334"/>
      <c r="AO84" s="334"/>
      <c r="AP84" s="334"/>
      <c r="AQ84" s="27">
        <f t="shared" si="8"/>
        <v>0</v>
      </c>
      <c r="AR84" s="27">
        <f t="shared" si="11"/>
        <v>375</v>
      </c>
      <c r="AS84" s="27">
        <f t="shared" si="9"/>
        <v>18.75</v>
      </c>
      <c r="AT84" s="27">
        <f t="shared" si="10"/>
        <v>393.75</v>
      </c>
      <c r="AU84" s="64"/>
      <c r="AV84" s="56"/>
    </row>
    <row r="85" spans="1:48">
      <c r="A85" s="63"/>
      <c r="B85" s="48"/>
      <c r="C85" s="153"/>
      <c r="D85" s="64"/>
      <c r="E85" s="66"/>
      <c r="F85" s="27">
        <v>150</v>
      </c>
      <c r="G85" s="50"/>
      <c r="H85" s="27">
        <v>130</v>
      </c>
      <c r="I85" s="50"/>
      <c r="J85" s="27">
        <v>130</v>
      </c>
      <c r="K85" s="31"/>
      <c r="L85" s="27">
        <v>75</v>
      </c>
      <c r="M85" s="27"/>
      <c r="N85" s="27">
        <v>75</v>
      </c>
      <c r="O85" s="31"/>
      <c r="P85" s="27">
        <v>75</v>
      </c>
      <c r="Q85" s="27"/>
      <c r="R85" s="27">
        <v>185</v>
      </c>
      <c r="S85" s="27"/>
      <c r="T85" s="27">
        <v>150</v>
      </c>
      <c r="U85" s="31"/>
      <c r="V85" s="27">
        <v>0.95</v>
      </c>
      <c r="W85" s="27"/>
      <c r="X85" s="27">
        <v>0.8</v>
      </c>
      <c r="Y85" s="27"/>
      <c r="Z85" s="121">
        <v>115</v>
      </c>
      <c r="AA85" s="27"/>
      <c r="AB85" s="27">
        <v>55</v>
      </c>
      <c r="AC85" s="231"/>
      <c r="AD85" s="272">
        <v>110</v>
      </c>
      <c r="AE85" s="27"/>
      <c r="AF85" s="27">
        <v>90</v>
      </c>
      <c r="AG85" s="38"/>
      <c r="AH85" s="325"/>
      <c r="AI85" s="324">
        <v>140</v>
      </c>
      <c r="AJ85" s="50">
        <v>78.5</v>
      </c>
      <c r="AK85" s="334"/>
      <c r="AL85" s="334"/>
      <c r="AM85" s="334"/>
      <c r="AN85" s="334"/>
      <c r="AO85" s="334"/>
      <c r="AP85" s="334"/>
      <c r="AQ85" s="27">
        <f t="shared" si="8"/>
        <v>0</v>
      </c>
      <c r="AR85" s="27">
        <f t="shared" si="11"/>
        <v>0</v>
      </c>
      <c r="AS85" s="27">
        <f t="shared" si="9"/>
        <v>0</v>
      </c>
      <c r="AT85" s="27">
        <f t="shared" si="10"/>
        <v>0</v>
      </c>
      <c r="AU85" s="64"/>
      <c r="AV85" s="56"/>
    </row>
    <row r="86" spans="1:48">
      <c r="A86" s="63"/>
      <c r="B86" s="48"/>
      <c r="C86" s="153"/>
      <c r="D86" s="64"/>
      <c r="E86" s="66"/>
      <c r="F86" s="27">
        <v>150</v>
      </c>
      <c r="G86" s="50"/>
      <c r="H86" s="27">
        <v>130</v>
      </c>
      <c r="I86" s="50"/>
      <c r="J86" s="27">
        <v>130</v>
      </c>
      <c r="K86" s="31"/>
      <c r="L86" s="27">
        <v>75</v>
      </c>
      <c r="M86" s="27"/>
      <c r="N86" s="27">
        <v>75</v>
      </c>
      <c r="O86" s="31"/>
      <c r="P86" s="27">
        <v>75</v>
      </c>
      <c r="Q86" s="27"/>
      <c r="R86" s="27">
        <v>185</v>
      </c>
      <c r="S86" s="27"/>
      <c r="T86" s="27">
        <v>150</v>
      </c>
      <c r="U86" s="31"/>
      <c r="V86" s="27">
        <v>0.95</v>
      </c>
      <c r="W86" s="27"/>
      <c r="X86" s="27">
        <v>0.8</v>
      </c>
      <c r="Y86" s="27"/>
      <c r="Z86" s="121">
        <v>115</v>
      </c>
      <c r="AA86" s="27"/>
      <c r="AB86" s="27">
        <v>55</v>
      </c>
      <c r="AC86" s="231"/>
      <c r="AD86" s="272">
        <v>110</v>
      </c>
      <c r="AE86" s="27"/>
      <c r="AF86" s="27">
        <v>90</v>
      </c>
      <c r="AG86" s="29"/>
      <c r="AH86" s="324"/>
      <c r="AI86" s="324">
        <v>140</v>
      </c>
      <c r="AJ86" s="50">
        <v>78.5</v>
      </c>
      <c r="AK86" s="334"/>
      <c r="AL86" s="334"/>
      <c r="AM86" s="334"/>
      <c r="AN86" s="334"/>
      <c r="AO86" s="334"/>
      <c r="AP86" s="334"/>
      <c r="AQ86" s="27">
        <f t="shared" si="8"/>
        <v>0</v>
      </c>
      <c r="AR86" s="27">
        <f t="shared" si="11"/>
        <v>0</v>
      </c>
      <c r="AS86" s="27">
        <f t="shared" si="9"/>
        <v>0</v>
      </c>
      <c r="AT86" s="27">
        <f t="shared" si="10"/>
        <v>0</v>
      </c>
      <c r="AU86" s="64"/>
      <c r="AV86" s="56"/>
    </row>
    <row r="87" spans="1:48">
      <c r="A87" s="63"/>
      <c r="B87" s="48"/>
      <c r="C87" s="153"/>
      <c r="D87" s="64"/>
      <c r="E87" s="66"/>
      <c r="F87" s="27">
        <v>150</v>
      </c>
      <c r="G87" s="50"/>
      <c r="H87" s="27">
        <v>130</v>
      </c>
      <c r="I87" s="50"/>
      <c r="J87" s="27">
        <v>130</v>
      </c>
      <c r="K87" s="31"/>
      <c r="L87" s="27">
        <v>75</v>
      </c>
      <c r="M87" s="27"/>
      <c r="N87" s="27">
        <v>75</v>
      </c>
      <c r="O87" s="31"/>
      <c r="P87" s="27">
        <v>75</v>
      </c>
      <c r="Q87" s="27"/>
      <c r="R87" s="27">
        <v>185</v>
      </c>
      <c r="S87" s="27"/>
      <c r="T87" s="27">
        <v>150</v>
      </c>
      <c r="U87" s="31"/>
      <c r="V87" s="27">
        <v>0.95</v>
      </c>
      <c r="W87" s="27"/>
      <c r="X87" s="27">
        <v>0.8</v>
      </c>
      <c r="Y87" s="27"/>
      <c r="Z87" s="121">
        <v>115</v>
      </c>
      <c r="AA87" s="27"/>
      <c r="AB87" s="27">
        <v>55</v>
      </c>
      <c r="AC87" s="231"/>
      <c r="AD87" s="272">
        <v>110</v>
      </c>
      <c r="AE87" s="27"/>
      <c r="AF87" s="27">
        <v>90</v>
      </c>
      <c r="AG87" s="29"/>
      <c r="AH87" s="324"/>
      <c r="AI87" s="324">
        <v>140</v>
      </c>
      <c r="AJ87" s="50">
        <v>78.5</v>
      </c>
      <c r="AK87" s="334"/>
      <c r="AL87" s="334"/>
      <c r="AM87" s="334"/>
      <c r="AN87" s="334"/>
      <c r="AO87" s="334"/>
      <c r="AP87" s="334"/>
      <c r="AQ87" s="27">
        <f t="shared" si="8"/>
        <v>0</v>
      </c>
      <c r="AR87" s="27">
        <f t="shared" si="11"/>
        <v>0</v>
      </c>
      <c r="AS87" s="27">
        <f t="shared" si="9"/>
        <v>0</v>
      </c>
      <c r="AT87" s="27">
        <f t="shared" si="10"/>
        <v>0</v>
      </c>
      <c r="AU87" s="64"/>
      <c r="AV87" s="56"/>
    </row>
    <row r="88" spans="1:48">
      <c r="A88" s="63"/>
      <c r="B88" s="48"/>
      <c r="C88" s="153"/>
      <c r="D88" s="64"/>
      <c r="E88" s="66"/>
      <c r="F88" s="27">
        <v>150</v>
      </c>
      <c r="G88" s="50"/>
      <c r="H88" s="27">
        <v>130</v>
      </c>
      <c r="I88" s="50"/>
      <c r="J88" s="27">
        <v>130</v>
      </c>
      <c r="K88" s="31"/>
      <c r="L88" s="27">
        <v>75</v>
      </c>
      <c r="M88" s="27"/>
      <c r="N88" s="27">
        <v>75</v>
      </c>
      <c r="O88" s="31"/>
      <c r="P88" s="27">
        <v>75</v>
      </c>
      <c r="Q88" s="27"/>
      <c r="R88" s="27">
        <v>185</v>
      </c>
      <c r="S88" s="27"/>
      <c r="T88" s="27">
        <v>150</v>
      </c>
      <c r="U88" s="31"/>
      <c r="V88" s="27">
        <v>0.95</v>
      </c>
      <c r="W88" s="27"/>
      <c r="X88" s="27">
        <v>0.8</v>
      </c>
      <c r="Y88" s="27"/>
      <c r="Z88" s="121">
        <v>115</v>
      </c>
      <c r="AA88" s="27"/>
      <c r="AB88" s="27">
        <v>55</v>
      </c>
      <c r="AC88" s="231"/>
      <c r="AD88" s="272">
        <v>110</v>
      </c>
      <c r="AE88" s="27"/>
      <c r="AF88" s="27">
        <v>90</v>
      </c>
      <c r="AG88" s="38"/>
      <c r="AH88" s="325"/>
      <c r="AI88" s="324">
        <v>140</v>
      </c>
      <c r="AJ88" s="50">
        <v>78.5</v>
      </c>
      <c r="AK88" s="334"/>
      <c r="AL88" s="334"/>
      <c r="AM88" s="334"/>
      <c r="AN88" s="334"/>
      <c r="AO88" s="334"/>
      <c r="AP88" s="334"/>
      <c r="AQ88" s="27">
        <f t="shared" si="8"/>
        <v>0</v>
      </c>
      <c r="AR88" s="27">
        <f t="shared" si="11"/>
        <v>0</v>
      </c>
      <c r="AS88" s="27">
        <f t="shared" si="9"/>
        <v>0</v>
      </c>
      <c r="AT88" s="27">
        <f>SUM(AR88+AS88)</f>
        <v>0</v>
      </c>
      <c r="AU88" s="64"/>
      <c r="AV88" s="56"/>
    </row>
    <row r="89" spans="1:48">
      <c r="A89" s="63"/>
      <c r="B89" s="48"/>
      <c r="C89" s="153"/>
      <c r="D89" s="64"/>
      <c r="E89" s="66"/>
      <c r="F89" s="27">
        <v>150</v>
      </c>
      <c r="G89" s="50"/>
      <c r="H89" s="27">
        <v>130</v>
      </c>
      <c r="I89" s="50"/>
      <c r="J89" s="27">
        <v>130</v>
      </c>
      <c r="K89" s="31"/>
      <c r="L89" s="27">
        <v>75</v>
      </c>
      <c r="M89" s="27"/>
      <c r="N89" s="27">
        <v>75</v>
      </c>
      <c r="O89" s="31"/>
      <c r="P89" s="27">
        <v>75</v>
      </c>
      <c r="Q89" s="27"/>
      <c r="R89" s="27">
        <v>185</v>
      </c>
      <c r="S89" s="27"/>
      <c r="T89" s="27">
        <v>150</v>
      </c>
      <c r="U89" s="31"/>
      <c r="V89" s="27">
        <v>0.95</v>
      </c>
      <c r="W89" s="27"/>
      <c r="X89" s="27">
        <v>0.8</v>
      </c>
      <c r="Y89" s="27"/>
      <c r="Z89" s="121">
        <v>115</v>
      </c>
      <c r="AA89" s="27"/>
      <c r="AB89" s="27">
        <v>55</v>
      </c>
      <c r="AC89" s="231"/>
      <c r="AD89" s="272">
        <v>110</v>
      </c>
      <c r="AE89" s="27"/>
      <c r="AF89" s="27">
        <v>90</v>
      </c>
      <c r="AG89" s="38"/>
      <c r="AH89" s="325"/>
      <c r="AI89" s="324">
        <v>140</v>
      </c>
      <c r="AJ89" s="50">
        <v>78.5</v>
      </c>
      <c r="AK89" s="334"/>
      <c r="AL89" s="334"/>
      <c r="AM89" s="334"/>
      <c r="AN89" s="334"/>
      <c r="AO89" s="334"/>
      <c r="AP89" s="334"/>
      <c r="AQ89" s="27">
        <f t="shared" si="8"/>
        <v>0</v>
      </c>
      <c r="AR89" s="27">
        <f t="shared" si="11"/>
        <v>0</v>
      </c>
      <c r="AS89" s="27">
        <f t="shared" si="9"/>
        <v>0</v>
      </c>
      <c r="AT89" s="27">
        <f t="shared" ref="AT89:AT152" si="12">SUM(AR89+AS89)</f>
        <v>0</v>
      </c>
      <c r="AU89" s="64"/>
      <c r="AV89" s="56"/>
    </row>
    <row r="90" spans="1:48">
      <c r="A90" s="63"/>
      <c r="B90" s="48"/>
      <c r="C90" s="153"/>
      <c r="D90" s="64"/>
      <c r="E90" s="66"/>
      <c r="F90" s="27">
        <v>150</v>
      </c>
      <c r="G90" s="50"/>
      <c r="H90" s="27">
        <v>130</v>
      </c>
      <c r="I90" s="50"/>
      <c r="J90" s="27">
        <v>130</v>
      </c>
      <c r="K90" s="31"/>
      <c r="L90" s="27">
        <v>75</v>
      </c>
      <c r="M90" s="27"/>
      <c r="N90" s="27">
        <v>75</v>
      </c>
      <c r="O90" s="31"/>
      <c r="P90" s="27">
        <v>75</v>
      </c>
      <c r="Q90" s="27"/>
      <c r="R90" s="27">
        <v>185</v>
      </c>
      <c r="S90" s="27"/>
      <c r="T90" s="27">
        <v>150</v>
      </c>
      <c r="U90" s="31"/>
      <c r="V90" s="27">
        <v>0.95</v>
      </c>
      <c r="W90" s="27"/>
      <c r="X90" s="27">
        <v>0.8</v>
      </c>
      <c r="Y90" s="27"/>
      <c r="Z90" s="121">
        <v>115</v>
      </c>
      <c r="AA90" s="27"/>
      <c r="AB90" s="27">
        <v>55</v>
      </c>
      <c r="AC90" s="231"/>
      <c r="AD90" s="272">
        <v>110</v>
      </c>
      <c r="AE90" s="27"/>
      <c r="AF90" s="27">
        <v>90</v>
      </c>
      <c r="AG90" s="38"/>
      <c r="AH90" s="325"/>
      <c r="AI90" s="324">
        <v>140</v>
      </c>
      <c r="AJ90" s="50">
        <v>78.5</v>
      </c>
      <c r="AK90" s="334"/>
      <c r="AL90" s="334"/>
      <c r="AM90" s="334"/>
      <c r="AN90" s="334"/>
      <c r="AO90" s="334"/>
      <c r="AP90" s="334"/>
      <c r="AQ90" s="27">
        <f t="shared" si="8"/>
        <v>0</v>
      </c>
      <c r="AR90" s="27">
        <f t="shared" si="11"/>
        <v>0</v>
      </c>
      <c r="AS90" s="27">
        <f t="shared" si="9"/>
        <v>0</v>
      </c>
      <c r="AT90" s="27">
        <f t="shared" si="12"/>
        <v>0</v>
      </c>
      <c r="AU90" s="64"/>
      <c r="AV90" s="56"/>
    </row>
    <row r="91" spans="1:48">
      <c r="A91" s="63"/>
      <c r="B91" s="48"/>
      <c r="C91" s="153"/>
      <c r="D91" s="64"/>
      <c r="E91" s="66"/>
      <c r="F91" s="27">
        <v>150</v>
      </c>
      <c r="G91" s="50"/>
      <c r="H91" s="27">
        <v>130</v>
      </c>
      <c r="I91" s="50"/>
      <c r="J91" s="27">
        <v>130</v>
      </c>
      <c r="K91" s="31"/>
      <c r="L91" s="27">
        <v>75</v>
      </c>
      <c r="M91" s="27"/>
      <c r="N91" s="27">
        <v>75</v>
      </c>
      <c r="O91" s="31"/>
      <c r="P91" s="27">
        <v>75</v>
      </c>
      <c r="Q91" s="27"/>
      <c r="R91" s="27">
        <v>185</v>
      </c>
      <c r="S91" s="27"/>
      <c r="T91" s="27">
        <v>150</v>
      </c>
      <c r="U91" s="31"/>
      <c r="V91" s="27">
        <v>0.95</v>
      </c>
      <c r="W91" s="27"/>
      <c r="X91" s="27">
        <v>0.8</v>
      </c>
      <c r="Y91" s="27"/>
      <c r="Z91" s="121">
        <v>115</v>
      </c>
      <c r="AA91" s="27"/>
      <c r="AB91" s="27">
        <v>55</v>
      </c>
      <c r="AC91" s="231"/>
      <c r="AD91" s="272">
        <v>110</v>
      </c>
      <c r="AE91" s="27"/>
      <c r="AF91" s="27">
        <v>90</v>
      </c>
      <c r="AG91" s="38"/>
      <c r="AH91" s="325"/>
      <c r="AI91" s="324">
        <v>140</v>
      </c>
      <c r="AJ91" s="50">
        <v>78.5</v>
      </c>
      <c r="AK91" s="334"/>
      <c r="AL91" s="334"/>
      <c r="AM91" s="334"/>
      <c r="AN91" s="334"/>
      <c r="AO91" s="334"/>
      <c r="AP91" s="334"/>
      <c r="AQ91" s="27">
        <f t="shared" si="8"/>
        <v>0</v>
      </c>
      <c r="AR91" s="27">
        <f t="shared" si="11"/>
        <v>0</v>
      </c>
      <c r="AS91" s="27">
        <f t="shared" si="9"/>
        <v>0</v>
      </c>
      <c r="AT91" s="27">
        <f t="shared" si="12"/>
        <v>0</v>
      </c>
      <c r="AU91" s="64"/>
      <c r="AV91" s="56"/>
    </row>
    <row r="92" spans="1:48">
      <c r="A92" s="63"/>
      <c r="B92" s="49"/>
      <c r="C92" s="153"/>
      <c r="D92" s="64"/>
      <c r="E92" s="64"/>
      <c r="F92" s="27">
        <v>150</v>
      </c>
      <c r="G92" s="27"/>
      <c r="H92" s="27">
        <v>130</v>
      </c>
      <c r="I92" s="50"/>
      <c r="J92" s="27">
        <v>130</v>
      </c>
      <c r="K92" s="31"/>
      <c r="L92" s="27">
        <v>75</v>
      </c>
      <c r="M92" s="27"/>
      <c r="N92" s="27">
        <v>75</v>
      </c>
      <c r="O92" s="31"/>
      <c r="P92" s="27">
        <v>75</v>
      </c>
      <c r="Q92" s="27"/>
      <c r="R92" s="27">
        <v>185</v>
      </c>
      <c r="S92" s="27"/>
      <c r="T92" s="27">
        <v>150</v>
      </c>
      <c r="U92" s="31"/>
      <c r="V92" s="27">
        <v>0.95</v>
      </c>
      <c r="W92" s="27"/>
      <c r="X92" s="27">
        <v>0.8</v>
      </c>
      <c r="Y92" s="27"/>
      <c r="Z92" s="121">
        <v>115</v>
      </c>
      <c r="AA92" s="27"/>
      <c r="AB92" s="27">
        <v>55</v>
      </c>
      <c r="AC92" s="231"/>
      <c r="AD92" s="272">
        <v>110</v>
      </c>
      <c r="AE92" s="27"/>
      <c r="AF92" s="27">
        <v>90</v>
      </c>
      <c r="AG92" s="38"/>
      <c r="AH92" s="325"/>
      <c r="AI92" s="324">
        <v>140</v>
      </c>
      <c r="AJ92" s="50">
        <v>78.5</v>
      </c>
      <c r="AK92" s="334"/>
      <c r="AL92" s="334"/>
      <c r="AM92" s="334"/>
      <c r="AN92" s="334"/>
      <c r="AO92" s="334"/>
      <c r="AP92" s="334"/>
      <c r="AQ92" s="27">
        <f t="shared" si="8"/>
        <v>0</v>
      </c>
      <c r="AR92" s="27">
        <f t="shared" si="11"/>
        <v>0</v>
      </c>
      <c r="AS92" s="27">
        <f t="shared" si="9"/>
        <v>0</v>
      </c>
      <c r="AT92" s="27">
        <f t="shared" si="12"/>
        <v>0</v>
      </c>
      <c r="AU92" s="64"/>
      <c r="AV92" s="56"/>
    </row>
    <row r="93" spans="1:48">
      <c r="A93" s="63"/>
      <c r="B93" s="49"/>
      <c r="C93" s="153"/>
      <c r="D93" s="64"/>
      <c r="E93" s="64"/>
      <c r="F93" s="27">
        <v>150</v>
      </c>
      <c r="G93" s="27"/>
      <c r="H93" s="27">
        <v>130</v>
      </c>
      <c r="I93" s="50"/>
      <c r="J93" s="27">
        <v>130</v>
      </c>
      <c r="K93" s="31"/>
      <c r="L93" s="27">
        <v>75</v>
      </c>
      <c r="M93" s="27"/>
      <c r="N93" s="27">
        <v>75</v>
      </c>
      <c r="O93" s="31"/>
      <c r="P93" s="27">
        <v>75</v>
      </c>
      <c r="Q93" s="27"/>
      <c r="R93" s="27">
        <v>185</v>
      </c>
      <c r="S93" s="27"/>
      <c r="T93" s="27">
        <v>150</v>
      </c>
      <c r="U93" s="31"/>
      <c r="V93" s="27">
        <v>0.95</v>
      </c>
      <c r="W93" s="27"/>
      <c r="X93" s="27">
        <v>0.8</v>
      </c>
      <c r="Y93" s="27"/>
      <c r="Z93" s="121">
        <v>115</v>
      </c>
      <c r="AA93" s="27"/>
      <c r="AB93" s="27">
        <v>55</v>
      </c>
      <c r="AC93" s="231"/>
      <c r="AD93" s="272">
        <v>110</v>
      </c>
      <c r="AE93" s="27"/>
      <c r="AF93" s="27">
        <v>90</v>
      </c>
      <c r="AG93" s="29"/>
      <c r="AH93" s="324"/>
      <c r="AI93" s="324">
        <v>140</v>
      </c>
      <c r="AJ93" s="50">
        <v>78.5</v>
      </c>
      <c r="AK93" s="334"/>
      <c r="AL93" s="334"/>
      <c r="AM93" s="334"/>
      <c r="AN93" s="334"/>
      <c r="AO93" s="334"/>
      <c r="AP93" s="334"/>
      <c r="AQ93" s="27">
        <f t="shared" si="8"/>
        <v>0</v>
      </c>
      <c r="AR93" s="27">
        <f t="shared" si="11"/>
        <v>0</v>
      </c>
      <c r="AS93" s="27">
        <f t="shared" si="9"/>
        <v>0</v>
      </c>
      <c r="AT93" s="27">
        <f t="shared" si="12"/>
        <v>0</v>
      </c>
      <c r="AU93" s="64"/>
      <c r="AV93" s="56"/>
    </row>
    <row r="94" spans="1:48">
      <c r="A94" s="63"/>
      <c r="B94" s="49"/>
      <c r="C94" s="153"/>
      <c r="D94" s="64"/>
      <c r="E94" s="64"/>
      <c r="F94" s="27">
        <v>150</v>
      </c>
      <c r="G94" s="27"/>
      <c r="H94" s="27">
        <v>130</v>
      </c>
      <c r="I94" s="50"/>
      <c r="J94" s="27">
        <v>130</v>
      </c>
      <c r="K94" s="31"/>
      <c r="L94" s="27">
        <v>75</v>
      </c>
      <c r="M94" s="27"/>
      <c r="N94" s="27">
        <v>75</v>
      </c>
      <c r="O94" s="31"/>
      <c r="P94" s="27">
        <v>75</v>
      </c>
      <c r="Q94" s="27"/>
      <c r="R94" s="27">
        <v>185</v>
      </c>
      <c r="S94" s="27"/>
      <c r="T94" s="27">
        <v>150</v>
      </c>
      <c r="U94" s="31"/>
      <c r="V94" s="27">
        <v>0.95</v>
      </c>
      <c r="W94" s="27"/>
      <c r="X94" s="27">
        <v>0.8</v>
      </c>
      <c r="Y94" s="27"/>
      <c r="Z94" s="121">
        <v>115</v>
      </c>
      <c r="AA94" s="27"/>
      <c r="AB94" s="27">
        <v>55</v>
      </c>
      <c r="AC94" s="231"/>
      <c r="AD94" s="272">
        <v>110</v>
      </c>
      <c r="AE94" s="27"/>
      <c r="AF94" s="27">
        <v>90</v>
      </c>
      <c r="AG94" s="29"/>
      <c r="AH94" s="324"/>
      <c r="AI94" s="324">
        <v>140</v>
      </c>
      <c r="AJ94" s="50">
        <v>78.5</v>
      </c>
      <c r="AK94" s="334"/>
      <c r="AL94" s="334"/>
      <c r="AM94" s="334"/>
      <c r="AN94" s="334"/>
      <c r="AO94" s="334"/>
      <c r="AP94" s="334"/>
      <c r="AQ94" s="27">
        <f t="shared" si="8"/>
        <v>0</v>
      </c>
      <c r="AR94" s="27">
        <f t="shared" si="11"/>
        <v>0</v>
      </c>
      <c r="AS94" s="27">
        <f t="shared" si="9"/>
        <v>0</v>
      </c>
      <c r="AT94" s="27">
        <f t="shared" si="12"/>
        <v>0</v>
      </c>
      <c r="AU94" s="64"/>
      <c r="AV94" s="56"/>
    </row>
    <row r="95" spans="1:48">
      <c r="A95" s="63"/>
      <c r="B95" s="49"/>
      <c r="C95" s="153"/>
      <c r="D95" s="64"/>
      <c r="E95" s="64"/>
      <c r="F95" s="27">
        <v>150</v>
      </c>
      <c r="G95" s="27"/>
      <c r="H95" s="27">
        <v>130</v>
      </c>
      <c r="I95" s="50"/>
      <c r="J95" s="27">
        <v>130</v>
      </c>
      <c r="K95" s="31"/>
      <c r="L95" s="27">
        <v>75</v>
      </c>
      <c r="M95" s="27"/>
      <c r="N95" s="27">
        <v>75</v>
      </c>
      <c r="O95" s="31"/>
      <c r="P95" s="27">
        <v>75</v>
      </c>
      <c r="Q95" s="27"/>
      <c r="R95" s="27">
        <v>185</v>
      </c>
      <c r="S95" s="27"/>
      <c r="T95" s="27">
        <v>150</v>
      </c>
      <c r="U95" s="31"/>
      <c r="V95" s="27">
        <v>0.95</v>
      </c>
      <c r="W95" s="27"/>
      <c r="X95" s="27">
        <v>0.8</v>
      </c>
      <c r="Y95" s="27"/>
      <c r="Z95" s="121">
        <v>115</v>
      </c>
      <c r="AA95" s="27"/>
      <c r="AB95" s="27">
        <v>55</v>
      </c>
      <c r="AC95" s="231"/>
      <c r="AD95" s="272">
        <v>110</v>
      </c>
      <c r="AE95" s="27"/>
      <c r="AF95" s="27">
        <v>90</v>
      </c>
      <c r="AG95" s="29"/>
      <c r="AH95" s="324"/>
      <c r="AI95" s="324">
        <v>140</v>
      </c>
      <c r="AJ95" s="50">
        <v>78.5</v>
      </c>
      <c r="AK95" s="334"/>
      <c r="AL95" s="334"/>
      <c r="AM95" s="334"/>
      <c r="AN95" s="334"/>
      <c r="AO95" s="334"/>
      <c r="AP95" s="334"/>
      <c r="AQ95" s="27">
        <f t="shared" si="8"/>
        <v>0</v>
      </c>
      <c r="AR95" s="27">
        <f t="shared" si="11"/>
        <v>0</v>
      </c>
      <c r="AS95" s="27">
        <f t="shared" si="9"/>
        <v>0</v>
      </c>
      <c r="AT95" s="27">
        <f t="shared" si="12"/>
        <v>0</v>
      </c>
      <c r="AU95" s="64"/>
      <c r="AV95" s="56"/>
    </row>
    <row r="96" spans="1:48">
      <c r="A96" s="63"/>
      <c r="B96" s="49"/>
      <c r="C96" s="153"/>
      <c r="D96" s="64"/>
      <c r="E96" s="64"/>
      <c r="F96" s="27">
        <v>150</v>
      </c>
      <c r="G96" s="27"/>
      <c r="H96" s="27">
        <v>130</v>
      </c>
      <c r="I96" s="50"/>
      <c r="J96" s="27">
        <v>130</v>
      </c>
      <c r="K96" s="31"/>
      <c r="L96" s="27">
        <v>75</v>
      </c>
      <c r="M96" s="27"/>
      <c r="N96" s="27">
        <v>75</v>
      </c>
      <c r="O96" s="31"/>
      <c r="P96" s="27">
        <v>75</v>
      </c>
      <c r="Q96" s="27"/>
      <c r="R96" s="27">
        <v>185</v>
      </c>
      <c r="S96" s="27"/>
      <c r="T96" s="27">
        <v>150</v>
      </c>
      <c r="U96" s="31"/>
      <c r="V96" s="27">
        <v>0.95</v>
      </c>
      <c r="W96" s="27"/>
      <c r="X96" s="27">
        <v>0.8</v>
      </c>
      <c r="Y96" s="27"/>
      <c r="Z96" s="121">
        <v>115</v>
      </c>
      <c r="AA96" s="27"/>
      <c r="AB96" s="27">
        <v>55</v>
      </c>
      <c r="AC96" s="231"/>
      <c r="AD96" s="272">
        <v>110</v>
      </c>
      <c r="AE96" s="27"/>
      <c r="AF96" s="27">
        <v>90</v>
      </c>
      <c r="AG96" s="29"/>
      <c r="AH96" s="324"/>
      <c r="AI96" s="324">
        <v>140</v>
      </c>
      <c r="AJ96" s="50">
        <v>78.5</v>
      </c>
      <c r="AK96" s="334"/>
      <c r="AL96" s="334"/>
      <c r="AM96" s="334"/>
      <c r="AN96" s="334"/>
      <c r="AO96" s="334"/>
      <c r="AP96" s="334"/>
      <c r="AQ96" s="27">
        <f t="shared" si="8"/>
        <v>0</v>
      </c>
      <c r="AR96" s="27">
        <f t="shared" si="11"/>
        <v>0</v>
      </c>
      <c r="AS96" s="27">
        <f t="shared" si="9"/>
        <v>0</v>
      </c>
      <c r="AT96" s="27">
        <f t="shared" si="12"/>
        <v>0</v>
      </c>
      <c r="AU96" s="64"/>
      <c r="AV96" s="56"/>
    </row>
    <row r="97" spans="1:48">
      <c r="A97" s="63"/>
      <c r="B97" s="49"/>
      <c r="C97" s="153"/>
      <c r="D97" s="64"/>
      <c r="E97" s="64"/>
      <c r="F97" s="27">
        <v>150</v>
      </c>
      <c r="G97" s="27"/>
      <c r="H97" s="27">
        <v>130</v>
      </c>
      <c r="I97" s="50"/>
      <c r="J97" s="27">
        <v>130</v>
      </c>
      <c r="K97" s="31"/>
      <c r="L97" s="27">
        <v>75</v>
      </c>
      <c r="M97" s="27"/>
      <c r="N97" s="27">
        <v>75</v>
      </c>
      <c r="O97" s="31"/>
      <c r="P97" s="27">
        <v>75</v>
      </c>
      <c r="Q97" s="27"/>
      <c r="R97" s="27">
        <v>185</v>
      </c>
      <c r="S97" s="27"/>
      <c r="T97" s="27">
        <v>150</v>
      </c>
      <c r="U97" s="31"/>
      <c r="V97" s="27">
        <v>0.95</v>
      </c>
      <c r="W97" s="27"/>
      <c r="X97" s="27">
        <v>0.8</v>
      </c>
      <c r="Y97" s="27"/>
      <c r="Z97" s="121">
        <v>115</v>
      </c>
      <c r="AA97" s="27"/>
      <c r="AB97" s="27">
        <v>55</v>
      </c>
      <c r="AC97" s="231"/>
      <c r="AD97" s="272">
        <v>110</v>
      </c>
      <c r="AE97" s="27"/>
      <c r="AF97" s="27">
        <v>90</v>
      </c>
      <c r="AG97" s="29"/>
      <c r="AH97" s="324"/>
      <c r="AI97" s="324">
        <v>140</v>
      </c>
      <c r="AJ97" s="50">
        <v>78.5</v>
      </c>
      <c r="AK97" s="334"/>
      <c r="AL97" s="334"/>
      <c r="AM97" s="334"/>
      <c r="AN97" s="334"/>
      <c r="AO97" s="334"/>
      <c r="AP97" s="334"/>
      <c r="AQ97" s="27">
        <f t="shared" si="8"/>
        <v>0</v>
      </c>
      <c r="AR97" s="27">
        <f t="shared" si="11"/>
        <v>0</v>
      </c>
      <c r="AS97" s="27">
        <f t="shared" si="9"/>
        <v>0</v>
      </c>
      <c r="AT97" s="27">
        <f t="shared" si="12"/>
        <v>0</v>
      </c>
      <c r="AU97" s="64"/>
      <c r="AV97" s="56"/>
    </row>
    <row r="98" spans="1:48">
      <c r="A98" s="63"/>
      <c r="B98" s="49"/>
      <c r="C98" s="153"/>
      <c r="D98" s="64"/>
      <c r="E98" s="64"/>
      <c r="F98" s="27">
        <v>150</v>
      </c>
      <c r="G98" s="27"/>
      <c r="H98" s="27">
        <v>130</v>
      </c>
      <c r="I98" s="50"/>
      <c r="J98" s="27">
        <v>130</v>
      </c>
      <c r="K98" s="31"/>
      <c r="L98" s="27">
        <v>75</v>
      </c>
      <c r="M98" s="27"/>
      <c r="N98" s="27">
        <v>75</v>
      </c>
      <c r="O98" s="31"/>
      <c r="P98" s="27">
        <v>75</v>
      </c>
      <c r="Q98" s="27"/>
      <c r="R98" s="27">
        <v>185</v>
      </c>
      <c r="S98" s="27"/>
      <c r="T98" s="27">
        <v>150</v>
      </c>
      <c r="U98" s="31"/>
      <c r="V98" s="27">
        <v>0.95</v>
      </c>
      <c r="W98" s="27"/>
      <c r="X98" s="27">
        <v>0.8</v>
      </c>
      <c r="Y98" s="27"/>
      <c r="Z98" s="121">
        <v>115</v>
      </c>
      <c r="AA98" s="27"/>
      <c r="AB98" s="27">
        <v>55</v>
      </c>
      <c r="AC98" s="231"/>
      <c r="AD98" s="272">
        <v>110</v>
      </c>
      <c r="AE98" s="27"/>
      <c r="AF98" s="27">
        <v>90</v>
      </c>
      <c r="AG98" s="29"/>
      <c r="AH98" s="324"/>
      <c r="AI98" s="324">
        <v>140</v>
      </c>
      <c r="AJ98" s="50">
        <v>78.5</v>
      </c>
      <c r="AK98" s="334"/>
      <c r="AL98" s="334"/>
      <c r="AM98" s="334"/>
      <c r="AN98" s="334"/>
      <c r="AO98" s="334"/>
      <c r="AP98" s="334"/>
      <c r="AQ98" s="27">
        <f t="shared" si="8"/>
        <v>0</v>
      </c>
      <c r="AR98" s="27">
        <f t="shared" si="11"/>
        <v>0</v>
      </c>
      <c r="AS98" s="27">
        <f t="shared" si="9"/>
        <v>0</v>
      </c>
      <c r="AT98" s="27">
        <f t="shared" si="12"/>
        <v>0</v>
      </c>
      <c r="AU98" s="64"/>
      <c r="AV98" s="56"/>
    </row>
    <row r="99" spans="1:48">
      <c r="A99" s="63"/>
      <c r="B99" s="48"/>
      <c r="C99" s="153"/>
      <c r="D99" s="64"/>
      <c r="E99" s="66"/>
      <c r="F99" s="27">
        <v>150</v>
      </c>
      <c r="G99" s="50"/>
      <c r="H99" s="27">
        <v>130</v>
      </c>
      <c r="I99" s="50"/>
      <c r="J99" s="27">
        <v>130</v>
      </c>
      <c r="K99" s="31"/>
      <c r="L99" s="27">
        <v>75</v>
      </c>
      <c r="M99" s="27"/>
      <c r="N99" s="27">
        <v>75</v>
      </c>
      <c r="O99" s="31"/>
      <c r="P99" s="27">
        <v>75</v>
      </c>
      <c r="Q99" s="27"/>
      <c r="R99" s="27">
        <v>185</v>
      </c>
      <c r="S99" s="27"/>
      <c r="T99" s="27">
        <v>150</v>
      </c>
      <c r="U99" s="31"/>
      <c r="V99" s="27">
        <v>0.95</v>
      </c>
      <c r="W99" s="27"/>
      <c r="X99" s="27">
        <v>0.8</v>
      </c>
      <c r="Y99" s="27"/>
      <c r="Z99" s="121">
        <v>115</v>
      </c>
      <c r="AA99" s="27"/>
      <c r="AB99" s="27">
        <v>55</v>
      </c>
      <c r="AC99" s="231"/>
      <c r="AD99" s="272">
        <v>110</v>
      </c>
      <c r="AE99" s="27"/>
      <c r="AF99" s="27">
        <v>90</v>
      </c>
      <c r="AG99" s="38"/>
      <c r="AH99" s="325"/>
      <c r="AI99" s="324">
        <v>140</v>
      </c>
      <c r="AJ99" s="50">
        <v>78.5</v>
      </c>
      <c r="AK99" s="334"/>
      <c r="AL99" s="334"/>
      <c r="AM99" s="334"/>
      <c r="AN99" s="334"/>
      <c r="AO99" s="334"/>
      <c r="AP99" s="334"/>
      <c r="AQ99" s="27">
        <f t="shared" si="8"/>
        <v>0</v>
      </c>
      <c r="AR99" s="27">
        <f t="shared" si="11"/>
        <v>0</v>
      </c>
      <c r="AS99" s="27">
        <f t="shared" si="9"/>
        <v>0</v>
      </c>
      <c r="AT99" s="27">
        <f t="shared" si="12"/>
        <v>0</v>
      </c>
      <c r="AU99" s="64"/>
      <c r="AV99" s="56"/>
    </row>
    <row r="100" spans="1:48">
      <c r="A100" s="63"/>
      <c r="B100" s="48"/>
      <c r="C100" s="153"/>
      <c r="D100" s="64"/>
      <c r="E100" s="66"/>
      <c r="F100" s="27">
        <v>150</v>
      </c>
      <c r="G100" s="50"/>
      <c r="H100" s="27">
        <v>130</v>
      </c>
      <c r="I100" s="50"/>
      <c r="J100" s="27">
        <v>130</v>
      </c>
      <c r="K100" s="31"/>
      <c r="L100" s="27">
        <v>75</v>
      </c>
      <c r="M100" s="27"/>
      <c r="N100" s="27">
        <v>75</v>
      </c>
      <c r="O100" s="31"/>
      <c r="P100" s="27">
        <v>75</v>
      </c>
      <c r="Q100" s="27"/>
      <c r="R100" s="27">
        <v>185</v>
      </c>
      <c r="S100" s="27"/>
      <c r="T100" s="27">
        <v>150</v>
      </c>
      <c r="U100" s="31"/>
      <c r="V100" s="27">
        <v>0.95</v>
      </c>
      <c r="W100" s="27"/>
      <c r="X100" s="27">
        <v>0.8</v>
      </c>
      <c r="Y100" s="27"/>
      <c r="Z100" s="121">
        <v>115</v>
      </c>
      <c r="AA100" s="27"/>
      <c r="AB100" s="27">
        <v>55</v>
      </c>
      <c r="AC100" s="231"/>
      <c r="AD100" s="272">
        <v>110</v>
      </c>
      <c r="AE100" s="27"/>
      <c r="AF100" s="27">
        <v>90</v>
      </c>
      <c r="AG100" s="38"/>
      <c r="AH100" s="325"/>
      <c r="AI100" s="324">
        <v>140</v>
      </c>
      <c r="AJ100" s="50">
        <v>78.5</v>
      </c>
      <c r="AK100" s="334"/>
      <c r="AL100" s="334"/>
      <c r="AM100" s="334"/>
      <c r="AN100" s="334"/>
      <c r="AO100" s="334"/>
      <c r="AP100" s="334"/>
      <c r="AQ100" s="27">
        <f t="shared" si="8"/>
        <v>0</v>
      </c>
      <c r="AR100" s="27">
        <f t="shared" si="11"/>
        <v>0</v>
      </c>
      <c r="AS100" s="27">
        <f t="shared" si="9"/>
        <v>0</v>
      </c>
      <c r="AT100" s="27">
        <f t="shared" si="12"/>
        <v>0</v>
      </c>
      <c r="AU100" s="64"/>
      <c r="AV100" s="56"/>
    </row>
    <row r="101" spans="1:48">
      <c r="A101" s="63"/>
      <c r="B101" s="48"/>
      <c r="C101" s="153"/>
      <c r="D101" s="64"/>
      <c r="E101" s="66"/>
      <c r="F101" s="27">
        <v>150</v>
      </c>
      <c r="G101" s="50"/>
      <c r="H101" s="27">
        <v>130</v>
      </c>
      <c r="I101" s="50"/>
      <c r="J101" s="27">
        <v>130</v>
      </c>
      <c r="K101" s="31"/>
      <c r="L101" s="27">
        <v>75</v>
      </c>
      <c r="M101" s="27"/>
      <c r="N101" s="27">
        <v>75</v>
      </c>
      <c r="O101" s="31"/>
      <c r="P101" s="27">
        <v>75</v>
      </c>
      <c r="Q101" s="27"/>
      <c r="R101" s="27">
        <v>185</v>
      </c>
      <c r="S101" s="27"/>
      <c r="T101" s="27">
        <v>150</v>
      </c>
      <c r="U101" s="31"/>
      <c r="V101" s="27">
        <v>0.95</v>
      </c>
      <c r="W101" s="27"/>
      <c r="X101" s="27">
        <v>0.8</v>
      </c>
      <c r="Y101" s="27"/>
      <c r="Z101" s="121">
        <v>115</v>
      </c>
      <c r="AA101" s="27"/>
      <c r="AB101" s="27">
        <v>55</v>
      </c>
      <c r="AC101" s="231"/>
      <c r="AD101" s="272">
        <v>110</v>
      </c>
      <c r="AE101" s="27"/>
      <c r="AF101" s="27">
        <v>90</v>
      </c>
      <c r="AG101" s="38"/>
      <c r="AH101" s="325"/>
      <c r="AI101" s="324">
        <v>140</v>
      </c>
      <c r="AJ101" s="50">
        <v>78.5</v>
      </c>
      <c r="AK101" s="334"/>
      <c r="AL101" s="334"/>
      <c r="AM101" s="334"/>
      <c r="AN101" s="334"/>
      <c r="AO101" s="334"/>
      <c r="AP101" s="334"/>
      <c r="AQ101" s="27">
        <f t="shared" si="8"/>
        <v>0</v>
      </c>
      <c r="AR101" s="27">
        <f t="shared" si="11"/>
        <v>0</v>
      </c>
      <c r="AS101" s="27">
        <f t="shared" si="9"/>
        <v>0</v>
      </c>
      <c r="AT101" s="27">
        <f t="shared" si="12"/>
        <v>0</v>
      </c>
      <c r="AU101" s="64"/>
      <c r="AV101" s="56"/>
    </row>
    <row r="102" spans="1:48">
      <c r="A102" s="63"/>
      <c r="B102" s="48"/>
      <c r="C102" s="153"/>
      <c r="D102" s="64"/>
      <c r="E102" s="66"/>
      <c r="F102" s="27">
        <v>150</v>
      </c>
      <c r="G102" s="50"/>
      <c r="H102" s="27">
        <v>130</v>
      </c>
      <c r="I102" s="50"/>
      <c r="J102" s="27">
        <v>130</v>
      </c>
      <c r="K102" s="31"/>
      <c r="L102" s="27">
        <v>75</v>
      </c>
      <c r="M102" s="27"/>
      <c r="N102" s="27">
        <v>75</v>
      </c>
      <c r="O102" s="31"/>
      <c r="P102" s="27">
        <v>75</v>
      </c>
      <c r="Q102" s="27"/>
      <c r="R102" s="27">
        <v>185</v>
      </c>
      <c r="S102" s="27"/>
      <c r="T102" s="27">
        <v>150</v>
      </c>
      <c r="U102" s="31"/>
      <c r="V102" s="27">
        <v>0.95</v>
      </c>
      <c r="W102" s="27"/>
      <c r="X102" s="27">
        <v>0.8</v>
      </c>
      <c r="Y102" s="27"/>
      <c r="Z102" s="121">
        <v>115</v>
      </c>
      <c r="AA102" s="27"/>
      <c r="AB102" s="27">
        <v>55</v>
      </c>
      <c r="AC102" s="231"/>
      <c r="AD102" s="272">
        <v>110</v>
      </c>
      <c r="AE102" s="27"/>
      <c r="AF102" s="27">
        <v>90</v>
      </c>
      <c r="AG102" s="38"/>
      <c r="AH102" s="325"/>
      <c r="AI102" s="324">
        <v>140</v>
      </c>
      <c r="AJ102" s="50">
        <v>78.5</v>
      </c>
      <c r="AK102" s="334"/>
      <c r="AL102" s="334"/>
      <c r="AM102" s="334"/>
      <c r="AN102" s="334"/>
      <c r="AO102" s="334"/>
      <c r="AP102" s="334"/>
      <c r="AQ102" s="27">
        <f t="shared" si="8"/>
        <v>0</v>
      </c>
      <c r="AR102" s="27">
        <f t="shared" si="11"/>
        <v>0</v>
      </c>
      <c r="AS102" s="27">
        <f t="shared" si="9"/>
        <v>0</v>
      </c>
      <c r="AT102" s="27">
        <f t="shared" si="12"/>
        <v>0</v>
      </c>
      <c r="AU102" s="64"/>
      <c r="AV102" s="56"/>
    </row>
    <row r="103" spans="1:48">
      <c r="A103" s="63"/>
      <c r="B103" s="48"/>
      <c r="C103" s="153"/>
      <c r="D103" s="64"/>
      <c r="E103" s="66"/>
      <c r="F103" s="27">
        <v>150</v>
      </c>
      <c r="G103" s="50"/>
      <c r="H103" s="27">
        <v>130</v>
      </c>
      <c r="I103" s="50"/>
      <c r="J103" s="27">
        <v>130</v>
      </c>
      <c r="K103" s="31"/>
      <c r="L103" s="27">
        <v>75</v>
      </c>
      <c r="M103" s="27"/>
      <c r="N103" s="27">
        <v>75</v>
      </c>
      <c r="O103" s="31"/>
      <c r="P103" s="27">
        <v>75</v>
      </c>
      <c r="Q103" s="27"/>
      <c r="R103" s="27">
        <v>185</v>
      </c>
      <c r="S103" s="27"/>
      <c r="T103" s="27">
        <v>150</v>
      </c>
      <c r="U103" s="31"/>
      <c r="V103" s="27">
        <v>0.95</v>
      </c>
      <c r="W103" s="27"/>
      <c r="X103" s="27">
        <v>0.8</v>
      </c>
      <c r="Y103" s="27"/>
      <c r="Z103" s="121">
        <v>115</v>
      </c>
      <c r="AA103" s="27"/>
      <c r="AB103" s="27">
        <v>55</v>
      </c>
      <c r="AC103" s="231"/>
      <c r="AD103" s="272">
        <v>110</v>
      </c>
      <c r="AE103" s="27"/>
      <c r="AF103" s="27">
        <v>90</v>
      </c>
      <c r="AG103" s="38"/>
      <c r="AH103" s="325"/>
      <c r="AI103" s="324">
        <v>140</v>
      </c>
      <c r="AJ103" s="50">
        <v>78.5</v>
      </c>
      <c r="AK103" s="334"/>
      <c r="AL103" s="334"/>
      <c r="AM103" s="334"/>
      <c r="AN103" s="334"/>
      <c r="AO103" s="334"/>
      <c r="AP103" s="334"/>
      <c r="AQ103" s="27">
        <f t="shared" si="8"/>
        <v>0</v>
      </c>
      <c r="AR103" s="27">
        <f t="shared" si="11"/>
        <v>0</v>
      </c>
      <c r="AS103" s="27">
        <f t="shared" si="9"/>
        <v>0</v>
      </c>
      <c r="AT103" s="27">
        <f t="shared" si="12"/>
        <v>0</v>
      </c>
      <c r="AU103" s="64"/>
      <c r="AV103" s="56"/>
    </row>
    <row r="104" spans="1:48">
      <c r="A104" s="63"/>
      <c r="B104" s="48"/>
      <c r="C104" s="153"/>
      <c r="D104" s="64"/>
      <c r="E104" s="66"/>
      <c r="F104" s="27">
        <v>150</v>
      </c>
      <c r="G104" s="50"/>
      <c r="H104" s="27">
        <v>130</v>
      </c>
      <c r="I104" s="50"/>
      <c r="J104" s="27">
        <v>130</v>
      </c>
      <c r="K104" s="31"/>
      <c r="L104" s="27">
        <v>75</v>
      </c>
      <c r="M104" s="27"/>
      <c r="N104" s="27">
        <v>75</v>
      </c>
      <c r="O104" s="31"/>
      <c r="P104" s="27">
        <v>75</v>
      </c>
      <c r="Q104" s="27"/>
      <c r="R104" s="27">
        <v>185</v>
      </c>
      <c r="S104" s="27"/>
      <c r="T104" s="27">
        <v>150</v>
      </c>
      <c r="U104" s="31"/>
      <c r="V104" s="27">
        <v>0.95</v>
      </c>
      <c r="W104" s="27"/>
      <c r="X104" s="27">
        <v>0.8</v>
      </c>
      <c r="Y104" s="27"/>
      <c r="Z104" s="121">
        <v>115</v>
      </c>
      <c r="AA104" s="27"/>
      <c r="AB104" s="27">
        <v>55</v>
      </c>
      <c r="AC104" s="231"/>
      <c r="AD104" s="272">
        <v>110</v>
      </c>
      <c r="AE104" s="27"/>
      <c r="AF104" s="27">
        <v>90</v>
      </c>
      <c r="AG104" s="38"/>
      <c r="AH104" s="325"/>
      <c r="AI104" s="324">
        <v>140</v>
      </c>
      <c r="AJ104" s="50">
        <v>78.5</v>
      </c>
      <c r="AK104" s="334"/>
      <c r="AL104" s="334"/>
      <c r="AM104" s="334"/>
      <c r="AN104" s="334"/>
      <c r="AO104" s="334"/>
      <c r="AP104" s="334"/>
      <c r="AQ104" s="27">
        <f t="shared" si="8"/>
        <v>0</v>
      </c>
      <c r="AR104" s="27">
        <f t="shared" si="11"/>
        <v>0</v>
      </c>
      <c r="AS104" s="27">
        <f t="shared" si="9"/>
        <v>0</v>
      </c>
      <c r="AT104" s="27">
        <f t="shared" si="12"/>
        <v>0</v>
      </c>
      <c r="AU104" s="64"/>
      <c r="AV104" s="56"/>
    </row>
    <row r="105" spans="1:48">
      <c r="A105" s="64"/>
      <c r="B105" s="49"/>
      <c r="C105" s="153"/>
      <c r="D105" s="64"/>
      <c r="E105" s="64"/>
      <c r="F105" s="27">
        <v>150</v>
      </c>
      <c r="G105" s="27"/>
      <c r="H105" s="27">
        <v>130</v>
      </c>
      <c r="I105" s="50"/>
      <c r="J105" s="27">
        <v>130</v>
      </c>
      <c r="K105" s="31"/>
      <c r="L105" s="27">
        <v>75</v>
      </c>
      <c r="M105" s="27"/>
      <c r="N105" s="27">
        <v>75</v>
      </c>
      <c r="O105" s="31"/>
      <c r="P105" s="27">
        <v>75</v>
      </c>
      <c r="Q105" s="27"/>
      <c r="R105" s="27">
        <v>185</v>
      </c>
      <c r="S105" s="27"/>
      <c r="T105" s="27">
        <v>150</v>
      </c>
      <c r="U105" s="31"/>
      <c r="V105" s="27">
        <v>0.95</v>
      </c>
      <c r="W105" s="27"/>
      <c r="X105" s="27">
        <v>0.8</v>
      </c>
      <c r="Y105" s="27"/>
      <c r="Z105" s="121">
        <v>115</v>
      </c>
      <c r="AA105" s="27"/>
      <c r="AB105" s="27">
        <v>55</v>
      </c>
      <c r="AC105" s="231"/>
      <c r="AD105" s="272">
        <v>110</v>
      </c>
      <c r="AE105" s="27"/>
      <c r="AF105" s="27">
        <v>90</v>
      </c>
      <c r="AG105" s="29"/>
      <c r="AH105" s="324"/>
      <c r="AI105" s="324">
        <v>140</v>
      </c>
      <c r="AJ105" s="50">
        <v>78.5</v>
      </c>
      <c r="AK105" s="334"/>
      <c r="AL105" s="334"/>
      <c r="AM105" s="334"/>
      <c r="AN105" s="334"/>
      <c r="AO105" s="334"/>
      <c r="AP105" s="334"/>
      <c r="AQ105" s="27">
        <f t="shared" si="8"/>
        <v>0</v>
      </c>
      <c r="AR105" s="27">
        <f t="shared" si="11"/>
        <v>0</v>
      </c>
      <c r="AS105" s="27">
        <f t="shared" si="9"/>
        <v>0</v>
      </c>
      <c r="AT105" s="27">
        <f t="shared" si="12"/>
        <v>0</v>
      </c>
      <c r="AU105" s="64"/>
      <c r="AV105" s="56"/>
    </row>
    <row r="106" spans="1:48">
      <c r="A106" s="64"/>
      <c r="B106" s="49"/>
      <c r="C106" s="153"/>
      <c r="D106" s="64"/>
      <c r="E106" s="64"/>
      <c r="F106" s="27">
        <v>150</v>
      </c>
      <c r="G106" s="27"/>
      <c r="H106" s="27">
        <v>130</v>
      </c>
      <c r="I106" s="50"/>
      <c r="J106" s="27">
        <v>130</v>
      </c>
      <c r="K106" s="31"/>
      <c r="L106" s="27">
        <v>75</v>
      </c>
      <c r="M106" s="27"/>
      <c r="N106" s="27">
        <v>75</v>
      </c>
      <c r="O106" s="31"/>
      <c r="P106" s="27">
        <v>75</v>
      </c>
      <c r="Q106" s="27"/>
      <c r="R106" s="27">
        <v>185</v>
      </c>
      <c r="S106" s="27"/>
      <c r="T106" s="27">
        <v>150</v>
      </c>
      <c r="U106" s="31"/>
      <c r="V106" s="27">
        <v>0.95</v>
      </c>
      <c r="W106" s="27"/>
      <c r="X106" s="27">
        <v>0.8</v>
      </c>
      <c r="Y106" s="27"/>
      <c r="Z106" s="121">
        <v>115</v>
      </c>
      <c r="AA106" s="27"/>
      <c r="AB106" s="27">
        <v>55</v>
      </c>
      <c r="AC106" s="231"/>
      <c r="AD106" s="272">
        <v>110</v>
      </c>
      <c r="AE106" s="27"/>
      <c r="AF106" s="27">
        <v>90</v>
      </c>
      <c r="AG106" s="29"/>
      <c r="AH106" s="324"/>
      <c r="AI106" s="324">
        <v>140</v>
      </c>
      <c r="AJ106" s="50">
        <v>78.5</v>
      </c>
      <c r="AK106" s="334"/>
      <c r="AL106" s="334"/>
      <c r="AM106" s="334"/>
      <c r="AN106" s="334"/>
      <c r="AO106" s="334"/>
      <c r="AP106" s="334"/>
      <c r="AQ106" s="27">
        <f t="shared" si="8"/>
        <v>0</v>
      </c>
      <c r="AR106" s="27">
        <f t="shared" si="11"/>
        <v>0</v>
      </c>
      <c r="AS106" s="27">
        <f t="shared" si="9"/>
        <v>0</v>
      </c>
      <c r="AT106" s="27">
        <f t="shared" si="12"/>
        <v>0</v>
      </c>
      <c r="AU106" s="64"/>
      <c r="AV106" s="56"/>
    </row>
    <row r="107" spans="1:48">
      <c r="A107" s="64"/>
      <c r="B107" s="49"/>
      <c r="C107" s="153"/>
      <c r="D107" s="64"/>
      <c r="E107" s="64"/>
      <c r="F107" s="27">
        <v>150</v>
      </c>
      <c r="G107" s="27"/>
      <c r="H107" s="27">
        <v>130</v>
      </c>
      <c r="I107" s="50"/>
      <c r="J107" s="27">
        <v>130</v>
      </c>
      <c r="K107" s="31"/>
      <c r="L107" s="27">
        <v>75</v>
      </c>
      <c r="M107" s="27"/>
      <c r="N107" s="27">
        <v>75</v>
      </c>
      <c r="O107" s="31"/>
      <c r="P107" s="27">
        <v>75</v>
      </c>
      <c r="Q107" s="27"/>
      <c r="R107" s="27">
        <v>185</v>
      </c>
      <c r="S107" s="27"/>
      <c r="T107" s="27">
        <v>150</v>
      </c>
      <c r="U107" s="31"/>
      <c r="V107" s="27">
        <v>0.95</v>
      </c>
      <c r="W107" s="27"/>
      <c r="X107" s="27">
        <v>0.8</v>
      </c>
      <c r="Y107" s="27"/>
      <c r="Z107" s="121">
        <v>115</v>
      </c>
      <c r="AA107" s="27"/>
      <c r="AB107" s="27">
        <v>55</v>
      </c>
      <c r="AC107" s="231"/>
      <c r="AD107" s="272">
        <v>110</v>
      </c>
      <c r="AE107" s="27"/>
      <c r="AF107" s="27">
        <v>90</v>
      </c>
      <c r="AG107" s="29"/>
      <c r="AH107" s="324"/>
      <c r="AI107" s="324">
        <v>140</v>
      </c>
      <c r="AJ107" s="50">
        <v>78.5</v>
      </c>
      <c r="AK107" s="334"/>
      <c r="AL107" s="334"/>
      <c r="AM107" s="334"/>
      <c r="AN107" s="334"/>
      <c r="AO107" s="334"/>
      <c r="AP107" s="334"/>
      <c r="AQ107" s="27">
        <f t="shared" si="8"/>
        <v>0</v>
      </c>
      <c r="AR107" s="27">
        <f t="shared" si="11"/>
        <v>0</v>
      </c>
      <c r="AS107" s="27">
        <f t="shared" si="9"/>
        <v>0</v>
      </c>
      <c r="AT107" s="27">
        <f t="shared" si="12"/>
        <v>0</v>
      </c>
      <c r="AU107" s="64"/>
      <c r="AV107" s="56"/>
    </row>
    <row r="108" spans="1:48">
      <c r="A108" s="64"/>
      <c r="B108" s="49"/>
      <c r="C108" s="153"/>
      <c r="D108" s="64"/>
      <c r="E108" s="64"/>
      <c r="F108" s="27">
        <v>150</v>
      </c>
      <c r="G108" s="27"/>
      <c r="H108" s="27">
        <v>130</v>
      </c>
      <c r="I108" s="50"/>
      <c r="J108" s="27">
        <v>130</v>
      </c>
      <c r="K108" s="31"/>
      <c r="L108" s="27">
        <v>75</v>
      </c>
      <c r="M108" s="27"/>
      <c r="N108" s="27">
        <v>75</v>
      </c>
      <c r="O108" s="31"/>
      <c r="P108" s="27">
        <v>75</v>
      </c>
      <c r="Q108" s="27"/>
      <c r="R108" s="27">
        <v>185</v>
      </c>
      <c r="S108" s="27"/>
      <c r="T108" s="27">
        <v>150</v>
      </c>
      <c r="U108" s="31"/>
      <c r="V108" s="27">
        <v>0.95</v>
      </c>
      <c r="W108" s="27"/>
      <c r="X108" s="27">
        <v>0.8</v>
      </c>
      <c r="Y108" s="27"/>
      <c r="Z108" s="121">
        <v>115</v>
      </c>
      <c r="AA108" s="27"/>
      <c r="AB108" s="27">
        <v>55</v>
      </c>
      <c r="AC108" s="231"/>
      <c r="AD108" s="272">
        <v>110</v>
      </c>
      <c r="AE108" s="27"/>
      <c r="AF108" s="27">
        <v>90</v>
      </c>
      <c r="AG108" s="29"/>
      <c r="AH108" s="324"/>
      <c r="AI108" s="324">
        <v>140</v>
      </c>
      <c r="AJ108" s="50">
        <v>78.5</v>
      </c>
      <c r="AK108" s="334"/>
      <c r="AL108" s="334"/>
      <c r="AM108" s="334"/>
      <c r="AN108" s="334"/>
      <c r="AO108" s="334"/>
      <c r="AP108" s="334"/>
      <c r="AQ108" s="27">
        <f t="shared" si="8"/>
        <v>0</v>
      </c>
      <c r="AR108" s="27">
        <f t="shared" si="11"/>
        <v>0</v>
      </c>
      <c r="AS108" s="27">
        <f t="shared" si="9"/>
        <v>0</v>
      </c>
      <c r="AT108" s="27">
        <f t="shared" si="12"/>
        <v>0</v>
      </c>
      <c r="AU108" s="64"/>
      <c r="AV108" s="56"/>
    </row>
    <row r="109" spans="1:48">
      <c r="A109" s="64"/>
      <c r="B109" s="49"/>
      <c r="C109" s="153"/>
      <c r="D109" s="64"/>
      <c r="E109" s="64"/>
      <c r="F109" s="27">
        <v>150</v>
      </c>
      <c r="G109" s="27"/>
      <c r="H109" s="27">
        <v>130</v>
      </c>
      <c r="I109" s="50"/>
      <c r="J109" s="27">
        <v>130</v>
      </c>
      <c r="K109" s="31"/>
      <c r="L109" s="27">
        <v>75</v>
      </c>
      <c r="M109" s="27"/>
      <c r="N109" s="27">
        <v>75</v>
      </c>
      <c r="O109" s="31"/>
      <c r="P109" s="27">
        <v>75</v>
      </c>
      <c r="Q109" s="27"/>
      <c r="R109" s="27">
        <v>185</v>
      </c>
      <c r="S109" s="27"/>
      <c r="T109" s="27">
        <v>150</v>
      </c>
      <c r="U109" s="31"/>
      <c r="V109" s="27">
        <v>0.95</v>
      </c>
      <c r="W109" s="27"/>
      <c r="X109" s="27">
        <v>0.8</v>
      </c>
      <c r="Y109" s="27"/>
      <c r="Z109" s="121">
        <v>115</v>
      </c>
      <c r="AA109" s="27"/>
      <c r="AB109" s="27">
        <v>55</v>
      </c>
      <c r="AC109" s="231"/>
      <c r="AD109" s="272">
        <v>110</v>
      </c>
      <c r="AE109" s="27"/>
      <c r="AF109" s="27">
        <v>90</v>
      </c>
      <c r="AG109" s="29"/>
      <c r="AH109" s="324"/>
      <c r="AI109" s="324">
        <v>140</v>
      </c>
      <c r="AJ109" s="50">
        <v>78.5</v>
      </c>
      <c r="AK109" s="334"/>
      <c r="AL109" s="334"/>
      <c r="AM109" s="334"/>
      <c r="AN109" s="334"/>
      <c r="AO109" s="334"/>
      <c r="AP109" s="334"/>
      <c r="AQ109" s="27">
        <f t="shared" si="8"/>
        <v>0</v>
      </c>
      <c r="AR109" s="27">
        <f t="shared" si="11"/>
        <v>0</v>
      </c>
      <c r="AS109" s="27">
        <f t="shared" si="9"/>
        <v>0</v>
      </c>
      <c r="AT109" s="27">
        <f t="shared" si="12"/>
        <v>0</v>
      </c>
      <c r="AU109" s="64"/>
      <c r="AV109" s="56"/>
    </row>
    <row r="110" spans="1:48">
      <c r="A110" s="64"/>
      <c r="B110" s="49"/>
      <c r="C110" s="153"/>
      <c r="D110" s="64"/>
      <c r="E110" s="64"/>
      <c r="F110" s="27">
        <v>150</v>
      </c>
      <c r="G110" s="27"/>
      <c r="H110" s="27">
        <v>130</v>
      </c>
      <c r="I110" s="50"/>
      <c r="J110" s="27">
        <v>130</v>
      </c>
      <c r="K110" s="31"/>
      <c r="L110" s="27">
        <v>75</v>
      </c>
      <c r="M110" s="27"/>
      <c r="N110" s="27">
        <v>75</v>
      </c>
      <c r="O110" s="31"/>
      <c r="P110" s="27">
        <v>75</v>
      </c>
      <c r="Q110" s="27"/>
      <c r="R110" s="27">
        <v>185</v>
      </c>
      <c r="S110" s="27"/>
      <c r="T110" s="27">
        <v>150</v>
      </c>
      <c r="U110" s="31"/>
      <c r="V110" s="27">
        <v>0.95</v>
      </c>
      <c r="W110" s="27"/>
      <c r="X110" s="27">
        <v>0.8</v>
      </c>
      <c r="Y110" s="27"/>
      <c r="Z110" s="121">
        <v>115</v>
      </c>
      <c r="AA110" s="27"/>
      <c r="AB110" s="27">
        <v>55</v>
      </c>
      <c r="AC110" s="231"/>
      <c r="AD110" s="272">
        <v>110</v>
      </c>
      <c r="AE110" s="27"/>
      <c r="AF110" s="27">
        <v>90</v>
      </c>
      <c r="AG110" s="29"/>
      <c r="AH110" s="324"/>
      <c r="AI110" s="324">
        <v>140</v>
      </c>
      <c r="AJ110" s="50">
        <v>78.5</v>
      </c>
      <c r="AK110" s="334"/>
      <c r="AL110" s="334"/>
      <c r="AM110" s="334"/>
      <c r="AN110" s="334"/>
      <c r="AO110" s="334"/>
      <c r="AP110" s="334"/>
      <c r="AQ110" s="27">
        <f t="shared" si="8"/>
        <v>0</v>
      </c>
      <c r="AR110" s="27">
        <f t="shared" si="11"/>
        <v>0</v>
      </c>
      <c r="AS110" s="27">
        <f t="shared" si="9"/>
        <v>0</v>
      </c>
      <c r="AT110" s="27">
        <f t="shared" si="12"/>
        <v>0</v>
      </c>
      <c r="AU110" s="64"/>
      <c r="AV110" s="56"/>
    </row>
    <row r="111" spans="1:48">
      <c r="A111" s="64"/>
      <c r="B111" s="49"/>
      <c r="C111" s="153"/>
      <c r="D111" s="64"/>
      <c r="E111" s="64"/>
      <c r="F111" s="27">
        <v>150</v>
      </c>
      <c r="G111" s="27"/>
      <c r="H111" s="27">
        <v>130</v>
      </c>
      <c r="I111" s="50"/>
      <c r="J111" s="27">
        <v>130</v>
      </c>
      <c r="K111" s="31"/>
      <c r="L111" s="27">
        <v>75</v>
      </c>
      <c r="M111" s="27"/>
      <c r="N111" s="27">
        <v>75</v>
      </c>
      <c r="O111" s="31"/>
      <c r="P111" s="27">
        <v>75</v>
      </c>
      <c r="Q111" s="27"/>
      <c r="R111" s="27">
        <v>185</v>
      </c>
      <c r="S111" s="27"/>
      <c r="T111" s="27">
        <v>150</v>
      </c>
      <c r="U111" s="31"/>
      <c r="V111" s="27">
        <v>0.95</v>
      </c>
      <c r="W111" s="27"/>
      <c r="X111" s="27">
        <v>0.8</v>
      </c>
      <c r="Y111" s="27"/>
      <c r="Z111" s="121">
        <v>115</v>
      </c>
      <c r="AA111" s="27"/>
      <c r="AB111" s="27">
        <v>55</v>
      </c>
      <c r="AC111" s="231"/>
      <c r="AD111" s="272">
        <v>110</v>
      </c>
      <c r="AE111" s="27"/>
      <c r="AF111" s="27">
        <v>90</v>
      </c>
      <c r="AG111" s="29"/>
      <c r="AH111" s="324"/>
      <c r="AI111" s="324">
        <v>140</v>
      </c>
      <c r="AJ111" s="50">
        <v>78.5</v>
      </c>
      <c r="AK111" s="334"/>
      <c r="AL111" s="334"/>
      <c r="AM111" s="334"/>
      <c r="AN111" s="334"/>
      <c r="AO111" s="334"/>
      <c r="AP111" s="334"/>
      <c r="AQ111" s="27">
        <f t="shared" si="8"/>
        <v>0</v>
      </c>
      <c r="AR111" s="27">
        <f t="shared" si="11"/>
        <v>0</v>
      </c>
      <c r="AS111" s="27">
        <f t="shared" si="9"/>
        <v>0</v>
      </c>
      <c r="AT111" s="27">
        <f t="shared" si="12"/>
        <v>0</v>
      </c>
      <c r="AU111" s="64"/>
      <c r="AV111" s="56"/>
    </row>
    <row r="112" spans="1:48">
      <c r="A112" s="64"/>
      <c r="B112" s="49"/>
      <c r="C112" s="153"/>
      <c r="D112" s="64"/>
      <c r="E112" s="64"/>
      <c r="F112" s="27">
        <v>150</v>
      </c>
      <c r="G112" s="27"/>
      <c r="H112" s="27">
        <v>130</v>
      </c>
      <c r="I112" s="50"/>
      <c r="J112" s="27">
        <v>130</v>
      </c>
      <c r="K112" s="31"/>
      <c r="L112" s="27">
        <v>75</v>
      </c>
      <c r="M112" s="27"/>
      <c r="N112" s="27">
        <v>75</v>
      </c>
      <c r="O112" s="31"/>
      <c r="P112" s="27">
        <v>75</v>
      </c>
      <c r="Q112" s="27"/>
      <c r="R112" s="27">
        <v>185</v>
      </c>
      <c r="S112" s="27"/>
      <c r="T112" s="27">
        <v>150</v>
      </c>
      <c r="U112" s="31"/>
      <c r="V112" s="27">
        <v>0.95</v>
      </c>
      <c r="W112" s="27"/>
      <c r="X112" s="27">
        <v>0.8</v>
      </c>
      <c r="Y112" s="27"/>
      <c r="Z112" s="121">
        <v>115</v>
      </c>
      <c r="AA112" s="27"/>
      <c r="AB112" s="27">
        <v>55</v>
      </c>
      <c r="AC112" s="231"/>
      <c r="AD112" s="272">
        <v>110</v>
      </c>
      <c r="AE112" s="27"/>
      <c r="AF112" s="27">
        <v>90</v>
      </c>
      <c r="AG112" s="29"/>
      <c r="AH112" s="324"/>
      <c r="AI112" s="324">
        <v>140</v>
      </c>
      <c r="AJ112" s="50">
        <v>78.5</v>
      </c>
      <c r="AK112" s="334"/>
      <c r="AL112" s="334"/>
      <c r="AM112" s="334"/>
      <c r="AN112" s="334"/>
      <c r="AO112" s="334"/>
      <c r="AP112" s="334"/>
      <c r="AQ112" s="27">
        <f t="shared" si="8"/>
        <v>0</v>
      </c>
      <c r="AR112" s="27">
        <f t="shared" si="11"/>
        <v>0</v>
      </c>
      <c r="AS112" s="27">
        <f t="shared" si="9"/>
        <v>0</v>
      </c>
      <c r="AT112" s="27">
        <f t="shared" si="12"/>
        <v>0</v>
      </c>
      <c r="AU112" s="64"/>
      <c r="AV112" s="56"/>
    </row>
    <row r="113" spans="1:48">
      <c r="A113" s="64"/>
      <c r="B113" s="49"/>
      <c r="C113" s="153"/>
      <c r="D113" s="64"/>
      <c r="E113" s="64"/>
      <c r="F113" s="27">
        <v>150</v>
      </c>
      <c r="G113" s="27"/>
      <c r="H113" s="27">
        <v>130</v>
      </c>
      <c r="I113" s="50"/>
      <c r="J113" s="27">
        <v>130</v>
      </c>
      <c r="K113" s="31"/>
      <c r="L113" s="27">
        <v>75</v>
      </c>
      <c r="M113" s="27"/>
      <c r="N113" s="27">
        <v>75</v>
      </c>
      <c r="O113" s="31"/>
      <c r="P113" s="27">
        <v>75</v>
      </c>
      <c r="Q113" s="27"/>
      <c r="R113" s="27">
        <v>185</v>
      </c>
      <c r="S113" s="27"/>
      <c r="T113" s="27">
        <v>150</v>
      </c>
      <c r="U113" s="31"/>
      <c r="V113" s="27">
        <v>0.95</v>
      </c>
      <c r="W113" s="27"/>
      <c r="X113" s="27">
        <v>0.8</v>
      </c>
      <c r="Y113" s="27"/>
      <c r="Z113" s="121">
        <v>115</v>
      </c>
      <c r="AA113" s="27"/>
      <c r="AB113" s="27">
        <v>55</v>
      </c>
      <c r="AC113" s="231"/>
      <c r="AD113" s="272">
        <v>110</v>
      </c>
      <c r="AE113" s="27"/>
      <c r="AF113" s="27">
        <v>90</v>
      </c>
      <c r="AG113" s="29"/>
      <c r="AH113" s="324"/>
      <c r="AI113" s="324">
        <v>140</v>
      </c>
      <c r="AJ113" s="50">
        <v>78.5</v>
      </c>
      <c r="AK113" s="334"/>
      <c r="AL113" s="334"/>
      <c r="AM113" s="334"/>
      <c r="AN113" s="334"/>
      <c r="AO113" s="334"/>
      <c r="AP113" s="334"/>
      <c r="AQ113" s="27">
        <f t="shared" si="8"/>
        <v>0</v>
      </c>
      <c r="AR113" s="27">
        <f t="shared" si="11"/>
        <v>0</v>
      </c>
      <c r="AS113" s="27">
        <f t="shared" si="9"/>
        <v>0</v>
      </c>
      <c r="AT113" s="27">
        <f t="shared" si="12"/>
        <v>0</v>
      </c>
      <c r="AU113" s="64"/>
      <c r="AV113" s="56"/>
    </row>
    <row r="114" spans="1:48">
      <c r="A114" s="64"/>
      <c r="B114" s="49"/>
      <c r="C114" s="153"/>
      <c r="D114" s="64"/>
      <c r="E114" s="64"/>
      <c r="F114" s="27">
        <v>150</v>
      </c>
      <c r="G114" s="27"/>
      <c r="H114" s="27">
        <v>130</v>
      </c>
      <c r="I114" s="50"/>
      <c r="J114" s="27">
        <v>130</v>
      </c>
      <c r="K114" s="31"/>
      <c r="L114" s="27">
        <v>75</v>
      </c>
      <c r="M114" s="27"/>
      <c r="N114" s="27">
        <v>75</v>
      </c>
      <c r="O114" s="31"/>
      <c r="P114" s="27">
        <v>75</v>
      </c>
      <c r="Q114" s="27"/>
      <c r="R114" s="27">
        <v>185</v>
      </c>
      <c r="S114" s="27"/>
      <c r="T114" s="27">
        <v>150</v>
      </c>
      <c r="U114" s="31"/>
      <c r="V114" s="27">
        <v>0.95</v>
      </c>
      <c r="W114" s="27"/>
      <c r="X114" s="27">
        <v>0.8</v>
      </c>
      <c r="Y114" s="27"/>
      <c r="Z114" s="121">
        <v>115</v>
      </c>
      <c r="AA114" s="27"/>
      <c r="AB114" s="27">
        <v>55</v>
      </c>
      <c r="AC114" s="231"/>
      <c r="AD114" s="272">
        <v>110</v>
      </c>
      <c r="AE114" s="27"/>
      <c r="AF114" s="27">
        <v>90</v>
      </c>
      <c r="AG114" s="29"/>
      <c r="AH114" s="324"/>
      <c r="AI114" s="324">
        <v>140</v>
      </c>
      <c r="AJ114" s="50">
        <v>78.5</v>
      </c>
      <c r="AK114" s="334"/>
      <c r="AL114" s="334"/>
      <c r="AM114" s="334"/>
      <c r="AN114" s="334"/>
      <c r="AO114" s="334"/>
      <c r="AP114" s="334"/>
      <c r="AQ114" s="27">
        <f t="shared" si="8"/>
        <v>0</v>
      </c>
      <c r="AR114" s="27">
        <f t="shared" ref="AR114:AR145" si="13">(E114*F114)+(G114*H114)+(I114*J114)+(K114*L114)+(M114*N114)+(Q114*R114)+(S114*T114)+AQ114+(AG114*AJ114)+(O114*P114)+(Y114*Z114)+(AA114*AB114)+(AE114*AF114)+(AC114*AD114)</f>
        <v>0</v>
      </c>
      <c r="AS114" s="27">
        <f t="shared" si="9"/>
        <v>0</v>
      </c>
      <c r="AT114" s="27">
        <f t="shared" si="12"/>
        <v>0</v>
      </c>
      <c r="AU114" s="64"/>
      <c r="AV114" s="56"/>
    </row>
    <row r="115" spans="1:48">
      <c r="A115" s="64"/>
      <c r="B115" s="49"/>
      <c r="C115" s="153"/>
      <c r="D115" s="64"/>
      <c r="E115" s="64"/>
      <c r="F115" s="27">
        <v>150</v>
      </c>
      <c r="G115" s="27"/>
      <c r="H115" s="27">
        <v>130</v>
      </c>
      <c r="I115" s="50"/>
      <c r="J115" s="27">
        <v>130</v>
      </c>
      <c r="K115" s="31"/>
      <c r="L115" s="27">
        <v>75</v>
      </c>
      <c r="M115" s="27"/>
      <c r="N115" s="27">
        <v>75</v>
      </c>
      <c r="O115" s="31"/>
      <c r="P115" s="27">
        <v>75</v>
      </c>
      <c r="Q115" s="27"/>
      <c r="R115" s="27">
        <v>185</v>
      </c>
      <c r="S115" s="27"/>
      <c r="T115" s="27">
        <v>150</v>
      </c>
      <c r="U115" s="31"/>
      <c r="V115" s="27">
        <v>0.95</v>
      </c>
      <c r="W115" s="27"/>
      <c r="X115" s="27">
        <v>0.8</v>
      </c>
      <c r="Y115" s="27"/>
      <c r="Z115" s="121">
        <v>115</v>
      </c>
      <c r="AA115" s="27"/>
      <c r="AB115" s="27">
        <v>55</v>
      </c>
      <c r="AC115" s="231"/>
      <c r="AD115" s="272">
        <v>110</v>
      </c>
      <c r="AE115" s="27"/>
      <c r="AF115" s="27">
        <v>90</v>
      </c>
      <c r="AG115" s="29"/>
      <c r="AH115" s="324"/>
      <c r="AI115" s="324">
        <v>140</v>
      </c>
      <c r="AJ115" s="50">
        <v>78.5</v>
      </c>
      <c r="AK115" s="334"/>
      <c r="AL115" s="334"/>
      <c r="AM115" s="334"/>
      <c r="AN115" s="334"/>
      <c r="AO115" s="334"/>
      <c r="AP115" s="334"/>
      <c r="AQ115" s="27">
        <f t="shared" si="8"/>
        <v>0</v>
      </c>
      <c r="AR115" s="27">
        <f t="shared" si="13"/>
        <v>0</v>
      </c>
      <c r="AS115" s="27">
        <f t="shared" si="9"/>
        <v>0</v>
      </c>
      <c r="AT115" s="27">
        <f t="shared" si="12"/>
        <v>0</v>
      </c>
      <c r="AU115" s="64"/>
      <c r="AV115" s="56"/>
    </row>
    <row r="116" spans="1:48">
      <c r="A116" s="64"/>
      <c r="B116" s="49"/>
      <c r="C116" s="153"/>
      <c r="D116" s="64"/>
      <c r="E116" s="64"/>
      <c r="F116" s="27">
        <v>150</v>
      </c>
      <c r="G116" s="27"/>
      <c r="H116" s="27">
        <v>130</v>
      </c>
      <c r="I116" s="50"/>
      <c r="J116" s="27">
        <v>130</v>
      </c>
      <c r="K116" s="31"/>
      <c r="L116" s="27">
        <v>75</v>
      </c>
      <c r="M116" s="27"/>
      <c r="N116" s="27">
        <v>75</v>
      </c>
      <c r="O116" s="31"/>
      <c r="P116" s="27">
        <v>75</v>
      </c>
      <c r="Q116" s="27"/>
      <c r="R116" s="27">
        <v>185</v>
      </c>
      <c r="S116" s="27"/>
      <c r="T116" s="27">
        <v>150</v>
      </c>
      <c r="U116" s="31"/>
      <c r="V116" s="27">
        <v>0.95</v>
      </c>
      <c r="W116" s="27"/>
      <c r="X116" s="27">
        <v>0.8</v>
      </c>
      <c r="Y116" s="27"/>
      <c r="Z116" s="121">
        <v>115</v>
      </c>
      <c r="AA116" s="27"/>
      <c r="AB116" s="27">
        <v>55</v>
      </c>
      <c r="AC116" s="231"/>
      <c r="AD116" s="272">
        <v>110</v>
      </c>
      <c r="AE116" s="27"/>
      <c r="AF116" s="27">
        <v>90</v>
      </c>
      <c r="AG116" s="29"/>
      <c r="AH116" s="324"/>
      <c r="AI116" s="324">
        <v>140</v>
      </c>
      <c r="AJ116" s="50">
        <v>78.5</v>
      </c>
      <c r="AK116" s="334"/>
      <c r="AL116" s="334"/>
      <c r="AM116" s="334"/>
      <c r="AN116" s="334"/>
      <c r="AO116" s="334"/>
      <c r="AP116" s="334"/>
      <c r="AQ116" s="27">
        <f t="shared" si="8"/>
        <v>0</v>
      </c>
      <c r="AR116" s="27">
        <f t="shared" si="13"/>
        <v>0</v>
      </c>
      <c r="AS116" s="27">
        <f t="shared" si="9"/>
        <v>0</v>
      </c>
      <c r="AT116" s="27">
        <f t="shared" si="12"/>
        <v>0</v>
      </c>
      <c r="AU116" s="64"/>
      <c r="AV116" s="56"/>
    </row>
    <row r="117" spans="1:48">
      <c r="A117" s="64"/>
      <c r="B117" s="49"/>
      <c r="C117" s="153"/>
      <c r="D117" s="64"/>
      <c r="E117" s="64"/>
      <c r="F117" s="27">
        <v>150</v>
      </c>
      <c r="G117" s="27"/>
      <c r="H117" s="27">
        <v>130</v>
      </c>
      <c r="I117" s="50"/>
      <c r="J117" s="27">
        <v>130</v>
      </c>
      <c r="K117" s="31"/>
      <c r="L117" s="27">
        <v>75</v>
      </c>
      <c r="M117" s="27"/>
      <c r="N117" s="27">
        <v>75</v>
      </c>
      <c r="O117" s="31"/>
      <c r="P117" s="27">
        <v>75</v>
      </c>
      <c r="Q117" s="27"/>
      <c r="R117" s="27">
        <v>185</v>
      </c>
      <c r="S117" s="27"/>
      <c r="T117" s="27">
        <v>150</v>
      </c>
      <c r="U117" s="31"/>
      <c r="V117" s="27">
        <v>0.95</v>
      </c>
      <c r="W117" s="27"/>
      <c r="X117" s="27">
        <v>0.8</v>
      </c>
      <c r="Y117" s="27"/>
      <c r="Z117" s="121">
        <v>115</v>
      </c>
      <c r="AA117" s="27"/>
      <c r="AB117" s="27">
        <v>55</v>
      </c>
      <c r="AC117" s="231"/>
      <c r="AD117" s="272">
        <v>110</v>
      </c>
      <c r="AE117" s="27"/>
      <c r="AF117" s="27">
        <v>90</v>
      </c>
      <c r="AG117" s="29"/>
      <c r="AH117" s="324"/>
      <c r="AI117" s="324">
        <v>140</v>
      </c>
      <c r="AJ117" s="50">
        <v>78.5</v>
      </c>
      <c r="AK117" s="334"/>
      <c r="AL117" s="334"/>
      <c r="AM117" s="334"/>
      <c r="AN117" s="334"/>
      <c r="AO117" s="334"/>
      <c r="AP117" s="334"/>
      <c r="AQ117" s="27">
        <f t="shared" si="8"/>
        <v>0</v>
      </c>
      <c r="AR117" s="27">
        <f t="shared" si="13"/>
        <v>0</v>
      </c>
      <c r="AS117" s="27">
        <f t="shared" si="9"/>
        <v>0</v>
      </c>
      <c r="AT117" s="27">
        <f t="shared" si="12"/>
        <v>0</v>
      </c>
      <c r="AU117" s="64"/>
      <c r="AV117" s="56"/>
    </row>
    <row r="118" spans="1:48">
      <c r="A118" s="64"/>
      <c r="B118" s="49"/>
      <c r="C118" s="153"/>
      <c r="D118" s="64"/>
      <c r="E118" s="64"/>
      <c r="F118" s="27">
        <v>150</v>
      </c>
      <c r="G118" s="27"/>
      <c r="H118" s="27">
        <v>130</v>
      </c>
      <c r="I118" s="50"/>
      <c r="J118" s="27">
        <v>130</v>
      </c>
      <c r="K118" s="31"/>
      <c r="L118" s="27">
        <v>75</v>
      </c>
      <c r="M118" s="27"/>
      <c r="N118" s="27">
        <v>75</v>
      </c>
      <c r="O118" s="31"/>
      <c r="P118" s="27">
        <v>75</v>
      </c>
      <c r="Q118" s="27"/>
      <c r="R118" s="27">
        <v>185</v>
      </c>
      <c r="S118" s="27"/>
      <c r="T118" s="27">
        <v>150</v>
      </c>
      <c r="U118" s="31"/>
      <c r="V118" s="27">
        <v>0.95</v>
      </c>
      <c r="W118" s="27"/>
      <c r="X118" s="27">
        <v>0.8</v>
      </c>
      <c r="Y118" s="27"/>
      <c r="Z118" s="121">
        <v>115</v>
      </c>
      <c r="AA118" s="27"/>
      <c r="AB118" s="27">
        <v>55</v>
      </c>
      <c r="AC118" s="231"/>
      <c r="AD118" s="272">
        <v>110</v>
      </c>
      <c r="AE118" s="27"/>
      <c r="AF118" s="27">
        <v>90</v>
      </c>
      <c r="AG118" s="29"/>
      <c r="AH118" s="324"/>
      <c r="AI118" s="324">
        <v>140</v>
      </c>
      <c r="AJ118" s="50">
        <v>78.5</v>
      </c>
      <c r="AK118" s="334"/>
      <c r="AL118" s="334"/>
      <c r="AM118" s="334"/>
      <c r="AN118" s="334"/>
      <c r="AO118" s="334"/>
      <c r="AP118" s="334"/>
      <c r="AQ118" s="27">
        <f t="shared" si="8"/>
        <v>0</v>
      </c>
      <c r="AR118" s="27">
        <f t="shared" si="13"/>
        <v>0</v>
      </c>
      <c r="AS118" s="27">
        <f t="shared" si="9"/>
        <v>0</v>
      </c>
      <c r="AT118" s="27">
        <f t="shared" si="12"/>
        <v>0</v>
      </c>
      <c r="AU118" s="64"/>
      <c r="AV118" s="56"/>
    </row>
    <row r="119" spans="1:48">
      <c r="A119" s="64"/>
      <c r="B119" s="49"/>
      <c r="C119" s="153"/>
      <c r="D119" s="64"/>
      <c r="E119" s="64"/>
      <c r="F119" s="27">
        <v>150</v>
      </c>
      <c r="G119" s="27"/>
      <c r="H119" s="27">
        <v>130</v>
      </c>
      <c r="I119" s="50"/>
      <c r="J119" s="27">
        <v>130</v>
      </c>
      <c r="K119" s="31"/>
      <c r="L119" s="27">
        <v>75</v>
      </c>
      <c r="M119" s="27"/>
      <c r="N119" s="27">
        <v>75</v>
      </c>
      <c r="O119" s="31"/>
      <c r="P119" s="27">
        <v>75</v>
      </c>
      <c r="Q119" s="27"/>
      <c r="R119" s="27">
        <v>185</v>
      </c>
      <c r="S119" s="27"/>
      <c r="T119" s="27">
        <v>150</v>
      </c>
      <c r="U119" s="31"/>
      <c r="V119" s="27">
        <v>0.95</v>
      </c>
      <c r="W119" s="27"/>
      <c r="X119" s="27">
        <v>0.8</v>
      </c>
      <c r="Y119" s="27"/>
      <c r="Z119" s="121">
        <v>115</v>
      </c>
      <c r="AA119" s="27"/>
      <c r="AB119" s="27">
        <v>55</v>
      </c>
      <c r="AC119" s="231"/>
      <c r="AD119" s="272">
        <v>110</v>
      </c>
      <c r="AE119" s="27"/>
      <c r="AF119" s="27">
        <v>90</v>
      </c>
      <c r="AG119" s="29"/>
      <c r="AH119" s="324"/>
      <c r="AI119" s="324">
        <v>140</v>
      </c>
      <c r="AJ119" s="50">
        <v>78.5</v>
      </c>
      <c r="AK119" s="334"/>
      <c r="AL119" s="334"/>
      <c r="AM119" s="334"/>
      <c r="AN119" s="334"/>
      <c r="AO119" s="334"/>
      <c r="AP119" s="334"/>
      <c r="AQ119" s="27">
        <f t="shared" si="8"/>
        <v>0</v>
      </c>
      <c r="AR119" s="27">
        <f t="shared" si="13"/>
        <v>0</v>
      </c>
      <c r="AS119" s="27">
        <f t="shared" si="9"/>
        <v>0</v>
      </c>
      <c r="AT119" s="27">
        <f t="shared" si="12"/>
        <v>0</v>
      </c>
      <c r="AU119" s="64"/>
      <c r="AV119" s="56"/>
    </row>
    <row r="120" spans="1:48">
      <c r="A120" s="64"/>
      <c r="B120" s="49"/>
      <c r="C120" s="153"/>
      <c r="D120" s="64"/>
      <c r="E120" s="64"/>
      <c r="F120" s="27">
        <v>150</v>
      </c>
      <c r="G120" s="27"/>
      <c r="H120" s="27">
        <v>130</v>
      </c>
      <c r="I120" s="50"/>
      <c r="J120" s="27">
        <v>130</v>
      </c>
      <c r="K120" s="31"/>
      <c r="L120" s="27">
        <v>75</v>
      </c>
      <c r="M120" s="27"/>
      <c r="N120" s="27">
        <v>75</v>
      </c>
      <c r="O120" s="31"/>
      <c r="P120" s="27">
        <v>75</v>
      </c>
      <c r="Q120" s="27"/>
      <c r="R120" s="27">
        <v>185</v>
      </c>
      <c r="S120" s="27"/>
      <c r="T120" s="27">
        <v>150</v>
      </c>
      <c r="U120" s="31"/>
      <c r="V120" s="27">
        <v>0.95</v>
      </c>
      <c r="W120" s="27"/>
      <c r="X120" s="27">
        <v>0.8</v>
      </c>
      <c r="Y120" s="27"/>
      <c r="Z120" s="121">
        <v>115</v>
      </c>
      <c r="AA120" s="27"/>
      <c r="AB120" s="27">
        <v>55</v>
      </c>
      <c r="AC120" s="231"/>
      <c r="AD120" s="272">
        <v>110</v>
      </c>
      <c r="AE120" s="27"/>
      <c r="AF120" s="27">
        <v>90</v>
      </c>
      <c r="AG120" s="29"/>
      <c r="AH120" s="324"/>
      <c r="AI120" s="324">
        <v>140</v>
      </c>
      <c r="AJ120" s="50">
        <v>78.5</v>
      </c>
      <c r="AK120" s="334"/>
      <c r="AL120" s="334"/>
      <c r="AM120" s="334"/>
      <c r="AN120" s="334"/>
      <c r="AO120" s="334"/>
      <c r="AP120" s="334"/>
      <c r="AQ120" s="27">
        <f t="shared" si="8"/>
        <v>0</v>
      </c>
      <c r="AR120" s="27">
        <f t="shared" si="13"/>
        <v>0</v>
      </c>
      <c r="AS120" s="27">
        <f t="shared" si="9"/>
        <v>0</v>
      </c>
      <c r="AT120" s="27">
        <f t="shared" si="12"/>
        <v>0</v>
      </c>
      <c r="AU120" s="64"/>
      <c r="AV120" s="56"/>
    </row>
    <row r="121" spans="1:48">
      <c r="A121" s="64"/>
      <c r="B121" s="49"/>
      <c r="C121" s="153"/>
      <c r="D121" s="64"/>
      <c r="E121" s="64"/>
      <c r="F121" s="27">
        <v>150</v>
      </c>
      <c r="G121" s="27"/>
      <c r="H121" s="27">
        <v>130</v>
      </c>
      <c r="I121" s="50"/>
      <c r="J121" s="27">
        <v>130</v>
      </c>
      <c r="K121" s="31"/>
      <c r="L121" s="27">
        <v>75</v>
      </c>
      <c r="M121" s="27"/>
      <c r="N121" s="27">
        <v>75</v>
      </c>
      <c r="O121" s="31"/>
      <c r="P121" s="27">
        <v>75</v>
      </c>
      <c r="Q121" s="27"/>
      <c r="R121" s="27">
        <v>185</v>
      </c>
      <c r="S121" s="27"/>
      <c r="T121" s="27">
        <v>150</v>
      </c>
      <c r="U121" s="31"/>
      <c r="V121" s="27">
        <v>0.95</v>
      </c>
      <c r="W121" s="27"/>
      <c r="X121" s="27">
        <v>0.8</v>
      </c>
      <c r="Y121" s="27"/>
      <c r="Z121" s="121">
        <v>115</v>
      </c>
      <c r="AA121" s="27"/>
      <c r="AB121" s="27">
        <v>55</v>
      </c>
      <c r="AC121" s="231"/>
      <c r="AD121" s="272">
        <v>110</v>
      </c>
      <c r="AE121" s="27"/>
      <c r="AF121" s="27">
        <v>90</v>
      </c>
      <c r="AG121" s="29"/>
      <c r="AH121" s="324"/>
      <c r="AI121" s="324">
        <v>140</v>
      </c>
      <c r="AJ121" s="50">
        <v>78.5</v>
      </c>
      <c r="AK121" s="334"/>
      <c r="AL121" s="334"/>
      <c r="AM121" s="334"/>
      <c r="AN121" s="334"/>
      <c r="AO121" s="334"/>
      <c r="AP121" s="334"/>
      <c r="AQ121" s="27">
        <f t="shared" si="8"/>
        <v>0</v>
      </c>
      <c r="AR121" s="27">
        <f t="shared" si="13"/>
        <v>0</v>
      </c>
      <c r="AS121" s="27">
        <f t="shared" si="9"/>
        <v>0</v>
      </c>
      <c r="AT121" s="27">
        <f t="shared" si="12"/>
        <v>0</v>
      </c>
      <c r="AU121" s="64"/>
      <c r="AV121" s="56"/>
    </row>
    <row r="122" spans="1:48">
      <c r="A122" s="64"/>
      <c r="B122" s="49"/>
      <c r="C122" s="153"/>
      <c r="D122" s="64"/>
      <c r="E122" s="64"/>
      <c r="F122" s="27">
        <v>150</v>
      </c>
      <c r="G122" s="27"/>
      <c r="H122" s="27">
        <v>130</v>
      </c>
      <c r="I122" s="50"/>
      <c r="J122" s="27">
        <v>130</v>
      </c>
      <c r="K122" s="31"/>
      <c r="L122" s="27">
        <v>75</v>
      </c>
      <c r="M122" s="27"/>
      <c r="N122" s="27">
        <v>75</v>
      </c>
      <c r="O122" s="31"/>
      <c r="P122" s="27">
        <v>75</v>
      </c>
      <c r="Q122" s="27"/>
      <c r="R122" s="27">
        <v>185</v>
      </c>
      <c r="S122" s="27"/>
      <c r="T122" s="27">
        <v>150</v>
      </c>
      <c r="U122" s="31"/>
      <c r="V122" s="27">
        <v>0.95</v>
      </c>
      <c r="W122" s="27"/>
      <c r="X122" s="27">
        <v>0.8</v>
      </c>
      <c r="Y122" s="27"/>
      <c r="Z122" s="121">
        <v>115</v>
      </c>
      <c r="AA122" s="27"/>
      <c r="AB122" s="27">
        <v>55</v>
      </c>
      <c r="AC122" s="231"/>
      <c r="AD122" s="272">
        <v>110</v>
      </c>
      <c r="AE122" s="27"/>
      <c r="AF122" s="27">
        <v>90</v>
      </c>
      <c r="AG122" s="29"/>
      <c r="AH122" s="324"/>
      <c r="AI122" s="324">
        <v>140</v>
      </c>
      <c r="AJ122" s="50">
        <v>78.5</v>
      </c>
      <c r="AK122" s="334"/>
      <c r="AL122" s="334"/>
      <c r="AM122" s="334"/>
      <c r="AN122" s="334"/>
      <c r="AO122" s="334"/>
      <c r="AP122" s="334"/>
      <c r="AQ122" s="27">
        <f t="shared" si="8"/>
        <v>0</v>
      </c>
      <c r="AR122" s="27">
        <f t="shared" si="13"/>
        <v>0</v>
      </c>
      <c r="AS122" s="27">
        <f t="shared" si="9"/>
        <v>0</v>
      </c>
      <c r="AT122" s="27">
        <f t="shared" si="12"/>
        <v>0</v>
      </c>
      <c r="AU122" s="64"/>
      <c r="AV122" s="56"/>
    </row>
    <row r="123" spans="1:48">
      <c r="A123" s="64"/>
      <c r="B123" s="49"/>
      <c r="C123" s="153"/>
      <c r="D123" s="64"/>
      <c r="E123" s="64"/>
      <c r="F123" s="27">
        <v>150</v>
      </c>
      <c r="G123" s="27"/>
      <c r="H123" s="27">
        <v>130</v>
      </c>
      <c r="I123" s="50"/>
      <c r="J123" s="27">
        <v>130</v>
      </c>
      <c r="K123" s="31"/>
      <c r="L123" s="27">
        <v>75</v>
      </c>
      <c r="M123" s="27"/>
      <c r="N123" s="27">
        <v>75</v>
      </c>
      <c r="O123" s="31"/>
      <c r="P123" s="27">
        <v>75</v>
      </c>
      <c r="Q123" s="27"/>
      <c r="R123" s="27">
        <v>185</v>
      </c>
      <c r="S123" s="27"/>
      <c r="T123" s="27">
        <v>150</v>
      </c>
      <c r="U123" s="31"/>
      <c r="V123" s="27">
        <v>0.95</v>
      </c>
      <c r="W123" s="27"/>
      <c r="X123" s="27">
        <v>0.8</v>
      </c>
      <c r="Y123" s="27"/>
      <c r="Z123" s="121">
        <v>115</v>
      </c>
      <c r="AA123" s="27"/>
      <c r="AB123" s="27">
        <v>55</v>
      </c>
      <c r="AC123" s="231"/>
      <c r="AD123" s="272">
        <v>110</v>
      </c>
      <c r="AE123" s="27"/>
      <c r="AF123" s="27">
        <v>90</v>
      </c>
      <c r="AG123" s="29"/>
      <c r="AH123" s="324"/>
      <c r="AI123" s="324">
        <v>140</v>
      </c>
      <c r="AJ123" s="50">
        <v>78.5</v>
      </c>
      <c r="AK123" s="334"/>
      <c r="AL123" s="334"/>
      <c r="AM123" s="334"/>
      <c r="AN123" s="334"/>
      <c r="AO123" s="334"/>
      <c r="AP123" s="334"/>
      <c r="AQ123" s="27">
        <f t="shared" si="8"/>
        <v>0</v>
      </c>
      <c r="AR123" s="27">
        <f t="shared" si="13"/>
        <v>0</v>
      </c>
      <c r="AS123" s="27">
        <f t="shared" si="9"/>
        <v>0</v>
      </c>
      <c r="AT123" s="27">
        <f t="shared" si="12"/>
        <v>0</v>
      </c>
      <c r="AU123" s="64"/>
      <c r="AV123" s="56"/>
    </row>
    <row r="124" spans="1:48">
      <c r="A124" s="64"/>
      <c r="B124" s="49"/>
      <c r="C124" s="153"/>
      <c r="D124" s="64"/>
      <c r="E124" s="64"/>
      <c r="F124" s="27">
        <v>150</v>
      </c>
      <c r="G124" s="27"/>
      <c r="H124" s="27">
        <v>130</v>
      </c>
      <c r="I124" s="50"/>
      <c r="J124" s="27">
        <v>130</v>
      </c>
      <c r="K124" s="31"/>
      <c r="L124" s="27">
        <v>75</v>
      </c>
      <c r="M124" s="27"/>
      <c r="N124" s="27">
        <v>75</v>
      </c>
      <c r="O124" s="31"/>
      <c r="P124" s="27">
        <v>75</v>
      </c>
      <c r="Q124" s="27"/>
      <c r="R124" s="27">
        <v>185</v>
      </c>
      <c r="S124" s="27"/>
      <c r="T124" s="27">
        <v>150</v>
      </c>
      <c r="U124" s="31"/>
      <c r="V124" s="27">
        <v>0.95</v>
      </c>
      <c r="W124" s="27"/>
      <c r="X124" s="27">
        <v>0.8</v>
      </c>
      <c r="Y124" s="27"/>
      <c r="Z124" s="121">
        <v>115</v>
      </c>
      <c r="AA124" s="27"/>
      <c r="AB124" s="27">
        <v>55</v>
      </c>
      <c r="AC124" s="231"/>
      <c r="AD124" s="272">
        <v>110</v>
      </c>
      <c r="AE124" s="27"/>
      <c r="AF124" s="27">
        <v>90</v>
      </c>
      <c r="AG124" s="29"/>
      <c r="AH124" s="324"/>
      <c r="AI124" s="324">
        <v>140</v>
      </c>
      <c r="AJ124" s="50">
        <v>78.5</v>
      </c>
      <c r="AK124" s="334"/>
      <c r="AL124" s="334"/>
      <c r="AM124" s="334"/>
      <c r="AN124" s="334"/>
      <c r="AO124" s="334"/>
      <c r="AP124" s="334"/>
      <c r="AQ124" s="27">
        <f t="shared" si="8"/>
        <v>0</v>
      </c>
      <c r="AR124" s="27">
        <f t="shared" si="13"/>
        <v>0</v>
      </c>
      <c r="AS124" s="27">
        <f t="shared" si="9"/>
        <v>0</v>
      </c>
      <c r="AT124" s="27">
        <f t="shared" si="12"/>
        <v>0</v>
      </c>
      <c r="AU124" s="64"/>
      <c r="AV124" s="56"/>
    </row>
    <row r="125" spans="1:48">
      <c r="A125" s="64"/>
      <c r="B125" s="49"/>
      <c r="C125" s="153"/>
      <c r="D125" s="64"/>
      <c r="E125" s="64"/>
      <c r="F125" s="27">
        <v>150</v>
      </c>
      <c r="G125" s="27"/>
      <c r="H125" s="27">
        <v>130</v>
      </c>
      <c r="I125" s="50"/>
      <c r="J125" s="27">
        <v>130</v>
      </c>
      <c r="K125" s="31"/>
      <c r="L125" s="27">
        <v>75</v>
      </c>
      <c r="M125" s="27"/>
      <c r="N125" s="27">
        <v>75</v>
      </c>
      <c r="O125" s="31"/>
      <c r="P125" s="27">
        <v>75</v>
      </c>
      <c r="Q125" s="27"/>
      <c r="R125" s="27">
        <v>185</v>
      </c>
      <c r="S125" s="27"/>
      <c r="T125" s="27">
        <v>150</v>
      </c>
      <c r="U125" s="31"/>
      <c r="V125" s="27">
        <v>0.95</v>
      </c>
      <c r="W125" s="27"/>
      <c r="X125" s="27">
        <v>0.8</v>
      </c>
      <c r="Y125" s="27"/>
      <c r="Z125" s="121">
        <v>115</v>
      </c>
      <c r="AA125" s="27"/>
      <c r="AB125" s="27">
        <v>55</v>
      </c>
      <c r="AC125" s="231"/>
      <c r="AD125" s="272">
        <v>110</v>
      </c>
      <c r="AE125" s="27"/>
      <c r="AF125" s="27">
        <v>90</v>
      </c>
      <c r="AG125" s="29"/>
      <c r="AH125" s="324"/>
      <c r="AI125" s="324">
        <v>140</v>
      </c>
      <c r="AJ125" s="50">
        <v>78.5</v>
      </c>
      <c r="AK125" s="334"/>
      <c r="AL125" s="334"/>
      <c r="AM125" s="334"/>
      <c r="AN125" s="334"/>
      <c r="AO125" s="334"/>
      <c r="AP125" s="334"/>
      <c r="AQ125" s="27">
        <f t="shared" si="8"/>
        <v>0</v>
      </c>
      <c r="AR125" s="27">
        <f t="shared" si="13"/>
        <v>0</v>
      </c>
      <c r="AS125" s="27">
        <f t="shared" si="9"/>
        <v>0</v>
      </c>
      <c r="AT125" s="27">
        <f t="shared" si="12"/>
        <v>0</v>
      </c>
      <c r="AU125" s="64"/>
      <c r="AV125" s="56"/>
    </row>
    <row r="126" spans="1:48">
      <c r="A126" s="64"/>
      <c r="B126" s="49"/>
      <c r="C126" s="153"/>
      <c r="D126" s="64"/>
      <c r="E126" s="64"/>
      <c r="F126" s="27">
        <v>150</v>
      </c>
      <c r="G126" s="27"/>
      <c r="H126" s="27">
        <v>130</v>
      </c>
      <c r="I126" s="50"/>
      <c r="J126" s="27">
        <v>130</v>
      </c>
      <c r="K126" s="31"/>
      <c r="L126" s="27">
        <v>75</v>
      </c>
      <c r="M126" s="27"/>
      <c r="N126" s="27">
        <v>75</v>
      </c>
      <c r="O126" s="31"/>
      <c r="P126" s="27">
        <v>75</v>
      </c>
      <c r="Q126" s="27"/>
      <c r="R126" s="27">
        <v>185</v>
      </c>
      <c r="S126" s="27"/>
      <c r="T126" s="27">
        <v>150</v>
      </c>
      <c r="U126" s="31"/>
      <c r="V126" s="27">
        <v>0.95</v>
      </c>
      <c r="W126" s="27"/>
      <c r="X126" s="27">
        <v>0.8</v>
      </c>
      <c r="Y126" s="27"/>
      <c r="Z126" s="121">
        <v>115</v>
      </c>
      <c r="AA126" s="27"/>
      <c r="AB126" s="27">
        <v>55</v>
      </c>
      <c r="AC126" s="231"/>
      <c r="AD126" s="272">
        <v>110</v>
      </c>
      <c r="AE126" s="27"/>
      <c r="AF126" s="27">
        <v>90</v>
      </c>
      <c r="AG126" s="29"/>
      <c r="AH126" s="324"/>
      <c r="AI126" s="324">
        <v>140</v>
      </c>
      <c r="AJ126" s="50">
        <v>78.5</v>
      </c>
      <c r="AK126" s="334"/>
      <c r="AL126" s="334"/>
      <c r="AM126" s="334"/>
      <c r="AN126" s="334"/>
      <c r="AO126" s="334"/>
      <c r="AP126" s="334"/>
      <c r="AQ126" s="27">
        <f t="shared" si="8"/>
        <v>0</v>
      </c>
      <c r="AR126" s="27">
        <f t="shared" si="13"/>
        <v>0</v>
      </c>
      <c r="AS126" s="27">
        <f t="shared" si="9"/>
        <v>0</v>
      </c>
      <c r="AT126" s="27">
        <f t="shared" si="12"/>
        <v>0</v>
      </c>
      <c r="AU126" s="64"/>
      <c r="AV126" s="56"/>
    </row>
    <row r="127" spans="1:48">
      <c r="A127" s="64"/>
      <c r="B127" s="49"/>
      <c r="C127" s="153"/>
      <c r="D127" s="64"/>
      <c r="E127" s="64"/>
      <c r="F127" s="27">
        <v>150</v>
      </c>
      <c r="G127" s="27"/>
      <c r="H127" s="27">
        <v>130</v>
      </c>
      <c r="I127" s="50"/>
      <c r="J127" s="27">
        <v>130</v>
      </c>
      <c r="K127" s="31"/>
      <c r="L127" s="27">
        <v>75</v>
      </c>
      <c r="M127" s="27"/>
      <c r="N127" s="27">
        <v>75</v>
      </c>
      <c r="O127" s="31"/>
      <c r="P127" s="27">
        <v>75</v>
      </c>
      <c r="Q127" s="27"/>
      <c r="R127" s="27">
        <v>185</v>
      </c>
      <c r="S127" s="27"/>
      <c r="T127" s="27">
        <v>150</v>
      </c>
      <c r="U127" s="31"/>
      <c r="V127" s="27">
        <v>0.95</v>
      </c>
      <c r="W127" s="27"/>
      <c r="X127" s="27">
        <v>0.8</v>
      </c>
      <c r="Y127" s="27"/>
      <c r="Z127" s="121">
        <v>115</v>
      </c>
      <c r="AA127" s="27"/>
      <c r="AB127" s="27">
        <v>55</v>
      </c>
      <c r="AC127" s="231"/>
      <c r="AD127" s="272">
        <v>110</v>
      </c>
      <c r="AE127" s="27"/>
      <c r="AF127" s="27">
        <v>90</v>
      </c>
      <c r="AG127" s="29"/>
      <c r="AH127" s="324"/>
      <c r="AI127" s="324">
        <v>140</v>
      </c>
      <c r="AJ127" s="50">
        <v>78.5</v>
      </c>
      <c r="AK127" s="334"/>
      <c r="AL127" s="334"/>
      <c r="AM127" s="334"/>
      <c r="AN127" s="334"/>
      <c r="AO127" s="334"/>
      <c r="AP127" s="334"/>
      <c r="AQ127" s="27">
        <f t="shared" si="8"/>
        <v>0</v>
      </c>
      <c r="AR127" s="27">
        <f t="shared" si="13"/>
        <v>0</v>
      </c>
      <c r="AS127" s="27">
        <f t="shared" si="9"/>
        <v>0</v>
      </c>
      <c r="AT127" s="27">
        <f t="shared" si="12"/>
        <v>0</v>
      </c>
      <c r="AU127" s="64"/>
      <c r="AV127" s="56"/>
    </row>
    <row r="128" spans="1:48">
      <c r="A128" s="64"/>
      <c r="B128" s="49"/>
      <c r="C128" s="153"/>
      <c r="D128" s="64"/>
      <c r="E128" s="64"/>
      <c r="F128" s="27">
        <v>150</v>
      </c>
      <c r="G128" s="27"/>
      <c r="H128" s="27">
        <v>130</v>
      </c>
      <c r="I128" s="50"/>
      <c r="J128" s="27">
        <v>130</v>
      </c>
      <c r="K128" s="31"/>
      <c r="L128" s="27">
        <v>75</v>
      </c>
      <c r="M128" s="27"/>
      <c r="N128" s="27">
        <v>75</v>
      </c>
      <c r="O128" s="31"/>
      <c r="P128" s="27">
        <v>75</v>
      </c>
      <c r="Q128" s="27"/>
      <c r="R128" s="27">
        <v>185</v>
      </c>
      <c r="S128" s="27"/>
      <c r="T128" s="27">
        <v>150</v>
      </c>
      <c r="U128" s="31"/>
      <c r="V128" s="27">
        <v>0.95</v>
      </c>
      <c r="W128" s="27"/>
      <c r="X128" s="27">
        <v>0.8</v>
      </c>
      <c r="Y128" s="27"/>
      <c r="Z128" s="121">
        <v>115</v>
      </c>
      <c r="AA128" s="27"/>
      <c r="AB128" s="27">
        <v>55</v>
      </c>
      <c r="AC128" s="231"/>
      <c r="AD128" s="272">
        <v>110</v>
      </c>
      <c r="AE128" s="27"/>
      <c r="AF128" s="27">
        <v>90</v>
      </c>
      <c r="AG128" s="29"/>
      <c r="AH128" s="324"/>
      <c r="AI128" s="324">
        <v>140</v>
      </c>
      <c r="AJ128" s="50">
        <v>78.5</v>
      </c>
      <c r="AK128" s="334"/>
      <c r="AL128" s="334"/>
      <c r="AM128" s="334"/>
      <c r="AN128" s="334"/>
      <c r="AO128" s="334"/>
      <c r="AP128" s="334"/>
      <c r="AQ128" s="27">
        <f t="shared" si="8"/>
        <v>0</v>
      </c>
      <c r="AR128" s="27">
        <f t="shared" si="13"/>
        <v>0</v>
      </c>
      <c r="AS128" s="27">
        <f t="shared" si="9"/>
        <v>0</v>
      </c>
      <c r="AT128" s="27">
        <f t="shared" si="12"/>
        <v>0</v>
      </c>
      <c r="AU128" s="64"/>
      <c r="AV128" s="56"/>
    </row>
    <row r="129" spans="1:48">
      <c r="A129" s="64"/>
      <c r="B129" s="49"/>
      <c r="C129" s="153"/>
      <c r="D129" s="64"/>
      <c r="E129" s="64"/>
      <c r="F129" s="27">
        <v>150</v>
      </c>
      <c r="G129" s="27"/>
      <c r="H129" s="27">
        <v>130</v>
      </c>
      <c r="I129" s="50"/>
      <c r="J129" s="27">
        <v>130</v>
      </c>
      <c r="K129" s="31"/>
      <c r="L129" s="27">
        <v>75</v>
      </c>
      <c r="M129" s="27"/>
      <c r="N129" s="27">
        <v>75</v>
      </c>
      <c r="O129" s="31"/>
      <c r="P129" s="27">
        <v>75</v>
      </c>
      <c r="Q129" s="27"/>
      <c r="R129" s="27">
        <v>185</v>
      </c>
      <c r="S129" s="27"/>
      <c r="T129" s="27">
        <v>150</v>
      </c>
      <c r="U129" s="31"/>
      <c r="V129" s="27">
        <v>0.95</v>
      </c>
      <c r="W129" s="27"/>
      <c r="X129" s="27">
        <v>0.8</v>
      </c>
      <c r="Y129" s="27"/>
      <c r="Z129" s="121">
        <v>115</v>
      </c>
      <c r="AA129" s="27"/>
      <c r="AB129" s="27">
        <v>55</v>
      </c>
      <c r="AC129" s="231"/>
      <c r="AD129" s="272">
        <v>110</v>
      </c>
      <c r="AE129" s="27"/>
      <c r="AF129" s="27">
        <v>90</v>
      </c>
      <c r="AG129" s="29"/>
      <c r="AH129" s="324"/>
      <c r="AI129" s="324">
        <v>140</v>
      </c>
      <c r="AJ129" s="50">
        <v>78.5</v>
      </c>
      <c r="AK129" s="334"/>
      <c r="AL129" s="334"/>
      <c r="AM129" s="334"/>
      <c r="AN129" s="334"/>
      <c r="AO129" s="334"/>
      <c r="AP129" s="334"/>
      <c r="AQ129" s="27">
        <f t="shared" si="8"/>
        <v>0</v>
      </c>
      <c r="AR129" s="27">
        <f t="shared" si="13"/>
        <v>0</v>
      </c>
      <c r="AS129" s="27">
        <f t="shared" si="9"/>
        <v>0</v>
      </c>
      <c r="AT129" s="27">
        <f t="shared" si="12"/>
        <v>0</v>
      </c>
      <c r="AU129" s="64"/>
      <c r="AV129" s="56"/>
    </row>
    <row r="130" spans="1:48">
      <c r="A130" s="64"/>
      <c r="B130" s="49"/>
      <c r="C130" s="153"/>
      <c r="D130" s="64"/>
      <c r="E130" s="64"/>
      <c r="F130" s="27">
        <v>150</v>
      </c>
      <c r="G130" s="27"/>
      <c r="H130" s="27">
        <v>130</v>
      </c>
      <c r="I130" s="50"/>
      <c r="J130" s="27">
        <v>130</v>
      </c>
      <c r="K130" s="31"/>
      <c r="L130" s="27">
        <v>75</v>
      </c>
      <c r="M130" s="27"/>
      <c r="N130" s="27">
        <v>75</v>
      </c>
      <c r="O130" s="31"/>
      <c r="P130" s="27">
        <v>75</v>
      </c>
      <c r="Q130" s="27"/>
      <c r="R130" s="27">
        <v>185</v>
      </c>
      <c r="S130" s="27"/>
      <c r="T130" s="27">
        <v>150</v>
      </c>
      <c r="U130" s="31"/>
      <c r="V130" s="27">
        <v>0.95</v>
      </c>
      <c r="W130" s="27"/>
      <c r="X130" s="27">
        <v>0.8</v>
      </c>
      <c r="Y130" s="27"/>
      <c r="Z130" s="121">
        <v>115</v>
      </c>
      <c r="AA130" s="27"/>
      <c r="AB130" s="27">
        <v>55</v>
      </c>
      <c r="AC130" s="231"/>
      <c r="AD130" s="272">
        <v>110</v>
      </c>
      <c r="AE130" s="27"/>
      <c r="AF130" s="27">
        <v>90</v>
      </c>
      <c r="AG130" s="29"/>
      <c r="AH130" s="324"/>
      <c r="AI130" s="324">
        <v>140</v>
      </c>
      <c r="AJ130" s="50">
        <v>78.5</v>
      </c>
      <c r="AK130" s="334"/>
      <c r="AL130" s="334"/>
      <c r="AM130" s="334"/>
      <c r="AN130" s="334"/>
      <c r="AO130" s="334"/>
      <c r="AP130" s="334"/>
      <c r="AQ130" s="27">
        <f t="shared" si="8"/>
        <v>0</v>
      </c>
      <c r="AR130" s="27">
        <f t="shared" si="13"/>
        <v>0</v>
      </c>
      <c r="AS130" s="27">
        <f t="shared" si="9"/>
        <v>0</v>
      </c>
      <c r="AT130" s="27">
        <f t="shared" si="12"/>
        <v>0</v>
      </c>
      <c r="AU130" s="64"/>
      <c r="AV130" s="56"/>
    </row>
    <row r="131" spans="1:48">
      <c r="A131" s="64"/>
      <c r="B131" s="49"/>
      <c r="C131" s="153"/>
      <c r="D131" s="64"/>
      <c r="E131" s="64"/>
      <c r="F131" s="27">
        <v>150</v>
      </c>
      <c r="G131" s="27"/>
      <c r="H131" s="27">
        <v>130</v>
      </c>
      <c r="I131" s="50"/>
      <c r="J131" s="27">
        <v>130</v>
      </c>
      <c r="K131" s="31"/>
      <c r="L131" s="27">
        <v>75</v>
      </c>
      <c r="M131" s="27"/>
      <c r="N131" s="27">
        <v>75</v>
      </c>
      <c r="O131" s="31"/>
      <c r="P131" s="27">
        <v>75</v>
      </c>
      <c r="Q131" s="27"/>
      <c r="R131" s="27">
        <v>185</v>
      </c>
      <c r="S131" s="27"/>
      <c r="T131" s="27">
        <v>150</v>
      </c>
      <c r="U131" s="31"/>
      <c r="V131" s="27">
        <v>0.95</v>
      </c>
      <c r="W131" s="27"/>
      <c r="X131" s="27">
        <v>0.8</v>
      </c>
      <c r="Y131" s="27"/>
      <c r="Z131" s="121">
        <v>115</v>
      </c>
      <c r="AA131" s="27"/>
      <c r="AB131" s="27">
        <v>55</v>
      </c>
      <c r="AC131" s="231"/>
      <c r="AD131" s="272">
        <v>110</v>
      </c>
      <c r="AE131" s="27"/>
      <c r="AF131" s="27">
        <v>90</v>
      </c>
      <c r="AG131" s="29"/>
      <c r="AH131" s="324"/>
      <c r="AI131" s="324">
        <v>140</v>
      </c>
      <c r="AJ131" s="50">
        <v>78.5</v>
      </c>
      <c r="AK131" s="334"/>
      <c r="AL131" s="334"/>
      <c r="AM131" s="334"/>
      <c r="AN131" s="334"/>
      <c r="AO131" s="334"/>
      <c r="AP131" s="334"/>
      <c r="AQ131" s="27">
        <f t="shared" si="8"/>
        <v>0</v>
      </c>
      <c r="AR131" s="27">
        <f t="shared" si="13"/>
        <v>0</v>
      </c>
      <c r="AS131" s="27">
        <f t="shared" si="9"/>
        <v>0</v>
      </c>
      <c r="AT131" s="27">
        <f t="shared" si="12"/>
        <v>0</v>
      </c>
      <c r="AU131" s="64"/>
      <c r="AV131" s="56"/>
    </row>
    <row r="132" spans="1:48">
      <c r="A132" s="64"/>
      <c r="B132" s="49"/>
      <c r="C132" s="153"/>
      <c r="D132" s="64"/>
      <c r="E132" s="64"/>
      <c r="F132" s="27">
        <v>150</v>
      </c>
      <c r="G132" s="27"/>
      <c r="H132" s="27">
        <v>130</v>
      </c>
      <c r="I132" s="50"/>
      <c r="J132" s="27">
        <v>130</v>
      </c>
      <c r="K132" s="31"/>
      <c r="L132" s="27">
        <v>75</v>
      </c>
      <c r="M132" s="27"/>
      <c r="N132" s="27">
        <v>75</v>
      </c>
      <c r="O132" s="31"/>
      <c r="P132" s="27">
        <v>75</v>
      </c>
      <c r="Q132" s="27"/>
      <c r="R132" s="27">
        <v>185</v>
      </c>
      <c r="S132" s="27"/>
      <c r="T132" s="27">
        <v>150</v>
      </c>
      <c r="U132" s="31"/>
      <c r="V132" s="27">
        <v>0.95</v>
      </c>
      <c r="W132" s="27"/>
      <c r="X132" s="27">
        <v>0.8</v>
      </c>
      <c r="Y132" s="27"/>
      <c r="Z132" s="121">
        <v>115</v>
      </c>
      <c r="AA132" s="27"/>
      <c r="AB132" s="27">
        <v>55</v>
      </c>
      <c r="AC132" s="231"/>
      <c r="AD132" s="272">
        <v>110</v>
      </c>
      <c r="AE132" s="27"/>
      <c r="AF132" s="27">
        <v>90</v>
      </c>
      <c r="AG132" s="29"/>
      <c r="AH132" s="324"/>
      <c r="AI132" s="324">
        <v>140</v>
      </c>
      <c r="AJ132" s="50">
        <v>78.5</v>
      </c>
      <c r="AK132" s="334"/>
      <c r="AL132" s="334"/>
      <c r="AM132" s="334"/>
      <c r="AN132" s="334"/>
      <c r="AO132" s="334"/>
      <c r="AP132" s="334"/>
      <c r="AQ132" s="27">
        <f t="shared" si="8"/>
        <v>0</v>
      </c>
      <c r="AR132" s="27">
        <f t="shared" si="13"/>
        <v>0</v>
      </c>
      <c r="AS132" s="27">
        <f t="shared" si="9"/>
        <v>0</v>
      </c>
      <c r="AT132" s="27">
        <f t="shared" si="12"/>
        <v>0</v>
      </c>
      <c r="AU132" s="64"/>
      <c r="AV132" s="56"/>
    </row>
    <row r="133" spans="1:48">
      <c r="A133" s="64"/>
      <c r="B133" s="49"/>
      <c r="C133" s="153"/>
      <c r="D133" s="64"/>
      <c r="E133" s="64"/>
      <c r="F133" s="27">
        <v>150</v>
      </c>
      <c r="G133" s="27"/>
      <c r="H133" s="27">
        <v>130</v>
      </c>
      <c r="I133" s="50"/>
      <c r="J133" s="27">
        <v>130</v>
      </c>
      <c r="K133" s="31"/>
      <c r="L133" s="27">
        <v>75</v>
      </c>
      <c r="M133" s="27"/>
      <c r="N133" s="27">
        <v>75</v>
      </c>
      <c r="O133" s="31"/>
      <c r="P133" s="27">
        <v>75</v>
      </c>
      <c r="Q133" s="27"/>
      <c r="R133" s="27">
        <v>185</v>
      </c>
      <c r="S133" s="27"/>
      <c r="T133" s="27">
        <v>150</v>
      </c>
      <c r="U133" s="31"/>
      <c r="V133" s="27">
        <v>0.95</v>
      </c>
      <c r="W133" s="27"/>
      <c r="X133" s="27">
        <v>0.8</v>
      </c>
      <c r="Y133" s="27"/>
      <c r="Z133" s="121">
        <v>115</v>
      </c>
      <c r="AA133" s="27"/>
      <c r="AB133" s="27">
        <v>55</v>
      </c>
      <c r="AC133" s="231"/>
      <c r="AD133" s="272">
        <v>110</v>
      </c>
      <c r="AE133" s="27"/>
      <c r="AF133" s="27">
        <v>90</v>
      </c>
      <c r="AG133" s="29"/>
      <c r="AH133" s="324"/>
      <c r="AI133" s="324">
        <v>140</v>
      </c>
      <c r="AJ133" s="50">
        <v>78.5</v>
      </c>
      <c r="AK133" s="334"/>
      <c r="AL133" s="334"/>
      <c r="AM133" s="334"/>
      <c r="AN133" s="334"/>
      <c r="AO133" s="334"/>
      <c r="AP133" s="334"/>
      <c r="AQ133" s="27">
        <f t="shared" ref="AQ133:AQ196" si="14">(U133*V133)+(W133*X133)</f>
        <v>0</v>
      </c>
      <c r="AR133" s="27">
        <f t="shared" si="13"/>
        <v>0</v>
      </c>
      <c r="AS133" s="27">
        <f t="shared" ref="AS133:AS196" si="15">(AR133*5%)</f>
        <v>0</v>
      </c>
      <c r="AT133" s="27">
        <f t="shared" si="12"/>
        <v>0</v>
      </c>
      <c r="AU133" s="64"/>
      <c r="AV133" s="56"/>
    </row>
    <row r="134" spans="1:48">
      <c r="A134" s="64"/>
      <c r="B134" s="49"/>
      <c r="C134" s="153"/>
      <c r="D134" s="64"/>
      <c r="E134" s="64"/>
      <c r="F134" s="27">
        <v>150</v>
      </c>
      <c r="G134" s="27"/>
      <c r="H134" s="27">
        <v>130</v>
      </c>
      <c r="I134" s="50"/>
      <c r="J134" s="27">
        <v>130</v>
      </c>
      <c r="K134" s="31"/>
      <c r="L134" s="27">
        <v>75</v>
      </c>
      <c r="M134" s="27"/>
      <c r="N134" s="27">
        <v>75</v>
      </c>
      <c r="O134" s="31"/>
      <c r="P134" s="27">
        <v>75</v>
      </c>
      <c r="Q134" s="27"/>
      <c r="R134" s="27">
        <v>185</v>
      </c>
      <c r="S134" s="27"/>
      <c r="T134" s="27">
        <v>150</v>
      </c>
      <c r="U134" s="31"/>
      <c r="V134" s="27">
        <v>0.95</v>
      </c>
      <c r="W134" s="27"/>
      <c r="X134" s="27">
        <v>0.8</v>
      </c>
      <c r="Y134" s="27"/>
      <c r="Z134" s="121">
        <v>115</v>
      </c>
      <c r="AA134" s="27"/>
      <c r="AB134" s="27">
        <v>55</v>
      </c>
      <c r="AC134" s="231"/>
      <c r="AD134" s="272">
        <v>110</v>
      </c>
      <c r="AE134" s="27"/>
      <c r="AF134" s="27">
        <v>90</v>
      </c>
      <c r="AG134" s="29"/>
      <c r="AH134" s="324"/>
      <c r="AI134" s="324">
        <v>140</v>
      </c>
      <c r="AJ134" s="50">
        <v>78.5</v>
      </c>
      <c r="AK134" s="334"/>
      <c r="AL134" s="334"/>
      <c r="AM134" s="334"/>
      <c r="AN134" s="334"/>
      <c r="AO134" s="334"/>
      <c r="AP134" s="334"/>
      <c r="AQ134" s="27">
        <f t="shared" si="14"/>
        <v>0</v>
      </c>
      <c r="AR134" s="27">
        <f t="shared" si="13"/>
        <v>0</v>
      </c>
      <c r="AS134" s="27">
        <f t="shared" si="15"/>
        <v>0</v>
      </c>
      <c r="AT134" s="27">
        <f t="shared" si="12"/>
        <v>0</v>
      </c>
      <c r="AU134" s="64"/>
      <c r="AV134" s="56"/>
    </row>
    <row r="135" spans="1:48">
      <c r="A135" s="64"/>
      <c r="B135" s="49"/>
      <c r="C135" s="153"/>
      <c r="D135" s="64"/>
      <c r="E135" s="64"/>
      <c r="F135" s="27">
        <v>150</v>
      </c>
      <c r="G135" s="27"/>
      <c r="H135" s="27">
        <v>130</v>
      </c>
      <c r="I135" s="50"/>
      <c r="J135" s="27">
        <v>130</v>
      </c>
      <c r="K135" s="31"/>
      <c r="L135" s="27">
        <v>75</v>
      </c>
      <c r="M135" s="27"/>
      <c r="N135" s="27">
        <v>75</v>
      </c>
      <c r="O135" s="31"/>
      <c r="P135" s="27">
        <v>75</v>
      </c>
      <c r="Q135" s="27"/>
      <c r="R135" s="27">
        <v>185</v>
      </c>
      <c r="S135" s="27"/>
      <c r="T135" s="27">
        <v>150</v>
      </c>
      <c r="U135" s="31"/>
      <c r="V135" s="27">
        <v>0.95</v>
      </c>
      <c r="W135" s="27"/>
      <c r="X135" s="27">
        <v>0.8</v>
      </c>
      <c r="Y135" s="27"/>
      <c r="Z135" s="121">
        <v>115</v>
      </c>
      <c r="AA135" s="27"/>
      <c r="AB135" s="27">
        <v>55</v>
      </c>
      <c r="AC135" s="231"/>
      <c r="AD135" s="272">
        <v>110</v>
      </c>
      <c r="AE135" s="27"/>
      <c r="AF135" s="27">
        <v>90</v>
      </c>
      <c r="AG135" s="29"/>
      <c r="AH135" s="324"/>
      <c r="AI135" s="324">
        <v>140</v>
      </c>
      <c r="AJ135" s="50">
        <v>78.5</v>
      </c>
      <c r="AK135" s="334"/>
      <c r="AL135" s="334"/>
      <c r="AM135" s="334"/>
      <c r="AN135" s="334"/>
      <c r="AO135" s="334"/>
      <c r="AP135" s="334"/>
      <c r="AQ135" s="27">
        <f t="shared" si="14"/>
        <v>0</v>
      </c>
      <c r="AR135" s="27">
        <f t="shared" si="13"/>
        <v>0</v>
      </c>
      <c r="AS135" s="27">
        <f t="shared" si="15"/>
        <v>0</v>
      </c>
      <c r="AT135" s="27">
        <f t="shared" si="12"/>
        <v>0</v>
      </c>
      <c r="AU135" s="64"/>
      <c r="AV135" s="56"/>
    </row>
    <row r="136" spans="1:48">
      <c r="A136" s="64"/>
      <c r="B136" s="49"/>
      <c r="C136" s="153"/>
      <c r="D136" s="64"/>
      <c r="E136" s="64"/>
      <c r="F136" s="27">
        <v>150</v>
      </c>
      <c r="G136" s="27"/>
      <c r="H136" s="27">
        <v>130</v>
      </c>
      <c r="I136" s="50"/>
      <c r="J136" s="27">
        <v>130</v>
      </c>
      <c r="K136" s="31"/>
      <c r="L136" s="27">
        <v>75</v>
      </c>
      <c r="M136" s="27"/>
      <c r="N136" s="27">
        <v>75</v>
      </c>
      <c r="O136" s="31"/>
      <c r="P136" s="27">
        <v>75</v>
      </c>
      <c r="Q136" s="27"/>
      <c r="R136" s="27">
        <v>185</v>
      </c>
      <c r="S136" s="27"/>
      <c r="T136" s="27">
        <v>150</v>
      </c>
      <c r="U136" s="31"/>
      <c r="V136" s="27">
        <v>0.95</v>
      </c>
      <c r="W136" s="27"/>
      <c r="X136" s="27">
        <v>0.8</v>
      </c>
      <c r="Y136" s="27"/>
      <c r="Z136" s="121">
        <v>115</v>
      </c>
      <c r="AA136" s="27"/>
      <c r="AB136" s="27">
        <v>55</v>
      </c>
      <c r="AC136" s="231"/>
      <c r="AD136" s="272">
        <v>110</v>
      </c>
      <c r="AE136" s="27"/>
      <c r="AF136" s="27">
        <v>90</v>
      </c>
      <c r="AG136" s="29"/>
      <c r="AH136" s="324"/>
      <c r="AI136" s="324">
        <v>140</v>
      </c>
      <c r="AJ136" s="50">
        <v>78.5</v>
      </c>
      <c r="AK136" s="334"/>
      <c r="AL136" s="334"/>
      <c r="AM136" s="334"/>
      <c r="AN136" s="334"/>
      <c r="AO136" s="334"/>
      <c r="AP136" s="334"/>
      <c r="AQ136" s="27">
        <f t="shared" si="14"/>
        <v>0</v>
      </c>
      <c r="AR136" s="27">
        <f t="shared" si="13"/>
        <v>0</v>
      </c>
      <c r="AS136" s="27">
        <f t="shared" si="15"/>
        <v>0</v>
      </c>
      <c r="AT136" s="27">
        <f t="shared" si="12"/>
        <v>0</v>
      </c>
      <c r="AU136" s="64"/>
      <c r="AV136" s="56"/>
    </row>
    <row r="137" spans="1:48">
      <c r="A137" s="64"/>
      <c r="B137" s="49"/>
      <c r="C137" s="153"/>
      <c r="D137" s="64"/>
      <c r="E137" s="64"/>
      <c r="F137" s="27">
        <v>150</v>
      </c>
      <c r="G137" s="27"/>
      <c r="H137" s="27">
        <v>130</v>
      </c>
      <c r="I137" s="50"/>
      <c r="J137" s="27">
        <v>130</v>
      </c>
      <c r="K137" s="31"/>
      <c r="L137" s="27">
        <v>75</v>
      </c>
      <c r="M137" s="27"/>
      <c r="N137" s="27">
        <v>75</v>
      </c>
      <c r="O137" s="31"/>
      <c r="P137" s="27">
        <v>75</v>
      </c>
      <c r="Q137" s="27"/>
      <c r="R137" s="27">
        <v>185</v>
      </c>
      <c r="S137" s="27"/>
      <c r="T137" s="27">
        <v>150</v>
      </c>
      <c r="U137" s="31"/>
      <c r="V137" s="27">
        <v>0.95</v>
      </c>
      <c r="W137" s="27"/>
      <c r="X137" s="27">
        <v>0.8</v>
      </c>
      <c r="Y137" s="27"/>
      <c r="Z137" s="121">
        <v>115</v>
      </c>
      <c r="AA137" s="27"/>
      <c r="AB137" s="27">
        <v>55</v>
      </c>
      <c r="AC137" s="231"/>
      <c r="AD137" s="272">
        <v>110</v>
      </c>
      <c r="AE137" s="27"/>
      <c r="AF137" s="27">
        <v>90</v>
      </c>
      <c r="AG137" s="29"/>
      <c r="AH137" s="324"/>
      <c r="AI137" s="324">
        <v>140</v>
      </c>
      <c r="AJ137" s="50">
        <v>78.5</v>
      </c>
      <c r="AK137" s="334"/>
      <c r="AL137" s="334"/>
      <c r="AM137" s="334"/>
      <c r="AN137" s="334"/>
      <c r="AO137" s="334"/>
      <c r="AP137" s="334"/>
      <c r="AQ137" s="27">
        <f t="shared" si="14"/>
        <v>0</v>
      </c>
      <c r="AR137" s="27">
        <f t="shared" si="13"/>
        <v>0</v>
      </c>
      <c r="AS137" s="27">
        <f t="shared" si="15"/>
        <v>0</v>
      </c>
      <c r="AT137" s="27">
        <f t="shared" si="12"/>
        <v>0</v>
      </c>
      <c r="AU137" s="64"/>
      <c r="AV137" s="56"/>
    </row>
    <row r="138" spans="1:48">
      <c r="A138" s="64"/>
      <c r="B138" s="49"/>
      <c r="C138" s="153"/>
      <c r="D138" s="64"/>
      <c r="E138" s="64"/>
      <c r="F138" s="27">
        <v>150</v>
      </c>
      <c r="G138" s="27"/>
      <c r="H138" s="27">
        <v>130</v>
      </c>
      <c r="I138" s="50"/>
      <c r="J138" s="27">
        <v>130</v>
      </c>
      <c r="K138" s="31"/>
      <c r="L138" s="27">
        <v>75</v>
      </c>
      <c r="M138" s="27"/>
      <c r="N138" s="27">
        <v>75</v>
      </c>
      <c r="O138" s="31"/>
      <c r="P138" s="27">
        <v>75</v>
      </c>
      <c r="Q138" s="27"/>
      <c r="R138" s="27">
        <v>185</v>
      </c>
      <c r="S138" s="27"/>
      <c r="T138" s="27">
        <v>150</v>
      </c>
      <c r="U138" s="31"/>
      <c r="V138" s="27">
        <v>0.95</v>
      </c>
      <c r="W138" s="27"/>
      <c r="X138" s="27">
        <v>0.8</v>
      </c>
      <c r="Y138" s="27"/>
      <c r="Z138" s="121">
        <v>115</v>
      </c>
      <c r="AA138" s="27"/>
      <c r="AB138" s="27">
        <v>55</v>
      </c>
      <c r="AC138" s="231"/>
      <c r="AD138" s="272">
        <v>110</v>
      </c>
      <c r="AE138" s="27"/>
      <c r="AF138" s="27">
        <v>90</v>
      </c>
      <c r="AG138" s="29"/>
      <c r="AH138" s="324"/>
      <c r="AI138" s="324">
        <v>140</v>
      </c>
      <c r="AJ138" s="50">
        <v>78.5</v>
      </c>
      <c r="AK138" s="334"/>
      <c r="AL138" s="334"/>
      <c r="AM138" s="334"/>
      <c r="AN138" s="334"/>
      <c r="AO138" s="334"/>
      <c r="AP138" s="334"/>
      <c r="AQ138" s="27">
        <f t="shared" si="14"/>
        <v>0</v>
      </c>
      <c r="AR138" s="27">
        <f t="shared" si="13"/>
        <v>0</v>
      </c>
      <c r="AS138" s="27">
        <f t="shared" si="15"/>
        <v>0</v>
      </c>
      <c r="AT138" s="27">
        <f t="shared" si="12"/>
        <v>0</v>
      </c>
      <c r="AU138" s="64"/>
      <c r="AV138" s="56"/>
    </row>
    <row r="139" spans="1:48">
      <c r="A139" s="64"/>
      <c r="B139" s="49"/>
      <c r="C139" s="153"/>
      <c r="D139" s="64"/>
      <c r="E139" s="64"/>
      <c r="F139" s="27">
        <v>150</v>
      </c>
      <c r="G139" s="27"/>
      <c r="H139" s="27">
        <v>130</v>
      </c>
      <c r="I139" s="50"/>
      <c r="J139" s="27">
        <v>130</v>
      </c>
      <c r="K139" s="31"/>
      <c r="L139" s="27">
        <v>75</v>
      </c>
      <c r="M139" s="27"/>
      <c r="N139" s="27">
        <v>75</v>
      </c>
      <c r="O139" s="31"/>
      <c r="P139" s="27">
        <v>75</v>
      </c>
      <c r="Q139" s="27"/>
      <c r="R139" s="27">
        <v>185</v>
      </c>
      <c r="S139" s="27"/>
      <c r="T139" s="27">
        <v>150</v>
      </c>
      <c r="U139" s="31"/>
      <c r="V139" s="27">
        <v>0.95</v>
      </c>
      <c r="W139" s="27"/>
      <c r="X139" s="27">
        <v>0.8</v>
      </c>
      <c r="Y139" s="27"/>
      <c r="Z139" s="121">
        <v>115</v>
      </c>
      <c r="AA139" s="27"/>
      <c r="AB139" s="27">
        <v>55</v>
      </c>
      <c r="AC139" s="231"/>
      <c r="AD139" s="272">
        <v>110</v>
      </c>
      <c r="AE139" s="27"/>
      <c r="AF139" s="27">
        <v>90</v>
      </c>
      <c r="AG139" s="29"/>
      <c r="AH139" s="324"/>
      <c r="AI139" s="324">
        <v>140</v>
      </c>
      <c r="AJ139" s="50">
        <v>78.5</v>
      </c>
      <c r="AK139" s="334"/>
      <c r="AL139" s="334"/>
      <c r="AM139" s="334"/>
      <c r="AN139" s="334"/>
      <c r="AO139" s="334"/>
      <c r="AP139" s="334"/>
      <c r="AQ139" s="27">
        <f t="shared" si="14"/>
        <v>0</v>
      </c>
      <c r="AR139" s="27">
        <f t="shared" si="13"/>
        <v>0</v>
      </c>
      <c r="AS139" s="27">
        <f t="shared" si="15"/>
        <v>0</v>
      </c>
      <c r="AT139" s="27">
        <f t="shared" si="12"/>
        <v>0</v>
      </c>
      <c r="AU139" s="64"/>
      <c r="AV139" s="56"/>
    </row>
    <row r="140" spans="1:48">
      <c r="A140" s="64"/>
      <c r="B140" s="49"/>
      <c r="C140" s="153"/>
      <c r="D140" s="64"/>
      <c r="E140" s="64"/>
      <c r="F140" s="27">
        <v>150</v>
      </c>
      <c r="G140" s="27"/>
      <c r="H140" s="27">
        <v>130</v>
      </c>
      <c r="I140" s="50"/>
      <c r="J140" s="27">
        <v>130</v>
      </c>
      <c r="K140" s="31"/>
      <c r="L140" s="27">
        <v>75</v>
      </c>
      <c r="M140" s="27"/>
      <c r="N140" s="27">
        <v>75</v>
      </c>
      <c r="O140" s="31"/>
      <c r="P140" s="27">
        <v>75</v>
      </c>
      <c r="Q140" s="27"/>
      <c r="R140" s="27">
        <v>185</v>
      </c>
      <c r="S140" s="27"/>
      <c r="T140" s="27">
        <v>150</v>
      </c>
      <c r="U140" s="31"/>
      <c r="V140" s="27">
        <v>0.95</v>
      </c>
      <c r="W140" s="27"/>
      <c r="X140" s="27">
        <v>0.8</v>
      </c>
      <c r="Y140" s="27"/>
      <c r="Z140" s="121">
        <v>115</v>
      </c>
      <c r="AA140" s="27"/>
      <c r="AB140" s="27">
        <v>55</v>
      </c>
      <c r="AC140" s="231"/>
      <c r="AD140" s="272">
        <v>110</v>
      </c>
      <c r="AE140" s="27"/>
      <c r="AF140" s="27">
        <v>90</v>
      </c>
      <c r="AG140" s="29"/>
      <c r="AH140" s="324"/>
      <c r="AI140" s="324">
        <v>140</v>
      </c>
      <c r="AJ140" s="50">
        <v>78.5</v>
      </c>
      <c r="AK140" s="334"/>
      <c r="AL140" s="334"/>
      <c r="AM140" s="334"/>
      <c r="AN140" s="334"/>
      <c r="AO140" s="334"/>
      <c r="AP140" s="334"/>
      <c r="AQ140" s="27">
        <f t="shared" si="14"/>
        <v>0</v>
      </c>
      <c r="AR140" s="27">
        <f t="shared" si="13"/>
        <v>0</v>
      </c>
      <c r="AS140" s="27">
        <f t="shared" si="15"/>
        <v>0</v>
      </c>
      <c r="AT140" s="27">
        <f t="shared" si="12"/>
        <v>0</v>
      </c>
      <c r="AU140" s="64"/>
      <c r="AV140" s="56"/>
    </row>
    <row r="141" spans="1:48">
      <c r="A141" s="64"/>
      <c r="B141" s="49"/>
      <c r="C141" s="153"/>
      <c r="D141" s="64"/>
      <c r="E141" s="64"/>
      <c r="F141" s="27">
        <v>150</v>
      </c>
      <c r="G141" s="27"/>
      <c r="H141" s="27">
        <v>130</v>
      </c>
      <c r="I141" s="50"/>
      <c r="J141" s="27">
        <v>130</v>
      </c>
      <c r="K141" s="31"/>
      <c r="L141" s="27">
        <v>75</v>
      </c>
      <c r="M141" s="27"/>
      <c r="N141" s="27">
        <v>75</v>
      </c>
      <c r="O141" s="31"/>
      <c r="P141" s="27">
        <v>75</v>
      </c>
      <c r="Q141" s="27"/>
      <c r="R141" s="27">
        <v>185</v>
      </c>
      <c r="S141" s="27"/>
      <c r="T141" s="27">
        <v>150</v>
      </c>
      <c r="U141" s="31"/>
      <c r="V141" s="27">
        <v>0.95</v>
      </c>
      <c r="W141" s="27"/>
      <c r="X141" s="27">
        <v>0.8</v>
      </c>
      <c r="Y141" s="27"/>
      <c r="Z141" s="121">
        <v>115</v>
      </c>
      <c r="AA141" s="27"/>
      <c r="AB141" s="27">
        <v>55</v>
      </c>
      <c r="AC141" s="231"/>
      <c r="AD141" s="272">
        <v>110</v>
      </c>
      <c r="AE141" s="27"/>
      <c r="AF141" s="27">
        <v>90</v>
      </c>
      <c r="AG141" s="29"/>
      <c r="AH141" s="324"/>
      <c r="AI141" s="324">
        <v>140</v>
      </c>
      <c r="AJ141" s="50">
        <v>78.5</v>
      </c>
      <c r="AK141" s="334"/>
      <c r="AL141" s="334"/>
      <c r="AM141" s="334"/>
      <c r="AN141" s="334"/>
      <c r="AO141" s="334"/>
      <c r="AP141" s="334"/>
      <c r="AQ141" s="27">
        <f t="shared" si="14"/>
        <v>0</v>
      </c>
      <c r="AR141" s="27">
        <f t="shared" si="13"/>
        <v>0</v>
      </c>
      <c r="AS141" s="27">
        <f t="shared" si="15"/>
        <v>0</v>
      </c>
      <c r="AT141" s="27">
        <f t="shared" si="12"/>
        <v>0</v>
      </c>
      <c r="AU141" s="64"/>
      <c r="AV141" s="56"/>
    </row>
    <row r="142" spans="1:48">
      <c r="A142" s="64"/>
      <c r="B142" s="49"/>
      <c r="C142" s="153"/>
      <c r="D142" s="64"/>
      <c r="E142" s="64"/>
      <c r="F142" s="27">
        <v>150</v>
      </c>
      <c r="G142" s="27"/>
      <c r="H142" s="27">
        <v>130</v>
      </c>
      <c r="I142" s="50"/>
      <c r="J142" s="27">
        <v>130</v>
      </c>
      <c r="K142" s="31"/>
      <c r="L142" s="27">
        <v>75</v>
      </c>
      <c r="M142" s="27"/>
      <c r="N142" s="27">
        <v>75</v>
      </c>
      <c r="O142" s="31"/>
      <c r="P142" s="27">
        <v>75</v>
      </c>
      <c r="Q142" s="27"/>
      <c r="R142" s="27">
        <v>185</v>
      </c>
      <c r="S142" s="27"/>
      <c r="T142" s="27">
        <v>150</v>
      </c>
      <c r="U142" s="31"/>
      <c r="V142" s="27">
        <v>0.95</v>
      </c>
      <c r="W142" s="27"/>
      <c r="X142" s="27">
        <v>0.8</v>
      </c>
      <c r="Y142" s="27"/>
      <c r="Z142" s="121">
        <v>115</v>
      </c>
      <c r="AA142" s="27"/>
      <c r="AB142" s="27">
        <v>55</v>
      </c>
      <c r="AC142" s="231"/>
      <c r="AD142" s="272">
        <v>110</v>
      </c>
      <c r="AE142" s="27"/>
      <c r="AF142" s="27">
        <v>90</v>
      </c>
      <c r="AG142" s="29"/>
      <c r="AH142" s="324"/>
      <c r="AI142" s="324">
        <v>140</v>
      </c>
      <c r="AJ142" s="50">
        <v>78.5</v>
      </c>
      <c r="AK142" s="334"/>
      <c r="AL142" s="334"/>
      <c r="AM142" s="334"/>
      <c r="AN142" s="334"/>
      <c r="AO142" s="334"/>
      <c r="AP142" s="334"/>
      <c r="AQ142" s="27">
        <f t="shared" si="14"/>
        <v>0</v>
      </c>
      <c r="AR142" s="27">
        <f t="shared" si="13"/>
        <v>0</v>
      </c>
      <c r="AS142" s="27">
        <f t="shared" si="15"/>
        <v>0</v>
      </c>
      <c r="AT142" s="27">
        <f t="shared" si="12"/>
        <v>0</v>
      </c>
      <c r="AU142" s="64"/>
      <c r="AV142" s="56"/>
    </row>
    <row r="143" spans="1:48">
      <c r="A143" s="64"/>
      <c r="B143" s="49"/>
      <c r="C143" s="153"/>
      <c r="D143" s="64"/>
      <c r="E143" s="64"/>
      <c r="F143" s="27">
        <v>150</v>
      </c>
      <c r="G143" s="27"/>
      <c r="H143" s="27">
        <v>130</v>
      </c>
      <c r="I143" s="50"/>
      <c r="J143" s="27">
        <v>130</v>
      </c>
      <c r="K143" s="31"/>
      <c r="L143" s="27">
        <v>75</v>
      </c>
      <c r="M143" s="27"/>
      <c r="N143" s="27">
        <v>75</v>
      </c>
      <c r="O143" s="31"/>
      <c r="P143" s="27">
        <v>75</v>
      </c>
      <c r="Q143" s="27"/>
      <c r="R143" s="27">
        <v>185</v>
      </c>
      <c r="S143" s="27"/>
      <c r="T143" s="27">
        <v>150</v>
      </c>
      <c r="U143" s="31"/>
      <c r="V143" s="27">
        <v>0.95</v>
      </c>
      <c r="W143" s="27"/>
      <c r="X143" s="27">
        <v>0.8</v>
      </c>
      <c r="Y143" s="27"/>
      <c r="Z143" s="121">
        <v>115</v>
      </c>
      <c r="AA143" s="27"/>
      <c r="AB143" s="27">
        <v>55</v>
      </c>
      <c r="AC143" s="231"/>
      <c r="AD143" s="272">
        <v>110</v>
      </c>
      <c r="AE143" s="27"/>
      <c r="AF143" s="27">
        <v>90</v>
      </c>
      <c r="AG143" s="29"/>
      <c r="AH143" s="324"/>
      <c r="AI143" s="324">
        <v>140</v>
      </c>
      <c r="AJ143" s="50">
        <v>78.5</v>
      </c>
      <c r="AK143" s="334"/>
      <c r="AL143" s="334"/>
      <c r="AM143" s="334"/>
      <c r="AN143" s="334"/>
      <c r="AO143" s="334"/>
      <c r="AP143" s="334"/>
      <c r="AQ143" s="27">
        <f t="shared" si="14"/>
        <v>0</v>
      </c>
      <c r="AR143" s="27">
        <f t="shared" si="13"/>
        <v>0</v>
      </c>
      <c r="AS143" s="27">
        <f t="shared" si="15"/>
        <v>0</v>
      </c>
      <c r="AT143" s="27">
        <f t="shared" si="12"/>
        <v>0</v>
      </c>
      <c r="AU143" s="64"/>
      <c r="AV143" s="56"/>
    </row>
    <row r="144" spans="1:48">
      <c r="A144" s="64"/>
      <c r="B144" s="49"/>
      <c r="C144" s="153"/>
      <c r="D144" s="64"/>
      <c r="E144" s="64"/>
      <c r="F144" s="27">
        <v>150</v>
      </c>
      <c r="G144" s="27"/>
      <c r="H144" s="27">
        <v>130</v>
      </c>
      <c r="I144" s="50"/>
      <c r="J144" s="27">
        <v>130</v>
      </c>
      <c r="K144" s="31"/>
      <c r="L144" s="27">
        <v>75</v>
      </c>
      <c r="M144" s="27"/>
      <c r="N144" s="27">
        <v>75</v>
      </c>
      <c r="O144" s="31"/>
      <c r="P144" s="27">
        <v>75</v>
      </c>
      <c r="Q144" s="27"/>
      <c r="R144" s="27">
        <v>185</v>
      </c>
      <c r="S144" s="27"/>
      <c r="T144" s="27">
        <v>150</v>
      </c>
      <c r="U144" s="31"/>
      <c r="V144" s="27">
        <v>0.95</v>
      </c>
      <c r="W144" s="27"/>
      <c r="X144" s="27">
        <v>0.8</v>
      </c>
      <c r="Y144" s="27"/>
      <c r="Z144" s="121">
        <v>115</v>
      </c>
      <c r="AA144" s="27"/>
      <c r="AB144" s="27">
        <v>55</v>
      </c>
      <c r="AC144" s="231"/>
      <c r="AD144" s="272">
        <v>110</v>
      </c>
      <c r="AE144" s="27"/>
      <c r="AF144" s="27">
        <v>90</v>
      </c>
      <c r="AG144" s="29"/>
      <c r="AH144" s="324"/>
      <c r="AI144" s="324">
        <v>140</v>
      </c>
      <c r="AJ144" s="50">
        <v>78.5</v>
      </c>
      <c r="AK144" s="334"/>
      <c r="AL144" s="334"/>
      <c r="AM144" s="334"/>
      <c r="AN144" s="334"/>
      <c r="AO144" s="334"/>
      <c r="AP144" s="334"/>
      <c r="AQ144" s="27">
        <f t="shared" si="14"/>
        <v>0</v>
      </c>
      <c r="AR144" s="27">
        <f t="shared" si="13"/>
        <v>0</v>
      </c>
      <c r="AS144" s="27">
        <f t="shared" si="15"/>
        <v>0</v>
      </c>
      <c r="AT144" s="27">
        <f t="shared" si="12"/>
        <v>0</v>
      </c>
      <c r="AU144" s="64"/>
      <c r="AV144" s="56"/>
    </row>
    <row r="145" spans="1:48">
      <c r="A145" s="64"/>
      <c r="B145" s="49"/>
      <c r="C145" s="153"/>
      <c r="D145" s="64"/>
      <c r="E145" s="64"/>
      <c r="F145" s="27">
        <v>150</v>
      </c>
      <c r="G145" s="27"/>
      <c r="H145" s="27">
        <v>130</v>
      </c>
      <c r="I145" s="50"/>
      <c r="J145" s="27">
        <v>130</v>
      </c>
      <c r="K145" s="31"/>
      <c r="L145" s="27">
        <v>75</v>
      </c>
      <c r="M145" s="27"/>
      <c r="N145" s="27">
        <v>75</v>
      </c>
      <c r="O145" s="31"/>
      <c r="P145" s="27">
        <v>75</v>
      </c>
      <c r="Q145" s="27"/>
      <c r="R145" s="27">
        <v>185</v>
      </c>
      <c r="S145" s="27"/>
      <c r="T145" s="27">
        <v>150</v>
      </c>
      <c r="U145" s="31"/>
      <c r="V145" s="27">
        <v>0.95</v>
      </c>
      <c r="W145" s="27"/>
      <c r="X145" s="27">
        <v>0.8</v>
      </c>
      <c r="Y145" s="27"/>
      <c r="Z145" s="121">
        <v>115</v>
      </c>
      <c r="AA145" s="27"/>
      <c r="AB145" s="27">
        <v>55</v>
      </c>
      <c r="AC145" s="231"/>
      <c r="AD145" s="272">
        <v>110</v>
      </c>
      <c r="AE145" s="27"/>
      <c r="AF145" s="27">
        <v>90</v>
      </c>
      <c r="AG145" s="29"/>
      <c r="AH145" s="324"/>
      <c r="AI145" s="324">
        <v>140</v>
      </c>
      <c r="AJ145" s="50">
        <v>78.5</v>
      </c>
      <c r="AK145" s="334"/>
      <c r="AL145" s="334"/>
      <c r="AM145" s="334"/>
      <c r="AN145" s="334"/>
      <c r="AO145" s="334"/>
      <c r="AP145" s="334"/>
      <c r="AQ145" s="27">
        <f t="shared" si="14"/>
        <v>0</v>
      </c>
      <c r="AR145" s="27">
        <f t="shared" si="13"/>
        <v>0</v>
      </c>
      <c r="AS145" s="27">
        <f t="shared" si="15"/>
        <v>0</v>
      </c>
      <c r="AT145" s="27">
        <f t="shared" si="12"/>
        <v>0</v>
      </c>
      <c r="AU145" s="64"/>
      <c r="AV145" s="56"/>
    </row>
    <row r="146" spans="1:48">
      <c r="A146" s="64"/>
      <c r="B146" s="49"/>
      <c r="C146" s="153"/>
      <c r="D146" s="64"/>
      <c r="E146" s="64"/>
      <c r="F146" s="27">
        <v>150</v>
      </c>
      <c r="G146" s="27"/>
      <c r="H146" s="27">
        <v>130</v>
      </c>
      <c r="I146" s="50"/>
      <c r="J146" s="27">
        <v>130</v>
      </c>
      <c r="K146" s="31"/>
      <c r="L146" s="27">
        <v>75</v>
      </c>
      <c r="M146" s="27"/>
      <c r="N146" s="27">
        <v>75</v>
      </c>
      <c r="O146" s="31"/>
      <c r="P146" s="27">
        <v>75</v>
      </c>
      <c r="Q146" s="27"/>
      <c r="R146" s="27">
        <v>185</v>
      </c>
      <c r="S146" s="27"/>
      <c r="T146" s="27">
        <v>150</v>
      </c>
      <c r="U146" s="31"/>
      <c r="V146" s="27">
        <v>0.95</v>
      </c>
      <c r="W146" s="27"/>
      <c r="X146" s="27">
        <v>0.8</v>
      </c>
      <c r="Y146" s="27"/>
      <c r="Z146" s="121">
        <v>115</v>
      </c>
      <c r="AA146" s="27"/>
      <c r="AB146" s="27">
        <v>55</v>
      </c>
      <c r="AC146" s="231"/>
      <c r="AD146" s="272">
        <v>110</v>
      </c>
      <c r="AE146" s="27"/>
      <c r="AF146" s="27">
        <v>90</v>
      </c>
      <c r="AG146" s="29"/>
      <c r="AH146" s="324"/>
      <c r="AI146" s="324">
        <v>140</v>
      </c>
      <c r="AJ146" s="50">
        <v>78.5</v>
      </c>
      <c r="AK146" s="334"/>
      <c r="AL146" s="334"/>
      <c r="AM146" s="334"/>
      <c r="AN146" s="334"/>
      <c r="AO146" s="334"/>
      <c r="AP146" s="334"/>
      <c r="AQ146" s="27">
        <f t="shared" si="14"/>
        <v>0</v>
      </c>
      <c r="AR146" s="27">
        <f t="shared" ref="AR146:AR177" si="16">(E146*F146)+(G146*H146)+(I146*J146)+(K146*L146)+(M146*N146)+(Q146*R146)+(S146*T146)+AQ146+(AG146*AJ146)+(O146*P146)+(Y146*Z146)+(AA146*AB146)+(AE146*AF146)+(AC146*AD146)</f>
        <v>0</v>
      </c>
      <c r="AS146" s="27">
        <f t="shared" si="15"/>
        <v>0</v>
      </c>
      <c r="AT146" s="27">
        <f t="shared" si="12"/>
        <v>0</v>
      </c>
      <c r="AU146" s="64"/>
      <c r="AV146" s="56"/>
    </row>
    <row r="147" spans="1:48">
      <c r="A147" s="64"/>
      <c r="B147" s="49"/>
      <c r="C147" s="153"/>
      <c r="D147" s="64"/>
      <c r="E147" s="64"/>
      <c r="F147" s="27">
        <v>150</v>
      </c>
      <c r="G147" s="27"/>
      <c r="H147" s="27">
        <v>130</v>
      </c>
      <c r="I147" s="50"/>
      <c r="J147" s="27">
        <v>130</v>
      </c>
      <c r="K147" s="31"/>
      <c r="L147" s="27">
        <v>75</v>
      </c>
      <c r="M147" s="27"/>
      <c r="N147" s="27">
        <v>75</v>
      </c>
      <c r="O147" s="31"/>
      <c r="P147" s="27">
        <v>75</v>
      </c>
      <c r="Q147" s="27"/>
      <c r="R147" s="27">
        <v>185</v>
      </c>
      <c r="S147" s="27"/>
      <c r="T147" s="27">
        <v>150</v>
      </c>
      <c r="U147" s="31"/>
      <c r="V147" s="27">
        <v>0.95</v>
      </c>
      <c r="W147" s="27"/>
      <c r="X147" s="27">
        <v>0.8</v>
      </c>
      <c r="Y147" s="27"/>
      <c r="Z147" s="121">
        <v>115</v>
      </c>
      <c r="AA147" s="27"/>
      <c r="AB147" s="27">
        <v>55</v>
      </c>
      <c r="AC147" s="231"/>
      <c r="AD147" s="272">
        <v>110</v>
      </c>
      <c r="AE147" s="27"/>
      <c r="AF147" s="27">
        <v>90</v>
      </c>
      <c r="AG147" s="29"/>
      <c r="AH147" s="324"/>
      <c r="AI147" s="324">
        <v>140</v>
      </c>
      <c r="AJ147" s="50">
        <v>78.5</v>
      </c>
      <c r="AK147" s="334"/>
      <c r="AL147" s="334"/>
      <c r="AM147" s="334"/>
      <c r="AN147" s="334"/>
      <c r="AO147" s="334"/>
      <c r="AP147" s="334"/>
      <c r="AQ147" s="27">
        <f t="shared" si="14"/>
        <v>0</v>
      </c>
      <c r="AR147" s="27">
        <f t="shared" si="16"/>
        <v>0</v>
      </c>
      <c r="AS147" s="27">
        <f t="shared" si="15"/>
        <v>0</v>
      </c>
      <c r="AT147" s="27">
        <f t="shared" si="12"/>
        <v>0</v>
      </c>
      <c r="AU147" s="64"/>
      <c r="AV147" s="56"/>
    </row>
    <row r="148" spans="1:48">
      <c r="A148" s="64"/>
      <c r="B148" s="49"/>
      <c r="C148" s="153"/>
      <c r="D148" s="64"/>
      <c r="E148" s="64"/>
      <c r="F148" s="27">
        <v>150</v>
      </c>
      <c r="G148" s="27"/>
      <c r="H148" s="27">
        <v>130</v>
      </c>
      <c r="I148" s="50"/>
      <c r="J148" s="27">
        <v>130</v>
      </c>
      <c r="K148" s="31"/>
      <c r="L148" s="27">
        <v>75</v>
      </c>
      <c r="M148" s="27"/>
      <c r="N148" s="27">
        <v>75</v>
      </c>
      <c r="O148" s="31"/>
      <c r="P148" s="27">
        <v>75</v>
      </c>
      <c r="Q148" s="27"/>
      <c r="R148" s="27">
        <v>185</v>
      </c>
      <c r="S148" s="27"/>
      <c r="T148" s="27">
        <v>150</v>
      </c>
      <c r="U148" s="31"/>
      <c r="V148" s="27">
        <v>0.95</v>
      </c>
      <c r="W148" s="27"/>
      <c r="X148" s="27">
        <v>0.8</v>
      </c>
      <c r="Y148" s="27"/>
      <c r="Z148" s="121">
        <v>115</v>
      </c>
      <c r="AA148" s="27"/>
      <c r="AB148" s="27">
        <v>55</v>
      </c>
      <c r="AC148" s="231"/>
      <c r="AD148" s="272">
        <v>110</v>
      </c>
      <c r="AE148" s="27"/>
      <c r="AF148" s="27">
        <v>90</v>
      </c>
      <c r="AG148" s="29"/>
      <c r="AH148" s="324"/>
      <c r="AI148" s="324">
        <v>140</v>
      </c>
      <c r="AJ148" s="50">
        <v>78.5</v>
      </c>
      <c r="AK148" s="334"/>
      <c r="AL148" s="334"/>
      <c r="AM148" s="334"/>
      <c r="AN148" s="334"/>
      <c r="AO148" s="334"/>
      <c r="AP148" s="334"/>
      <c r="AQ148" s="27">
        <f t="shared" si="14"/>
        <v>0</v>
      </c>
      <c r="AR148" s="27">
        <f t="shared" si="16"/>
        <v>0</v>
      </c>
      <c r="AS148" s="27">
        <f t="shared" si="15"/>
        <v>0</v>
      </c>
      <c r="AT148" s="27">
        <f t="shared" si="12"/>
        <v>0</v>
      </c>
      <c r="AU148" s="64"/>
      <c r="AV148" s="56"/>
    </row>
    <row r="149" spans="1:48">
      <c r="A149" s="64"/>
      <c r="B149" s="49"/>
      <c r="C149" s="153"/>
      <c r="D149" s="64"/>
      <c r="E149" s="64"/>
      <c r="F149" s="27">
        <v>150</v>
      </c>
      <c r="G149" s="27"/>
      <c r="H149" s="27">
        <v>130</v>
      </c>
      <c r="I149" s="50"/>
      <c r="J149" s="27">
        <v>130</v>
      </c>
      <c r="K149" s="31"/>
      <c r="L149" s="27">
        <v>75</v>
      </c>
      <c r="M149" s="27"/>
      <c r="N149" s="27">
        <v>75</v>
      </c>
      <c r="O149" s="31"/>
      <c r="P149" s="27">
        <v>75</v>
      </c>
      <c r="Q149" s="27"/>
      <c r="R149" s="27">
        <v>185</v>
      </c>
      <c r="S149" s="27"/>
      <c r="T149" s="27">
        <v>150</v>
      </c>
      <c r="U149" s="31"/>
      <c r="V149" s="27">
        <v>0.95</v>
      </c>
      <c r="W149" s="27"/>
      <c r="X149" s="27">
        <v>0.8</v>
      </c>
      <c r="Y149" s="27"/>
      <c r="Z149" s="121">
        <v>115</v>
      </c>
      <c r="AA149" s="27"/>
      <c r="AB149" s="27">
        <v>55</v>
      </c>
      <c r="AC149" s="231"/>
      <c r="AD149" s="272">
        <v>110</v>
      </c>
      <c r="AE149" s="27"/>
      <c r="AF149" s="27">
        <v>90</v>
      </c>
      <c r="AG149" s="29"/>
      <c r="AH149" s="324"/>
      <c r="AI149" s="324">
        <v>140</v>
      </c>
      <c r="AJ149" s="50">
        <v>78.5</v>
      </c>
      <c r="AK149" s="334"/>
      <c r="AL149" s="334"/>
      <c r="AM149" s="334"/>
      <c r="AN149" s="334"/>
      <c r="AO149" s="334"/>
      <c r="AP149" s="334"/>
      <c r="AQ149" s="27">
        <f t="shared" si="14"/>
        <v>0</v>
      </c>
      <c r="AR149" s="27">
        <f t="shared" si="16"/>
        <v>0</v>
      </c>
      <c r="AS149" s="27">
        <f t="shared" si="15"/>
        <v>0</v>
      </c>
      <c r="AT149" s="27">
        <f t="shared" si="12"/>
        <v>0</v>
      </c>
      <c r="AU149" s="64"/>
      <c r="AV149" s="56"/>
    </row>
    <row r="150" spans="1:48">
      <c r="A150" s="64"/>
      <c r="B150" s="49"/>
      <c r="C150" s="153"/>
      <c r="D150" s="64"/>
      <c r="E150" s="64"/>
      <c r="F150" s="27">
        <v>150</v>
      </c>
      <c r="G150" s="27"/>
      <c r="H150" s="27">
        <v>130</v>
      </c>
      <c r="I150" s="50"/>
      <c r="J150" s="27">
        <v>130</v>
      </c>
      <c r="K150" s="31"/>
      <c r="L150" s="27">
        <v>75</v>
      </c>
      <c r="M150" s="27"/>
      <c r="N150" s="27">
        <v>75</v>
      </c>
      <c r="O150" s="31"/>
      <c r="P150" s="27">
        <v>75</v>
      </c>
      <c r="Q150" s="27"/>
      <c r="R150" s="27">
        <v>185</v>
      </c>
      <c r="S150" s="27"/>
      <c r="T150" s="27">
        <v>150</v>
      </c>
      <c r="U150" s="31"/>
      <c r="V150" s="27">
        <v>0.95</v>
      </c>
      <c r="W150" s="27"/>
      <c r="X150" s="27">
        <v>0.8</v>
      </c>
      <c r="Y150" s="27"/>
      <c r="Z150" s="121">
        <v>115</v>
      </c>
      <c r="AA150" s="27"/>
      <c r="AB150" s="27">
        <v>55</v>
      </c>
      <c r="AC150" s="231"/>
      <c r="AD150" s="272">
        <v>110</v>
      </c>
      <c r="AE150" s="27"/>
      <c r="AF150" s="27">
        <v>90</v>
      </c>
      <c r="AG150" s="29"/>
      <c r="AH150" s="324"/>
      <c r="AI150" s="324">
        <v>140</v>
      </c>
      <c r="AJ150" s="50">
        <v>78.5</v>
      </c>
      <c r="AK150" s="334"/>
      <c r="AL150" s="334"/>
      <c r="AM150" s="334"/>
      <c r="AN150" s="334"/>
      <c r="AO150" s="334"/>
      <c r="AP150" s="334"/>
      <c r="AQ150" s="27">
        <f t="shared" si="14"/>
        <v>0</v>
      </c>
      <c r="AR150" s="27">
        <f t="shared" si="16"/>
        <v>0</v>
      </c>
      <c r="AS150" s="27">
        <f t="shared" si="15"/>
        <v>0</v>
      </c>
      <c r="AT150" s="27">
        <f t="shared" si="12"/>
        <v>0</v>
      </c>
      <c r="AU150" s="64"/>
      <c r="AV150" s="56"/>
    </row>
    <row r="151" spans="1:48">
      <c r="A151" s="64"/>
      <c r="B151" s="49"/>
      <c r="C151" s="153"/>
      <c r="D151" s="64"/>
      <c r="E151" s="64"/>
      <c r="F151" s="27">
        <v>150</v>
      </c>
      <c r="G151" s="27"/>
      <c r="H151" s="27">
        <v>130</v>
      </c>
      <c r="I151" s="50"/>
      <c r="J151" s="27">
        <v>130</v>
      </c>
      <c r="K151" s="31"/>
      <c r="L151" s="27">
        <v>75</v>
      </c>
      <c r="M151" s="27"/>
      <c r="N151" s="27">
        <v>75</v>
      </c>
      <c r="O151" s="31"/>
      <c r="P151" s="27">
        <v>75</v>
      </c>
      <c r="Q151" s="27"/>
      <c r="R151" s="27">
        <v>185</v>
      </c>
      <c r="S151" s="27"/>
      <c r="T151" s="27">
        <v>150</v>
      </c>
      <c r="U151" s="31"/>
      <c r="V151" s="27">
        <v>0.95</v>
      </c>
      <c r="W151" s="27"/>
      <c r="X151" s="27">
        <v>0.8</v>
      </c>
      <c r="Y151" s="27"/>
      <c r="Z151" s="121">
        <v>115</v>
      </c>
      <c r="AA151" s="27"/>
      <c r="AB151" s="27">
        <v>55</v>
      </c>
      <c r="AC151" s="231"/>
      <c r="AD151" s="272">
        <v>110</v>
      </c>
      <c r="AE151" s="27"/>
      <c r="AF151" s="27">
        <v>90</v>
      </c>
      <c r="AG151" s="29"/>
      <c r="AH151" s="324"/>
      <c r="AI151" s="324">
        <v>140</v>
      </c>
      <c r="AJ151" s="50">
        <v>78.5</v>
      </c>
      <c r="AK151" s="334"/>
      <c r="AL151" s="334"/>
      <c r="AM151" s="334"/>
      <c r="AN151" s="334"/>
      <c r="AO151" s="334"/>
      <c r="AP151" s="334"/>
      <c r="AQ151" s="27">
        <f t="shared" si="14"/>
        <v>0</v>
      </c>
      <c r="AR151" s="27">
        <f t="shared" si="16"/>
        <v>0</v>
      </c>
      <c r="AS151" s="27">
        <f t="shared" si="15"/>
        <v>0</v>
      </c>
      <c r="AT151" s="27">
        <f t="shared" si="12"/>
        <v>0</v>
      </c>
      <c r="AU151" s="64"/>
      <c r="AV151" s="56"/>
    </row>
    <row r="152" spans="1:48">
      <c r="A152" s="64"/>
      <c r="B152" s="49"/>
      <c r="C152" s="153"/>
      <c r="D152" s="64"/>
      <c r="E152" s="64"/>
      <c r="F152" s="27">
        <v>150</v>
      </c>
      <c r="G152" s="27"/>
      <c r="H152" s="27">
        <v>130</v>
      </c>
      <c r="I152" s="50"/>
      <c r="J152" s="27">
        <v>130</v>
      </c>
      <c r="K152" s="31"/>
      <c r="L152" s="27">
        <v>75</v>
      </c>
      <c r="M152" s="27"/>
      <c r="N152" s="27">
        <v>75</v>
      </c>
      <c r="O152" s="31"/>
      <c r="P152" s="27">
        <v>75</v>
      </c>
      <c r="Q152" s="27"/>
      <c r="R152" s="27">
        <v>185</v>
      </c>
      <c r="S152" s="27"/>
      <c r="T152" s="27">
        <v>150</v>
      </c>
      <c r="U152" s="31"/>
      <c r="V152" s="27">
        <v>0.95</v>
      </c>
      <c r="W152" s="27"/>
      <c r="X152" s="27">
        <v>0.8</v>
      </c>
      <c r="Y152" s="27"/>
      <c r="Z152" s="121">
        <v>115</v>
      </c>
      <c r="AA152" s="27"/>
      <c r="AB152" s="27">
        <v>55</v>
      </c>
      <c r="AC152" s="231"/>
      <c r="AD152" s="272">
        <v>110</v>
      </c>
      <c r="AE152" s="27"/>
      <c r="AF152" s="27">
        <v>90</v>
      </c>
      <c r="AG152" s="29"/>
      <c r="AH152" s="324"/>
      <c r="AI152" s="324">
        <v>140</v>
      </c>
      <c r="AJ152" s="50">
        <v>78.5</v>
      </c>
      <c r="AK152" s="334"/>
      <c r="AL152" s="334"/>
      <c r="AM152" s="334"/>
      <c r="AN152" s="334"/>
      <c r="AO152" s="334"/>
      <c r="AP152" s="334"/>
      <c r="AQ152" s="27">
        <f t="shared" si="14"/>
        <v>0</v>
      </c>
      <c r="AR152" s="27">
        <f t="shared" si="16"/>
        <v>0</v>
      </c>
      <c r="AS152" s="27">
        <f t="shared" si="15"/>
        <v>0</v>
      </c>
      <c r="AT152" s="27">
        <f t="shared" si="12"/>
        <v>0</v>
      </c>
      <c r="AU152" s="64"/>
      <c r="AV152" s="56"/>
    </row>
    <row r="153" spans="1:48">
      <c r="A153" s="64"/>
      <c r="B153" s="49"/>
      <c r="C153" s="153"/>
      <c r="D153" s="64"/>
      <c r="E153" s="64"/>
      <c r="F153" s="27">
        <v>150</v>
      </c>
      <c r="G153" s="27"/>
      <c r="H153" s="27">
        <v>130</v>
      </c>
      <c r="I153" s="50"/>
      <c r="J153" s="27">
        <v>130</v>
      </c>
      <c r="K153" s="31"/>
      <c r="L153" s="27">
        <v>75</v>
      </c>
      <c r="M153" s="27"/>
      <c r="N153" s="27">
        <v>75</v>
      </c>
      <c r="O153" s="31"/>
      <c r="P153" s="27">
        <v>75</v>
      </c>
      <c r="Q153" s="27"/>
      <c r="R153" s="27">
        <v>185</v>
      </c>
      <c r="S153" s="27"/>
      <c r="T153" s="27">
        <v>150</v>
      </c>
      <c r="U153" s="31"/>
      <c r="V153" s="27">
        <v>0.95</v>
      </c>
      <c r="W153" s="27"/>
      <c r="X153" s="27">
        <v>0.8</v>
      </c>
      <c r="Y153" s="27"/>
      <c r="Z153" s="121">
        <v>115</v>
      </c>
      <c r="AA153" s="27"/>
      <c r="AB153" s="27">
        <v>55</v>
      </c>
      <c r="AC153" s="231"/>
      <c r="AD153" s="272">
        <v>110</v>
      </c>
      <c r="AE153" s="27"/>
      <c r="AF153" s="27">
        <v>90</v>
      </c>
      <c r="AG153" s="29"/>
      <c r="AH153" s="324"/>
      <c r="AI153" s="324">
        <v>140</v>
      </c>
      <c r="AJ153" s="50">
        <v>78.5</v>
      </c>
      <c r="AK153" s="334"/>
      <c r="AL153" s="334"/>
      <c r="AM153" s="334"/>
      <c r="AN153" s="334"/>
      <c r="AO153" s="334"/>
      <c r="AP153" s="334"/>
      <c r="AQ153" s="27">
        <f t="shared" si="14"/>
        <v>0</v>
      </c>
      <c r="AR153" s="27">
        <f t="shared" si="16"/>
        <v>0</v>
      </c>
      <c r="AS153" s="27">
        <f t="shared" si="15"/>
        <v>0</v>
      </c>
      <c r="AT153" s="27">
        <f t="shared" ref="AT153:AT216" si="17">SUM(AR153+AS153)</f>
        <v>0</v>
      </c>
      <c r="AU153" s="64"/>
      <c r="AV153" s="56"/>
    </row>
    <row r="154" spans="1:48">
      <c r="A154" s="64"/>
      <c r="B154" s="49"/>
      <c r="C154" s="153"/>
      <c r="D154" s="64"/>
      <c r="E154" s="64"/>
      <c r="F154" s="27">
        <v>150</v>
      </c>
      <c r="G154" s="27"/>
      <c r="H154" s="27">
        <v>130</v>
      </c>
      <c r="I154" s="50"/>
      <c r="J154" s="27">
        <v>130</v>
      </c>
      <c r="K154" s="31"/>
      <c r="L154" s="27">
        <v>75</v>
      </c>
      <c r="M154" s="27"/>
      <c r="N154" s="27">
        <v>75</v>
      </c>
      <c r="O154" s="31"/>
      <c r="P154" s="27">
        <v>75</v>
      </c>
      <c r="Q154" s="27"/>
      <c r="R154" s="27">
        <v>185</v>
      </c>
      <c r="S154" s="27"/>
      <c r="T154" s="27">
        <v>150</v>
      </c>
      <c r="U154" s="31"/>
      <c r="V154" s="27">
        <v>0.95</v>
      </c>
      <c r="W154" s="27"/>
      <c r="X154" s="27">
        <v>0.8</v>
      </c>
      <c r="Y154" s="27"/>
      <c r="Z154" s="121">
        <v>115</v>
      </c>
      <c r="AA154" s="27"/>
      <c r="AB154" s="27">
        <v>55</v>
      </c>
      <c r="AC154" s="231"/>
      <c r="AD154" s="272">
        <v>110</v>
      </c>
      <c r="AE154" s="27"/>
      <c r="AF154" s="27">
        <v>90</v>
      </c>
      <c r="AG154" s="29"/>
      <c r="AH154" s="324"/>
      <c r="AI154" s="324">
        <v>140</v>
      </c>
      <c r="AJ154" s="50">
        <v>78.5</v>
      </c>
      <c r="AK154" s="334"/>
      <c r="AL154" s="334"/>
      <c r="AM154" s="334"/>
      <c r="AN154" s="334"/>
      <c r="AO154" s="334"/>
      <c r="AP154" s="334"/>
      <c r="AQ154" s="27">
        <f t="shared" si="14"/>
        <v>0</v>
      </c>
      <c r="AR154" s="27">
        <f t="shared" si="16"/>
        <v>0</v>
      </c>
      <c r="AS154" s="27">
        <f t="shared" si="15"/>
        <v>0</v>
      </c>
      <c r="AT154" s="27">
        <f t="shared" si="17"/>
        <v>0</v>
      </c>
      <c r="AU154" s="64"/>
      <c r="AV154" s="56"/>
    </row>
    <row r="155" spans="1:48">
      <c r="A155" s="64"/>
      <c r="B155" s="49"/>
      <c r="C155" s="153"/>
      <c r="D155" s="64"/>
      <c r="E155" s="64"/>
      <c r="F155" s="27">
        <v>150</v>
      </c>
      <c r="G155" s="27"/>
      <c r="H155" s="27">
        <v>130</v>
      </c>
      <c r="I155" s="50"/>
      <c r="J155" s="27">
        <v>130</v>
      </c>
      <c r="K155" s="31"/>
      <c r="L155" s="27">
        <v>75</v>
      </c>
      <c r="M155" s="27"/>
      <c r="N155" s="27">
        <v>75</v>
      </c>
      <c r="O155" s="31"/>
      <c r="P155" s="27">
        <v>75</v>
      </c>
      <c r="Q155" s="27"/>
      <c r="R155" s="27">
        <v>185</v>
      </c>
      <c r="S155" s="27"/>
      <c r="T155" s="27">
        <v>150</v>
      </c>
      <c r="U155" s="31"/>
      <c r="V155" s="27">
        <v>0.95</v>
      </c>
      <c r="W155" s="27"/>
      <c r="X155" s="27">
        <v>0.8</v>
      </c>
      <c r="Y155" s="27"/>
      <c r="Z155" s="121">
        <v>115</v>
      </c>
      <c r="AA155" s="27"/>
      <c r="AB155" s="27">
        <v>55</v>
      </c>
      <c r="AC155" s="231"/>
      <c r="AD155" s="272">
        <v>110</v>
      </c>
      <c r="AE155" s="27"/>
      <c r="AF155" s="27">
        <v>90</v>
      </c>
      <c r="AG155" s="29"/>
      <c r="AH155" s="324"/>
      <c r="AI155" s="324">
        <v>140</v>
      </c>
      <c r="AJ155" s="50">
        <v>78.5</v>
      </c>
      <c r="AK155" s="334"/>
      <c r="AL155" s="334"/>
      <c r="AM155" s="334"/>
      <c r="AN155" s="334"/>
      <c r="AO155" s="334"/>
      <c r="AP155" s="334"/>
      <c r="AQ155" s="27">
        <f t="shared" si="14"/>
        <v>0</v>
      </c>
      <c r="AR155" s="27">
        <f t="shared" si="16"/>
        <v>0</v>
      </c>
      <c r="AS155" s="27">
        <f t="shared" si="15"/>
        <v>0</v>
      </c>
      <c r="AT155" s="27">
        <f t="shared" si="17"/>
        <v>0</v>
      </c>
      <c r="AU155" s="64"/>
      <c r="AV155" s="56"/>
    </row>
    <row r="156" spans="1:48">
      <c r="A156" s="64"/>
      <c r="B156" s="49"/>
      <c r="C156" s="153"/>
      <c r="D156" s="64"/>
      <c r="E156" s="64"/>
      <c r="F156" s="27">
        <v>150</v>
      </c>
      <c r="G156" s="27"/>
      <c r="H156" s="27">
        <v>130</v>
      </c>
      <c r="I156" s="50"/>
      <c r="J156" s="27">
        <v>130</v>
      </c>
      <c r="K156" s="31"/>
      <c r="L156" s="27">
        <v>75</v>
      </c>
      <c r="M156" s="27"/>
      <c r="N156" s="27">
        <v>75</v>
      </c>
      <c r="O156" s="31"/>
      <c r="P156" s="27">
        <v>75</v>
      </c>
      <c r="Q156" s="27"/>
      <c r="R156" s="27">
        <v>185</v>
      </c>
      <c r="S156" s="27"/>
      <c r="T156" s="27">
        <v>150</v>
      </c>
      <c r="U156" s="31"/>
      <c r="V156" s="27">
        <v>0.95</v>
      </c>
      <c r="W156" s="27"/>
      <c r="X156" s="27">
        <v>0.8</v>
      </c>
      <c r="Y156" s="27"/>
      <c r="Z156" s="121">
        <v>115</v>
      </c>
      <c r="AA156" s="27"/>
      <c r="AB156" s="27">
        <v>55</v>
      </c>
      <c r="AC156" s="231"/>
      <c r="AD156" s="272">
        <v>110</v>
      </c>
      <c r="AE156" s="27"/>
      <c r="AF156" s="27">
        <v>90</v>
      </c>
      <c r="AG156" s="29"/>
      <c r="AH156" s="324"/>
      <c r="AI156" s="324">
        <v>140</v>
      </c>
      <c r="AJ156" s="50">
        <v>78.5</v>
      </c>
      <c r="AK156" s="334"/>
      <c r="AL156" s="334"/>
      <c r="AM156" s="334"/>
      <c r="AN156" s="334"/>
      <c r="AO156" s="334"/>
      <c r="AP156" s="334"/>
      <c r="AQ156" s="27">
        <f t="shared" si="14"/>
        <v>0</v>
      </c>
      <c r="AR156" s="27">
        <f t="shared" si="16"/>
        <v>0</v>
      </c>
      <c r="AS156" s="27">
        <f t="shared" si="15"/>
        <v>0</v>
      </c>
      <c r="AT156" s="27">
        <f t="shared" si="17"/>
        <v>0</v>
      </c>
      <c r="AU156" s="64"/>
      <c r="AV156" s="56"/>
    </row>
    <row r="157" spans="1:48">
      <c r="A157" s="64"/>
      <c r="B157" s="49"/>
      <c r="C157" s="153"/>
      <c r="D157" s="64"/>
      <c r="E157" s="64"/>
      <c r="F157" s="27">
        <v>150</v>
      </c>
      <c r="G157" s="27"/>
      <c r="H157" s="27">
        <v>130</v>
      </c>
      <c r="I157" s="50"/>
      <c r="J157" s="27">
        <v>130</v>
      </c>
      <c r="K157" s="31"/>
      <c r="L157" s="27">
        <v>75</v>
      </c>
      <c r="M157" s="27"/>
      <c r="N157" s="27">
        <v>75</v>
      </c>
      <c r="O157" s="31"/>
      <c r="P157" s="27">
        <v>75</v>
      </c>
      <c r="Q157" s="27"/>
      <c r="R157" s="27">
        <v>185</v>
      </c>
      <c r="S157" s="27"/>
      <c r="T157" s="27">
        <v>150</v>
      </c>
      <c r="U157" s="31"/>
      <c r="V157" s="27">
        <v>0.95</v>
      </c>
      <c r="W157" s="27"/>
      <c r="X157" s="27">
        <v>0.8</v>
      </c>
      <c r="Y157" s="27"/>
      <c r="Z157" s="121">
        <v>115</v>
      </c>
      <c r="AA157" s="27"/>
      <c r="AB157" s="27">
        <v>55</v>
      </c>
      <c r="AC157" s="231"/>
      <c r="AD157" s="272">
        <v>110</v>
      </c>
      <c r="AE157" s="27"/>
      <c r="AF157" s="27">
        <v>90</v>
      </c>
      <c r="AG157" s="29"/>
      <c r="AH157" s="324"/>
      <c r="AI157" s="324">
        <v>140</v>
      </c>
      <c r="AJ157" s="50">
        <v>78.5</v>
      </c>
      <c r="AK157" s="334"/>
      <c r="AL157" s="334"/>
      <c r="AM157" s="334"/>
      <c r="AN157" s="334"/>
      <c r="AO157" s="334"/>
      <c r="AP157" s="334"/>
      <c r="AQ157" s="27">
        <f t="shared" si="14"/>
        <v>0</v>
      </c>
      <c r="AR157" s="27">
        <f t="shared" si="16"/>
        <v>0</v>
      </c>
      <c r="AS157" s="27">
        <f t="shared" si="15"/>
        <v>0</v>
      </c>
      <c r="AT157" s="27">
        <f t="shared" si="17"/>
        <v>0</v>
      </c>
      <c r="AU157" s="64"/>
      <c r="AV157" s="56"/>
    </row>
    <row r="158" spans="1:48">
      <c r="A158" s="64"/>
      <c r="B158" s="49"/>
      <c r="C158" s="153"/>
      <c r="D158" s="64"/>
      <c r="E158" s="64"/>
      <c r="F158" s="27">
        <v>150</v>
      </c>
      <c r="G158" s="27"/>
      <c r="H158" s="27">
        <v>130</v>
      </c>
      <c r="I158" s="50"/>
      <c r="J158" s="27">
        <v>130</v>
      </c>
      <c r="K158" s="31"/>
      <c r="L158" s="27">
        <v>75</v>
      </c>
      <c r="M158" s="27"/>
      <c r="N158" s="27">
        <v>75</v>
      </c>
      <c r="O158" s="31"/>
      <c r="P158" s="27">
        <v>75</v>
      </c>
      <c r="Q158" s="27"/>
      <c r="R158" s="27">
        <v>185</v>
      </c>
      <c r="S158" s="27"/>
      <c r="T158" s="27">
        <v>150</v>
      </c>
      <c r="U158" s="31"/>
      <c r="V158" s="27">
        <v>0.95</v>
      </c>
      <c r="W158" s="27"/>
      <c r="X158" s="27">
        <v>0.8</v>
      </c>
      <c r="Y158" s="27"/>
      <c r="Z158" s="121">
        <v>115</v>
      </c>
      <c r="AA158" s="27"/>
      <c r="AB158" s="27">
        <v>55</v>
      </c>
      <c r="AC158" s="231"/>
      <c r="AD158" s="272">
        <v>110</v>
      </c>
      <c r="AE158" s="27"/>
      <c r="AF158" s="27">
        <v>90</v>
      </c>
      <c r="AG158" s="29"/>
      <c r="AH158" s="324"/>
      <c r="AI158" s="324">
        <v>140</v>
      </c>
      <c r="AJ158" s="50">
        <v>78.5</v>
      </c>
      <c r="AK158" s="334"/>
      <c r="AL158" s="334"/>
      <c r="AM158" s="334"/>
      <c r="AN158" s="334"/>
      <c r="AO158" s="334"/>
      <c r="AP158" s="334"/>
      <c r="AQ158" s="27">
        <f t="shared" si="14"/>
        <v>0</v>
      </c>
      <c r="AR158" s="27">
        <f t="shared" si="16"/>
        <v>0</v>
      </c>
      <c r="AS158" s="27">
        <f t="shared" si="15"/>
        <v>0</v>
      </c>
      <c r="AT158" s="27">
        <f t="shared" si="17"/>
        <v>0</v>
      </c>
      <c r="AU158" s="64"/>
      <c r="AV158" s="56"/>
    </row>
    <row r="159" spans="1:48">
      <c r="A159" s="64"/>
      <c r="B159" s="49"/>
      <c r="C159" s="153"/>
      <c r="D159" s="64"/>
      <c r="E159" s="64"/>
      <c r="F159" s="27">
        <v>150</v>
      </c>
      <c r="G159" s="27"/>
      <c r="H159" s="27">
        <v>130</v>
      </c>
      <c r="I159" s="50"/>
      <c r="J159" s="27">
        <v>130</v>
      </c>
      <c r="K159" s="31"/>
      <c r="L159" s="27">
        <v>75</v>
      </c>
      <c r="M159" s="27"/>
      <c r="N159" s="27">
        <v>75</v>
      </c>
      <c r="O159" s="31"/>
      <c r="P159" s="27">
        <v>75</v>
      </c>
      <c r="Q159" s="27"/>
      <c r="R159" s="27">
        <v>185</v>
      </c>
      <c r="S159" s="27"/>
      <c r="T159" s="27">
        <v>150</v>
      </c>
      <c r="U159" s="31"/>
      <c r="V159" s="27">
        <v>0.95</v>
      </c>
      <c r="W159" s="27"/>
      <c r="X159" s="27">
        <v>0.8</v>
      </c>
      <c r="Y159" s="27"/>
      <c r="Z159" s="121">
        <v>115</v>
      </c>
      <c r="AA159" s="27"/>
      <c r="AB159" s="27">
        <v>55</v>
      </c>
      <c r="AC159" s="231"/>
      <c r="AD159" s="272">
        <v>110</v>
      </c>
      <c r="AE159" s="27"/>
      <c r="AF159" s="27">
        <v>90</v>
      </c>
      <c r="AG159" s="29"/>
      <c r="AH159" s="324"/>
      <c r="AI159" s="324">
        <v>140</v>
      </c>
      <c r="AJ159" s="50">
        <v>78.5</v>
      </c>
      <c r="AK159" s="334"/>
      <c r="AL159" s="334"/>
      <c r="AM159" s="334"/>
      <c r="AN159" s="334"/>
      <c r="AO159" s="334"/>
      <c r="AP159" s="334"/>
      <c r="AQ159" s="27">
        <f t="shared" si="14"/>
        <v>0</v>
      </c>
      <c r="AR159" s="27">
        <f t="shared" si="16"/>
        <v>0</v>
      </c>
      <c r="AS159" s="27">
        <f t="shared" si="15"/>
        <v>0</v>
      </c>
      <c r="AT159" s="27">
        <f t="shared" si="17"/>
        <v>0</v>
      </c>
      <c r="AU159" s="64"/>
      <c r="AV159" s="56"/>
    </row>
    <row r="160" spans="1:48">
      <c r="A160" s="64"/>
      <c r="B160" s="49"/>
      <c r="C160" s="153"/>
      <c r="D160" s="64"/>
      <c r="E160" s="64"/>
      <c r="F160" s="27">
        <v>150</v>
      </c>
      <c r="G160" s="27"/>
      <c r="H160" s="27">
        <v>130</v>
      </c>
      <c r="I160" s="50"/>
      <c r="J160" s="27">
        <v>130</v>
      </c>
      <c r="K160" s="31"/>
      <c r="L160" s="27">
        <v>75</v>
      </c>
      <c r="M160" s="27"/>
      <c r="N160" s="27">
        <v>75</v>
      </c>
      <c r="O160" s="31"/>
      <c r="P160" s="27">
        <v>75</v>
      </c>
      <c r="Q160" s="27"/>
      <c r="R160" s="27">
        <v>185</v>
      </c>
      <c r="S160" s="27"/>
      <c r="T160" s="27">
        <v>150</v>
      </c>
      <c r="U160" s="31"/>
      <c r="V160" s="27">
        <v>0.95</v>
      </c>
      <c r="W160" s="27"/>
      <c r="X160" s="27">
        <v>0.8</v>
      </c>
      <c r="Y160" s="27"/>
      <c r="Z160" s="121">
        <v>115</v>
      </c>
      <c r="AA160" s="27"/>
      <c r="AB160" s="27">
        <v>55</v>
      </c>
      <c r="AC160" s="231"/>
      <c r="AD160" s="272">
        <v>110</v>
      </c>
      <c r="AE160" s="27"/>
      <c r="AF160" s="27">
        <v>90</v>
      </c>
      <c r="AG160" s="29"/>
      <c r="AH160" s="324"/>
      <c r="AI160" s="324">
        <v>140</v>
      </c>
      <c r="AJ160" s="50">
        <v>78.5</v>
      </c>
      <c r="AK160" s="334"/>
      <c r="AL160" s="334"/>
      <c r="AM160" s="334"/>
      <c r="AN160" s="334"/>
      <c r="AO160" s="334"/>
      <c r="AP160" s="334"/>
      <c r="AQ160" s="27">
        <f t="shared" si="14"/>
        <v>0</v>
      </c>
      <c r="AR160" s="27">
        <f t="shared" si="16"/>
        <v>0</v>
      </c>
      <c r="AS160" s="27">
        <f t="shared" si="15"/>
        <v>0</v>
      </c>
      <c r="AT160" s="27">
        <f t="shared" si="17"/>
        <v>0</v>
      </c>
      <c r="AU160" s="64"/>
      <c r="AV160" s="56"/>
    </row>
    <row r="161" spans="1:48">
      <c r="A161" s="64"/>
      <c r="B161" s="49"/>
      <c r="C161" s="153"/>
      <c r="D161" s="64"/>
      <c r="E161" s="64"/>
      <c r="F161" s="27">
        <v>150</v>
      </c>
      <c r="G161" s="27"/>
      <c r="H161" s="27">
        <v>130</v>
      </c>
      <c r="I161" s="50"/>
      <c r="J161" s="27">
        <v>130</v>
      </c>
      <c r="K161" s="31"/>
      <c r="L161" s="27">
        <v>75</v>
      </c>
      <c r="M161" s="27"/>
      <c r="N161" s="27">
        <v>75</v>
      </c>
      <c r="O161" s="31"/>
      <c r="P161" s="27">
        <v>75</v>
      </c>
      <c r="Q161" s="27"/>
      <c r="R161" s="27">
        <v>185</v>
      </c>
      <c r="S161" s="27"/>
      <c r="T161" s="27">
        <v>150</v>
      </c>
      <c r="U161" s="31"/>
      <c r="V161" s="27">
        <v>0.95</v>
      </c>
      <c r="W161" s="27"/>
      <c r="X161" s="27">
        <v>0.8</v>
      </c>
      <c r="Y161" s="27"/>
      <c r="Z161" s="121">
        <v>115</v>
      </c>
      <c r="AA161" s="27"/>
      <c r="AB161" s="27">
        <v>55</v>
      </c>
      <c r="AC161" s="231"/>
      <c r="AD161" s="272">
        <v>110</v>
      </c>
      <c r="AE161" s="27"/>
      <c r="AF161" s="27">
        <v>90</v>
      </c>
      <c r="AG161" s="29"/>
      <c r="AH161" s="324"/>
      <c r="AI161" s="324">
        <v>140</v>
      </c>
      <c r="AJ161" s="50">
        <v>78.5</v>
      </c>
      <c r="AK161" s="334"/>
      <c r="AL161" s="334"/>
      <c r="AM161" s="334"/>
      <c r="AN161" s="334"/>
      <c r="AO161" s="334"/>
      <c r="AP161" s="334"/>
      <c r="AQ161" s="27">
        <f t="shared" si="14"/>
        <v>0</v>
      </c>
      <c r="AR161" s="27">
        <f t="shared" si="16"/>
        <v>0</v>
      </c>
      <c r="AS161" s="27">
        <f t="shared" si="15"/>
        <v>0</v>
      </c>
      <c r="AT161" s="27">
        <f t="shared" si="17"/>
        <v>0</v>
      </c>
      <c r="AU161" s="64"/>
      <c r="AV161" s="56"/>
    </row>
    <row r="162" spans="1:48">
      <c r="A162" s="64"/>
      <c r="B162" s="49"/>
      <c r="C162" s="153"/>
      <c r="D162" s="64"/>
      <c r="E162" s="64"/>
      <c r="F162" s="27">
        <v>150</v>
      </c>
      <c r="G162" s="27"/>
      <c r="H162" s="27">
        <v>130</v>
      </c>
      <c r="I162" s="50"/>
      <c r="J162" s="27">
        <v>130</v>
      </c>
      <c r="K162" s="31"/>
      <c r="L162" s="27">
        <v>75</v>
      </c>
      <c r="M162" s="27"/>
      <c r="N162" s="27">
        <v>75</v>
      </c>
      <c r="O162" s="31"/>
      <c r="P162" s="27">
        <v>75</v>
      </c>
      <c r="Q162" s="27"/>
      <c r="R162" s="27">
        <v>185</v>
      </c>
      <c r="S162" s="27"/>
      <c r="T162" s="27">
        <v>150</v>
      </c>
      <c r="U162" s="31"/>
      <c r="V162" s="27">
        <v>0.95</v>
      </c>
      <c r="W162" s="27"/>
      <c r="X162" s="27">
        <v>0.8</v>
      </c>
      <c r="Y162" s="27"/>
      <c r="Z162" s="121">
        <v>115</v>
      </c>
      <c r="AA162" s="27"/>
      <c r="AB162" s="27">
        <v>55</v>
      </c>
      <c r="AC162" s="231"/>
      <c r="AD162" s="272">
        <v>110</v>
      </c>
      <c r="AE162" s="27"/>
      <c r="AF162" s="27">
        <v>90</v>
      </c>
      <c r="AG162" s="29"/>
      <c r="AH162" s="324"/>
      <c r="AI162" s="324">
        <v>140</v>
      </c>
      <c r="AJ162" s="50">
        <v>78.5</v>
      </c>
      <c r="AK162" s="334"/>
      <c r="AL162" s="334"/>
      <c r="AM162" s="334"/>
      <c r="AN162" s="334"/>
      <c r="AO162" s="334"/>
      <c r="AP162" s="334"/>
      <c r="AQ162" s="27">
        <f t="shared" si="14"/>
        <v>0</v>
      </c>
      <c r="AR162" s="27">
        <f t="shared" si="16"/>
        <v>0</v>
      </c>
      <c r="AS162" s="27">
        <f t="shared" si="15"/>
        <v>0</v>
      </c>
      <c r="AT162" s="27">
        <f t="shared" si="17"/>
        <v>0</v>
      </c>
      <c r="AU162" s="64"/>
      <c r="AV162" s="56"/>
    </row>
    <row r="163" spans="1:48">
      <c r="A163" s="64"/>
      <c r="B163" s="49"/>
      <c r="C163" s="153"/>
      <c r="D163" s="64"/>
      <c r="E163" s="64"/>
      <c r="F163" s="27">
        <v>150</v>
      </c>
      <c r="G163" s="27"/>
      <c r="H163" s="27">
        <v>130</v>
      </c>
      <c r="I163" s="50"/>
      <c r="J163" s="27">
        <v>130</v>
      </c>
      <c r="K163" s="31"/>
      <c r="L163" s="27">
        <v>75</v>
      </c>
      <c r="M163" s="27"/>
      <c r="N163" s="27">
        <v>75</v>
      </c>
      <c r="O163" s="31"/>
      <c r="P163" s="27">
        <v>75</v>
      </c>
      <c r="Q163" s="27"/>
      <c r="R163" s="27">
        <v>185</v>
      </c>
      <c r="S163" s="27"/>
      <c r="T163" s="27">
        <v>150</v>
      </c>
      <c r="U163" s="31"/>
      <c r="V163" s="27">
        <v>0.95</v>
      </c>
      <c r="W163" s="27"/>
      <c r="X163" s="27">
        <v>0.8</v>
      </c>
      <c r="Y163" s="27"/>
      <c r="Z163" s="121">
        <v>115</v>
      </c>
      <c r="AA163" s="27"/>
      <c r="AB163" s="27">
        <v>55</v>
      </c>
      <c r="AC163" s="231"/>
      <c r="AD163" s="272">
        <v>110</v>
      </c>
      <c r="AE163" s="27"/>
      <c r="AF163" s="27">
        <v>90</v>
      </c>
      <c r="AG163" s="29"/>
      <c r="AH163" s="324"/>
      <c r="AI163" s="324">
        <v>140</v>
      </c>
      <c r="AJ163" s="50">
        <v>78.5</v>
      </c>
      <c r="AK163" s="334"/>
      <c r="AL163" s="334"/>
      <c r="AM163" s="334"/>
      <c r="AN163" s="334"/>
      <c r="AO163" s="334"/>
      <c r="AP163" s="334"/>
      <c r="AQ163" s="27">
        <f t="shared" si="14"/>
        <v>0</v>
      </c>
      <c r="AR163" s="27">
        <f t="shared" si="16"/>
        <v>0</v>
      </c>
      <c r="AS163" s="27">
        <f t="shared" si="15"/>
        <v>0</v>
      </c>
      <c r="AT163" s="27">
        <f t="shared" si="17"/>
        <v>0</v>
      </c>
      <c r="AU163" s="64"/>
      <c r="AV163" s="56"/>
    </row>
    <row r="164" spans="1:48">
      <c r="A164" s="64"/>
      <c r="B164" s="49"/>
      <c r="C164" s="153"/>
      <c r="D164" s="64"/>
      <c r="E164" s="64"/>
      <c r="F164" s="27">
        <v>150</v>
      </c>
      <c r="G164" s="27"/>
      <c r="H164" s="27">
        <v>130</v>
      </c>
      <c r="I164" s="50"/>
      <c r="J164" s="27">
        <v>130</v>
      </c>
      <c r="K164" s="31"/>
      <c r="L164" s="27">
        <v>75</v>
      </c>
      <c r="M164" s="27"/>
      <c r="N164" s="27">
        <v>75</v>
      </c>
      <c r="O164" s="31"/>
      <c r="P164" s="27">
        <v>75</v>
      </c>
      <c r="Q164" s="27"/>
      <c r="R164" s="27">
        <v>185</v>
      </c>
      <c r="S164" s="27"/>
      <c r="T164" s="27">
        <v>150</v>
      </c>
      <c r="U164" s="31"/>
      <c r="V164" s="27">
        <v>0.95</v>
      </c>
      <c r="W164" s="27"/>
      <c r="X164" s="27">
        <v>0.8</v>
      </c>
      <c r="Y164" s="27"/>
      <c r="Z164" s="121">
        <v>115</v>
      </c>
      <c r="AA164" s="27"/>
      <c r="AB164" s="27">
        <v>55</v>
      </c>
      <c r="AC164" s="231"/>
      <c r="AD164" s="272">
        <v>110</v>
      </c>
      <c r="AE164" s="27"/>
      <c r="AF164" s="27">
        <v>90</v>
      </c>
      <c r="AG164" s="29"/>
      <c r="AH164" s="324"/>
      <c r="AI164" s="324">
        <v>140</v>
      </c>
      <c r="AJ164" s="50">
        <v>78.5</v>
      </c>
      <c r="AK164" s="334"/>
      <c r="AL164" s="334"/>
      <c r="AM164" s="334"/>
      <c r="AN164" s="334"/>
      <c r="AO164" s="334"/>
      <c r="AP164" s="334"/>
      <c r="AQ164" s="27">
        <f t="shared" si="14"/>
        <v>0</v>
      </c>
      <c r="AR164" s="27">
        <f t="shared" si="16"/>
        <v>0</v>
      </c>
      <c r="AS164" s="27">
        <f t="shared" si="15"/>
        <v>0</v>
      </c>
      <c r="AT164" s="27">
        <f t="shared" si="17"/>
        <v>0</v>
      </c>
      <c r="AU164" s="64"/>
      <c r="AV164" s="56"/>
    </row>
    <row r="165" spans="1:48">
      <c r="A165" s="64"/>
      <c r="B165" s="49"/>
      <c r="C165" s="153"/>
      <c r="D165" s="64"/>
      <c r="E165" s="64"/>
      <c r="F165" s="27">
        <v>150</v>
      </c>
      <c r="G165" s="27"/>
      <c r="H165" s="27">
        <v>130</v>
      </c>
      <c r="I165" s="50"/>
      <c r="J165" s="27">
        <v>130</v>
      </c>
      <c r="K165" s="31"/>
      <c r="L165" s="27">
        <v>75</v>
      </c>
      <c r="M165" s="27"/>
      <c r="N165" s="27">
        <v>75</v>
      </c>
      <c r="O165" s="31"/>
      <c r="P165" s="27">
        <v>75</v>
      </c>
      <c r="Q165" s="27"/>
      <c r="R165" s="27">
        <v>185</v>
      </c>
      <c r="S165" s="27"/>
      <c r="T165" s="27">
        <v>150</v>
      </c>
      <c r="U165" s="31"/>
      <c r="V165" s="27">
        <v>0.95</v>
      </c>
      <c r="W165" s="27"/>
      <c r="X165" s="27">
        <v>0.8</v>
      </c>
      <c r="Y165" s="27"/>
      <c r="Z165" s="121">
        <v>115</v>
      </c>
      <c r="AA165" s="27"/>
      <c r="AB165" s="27">
        <v>55</v>
      </c>
      <c r="AC165" s="231"/>
      <c r="AD165" s="272">
        <v>110</v>
      </c>
      <c r="AE165" s="27"/>
      <c r="AF165" s="27">
        <v>90</v>
      </c>
      <c r="AG165" s="29"/>
      <c r="AH165" s="324"/>
      <c r="AI165" s="324">
        <v>140</v>
      </c>
      <c r="AJ165" s="50">
        <v>78.5</v>
      </c>
      <c r="AK165" s="334"/>
      <c r="AL165" s="334"/>
      <c r="AM165" s="334"/>
      <c r="AN165" s="334"/>
      <c r="AO165" s="334"/>
      <c r="AP165" s="334"/>
      <c r="AQ165" s="27">
        <f t="shared" si="14"/>
        <v>0</v>
      </c>
      <c r="AR165" s="27">
        <f t="shared" si="16"/>
        <v>0</v>
      </c>
      <c r="AS165" s="27">
        <f t="shared" si="15"/>
        <v>0</v>
      </c>
      <c r="AT165" s="27">
        <f t="shared" si="17"/>
        <v>0</v>
      </c>
      <c r="AU165" s="64"/>
      <c r="AV165" s="56"/>
    </row>
    <row r="166" spans="1:48">
      <c r="A166" s="64"/>
      <c r="B166" s="49"/>
      <c r="C166" s="153"/>
      <c r="D166" s="64"/>
      <c r="E166" s="64"/>
      <c r="F166" s="27">
        <v>150</v>
      </c>
      <c r="G166" s="27"/>
      <c r="H166" s="27">
        <v>130</v>
      </c>
      <c r="I166" s="50"/>
      <c r="J166" s="27">
        <v>130</v>
      </c>
      <c r="K166" s="31"/>
      <c r="L166" s="27">
        <v>75</v>
      </c>
      <c r="M166" s="27"/>
      <c r="N166" s="27">
        <v>75</v>
      </c>
      <c r="O166" s="31"/>
      <c r="P166" s="27">
        <v>75</v>
      </c>
      <c r="Q166" s="27"/>
      <c r="R166" s="27">
        <v>185</v>
      </c>
      <c r="S166" s="27"/>
      <c r="T166" s="27">
        <v>150</v>
      </c>
      <c r="U166" s="31"/>
      <c r="V166" s="27">
        <v>0.95</v>
      </c>
      <c r="W166" s="27"/>
      <c r="X166" s="27">
        <v>0.8</v>
      </c>
      <c r="Y166" s="27"/>
      <c r="Z166" s="121">
        <v>115</v>
      </c>
      <c r="AA166" s="27"/>
      <c r="AB166" s="27">
        <v>55</v>
      </c>
      <c r="AC166" s="231"/>
      <c r="AD166" s="272">
        <v>110</v>
      </c>
      <c r="AE166" s="27"/>
      <c r="AF166" s="27">
        <v>90</v>
      </c>
      <c r="AG166" s="29"/>
      <c r="AH166" s="324"/>
      <c r="AI166" s="324">
        <v>140</v>
      </c>
      <c r="AJ166" s="50">
        <v>78.5</v>
      </c>
      <c r="AK166" s="334"/>
      <c r="AL166" s="334"/>
      <c r="AM166" s="334"/>
      <c r="AN166" s="334"/>
      <c r="AO166" s="334"/>
      <c r="AP166" s="334"/>
      <c r="AQ166" s="27">
        <f t="shared" si="14"/>
        <v>0</v>
      </c>
      <c r="AR166" s="27">
        <f t="shared" si="16"/>
        <v>0</v>
      </c>
      <c r="AS166" s="27">
        <f t="shared" si="15"/>
        <v>0</v>
      </c>
      <c r="AT166" s="27">
        <f t="shared" si="17"/>
        <v>0</v>
      </c>
      <c r="AU166" s="64"/>
      <c r="AV166" s="56"/>
    </row>
    <row r="167" spans="1:48">
      <c r="A167" s="64"/>
      <c r="B167" s="49"/>
      <c r="C167" s="153"/>
      <c r="D167" s="64"/>
      <c r="E167" s="64"/>
      <c r="F167" s="27">
        <v>150</v>
      </c>
      <c r="G167" s="27"/>
      <c r="H167" s="27">
        <v>130</v>
      </c>
      <c r="I167" s="50"/>
      <c r="J167" s="27">
        <v>130</v>
      </c>
      <c r="K167" s="31"/>
      <c r="L167" s="27">
        <v>75</v>
      </c>
      <c r="M167" s="27"/>
      <c r="N167" s="27">
        <v>75</v>
      </c>
      <c r="O167" s="31"/>
      <c r="P167" s="27">
        <v>75</v>
      </c>
      <c r="Q167" s="27"/>
      <c r="R167" s="27">
        <v>185</v>
      </c>
      <c r="S167" s="27"/>
      <c r="T167" s="27">
        <v>150</v>
      </c>
      <c r="U167" s="31"/>
      <c r="V167" s="27">
        <v>0.95</v>
      </c>
      <c r="W167" s="27"/>
      <c r="X167" s="27">
        <v>0.8</v>
      </c>
      <c r="Y167" s="27"/>
      <c r="Z167" s="121">
        <v>115</v>
      </c>
      <c r="AA167" s="27"/>
      <c r="AB167" s="27">
        <v>55</v>
      </c>
      <c r="AC167" s="231"/>
      <c r="AD167" s="272">
        <v>110</v>
      </c>
      <c r="AE167" s="27"/>
      <c r="AF167" s="27">
        <v>90</v>
      </c>
      <c r="AG167" s="29"/>
      <c r="AH167" s="324"/>
      <c r="AI167" s="324">
        <v>140</v>
      </c>
      <c r="AJ167" s="50">
        <v>78.5</v>
      </c>
      <c r="AK167" s="334"/>
      <c r="AL167" s="334"/>
      <c r="AM167" s="334"/>
      <c r="AN167" s="334"/>
      <c r="AO167" s="334"/>
      <c r="AP167" s="334"/>
      <c r="AQ167" s="27">
        <f t="shared" si="14"/>
        <v>0</v>
      </c>
      <c r="AR167" s="27">
        <f t="shared" si="16"/>
        <v>0</v>
      </c>
      <c r="AS167" s="27">
        <f t="shared" si="15"/>
        <v>0</v>
      </c>
      <c r="AT167" s="27">
        <f t="shared" si="17"/>
        <v>0</v>
      </c>
      <c r="AU167" s="64"/>
      <c r="AV167" s="56"/>
    </row>
    <row r="168" spans="1:48">
      <c r="A168" s="64"/>
      <c r="B168" s="49"/>
      <c r="C168" s="153"/>
      <c r="D168" s="64"/>
      <c r="E168" s="64"/>
      <c r="F168" s="27">
        <v>150</v>
      </c>
      <c r="G168" s="27"/>
      <c r="H168" s="27">
        <v>130</v>
      </c>
      <c r="I168" s="50"/>
      <c r="J168" s="27">
        <v>130</v>
      </c>
      <c r="K168" s="31"/>
      <c r="L168" s="27">
        <v>75</v>
      </c>
      <c r="M168" s="27"/>
      <c r="N168" s="27">
        <v>75</v>
      </c>
      <c r="O168" s="31"/>
      <c r="P168" s="27">
        <v>75</v>
      </c>
      <c r="Q168" s="27"/>
      <c r="R168" s="27">
        <v>185</v>
      </c>
      <c r="S168" s="27"/>
      <c r="T168" s="27">
        <v>150</v>
      </c>
      <c r="U168" s="31"/>
      <c r="V168" s="27">
        <v>0.95</v>
      </c>
      <c r="W168" s="27"/>
      <c r="X168" s="27">
        <v>0.8</v>
      </c>
      <c r="Y168" s="27"/>
      <c r="Z168" s="121">
        <v>115</v>
      </c>
      <c r="AA168" s="27"/>
      <c r="AB168" s="27">
        <v>55</v>
      </c>
      <c r="AC168" s="231"/>
      <c r="AD168" s="272">
        <v>110</v>
      </c>
      <c r="AE168" s="27"/>
      <c r="AF168" s="27">
        <v>90</v>
      </c>
      <c r="AG168" s="29"/>
      <c r="AH168" s="324"/>
      <c r="AI168" s="324">
        <v>140</v>
      </c>
      <c r="AJ168" s="50">
        <v>78.5</v>
      </c>
      <c r="AK168" s="334"/>
      <c r="AL168" s="334"/>
      <c r="AM168" s="334"/>
      <c r="AN168" s="334"/>
      <c r="AO168" s="334"/>
      <c r="AP168" s="334"/>
      <c r="AQ168" s="27">
        <f t="shared" si="14"/>
        <v>0</v>
      </c>
      <c r="AR168" s="27">
        <f t="shared" si="16"/>
        <v>0</v>
      </c>
      <c r="AS168" s="27">
        <f t="shared" si="15"/>
        <v>0</v>
      </c>
      <c r="AT168" s="27">
        <f t="shared" si="17"/>
        <v>0</v>
      </c>
      <c r="AU168" s="64"/>
      <c r="AV168" s="56"/>
    </row>
    <row r="169" spans="1:48">
      <c r="A169" s="64"/>
      <c r="B169" s="49"/>
      <c r="C169" s="153"/>
      <c r="D169" s="64"/>
      <c r="E169" s="64"/>
      <c r="F169" s="27">
        <v>150</v>
      </c>
      <c r="G169" s="27"/>
      <c r="H169" s="27">
        <v>130</v>
      </c>
      <c r="I169" s="50"/>
      <c r="J169" s="27">
        <v>130</v>
      </c>
      <c r="K169" s="31"/>
      <c r="L169" s="27">
        <v>75</v>
      </c>
      <c r="M169" s="27"/>
      <c r="N169" s="27">
        <v>75</v>
      </c>
      <c r="O169" s="31"/>
      <c r="P169" s="27">
        <v>75</v>
      </c>
      <c r="Q169" s="27"/>
      <c r="R169" s="27">
        <v>185</v>
      </c>
      <c r="S169" s="27"/>
      <c r="T169" s="27">
        <v>150</v>
      </c>
      <c r="U169" s="31"/>
      <c r="V169" s="27">
        <v>0.95</v>
      </c>
      <c r="W169" s="27"/>
      <c r="X169" s="27">
        <v>0.8</v>
      </c>
      <c r="Y169" s="27"/>
      <c r="Z169" s="121">
        <v>115</v>
      </c>
      <c r="AA169" s="27"/>
      <c r="AB169" s="27">
        <v>55</v>
      </c>
      <c r="AC169" s="231"/>
      <c r="AD169" s="272">
        <v>110</v>
      </c>
      <c r="AE169" s="27"/>
      <c r="AF169" s="27">
        <v>90</v>
      </c>
      <c r="AG169" s="29"/>
      <c r="AH169" s="324"/>
      <c r="AI169" s="324">
        <v>140</v>
      </c>
      <c r="AJ169" s="50">
        <v>78.5</v>
      </c>
      <c r="AK169" s="334"/>
      <c r="AL169" s="334"/>
      <c r="AM169" s="334"/>
      <c r="AN169" s="334"/>
      <c r="AO169" s="334"/>
      <c r="AP169" s="334"/>
      <c r="AQ169" s="27">
        <f t="shared" si="14"/>
        <v>0</v>
      </c>
      <c r="AR169" s="27">
        <f t="shared" si="16"/>
        <v>0</v>
      </c>
      <c r="AS169" s="27">
        <f t="shared" si="15"/>
        <v>0</v>
      </c>
      <c r="AT169" s="27">
        <f t="shared" si="17"/>
        <v>0</v>
      </c>
      <c r="AU169" s="64"/>
      <c r="AV169" s="56"/>
    </row>
    <row r="170" spans="1:48">
      <c r="A170" s="64"/>
      <c r="B170" s="49"/>
      <c r="C170" s="153"/>
      <c r="D170" s="64"/>
      <c r="E170" s="64"/>
      <c r="F170" s="27">
        <v>150</v>
      </c>
      <c r="G170" s="27"/>
      <c r="H170" s="27">
        <v>130</v>
      </c>
      <c r="I170" s="50"/>
      <c r="J170" s="27">
        <v>130</v>
      </c>
      <c r="K170" s="31"/>
      <c r="L170" s="27">
        <v>75</v>
      </c>
      <c r="M170" s="27"/>
      <c r="N170" s="27">
        <v>75</v>
      </c>
      <c r="O170" s="31"/>
      <c r="P170" s="27">
        <v>75</v>
      </c>
      <c r="Q170" s="27"/>
      <c r="R170" s="27">
        <v>185</v>
      </c>
      <c r="S170" s="27"/>
      <c r="T170" s="27">
        <v>150</v>
      </c>
      <c r="U170" s="31"/>
      <c r="V170" s="27">
        <v>0.95</v>
      </c>
      <c r="W170" s="27"/>
      <c r="X170" s="27">
        <v>0.8</v>
      </c>
      <c r="Y170" s="27"/>
      <c r="Z170" s="121">
        <v>115</v>
      </c>
      <c r="AA170" s="27"/>
      <c r="AB170" s="27">
        <v>55</v>
      </c>
      <c r="AC170" s="231"/>
      <c r="AD170" s="272">
        <v>110</v>
      </c>
      <c r="AE170" s="27"/>
      <c r="AF170" s="27">
        <v>90</v>
      </c>
      <c r="AG170" s="29"/>
      <c r="AH170" s="324"/>
      <c r="AI170" s="324">
        <v>140</v>
      </c>
      <c r="AJ170" s="50">
        <v>78.5</v>
      </c>
      <c r="AK170" s="334"/>
      <c r="AL170" s="334"/>
      <c r="AM170" s="334"/>
      <c r="AN170" s="334"/>
      <c r="AO170" s="334"/>
      <c r="AP170" s="334"/>
      <c r="AQ170" s="27">
        <f t="shared" si="14"/>
        <v>0</v>
      </c>
      <c r="AR170" s="27">
        <f t="shared" si="16"/>
        <v>0</v>
      </c>
      <c r="AS170" s="27">
        <f t="shared" si="15"/>
        <v>0</v>
      </c>
      <c r="AT170" s="27">
        <f t="shared" si="17"/>
        <v>0</v>
      </c>
      <c r="AU170" s="64"/>
      <c r="AV170" s="56"/>
    </row>
    <row r="171" spans="1:48">
      <c r="A171" s="64"/>
      <c r="B171" s="49"/>
      <c r="C171" s="153"/>
      <c r="D171" s="64"/>
      <c r="E171" s="64"/>
      <c r="F171" s="27">
        <v>150</v>
      </c>
      <c r="G171" s="27"/>
      <c r="H171" s="27">
        <v>130</v>
      </c>
      <c r="I171" s="50"/>
      <c r="J171" s="27">
        <v>130</v>
      </c>
      <c r="K171" s="31"/>
      <c r="L171" s="27">
        <v>75</v>
      </c>
      <c r="M171" s="27"/>
      <c r="N171" s="27">
        <v>75</v>
      </c>
      <c r="O171" s="31"/>
      <c r="P171" s="27">
        <v>75</v>
      </c>
      <c r="Q171" s="27"/>
      <c r="R171" s="27">
        <v>185</v>
      </c>
      <c r="S171" s="27"/>
      <c r="T171" s="27">
        <v>150</v>
      </c>
      <c r="U171" s="31"/>
      <c r="V171" s="27">
        <v>0.95</v>
      </c>
      <c r="W171" s="27"/>
      <c r="X171" s="27">
        <v>0.8</v>
      </c>
      <c r="Y171" s="27"/>
      <c r="Z171" s="121">
        <v>115</v>
      </c>
      <c r="AA171" s="27"/>
      <c r="AB171" s="27">
        <v>55</v>
      </c>
      <c r="AC171" s="231"/>
      <c r="AD171" s="272">
        <v>110</v>
      </c>
      <c r="AE171" s="27"/>
      <c r="AF171" s="27">
        <v>90</v>
      </c>
      <c r="AG171" s="29"/>
      <c r="AH171" s="324"/>
      <c r="AI171" s="324">
        <v>140</v>
      </c>
      <c r="AJ171" s="50">
        <v>78.5</v>
      </c>
      <c r="AK171" s="334"/>
      <c r="AL171" s="334"/>
      <c r="AM171" s="334"/>
      <c r="AN171" s="334"/>
      <c r="AO171" s="334"/>
      <c r="AP171" s="334"/>
      <c r="AQ171" s="27">
        <f t="shared" si="14"/>
        <v>0</v>
      </c>
      <c r="AR171" s="27">
        <f t="shared" si="16"/>
        <v>0</v>
      </c>
      <c r="AS171" s="27">
        <f t="shared" si="15"/>
        <v>0</v>
      </c>
      <c r="AT171" s="27">
        <f t="shared" si="17"/>
        <v>0</v>
      </c>
      <c r="AU171" s="64"/>
      <c r="AV171" s="56"/>
    </row>
    <row r="172" spans="1:48">
      <c r="A172" s="64"/>
      <c r="B172" s="49"/>
      <c r="C172" s="153"/>
      <c r="D172" s="64"/>
      <c r="E172" s="64"/>
      <c r="F172" s="27">
        <v>150</v>
      </c>
      <c r="G172" s="27"/>
      <c r="H172" s="27">
        <v>130</v>
      </c>
      <c r="I172" s="50"/>
      <c r="J172" s="27">
        <v>130</v>
      </c>
      <c r="K172" s="31"/>
      <c r="L172" s="27">
        <v>75</v>
      </c>
      <c r="M172" s="27"/>
      <c r="N172" s="27">
        <v>75</v>
      </c>
      <c r="O172" s="31"/>
      <c r="P172" s="27">
        <v>75</v>
      </c>
      <c r="Q172" s="27"/>
      <c r="R172" s="27">
        <v>185</v>
      </c>
      <c r="S172" s="27"/>
      <c r="T172" s="27">
        <v>150</v>
      </c>
      <c r="U172" s="31"/>
      <c r="V172" s="27">
        <v>0.95</v>
      </c>
      <c r="W172" s="27"/>
      <c r="X172" s="27">
        <v>0.8</v>
      </c>
      <c r="Y172" s="27"/>
      <c r="Z172" s="121">
        <v>115</v>
      </c>
      <c r="AA172" s="27"/>
      <c r="AB172" s="27">
        <v>55</v>
      </c>
      <c r="AC172" s="231"/>
      <c r="AD172" s="272">
        <v>110</v>
      </c>
      <c r="AE172" s="27"/>
      <c r="AF172" s="27">
        <v>90</v>
      </c>
      <c r="AG172" s="29"/>
      <c r="AH172" s="324"/>
      <c r="AI172" s="324">
        <v>140</v>
      </c>
      <c r="AJ172" s="50">
        <v>78.5</v>
      </c>
      <c r="AK172" s="334"/>
      <c r="AL172" s="334"/>
      <c r="AM172" s="334"/>
      <c r="AN172" s="334"/>
      <c r="AO172" s="334"/>
      <c r="AP172" s="334"/>
      <c r="AQ172" s="27">
        <f t="shared" si="14"/>
        <v>0</v>
      </c>
      <c r="AR172" s="27">
        <f t="shared" si="16"/>
        <v>0</v>
      </c>
      <c r="AS172" s="27">
        <f t="shared" si="15"/>
        <v>0</v>
      </c>
      <c r="AT172" s="27">
        <f t="shared" si="17"/>
        <v>0</v>
      </c>
      <c r="AU172" s="64"/>
      <c r="AV172" s="56"/>
    </row>
    <row r="173" spans="1:48">
      <c r="A173" s="64"/>
      <c r="B173" s="49"/>
      <c r="C173" s="153"/>
      <c r="D173" s="64"/>
      <c r="E173" s="64"/>
      <c r="F173" s="27">
        <v>150</v>
      </c>
      <c r="G173" s="27"/>
      <c r="H173" s="27">
        <v>130</v>
      </c>
      <c r="I173" s="50"/>
      <c r="J173" s="27">
        <v>130</v>
      </c>
      <c r="K173" s="31"/>
      <c r="L173" s="27">
        <v>75</v>
      </c>
      <c r="M173" s="27"/>
      <c r="N173" s="27">
        <v>75</v>
      </c>
      <c r="O173" s="31"/>
      <c r="P173" s="27">
        <v>75</v>
      </c>
      <c r="Q173" s="27"/>
      <c r="R173" s="27">
        <v>185</v>
      </c>
      <c r="S173" s="27"/>
      <c r="T173" s="27">
        <v>150</v>
      </c>
      <c r="U173" s="31"/>
      <c r="V173" s="27">
        <v>0.95</v>
      </c>
      <c r="W173" s="27"/>
      <c r="X173" s="27">
        <v>0.8</v>
      </c>
      <c r="Y173" s="27"/>
      <c r="Z173" s="121">
        <v>115</v>
      </c>
      <c r="AA173" s="27"/>
      <c r="AB173" s="27">
        <v>55</v>
      </c>
      <c r="AC173" s="231"/>
      <c r="AD173" s="272">
        <v>110</v>
      </c>
      <c r="AE173" s="27"/>
      <c r="AF173" s="27">
        <v>90</v>
      </c>
      <c r="AG173" s="29"/>
      <c r="AH173" s="324"/>
      <c r="AI173" s="324">
        <v>140</v>
      </c>
      <c r="AJ173" s="50">
        <v>78.5</v>
      </c>
      <c r="AK173" s="334"/>
      <c r="AL173" s="334"/>
      <c r="AM173" s="334"/>
      <c r="AN173" s="334"/>
      <c r="AO173" s="334"/>
      <c r="AP173" s="334"/>
      <c r="AQ173" s="27">
        <f t="shared" si="14"/>
        <v>0</v>
      </c>
      <c r="AR173" s="27">
        <f t="shared" si="16"/>
        <v>0</v>
      </c>
      <c r="AS173" s="27">
        <f t="shared" si="15"/>
        <v>0</v>
      </c>
      <c r="AT173" s="27">
        <f t="shared" si="17"/>
        <v>0</v>
      </c>
      <c r="AU173" s="64"/>
      <c r="AV173" s="56"/>
    </row>
    <row r="174" spans="1:48">
      <c r="A174" s="64"/>
      <c r="B174" s="49"/>
      <c r="C174" s="153"/>
      <c r="D174" s="64"/>
      <c r="E174" s="64"/>
      <c r="F174" s="27">
        <v>150</v>
      </c>
      <c r="G174" s="27"/>
      <c r="H174" s="27">
        <v>130</v>
      </c>
      <c r="I174" s="50"/>
      <c r="J174" s="27">
        <v>130</v>
      </c>
      <c r="K174" s="31"/>
      <c r="L174" s="27">
        <v>75</v>
      </c>
      <c r="M174" s="27"/>
      <c r="N174" s="27">
        <v>75</v>
      </c>
      <c r="O174" s="31"/>
      <c r="P174" s="27">
        <v>75</v>
      </c>
      <c r="Q174" s="27"/>
      <c r="R174" s="27">
        <v>185</v>
      </c>
      <c r="S174" s="27"/>
      <c r="T174" s="27">
        <v>150</v>
      </c>
      <c r="U174" s="31"/>
      <c r="V174" s="27">
        <v>0.95</v>
      </c>
      <c r="W174" s="27"/>
      <c r="X174" s="27">
        <v>0.8</v>
      </c>
      <c r="Y174" s="27"/>
      <c r="Z174" s="121">
        <v>115</v>
      </c>
      <c r="AA174" s="27"/>
      <c r="AB174" s="27">
        <v>55</v>
      </c>
      <c r="AC174" s="231"/>
      <c r="AD174" s="272">
        <v>110</v>
      </c>
      <c r="AE174" s="27"/>
      <c r="AF174" s="27">
        <v>90</v>
      </c>
      <c r="AG174" s="29"/>
      <c r="AH174" s="324"/>
      <c r="AI174" s="324">
        <v>140</v>
      </c>
      <c r="AJ174" s="50">
        <v>78.5</v>
      </c>
      <c r="AK174" s="334"/>
      <c r="AL174" s="334"/>
      <c r="AM174" s="334"/>
      <c r="AN174" s="334"/>
      <c r="AO174" s="334"/>
      <c r="AP174" s="334"/>
      <c r="AQ174" s="27">
        <f t="shared" si="14"/>
        <v>0</v>
      </c>
      <c r="AR174" s="27">
        <f t="shared" si="16"/>
        <v>0</v>
      </c>
      <c r="AS174" s="27">
        <f t="shared" si="15"/>
        <v>0</v>
      </c>
      <c r="AT174" s="27">
        <f t="shared" si="17"/>
        <v>0</v>
      </c>
      <c r="AU174" s="64"/>
      <c r="AV174" s="56"/>
    </row>
    <row r="175" spans="1:48">
      <c r="A175" s="64"/>
      <c r="B175" s="49"/>
      <c r="C175" s="153"/>
      <c r="D175" s="64"/>
      <c r="E175" s="64"/>
      <c r="F175" s="27">
        <v>150</v>
      </c>
      <c r="G175" s="27"/>
      <c r="H175" s="27">
        <v>130</v>
      </c>
      <c r="I175" s="50"/>
      <c r="J175" s="27">
        <v>130</v>
      </c>
      <c r="K175" s="31"/>
      <c r="L175" s="27">
        <v>75</v>
      </c>
      <c r="M175" s="27"/>
      <c r="N175" s="27">
        <v>75</v>
      </c>
      <c r="O175" s="31"/>
      <c r="P175" s="27">
        <v>75</v>
      </c>
      <c r="Q175" s="27"/>
      <c r="R175" s="27">
        <v>185</v>
      </c>
      <c r="S175" s="27"/>
      <c r="T175" s="27">
        <v>150</v>
      </c>
      <c r="U175" s="31"/>
      <c r="V175" s="27">
        <v>0.95</v>
      </c>
      <c r="W175" s="27"/>
      <c r="X175" s="27">
        <v>0.8</v>
      </c>
      <c r="Y175" s="27"/>
      <c r="Z175" s="121">
        <v>115</v>
      </c>
      <c r="AA175" s="27"/>
      <c r="AB175" s="27">
        <v>55</v>
      </c>
      <c r="AC175" s="231"/>
      <c r="AD175" s="272">
        <v>110</v>
      </c>
      <c r="AE175" s="27"/>
      <c r="AF175" s="27">
        <v>90</v>
      </c>
      <c r="AG175" s="29"/>
      <c r="AH175" s="324"/>
      <c r="AI175" s="324">
        <v>140</v>
      </c>
      <c r="AJ175" s="50">
        <v>78.5</v>
      </c>
      <c r="AK175" s="334"/>
      <c r="AL175" s="334"/>
      <c r="AM175" s="334"/>
      <c r="AN175" s="334"/>
      <c r="AO175" s="334"/>
      <c r="AP175" s="334"/>
      <c r="AQ175" s="27">
        <f t="shared" si="14"/>
        <v>0</v>
      </c>
      <c r="AR175" s="27">
        <f t="shared" si="16"/>
        <v>0</v>
      </c>
      <c r="AS175" s="27">
        <f t="shared" si="15"/>
        <v>0</v>
      </c>
      <c r="AT175" s="27">
        <f t="shared" si="17"/>
        <v>0</v>
      </c>
      <c r="AU175" s="64"/>
      <c r="AV175" s="56"/>
    </row>
    <row r="176" spans="1:48">
      <c r="A176" s="64"/>
      <c r="B176" s="49"/>
      <c r="C176" s="153"/>
      <c r="D176" s="64"/>
      <c r="E176" s="64"/>
      <c r="F176" s="27">
        <v>150</v>
      </c>
      <c r="G176" s="27"/>
      <c r="H176" s="27">
        <v>130</v>
      </c>
      <c r="I176" s="50"/>
      <c r="J176" s="27">
        <v>130</v>
      </c>
      <c r="K176" s="31"/>
      <c r="L176" s="27">
        <v>75</v>
      </c>
      <c r="M176" s="27"/>
      <c r="N176" s="27">
        <v>75</v>
      </c>
      <c r="O176" s="31"/>
      <c r="P176" s="27">
        <v>75</v>
      </c>
      <c r="Q176" s="27"/>
      <c r="R176" s="27">
        <v>185</v>
      </c>
      <c r="S176" s="27"/>
      <c r="T176" s="27">
        <v>150</v>
      </c>
      <c r="U176" s="31"/>
      <c r="V176" s="27">
        <v>0.95</v>
      </c>
      <c r="W176" s="27"/>
      <c r="X176" s="27">
        <v>0.8</v>
      </c>
      <c r="Y176" s="27"/>
      <c r="Z176" s="121">
        <v>115</v>
      </c>
      <c r="AA176" s="27"/>
      <c r="AB176" s="27">
        <v>55</v>
      </c>
      <c r="AC176" s="231"/>
      <c r="AD176" s="272">
        <v>110</v>
      </c>
      <c r="AE176" s="27"/>
      <c r="AF176" s="27">
        <v>90</v>
      </c>
      <c r="AG176" s="29"/>
      <c r="AH176" s="324"/>
      <c r="AI176" s="324">
        <v>140</v>
      </c>
      <c r="AJ176" s="50">
        <v>78.5</v>
      </c>
      <c r="AK176" s="334"/>
      <c r="AL176" s="334"/>
      <c r="AM176" s="334"/>
      <c r="AN176" s="334"/>
      <c r="AO176" s="334"/>
      <c r="AP176" s="334"/>
      <c r="AQ176" s="27">
        <f t="shared" si="14"/>
        <v>0</v>
      </c>
      <c r="AR176" s="27">
        <f t="shared" si="16"/>
        <v>0</v>
      </c>
      <c r="AS176" s="27">
        <f t="shared" si="15"/>
        <v>0</v>
      </c>
      <c r="AT176" s="27">
        <f t="shared" si="17"/>
        <v>0</v>
      </c>
      <c r="AU176" s="64"/>
      <c r="AV176" s="56"/>
    </row>
    <row r="177" spans="1:48">
      <c r="A177" s="64"/>
      <c r="B177" s="49"/>
      <c r="C177" s="153"/>
      <c r="D177" s="64"/>
      <c r="E177" s="64"/>
      <c r="F177" s="27">
        <v>150</v>
      </c>
      <c r="G177" s="27"/>
      <c r="H177" s="27">
        <v>130</v>
      </c>
      <c r="I177" s="50"/>
      <c r="J177" s="27">
        <v>130</v>
      </c>
      <c r="K177" s="31"/>
      <c r="L177" s="27">
        <v>75</v>
      </c>
      <c r="M177" s="27"/>
      <c r="N177" s="27">
        <v>75</v>
      </c>
      <c r="O177" s="31"/>
      <c r="P177" s="27">
        <v>75</v>
      </c>
      <c r="Q177" s="27"/>
      <c r="R177" s="27">
        <v>185</v>
      </c>
      <c r="S177" s="27"/>
      <c r="T177" s="27">
        <v>150</v>
      </c>
      <c r="U177" s="31"/>
      <c r="V177" s="27">
        <v>0.95</v>
      </c>
      <c r="W177" s="27"/>
      <c r="X177" s="27">
        <v>0.8</v>
      </c>
      <c r="Y177" s="27"/>
      <c r="Z177" s="121">
        <v>115</v>
      </c>
      <c r="AA177" s="27"/>
      <c r="AB177" s="27">
        <v>55</v>
      </c>
      <c r="AC177" s="231"/>
      <c r="AD177" s="272">
        <v>110</v>
      </c>
      <c r="AE177" s="27"/>
      <c r="AF177" s="27">
        <v>90</v>
      </c>
      <c r="AG177" s="29"/>
      <c r="AH177" s="324"/>
      <c r="AI177" s="324">
        <v>140</v>
      </c>
      <c r="AJ177" s="50">
        <v>78.5</v>
      </c>
      <c r="AK177" s="334"/>
      <c r="AL177" s="334"/>
      <c r="AM177" s="334"/>
      <c r="AN177" s="334"/>
      <c r="AO177" s="334"/>
      <c r="AP177" s="334"/>
      <c r="AQ177" s="27">
        <f t="shared" si="14"/>
        <v>0</v>
      </c>
      <c r="AR177" s="27">
        <f t="shared" si="16"/>
        <v>0</v>
      </c>
      <c r="AS177" s="27">
        <f t="shared" si="15"/>
        <v>0</v>
      </c>
      <c r="AT177" s="27">
        <f t="shared" si="17"/>
        <v>0</v>
      </c>
      <c r="AU177" s="64"/>
      <c r="AV177" s="56"/>
    </row>
    <row r="178" spans="1:48">
      <c r="A178" s="64"/>
      <c r="B178" s="49"/>
      <c r="C178" s="153"/>
      <c r="D178" s="64"/>
      <c r="E178" s="64"/>
      <c r="F178" s="27">
        <v>150</v>
      </c>
      <c r="G178" s="27"/>
      <c r="H178" s="27">
        <v>130</v>
      </c>
      <c r="I178" s="50"/>
      <c r="J178" s="27">
        <v>130</v>
      </c>
      <c r="K178" s="31"/>
      <c r="L178" s="27">
        <v>75</v>
      </c>
      <c r="M178" s="27"/>
      <c r="N178" s="27">
        <v>75</v>
      </c>
      <c r="O178" s="31"/>
      <c r="P178" s="27">
        <v>75</v>
      </c>
      <c r="Q178" s="27"/>
      <c r="R178" s="27">
        <v>185</v>
      </c>
      <c r="S178" s="27"/>
      <c r="T178" s="27">
        <v>150</v>
      </c>
      <c r="U178" s="31"/>
      <c r="V178" s="27">
        <v>0.95</v>
      </c>
      <c r="W178" s="27"/>
      <c r="X178" s="27">
        <v>0.8</v>
      </c>
      <c r="Y178" s="27"/>
      <c r="Z178" s="121">
        <v>115</v>
      </c>
      <c r="AA178" s="27"/>
      <c r="AB178" s="27">
        <v>55</v>
      </c>
      <c r="AC178" s="231"/>
      <c r="AD178" s="272">
        <v>110</v>
      </c>
      <c r="AE178" s="27"/>
      <c r="AF178" s="27">
        <v>90</v>
      </c>
      <c r="AG178" s="29"/>
      <c r="AH178" s="324"/>
      <c r="AI178" s="324">
        <v>140</v>
      </c>
      <c r="AJ178" s="50">
        <v>78.5</v>
      </c>
      <c r="AK178" s="334"/>
      <c r="AL178" s="334"/>
      <c r="AM178" s="334"/>
      <c r="AN178" s="334"/>
      <c r="AO178" s="334"/>
      <c r="AP178" s="334"/>
      <c r="AQ178" s="27">
        <f t="shared" si="14"/>
        <v>0</v>
      </c>
      <c r="AR178" s="27">
        <f t="shared" ref="AR178:AR209" si="18">(E178*F178)+(G178*H178)+(I178*J178)+(K178*L178)+(M178*N178)+(Q178*R178)+(S178*T178)+AQ178+(AG178*AJ178)+(O178*P178)+(Y178*Z178)+(AA178*AB178)+(AE178*AF178)+(AC178*AD178)</f>
        <v>0</v>
      </c>
      <c r="AS178" s="27">
        <f t="shared" si="15"/>
        <v>0</v>
      </c>
      <c r="AT178" s="27">
        <f t="shared" si="17"/>
        <v>0</v>
      </c>
      <c r="AU178" s="64"/>
      <c r="AV178" s="56"/>
    </row>
    <row r="179" spans="1:48">
      <c r="A179" s="64"/>
      <c r="B179" s="49"/>
      <c r="C179" s="153"/>
      <c r="D179" s="64"/>
      <c r="E179" s="64"/>
      <c r="F179" s="27">
        <v>150</v>
      </c>
      <c r="G179" s="27"/>
      <c r="H179" s="27">
        <v>130</v>
      </c>
      <c r="I179" s="50"/>
      <c r="J179" s="27">
        <v>130</v>
      </c>
      <c r="K179" s="31"/>
      <c r="L179" s="27">
        <v>75</v>
      </c>
      <c r="M179" s="27"/>
      <c r="N179" s="27">
        <v>75</v>
      </c>
      <c r="O179" s="31"/>
      <c r="P179" s="27">
        <v>75</v>
      </c>
      <c r="Q179" s="27"/>
      <c r="R179" s="27">
        <v>185</v>
      </c>
      <c r="S179" s="27"/>
      <c r="T179" s="27">
        <v>150</v>
      </c>
      <c r="U179" s="31"/>
      <c r="V179" s="27">
        <v>0.95</v>
      </c>
      <c r="W179" s="27"/>
      <c r="X179" s="27">
        <v>0.8</v>
      </c>
      <c r="Y179" s="27"/>
      <c r="Z179" s="121">
        <v>115</v>
      </c>
      <c r="AA179" s="27"/>
      <c r="AB179" s="27">
        <v>55</v>
      </c>
      <c r="AC179" s="231"/>
      <c r="AD179" s="272">
        <v>110</v>
      </c>
      <c r="AE179" s="27"/>
      <c r="AF179" s="27">
        <v>90</v>
      </c>
      <c r="AG179" s="29"/>
      <c r="AH179" s="324"/>
      <c r="AI179" s="324">
        <v>140</v>
      </c>
      <c r="AJ179" s="50">
        <v>78.5</v>
      </c>
      <c r="AK179" s="334"/>
      <c r="AL179" s="334"/>
      <c r="AM179" s="334"/>
      <c r="AN179" s="334"/>
      <c r="AO179" s="334"/>
      <c r="AP179" s="334"/>
      <c r="AQ179" s="27">
        <f t="shared" si="14"/>
        <v>0</v>
      </c>
      <c r="AR179" s="27">
        <f t="shared" si="18"/>
        <v>0</v>
      </c>
      <c r="AS179" s="27">
        <f t="shared" si="15"/>
        <v>0</v>
      </c>
      <c r="AT179" s="27">
        <f t="shared" si="17"/>
        <v>0</v>
      </c>
      <c r="AU179" s="64"/>
      <c r="AV179" s="56"/>
    </row>
    <row r="180" spans="1:48">
      <c r="A180" s="64"/>
      <c r="B180" s="49"/>
      <c r="C180" s="153"/>
      <c r="D180" s="64"/>
      <c r="E180" s="64"/>
      <c r="F180" s="27">
        <v>150</v>
      </c>
      <c r="G180" s="27"/>
      <c r="H180" s="27">
        <v>130</v>
      </c>
      <c r="I180" s="50"/>
      <c r="J180" s="27">
        <v>130</v>
      </c>
      <c r="K180" s="31"/>
      <c r="L180" s="27">
        <v>75</v>
      </c>
      <c r="M180" s="27"/>
      <c r="N180" s="27">
        <v>75</v>
      </c>
      <c r="O180" s="31"/>
      <c r="P180" s="27">
        <v>75</v>
      </c>
      <c r="Q180" s="27"/>
      <c r="R180" s="27">
        <v>185</v>
      </c>
      <c r="S180" s="27"/>
      <c r="T180" s="27">
        <v>150</v>
      </c>
      <c r="U180" s="31"/>
      <c r="V180" s="27">
        <v>0.95</v>
      </c>
      <c r="W180" s="27"/>
      <c r="X180" s="27">
        <v>0.8</v>
      </c>
      <c r="Y180" s="27"/>
      <c r="Z180" s="121">
        <v>115</v>
      </c>
      <c r="AA180" s="27"/>
      <c r="AB180" s="27">
        <v>55</v>
      </c>
      <c r="AC180" s="231"/>
      <c r="AD180" s="272">
        <v>110</v>
      </c>
      <c r="AE180" s="27"/>
      <c r="AF180" s="27">
        <v>90</v>
      </c>
      <c r="AG180" s="29"/>
      <c r="AH180" s="324"/>
      <c r="AI180" s="324">
        <v>140</v>
      </c>
      <c r="AJ180" s="50">
        <v>78.5</v>
      </c>
      <c r="AK180" s="334"/>
      <c r="AL180" s="334"/>
      <c r="AM180" s="334"/>
      <c r="AN180" s="334"/>
      <c r="AO180" s="334"/>
      <c r="AP180" s="334"/>
      <c r="AQ180" s="27">
        <f t="shared" si="14"/>
        <v>0</v>
      </c>
      <c r="AR180" s="27">
        <f t="shared" si="18"/>
        <v>0</v>
      </c>
      <c r="AS180" s="27">
        <f t="shared" si="15"/>
        <v>0</v>
      </c>
      <c r="AT180" s="27">
        <f t="shared" si="17"/>
        <v>0</v>
      </c>
      <c r="AU180" s="64"/>
      <c r="AV180" s="56"/>
    </row>
    <row r="181" spans="1:48">
      <c r="A181" s="64"/>
      <c r="B181" s="49"/>
      <c r="C181" s="153"/>
      <c r="D181" s="64"/>
      <c r="E181" s="64"/>
      <c r="F181" s="27">
        <v>150</v>
      </c>
      <c r="G181" s="27"/>
      <c r="H181" s="27">
        <v>130</v>
      </c>
      <c r="I181" s="50"/>
      <c r="J181" s="27">
        <v>130</v>
      </c>
      <c r="K181" s="31"/>
      <c r="L181" s="27">
        <v>75</v>
      </c>
      <c r="M181" s="27"/>
      <c r="N181" s="27">
        <v>75</v>
      </c>
      <c r="O181" s="31"/>
      <c r="P181" s="27">
        <v>75</v>
      </c>
      <c r="Q181" s="27"/>
      <c r="R181" s="27">
        <v>185</v>
      </c>
      <c r="S181" s="27"/>
      <c r="T181" s="27">
        <v>150</v>
      </c>
      <c r="U181" s="31"/>
      <c r="V181" s="27">
        <v>0.95</v>
      </c>
      <c r="W181" s="27"/>
      <c r="X181" s="27">
        <v>0.8</v>
      </c>
      <c r="Y181" s="27"/>
      <c r="Z181" s="121">
        <v>115</v>
      </c>
      <c r="AA181" s="27"/>
      <c r="AB181" s="27">
        <v>55</v>
      </c>
      <c r="AC181" s="231"/>
      <c r="AD181" s="272">
        <v>110</v>
      </c>
      <c r="AE181" s="27"/>
      <c r="AF181" s="27">
        <v>90</v>
      </c>
      <c r="AG181" s="29"/>
      <c r="AH181" s="324"/>
      <c r="AI181" s="324">
        <v>140</v>
      </c>
      <c r="AJ181" s="50">
        <v>78.5</v>
      </c>
      <c r="AK181" s="334"/>
      <c r="AL181" s="334"/>
      <c r="AM181" s="334"/>
      <c r="AN181" s="334"/>
      <c r="AO181" s="334"/>
      <c r="AP181" s="334"/>
      <c r="AQ181" s="27">
        <f t="shared" si="14"/>
        <v>0</v>
      </c>
      <c r="AR181" s="27">
        <f t="shared" si="18"/>
        <v>0</v>
      </c>
      <c r="AS181" s="27">
        <f t="shared" si="15"/>
        <v>0</v>
      </c>
      <c r="AT181" s="27">
        <f t="shared" si="17"/>
        <v>0</v>
      </c>
      <c r="AU181" s="64"/>
      <c r="AV181" s="56"/>
    </row>
    <row r="182" spans="1:48">
      <c r="A182" s="64"/>
      <c r="B182" s="49"/>
      <c r="C182" s="153"/>
      <c r="D182" s="64"/>
      <c r="E182" s="64"/>
      <c r="F182" s="27">
        <v>150</v>
      </c>
      <c r="G182" s="27"/>
      <c r="H182" s="27">
        <v>130</v>
      </c>
      <c r="I182" s="50"/>
      <c r="J182" s="27">
        <v>130</v>
      </c>
      <c r="K182" s="31"/>
      <c r="L182" s="27">
        <v>75</v>
      </c>
      <c r="M182" s="27"/>
      <c r="N182" s="27">
        <v>75</v>
      </c>
      <c r="O182" s="31"/>
      <c r="P182" s="27">
        <v>75</v>
      </c>
      <c r="Q182" s="27"/>
      <c r="R182" s="27">
        <v>185</v>
      </c>
      <c r="S182" s="27"/>
      <c r="T182" s="27">
        <v>150</v>
      </c>
      <c r="U182" s="31"/>
      <c r="V182" s="27">
        <v>0.95</v>
      </c>
      <c r="W182" s="27"/>
      <c r="X182" s="27">
        <v>0.8</v>
      </c>
      <c r="Y182" s="27"/>
      <c r="Z182" s="121">
        <v>115</v>
      </c>
      <c r="AA182" s="27"/>
      <c r="AB182" s="27">
        <v>55</v>
      </c>
      <c r="AC182" s="231"/>
      <c r="AD182" s="272">
        <v>110</v>
      </c>
      <c r="AE182" s="27"/>
      <c r="AF182" s="27">
        <v>90</v>
      </c>
      <c r="AG182" s="29"/>
      <c r="AH182" s="324"/>
      <c r="AI182" s="324">
        <v>140</v>
      </c>
      <c r="AJ182" s="50">
        <v>78.5</v>
      </c>
      <c r="AK182" s="334"/>
      <c r="AL182" s="334"/>
      <c r="AM182" s="334"/>
      <c r="AN182" s="334"/>
      <c r="AO182" s="334"/>
      <c r="AP182" s="334"/>
      <c r="AQ182" s="27">
        <f t="shared" si="14"/>
        <v>0</v>
      </c>
      <c r="AR182" s="27">
        <f t="shared" si="18"/>
        <v>0</v>
      </c>
      <c r="AS182" s="27">
        <f t="shared" si="15"/>
        <v>0</v>
      </c>
      <c r="AT182" s="27">
        <f t="shared" si="17"/>
        <v>0</v>
      </c>
      <c r="AU182" s="64"/>
      <c r="AV182" s="56"/>
    </row>
    <row r="183" spans="1:48">
      <c r="A183" s="64"/>
      <c r="B183" s="49"/>
      <c r="C183" s="153"/>
      <c r="D183" s="64"/>
      <c r="E183" s="64"/>
      <c r="F183" s="27">
        <v>150</v>
      </c>
      <c r="G183" s="27"/>
      <c r="H183" s="27">
        <v>130</v>
      </c>
      <c r="I183" s="50"/>
      <c r="J183" s="27">
        <v>130</v>
      </c>
      <c r="K183" s="31"/>
      <c r="L183" s="27">
        <v>75</v>
      </c>
      <c r="M183" s="27"/>
      <c r="N183" s="27">
        <v>75</v>
      </c>
      <c r="O183" s="31"/>
      <c r="P183" s="27">
        <v>75</v>
      </c>
      <c r="Q183" s="27"/>
      <c r="R183" s="27">
        <v>185</v>
      </c>
      <c r="S183" s="27"/>
      <c r="T183" s="27">
        <v>150</v>
      </c>
      <c r="U183" s="31"/>
      <c r="V183" s="27">
        <v>0.95</v>
      </c>
      <c r="W183" s="27"/>
      <c r="X183" s="27">
        <v>0.8</v>
      </c>
      <c r="Y183" s="27"/>
      <c r="Z183" s="121">
        <v>115</v>
      </c>
      <c r="AA183" s="27"/>
      <c r="AB183" s="27">
        <v>55</v>
      </c>
      <c r="AC183" s="231"/>
      <c r="AD183" s="272">
        <v>110</v>
      </c>
      <c r="AE183" s="27"/>
      <c r="AF183" s="27">
        <v>90</v>
      </c>
      <c r="AG183" s="29"/>
      <c r="AH183" s="324"/>
      <c r="AI183" s="324">
        <v>140</v>
      </c>
      <c r="AJ183" s="50">
        <v>78.5</v>
      </c>
      <c r="AK183" s="334"/>
      <c r="AL183" s="334"/>
      <c r="AM183" s="334"/>
      <c r="AN183" s="334"/>
      <c r="AO183" s="334"/>
      <c r="AP183" s="334"/>
      <c r="AQ183" s="27">
        <f t="shared" si="14"/>
        <v>0</v>
      </c>
      <c r="AR183" s="27">
        <f t="shared" si="18"/>
        <v>0</v>
      </c>
      <c r="AS183" s="27">
        <f t="shared" si="15"/>
        <v>0</v>
      </c>
      <c r="AT183" s="27">
        <f t="shared" si="17"/>
        <v>0</v>
      </c>
      <c r="AU183" s="64"/>
      <c r="AV183" s="56"/>
    </row>
    <row r="184" spans="1:48">
      <c r="A184" s="64"/>
      <c r="B184" s="49"/>
      <c r="C184" s="153"/>
      <c r="D184" s="64"/>
      <c r="E184" s="64"/>
      <c r="F184" s="27">
        <v>150</v>
      </c>
      <c r="G184" s="27"/>
      <c r="H184" s="27">
        <v>130</v>
      </c>
      <c r="I184" s="50"/>
      <c r="J184" s="27">
        <v>130</v>
      </c>
      <c r="K184" s="31"/>
      <c r="L184" s="27">
        <v>75</v>
      </c>
      <c r="M184" s="27"/>
      <c r="N184" s="27">
        <v>75</v>
      </c>
      <c r="O184" s="31"/>
      <c r="P184" s="27">
        <v>75</v>
      </c>
      <c r="Q184" s="27"/>
      <c r="R184" s="27">
        <v>185</v>
      </c>
      <c r="S184" s="27"/>
      <c r="T184" s="27">
        <v>150</v>
      </c>
      <c r="U184" s="31"/>
      <c r="V184" s="27">
        <v>0.95</v>
      </c>
      <c r="W184" s="27"/>
      <c r="X184" s="27">
        <v>0.8</v>
      </c>
      <c r="Y184" s="27"/>
      <c r="Z184" s="121">
        <v>115</v>
      </c>
      <c r="AA184" s="27"/>
      <c r="AB184" s="27">
        <v>55</v>
      </c>
      <c r="AC184" s="231"/>
      <c r="AD184" s="272">
        <v>110</v>
      </c>
      <c r="AE184" s="27"/>
      <c r="AF184" s="27">
        <v>90</v>
      </c>
      <c r="AG184" s="29"/>
      <c r="AH184" s="324"/>
      <c r="AI184" s="324">
        <v>140</v>
      </c>
      <c r="AJ184" s="50">
        <v>78.5</v>
      </c>
      <c r="AK184" s="334"/>
      <c r="AL184" s="334"/>
      <c r="AM184" s="334"/>
      <c r="AN184" s="334"/>
      <c r="AO184" s="334"/>
      <c r="AP184" s="334"/>
      <c r="AQ184" s="27">
        <f t="shared" si="14"/>
        <v>0</v>
      </c>
      <c r="AR184" s="27">
        <f t="shared" si="18"/>
        <v>0</v>
      </c>
      <c r="AS184" s="27">
        <f t="shared" si="15"/>
        <v>0</v>
      </c>
      <c r="AT184" s="27">
        <f t="shared" si="17"/>
        <v>0</v>
      </c>
      <c r="AU184" s="64"/>
      <c r="AV184" s="56"/>
    </row>
    <row r="185" spans="1:48">
      <c r="A185" s="64"/>
      <c r="B185" s="49"/>
      <c r="C185" s="153"/>
      <c r="D185" s="64"/>
      <c r="E185" s="64"/>
      <c r="F185" s="27">
        <v>150</v>
      </c>
      <c r="G185" s="27"/>
      <c r="H185" s="27">
        <v>130</v>
      </c>
      <c r="I185" s="50"/>
      <c r="J185" s="27">
        <v>130</v>
      </c>
      <c r="K185" s="31"/>
      <c r="L185" s="27">
        <v>75</v>
      </c>
      <c r="M185" s="27"/>
      <c r="N185" s="27">
        <v>75</v>
      </c>
      <c r="O185" s="31"/>
      <c r="P185" s="27">
        <v>75</v>
      </c>
      <c r="Q185" s="27"/>
      <c r="R185" s="27">
        <v>185</v>
      </c>
      <c r="S185" s="27"/>
      <c r="T185" s="27">
        <v>150</v>
      </c>
      <c r="U185" s="31"/>
      <c r="V185" s="27">
        <v>0.95</v>
      </c>
      <c r="W185" s="27"/>
      <c r="X185" s="27">
        <v>0.8</v>
      </c>
      <c r="Y185" s="27"/>
      <c r="Z185" s="121">
        <v>115</v>
      </c>
      <c r="AA185" s="27"/>
      <c r="AB185" s="27">
        <v>55</v>
      </c>
      <c r="AC185" s="231"/>
      <c r="AD185" s="272">
        <v>110</v>
      </c>
      <c r="AE185" s="27"/>
      <c r="AF185" s="27">
        <v>90</v>
      </c>
      <c r="AG185" s="29"/>
      <c r="AH185" s="324"/>
      <c r="AI185" s="324">
        <v>140</v>
      </c>
      <c r="AJ185" s="50">
        <v>78.5</v>
      </c>
      <c r="AK185" s="334"/>
      <c r="AL185" s="334"/>
      <c r="AM185" s="334"/>
      <c r="AN185" s="334"/>
      <c r="AO185" s="334"/>
      <c r="AP185" s="334"/>
      <c r="AQ185" s="27">
        <f t="shared" si="14"/>
        <v>0</v>
      </c>
      <c r="AR185" s="27">
        <f t="shared" si="18"/>
        <v>0</v>
      </c>
      <c r="AS185" s="27">
        <f t="shared" si="15"/>
        <v>0</v>
      </c>
      <c r="AT185" s="27">
        <f t="shared" si="17"/>
        <v>0</v>
      </c>
      <c r="AU185" s="64"/>
      <c r="AV185" s="56"/>
    </row>
    <row r="186" spans="1:48">
      <c r="A186" s="64"/>
      <c r="B186" s="49"/>
      <c r="C186" s="153"/>
      <c r="D186" s="64"/>
      <c r="E186" s="64"/>
      <c r="F186" s="27">
        <v>150</v>
      </c>
      <c r="G186" s="27"/>
      <c r="H186" s="27">
        <v>130</v>
      </c>
      <c r="I186" s="50"/>
      <c r="J186" s="27">
        <v>130</v>
      </c>
      <c r="K186" s="31"/>
      <c r="L186" s="27">
        <v>75</v>
      </c>
      <c r="M186" s="27"/>
      <c r="N186" s="27">
        <v>75</v>
      </c>
      <c r="O186" s="31"/>
      <c r="P186" s="27">
        <v>75</v>
      </c>
      <c r="Q186" s="27"/>
      <c r="R186" s="27">
        <v>185</v>
      </c>
      <c r="S186" s="27"/>
      <c r="T186" s="27">
        <v>150</v>
      </c>
      <c r="U186" s="31"/>
      <c r="V186" s="27">
        <v>0.95</v>
      </c>
      <c r="W186" s="27"/>
      <c r="X186" s="27">
        <v>0.8</v>
      </c>
      <c r="Y186" s="27"/>
      <c r="Z186" s="121">
        <v>115</v>
      </c>
      <c r="AA186" s="27"/>
      <c r="AB186" s="27">
        <v>55</v>
      </c>
      <c r="AC186" s="231"/>
      <c r="AD186" s="272">
        <v>110</v>
      </c>
      <c r="AE186" s="27"/>
      <c r="AF186" s="27">
        <v>90</v>
      </c>
      <c r="AG186" s="29"/>
      <c r="AH186" s="324"/>
      <c r="AI186" s="324">
        <v>140</v>
      </c>
      <c r="AJ186" s="50">
        <v>78.5</v>
      </c>
      <c r="AK186" s="334"/>
      <c r="AL186" s="334"/>
      <c r="AM186" s="334"/>
      <c r="AN186" s="334"/>
      <c r="AO186" s="334"/>
      <c r="AP186" s="334"/>
      <c r="AQ186" s="27">
        <f t="shared" si="14"/>
        <v>0</v>
      </c>
      <c r="AR186" s="27">
        <f t="shared" si="18"/>
        <v>0</v>
      </c>
      <c r="AS186" s="27">
        <f t="shared" si="15"/>
        <v>0</v>
      </c>
      <c r="AT186" s="27">
        <f t="shared" si="17"/>
        <v>0</v>
      </c>
      <c r="AU186" s="64"/>
      <c r="AV186" s="56"/>
    </row>
    <row r="187" spans="1:48">
      <c r="A187" s="64"/>
      <c r="B187" s="49"/>
      <c r="C187" s="153"/>
      <c r="D187" s="64"/>
      <c r="E187" s="64"/>
      <c r="F187" s="27">
        <v>150</v>
      </c>
      <c r="G187" s="27"/>
      <c r="H187" s="27">
        <v>130</v>
      </c>
      <c r="I187" s="50"/>
      <c r="J187" s="27">
        <v>130</v>
      </c>
      <c r="K187" s="31"/>
      <c r="L187" s="27">
        <v>75</v>
      </c>
      <c r="M187" s="27"/>
      <c r="N187" s="27">
        <v>75</v>
      </c>
      <c r="O187" s="31"/>
      <c r="P187" s="27">
        <v>75</v>
      </c>
      <c r="Q187" s="27"/>
      <c r="R187" s="27">
        <v>185</v>
      </c>
      <c r="S187" s="27"/>
      <c r="T187" s="27">
        <v>150</v>
      </c>
      <c r="U187" s="31"/>
      <c r="V187" s="27">
        <v>0.95</v>
      </c>
      <c r="W187" s="27"/>
      <c r="X187" s="27">
        <v>0.8</v>
      </c>
      <c r="Y187" s="27"/>
      <c r="Z187" s="121">
        <v>115</v>
      </c>
      <c r="AA187" s="27"/>
      <c r="AB187" s="27">
        <v>55</v>
      </c>
      <c r="AC187" s="231"/>
      <c r="AD187" s="272">
        <v>110</v>
      </c>
      <c r="AE187" s="27"/>
      <c r="AF187" s="27">
        <v>90</v>
      </c>
      <c r="AG187" s="29"/>
      <c r="AH187" s="324"/>
      <c r="AI187" s="324">
        <v>140</v>
      </c>
      <c r="AJ187" s="50">
        <v>78.5</v>
      </c>
      <c r="AK187" s="334"/>
      <c r="AL187" s="334"/>
      <c r="AM187" s="334"/>
      <c r="AN187" s="334"/>
      <c r="AO187" s="334"/>
      <c r="AP187" s="334"/>
      <c r="AQ187" s="27">
        <f t="shared" si="14"/>
        <v>0</v>
      </c>
      <c r="AR187" s="27">
        <f t="shared" si="18"/>
        <v>0</v>
      </c>
      <c r="AS187" s="27">
        <f t="shared" si="15"/>
        <v>0</v>
      </c>
      <c r="AT187" s="27">
        <f t="shared" si="17"/>
        <v>0</v>
      </c>
      <c r="AU187" s="64"/>
      <c r="AV187" s="56"/>
    </row>
    <row r="188" spans="1:48">
      <c r="A188" s="64"/>
      <c r="B188" s="49"/>
      <c r="C188" s="153"/>
      <c r="D188" s="64"/>
      <c r="E188" s="64"/>
      <c r="F188" s="27">
        <v>150</v>
      </c>
      <c r="G188" s="27"/>
      <c r="H188" s="27">
        <v>130</v>
      </c>
      <c r="I188" s="50"/>
      <c r="J188" s="27">
        <v>130</v>
      </c>
      <c r="K188" s="31"/>
      <c r="L188" s="27">
        <v>75</v>
      </c>
      <c r="M188" s="27"/>
      <c r="N188" s="27">
        <v>75</v>
      </c>
      <c r="O188" s="31"/>
      <c r="P188" s="27">
        <v>75</v>
      </c>
      <c r="Q188" s="27"/>
      <c r="R188" s="27">
        <v>185</v>
      </c>
      <c r="S188" s="27"/>
      <c r="T188" s="27">
        <v>150</v>
      </c>
      <c r="U188" s="31"/>
      <c r="V188" s="27">
        <v>0.95</v>
      </c>
      <c r="W188" s="27"/>
      <c r="X188" s="27">
        <v>0.8</v>
      </c>
      <c r="Y188" s="27"/>
      <c r="Z188" s="121">
        <v>115</v>
      </c>
      <c r="AA188" s="27"/>
      <c r="AB188" s="27">
        <v>55</v>
      </c>
      <c r="AC188" s="231"/>
      <c r="AD188" s="272">
        <v>110</v>
      </c>
      <c r="AE188" s="27"/>
      <c r="AF188" s="27">
        <v>90</v>
      </c>
      <c r="AG188" s="29"/>
      <c r="AH188" s="324"/>
      <c r="AI188" s="324">
        <v>140</v>
      </c>
      <c r="AJ188" s="50">
        <v>78.5</v>
      </c>
      <c r="AK188" s="334"/>
      <c r="AL188" s="334"/>
      <c r="AM188" s="334"/>
      <c r="AN188" s="334"/>
      <c r="AO188" s="334"/>
      <c r="AP188" s="334"/>
      <c r="AQ188" s="27">
        <f t="shared" si="14"/>
        <v>0</v>
      </c>
      <c r="AR188" s="27">
        <f t="shared" si="18"/>
        <v>0</v>
      </c>
      <c r="AS188" s="27">
        <f t="shared" si="15"/>
        <v>0</v>
      </c>
      <c r="AT188" s="27">
        <f t="shared" si="17"/>
        <v>0</v>
      </c>
      <c r="AU188" s="64"/>
      <c r="AV188" s="56"/>
    </row>
    <row r="189" spans="1:48">
      <c r="A189" s="64"/>
      <c r="B189" s="49"/>
      <c r="C189" s="153"/>
      <c r="D189" s="64"/>
      <c r="E189" s="64"/>
      <c r="F189" s="27">
        <v>150</v>
      </c>
      <c r="G189" s="27"/>
      <c r="H189" s="27">
        <v>130</v>
      </c>
      <c r="I189" s="50"/>
      <c r="J189" s="27">
        <v>130</v>
      </c>
      <c r="K189" s="31"/>
      <c r="L189" s="27">
        <v>75</v>
      </c>
      <c r="M189" s="27"/>
      <c r="N189" s="27">
        <v>75</v>
      </c>
      <c r="O189" s="31"/>
      <c r="P189" s="27">
        <v>75</v>
      </c>
      <c r="Q189" s="27"/>
      <c r="R189" s="27">
        <v>185</v>
      </c>
      <c r="S189" s="27"/>
      <c r="T189" s="27">
        <v>150</v>
      </c>
      <c r="U189" s="31"/>
      <c r="V189" s="27">
        <v>0.95</v>
      </c>
      <c r="W189" s="27"/>
      <c r="X189" s="27">
        <v>0.8</v>
      </c>
      <c r="Y189" s="27"/>
      <c r="Z189" s="121">
        <v>115</v>
      </c>
      <c r="AA189" s="27"/>
      <c r="AB189" s="27">
        <v>55</v>
      </c>
      <c r="AC189" s="231"/>
      <c r="AD189" s="272">
        <v>110</v>
      </c>
      <c r="AE189" s="27"/>
      <c r="AF189" s="27">
        <v>90</v>
      </c>
      <c r="AG189" s="29"/>
      <c r="AH189" s="324"/>
      <c r="AI189" s="324">
        <v>140</v>
      </c>
      <c r="AJ189" s="50">
        <v>78.5</v>
      </c>
      <c r="AK189" s="334"/>
      <c r="AL189" s="334"/>
      <c r="AM189" s="334"/>
      <c r="AN189" s="334"/>
      <c r="AO189" s="334"/>
      <c r="AP189" s="334"/>
      <c r="AQ189" s="27">
        <f t="shared" si="14"/>
        <v>0</v>
      </c>
      <c r="AR189" s="27">
        <f t="shared" si="18"/>
        <v>0</v>
      </c>
      <c r="AS189" s="27">
        <f t="shared" si="15"/>
        <v>0</v>
      </c>
      <c r="AT189" s="27">
        <f t="shared" si="17"/>
        <v>0</v>
      </c>
      <c r="AU189" s="64"/>
      <c r="AV189" s="56"/>
    </row>
    <row r="190" spans="1:48">
      <c r="A190" s="64"/>
      <c r="B190" s="49"/>
      <c r="C190" s="153"/>
      <c r="D190" s="64"/>
      <c r="E190" s="64"/>
      <c r="F190" s="27">
        <v>150</v>
      </c>
      <c r="G190" s="27"/>
      <c r="H190" s="27">
        <v>130</v>
      </c>
      <c r="I190" s="50"/>
      <c r="J190" s="27">
        <v>130</v>
      </c>
      <c r="K190" s="31"/>
      <c r="L190" s="27">
        <v>75</v>
      </c>
      <c r="M190" s="27"/>
      <c r="N190" s="27">
        <v>75</v>
      </c>
      <c r="O190" s="31"/>
      <c r="P190" s="27">
        <v>75</v>
      </c>
      <c r="Q190" s="27"/>
      <c r="R190" s="27">
        <v>185</v>
      </c>
      <c r="S190" s="27"/>
      <c r="T190" s="27">
        <v>150</v>
      </c>
      <c r="U190" s="31"/>
      <c r="V190" s="27">
        <v>0.95</v>
      </c>
      <c r="W190" s="27"/>
      <c r="X190" s="27">
        <v>0.8</v>
      </c>
      <c r="Y190" s="27"/>
      <c r="Z190" s="121">
        <v>115</v>
      </c>
      <c r="AA190" s="27"/>
      <c r="AB190" s="27">
        <v>55</v>
      </c>
      <c r="AC190" s="231"/>
      <c r="AD190" s="272">
        <v>110</v>
      </c>
      <c r="AE190" s="27"/>
      <c r="AF190" s="27">
        <v>90</v>
      </c>
      <c r="AG190" s="29"/>
      <c r="AH190" s="324"/>
      <c r="AI190" s="324">
        <v>140</v>
      </c>
      <c r="AJ190" s="50">
        <v>78.5</v>
      </c>
      <c r="AK190" s="334"/>
      <c r="AL190" s="334"/>
      <c r="AM190" s="334"/>
      <c r="AN190" s="334"/>
      <c r="AO190" s="334"/>
      <c r="AP190" s="334"/>
      <c r="AQ190" s="27">
        <f t="shared" si="14"/>
        <v>0</v>
      </c>
      <c r="AR190" s="27">
        <f t="shared" si="18"/>
        <v>0</v>
      </c>
      <c r="AS190" s="27">
        <f t="shared" si="15"/>
        <v>0</v>
      </c>
      <c r="AT190" s="27">
        <f t="shared" si="17"/>
        <v>0</v>
      </c>
      <c r="AU190" s="64"/>
      <c r="AV190" s="56"/>
    </row>
    <row r="191" spans="1:48">
      <c r="A191" s="64"/>
      <c r="B191" s="49"/>
      <c r="C191" s="153"/>
      <c r="D191" s="64"/>
      <c r="E191" s="64"/>
      <c r="F191" s="27">
        <v>150</v>
      </c>
      <c r="G191" s="27"/>
      <c r="H191" s="27">
        <v>130</v>
      </c>
      <c r="I191" s="50"/>
      <c r="J191" s="27">
        <v>130</v>
      </c>
      <c r="K191" s="31"/>
      <c r="L191" s="27">
        <v>75</v>
      </c>
      <c r="M191" s="27"/>
      <c r="N191" s="27">
        <v>75</v>
      </c>
      <c r="O191" s="31"/>
      <c r="P191" s="27">
        <v>75</v>
      </c>
      <c r="Q191" s="27"/>
      <c r="R191" s="27">
        <v>185</v>
      </c>
      <c r="S191" s="27"/>
      <c r="T191" s="27">
        <v>150</v>
      </c>
      <c r="U191" s="31"/>
      <c r="V191" s="27">
        <v>0.95</v>
      </c>
      <c r="W191" s="27"/>
      <c r="X191" s="27">
        <v>0.8</v>
      </c>
      <c r="Y191" s="27"/>
      <c r="Z191" s="121">
        <v>115</v>
      </c>
      <c r="AA191" s="27"/>
      <c r="AB191" s="27">
        <v>55</v>
      </c>
      <c r="AC191" s="231"/>
      <c r="AD191" s="272">
        <v>110</v>
      </c>
      <c r="AE191" s="27"/>
      <c r="AF191" s="27">
        <v>90</v>
      </c>
      <c r="AG191" s="29"/>
      <c r="AH191" s="324"/>
      <c r="AI191" s="324">
        <v>140</v>
      </c>
      <c r="AJ191" s="50">
        <v>78.5</v>
      </c>
      <c r="AK191" s="334"/>
      <c r="AL191" s="334"/>
      <c r="AM191" s="334"/>
      <c r="AN191" s="334"/>
      <c r="AO191" s="334"/>
      <c r="AP191" s="334"/>
      <c r="AQ191" s="27">
        <f t="shared" si="14"/>
        <v>0</v>
      </c>
      <c r="AR191" s="27">
        <f t="shared" si="18"/>
        <v>0</v>
      </c>
      <c r="AS191" s="27">
        <f t="shared" si="15"/>
        <v>0</v>
      </c>
      <c r="AT191" s="27">
        <f t="shared" si="17"/>
        <v>0</v>
      </c>
      <c r="AU191" s="64"/>
      <c r="AV191" s="56"/>
    </row>
    <row r="192" spans="1:48">
      <c r="A192" s="64"/>
      <c r="B192" s="49"/>
      <c r="C192" s="153"/>
      <c r="D192" s="64"/>
      <c r="E192" s="64"/>
      <c r="F192" s="27">
        <v>150</v>
      </c>
      <c r="G192" s="27"/>
      <c r="H192" s="27">
        <v>130</v>
      </c>
      <c r="I192" s="50"/>
      <c r="J192" s="27">
        <v>130</v>
      </c>
      <c r="K192" s="31"/>
      <c r="L192" s="27">
        <v>75</v>
      </c>
      <c r="M192" s="27"/>
      <c r="N192" s="27">
        <v>75</v>
      </c>
      <c r="O192" s="31"/>
      <c r="P192" s="27">
        <v>75</v>
      </c>
      <c r="Q192" s="27"/>
      <c r="R192" s="27">
        <v>185</v>
      </c>
      <c r="S192" s="27"/>
      <c r="T192" s="27">
        <v>150</v>
      </c>
      <c r="U192" s="31"/>
      <c r="V192" s="27">
        <v>0.95</v>
      </c>
      <c r="W192" s="27"/>
      <c r="X192" s="27">
        <v>0.8</v>
      </c>
      <c r="Y192" s="27"/>
      <c r="Z192" s="121">
        <v>115</v>
      </c>
      <c r="AA192" s="27"/>
      <c r="AB192" s="27">
        <v>55</v>
      </c>
      <c r="AC192" s="231"/>
      <c r="AD192" s="272">
        <v>110</v>
      </c>
      <c r="AE192" s="27"/>
      <c r="AF192" s="27">
        <v>90</v>
      </c>
      <c r="AG192" s="29"/>
      <c r="AH192" s="324"/>
      <c r="AI192" s="324">
        <v>140</v>
      </c>
      <c r="AJ192" s="50">
        <v>78.5</v>
      </c>
      <c r="AK192" s="334"/>
      <c r="AL192" s="334"/>
      <c r="AM192" s="334"/>
      <c r="AN192" s="334"/>
      <c r="AO192" s="334"/>
      <c r="AP192" s="334"/>
      <c r="AQ192" s="27">
        <f t="shared" si="14"/>
        <v>0</v>
      </c>
      <c r="AR192" s="27">
        <f t="shared" si="18"/>
        <v>0</v>
      </c>
      <c r="AS192" s="27">
        <f t="shared" si="15"/>
        <v>0</v>
      </c>
      <c r="AT192" s="27">
        <f t="shared" si="17"/>
        <v>0</v>
      </c>
      <c r="AU192" s="64"/>
      <c r="AV192" s="56"/>
    </row>
    <row r="193" spans="1:48">
      <c r="A193" s="64"/>
      <c r="B193" s="49"/>
      <c r="C193" s="153"/>
      <c r="D193" s="64"/>
      <c r="E193" s="64"/>
      <c r="F193" s="27">
        <v>150</v>
      </c>
      <c r="G193" s="27"/>
      <c r="H193" s="27">
        <v>130</v>
      </c>
      <c r="I193" s="50"/>
      <c r="J193" s="27">
        <v>130</v>
      </c>
      <c r="K193" s="31"/>
      <c r="L193" s="27">
        <v>75</v>
      </c>
      <c r="M193" s="27"/>
      <c r="N193" s="27">
        <v>75</v>
      </c>
      <c r="O193" s="31"/>
      <c r="P193" s="27">
        <v>75</v>
      </c>
      <c r="Q193" s="27"/>
      <c r="R193" s="27">
        <v>185</v>
      </c>
      <c r="S193" s="27"/>
      <c r="T193" s="27">
        <v>150</v>
      </c>
      <c r="U193" s="31"/>
      <c r="V193" s="27">
        <v>0.95</v>
      </c>
      <c r="W193" s="27"/>
      <c r="X193" s="27">
        <v>0.8</v>
      </c>
      <c r="Y193" s="27"/>
      <c r="Z193" s="121">
        <v>115</v>
      </c>
      <c r="AA193" s="27"/>
      <c r="AB193" s="27">
        <v>55</v>
      </c>
      <c r="AC193" s="231"/>
      <c r="AD193" s="272">
        <v>110</v>
      </c>
      <c r="AE193" s="27"/>
      <c r="AF193" s="27">
        <v>90</v>
      </c>
      <c r="AG193" s="29"/>
      <c r="AH193" s="324"/>
      <c r="AI193" s="324">
        <v>140</v>
      </c>
      <c r="AJ193" s="50">
        <v>78.5</v>
      </c>
      <c r="AK193" s="334"/>
      <c r="AL193" s="334"/>
      <c r="AM193" s="334"/>
      <c r="AN193" s="334"/>
      <c r="AO193" s="334"/>
      <c r="AP193" s="334"/>
      <c r="AQ193" s="27">
        <f t="shared" si="14"/>
        <v>0</v>
      </c>
      <c r="AR193" s="27">
        <f t="shared" si="18"/>
        <v>0</v>
      </c>
      <c r="AS193" s="27">
        <f t="shared" si="15"/>
        <v>0</v>
      </c>
      <c r="AT193" s="27">
        <f t="shared" si="17"/>
        <v>0</v>
      </c>
      <c r="AU193" s="64"/>
      <c r="AV193" s="56"/>
    </row>
    <row r="194" spans="1:48">
      <c r="A194" s="64"/>
      <c r="B194" s="49"/>
      <c r="C194" s="153"/>
      <c r="D194" s="64"/>
      <c r="E194" s="64"/>
      <c r="F194" s="27">
        <v>150</v>
      </c>
      <c r="G194" s="27"/>
      <c r="H194" s="27">
        <v>130</v>
      </c>
      <c r="I194" s="50"/>
      <c r="J194" s="27">
        <v>130</v>
      </c>
      <c r="K194" s="31"/>
      <c r="L194" s="27">
        <v>75</v>
      </c>
      <c r="M194" s="27"/>
      <c r="N194" s="27">
        <v>75</v>
      </c>
      <c r="O194" s="31"/>
      <c r="P194" s="27">
        <v>75</v>
      </c>
      <c r="Q194" s="27"/>
      <c r="R194" s="27">
        <v>185</v>
      </c>
      <c r="S194" s="27"/>
      <c r="T194" s="27">
        <v>150</v>
      </c>
      <c r="U194" s="31"/>
      <c r="V194" s="27">
        <v>0.95</v>
      </c>
      <c r="W194" s="27"/>
      <c r="X194" s="27">
        <v>0.8</v>
      </c>
      <c r="Y194" s="27"/>
      <c r="Z194" s="121">
        <v>115</v>
      </c>
      <c r="AA194" s="27"/>
      <c r="AB194" s="27">
        <v>55</v>
      </c>
      <c r="AC194" s="231"/>
      <c r="AD194" s="272">
        <v>110</v>
      </c>
      <c r="AE194" s="27"/>
      <c r="AF194" s="27">
        <v>90</v>
      </c>
      <c r="AG194" s="29"/>
      <c r="AH194" s="324"/>
      <c r="AI194" s="324">
        <v>140</v>
      </c>
      <c r="AJ194" s="50">
        <v>78.5</v>
      </c>
      <c r="AK194" s="334"/>
      <c r="AL194" s="334"/>
      <c r="AM194" s="334"/>
      <c r="AN194" s="334"/>
      <c r="AO194" s="334"/>
      <c r="AP194" s="334"/>
      <c r="AQ194" s="27">
        <f t="shared" si="14"/>
        <v>0</v>
      </c>
      <c r="AR194" s="27">
        <f t="shared" si="18"/>
        <v>0</v>
      </c>
      <c r="AS194" s="27">
        <f t="shared" si="15"/>
        <v>0</v>
      </c>
      <c r="AT194" s="27">
        <f t="shared" si="17"/>
        <v>0</v>
      </c>
      <c r="AU194" s="64"/>
      <c r="AV194" s="56"/>
    </row>
    <row r="195" spans="1:48">
      <c r="A195" s="64"/>
      <c r="B195" s="49"/>
      <c r="C195" s="153"/>
      <c r="D195" s="64"/>
      <c r="E195" s="64"/>
      <c r="F195" s="27">
        <v>150</v>
      </c>
      <c r="G195" s="27"/>
      <c r="H195" s="27">
        <v>130</v>
      </c>
      <c r="I195" s="50"/>
      <c r="J195" s="27">
        <v>130</v>
      </c>
      <c r="K195" s="31"/>
      <c r="L195" s="27">
        <v>75</v>
      </c>
      <c r="M195" s="27"/>
      <c r="N195" s="27">
        <v>75</v>
      </c>
      <c r="O195" s="31"/>
      <c r="P195" s="27">
        <v>75</v>
      </c>
      <c r="Q195" s="27"/>
      <c r="R195" s="27">
        <v>185</v>
      </c>
      <c r="S195" s="27"/>
      <c r="T195" s="27">
        <v>150</v>
      </c>
      <c r="U195" s="31"/>
      <c r="V195" s="27">
        <v>0.95</v>
      </c>
      <c r="W195" s="27"/>
      <c r="X195" s="27">
        <v>0.8</v>
      </c>
      <c r="Y195" s="27"/>
      <c r="Z195" s="121">
        <v>115</v>
      </c>
      <c r="AA195" s="27"/>
      <c r="AB195" s="27">
        <v>55</v>
      </c>
      <c r="AC195" s="231"/>
      <c r="AD195" s="272">
        <v>110</v>
      </c>
      <c r="AE195" s="27"/>
      <c r="AF195" s="27">
        <v>90</v>
      </c>
      <c r="AG195" s="29"/>
      <c r="AH195" s="324"/>
      <c r="AI195" s="324">
        <v>140</v>
      </c>
      <c r="AJ195" s="50">
        <v>78.5</v>
      </c>
      <c r="AK195" s="334"/>
      <c r="AL195" s="334"/>
      <c r="AM195" s="334"/>
      <c r="AN195" s="334"/>
      <c r="AO195" s="334"/>
      <c r="AP195" s="334"/>
      <c r="AQ195" s="27">
        <f t="shared" si="14"/>
        <v>0</v>
      </c>
      <c r="AR195" s="27">
        <f t="shared" si="18"/>
        <v>0</v>
      </c>
      <c r="AS195" s="27">
        <f t="shared" si="15"/>
        <v>0</v>
      </c>
      <c r="AT195" s="27">
        <f t="shared" si="17"/>
        <v>0</v>
      </c>
      <c r="AU195" s="64"/>
      <c r="AV195" s="56"/>
    </row>
    <row r="196" spans="1:48">
      <c r="A196" s="64"/>
      <c r="B196" s="49"/>
      <c r="C196" s="153"/>
      <c r="D196" s="64"/>
      <c r="E196" s="64"/>
      <c r="F196" s="27">
        <v>150</v>
      </c>
      <c r="G196" s="27"/>
      <c r="H196" s="27">
        <v>130</v>
      </c>
      <c r="I196" s="50"/>
      <c r="J196" s="27">
        <v>130</v>
      </c>
      <c r="K196" s="31"/>
      <c r="L196" s="27">
        <v>75</v>
      </c>
      <c r="M196" s="27"/>
      <c r="N196" s="27">
        <v>75</v>
      </c>
      <c r="O196" s="31"/>
      <c r="P196" s="27">
        <v>75</v>
      </c>
      <c r="Q196" s="27"/>
      <c r="R196" s="27">
        <v>185</v>
      </c>
      <c r="S196" s="27"/>
      <c r="T196" s="27">
        <v>150</v>
      </c>
      <c r="U196" s="31"/>
      <c r="V196" s="27">
        <v>0.95</v>
      </c>
      <c r="W196" s="27"/>
      <c r="X196" s="27">
        <v>0.8</v>
      </c>
      <c r="Y196" s="27"/>
      <c r="Z196" s="121">
        <v>115</v>
      </c>
      <c r="AA196" s="27"/>
      <c r="AB196" s="27">
        <v>55</v>
      </c>
      <c r="AC196" s="231"/>
      <c r="AD196" s="272">
        <v>110</v>
      </c>
      <c r="AE196" s="27"/>
      <c r="AF196" s="27">
        <v>90</v>
      </c>
      <c r="AG196" s="29"/>
      <c r="AH196" s="324"/>
      <c r="AI196" s="324">
        <v>140</v>
      </c>
      <c r="AJ196" s="50">
        <v>78.5</v>
      </c>
      <c r="AK196" s="334"/>
      <c r="AL196" s="334"/>
      <c r="AM196" s="334"/>
      <c r="AN196" s="334"/>
      <c r="AO196" s="334"/>
      <c r="AP196" s="334"/>
      <c r="AQ196" s="27">
        <f t="shared" si="14"/>
        <v>0</v>
      </c>
      <c r="AR196" s="27">
        <f t="shared" si="18"/>
        <v>0</v>
      </c>
      <c r="AS196" s="27">
        <f t="shared" si="15"/>
        <v>0</v>
      </c>
      <c r="AT196" s="27">
        <f t="shared" si="17"/>
        <v>0</v>
      </c>
      <c r="AU196" s="64"/>
      <c r="AV196" s="56"/>
    </row>
    <row r="197" spans="1:48">
      <c r="A197" s="64"/>
      <c r="B197" s="49"/>
      <c r="C197" s="153"/>
      <c r="D197" s="64"/>
      <c r="E197" s="64"/>
      <c r="F197" s="27">
        <v>150</v>
      </c>
      <c r="G197" s="27"/>
      <c r="H197" s="27">
        <v>130</v>
      </c>
      <c r="I197" s="50"/>
      <c r="J197" s="27">
        <v>130</v>
      </c>
      <c r="K197" s="31"/>
      <c r="L197" s="27">
        <v>75</v>
      </c>
      <c r="M197" s="27"/>
      <c r="N197" s="27">
        <v>75</v>
      </c>
      <c r="O197" s="31"/>
      <c r="P197" s="27">
        <v>75</v>
      </c>
      <c r="Q197" s="27"/>
      <c r="R197" s="27">
        <v>185</v>
      </c>
      <c r="S197" s="27"/>
      <c r="T197" s="27">
        <v>150</v>
      </c>
      <c r="U197" s="31"/>
      <c r="V197" s="27">
        <v>0.95</v>
      </c>
      <c r="W197" s="27"/>
      <c r="X197" s="27">
        <v>0.8</v>
      </c>
      <c r="Y197" s="27"/>
      <c r="Z197" s="121">
        <v>115</v>
      </c>
      <c r="AA197" s="27"/>
      <c r="AB197" s="27">
        <v>55</v>
      </c>
      <c r="AC197" s="231"/>
      <c r="AD197" s="272">
        <v>110</v>
      </c>
      <c r="AE197" s="27"/>
      <c r="AF197" s="27">
        <v>90</v>
      </c>
      <c r="AG197" s="29"/>
      <c r="AH197" s="324"/>
      <c r="AI197" s="324">
        <v>140</v>
      </c>
      <c r="AJ197" s="50">
        <v>78.5</v>
      </c>
      <c r="AK197" s="334"/>
      <c r="AL197" s="334"/>
      <c r="AM197" s="334"/>
      <c r="AN197" s="334"/>
      <c r="AO197" s="334"/>
      <c r="AP197" s="334"/>
      <c r="AQ197" s="27">
        <f t="shared" ref="AQ197:AQ241" si="19">(U197*V197)+(W197*X197)</f>
        <v>0</v>
      </c>
      <c r="AR197" s="27">
        <f t="shared" si="18"/>
        <v>0</v>
      </c>
      <c r="AS197" s="27">
        <f t="shared" ref="AS197:AS241" si="20">(AR197*5%)</f>
        <v>0</v>
      </c>
      <c r="AT197" s="27">
        <f t="shared" si="17"/>
        <v>0</v>
      </c>
      <c r="AU197" s="64"/>
      <c r="AV197" s="56"/>
    </row>
    <row r="198" spans="1:48">
      <c r="A198" s="64"/>
      <c r="B198" s="49"/>
      <c r="C198" s="153"/>
      <c r="D198" s="64"/>
      <c r="E198" s="64"/>
      <c r="F198" s="27">
        <v>150</v>
      </c>
      <c r="G198" s="27"/>
      <c r="H198" s="27">
        <v>130</v>
      </c>
      <c r="I198" s="50"/>
      <c r="J198" s="27">
        <v>130</v>
      </c>
      <c r="K198" s="31"/>
      <c r="L198" s="27">
        <v>75</v>
      </c>
      <c r="M198" s="27"/>
      <c r="N198" s="27">
        <v>75</v>
      </c>
      <c r="O198" s="31"/>
      <c r="P198" s="27">
        <v>75</v>
      </c>
      <c r="Q198" s="27"/>
      <c r="R198" s="27">
        <v>185</v>
      </c>
      <c r="S198" s="27"/>
      <c r="T198" s="27">
        <v>150</v>
      </c>
      <c r="U198" s="31"/>
      <c r="V198" s="27">
        <v>0.95</v>
      </c>
      <c r="W198" s="27"/>
      <c r="X198" s="27">
        <v>0.8</v>
      </c>
      <c r="Y198" s="27"/>
      <c r="Z198" s="121">
        <v>115</v>
      </c>
      <c r="AA198" s="27"/>
      <c r="AB198" s="27">
        <v>55</v>
      </c>
      <c r="AC198" s="231"/>
      <c r="AD198" s="272">
        <v>110</v>
      </c>
      <c r="AE198" s="27"/>
      <c r="AF198" s="27">
        <v>90</v>
      </c>
      <c r="AG198" s="29"/>
      <c r="AH198" s="324"/>
      <c r="AI198" s="324">
        <v>140</v>
      </c>
      <c r="AJ198" s="50">
        <v>78.5</v>
      </c>
      <c r="AK198" s="334"/>
      <c r="AL198" s="334"/>
      <c r="AM198" s="334"/>
      <c r="AN198" s="334"/>
      <c r="AO198" s="334"/>
      <c r="AP198" s="334"/>
      <c r="AQ198" s="27">
        <f t="shared" si="19"/>
        <v>0</v>
      </c>
      <c r="AR198" s="27">
        <f t="shared" si="18"/>
        <v>0</v>
      </c>
      <c r="AS198" s="27">
        <f t="shared" si="20"/>
        <v>0</v>
      </c>
      <c r="AT198" s="27">
        <f t="shared" si="17"/>
        <v>0</v>
      </c>
      <c r="AU198" s="64"/>
      <c r="AV198" s="56"/>
    </row>
    <row r="199" spans="1:48">
      <c r="A199" s="64"/>
      <c r="B199" s="49"/>
      <c r="C199" s="153"/>
      <c r="D199" s="64"/>
      <c r="E199" s="64"/>
      <c r="F199" s="27">
        <v>150</v>
      </c>
      <c r="G199" s="27"/>
      <c r="H199" s="27">
        <v>130</v>
      </c>
      <c r="I199" s="50"/>
      <c r="J199" s="27">
        <v>130</v>
      </c>
      <c r="K199" s="31"/>
      <c r="L199" s="27">
        <v>75</v>
      </c>
      <c r="M199" s="27"/>
      <c r="N199" s="27">
        <v>75</v>
      </c>
      <c r="O199" s="31"/>
      <c r="P199" s="27">
        <v>75</v>
      </c>
      <c r="Q199" s="27"/>
      <c r="R199" s="27">
        <v>185</v>
      </c>
      <c r="S199" s="27"/>
      <c r="T199" s="27">
        <v>150</v>
      </c>
      <c r="U199" s="31"/>
      <c r="V199" s="27">
        <v>0.95</v>
      </c>
      <c r="W199" s="27"/>
      <c r="X199" s="27">
        <v>0.8</v>
      </c>
      <c r="Y199" s="27"/>
      <c r="Z199" s="121">
        <v>115</v>
      </c>
      <c r="AA199" s="27"/>
      <c r="AB199" s="27">
        <v>55</v>
      </c>
      <c r="AC199" s="231"/>
      <c r="AD199" s="272">
        <v>110</v>
      </c>
      <c r="AE199" s="27"/>
      <c r="AF199" s="27">
        <v>90</v>
      </c>
      <c r="AG199" s="29"/>
      <c r="AH199" s="324"/>
      <c r="AI199" s="324">
        <v>140</v>
      </c>
      <c r="AJ199" s="50">
        <v>78.5</v>
      </c>
      <c r="AK199" s="334"/>
      <c r="AL199" s="334"/>
      <c r="AM199" s="334"/>
      <c r="AN199" s="334"/>
      <c r="AO199" s="334"/>
      <c r="AP199" s="334"/>
      <c r="AQ199" s="27">
        <f t="shared" si="19"/>
        <v>0</v>
      </c>
      <c r="AR199" s="27">
        <f t="shared" si="18"/>
        <v>0</v>
      </c>
      <c r="AS199" s="27">
        <f t="shared" si="20"/>
        <v>0</v>
      </c>
      <c r="AT199" s="27">
        <f t="shared" si="17"/>
        <v>0</v>
      </c>
      <c r="AU199" s="64"/>
      <c r="AV199" s="56"/>
    </row>
    <row r="200" spans="1:48">
      <c r="A200" s="64"/>
      <c r="B200" s="49"/>
      <c r="C200" s="153"/>
      <c r="D200" s="64"/>
      <c r="E200" s="64"/>
      <c r="F200" s="27">
        <v>150</v>
      </c>
      <c r="G200" s="27"/>
      <c r="H200" s="27">
        <v>130</v>
      </c>
      <c r="I200" s="50"/>
      <c r="J200" s="27">
        <v>130</v>
      </c>
      <c r="K200" s="31"/>
      <c r="L200" s="27">
        <v>75</v>
      </c>
      <c r="M200" s="27"/>
      <c r="N200" s="27">
        <v>75</v>
      </c>
      <c r="O200" s="31"/>
      <c r="P200" s="27">
        <v>75</v>
      </c>
      <c r="Q200" s="27"/>
      <c r="R200" s="27">
        <v>185</v>
      </c>
      <c r="S200" s="27"/>
      <c r="T200" s="27">
        <v>150</v>
      </c>
      <c r="U200" s="31"/>
      <c r="V200" s="27">
        <v>0.95</v>
      </c>
      <c r="W200" s="27"/>
      <c r="X200" s="27">
        <v>0.8</v>
      </c>
      <c r="Y200" s="27"/>
      <c r="Z200" s="121">
        <v>115</v>
      </c>
      <c r="AA200" s="27"/>
      <c r="AB200" s="27">
        <v>55</v>
      </c>
      <c r="AC200" s="231"/>
      <c r="AD200" s="272">
        <v>110</v>
      </c>
      <c r="AE200" s="27"/>
      <c r="AF200" s="27">
        <v>90</v>
      </c>
      <c r="AG200" s="29"/>
      <c r="AH200" s="324"/>
      <c r="AI200" s="324">
        <v>140</v>
      </c>
      <c r="AJ200" s="50">
        <v>78.5</v>
      </c>
      <c r="AK200" s="334"/>
      <c r="AL200" s="334"/>
      <c r="AM200" s="334"/>
      <c r="AN200" s="334"/>
      <c r="AO200" s="334"/>
      <c r="AP200" s="334"/>
      <c r="AQ200" s="27">
        <f t="shared" si="19"/>
        <v>0</v>
      </c>
      <c r="AR200" s="27">
        <f t="shared" si="18"/>
        <v>0</v>
      </c>
      <c r="AS200" s="27">
        <f t="shared" si="20"/>
        <v>0</v>
      </c>
      <c r="AT200" s="27">
        <f t="shared" si="17"/>
        <v>0</v>
      </c>
      <c r="AU200" s="64"/>
      <c r="AV200" s="56"/>
    </row>
    <row r="201" spans="1:48">
      <c r="A201" s="64"/>
      <c r="B201" s="49"/>
      <c r="C201" s="153"/>
      <c r="D201" s="64"/>
      <c r="E201" s="64"/>
      <c r="F201" s="27">
        <v>150</v>
      </c>
      <c r="G201" s="27"/>
      <c r="H201" s="27">
        <v>130</v>
      </c>
      <c r="I201" s="50"/>
      <c r="J201" s="27">
        <v>130</v>
      </c>
      <c r="K201" s="31"/>
      <c r="L201" s="27">
        <v>75</v>
      </c>
      <c r="M201" s="27"/>
      <c r="N201" s="27">
        <v>75</v>
      </c>
      <c r="O201" s="31"/>
      <c r="P201" s="27">
        <v>75</v>
      </c>
      <c r="Q201" s="27"/>
      <c r="R201" s="27">
        <v>185</v>
      </c>
      <c r="S201" s="27"/>
      <c r="T201" s="27">
        <v>150</v>
      </c>
      <c r="U201" s="31"/>
      <c r="V201" s="27">
        <v>0.95</v>
      </c>
      <c r="W201" s="27"/>
      <c r="X201" s="27">
        <v>0.8</v>
      </c>
      <c r="Y201" s="27"/>
      <c r="Z201" s="121">
        <v>115</v>
      </c>
      <c r="AA201" s="27"/>
      <c r="AB201" s="27">
        <v>55</v>
      </c>
      <c r="AC201" s="231"/>
      <c r="AD201" s="272">
        <v>110</v>
      </c>
      <c r="AE201" s="27"/>
      <c r="AF201" s="27">
        <v>90</v>
      </c>
      <c r="AG201" s="29"/>
      <c r="AH201" s="324"/>
      <c r="AI201" s="324">
        <v>140</v>
      </c>
      <c r="AJ201" s="50">
        <v>78.5</v>
      </c>
      <c r="AK201" s="334"/>
      <c r="AL201" s="334"/>
      <c r="AM201" s="334"/>
      <c r="AN201" s="334"/>
      <c r="AO201" s="334"/>
      <c r="AP201" s="334"/>
      <c r="AQ201" s="27">
        <f t="shared" si="19"/>
        <v>0</v>
      </c>
      <c r="AR201" s="27">
        <f t="shared" si="18"/>
        <v>0</v>
      </c>
      <c r="AS201" s="27">
        <f t="shared" si="20"/>
        <v>0</v>
      </c>
      <c r="AT201" s="27">
        <f t="shared" si="17"/>
        <v>0</v>
      </c>
      <c r="AU201" s="64"/>
      <c r="AV201" s="56"/>
    </row>
    <row r="202" spans="1:48">
      <c r="A202" s="64"/>
      <c r="B202" s="49"/>
      <c r="C202" s="153"/>
      <c r="D202" s="64"/>
      <c r="E202" s="64"/>
      <c r="F202" s="27">
        <v>150</v>
      </c>
      <c r="G202" s="27"/>
      <c r="H202" s="27">
        <v>130</v>
      </c>
      <c r="I202" s="50"/>
      <c r="J202" s="27">
        <v>130</v>
      </c>
      <c r="K202" s="31"/>
      <c r="L202" s="27">
        <v>75</v>
      </c>
      <c r="M202" s="27"/>
      <c r="N202" s="27">
        <v>75</v>
      </c>
      <c r="O202" s="31"/>
      <c r="P202" s="27">
        <v>75</v>
      </c>
      <c r="Q202" s="27"/>
      <c r="R202" s="27">
        <v>185</v>
      </c>
      <c r="S202" s="27"/>
      <c r="T202" s="27">
        <v>150</v>
      </c>
      <c r="U202" s="31"/>
      <c r="V202" s="27">
        <v>0.95</v>
      </c>
      <c r="W202" s="27"/>
      <c r="X202" s="27">
        <v>0.8</v>
      </c>
      <c r="Y202" s="27"/>
      <c r="Z202" s="121">
        <v>115</v>
      </c>
      <c r="AA202" s="27"/>
      <c r="AB202" s="27">
        <v>55</v>
      </c>
      <c r="AC202" s="231"/>
      <c r="AD202" s="272">
        <v>110</v>
      </c>
      <c r="AE202" s="27"/>
      <c r="AF202" s="27">
        <v>90</v>
      </c>
      <c r="AG202" s="29"/>
      <c r="AH202" s="324"/>
      <c r="AI202" s="324">
        <v>140</v>
      </c>
      <c r="AJ202" s="50">
        <v>78.5</v>
      </c>
      <c r="AK202" s="334"/>
      <c r="AL202" s="334"/>
      <c r="AM202" s="334"/>
      <c r="AN202" s="334"/>
      <c r="AO202" s="334"/>
      <c r="AP202" s="334"/>
      <c r="AQ202" s="27">
        <f t="shared" si="19"/>
        <v>0</v>
      </c>
      <c r="AR202" s="27">
        <f t="shared" si="18"/>
        <v>0</v>
      </c>
      <c r="AS202" s="27">
        <f t="shared" si="20"/>
        <v>0</v>
      </c>
      <c r="AT202" s="27">
        <f t="shared" si="17"/>
        <v>0</v>
      </c>
      <c r="AU202" s="64"/>
      <c r="AV202" s="56"/>
    </row>
    <row r="203" spans="1:48">
      <c r="A203" s="64"/>
      <c r="B203" s="49"/>
      <c r="C203" s="153"/>
      <c r="D203" s="64"/>
      <c r="E203" s="64"/>
      <c r="F203" s="27">
        <v>150</v>
      </c>
      <c r="G203" s="27"/>
      <c r="H203" s="27">
        <v>130</v>
      </c>
      <c r="I203" s="50"/>
      <c r="J203" s="27">
        <v>130</v>
      </c>
      <c r="K203" s="31"/>
      <c r="L203" s="27">
        <v>75</v>
      </c>
      <c r="M203" s="27"/>
      <c r="N203" s="27">
        <v>75</v>
      </c>
      <c r="O203" s="31"/>
      <c r="P203" s="27">
        <v>75</v>
      </c>
      <c r="Q203" s="27"/>
      <c r="R203" s="27">
        <v>185</v>
      </c>
      <c r="S203" s="27"/>
      <c r="T203" s="27">
        <v>150</v>
      </c>
      <c r="U203" s="31"/>
      <c r="V203" s="27">
        <v>0.95</v>
      </c>
      <c r="W203" s="27"/>
      <c r="X203" s="27">
        <v>0.8</v>
      </c>
      <c r="Y203" s="27"/>
      <c r="Z203" s="121">
        <v>115</v>
      </c>
      <c r="AA203" s="27"/>
      <c r="AB203" s="27">
        <v>55</v>
      </c>
      <c r="AC203" s="231"/>
      <c r="AD203" s="272">
        <v>110</v>
      </c>
      <c r="AE203" s="27"/>
      <c r="AF203" s="27">
        <v>90</v>
      </c>
      <c r="AG203" s="29"/>
      <c r="AH203" s="324"/>
      <c r="AI203" s="324">
        <v>140</v>
      </c>
      <c r="AJ203" s="50">
        <v>78.5</v>
      </c>
      <c r="AK203" s="334"/>
      <c r="AL203" s="334"/>
      <c r="AM203" s="334"/>
      <c r="AN203" s="334"/>
      <c r="AO203" s="334"/>
      <c r="AP203" s="334"/>
      <c r="AQ203" s="27">
        <f t="shared" si="19"/>
        <v>0</v>
      </c>
      <c r="AR203" s="27">
        <f t="shared" si="18"/>
        <v>0</v>
      </c>
      <c r="AS203" s="27">
        <f t="shared" si="20"/>
        <v>0</v>
      </c>
      <c r="AT203" s="27">
        <f t="shared" si="17"/>
        <v>0</v>
      </c>
      <c r="AU203" s="64"/>
      <c r="AV203" s="56"/>
    </row>
    <row r="204" spans="1:48">
      <c r="A204" s="64"/>
      <c r="B204" s="49"/>
      <c r="C204" s="153"/>
      <c r="D204" s="64"/>
      <c r="E204" s="64"/>
      <c r="F204" s="27">
        <v>150</v>
      </c>
      <c r="G204" s="27"/>
      <c r="H204" s="27">
        <v>130</v>
      </c>
      <c r="I204" s="50"/>
      <c r="J204" s="27">
        <v>130</v>
      </c>
      <c r="K204" s="31"/>
      <c r="L204" s="27">
        <v>75</v>
      </c>
      <c r="M204" s="27"/>
      <c r="N204" s="27">
        <v>75</v>
      </c>
      <c r="O204" s="31"/>
      <c r="P204" s="27">
        <v>75</v>
      </c>
      <c r="Q204" s="27"/>
      <c r="R204" s="27">
        <v>185</v>
      </c>
      <c r="S204" s="27"/>
      <c r="T204" s="27">
        <v>150</v>
      </c>
      <c r="U204" s="31"/>
      <c r="V204" s="27">
        <v>0.95</v>
      </c>
      <c r="W204" s="27"/>
      <c r="X204" s="27">
        <v>0.8</v>
      </c>
      <c r="Y204" s="27"/>
      <c r="Z204" s="121">
        <v>115</v>
      </c>
      <c r="AA204" s="27"/>
      <c r="AB204" s="27">
        <v>55</v>
      </c>
      <c r="AC204" s="231"/>
      <c r="AD204" s="272">
        <v>110</v>
      </c>
      <c r="AE204" s="27"/>
      <c r="AF204" s="27">
        <v>90</v>
      </c>
      <c r="AG204" s="29"/>
      <c r="AH204" s="324"/>
      <c r="AI204" s="324">
        <v>140</v>
      </c>
      <c r="AJ204" s="50">
        <v>78.5</v>
      </c>
      <c r="AK204" s="334"/>
      <c r="AL204" s="334"/>
      <c r="AM204" s="334"/>
      <c r="AN204" s="334"/>
      <c r="AO204" s="334"/>
      <c r="AP204" s="334"/>
      <c r="AQ204" s="27">
        <f t="shared" si="19"/>
        <v>0</v>
      </c>
      <c r="AR204" s="27">
        <f t="shared" si="18"/>
        <v>0</v>
      </c>
      <c r="AS204" s="27">
        <f t="shared" si="20"/>
        <v>0</v>
      </c>
      <c r="AT204" s="27">
        <f t="shared" si="17"/>
        <v>0</v>
      </c>
      <c r="AU204" s="64"/>
      <c r="AV204" s="56"/>
    </row>
    <row r="205" spans="1:48">
      <c r="A205" s="64"/>
      <c r="B205" s="49"/>
      <c r="C205" s="153"/>
      <c r="D205" s="64"/>
      <c r="E205" s="64"/>
      <c r="F205" s="27">
        <v>150</v>
      </c>
      <c r="G205" s="27"/>
      <c r="H205" s="27">
        <v>130</v>
      </c>
      <c r="I205" s="50"/>
      <c r="J205" s="27">
        <v>130</v>
      </c>
      <c r="K205" s="31"/>
      <c r="L205" s="27">
        <v>75</v>
      </c>
      <c r="M205" s="27"/>
      <c r="N205" s="27">
        <v>75</v>
      </c>
      <c r="O205" s="31"/>
      <c r="P205" s="27">
        <v>75</v>
      </c>
      <c r="Q205" s="27"/>
      <c r="R205" s="27">
        <v>185</v>
      </c>
      <c r="S205" s="27"/>
      <c r="T205" s="27">
        <v>150</v>
      </c>
      <c r="U205" s="31"/>
      <c r="V205" s="27">
        <v>0.95</v>
      </c>
      <c r="W205" s="27"/>
      <c r="X205" s="27">
        <v>0.8</v>
      </c>
      <c r="Y205" s="27"/>
      <c r="Z205" s="121">
        <v>115</v>
      </c>
      <c r="AA205" s="27"/>
      <c r="AB205" s="27">
        <v>55</v>
      </c>
      <c r="AC205" s="231"/>
      <c r="AD205" s="272">
        <v>110</v>
      </c>
      <c r="AE205" s="27"/>
      <c r="AF205" s="27">
        <v>90</v>
      </c>
      <c r="AG205" s="29"/>
      <c r="AH205" s="324"/>
      <c r="AI205" s="324">
        <v>140</v>
      </c>
      <c r="AJ205" s="50">
        <v>78.5</v>
      </c>
      <c r="AK205" s="334"/>
      <c r="AL205" s="334"/>
      <c r="AM205" s="334"/>
      <c r="AN205" s="334"/>
      <c r="AO205" s="334"/>
      <c r="AP205" s="334"/>
      <c r="AQ205" s="27">
        <f t="shared" si="19"/>
        <v>0</v>
      </c>
      <c r="AR205" s="27">
        <f t="shared" si="18"/>
        <v>0</v>
      </c>
      <c r="AS205" s="27">
        <f t="shared" si="20"/>
        <v>0</v>
      </c>
      <c r="AT205" s="27">
        <f t="shared" si="17"/>
        <v>0</v>
      </c>
      <c r="AU205" s="64"/>
      <c r="AV205" s="56"/>
    </row>
    <row r="206" spans="1:48">
      <c r="A206" s="64"/>
      <c r="B206" s="49"/>
      <c r="C206" s="153"/>
      <c r="D206" s="64"/>
      <c r="E206" s="64"/>
      <c r="F206" s="27">
        <v>150</v>
      </c>
      <c r="G206" s="27"/>
      <c r="H206" s="27">
        <v>130</v>
      </c>
      <c r="I206" s="50"/>
      <c r="J206" s="27">
        <v>130</v>
      </c>
      <c r="K206" s="31"/>
      <c r="L206" s="27">
        <v>75</v>
      </c>
      <c r="M206" s="27"/>
      <c r="N206" s="27">
        <v>75</v>
      </c>
      <c r="O206" s="31"/>
      <c r="P206" s="27">
        <v>75</v>
      </c>
      <c r="Q206" s="27"/>
      <c r="R206" s="27">
        <v>185</v>
      </c>
      <c r="S206" s="27"/>
      <c r="T206" s="27">
        <v>150</v>
      </c>
      <c r="U206" s="31"/>
      <c r="V206" s="27">
        <v>0.95</v>
      </c>
      <c r="W206" s="27"/>
      <c r="X206" s="27">
        <v>0.8</v>
      </c>
      <c r="Y206" s="27"/>
      <c r="Z206" s="121">
        <v>115</v>
      </c>
      <c r="AA206" s="27"/>
      <c r="AB206" s="27">
        <v>55</v>
      </c>
      <c r="AC206" s="231"/>
      <c r="AD206" s="272">
        <v>110</v>
      </c>
      <c r="AE206" s="27"/>
      <c r="AF206" s="27">
        <v>90</v>
      </c>
      <c r="AG206" s="29"/>
      <c r="AH206" s="324"/>
      <c r="AI206" s="324">
        <v>140</v>
      </c>
      <c r="AJ206" s="50">
        <v>78.5</v>
      </c>
      <c r="AK206" s="334"/>
      <c r="AL206" s="334"/>
      <c r="AM206" s="334"/>
      <c r="AN206" s="334"/>
      <c r="AO206" s="334"/>
      <c r="AP206" s="334"/>
      <c r="AQ206" s="27">
        <f t="shared" si="19"/>
        <v>0</v>
      </c>
      <c r="AR206" s="27">
        <f t="shared" si="18"/>
        <v>0</v>
      </c>
      <c r="AS206" s="27">
        <f t="shared" si="20"/>
        <v>0</v>
      </c>
      <c r="AT206" s="27">
        <f t="shared" si="17"/>
        <v>0</v>
      </c>
      <c r="AU206" s="64"/>
      <c r="AV206" s="56"/>
    </row>
    <row r="207" spans="1:48">
      <c r="A207" s="64"/>
      <c r="B207" s="49"/>
      <c r="C207" s="153"/>
      <c r="D207" s="64"/>
      <c r="E207" s="64"/>
      <c r="F207" s="27">
        <v>150</v>
      </c>
      <c r="G207" s="27"/>
      <c r="H207" s="27">
        <v>130</v>
      </c>
      <c r="I207" s="50"/>
      <c r="J207" s="27">
        <v>130</v>
      </c>
      <c r="K207" s="31"/>
      <c r="L207" s="27">
        <v>75</v>
      </c>
      <c r="M207" s="27"/>
      <c r="N207" s="27">
        <v>75</v>
      </c>
      <c r="O207" s="31"/>
      <c r="P207" s="27">
        <v>75</v>
      </c>
      <c r="Q207" s="27"/>
      <c r="R207" s="27">
        <v>185</v>
      </c>
      <c r="S207" s="27"/>
      <c r="T207" s="27">
        <v>150</v>
      </c>
      <c r="U207" s="31"/>
      <c r="V207" s="27">
        <v>0.95</v>
      </c>
      <c r="W207" s="27"/>
      <c r="X207" s="27">
        <v>0.8</v>
      </c>
      <c r="Y207" s="27"/>
      <c r="Z207" s="121">
        <v>115</v>
      </c>
      <c r="AA207" s="27"/>
      <c r="AB207" s="27">
        <v>55</v>
      </c>
      <c r="AC207" s="231"/>
      <c r="AD207" s="272">
        <v>110</v>
      </c>
      <c r="AE207" s="27"/>
      <c r="AF207" s="27">
        <v>90</v>
      </c>
      <c r="AG207" s="29"/>
      <c r="AH207" s="324"/>
      <c r="AI207" s="324">
        <v>140</v>
      </c>
      <c r="AJ207" s="50">
        <v>78.5</v>
      </c>
      <c r="AK207" s="334"/>
      <c r="AL207" s="334"/>
      <c r="AM207" s="334"/>
      <c r="AN207" s="334"/>
      <c r="AO207" s="334"/>
      <c r="AP207" s="334"/>
      <c r="AQ207" s="27">
        <f t="shared" si="19"/>
        <v>0</v>
      </c>
      <c r="AR207" s="27">
        <f t="shared" si="18"/>
        <v>0</v>
      </c>
      <c r="AS207" s="27">
        <f t="shared" si="20"/>
        <v>0</v>
      </c>
      <c r="AT207" s="27">
        <f t="shared" si="17"/>
        <v>0</v>
      </c>
      <c r="AU207" s="64"/>
      <c r="AV207" s="56"/>
    </row>
    <row r="208" spans="1:48">
      <c r="A208" s="64"/>
      <c r="B208" s="49"/>
      <c r="C208" s="153"/>
      <c r="D208" s="64"/>
      <c r="E208" s="64"/>
      <c r="F208" s="27">
        <v>150</v>
      </c>
      <c r="G208" s="27"/>
      <c r="H208" s="27">
        <v>130</v>
      </c>
      <c r="I208" s="50"/>
      <c r="J208" s="27">
        <v>130</v>
      </c>
      <c r="K208" s="31"/>
      <c r="L208" s="27">
        <v>75</v>
      </c>
      <c r="M208" s="27"/>
      <c r="N208" s="27">
        <v>75</v>
      </c>
      <c r="O208" s="31"/>
      <c r="P208" s="27">
        <v>75</v>
      </c>
      <c r="Q208" s="27"/>
      <c r="R208" s="27">
        <v>185</v>
      </c>
      <c r="S208" s="27"/>
      <c r="T208" s="27">
        <v>150</v>
      </c>
      <c r="U208" s="31"/>
      <c r="V208" s="27">
        <v>0.95</v>
      </c>
      <c r="W208" s="27"/>
      <c r="X208" s="27">
        <v>0.8</v>
      </c>
      <c r="Y208" s="27"/>
      <c r="Z208" s="121">
        <v>115</v>
      </c>
      <c r="AA208" s="27"/>
      <c r="AB208" s="27">
        <v>55</v>
      </c>
      <c r="AC208" s="231"/>
      <c r="AD208" s="272">
        <v>110</v>
      </c>
      <c r="AE208" s="27"/>
      <c r="AF208" s="27">
        <v>90</v>
      </c>
      <c r="AG208" s="29"/>
      <c r="AH208" s="324"/>
      <c r="AI208" s="324">
        <v>140</v>
      </c>
      <c r="AJ208" s="50">
        <v>78.5</v>
      </c>
      <c r="AK208" s="334"/>
      <c r="AL208" s="334"/>
      <c r="AM208" s="334"/>
      <c r="AN208" s="334"/>
      <c r="AO208" s="334"/>
      <c r="AP208" s="334"/>
      <c r="AQ208" s="27">
        <f t="shared" si="19"/>
        <v>0</v>
      </c>
      <c r="AR208" s="27">
        <f t="shared" si="18"/>
        <v>0</v>
      </c>
      <c r="AS208" s="27">
        <f t="shared" si="20"/>
        <v>0</v>
      </c>
      <c r="AT208" s="27">
        <f t="shared" si="17"/>
        <v>0</v>
      </c>
      <c r="AU208" s="64"/>
      <c r="AV208" s="56"/>
    </row>
    <row r="209" spans="1:48">
      <c r="A209" s="64"/>
      <c r="B209" s="49"/>
      <c r="C209" s="153"/>
      <c r="D209" s="64"/>
      <c r="E209" s="64"/>
      <c r="F209" s="27">
        <v>150</v>
      </c>
      <c r="G209" s="27"/>
      <c r="H209" s="27">
        <v>130</v>
      </c>
      <c r="I209" s="50"/>
      <c r="J209" s="27">
        <v>130</v>
      </c>
      <c r="K209" s="31"/>
      <c r="L209" s="27">
        <v>75</v>
      </c>
      <c r="M209" s="27"/>
      <c r="N209" s="27">
        <v>75</v>
      </c>
      <c r="O209" s="31"/>
      <c r="P209" s="27">
        <v>75</v>
      </c>
      <c r="Q209" s="27"/>
      <c r="R209" s="27">
        <v>185</v>
      </c>
      <c r="S209" s="27"/>
      <c r="T209" s="27">
        <v>150</v>
      </c>
      <c r="U209" s="31"/>
      <c r="V209" s="27">
        <v>0.95</v>
      </c>
      <c r="W209" s="27"/>
      <c r="X209" s="27">
        <v>0.8</v>
      </c>
      <c r="Y209" s="27"/>
      <c r="Z209" s="121">
        <v>115</v>
      </c>
      <c r="AA209" s="27"/>
      <c r="AB209" s="27">
        <v>55</v>
      </c>
      <c r="AC209" s="231"/>
      <c r="AD209" s="272">
        <v>110</v>
      </c>
      <c r="AE209" s="27"/>
      <c r="AF209" s="27">
        <v>90</v>
      </c>
      <c r="AG209" s="29"/>
      <c r="AH209" s="324"/>
      <c r="AI209" s="324">
        <v>140</v>
      </c>
      <c r="AJ209" s="50">
        <v>78.5</v>
      </c>
      <c r="AK209" s="334"/>
      <c r="AL209" s="334"/>
      <c r="AM209" s="334"/>
      <c r="AN209" s="334"/>
      <c r="AO209" s="334"/>
      <c r="AP209" s="334"/>
      <c r="AQ209" s="27">
        <f t="shared" si="19"/>
        <v>0</v>
      </c>
      <c r="AR209" s="27">
        <f t="shared" si="18"/>
        <v>0</v>
      </c>
      <c r="AS209" s="27">
        <f t="shared" si="20"/>
        <v>0</v>
      </c>
      <c r="AT209" s="27">
        <f t="shared" si="17"/>
        <v>0</v>
      </c>
      <c r="AU209" s="64"/>
      <c r="AV209" s="56"/>
    </row>
    <row r="210" spans="1:48">
      <c r="A210" s="64"/>
      <c r="B210" s="49"/>
      <c r="C210" s="153"/>
      <c r="D210" s="64"/>
      <c r="E210" s="64"/>
      <c r="F210" s="27">
        <v>150</v>
      </c>
      <c r="G210" s="27"/>
      <c r="H210" s="27">
        <v>130</v>
      </c>
      <c r="I210" s="50"/>
      <c r="J210" s="27">
        <v>130</v>
      </c>
      <c r="K210" s="31"/>
      <c r="L210" s="27">
        <v>75</v>
      </c>
      <c r="M210" s="27"/>
      <c r="N210" s="27">
        <v>75</v>
      </c>
      <c r="O210" s="31"/>
      <c r="P210" s="27">
        <v>75</v>
      </c>
      <c r="Q210" s="27"/>
      <c r="R210" s="27">
        <v>185</v>
      </c>
      <c r="S210" s="27"/>
      <c r="T210" s="27">
        <v>150</v>
      </c>
      <c r="U210" s="31"/>
      <c r="V210" s="27">
        <v>0.95</v>
      </c>
      <c r="W210" s="27"/>
      <c r="X210" s="27">
        <v>0.8</v>
      </c>
      <c r="Y210" s="27"/>
      <c r="Z210" s="121">
        <v>115</v>
      </c>
      <c r="AA210" s="27"/>
      <c r="AB210" s="27">
        <v>55</v>
      </c>
      <c r="AC210" s="231"/>
      <c r="AD210" s="272">
        <v>110</v>
      </c>
      <c r="AE210" s="27"/>
      <c r="AF210" s="27">
        <v>90</v>
      </c>
      <c r="AG210" s="29"/>
      <c r="AH210" s="324"/>
      <c r="AI210" s="324">
        <v>140</v>
      </c>
      <c r="AJ210" s="50">
        <v>78.5</v>
      </c>
      <c r="AK210" s="334"/>
      <c r="AL210" s="334"/>
      <c r="AM210" s="334"/>
      <c r="AN210" s="334"/>
      <c r="AO210" s="334"/>
      <c r="AP210" s="334"/>
      <c r="AQ210" s="27">
        <f t="shared" si="19"/>
        <v>0</v>
      </c>
      <c r="AR210" s="27">
        <f t="shared" ref="AR210:AR241" si="21">(E210*F210)+(G210*H210)+(I210*J210)+(K210*L210)+(M210*N210)+(Q210*R210)+(S210*T210)+AQ210+(AG210*AJ210)+(O210*P210)+(Y210*Z210)+(AA210*AB210)+(AE210*AF210)+(AC210*AD210)</f>
        <v>0</v>
      </c>
      <c r="AS210" s="27">
        <f t="shared" si="20"/>
        <v>0</v>
      </c>
      <c r="AT210" s="27">
        <f t="shared" si="17"/>
        <v>0</v>
      </c>
      <c r="AU210" s="64"/>
      <c r="AV210" s="56"/>
    </row>
    <row r="211" spans="1:48">
      <c r="A211" s="64"/>
      <c r="B211" s="49"/>
      <c r="C211" s="153"/>
      <c r="D211" s="64"/>
      <c r="E211" s="64"/>
      <c r="F211" s="27">
        <v>150</v>
      </c>
      <c r="G211" s="27"/>
      <c r="H211" s="27">
        <v>130</v>
      </c>
      <c r="I211" s="50"/>
      <c r="J211" s="27">
        <v>130</v>
      </c>
      <c r="K211" s="31"/>
      <c r="L211" s="27">
        <v>75</v>
      </c>
      <c r="M211" s="27"/>
      <c r="N211" s="27">
        <v>75</v>
      </c>
      <c r="O211" s="31"/>
      <c r="P211" s="27">
        <v>75</v>
      </c>
      <c r="Q211" s="27"/>
      <c r="R211" s="27">
        <v>185</v>
      </c>
      <c r="S211" s="27"/>
      <c r="T211" s="27">
        <v>150</v>
      </c>
      <c r="U211" s="31"/>
      <c r="V211" s="27">
        <v>0.95</v>
      </c>
      <c r="W211" s="27"/>
      <c r="X211" s="27">
        <v>0.8</v>
      </c>
      <c r="Y211" s="27"/>
      <c r="Z211" s="121">
        <v>115</v>
      </c>
      <c r="AA211" s="27"/>
      <c r="AB211" s="27">
        <v>55</v>
      </c>
      <c r="AC211" s="231"/>
      <c r="AD211" s="272">
        <v>110</v>
      </c>
      <c r="AE211" s="27"/>
      <c r="AF211" s="27">
        <v>90</v>
      </c>
      <c r="AG211" s="29"/>
      <c r="AH211" s="324"/>
      <c r="AI211" s="324">
        <v>140</v>
      </c>
      <c r="AJ211" s="50">
        <v>78.5</v>
      </c>
      <c r="AK211" s="334"/>
      <c r="AL211" s="334"/>
      <c r="AM211" s="334"/>
      <c r="AN211" s="334"/>
      <c r="AO211" s="334"/>
      <c r="AP211" s="334"/>
      <c r="AQ211" s="27">
        <f t="shared" si="19"/>
        <v>0</v>
      </c>
      <c r="AR211" s="27">
        <f t="shared" si="21"/>
        <v>0</v>
      </c>
      <c r="AS211" s="27">
        <f t="shared" si="20"/>
        <v>0</v>
      </c>
      <c r="AT211" s="27">
        <f t="shared" si="17"/>
        <v>0</v>
      </c>
      <c r="AU211" s="64"/>
      <c r="AV211" s="56"/>
    </row>
    <row r="212" spans="1:48">
      <c r="A212" s="64"/>
      <c r="B212" s="49"/>
      <c r="C212" s="153"/>
      <c r="D212" s="64"/>
      <c r="E212" s="64"/>
      <c r="F212" s="27">
        <v>150</v>
      </c>
      <c r="G212" s="27"/>
      <c r="H212" s="27">
        <v>130</v>
      </c>
      <c r="I212" s="50"/>
      <c r="J212" s="27">
        <v>130</v>
      </c>
      <c r="K212" s="31"/>
      <c r="L212" s="27">
        <v>75</v>
      </c>
      <c r="M212" s="27"/>
      <c r="N212" s="27">
        <v>75</v>
      </c>
      <c r="O212" s="31"/>
      <c r="P212" s="27">
        <v>75</v>
      </c>
      <c r="Q212" s="27"/>
      <c r="R212" s="27">
        <v>185</v>
      </c>
      <c r="S212" s="27"/>
      <c r="T212" s="27">
        <v>150</v>
      </c>
      <c r="U212" s="31"/>
      <c r="V212" s="27">
        <v>0.95</v>
      </c>
      <c r="W212" s="27"/>
      <c r="X212" s="27">
        <v>0.8</v>
      </c>
      <c r="Y212" s="27"/>
      <c r="Z212" s="121">
        <v>115</v>
      </c>
      <c r="AA212" s="27"/>
      <c r="AB212" s="27">
        <v>55</v>
      </c>
      <c r="AC212" s="231"/>
      <c r="AD212" s="272">
        <v>110</v>
      </c>
      <c r="AE212" s="27"/>
      <c r="AF212" s="27">
        <v>90</v>
      </c>
      <c r="AG212" s="29"/>
      <c r="AH212" s="324"/>
      <c r="AI212" s="324">
        <v>140</v>
      </c>
      <c r="AJ212" s="50">
        <v>78.5</v>
      </c>
      <c r="AK212" s="334"/>
      <c r="AL212" s="334"/>
      <c r="AM212" s="334"/>
      <c r="AN212" s="334"/>
      <c r="AO212" s="334"/>
      <c r="AP212" s="334"/>
      <c r="AQ212" s="27">
        <f t="shared" si="19"/>
        <v>0</v>
      </c>
      <c r="AR212" s="27">
        <f t="shared" si="21"/>
        <v>0</v>
      </c>
      <c r="AS212" s="27">
        <f t="shared" si="20"/>
        <v>0</v>
      </c>
      <c r="AT212" s="27">
        <f t="shared" si="17"/>
        <v>0</v>
      </c>
      <c r="AU212" s="64"/>
      <c r="AV212" s="56"/>
    </row>
    <row r="213" spans="1:48">
      <c r="A213" s="64"/>
      <c r="B213" s="49"/>
      <c r="C213" s="153"/>
      <c r="D213" s="64"/>
      <c r="E213" s="64"/>
      <c r="F213" s="27">
        <v>150</v>
      </c>
      <c r="G213" s="27"/>
      <c r="H213" s="27">
        <v>130</v>
      </c>
      <c r="I213" s="50"/>
      <c r="J213" s="27">
        <v>130</v>
      </c>
      <c r="K213" s="31"/>
      <c r="L213" s="27">
        <v>75</v>
      </c>
      <c r="M213" s="27"/>
      <c r="N213" s="27">
        <v>75</v>
      </c>
      <c r="O213" s="31"/>
      <c r="P213" s="27">
        <v>75</v>
      </c>
      <c r="Q213" s="27"/>
      <c r="R213" s="27">
        <v>185</v>
      </c>
      <c r="S213" s="27"/>
      <c r="T213" s="27">
        <v>150</v>
      </c>
      <c r="U213" s="31"/>
      <c r="V213" s="27">
        <v>0.95</v>
      </c>
      <c r="W213" s="27"/>
      <c r="X213" s="27">
        <v>0.8</v>
      </c>
      <c r="Y213" s="27"/>
      <c r="Z213" s="121">
        <v>115</v>
      </c>
      <c r="AA213" s="27"/>
      <c r="AB213" s="27">
        <v>55</v>
      </c>
      <c r="AC213" s="231"/>
      <c r="AD213" s="272">
        <v>110</v>
      </c>
      <c r="AE213" s="27"/>
      <c r="AF213" s="27">
        <v>90</v>
      </c>
      <c r="AG213" s="29"/>
      <c r="AH213" s="324"/>
      <c r="AI213" s="324">
        <v>140</v>
      </c>
      <c r="AJ213" s="50">
        <v>78.5</v>
      </c>
      <c r="AK213" s="334"/>
      <c r="AL213" s="334"/>
      <c r="AM213" s="334"/>
      <c r="AN213" s="334"/>
      <c r="AO213" s="334"/>
      <c r="AP213" s="334"/>
      <c r="AQ213" s="27">
        <f t="shared" si="19"/>
        <v>0</v>
      </c>
      <c r="AR213" s="27">
        <f t="shared" si="21"/>
        <v>0</v>
      </c>
      <c r="AS213" s="27">
        <f t="shared" si="20"/>
        <v>0</v>
      </c>
      <c r="AT213" s="27">
        <f t="shared" si="17"/>
        <v>0</v>
      </c>
      <c r="AU213" s="64"/>
      <c r="AV213" s="56"/>
    </row>
    <row r="214" spans="1:48">
      <c r="A214" s="64"/>
      <c r="B214" s="49"/>
      <c r="C214" s="153"/>
      <c r="D214" s="64"/>
      <c r="E214" s="64"/>
      <c r="F214" s="27">
        <v>150</v>
      </c>
      <c r="G214" s="27"/>
      <c r="H214" s="27">
        <v>130</v>
      </c>
      <c r="I214" s="50"/>
      <c r="J214" s="27">
        <v>130</v>
      </c>
      <c r="K214" s="31"/>
      <c r="L214" s="27">
        <v>75</v>
      </c>
      <c r="M214" s="27"/>
      <c r="N214" s="27">
        <v>75</v>
      </c>
      <c r="O214" s="31"/>
      <c r="P214" s="27">
        <v>75</v>
      </c>
      <c r="Q214" s="27"/>
      <c r="R214" s="27">
        <v>185</v>
      </c>
      <c r="S214" s="27"/>
      <c r="T214" s="27">
        <v>150</v>
      </c>
      <c r="U214" s="31"/>
      <c r="V214" s="27">
        <v>0.95</v>
      </c>
      <c r="W214" s="27"/>
      <c r="X214" s="27">
        <v>0.8</v>
      </c>
      <c r="Y214" s="27"/>
      <c r="Z214" s="121">
        <v>115</v>
      </c>
      <c r="AA214" s="27"/>
      <c r="AB214" s="27">
        <v>55</v>
      </c>
      <c r="AC214" s="231"/>
      <c r="AD214" s="272">
        <v>110</v>
      </c>
      <c r="AE214" s="27"/>
      <c r="AF214" s="27">
        <v>90</v>
      </c>
      <c r="AG214" s="29"/>
      <c r="AH214" s="324"/>
      <c r="AI214" s="324">
        <v>140</v>
      </c>
      <c r="AJ214" s="50">
        <v>78.5</v>
      </c>
      <c r="AK214" s="334"/>
      <c r="AL214" s="334"/>
      <c r="AM214" s="334"/>
      <c r="AN214" s="334"/>
      <c r="AO214" s="334"/>
      <c r="AP214" s="334"/>
      <c r="AQ214" s="27">
        <f t="shared" si="19"/>
        <v>0</v>
      </c>
      <c r="AR214" s="27">
        <f t="shared" si="21"/>
        <v>0</v>
      </c>
      <c r="AS214" s="27">
        <f t="shared" si="20"/>
        <v>0</v>
      </c>
      <c r="AT214" s="27">
        <f t="shared" si="17"/>
        <v>0</v>
      </c>
      <c r="AU214" s="64"/>
      <c r="AV214" s="56"/>
    </row>
    <row r="215" spans="1:48">
      <c r="A215" s="64"/>
      <c r="B215" s="49"/>
      <c r="C215" s="153"/>
      <c r="D215" s="64"/>
      <c r="E215" s="64"/>
      <c r="F215" s="27">
        <v>150</v>
      </c>
      <c r="G215" s="27"/>
      <c r="H215" s="27">
        <v>130</v>
      </c>
      <c r="I215" s="50"/>
      <c r="J215" s="27">
        <v>130</v>
      </c>
      <c r="K215" s="31"/>
      <c r="L215" s="27">
        <v>75</v>
      </c>
      <c r="M215" s="27"/>
      <c r="N215" s="27">
        <v>75</v>
      </c>
      <c r="O215" s="31"/>
      <c r="P215" s="27">
        <v>75</v>
      </c>
      <c r="Q215" s="27"/>
      <c r="R215" s="27">
        <v>185</v>
      </c>
      <c r="S215" s="27"/>
      <c r="T215" s="27">
        <v>150</v>
      </c>
      <c r="U215" s="31"/>
      <c r="V215" s="27">
        <v>0.95</v>
      </c>
      <c r="W215" s="27"/>
      <c r="X215" s="27">
        <v>0.8</v>
      </c>
      <c r="Y215" s="27"/>
      <c r="Z215" s="121">
        <v>115</v>
      </c>
      <c r="AA215" s="27"/>
      <c r="AB215" s="27">
        <v>55</v>
      </c>
      <c r="AC215" s="231"/>
      <c r="AD215" s="272">
        <v>110</v>
      </c>
      <c r="AE215" s="27"/>
      <c r="AF215" s="27">
        <v>90</v>
      </c>
      <c r="AG215" s="29"/>
      <c r="AH215" s="324"/>
      <c r="AI215" s="324">
        <v>140</v>
      </c>
      <c r="AJ215" s="50">
        <v>78.5</v>
      </c>
      <c r="AK215" s="334"/>
      <c r="AL215" s="334"/>
      <c r="AM215" s="334"/>
      <c r="AN215" s="334"/>
      <c r="AO215" s="334"/>
      <c r="AP215" s="334"/>
      <c r="AQ215" s="27">
        <f t="shared" si="19"/>
        <v>0</v>
      </c>
      <c r="AR215" s="27">
        <f t="shared" si="21"/>
        <v>0</v>
      </c>
      <c r="AS215" s="27">
        <f t="shared" si="20"/>
        <v>0</v>
      </c>
      <c r="AT215" s="27">
        <f t="shared" si="17"/>
        <v>0</v>
      </c>
      <c r="AU215" s="64"/>
      <c r="AV215" s="56"/>
    </row>
    <row r="216" spans="1:48">
      <c r="A216" s="64"/>
      <c r="B216" s="49"/>
      <c r="C216" s="153"/>
      <c r="D216" s="64"/>
      <c r="E216" s="64"/>
      <c r="F216" s="27">
        <v>150</v>
      </c>
      <c r="G216" s="27"/>
      <c r="H216" s="27">
        <v>130</v>
      </c>
      <c r="I216" s="50"/>
      <c r="J216" s="27">
        <v>130</v>
      </c>
      <c r="K216" s="31"/>
      <c r="L216" s="27">
        <v>75</v>
      </c>
      <c r="M216" s="27"/>
      <c r="N216" s="27">
        <v>75</v>
      </c>
      <c r="O216" s="31"/>
      <c r="P216" s="27">
        <v>75</v>
      </c>
      <c r="Q216" s="27"/>
      <c r="R216" s="27">
        <v>185</v>
      </c>
      <c r="S216" s="27"/>
      <c r="T216" s="27">
        <v>150</v>
      </c>
      <c r="U216" s="31"/>
      <c r="V216" s="27">
        <v>0.95</v>
      </c>
      <c r="W216" s="27"/>
      <c r="X216" s="27">
        <v>0.8</v>
      </c>
      <c r="Y216" s="27"/>
      <c r="Z216" s="121">
        <v>115</v>
      </c>
      <c r="AA216" s="27"/>
      <c r="AB216" s="27">
        <v>55</v>
      </c>
      <c r="AC216" s="231"/>
      <c r="AD216" s="272">
        <v>110</v>
      </c>
      <c r="AE216" s="27"/>
      <c r="AF216" s="27">
        <v>90</v>
      </c>
      <c r="AG216" s="29"/>
      <c r="AH216" s="324"/>
      <c r="AI216" s="324">
        <v>140</v>
      </c>
      <c r="AJ216" s="50">
        <v>78.5</v>
      </c>
      <c r="AK216" s="334"/>
      <c r="AL216" s="334"/>
      <c r="AM216" s="334"/>
      <c r="AN216" s="334"/>
      <c r="AO216" s="334"/>
      <c r="AP216" s="334"/>
      <c r="AQ216" s="27">
        <f t="shared" si="19"/>
        <v>0</v>
      </c>
      <c r="AR216" s="27">
        <f t="shared" si="21"/>
        <v>0</v>
      </c>
      <c r="AS216" s="27">
        <f t="shared" si="20"/>
        <v>0</v>
      </c>
      <c r="AT216" s="27">
        <f t="shared" si="17"/>
        <v>0</v>
      </c>
      <c r="AU216" s="64"/>
      <c r="AV216" s="56"/>
    </row>
    <row r="217" spans="1:48">
      <c r="A217" s="64"/>
      <c r="B217" s="49"/>
      <c r="C217" s="153"/>
      <c r="D217" s="64"/>
      <c r="E217" s="64"/>
      <c r="F217" s="27">
        <v>150</v>
      </c>
      <c r="G217" s="27"/>
      <c r="H217" s="27">
        <v>130</v>
      </c>
      <c r="I217" s="50"/>
      <c r="J217" s="27">
        <v>130</v>
      </c>
      <c r="K217" s="31"/>
      <c r="L217" s="27">
        <v>75</v>
      </c>
      <c r="M217" s="27"/>
      <c r="N217" s="27">
        <v>75</v>
      </c>
      <c r="O217" s="31"/>
      <c r="P217" s="27">
        <v>75</v>
      </c>
      <c r="Q217" s="27"/>
      <c r="R217" s="27">
        <v>185</v>
      </c>
      <c r="S217" s="27"/>
      <c r="T217" s="27">
        <v>150</v>
      </c>
      <c r="U217" s="31"/>
      <c r="V217" s="27">
        <v>0.95</v>
      </c>
      <c r="W217" s="27"/>
      <c r="X217" s="27">
        <v>0.8</v>
      </c>
      <c r="Y217" s="27"/>
      <c r="Z217" s="121">
        <v>115</v>
      </c>
      <c r="AA217" s="27"/>
      <c r="AB217" s="27">
        <v>55</v>
      </c>
      <c r="AC217" s="231"/>
      <c r="AD217" s="272">
        <v>110</v>
      </c>
      <c r="AE217" s="27"/>
      <c r="AF217" s="27">
        <v>90</v>
      </c>
      <c r="AG217" s="29"/>
      <c r="AH217" s="324"/>
      <c r="AI217" s="324">
        <v>140</v>
      </c>
      <c r="AJ217" s="50">
        <v>78.5</v>
      </c>
      <c r="AK217" s="334"/>
      <c r="AL217" s="334"/>
      <c r="AM217" s="334"/>
      <c r="AN217" s="334"/>
      <c r="AO217" s="334"/>
      <c r="AP217" s="334"/>
      <c r="AQ217" s="27">
        <f t="shared" si="19"/>
        <v>0</v>
      </c>
      <c r="AR217" s="27">
        <f t="shared" si="21"/>
        <v>0</v>
      </c>
      <c r="AS217" s="27">
        <f t="shared" si="20"/>
        <v>0</v>
      </c>
      <c r="AT217" s="27">
        <f t="shared" ref="AT217:AT241" si="22">SUM(AR217+AS217)</f>
        <v>0</v>
      </c>
      <c r="AU217" s="64"/>
      <c r="AV217" s="56"/>
    </row>
    <row r="218" spans="1:48">
      <c r="A218" s="64"/>
      <c r="B218" s="49"/>
      <c r="C218" s="153"/>
      <c r="D218" s="64"/>
      <c r="E218" s="64"/>
      <c r="F218" s="27">
        <v>150</v>
      </c>
      <c r="G218" s="27"/>
      <c r="H218" s="27">
        <v>130</v>
      </c>
      <c r="I218" s="50"/>
      <c r="J218" s="27">
        <v>130</v>
      </c>
      <c r="K218" s="31"/>
      <c r="L218" s="27">
        <v>75</v>
      </c>
      <c r="M218" s="27"/>
      <c r="N218" s="27">
        <v>75</v>
      </c>
      <c r="O218" s="31"/>
      <c r="P218" s="27">
        <v>75</v>
      </c>
      <c r="Q218" s="27"/>
      <c r="R218" s="27">
        <v>185</v>
      </c>
      <c r="S218" s="27"/>
      <c r="T218" s="27">
        <v>150</v>
      </c>
      <c r="U218" s="31"/>
      <c r="V218" s="27">
        <v>0.95</v>
      </c>
      <c r="W218" s="27"/>
      <c r="X218" s="27">
        <v>0.8</v>
      </c>
      <c r="Y218" s="27"/>
      <c r="Z218" s="121">
        <v>115</v>
      </c>
      <c r="AA218" s="27"/>
      <c r="AB218" s="27">
        <v>55</v>
      </c>
      <c r="AC218" s="231"/>
      <c r="AD218" s="272">
        <v>110</v>
      </c>
      <c r="AE218" s="27"/>
      <c r="AF218" s="27">
        <v>90</v>
      </c>
      <c r="AG218" s="29"/>
      <c r="AH218" s="324"/>
      <c r="AI218" s="324">
        <v>140</v>
      </c>
      <c r="AJ218" s="50">
        <v>78.5</v>
      </c>
      <c r="AK218" s="334"/>
      <c r="AL218" s="334"/>
      <c r="AM218" s="334"/>
      <c r="AN218" s="334"/>
      <c r="AO218" s="334"/>
      <c r="AP218" s="334"/>
      <c r="AQ218" s="27">
        <f t="shared" si="19"/>
        <v>0</v>
      </c>
      <c r="AR218" s="27">
        <f t="shared" si="21"/>
        <v>0</v>
      </c>
      <c r="AS218" s="27">
        <f t="shared" si="20"/>
        <v>0</v>
      </c>
      <c r="AT218" s="27">
        <f t="shared" si="22"/>
        <v>0</v>
      </c>
      <c r="AU218" s="64"/>
      <c r="AV218" s="56"/>
    </row>
    <row r="219" spans="1:48">
      <c r="A219" s="64"/>
      <c r="B219" s="49"/>
      <c r="C219" s="153"/>
      <c r="D219" s="64"/>
      <c r="E219" s="64"/>
      <c r="F219" s="27">
        <v>150</v>
      </c>
      <c r="G219" s="27"/>
      <c r="H219" s="27">
        <v>130</v>
      </c>
      <c r="I219" s="50"/>
      <c r="J219" s="27">
        <v>130</v>
      </c>
      <c r="K219" s="31"/>
      <c r="L219" s="27">
        <v>75</v>
      </c>
      <c r="M219" s="27"/>
      <c r="N219" s="27">
        <v>75</v>
      </c>
      <c r="O219" s="31"/>
      <c r="P219" s="27">
        <v>75</v>
      </c>
      <c r="Q219" s="27"/>
      <c r="R219" s="27">
        <v>185</v>
      </c>
      <c r="S219" s="27"/>
      <c r="T219" s="27">
        <v>150</v>
      </c>
      <c r="U219" s="31"/>
      <c r="V219" s="27">
        <v>0.95</v>
      </c>
      <c r="W219" s="27"/>
      <c r="X219" s="27">
        <v>0.8</v>
      </c>
      <c r="Y219" s="27"/>
      <c r="Z219" s="121">
        <v>115</v>
      </c>
      <c r="AA219" s="27"/>
      <c r="AB219" s="27">
        <v>55</v>
      </c>
      <c r="AC219" s="231"/>
      <c r="AD219" s="272">
        <v>110</v>
      </c>
      <c r="AE219" s="27"/>
      <c r="AF219" s="27">
        <v>90</v>
      </c>
      <c r="AG219" s="29"/>
      <c r="AH219" s="324"/>
      <c r="AI219" s="324">
        <v>140</v>
      </c>
      <c r="AJ219" s="50">
        <v>78.5</v>
      </c>
      <c r="AK219" s="334"/>
      <c r="AL219" s="334"/>
      <c r="AM219" s="334"/>
      <c r="AN219" s="334"/>
      <c r="AO219" s="334"/>
      <c r="AP219" s="334"/>
      <c r="AQ219" s="27">
        <f t="shared" si="19"/>
        <v>0</v>
      </c>
      <c r="AR219" s="27">
        <f t="shared" si="21"/>
        <v>0</v>
      </c>
      <c r="AS219" s="27">
        <f t="shared" si="20"/>
        <v>0</v>
      </c>
      <c r="AT219" s="27">
        <f t="shared" si="22"/>
        <v>0</v>
      </c>
      <c r="AU219" s="64"/>
      <c r="AV219" s="56"/>
    </row>
    <row r="220" spans="1:48">
      <c r="A220" s="64"/>
      <c r="B220" s="49"/>
      <c r="C220" s="153"/>
      <c r="D220" s="64"/>
      <c r="E220" s="64"/>
      <c r="F220" s="27">
        <v>150</v>
      </c>
      <c r="G220" s="27"/>
      <c r="H220" s="27">
        <v>130</v>
      </c>
      <c r="I220" s="50"/>
      <c r="J220" s="27">
        <v>130</v>
      </c>
      <c r="K220" s="31"/>
      <c r="L220" s="27">
        <v>75</v>
      </c>
      <c r="M220" s="27"/>
      <c r="N220" s="27">
        <v>75</v>
      </c>
      <c r="O220" s="31"/>
      <c r="P220" s="27">
        <v>75</v>
      </c>
      <c r="Q220" s="27"/>
      <c r="R220" s="27">
        <v>185</v>
      </c>
      <c r="S220" s="27"/>
      <c r="T220" s="27">
        <v>150</v>
      </c>
      <c r="U220" s="31"/>
      <c r="V220" s="27">
        <v>0.95</v>
      </c>
      <c r="W220" s="27"/>
      <c r="X220" s="27">
        <v>0.8</v>
      </c>
      <c r="Y220" s="27"/>
      <c r="Z220" s="121">
        <v>115</v>
      </c>
      <c r="AA220" s="27"/>
      <c r="AB220" s="27">
        <v>55</v>
      </c>
      <c r="AC220" s="231"/>
      <c r="AD220" s="272">
        <v>110</v>
      </c>
      <c r="AE220" s="27"/>
      <c r="AF220" s="27">
        <v>90</v>
      </c>
      <c r="AG220" s="29"/>
      <c r="AH220" s="324"/>
      <c r="AI220" s="324">
        <v>140</v>
      </c>
      <c r="AJ220" s="50">
        <v>78.5</v>
      </c>
      <c r="AK220" s="334"/>
      <c r="AL220" s="334"/>
      <c r="AM220" s="334"/>
      <c r="AN220" s="334"/>
      <c r="AO220" s="334"/>
      <c r="AP220" s="334"/>
      <c r="AQ220" s="27">
        <f t="shared" si="19"/>
        <v>0</v>
      </c>
      <c r="AR220" s="27">
        <f t="shared" si="21"/>
        <v>0</v>
      </c>
      <c r="AS220" s="27">
        <f t="shared" si="20"/>
        <v>0</v>
      </c>
      <c r="AT220" s="27">
        <f t="shared" si="22"/>
        <v>0</v>
      </c>
      <c r="AU220" s="64"/>
      <c r="AV220" s="56"/>
    </row>
    <row r="221" spans="1:48">
      <c r="A221" s="64"/>
      <c r="B221" s="49"/>
      <c r="C221" s="153"/>
      <c r="D221" s="64"/>
      <c r="E221" s="64"/>
      <c r="F221" s="27">
        <v>150</v>
      </c>
      <c r="G221" s="27"/>
      <c r="H221" s="27">
        <v>130</v>
      </c>
      <c r="I221" s="50"/>
      <c r="J221" s="27">
        <v>130</v>
      </c>
      <c r="K221" s="31"/>
      <c r="L221" s="27">
        <v>75</v>
      </c>
      <c r="M221" s="27"/>
      <c r="N221" s="27">
        <v>75</v>
      </c>
      <c r="O221" s="31"/>
      <c r="P221" s="27">
        <v>75</v>
      </c>
      <c r="Q221" s="27"/>
      <c r="R221" s="27">
        <v>185</v>
      </c>
      <c r="S221" s="27"/>
      <c r="T221" s="27">
        <v>150</v>
      </c>
      <c r="U221" s="31"/>
      <c r="V221" s="27">
        <v>0.95</v>
      </c>
      <c r="W221" s="27"/>
      <c r="X221" s="27">
        <v>0.8</v>
      </c>
      <c r="Y221" s="27"/>
      <c r="Z221" s="121">
        <v>115</v>
      </c>
      <c r="AA221" s="27"/>
      <c r="AB221" s="27">
        <v>55</v>
      </c>
      <c r="AC221" s="231"/>
      <c r="AD221" s="272">
        <v>110</v>
      </c>
      <c r="AE221" s="27"/>
      <c r="AF221" s="27">
        <v>90</v>
      </c>
      <c r="AG221" s="29"/>
      <c r="AH221" s="324"/>
      <c r="AI221" s="324">
        <v>140</v>
      </c>
      <c r="AJ221" s="50">
        <v>78.5</v>
      </c>
      <c r="AK221" s="334"/>
      <c r="AL221" s="334"/>
      <c r="AM221" s="334"/>
      <c r="AN221" s="334"/>
      <c r="AO221" s="334"/>
      <c r="AP221" s="334"/>
      <c r="AQ221" s="27">
        <f t="shared" si="19"/>
        <v>0</v>
      </c>
      <c r="AR221" s="27">
        <f t="shared" si="21"/>
        <v>0</v>
      </c>
      <c r="AS221" s="27">
        <f t="shared" si="20"/>
        <v>0</v>
      </c>
      <c r="AT221" s="27">
        <f t="shared" si="22"/>
        <v>0</v>
      </c>
      <c r="AU221" s="64"/>
      <c r="AV221" s="56"/>
    </row>
    <row r="222" spans="1:48">
      <c r="A222" s="64"/>
      <c r="B222" s="49"/>
      <c r="C222" s="153"/>
      <c r="D222" s="64"/>
      <c r="E222" s="64"/>
      <c r="F222" s="27">
        <v>150</v>
      </c>
      <c r="G222" s="27"/>
      <c r="H222" s="27">
        <v>130</v>
      </c>
      <c r="I222" s="50"/>
      <c r="J222" s="27">
        <v>130</v>
      </c>
      <c r="K222" s="31"/>
      <c r="L222" s="27">
        <v>75</v>
      </c>
      <c r="M222" s="27"/>
      <c r="N222" s="27">
        <v>75</v>
      </c>
      <c r="O222" s="31"/>
      <c r="P222" s="27">
        <v>75</v>
      </c>
      <c r="Q222" s="27"/>
      <c r="R222" s="27">
        <v>185</v>
      </c>
      <c r="S222" s="27"/>
      <c r="T222" s="27">
        <v>150</v>
      </c>
      <c r="U222" s="31"/>
      <c r="V222" s="27">
        <v>0.95</v>
      </c>
      <c r="W222" s="27"/>
      <c r="X222" s="27">
        <v>0.8</v>
      </c>
      <c r="Y222" s="27"/>
      <c r="Z222" s="121">
        <v>115</v>
      </c>
      <c r="AA222" s="27"/>
      <c r="AB222" s="27">
        <v>55</v>
      </c>
      <c r="AC222" s="231"/>
      <c r="AD222" s="272">
        <v>110</v>
      </c>
      <c r="AE222" s="27"/>
      <c r="AF222" s="27">
        <v>90</v>
      </c>
      <c r="AG222" s="29"/>
      <c r="AH222" s="324"/>
      <c r="AI222" s="324">
        <v>140</v>
      </c>
      <c r="AJ222" s="50">
        <v>78.5</v>
      </c>
      <c r="AK222" s="334"/>
      <c r="AL222" s="334"/>
      <c r="AM222" s="334"/>
      <c r="AN222" s="334"/>
      <c r="AO222" s="334"/>
      <c r="AP222" s="334"/>
      <c r="AQ222" s="27">
        <f t="shared" si="19"/>
        <v>0</v>
      </c>
      <c r="AR222" s="27">
        <f t="shared" si="21"/>
        <v>0</v>
      </c>
      <c r="AS222" s="27">
        <f t="shared" si="20"/>
        <v>0</v>
      </c>
      <c r="AT222" s="27">
        <f t="shared" si="22"/>
        <v>0</v>
      </c>
      <c r="AU222" s="64"/>
      <c r="AV222" s="56"/>
    </row>
    <row r="223" spans="1:48">
      <c r="A223" s="64"/>
      <c r="B223" s="49"/>
      <c r="C223" s="153"/>
      <c r="D223" s="64"/>
      <c r="E223" s="64"/>
      <c r="F223" s="27">
        <v>150</v>
      </c>
      <c r="G223" s="27"/>
      <c r="H223" s="27">
        <v>130</v>
      </c>
      <c r="I223" s="50"/>
      <c r="J223" s="27">
        <v>130</v>
      </c>
      <c r="K223" s="31"/>
      <c r="L223" s="27">
        <v>75</v>
      </c>
      <c r="M223" s="27"/>
      <c r="N223" s="27">
        <v>75</v>
      </c>
      <c r="O223" s="31"/>
      <c r="P223" s="27">
        <v>75</v>
      </c>
      <c r="Q223" s="27"/>
      <c r="R223" s="27">
        <v>185</v>
      </c>
      <c r="S223" s="27"/>
      <c r="T223" s="27">
        <v>150</v>
      </c>
      <c r="U223" s="31"/>
      <c r="V223" s="27">
        <v>0.95</v>
      </c>
      <c r="W223" s="27"/>
      <c r="X223" s="27">
        <v>0.8</v>
      </c>
      <c r="Y223" s="27"/>
      <c r="Z223" s="121">
        <v>115</v>
      </c>
      <c r="AA223" s="27"/>
      <c r="AB223" s="27">
        <v>55</v>
      </c>
      <c r="AC223" s="231"/>
      <c r="AD223" s="272">
        <v>110</v>
      </c>
      <c r="AE223" s="27"/>
      <c r="AF223" s="27">
        <v>90</v>
      </c>
      <c r="AG223" s="29"/>
      <c r="AH223" s="324"/>
      <c r="AI223" s="324">
        <v>140</v>
      </c>
      <c r="AJ223" s="50">
        <v>78.5</v>
      </c>
      <c r="AK223" s="334"/>
      <c r="AL223" s="334"/>
      <c r="AM223" s="334"/>
      <c r="AN223" s="334"/>
      <c r="AO223" s="334"/>
      <c r="AP223" s="334"/>
      <c r="AQ223" s="27">
        <f t="shared" si="19"/>
        <v>0</v>
      </c>
      <c r="AR223" s="27">
        <f t="shared" si="21"/>
        <v>0</v>
      </c>
      <c r="AS223" s="27">
        <f t="shared" si="20"/>
        <v>0</v>
      </c>
      <c r="AT223" s="27">
        <f t="shared" si="22"/>
        <v>0</v>
      </c>
      <c r="AU223" s="64"/>
      <c r="AV223" s="56"/>
    </row>
    <row r="224" spans="1:48">
      <c r="A224" s="64"/>
      <c r="B224" s="49"/>
      <c r="C224" s="153"/>
      <c r="D224" s="64"/>
      <c r="E224" s="64"/>
      <c r="F224" s="27">
        <v>150</v>
      </c>
      <c r="G224" s="27"/>
      <c r="H224" s="27">
        <v>130</v>
      </c>
      <c r="I224" s="50"/>
      <c r="J224" s="27">
        <v>130</v>
      </c>
      <c r="K224" s="31"/>
      <c r="L224" s="27">
        <v>75</v>
      </c>
      <c r="M224" s="27"/>
      <c r="N224" s="27">
        <v>75</v>
      </c>
      <c r="O224" s="31"/>
      <c r="P224" s="27">
        <v>75</v>
      </c>
      <c r="Q224" s="27"/>
      <c r="R224" s="27">
        <v>185</v>
      </c>
      <c r="S224" s="27"/>
      <c r="T224" s="27">
        <v>150</v>
      </c>
      <c r="U224" s="31"/>
      <c r="V224" s="27">
        <v>0.95</v>
      </c>
      <c r="W224" s="27"/>
      <c r="X224" s="27">
        <v>0.8</v>
      </c>
      <c r="Y224" s="27"/>
      <c r="Z224" s="121">
        <v>115</v>
      </c>
      <c r="AA224" s="27"/>
      <c r="AB224" s="27">
        <v>55</v>
      </c>
      <c r="AC224" s="231"/>
      <c r="AD224" s="272">
        <v>110</v>
      </c>
      <c r="AE224" s="27"/>
      <c r="AF224" s="27">
        <v>90</v>
      </c>
      <c r="AG224" s="29"/>
      <c r="AH224" s="324"/>
      <c r="AI224" s="324">
        <v>140</v>
      </c>
      <c r="AJ224" s="50">
        <v>78.5</v>
      </c>
      <c r="AK224" s="334"/>
      <c r="AL224" s="334"/>
      <c r="AM224" s="334"/>
      <c r="AN224" s="334"/>
      <c r="AO224" s="334"/>
      <c r="AP224" s="334"/>
      <c r="AQ224" s="27">
        <f t="shared" si="19"/>
        <v>0</v>
      </c>
      <c r="AR224" s="27">
        <f t="shared" si="21"/>
        <v>0</v>
      </c>
      <c r="AS224" s="27">
        <f t="shared" si="20"/>
        <v>0</v>
      </c>
      <c r="AT224" s="27">
        <f t="shared" si="22"/>
        <v>0</v>
      </c>
      <c r="AU224" s="64"/>
      <c r="AV224" s="56"/>
    </row>
    <row r="225" spans="1:48">
      <c r="A225" s="64"/>
      <c r="B225" s="49"/>
      <c r="C225" s="153"/>
      <c r="D225" s="64"/>
      <c r="E225" s="64"/>
      <c r="F225" s="27">
        <v>150</v>
      </c>
      <c r="G225" s="27"/>
      <c r="H225" s="27">
        <v>130</v>
      </c>
      <c r="I225" s="50"/>
      <c r="J225" s="27">
        <v>130</v>
      </c>
      <c r="K225" s="31"/>
      <c r="L225" s="27">
        <v>75</v>
      </c>
      <c r="M225" s="27"/>
      <c r="N225" s="27">
        <v>75</v>
      </c>
      <c r="O225" s="31"/>
      <c r="P225" s="27">
        <v>75</v>
      </c>
      <c r="Q225" s="27"/>
      <c r="R225" s="27">
        <v>185</v>
      </c>
      <c r="S225" s="27"/>
      <c r="T225" s="27">
        <v>150</v>
      </c>
      <c r="U225" s="31"/>
      <c r="V225" s="27">
        <v>0.95</v>
      </c>
      <c r="W225" s="27"/>
      <c r="X225" s="27">
        <v>0.8</v>
      </c>
      <c r="Y225" s="27"/>
      <c r="Z225" s="121">
        <v>115</v>
      </c>
      <c r="AA225" s="27"/>
      <c r="AB225" s="27">
        <v>55</v>
      </c>
      <c r="AC225" s="231"/>
      <c r="AD225" s="272">
        <v>110</v>
      </c>
      <c r="AE225" s="27"/>
      <c r="AF225" s="27">
        <v>90</v>
      </c>
      <c r="AG225" s="29"/>
      <c r="AH225" s="324"/>
      <c r="AI225" s="324">
        <v>140</v>
      </c>
      <c r="AJ225" s="50">
        <v>78.5</v>
      </c>
      <c r="AK225" s="334"/>
      <c r="AL225" s="334"/>
      <c r="AM225" s="334"/>
      <c r="AN225" s="334"/>
      <c r="AO225" s="334"/>
      <c r="AP225" s="334"/>
      <c r="AQ225" s="27">
        <f t="shared" si="19"/>
        <v>0</v>
      </c>
      <c r="AR225" s="27">
        <f t="shared" si="21"/>
        <v>0</v>
      </c>
      <c r="AS225" s="27">
        <f t="shared" si="20"/>
        <v>0</v>
      </c>
      <c r="AT225" s="27">
        <f t="shared" si="22"/>
        <v>0</v>
      </c>
      <c r="AU225" s="64"/>
      <c r="AV225" s="56"/>
    </row>
    <row r="226" spans="1:48">
      <c r="A226" s="64"/>
      <c r="B226" s="49"/>
      <c r="C226" s="153"/>
      <c r="D226" s="64"/>
      <c r="E226" s="64"/>
      <c r="F226" s="27">
        <v>150</v>
      </c>
      <c r="G226" s="27"/>
      <c r="H226" s="27">
        <v>130</v>
      </c>
      <c r="I226" s="50"/>
      <c r="J226" s="27">
        <v>130</v>
      </c>
      <c r="K226" s="31"/>
      <c r="L226" s="27">
        <v>75</v>
      </c>
      <c r="M226" s="27"/>
      <c r="N226" s="27">
        <v>75</v>
      </c>
      <c r="O226" s="31"/>
      <c r="P226" s="27">
        <v>75</v>
      </c>
      <c r="Q226" s="27"/>
      <c r="R226" s="27">
        <v>185</v>
      </c>
      <c r="S226" s="27"/>
      <c r="T226" s="27">
        <v>150</v>
      </c>
      <c r="U226" s="31"/>
      <c r="V226" s="27">
        <v>0.95</v>
      </c>
      <c r="W226" s="27"/>
      <c r="X226" s="27">
        <v>0.8</v>
      </c>
      <c r="Y226" s="27"/>
      <c r="Z226" s="121">
        <v>115</v>
      </c>
      <c r="AA226" s="27"/>
      <c r="AB226" s="27">
        <v>55</v>
      </c>
      <c r="AC226" s="231"/>
      <c r="AD226" s="272">
        <v>110</v>
      </c>
      <c r="AE226" s="27"/>
      <c r="AF226" s="27">
        <v>90</v>
      </c>
      <c r="AG226" s="29"/>
      <c r="AH226" s="324"/>
      <c r="AI226" s="324">
        <v>140</v>
      </c>
      <c r="AJ226" s="50">
        <v>78.5</v>
      </c>
      <c r="AK226" s="334"/>
      <c r="AL226" s="334"/>
      <c r="AM226" s="334"/>
      <c r="AN226" s="334"/>
      <c r="AO226" s="334"/>
      <c r="AP226" s="334"/>
      <c r="AQ226" s="27">
        <f t="shared" si="19"/>
        <v>0</v>
      </c>
      <c r="AR226" s="27">
        <f t="shared" si="21"/>
        <v>0</v>
      </c>
      <c r="AS226" s="27">
        <f t="shared" si="20"/>
        <v>0</v>
      </c>
      <c r="AT226" s="27">
        <f t="shared" si="22"/>
        <v>0</v>
      </c>
      <c r="AU226" s="64"/>
      <c r="AV226" s="56"/>
    </row>
    <row r="227" spans="1:48">
      <c r="A227" s="64"/>
      <c r="B227" s="49"/>
      <c r="C227" s="153"/>
      <c r="D227" s="64"/>
      <c r="E227" s="64"/>
      <c r="F227" s="27">
        <v>150</v>
      </c>
      <c r="G227" s="27"/>
      <c r="H227" s="27">
        <v>130</v>
      </c>
      <c r="I227" s="50"/>
      <c r="J227" s="27">
        <v>130</v>
      </c>
      <c r="K227" s="31"/>
      <c r="L227" s="27">
        <v>75</v>
      </c>
      <c r="M227" s="27"/>
      <c r="N227" s="27">
        <v>75</v>
      </c>
      <c r="O227" s="31"/>
      <c r="P227" s="27">
        <v>75</v>
      </c>
      <c r="Q227" s="27"/>
      <c r="R227" s="27">
        <v>185</v>
      </c>
      <c r="S227" s="27"/>
      <c r="T227" s="27">
        <v>150</v>
      </c>
      <c r="U227" s="31"/>
      <c r="V227" s="27">
        <v>0.95</v>
      </c>
      <c r="W227" s="27"/>
      <c r="X227" s="27">
        <v>0.8</v>
      </c>
      <c r="Y227" s="27"/>
      <c r="Z227" s="121">
        <v>115</v>
      </c>
      <c r="AA227" s="27"/>
      <c r="AB227" s="27">
        <v>55</v>
      </c>
      <c r="AC227" s="231"/>
      <c r="AD227" s="272">
        <v>110</v>
      </c>
      <c r="AE227" s="27"/>
      <c r="AF227" s="27">
        <v>90</v>
      </c>
      <c r="AG227" s="29"/>
      <c r="AH227" s="324"/>
      <c r="AI227" s="324">
        <v>140</v>
      </c>
      <c r="AJ227" s="50">
        <v>78.5</v>
      </c>
      <c r="AK227" s="334"/>
      <c r="AL227" s="334"/>
      <c r="AM227" s="334"/>
      <c r="AN227" s="334"/>
      <c r="AO227" s="334"/>
      <c r="AP227" s="334"/>
      <c r="AQ227" s="27">
        <f t="shared" si="19"/>
        <v>0</v>
      </c>
      <c r="AR227" s="27">
        <f t="shared" si="21"/>
        <v>0</v>
      </c>
      <c r="AS227" s="27">
        <f t="shared" si="20"/>
        <v>0</v>
      </c>
      <c r="AT227" s="27">
        <f t="shared" si="22"/>
        <v>0</v>
      </c>
      <c r="AU227" s="64"/>
      <c r="AV227" s="56"/>
    </row>
    <row r="228" spans="1:48">
      <c r="A228" s="64"/>
      <c r="B228" s="49"/>
      <c r="C228" s="153"/>
      <c r="D228" s="64"/>
      <c r="E228" s="64"/>
      <c r="F228" s="27">
        <v>150</v>
      </c>
      <c r="G228" s="27"/>
      <c r="H228" s="27">
        <v>130</v>
      </c>
      <c r="I228" s="50"/>
      <c r="J228" s="27">
        <v>130</v>
      </c>
      <c r="K228" s="31"/>
      <c r="L228" s="27">
        <v>75</v>
      </c>
      <c r="M228" s="27"/>
      <c r="N228" s="27">
        <v>75</v>
      </c>
      <c r="O228" s="31"/>
      <c r="P228" s="27">
        <v>75</v>
      </c>
      <c r="Q228" s="27"/>
      <c r="R228" s="27">
        <v>185</v>
      </c>
      <c r="S228" s="27"/>
      <c r="T228" s="27">
        <v>150</v>
      </c>
      <c r="U228" s="31"/>
      <c r="V228" s="27">
        <v>0.95</v>
      </c>
      <c r="W228" s="27"/>
      <c r="X228" s="27">
        <v>0.8</v>
      </c>
      <c r="Y228" s="27"/>
      <c r="Z228" s="121">
        <v>115</v>
      </c>
      <c r="AA228" s="27"/>
      <c r="AB228" s="27">
        <v>55</v>
      </c>
      <c r="AC228" s="231"/>
      <c r="AD228" s="272">
        <v>110</v>
      </c>
      <c r="AE228" s="27"/>
      <c r="AF228" s="27">
        <v>90</v>
      </c>
      <c r="AG228" s="29"/>
      <c r="AH228" s="324"/>
      <c r="AI228" s="324">
        <v>140</v>
      </c>
      <c r="AJ228" s="50">
        <v>78.5</v>
      </c>
      <c r="AK228" s="334"/>
      <c r="AL228" s="334"/>
      <c r="AM228" s="334"/>
      <c r="AN228" s="334"/>
      <c r="AO228" s="334"/>
      <c r="AP228" s="334"/>
      <c r="AQ228" s="27">
        <f t="shared" si="19"/>
        <v>0</v>
      </c>
      <c r="AR228" s="27">
        <f t="shared" si="21"/>
        <v>0</v>
      </c>
      <c r="AS228" s="27">
        <f t="shared" si="20"/>
        <v>0</v>
      </c>
      <c r="AT228" s="27">
        <f t="shared" si="22"/>
        <v>0</v>
      </c>
      <c r="AU228" s="64"/>
      <c r="AV228" s="56"/>
    </row>
    <row r="229" spans="1:48">
      <c r="A229" s="64"/>
      <c r="B229" s="49"/>
      <c r="C229" s="153"/>
      <c r="D229" s="64"/>
      <c r="E229" s="64"/>
      <c r="F229" s="27">
        <v>150</v>
      </c>
      <c r="G229" s="27"/>
      <c r="H229" s="27">
        <v>130</v>
      </c>
      <c r="I229" s="50"/>
      <c r="J229" s="27">
        <v>130</v>
      </c>
      <c r="K229" s="31"/>
      <c r="L229" s="27">
        <v>75</v>
      </c>
      <c r="M229" s="27"/>
      <c r="N229" s="27">
        <v>75</v>
      </c>
      <c r="O229" s="31"/>
      <c r="P229" s="27">
        <v>75</v>
      </c>
      <c r="Q229" s="27"/>
      <c r="R229" s="27">
        <v>185</v>
      </c>
      <c r="S229" s="27"/>
      <c r="T229" s="27">
        <v>150</v>
      </c>
      <c r="U229" s="31"/>
      <c r="V229" s="27">
        <v>0.95</v>
      </c>
      <c r="W229" s="27"/>
      <c r="X229" s="27">
        <v>0.8</v>
      </c>
      <c r="Y229" s="27"/>
      <c r="Z229" s="121">
        <v>115</v>
      </c>
      <c r="AA229" s="27"/>
      <c r="AB229" s="27">
        <v>55</v>
      </c>
      <c r="AC229" s="231"/>
      <c r="AD229" s="272">
        <v>110</v>
      </c>
      <c r="AE229" s="27"/>
      <c r="AF229" s="27">
        <v>90</v>
      </c>
      <c r="AG229" s="29"/>
      <c r="AH229" s="324"/>
      <c r="AI229" s="324">
        <v>140</v>
      </c>
      <c r="AJ229" s="50">
        <v>78.5</v>
      </c>
      <c r="AK229" s="334"/>
      <c r="AL229" s="334"/>
      <c r="AM229" s="334"/>
      <c r="AN229" s="334"/>
      <c r="AO229" s="334"/>
      <c r="AP229" s="334"/>
      <c r="AQ229" s="27">
        <f t="shared" si="19"/>
        <v>0</v>
      </c>
      <c r="AR229" s="27">
        <f t="shared" si="21"/>
        <v>0</v>
      </c>
      <c r="AS229" s="27">
        <f t="shared" si="20"/>
        <v>0</v>
      </c>
      <c r="AT229" s="27">
        <f t="shared" si="22"/>
        <v>0</v>
      </c>
      <c r="AU229" s="64"/>
      <c r="AV229" s="56"/>
    </row>
    <row r="230" spans="1:48">
      <c r="A230" s="64"/>
      <c r="B230" s="49"/>
      <c r="C230" s="153"/>
      <c r="D230" s="64"/>
      <c r="E230" s="64"/>
      <c r="F230" s="27">
        <v>150</v>
      </c>
      <c r="G230" s="27"/>
      <c r="H230" s="27">
        <v>130</v>
      </c>
      <c r="I230" s="50"/>
      <c r="J230" s="27">
        <v>130</v>
      </c>
      <c r="K230" s="31"/>
      <c r="L230" s="27">
        <v>75</v>
      </c>
      <c r="M230" s="27"/>
      <c r="N230" s="27">
        <v>75</v>
      </c>
      <c r="O230" s="31"/>
      <c r="P230" s="27">
        <v>75</v>
      </c>
      <c r="Q230" s="27"/>
      <c r="R230" s="27">
        <v>185</v>
      </c>
      <c r="S230" s="27"/>
      <c r="T230" s="27">
        <v>150</v>
      </c>
      <c r="U230" s="31"/>
      <c r="V230" s="27">
        <v>0.95</v>
      </c>
      <c r="W230" s="27"/>
      <c r="X230" s="27">
        <v>0.8</v>
      </c>
      <c r="Y230" s="27"/>
      <c r="Z230" s="121">
        <v>115</v>
      </c>
      <c r="AA230" s="27"/>
      <c r="AB230" s="27">
        <v>55</v>
      </c>
      <c r="AC230" s="231"/>
      <c r="AD230" s="272">
        <v>110</v>
      </c>
      <c r="AE230" s="27"/>
      <c r="AF230" s="27">
        <v>90</v>
      </c>
      <c r="AG230" s="29"/>
      <c r="AH230" s="324"/>
      <c r="AI230" s="324">
        <v>140</v>
      </c>
      <c r="AJ230" s="50">
        <v>78.5</v>
      </c>
      <c r="AK230" s="334"/>
      <c r="AL230" s="334"/>
      <c r="AM230" s="334"/>
      <c r="AN230" s="334"/>
      <c r="AO230" s="334"/>
      <c r="AP230" s="334"/>
      <c r="AQ230" s="27">
        <f t="shared" si="19"/>
        <v>0</v>
      </c>
      <c r="AR230" s="27">
        <f t="shared" si="21"/>
        <v>0</v>
      </c>
      <c r="AS230" s="27">
        <f t="shared" si="20"/>
        <v>0</v>
      </c>
      <c r="AT230" s="27">
        <f t="shared" si="22"/>
        <v>0</v>
      </c>
      <c r="AU230" s="64"/>
      <c r="AV230" s="56"/>
    </row>
    <row r="231" spans="1:48">
      <c r="A231" s="64"/>
      <c r="B231" s="49"/>
      <c r="C231" s="153"/>
      <c r="D231" s="64"/>
      <c r="E231" s="64"/>
      <c r="F231" s="27">
        <v>150</v>
      </c>
      <c r="G231" s="27"/>
      <c r="H231" s="27">
        <v>130</v>
      </c>
      <c r="I231" s="50"/>
      <c r="J231" s="27">
        <v>130</v>
      </c>
      <c r="K231" s="31"/>
      <c r="L231" s="27">
        <v>75</v>
      </c>
      <c r="M231" s="27"/>
      <c r="N231" s="27">
        <v>75</v>
      </c>
      <c r="O231" s="31"/>
      <c r="P231" s="27">
        <v>75</v>
      </c>
      <c r="Q231" s="27"/>
      <c r="R231" s="27">
        <v>185</v>
      </c>
      <c r="S231" s="27"/>
      <c r="T231" s="27">
        <v>150</v>
      </c>
      <c r="U231" s="31"/>
      <c r="V231" s="27">
        <v>0.95</v>
      </c>
      <c r="W231" s="27"/>
      <c r="X231" s="27">
        <v>0.8</v>
      </c>
      <c r="Y231" s="27"/>
      <c r="Z231" s="121">
        <v>115</v>
      </c>
      <c r="AA231" s="27"/>
      <c r="AB231" s="27">
        <v>55</v>
      </c>
      <c r="AC231" s="231"/>
      <c r="AD231" s="272">
        <v>110</v>
      </c>
      <c r="AE231" s="27"/>
      <c r="AF231" s="27">
        <v>90</v>
      </c>
      <c r="AG231" s="29"/>
      <c r="AH231" s="324"/>
      <c r="AI231" s="324">
        <v>140</v>
      </c>
      <c r="AJ231" s="50">
        <v>78.5</v>
      </c>
      <c r="AK231" s="334"/>
      <c r="AL231" s="334"/>
      <c r="AM231" s="334"/>
      <c r="AN231" s="334"/>
      <c r="AO231" s="334"/>
      <c r="AP231" s="334"/>
      <c r="AQ231" s="27">
        <f t="shared" si="19"/>
        <v>0</v>
      </c>
      <c r="AR231" s="27">
        <f t="shared" si="21"/>
        <v>0</v>
      </c>
      <c r="AS231" s="27">
        <f t="shared" si="20"/>
        <v>0</v>
      </c>
      <c r="AT231" s="27">
        <f t="shared" si="22"/>
        <v>0</v>
      </c>
      <c r="AU231" s="64"/>
      <c r="AV231" s="56"/>
    </row>
    <row r="232" spans="1:48">
      <c r="A232" s="64"/>
      <c r="B232" s="49"/>
      <c r="C232" s="153"/>
      <c r="D232" s="64"/>
      <c r="E232" s="64"/>
      <c r="F232" s="27">
        <v>150</v>
      </c>
      <c r="G232" s="27"/>
      <c r="H232" s="27">
        <v>130</v>
      </c>
      <c r="I232" s="50"/>
      <c r="J232" s="27">
        <v>130</v>
      </c>
      <c r="K232" s="31"/>
      <c r="L232" s="27">
        <v>75</v>
      </c>
      <c r="M232" s="27"/>
      <c r="N232" s="27">
        <v>75</v>
      </c>
      <c r="O232" s="31"/>
      <c r="P232" s="27">
        <v>75</v>
      </c>
      <c r="Q232" s="27"/>
      <c r="R232" s="27">
        <v>185</v>
      </c>
      <c r="S232" s="27"/>
      <c r="T232" s="27">
        <v>150</v>
      </c>
      <c r="U232" s="31"/>
      <c r="V232" s="27">
        <v>0.95</v>
      </c>
      <c r="W232" s="27"/>
      <c r="X232" s="27">
        <v>0.8</v>
      </c>
      <c r="Y232" s="27"/>
      <c r="Z232" s="121">
        <v>115</v>
      </c>
      <c r="AA232" s="27"/>
      <c r="AB232" s="27">
        <v>55</v>
      </c>
      <c r="AC232" s="231"/>
      <c r="AD232" s="272">
        <v>110</v>
      </c>
      <c r="AE232" s="27"/>
      <c r="AF232" s="27">
        <v>90</v>
      </c>
      <c r="AG232" s="29"/>
      <c r="AH232" s="324"/>
      <c r="AI232" s="324">
        <v>140</v>
      </c>
      <c r="AJ232" s="50">
        <v>78.5</v>
      </c>
      <c r="AK232" s="334"/>
      <c r="AL232" s="334"/>
      <c r="AM232" s="334"/>
      <c r="AN232" s="334"/>
      <c r="AO232" s="334"/>
      <c r="AP232" s="334"/>
      <c r="AQ232" s="27">
        <f t="shared" si="19"/>
        <v>0</v>
      </c>
      <c r="AR232" s="27">
        <f t="shared" si="21"/>
        <v>0</v>
      </c>
      <c r="AS232" s="27">
        <f t="shared" si="20"/>
        <v>0</v>
      </c>
      <c r="AT232" s="27">
        <f t="shared" si="22"/>
        <v>0</v>
      </c>
      <c r="AU232" s="64"/>
      <c r="AV232" s="56"/>
    </row>
    <row r="233" spans="1:48">
      <c r="A233" s="64"/>
      <c r="B233" s="49"/>
      <c r="C233" s="153"/>
      <c r="D233" s="64"/>
      <c r="E233" s="64"/>
      <c r="F233" s="27">
        <v>150</v>
      </c>
      <c r="G233" s="27"/>
      <c r="H233" s="27">
        <v>130</v>
      </c>
      <c r="I233" s="50"/>
      <c r="J233" s="27">
        <v>130</v>
      </c>
      <c r="K233" s="31"/>
      <c r="L233" s="27">
        <v>75</v>
      </c>
      <c r="M233" s="27"/>
      <c r="N233" s="27">
        <v>75</v>
      </c>
      <c r="O233" s="31"/>
      <c r="P233" s="27">
        <v>75</v>
      </c>
      <c r="Q233" s="27"/>
      <c r="R233" s="27">
        <v>185</v>
      </c>
      <c r="S233" s="27"/>
      <c r="T233" s="27">
        <v>150</v>
      </c>
      <c r="U233" s="31"/>
      <c r="V233" s="27">
        <v>0.95</v>
      </c>
      <c r="W233" s="27"/>
      <c r="X233" s="27">
        <v>0.8</v>
      </c>
      <c r="Y233" s="27"/>
      <c r="Z233" s="121">
        <v>115</v>
      </c>
      <c r="AA233" s="27"/>
      <c r="AB233" s="27">
        <v>55</v>
      </c>
      <c r="AC233" s="231"/>
      <c r="AD233" s="272">
        <v>110</v>
      </c>
      <c r="AE233" s="27"/>
      <c r="AF233" s="27">
        <v>90</v>
      </c>
      <c r="AG233" s="29"/>
      <c r="AH233" s="324"/>
      <c r="AI233" s="324">
        <v>140</v>
      </c>
      <c r="AJ233" s="50">
        <v>78.5</v>
      </c>
      <c r="AK233" s="334"/>
      <c r="AL233" s="334"/>
      <c r="AM233" s="334"/>
      <c r="AN233" s="334"/>
      <c r="AO233" s="334"/>
      <c r="AP233" s="334"/>
      <c r="AQ233" s="27">
        <f t="shared" si="19"/>
        <v>0</v>
      </c>
      <c r="AR233" s="27">
        <f t="shared" si="21"/>
        <v>0</v>
      </c>
      <c r="AS233" s="27">
        <f t="shared" si="20"/>
        <v>0</v>
      </c>
      <c r="AT233" s="27">
        <f t="shared" si="22"/>
        <v>0</v>
      </c>
      <c r="AU233" s="64"/>
      <c r="AV233" s="56"/>
    </row>
    <row r="234" spans="1:48">
      <c r="A234" s="64"/>
      <c r="B234" s="49"/>
      <c r="C234" s="153"/>
      <c r="D234" s="64"/>
      <c r="E234" s="64"/>
      <c r="F234" s="27">
        <v>150</v>
      </c>
      <c r="G234" s="27"/>
      <c r="H234" s="27">
        <v>130</v>
      </c>
      <c r="I234" s="50"/>
      <c r="J234" s="27">
        <v>130</v>
      </c>
      <c r="K234" s="31"/>
      <c r="L234" s="27">
        <v>75</v>
      </c>
      <c r="M234" s="27"/>
      <c r="N234" s="27">
        <v>75</v>
      </c>
      <c r="O234" s="31"/>
      <c r="P234" s="27">
        <v>75</v>
      </c>
      <c r="Q234" s="27"/>
      <c r="R234" s="27">
        <v>185</v>
      </c>
      <c r="S234" s="27"/>
      <c r="T234" s="27">
        <v>150</v>
      </c>
      <c r="U234" s="31"/>
      <c r="V234" s="27">
        <v>0.95</v>
      </c>
      <c r="W234" s="27"/>
      <c r="X234" s="27">
        <v>0.8</v>
      </c>
      <c r="Y234" s="27"/>
      <c r="Z234" s="121">
        <v>115</v>
      </c>
      <c r="AA234" s="27"/>
      <c r="AB234" s="27">
        <v>55</v>
      </c>
      <c r="AC234" s="231"/>
      <c r="AD234" s="272">
        <v>110</v>
      </c>
      <c r="AE234" s="27"/>
      <c r="AF234" s="27">
        <v>90</v>
      </c>
      <c r="AG234" s="29"/>
      <c r="AH234" s="324"/>
      <c r="AI234" s="324"/>
      <c r="AJ234" s="50">
        <v>78.5</v>
      </c>
      <c r="AK234" s="334"/>
      <c r="AL234" s="334"/>
      <c r="AM234" s="334"/>
      <c r="AN234" s="334"/>
      <c r="AO234" s="334"/>
      <c r="AP234" s="334"/>
      <c r="AQ234" s="27">
        <f t="shared" si="19"/>
        <v>0</v>
      </c>
      <c r="AR234" s="27">
        <f t="shared" si="21"/>
        <v>0</v>
      </c>
      <c r="AS234" s="27">
        <f t="shared" si="20"/>
        <v>0</v>
      </c>
      <c r="AT234" s="27">
        <f t="shared" si="22"/>
        <v>0</v>
      </c>
      <c r="AU234" s="64"/>
      <c r="AV234" s="56"/>
    </row>
    <row r="235" spans="1:48">
      <c r="A235" s="64"/>
      <c r="B235" s="49"/>
      <c r="C235" s="153"/>
      <c r="D235" s="64"/>
      <c r="E235" s="64"/>
      <c r="F235" s="27">
        <v>150</v>
      </c>
      <c r="G235" s="27"/>
      <c r="H235" s="27">
        <v>130</v>
      </c>
      <c r="I235" s="50"/>
      <c r="J235" s="27">
        <v>130</v>
      </c>
      <c r="K235" s="31"/>
      <c r="L235" s="27">
        <v>75</v>
      </c>
      <c r="M235" s="27"/>
      <c r="N235" s="27">
        <v>75</v>
      </c>
      <c r="O235" s="31"/>
      <c r="P235" s="27">
        <v>75</v>
      </c>
      <c r="Q235" s="27"/>
      <c r="R235" s="27">
        <v>185</v>
      </c>
      <c r="S235" s="27"/>
      <c r="T235" s="27">
        <v>150</v>
      </c>
      <c r="U235" s="31"/>
      <c r="V235" s="27">
        <v>0.95</v>
      </c>
      <c r="W235" s="27"/>
      <c r="X235" s="27">
        <v>0.8</v>
      </c>
      <c r="Y235" s="27"/>
      <c r="Z235" s="121">
        <v>115</v>
      </c>
      <c r="AA235" s="27"/>
      <c r="AB235" s="27">
        <v>55</v>
      </c>
      <c r="AC235" s="231"/>
      <c r="AD235" s="272">
        <v>110</v>
      </c>
      <c r="AE235" s="27"/>
      <c r="AF235" s="27">
        <v>90</v>
      </c>
      <c r="AG235" s="29"/>
      <c r="AH235" s="324"/>
      <c r="AI235" s="324"/>
      <c r="AJ235" s="50">
        <v>78.5</v>
      </c>
      <c r="AK235" s="334"/>
      <c r="AL235" s="334"/>
      <c r="AM235" s="334"/>
      <c r="AN235" s="334"/>
      <c r="AO235" s="334"/>
      <c r="AP235" s="334"/>
      <c r="AQ235" s="27">
        <f t="shared" si="19"/>
        <v>0</v>
      </c>
      <c r="AR235" s="27">
        <f t="shared" si="21"/>
        <v>0</v>
      </c>
      <c r="AS235" s="27">
        <f t="shared" si="20"/>
        <v>0</v>
      </c>
      <c r="AT235" s="27">
        <f t="shared" si="22"/>
        <v>0</v>
      </c>
      <c r="AU235" s="64"/>
      <c r="AV235" s="56"/>
    </row>
    <row r="236" spans="1:48">
      <c r="A236" s="64"/>
      <c r="B236" s="49"/>
      <c r="C236" s="153"/>
      <c r="D236" s="64"/>
      <c r="E236" s="64"/>
      <c r="F236" s="27">
        <v>150</v>
      </c>
      <c r="G236" s="27"/>
      <c r="H236" s="27">
        <v>130</v>
      </c>
      <c r="I236" s="50"/>
      <c r="J236" s="27">
        <v>130</v>
      </c>
      <c r="K236" s="31"/>
      <c r="L236" s="27">
        <v>75</v>
      </c>
      <c r="M236" s="27"/>
      <c r="N236" s="27">
        <v>75</v>
      </c>
      <c r="O236" s="31"/>
      <c r="P236" s="27">
        <v>75</v>
      </c>
      <c r="Q236" s="27"/>
      <c r="R236" s="27">
        <v>185</v>
      </c>
      <c r="S236" s="27"/>
      <c r="T236" s="27">
        <v>150</v>
      </c>
      <c r="U236" s="31"/>
      <c r="V236" s="27">
        <v>0.95</v>
      </c>
      <c r="W236" s="27"/>
      <c r="X236" s="27">
        <v>0.8</v>
      </c>
      <c r="Y236" s="27"/>
      <c r="Z236" s="121">
        <v>115</v>
      </c>
      <c r="AA236" s="27"/>
      <c r="AB236" s="27">
        <v>55</v>
      </c>
      <c r="AC236" s="231"/>
      <c r="AD236" s="272">
        <v>110</v>
      </c>
      <c r="AE236" s="27"/>
      <c r="AF236" s="27">
        <v>90</v>
      </c>
      <c r="AG236" s="29"/>
      <c r="AH236" s="324"/>
      <c r="AI236" s="324"/>
      <c r="AJ236" s="50">
        <v>78.5</v>
      </c>
      <c r="AK236" s="334"/>
      <c r="AL236" s="334"/>
      <c r="AM236" s="334"/>
      <c r="AN236" s="334"/>
      <c r="AO236" s="334"/>
      <c r="AP236" s="334"/>
      <c r="AQ236" s="27">
        <f t="shared" si="19"/>
        <v>0</v>
      </c>
      <c r="AR236" s="27">
        <f t="shared" si="21"/>
        <v>0</v>
      </c>
      <c r="AS236" s="27">
        <f t="shared" si="20"/>
        <v>0</v>
      </c>
      <c r="AT236" s="27">
        <f t="shared" si="22"/>
        <v>0</v>
      </c>
      <c r="AU236" s="64"/>
      <c r="AV236" s="56"/>
    </row>
    <row r="237" spans="1:48">
      <c r="A237" s="64"/>
      <c r="B237" s="49"/>
      <c r="C237" s="153"/>
      <c r="D237" s="64"/>
      <c r="E237" s="64"/>
      <c r="F237" s="27">
        <v>150</v>
      </c>
      <c r="G237" s="27"/>
      <c r="H237" s="27">
        <v>130</v>
      </c>
      <c r="I237" s="50"/>
      <c r="J237" s="27">
        <v>130</v>
      </c>
      <c r="K237" s="31"/>
      <c r="L237" s="27">
        <v>75</v>
      </c>
      <c r="M237" s="27"/>
      <c r="N237" s="27">
        <v>75</v>
      </c>
      <c r="O237" s="31"/>
      <c r="P237" s="27">
        <v>75</v>
      </c>
      <c r="Q237" s="27"/>
      <c r="R237" s="27">
        <v>185</v>
      </c>
      <c r="S237" s="27"/>
      <c r="T237" s="27">
        <v>150</v>
      </c>
      <c r="U237" s="31"/>
      <c r="V237" s="27">
        <v>0.95</v>
      </c>
      <c r="W237" s="27"/>
      <c r="X237" s="27">
        <v>0.8</v>
      </c>
      <c r="Y237" s="27"/>
      <c r="Z237" s="121">
        <v>115</v>
      </c>
      <c r="AA237" s="27"/>
      <c r="AB237" s="27">
        <v>55</v>
      </c>
      <c r="AC237" s="231"/>
      <c r="AD237" s="272">
        <v>110</v>
      </c>
      <c r="AE237" s="27"/>
      <c r="AF237" s="27">
        <v>90</v>
      </c>
      <c r="AG237" s="29"/>
      <c r="AH237" s="324"/>
      <c r="AI237" s="324"/>
      <c r="AJ237" s="50">
        <v>78.5</v>
      </c>
      <c r="AK237" s="334"/>
      <c r="AL237" s="334"/>
      <c r="AM237" s="334"/>
      <c r="AN237" s="334"/>
      <c r="AO237" s="334"/>
      <c r="AP237" s="334"/>
      <c r="AQ237" s="27">
        <f t="shared" si="19"/>
        <v>0</v>
      </c>
      <c r="AR237" s="27">
        <f t="shared" si="21"/>
        <v>0</v>
      </c>
      <c r="AS237" s="27">
        <f t="shared" si="20"/>
        <v>0</v>
      </c>
      <c r="AT237" s="27">
        <f t="shared" si="22"/>
        <v>0</v>
      </c>
      <c r="AU237" s="64"/>
      <c r="AV237" s="56"/>
    </row>
    <row r="238" spans="1:48">
      <c r="A238" s="64"/>
      <c r="B238" s="49"/>
      <c r="C238" s="52"/>
      <c r="D238" s="64"/>
      <c r="E238" s="64"/>
      <c r="F238" s="27">
        <v>150</v>
      </c>
      <c r="G238" s="27"/>
      <c r="H238" s="27">
        <v>130</v>
      </c>
      <c r="I238" s="50"/>
      <c r="J238" s="27">
        <v>130</v>
      </c>
      <c r="K238" s="31"/>
      <c r="L238" s="27">
        <v>75</v>
      </c>
      <c r="M238" s="27"/>
      <c r="N238" s="27">
        <v>75</v>
      </c>
      <c r="O238" s="31"/>
      <c r="P238" s="27">
        <v>75</v>
      </c>
      <c r="Q238" s="27"/>
      <c r="R238" s="27">
        <v>185</v>
      </c>
      <c r="S238" s="27"/>
      <c r="T238" s="27">
        <v>150</v>
      </c>
      <c r="U238" s="31"/>
      <c r="V238" s="27">
        <v>0.95</v>
      </c>
      <c r="W238" s="27"/>
      <c r="X238" s="27">
        <v>0.8</v>
      </c>
      <c r="Y238" s="27"/>
      <c r="Z238" s="121">
        <v>115</v>
      </c>
      <c r="AA238" s="27"/>
      <c r="AB238" s="27">
        <v>55</v>
      </c>
      <c r="AC238" s="231"/>
      <c r="AD238" s="272">
        <v>110</v>
      </c>
      <c r="AE238" s="27"/>
      <c r="AF238" s="27">
        <v>90</v>
      </c>
      <c r="AG238" s="29"/>
      <c r="AH238" s="324"/>
      <c r="AI238" s="324"/>
      <c r="AJ238" s="50">
        <v>78.5</v>
      </c>
      <c r="AK238" s="334"/>
      <c r="AL238" s="334"/>
      <c r="AM238" s="334"/>
      <c r="AN238" s="334"/>
      <c r="AO238" s="334"/>
      <c r="AP238" s="334"/>
      <c r="AQ238" s="27">
        <f t="shared" si="19"/>
        <v>0</v>
      </c>
      <c r="AR238" s="27">
        <f t="shared" si="21"/>
        <v>0</v>
      </c>
      <c r="AS238" s="27">
        <f t="shared" si="20"/>
        <v>0</v>
      </c>
      <c r="AT238" s="27">
        <f t="shared" si="22"/>
        <v>0</v>
      </c>
      <c r="AU238" s="64"/>
      <c r="AV238" s="56"/>
    </row>
    <row r="239" spans="1:48">
      <c r="A239" s="64"/>
      <c r="B239" s="49"/>
      <c r="C239" s="52"/>
      <c r="D239" s="64"/>
      <c r="E239" s="64"/>
      <c r="F239" s="27">
        <v>150</v>
      </c>
      <c r="G239" s="27"/>
      <c r="H239" s="27">
        <v>130</v>
      </c>
      <c r="I239" s="50"/>
      <c r="J239" s="27">
        <v>130</v>
      </c>
      <c r="K239" s="31"/>
      <c r="L239" s="27">
        <v>75</v>
      </c>
      <c r="M239" s="27"/>
      <c r="N239" s="27">
        <v>75</v>
      </c>
      <c r="O239" s="31"/>
      <c r="P239" s="27">
        <v>75</v>
      </c>
      <c r="Q239" s="27"/>
      <c r="R239" s="27">
        <v>185</v>
      </c>
      <c r="S239" s="27"/>
      <c r="T239" s="27">
        <v>150</v>
      </c>
      <c r="U239" s="31"/>
      <c r="V239" s="27">
        <v>0.95</v>
      </c>
      <c r="W239" s="27"/>
      <c r="X239" s="27">
        <v>0.8</v>
      </c>
      <c r="Y239" s="27"/>
      <c r="Z239" s="121">
        <v>115</v>
      </c>
      <c r="AA239" s="27"/>
      <c r="AB239" s="27">
        <v>55</v>
      </c>
      <c r="AC239" s="231"/>
      <c r="AD239" s="272">
        <v>110</v>
      </c>
      <c r="AE239" s="27"/>
      <c r="AF239" s="27">
        <v>90</v>
      </c>
      <c r="AG239" s="29"/>
      <c r="AH239" s="324"/>
      <c r="AI239" s="324"/>
      <c r="AJ239" s="50">
        <v>78.5</v>
      </c>
      <c r="AK239" s="334"/>
      <c r="AL239" s="334"/>
      <c r="AM239" s="334"/>
      <c r="AN239" s="334"/>
      <c r="AO239" s="334"/>
      <c r="AP239" s="334"/>
      <c r="AQ239" s="27">
        <f t="shared" si="19"/>
        <v>0</v>
      </c>
      <c r="AR239" s="27">
        <f t="shared" si="21"/>
        <v>0</v>
      </c>
      <c r="AS239" s="27">
        <f t="shared" si="20"/>
        <v>0</v>
      </c>
      <c r="AT239" s="27">
        <f t="shared" si="22"/>
        <v>0</v>
      </c>
      <c r="AU239" s="64"/>
      <c r="AV239" s="56"/>
    </row>
    <row r="240" spans="1:48">
      <c r="A240" s="64"/>
      <c r="B240" s="49"/>
      <c r="C240" s="52"/>
      <c r="D240" s="64"/>
      <c r="E240" s="64"/>
      <c r="F240" s="27">
        <v>150</v>
      </c>
      <c r="G240" s="27"/>
      <c r="H240" s="27">
        <v>130</v>
      </c>
      <c r="I240" s="50"/>
      <c r="J240" s="27">
        <v>130</v>
      </c>
      <c r="K240" s="31"/>
      <c r="L240" s="27">
        <v>75</v>
      </c>
      <c r="M240" s="27"/>
      <c r="N240" s="27">
        <v>75</v>
      </c>
      <c r="O240" s="31"/>
      <c r="P240" s="27">
        <v>75</v>
      </c>
      <c r="Q240" s="27"/>
      <c r="R240" s="27">
        <v>185</v>
      </c>
      <c r="S240" s="27"/>
      <c r="T240" s="27">
        <v>150</v>
      </c>
      <c r="U240" s="31"/>
      <c r="V240" s="27">
        <v>0.95</v>
      </c>
      <c r="W240" s="27"/>
      <c r="X240" s="27">
        <v>0.8</v>
      </c>
      <c r="Y240" s="27"/>
      <c r="Z240" s="121">
        <v>115</v>
      </c>
      <c r="AA240" s="27"/>
      <c r="AB240" s="27">
        <v>55</v>
      </c>
      <c r="AC240" s="231"/>
      <c r="AD240" s="272">
        <v>110</v>
      </c>
      <c r="AE240" s="27"/>
      <c r="AF240" s="27">
        <v>90</v>
      </c>
      <c r="AG240" s="29"/>
      <c r="AH240" s="324"/>
      <c r="AI240" s="324"/>
      <c r="AJ240" s="50">
        <v>78.5</v>
      </c>
      <c r="AK240" s="334"/>
      <c r="AL240" s="334"/>
      <c r="AM240" s="334"/>
      <c r="AN240" s="334"/>
      <c r="AO240" s="334"/>
      <c r="AP240" s="334"/>
      <c r="AQ240" s="27">
        <f t="shared" si="19"/>
        <v>0</v>
      </c>
      <c r="AR240" s="27">
        <f t="shared" si="21"/>
        <v>0</v>
      </c>
      <c r="AS240" s="27">
        <f t="shared" si="20"/>
        <v>0</v>
      </c>
      <c r="AT240" s="27">
        <f t="shared" si="22"/>
        <v>0</v>
      </c>
      <c r="AU240" s="64"/>
      <c r="AV240" s="56"/>
    </row>
    <row r="241" spans="1:48">
      <c r="A241" s="64"/>
      <c r="B241" s="49"/>
      <c r="C241" s="52"/>
      <c r="D241" s="64"/>
      <c r="E241" s="64"/>
      <c r="F241" s="27">
        <v>150</v>
      </c>
      <c r="G241" s="27"/>
      <c r="H241" s="27">
        <v>130</v>
      </c>
      <c r="I241" s="50"/>
      <c r="J241" s="27">
        <v>130</v>
      </c>
      <c r="K241" s="31"/>
      <c r="L241" s="27">
        <v>75</v>
      </c>
      <c r="M241" s="27"/>
      <c r="N241" s="27">
        <v>75</v>
      </c>
      <c r="O241" s="31"/>
      <c r="P241" s="27">
        <v>75</v>
      </c>
      <c r="Q241" s="27"/>
      <c r="R241" s="27">
        <v>185</v>
      </c>
      <c r="S241" s="27"/>
      <c r="T241" s="27">
        <v>150</v>
      </c>
      <c r="U241" s="31"/>
      <c r="V241" s="27">
        <v>0.95</v>
      </c>
      <c r="W241" s="27"/>
      <c r="X241" s="27">
        <v>0.8</v>
      </c>
      <c r="Y241" s="27"/>
      <c r="Z241" s="121">
        <v>115</v>
      </c>
      <c r="AA241" s="27"/>
      <c r="AB241" s="27">
        <v>55</v>
      </c>
      <c r="AC241" s="231"/>
      <c r="AD241" s="272">
        <v>110</v>
      </c>
      <c r="AE241" s="27"/>
      <c r="AF241" s="27">
        <v>90</v>
      </c>
      <c r="AG241" s="29"/>
      <c r="AH241" s="324"/>
      <c r="AI241" s="324"/>
      <c r="AJ241" s="50">
        <v>78.5</v>
      </c>
      <c r="AK241" s="334"/>
      <c r="AL241" s="334"/>
      <c r="AM241" s="334"/>
      <c r="AN241" s="334"/>
      <c r="AO241" s="334"/>
      <c r="AP241" s="334"/>
      <c r="AQ241" s="27">
        <f t="shared" si="19"/>
        <v>0</v>
      </c>
      <c r="AR241" s="27">
        <f t="shared" si="21"/>
        <v>0</v>
      </c>
      <c r="AS241" s="27">
        <f t="shared" si="20"/>
        <v>0</v>
      </c>
      <c r="AT241" s="27">
        <f t="shared" si="22"/>
        <v>0</v>
      </c>
      <c r="AU241" s="64"/>
      <c r="AV241" s="56"/>
    </row>
    <row r="242" spans="1:48">
      <c r="A242" s="25"/>
      <c r="B242" s="25"/>
      <c r="C242" s="25"/>
      <c r="D242" s="25"/>
      <c r="E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</row>
    <row r="243" spans="1:48">
      <c r="A243" s="25"/>
      <c r="B243" s="25"/>
      <c r="C243" s="25"/>
      <c r="D243" s="25"/>
      <c r="E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</row>
    <row r="244" spans="1:48">
      <c r="A244" s="25"/>
      <c r="B244" s="25"/>
      <c r="C244" s="25"/>
      <c r="D244" s="25"/>
      <c r="E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</row>
    <row r="245" spans="1:48">
      <c r="A245" s="25"/>
      <c r="B245" s="25"/>
      <c r="C245" s="25"/>
      <c r="D245" s="25"/>
      <c r="E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</row>
    <row r="246" spans="1:48">
      <c r="A246" s="25"/>
      <c r="B246" s="25"/>
      <c r="C246" s="25"/>
      <c r="D246" s="25"/>
      <c r="E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</row>
    <row r="247" spans="1:48">
      <c r="A247" s="25"/>
      <c r="B247" s="25"/>
      <c r="C247" s="25"/>
      <c r="D247" s="25"/>
      <c r="E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</row>
    <row r="248" spans="1:48">
      <c r="A248" s="25"/>
      <c r="B248" s="25"/>
      <c r="C248" s="25"/>
      <c r="D248" s="25"/>
      <c r="E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</row>
    <row r="249" spans="1:48">
      <c r="A249" s="25"/>
      <c r="B249" s="25"/>
      <c r="C249" s="25"/>
      <c r="D249" s="25"/>
      <c r="E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</row>
    <row r="250" spans="1:48">
      <c r="A250" s="25"/>
      <c r="B250" s="25"/>
      <c r="C250" s="25"/>
      <c r="D250" s="25"/>
      <c r="E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</row>
    <row r="251" spans="1:48">
      <c r="A251" s="25"/>
      <c r="B251" s="25"/>
      <c r="C251" s="25"/>
      <c r="D251" s="25"/>
      <c r="E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</row>
    <row r="252" spans="1:48">
      <c r="A252" s="25"/>
      <c r="B252" s="25"/>
      <c r="C252" s="25"/>
      <c r="D252" s="25"/>
      <c r="E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</row>
    <row r="253" spans="1:48">
      <c r="A253" s="25"/>
      <c r="B253" s="25"/>
      <c r="C253" s="25"/>
      <c r="D253" s="25"/>
      <c r="E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</row>
    <row r="254" spans="1:48">
      <c r="A254" s="25"/>
      <c r="B254" s="25"/>
      <c r="C254" s="25"/>
      <c r="D254" s="25"/>
      <c r="E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</row>
    <row r="255" spans="1:48">
      <c r="A255" s="25"/>
      <c r="B255" s="25"/>
      <c r="C255" s="25"/>
      <c r="D255" s="25"/>
      <c r="E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</row>
    <row r="256" spans="1:48">
      <c r="AR256" s="25"/>
    </row>
    <row r="257" spans="44:44">
      <c r="AR257" s="25"/>
    </row>
    <row r="258" spans="44:44">
      <c r="AR258" s="25"/>
    </row>
    <row r="259" spans="44:44">
      <c r="AR259" s="25"/>
    </row>
    <row r="260" spans="44:44">
      <c r="AR260" s="25"/>
    </row>
    <row r="261" spans="44:44">
      <c r="AR261" s="25"/>
    </row>
    <row r="262" spans="44:44">
      <c r="AR262" s="25"/>
    </row>
    <row r="263" spans="44:44">
      <c r="AR263" s="25"/>
    </row>
    <row r="264" spans="44:44">
      <c r="AR264" s="25"/>
    </row>
    <row r="265" spans="44:44">
      <c r="AR265" s="25"/>
    </row>
    <row r="266" spans="44:44">
      <c r="AR266" s="25"/>
    </row>
    <row r="267" spans="44:44">
      <c r="AR267" s="25"/>
    </row>
    <row r="1048576" spans="33:33">
      <c r="AG1048576" s="38"/>
    </row>
  </sheetData>
  <autoFilter ref="A4:AW4"/>
  <phoneticPr fontId="3" type="noConversion"/>
  <pageMargins left="0.7" right="0.7" top="0.75" bottom="0.75" header="0.3" footer="0.3"/>
  <pageSetup orientation="portrait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theme="0"/>
  </sheetPr>
  <dimension ref="A1:AM115"/>
  <sheetViews>
    <sheetView workbookViewId="0">
      <pane xSplit="2" ySplit="4" topLeftCell="S18" activePane="bottomRight" state="frozen"/>
      <selection activeCell="K94" sqref="K94"/>
      <selection pane="topRight" activeCell="K94" sqref="K94"/>
      <selection pane="bottomLeft" activeCell="K94" sqref="K94"/>
      <selection pane="bottomRight" activeCell="AD19" sqref="AD19:AD50"/>
    </sheetView>
  </sheetViews>
  <sheetFormatPr baseColWidth="10" defaultColWidth="8.83203125" defaultRowHeight="12" x14ac:dyDescent="0"/>
  <cols>
    <col min="1" max="1" width="11.6640625" style="71" bestFit="1" customWidth="1"/>
    <col min="2" max="2" width="13.33203125" style="341" customWidth="1"/>
    <col min="3" max="3" width="11.83203125" style="71" customWidth="1"/>
    <col min="4" max="4" width="8.83203125" style="71"/>
    <col min="5" max="6" width="8.83203125" style="25"/>
    <col min="7" max="7" width="10.33203125" style="25" bestFit="1" customWidth="1"/>
    <col min="8" max="13" width="8.83203125" style="25"/>
    <col min="14" max="14" width="12" style="71" customWidth="1"/>
    <col min="15" max="16" width="10.33203125" style="71" bestFit="1" customWidth="1"/>
    <col min="17" max="17" width="14.1640625" style="71" customWidth="1"/>
    <col min="18" max="18" width="14.33203125" style="65" bestFit="1" customWidth="1"/>
    <col min="19" max="19" width="22.5" style="71" customWidth="1"/>
    <col min="20" max="21" width="10.1640625" bestFit="1" customWidth="1"/>
  </cols>
  <sheetData>
    <row r="1" spans="1:19">
      <c r="A1" s="24"/>
      <c r="B1" s="24"/>
      <c r="C1" s="30"/>
      <c r="D1" s="30"/>
      <c r="N1" s="25"/>
      <c r="O1" s="25"/>
      <c r="P1" s="25"/>
      <c r="Q1" s="25"/>
    </row>
    <row r="2" spans="1:19">
      <c r="A2" s="100" t="s">
        <v>1103</v>
      </c>
      <c r="B2" s="116"/>
      <c r="C2" s="30"/>
      <c r="D2" s="30"/>
      <c r="N2" s="25"/>
      <c r="O2" s="25"/>
      <c r="P2" s="25"/>
      <c r="Q2" s="25"/>
    </row>
    <row r="3" spans="1:19">
      <c r="A3" s="24"/>
      <c r="B3" s="24"/>
      <c r="C3" s="30"/>
      <c r="D3" s="30"/>
      <c r="N3" s="25"/>
      <c r="O3" s="25"/>
      <c r="P3" s="25"/>
      <c r="Q3" s="25"/>
    </row>
    <row r="4" spans="1:19" ht="51.75" customHeight="1">
      <c r="A4" s="36" t="s">
        <v>0</v>
      </c>
      <c r="B4" s="344" t="s">
        <v>356</v>
      </c>
      <c r="C4" s="1161" t="s">
        <v>1120</v>
      </c>
      <c r="D4" s="41" t="s">
        <v>22</v>
      </c>
      <c r="E4" s="40" t="s">
        <v>21</v>
      </c>
      <c r="F4" s="40" t="s">
        <v>142</v>
      </c>
      <c r="G4" s="40" t="s">
        <v>21</v>
      </c>
      <c r="H4" s="40" t="s">
        <v>282</v>
      </c>
      <c r="I4" s="40" t="s">
        <v>21</v>
      </c>
      <c r="J4" s="40" t="s">
        <v>328</v>
      </c>
      <c r="K4" s="40" t="s">
        <v>26</v>
      </c>
      <c r="L4" s="227"/>
      <c r="M4" s="40" t="s">
        <v>26</v>
      </c>
      <c r="N4" s="273" t="s">
        <v>13</v>
      </c>
      <c r="O4" s="40" t="s">
        <v>14</v>
      </c>
      <c r="P4" s="40" t="s">
        <v>9</v>
      </c>
      <c r="Q4" s="40" t="s">
        <v>15</v>
      </c>
      <c r="R4" s="54" t="s">
        <v>7</v>
      </c>
      <c r="S4" s="55" t="s">
        <v>16</v>
      </c>
    </row>
    <row r="5" spans="1:19">
      <c r="A5" s="1169"/>
      <c r="B5" s="1169"/>
      <c r="C5" s="1171"/>
      <c r="D5" s="1191"/>
      <c r="E5" s="1172"/>
      <c r="F5" s="1172"/>
      <c r="G5" s="1172"/>
      <c r="H5" s="1172"/>
      <c r="I5" s="1172"/>
      <c r="J5" s="1172"/>
      <c r="K5" s="1172"/>
      <c r="L5" s="1172"/>
      <c r="M5" s="1172"/>
      <c r="N5" s="1212"/>
      <c r="O5" s="1172"/>
      <c r="P5" s="1172"/>
      <c r="Q5" s="1172"/>
      <c r="R5" s="1173"/>
      <c r="S5" s="57">
        <f>SUM(N6:N165)</f>
        <v>116045</v>
      </c>
    </row>
    <row r="6" spans="1:19">
      <c r="A6" s="26">
        <v>42165</v>
      </c>
      <c r="B6" s="346"/>
      <c r="C6" s="35" t="s">
        <v>141</v>
      </c>
      <c r="D6" s="35">
        <v>10</v>
      </c>
      <c r="E6" s="27">
        <v>120</v>
      </c>
      <c r="F6" s="35">
        <v>1</v>
      </c>
      <c r="G6" s="27">
        <v>150</v>
      </c>
      <c r="H6" s="31"/>
      <c r="I6" s="27">
        <v>600</v>
      </c>
      <c r="J6" s="27"/>
      <c r="K6" s="27"/>
      <c r="L6" s="231"/>
      <c r="M6" s="231"/>
      <c r="N6" s="27">
        <f t="shared" ref="N6:N69" si="0">(D6*E6)+(F6*G6)+(H6*I6)+(J6*K6)+(L6*M6)</f>
        <v>1350</v>
      </c>
      <c r="O6" s="27">
        <f t="shared" ref="O6:O16" si="1">(N6*5%)</f>
        <v>67.5</v>
      </c>
      <c r="P6" s="27">
        <f t="shared" ref="P6:P16" si="2">SUM(N6+O6)</f>
        <v>1417.5</v>
      </c>
      <c r="Q6" s="27" t="s">
        <v>1076</v>
      </c>
      <c r="R6" s="56"/>
      <c r="S6" s="58"/>
    </row>
    <row r="7" spans="1:19">
      <c r="A7" s="26">
        <v>42173</v>
      </c>
      <c r="B7" s="346"/>
      <c r="C7" s="35" t="s">
        <v>143</v>
      </c>
      <c r="D7" s="35">
        <v>20</v>
      </c>
      <c r="E7" s="27">
        <v>120</v>
      </c>
      <c r="F7" s="35">
        <v>2</v>
      </c>
      <c r="G7" s="27">
        <v>150</v>
      </c>
      <c r="H7" s="31"/>
      <c r="I7" s="27">
        <v>600</v>
      </c>
      <c r="J7" s="27"/>
      <c r="K7" s="27"/>
      <c r="L7" s="231"/>
      <c r="M7" s="231"/>
      <c r="N7" s="27">
        <f t="shared" si="0"/>
        <v>2700</v>
      </c>
      <c r="O7" s="27">
        <f t="shared" si="1"/>
        <v>135</v>
      </c>
      <c r="P7" s="27">
        <f t="shared" si="2"/>
        <v>2835</v>
      </c>
      <c r="Q7" s="27" t="s">
        <v>1076</v>
      </c>
      <c r="R7" s="56"/>
    </row>
    <row r="8" spans="1:19">
      <c r="A8" s="34">
        <v>42174</v>
      </c>
      <c r="B8" s="347"/>
      <c r="C8" s="35" t="s">
        <v>144</v>
      </c>
      <c r="D8" s="35">
        <v>10</v>
      </c>
      <c r="E8" s="27">
        <v>120</v>
      </c>
      <c r="F8" s="35">
        <v>1</v>
      </c>
      <c r="G8" s="27">
        <v>150</v>
      </c>
      <c r="H8" s="31"/>
      <c r="I8" s="27">
        <v>600</v>
      </c>
      <c r="J8" s="27"/>
      <c r="K8" s="27"/>
      <c r="L8" s="231"/>
      <c r="M8" s="231"/>
      <c r="N8" s="27">
        <f t="shared" si="0"/>
        <v>1350</v>
      </c>
      <c r="O8" s="27">
        <f t="shared" si="1"/>
        <v>67.5</v>
      </c>
      <c r="P8" s="27">
        <f t="shared" si="2"/>
        <v>1417.5</v>
      </c>
      <c r="Q8" s="27" t="s">
        <v>1076</v>
      </c>
      <c r="R8" s="56"/>
      <c r="S8" s="59"/>
    </row>
    <row r="9" spans="1:19">
      <c r="A9" s="34">
        <v>42177</v>
      </c>
      <c r="B9" s="347"/>
      <c r="C9" s="35" t="s">
        <v>145</v>
      </c>
      <c r="D9" s="35">
        <v>20</v>
      </c>
      <c r="E9" s="27">
        <v>120</v>
      </c>
      <c r="F9" s="35">
        <v>2</v>
      </c>
      <c r="G9" s="27">
        <v>150</v>
      </c>
      <c r="H9" s="31"/>
      <c r="I9" s="27">
        <v>600</v>
      </c>
      <c r="J9" s="27"/>
      <c r="K9" s="27"/>
      <c r="L9" s="231"/>
      <c r="M9" s="231"/>
      <c r="N9" s="27">
        <f t="shared" si="0"/>
        <v>2700</v>
      </c>
      <c r="O9" s="27">
        <f t="shared" si="1"/>
        <v>135</v>
      </c>
      <c r="P9" s="27">
        <f t="shared" si="2"/>
        <v>2835</v>
      </c>
      <c r="Q9" s="27" t="s">
        <v>1076</v>
      </c>
      <c r="R9" s="56"/>
      <c r="S9" s="60"/>
    </row>
    <row r="10" spans="1:19">
      <c r="A10" s="26">
        <v>42178</v>
      </c>
      <c r="B10" s="346"/>
      <c r="C10" s="35" t="s">
        <v>145</v>
      </c>
      <c r="D10" s="35">
        <v>20</v>
      </c>
      <c r="E10" s="27">
        <v>120</v>
      </c>
      <c r="F10" s="35">
        <v>2</v>
      </c>
      <c r="G10" s="27">
        <v>150</v>
      </c>
      <c r="H10" s="31"/>
      <c r="I10" s="27">
        <v>600</v>
      </c>
      <c r="J10" s="31">
        <v>1</v>
      </c>
      <c r="K10" s="27">
        <v>120</v>
      </c>
      <c r="L10" s="231"/>
      <c r="M10" s="231"/>
      <c r="N10" s="27">
        <f t="shared" si="0"/>
        <v>2820</v>
      </c>
      <c r="O10" s="27">
        <f t="shared" si="1"/>
        <v>141</v>
      </c>
      <c r="P10" s="27">
        <f t="shared" si="2"/>
        <v>2961</v>
      </c>
      <c r="Q10" s="27" t="s">
        <v>1076</v>
      </c>
      <c r="R10" s="56"/>
    </row>
    <row r="11" spans="1:19">
      <c r="A11" s="26">
        <v>42181</v>
      </c>
      <c r="B11" s="346"/>
      <c r="C11" s="35" t="s">
        <v>144</v>
      </c>
      <c r="D11" s="35">
        <v>11</v>
      </c>
      <c r="E11" s="27">
        <v>120</v>
      </c>
      <c r="F11" s="35">
        <v>1</v>
      </c>
      <c r="G11" s="27">
        <v>150</v>
      </c>
      <c r="H11" s="31"/>
      <c r="I11" s="27">
        <v>600</v>
      </c>
      <c r="J11" s="27"/>
      <c r="K11" s="27"/>
      <c r="L11" s="231"/>
      <c r="M11" s="231"/>
      <c r="N11" s="27">
        <f t="shared" si="0"/>
        <v>1470</v>
      </c>
      <c r="O11" s="27">
        <f t="shared" si="1"/>
        <v>73.5</v>
      </c>
      <c r="P11" s="27">
        <f t="shared" si="2"/>
        <v>1543.5</v>
      </c>
      <c r="Q11" s="27" t="s">
        <v>1076</v>
      </c>
      <c r="R11" s="56"/>
    </row>
    <row r="12" spans="1:19">
      <c r="A12" s="26">
        <v>42180</v>
      </c>
      <c r="B12" s="346"/>
      <c r="C12" s="35" t="s">
        <v>144</v>
      </c>
      <c r="D12" s="35">
        <v>11</v>
      </c>
      <c r="E12" s="27">
        <v>120</v>
      </c>
      <c r="F12" s="35">
        <v>1</v>
      </c>
      <c r="G12" s="27">
        <v>150</v>
      </c>
      <c r="H12" s="31"/>
      <c r="I12" s="27">
        <v>600</v>
      </c>
      <c r="J12" s="27"/>
      <c r="K12" s="27"/>
      <c r="L12" s="231"/>
      <c r="M12" s="231"/>
      <c r="N12" s="27">
        <f t="shared" si="0"/>
        <v>1470</v>
      </c>
      <c r="O12" s="27">
        <f t="shared" si="1"/>
        <v>73.5</v>
      </c>
      <c r="P12" s="27">
        <f t="shared" si="2"/>
        <v>1543.5</v>
      </c>
      <c r="Q12" s="27" t="s">
        <v>1076</v>
      </c>
      <c r="R12" s="56"/>
    </row>
    <row r="13" spans="1:19">
      <c r="A13" s="26">
        <v>42181</v>
      </c>
      <c r="B13" s="346"/>
      <c r="C13" s="35" t="s">
        <v>146</v>
      </c>
      <c r="D13" s="35">
        <v>22</v>
      </c>
      <c r="E13" s="27">
        <v>120</v>
      </c>
      <c r="F13" s="35">
        <v>2</v>
      </c>
      <c r="G13" s="27">
        <v>150</v>
      </c>
      <c r="H13" s="31"/>
      <c r="I13" s="27">
        <v>600</v>
      </c>
      <c r="J13" s="27"/>
      <c r="K13" s="27"/>
      <c r="L13" s="231"/>
      <c r="M13" s="231"/>
      <c r="N13" s="27">
        <f t="shared" si="0"/>
        <v>2940</v>
      </c>
      <c r="O13" s="27">
        <f t="shared" si="1"/>
        <v>147</v>
      </c>
      <c r="P13" s="27">
        <f t="shared" si="2"/>
        <v>3087</v>
      </c>
      <c r="Q13" s="27" t="s">
        <v>1076</v>
      </c>
      <c r="R13" s="56"/>
    </row>
    <row r="14" spans="1:19">
      <c r="A14" s="26">
        <v>42182</v>
      </c>
      <c r="B14" s="346"/>
      <c r="C14" s="35" t="s">
        <v>144</v>
      </c>
      <c r="D14" s="35">
        <v>5</v>
      </c>
      <c r="E14" s="27">
        <v>120</v>
      </c>
      <c r="F14" s="35">
        <v>0.5</v>
      </c>
      <c r="G14" s="27">
        <v>150</v>
      </c>
      <c r="H14" s="35"/>
      <c r="I14" s="27">
        <v>600</v>
      </c>
      <c r="J14" s="27"/>
      <c r="K14" s="27"/>
      <c r="L14" s="231"/>
      <c r="M14" s="231"/>
      <c r="N14" s="27">
        <f t="shared" si="0"/>
        <v>675</v>
      </c>
      <c r="O14" s="27">
        <f t="shared" si="1"/>
        <v>33.75</v>
      </c>
      <c r="P14" s="27">
        <f t="shared" si="2"/>
        <v>708.75</v>
      </c>
      <c r="Q14" s="27" t="s">
        <v>1076</v>
      </c>
      <c r="R14" s="56"/>
    </row>
    <row r="15" spans="1:19">
      <c r="A15" s="26">
        <v>42184</v>
      </c>
      <c r="B15" s="346"/>
      <c r="C15" s="35" t="s">
        <v>144</v>
      </c>
      <c r="D15" s="35">
        <v>10</v>
      </c>
      <c r="E15" s="27">
        <v>120</v>
      </c>
      <c r="F15" s="35">
        <v>1</v>
      </c>
      <c r="G15" s="27">
        <v>150</v>
      </c>
      <c r="H15" s="35"/>
      <c r="I15" s="27">
        <v>600</v>
      </c>
      <c r="J15" s="27">
        <v>2</v>
      </c>
      <c r="K15" s="27">
        <v>120</v>
      </c>
      <c r="L15" s="231"/>
      <c r="M15" s="231"/>
      <c r="N15" s="27">
        <f t="shared" si="0"/>
        <v>1590</v>
      </c>
      <c r="O15" s="27">
        <f t="shared" si="1"/>
        <v>79.5</v>
      </c>
      <c r="P15" s="27">
        <f t="shared" si="2"/>
        <v>1669.5</v>
      </c>
      <c r="Q15" s="27" t="s">
        <v>1076</v>
      </c>
      <c r="R15" s="56"/>
    </row>
    <row r="16" spans="1:19" s="2" customFormat="1">
      <c r="A16" s="26">
        <v>42185</v>
      </c>
      <c r="B16" s="346"/>
      <c r="C16" s="35" t="s">
        <v>144</v>
      </c>
      <c r="D16" s="35">
        <v>10</v>
      </c>
      <c r="E16" s="27">
        <v>120</v>
      </c>
      <c r="F16" s="35">
        <v>1</v>
      </c>
      <c r="G16" s="27">
        <v>150</v>
      </c>
      <c r="H16" s="35"/>
      <c r="I16" s="27">
        <v>600</v>
      </c>
      <c r="J16" s="27"/>
      <c r="K16" s="27"/>
      <c r="L16" s="231"/>
      <c r="M16" s="231"/>
      <c r="N16" s="27">
        <f t="shared" si="0"/>
        <v>1350</v>
      </c>
      <c r="O16" s="27">
        <f t="shared" si="1"/>
        <v>67.5</v>
      </c>
      <c r="P16" s="27">
        <f t="shared" si="2"/>
        <v>1417.5</v>
      </c>
      <c r="Q16" s="27" t="s">
        <v>1076</v>
      </c>
      <c r="R16" s="56"/>
      <c r="S16" s="316"/>
    </row>
    <row r="17" spans="1:19" s="2" customFormat="1">
      <c r="A17" s="259">
        <v>42186</v>
      </c>
      <c r="B17" s="348"/>
      <c r="C17" s="266" t="s">
        <v>141</v>
      </c>
      <c r="D17" s="266">
        <v>10</v>
      </c>
      <c r="E17" s="265">
        <v>120</v>
      </c>
      <c r="F17" s="266">
        <v>1</v>
      </c>
      <c r="G17" s="265">
        <v>150</v>
      </c>
      <c r="H17" s="266">
        <v>1</v>
      </c>
      <c r="I17" s="265">
        <v>600</v>
      </c>
      <c r="J17" s="263"/>
      <c r="K17" s="265">
        <v>200</v>
      </c>
      <c r="L17" s="315"/>
      <c r="M17" s="315"/>
      <c r="N17" s="265">
        <f t="shared" si="0"/>
        <v>1950</v>
      </c>
      <c r="O17" s="265">
        <f>(N17*5%)</f>
        <v>97.5</v>
      </c>
      <c r="P17" s="265">
        <f>SUM(N17+O17)</f>
        <v>2047.5</v>
      </c>
      <c r="Q17" s="27" t="s">
        <v>1110</v>
      </c>
      <c r="R17" s="295"/>
      <c r="S17" s="316"/>
    </row>
    <row r="18" spans="1:19" s="2" customFormat="1">
      <c r="A18" s="259">
        <v>42187</v>
      </c>
      <c r="B18" s="348"/>
      <c r="C18" s="266" t="s">
        <v>141</v>
      </c>
      <c r="D18" s="266">
        <v>11</v>
      </c>
      <c r="E18" s="265">
        <v>120</v>
      </c>
      <c r="F18" s="266">
        <v>1</v>
      </c>
      <c r="G18" s="265">
        <v>150</v>
      </c>
      <c r="H18" s="266"/>
      <c r="I18" s="265">
        <v>600</v>
      </c>
      <c r="J18" s="263"/>
      <c r="K18" s="265">
        <v>200</v>
      </c>
      <c r="L18" s="315"/>
      <c r="M18" s="315"/>
      <c r="N18" s="265">
        <f t="shared" si="0"/>
        <v>1470</v>
      </c>
      <c r="O18" s="265">
        <f>(N18*5%)</f>
        <v>73.5</v>
      </c>
      <c r="P18" s="265">
        <f>SUM(N18+O18)</f>
        <v>1543.5</v>
      </c>
      <c r="Q18" s="265" t="s">
        <v>1110</v>
      </c>
      <c r="R18" s="295"/>
      <c r="S18" s="316"/>
    </row>
    <row r="19" spans="1:19" s="2" customFormat="1">
      <c r="A19" s="259">
        <v>42188</v>
      </c>
      <c r="B19" s="348"/>
      <c r="C19" s="266" t="s">
        <v>141</v>
      </c>
      <c r="D19" s="266">
        <v>22</v>
      </c>
      <c r="E19" s="265">
        <v>120</v>
      </c>
      <c r="F19" s="266">
        <v>2</v>
      </c>
      <c r="G19" s="265">
        <v>150</v>
      </c>
      <c r="H19" s="266"/>
      <c r="I19" s="265">
        <v>600</v>
      </c>
      <c r="J19" s="263"/>
      <c r="K19" s="265">
        <v>200</v>
      </c>
      <c r="L19" s="315"/>
      <c r="M19" s="315"/>
      <c r="N19" s="265">
        <f t="shared" si="0"/>
        <v>2940</v>
      </c>
      <c r="O19" s="265">
        <f>(N19*5%)</f>
        <v>147</v>
      </c>
      <c r="P19" s="265">
        <f>SUM(N19+O19)</f>
        <v>3087</v>
      </c>
      <c r="Q19" s="265" t="s">
        <v>1110</v>
      </c>
      <c r="R19" s="295"/>
      <c r="S19" s="316"/>
    </row>
    <row r="20" spans="1:19" s="2" customFormat="1" hidden="1">
      <c r="A20" s="259">
        <v>42189</v>
      </c>
      <c r="B20" s="348"/>
      <c r="C20" s="266" t="s">
        <v>141</v>
      </c>
      <c r="D20" s="266">
        <v>20</v>
      </c>
      <c r="E20" s="265">
        <v>120</v>
      </c>
      <c r="F20" s="266">
        <v>2</v>
      </c>
      <c r="G20" s="265">
        <v>150</v>
      </c>
      <c r="H20" s="266"/>
      <c r="I20" s="265">
        <v>600</v>
      </c>
      <c r="J20" s="263">
        <v>1</v>
      </c>
      <c r="K20" s="265">
        <v>200</v>
      </c>
      <c r="L20" s="315"/>
      <c r="M20" s="315"/>
      <c r="N20" s="265">
        <f t="shared" si="0"/>
        <v>2900</v>
      </c>
      <c r="O20" s="265">
        <f>(N20*5%)</f>
        <v>145</v>
      </c>
      <c r="P20" s="265">
        <f>SUM(N20+O20)</f>
        <v>3045</v>
      </c>
      <c r="Q20" s="265" t="s">
        <v>1110</v>
      </c>
      <c r="R20" s="295"/>
      <c r="S20" s="316"/>
    </row>
    <row r="21" spans="1:19" s="2" customFormat="1" hidden="1">
      <c r="A21" s="259"/>
      <c r="B21" s="348"/>
      <c r="C21" s="263"/>
      <c r="D21" s="266"/>
      <c r="E21" s="265"/>
      <c r="F21" s="266"/>
      <c r="G21" s="265"/>
      <c r="H21" s="266"/>
      <c r="I21" s="265">
        <v>600</v>
      </c>
      <c r="J21" s="263"/>
      <c r="K21" s="265">
        <v>200</v>
      </c>
      <c r="L21" s="315"/>
      <c r="M21" s="315"/>
      <c r="N21" s="265">
        <f t="shared" si="0"/>
        <v>0</v>
      </c>
      <c r="O21" s="265"/>
      <c r="P21" s="265"/>
      <c r="Q21" s="265" t="s">
        <v>1110</v>
      </c>
      <c r="R21" s="295"/>
      <c r="S21" s="316"/>
    </row>
    <row r="22" spans="1:19" s="2" customFormat="1" hidden="1">
      <c r="A22" s="259"/>
      <c r="B22" s="348"/>
      <c r="C22" s="263"/>
      <c r="D22" s="266"/>
      <c r="E22" s="265"/>
      <c r="F22" s="266"/>
      <c r="G22" s="265"/>
      <c r="H22" s="266"/>
      <c r="I22" s="265">
        <v>600</v>
      </c>
      <c r="J22" s="263"/>
      <c r="K22" s="265">
        <v>200</v>
      </c>
      <c r="L22" s="315"/>
      <c r="M22" s="315"/>
      <c r="N22" s="265">
        <f t="shared" si="0"/>
        <v>0</v>
      </c>
      <c r="O22" s="265"/>
      <c r="P22" s="265"/>
      <c r="Q22" s="265" t="s">
        <v>1110</v>
      </c>
      <c r="R22" s="295"/>
      <c r="S22" s="316"/>
    </row>
    <row r="23" spans="1:19" s="2" customFormat="1" hidden="1">
      <c r="A23" s="259"/>
      <c r="B23" s="348"/>
      <c r="C23" s="263"/>
      <c r="D23" s="266"/>
      <c r="E23" s="265"/>
      <c r="F23" s="266"/>
      <c r="G23" s="265"/>
      <c r="H23" s="266"/>
      <c r="I23" s="265">
        <v>600</v>
      </c>
      <c r="J23" s="263"/>
      <c r="K23" s="265">
        <v>200</v>
      </c>
      <c r="L23" s="315"/>
      <c r="M23" s="315"/>
      <c r="N23" s="265">
        <f t="shared" si="0"/>
        <v>0</v>
      </c>
      <c r="O23" s="265"/>
      <c r="P23" s="265"/>
      <c r="Q23" s="265" t="s">
        <v>1110</v>
      </c>
      <c r="R23" s="295"/>
      <c r="S23" s="316"/>
    </row>
    <row r="24" spans="1:19" s="2" customFormat="1" hidden="1">
      <c r="A24" s="259"/>
      <c r="B24" s="348"/>
      <c r="C24" s="263"/>
      <c r="D24" s="266"/>
      <c r="E24" s="265"/>
      <c r="F24" s="266"/>
      <c r="G24" s="265"/>
      <c r="H24" s="266"/>
      <c r="I24" s="265">
        <v>600</v>
      </c>
      <c r="J24" s="263"/>
      <c r="K24" s="265">
        <v>200</v>
      </c>
      <c r="L24" s="315"/>
      <c r="M24" s="315"/>
      <c r="N24" s="265">
        <f t="shared" si="0"/>
        <v>0</v>
      </c>
      <c r="O24" s="265"/>
      <c r="P24" s="265"/>
      <c r="Q24" s="265" t="s">
        <v>1110</v>
      </c>
      <c r="R24" s="295"/>
      <c r="S24" s="316"/>
    </row>
    <row r="25" spans="1:19" s="2" customFormat="1" hidden="1">
      <c r="A25" s="259"/>
      <c r="B25" s="348"/>
      <c r="C25" s="263"/>
      <c r="D25" s="266"/>
      <c r="E25" s="265"/>
      <c r="F25" s="266"/>
      <c r="G25" s="265"/>
      <c r="H25" s="266"/>
      <c r="I25" s="265">
        <v>600</v>
      </c>
      <c r="J25" s="263"/>
      <c r="K25" s="265">
        <v>200</v>
      </c>
      <c r="L25" s="315"/>
      <c r="M25" s="315"/>
      <c r="N25" s="265">
        <f t="shared" si="0"/>
        <v>0</v>
      </c>
      <c r="O25" s="265"/>
      <c r="P25" s="265"/>
      <c r="Q25" s="265" t="s">
        <v>1110</v>
      </c>
      <c r="R25" s="295"/>
      <c r="S25" s="316"/>
    </row>
    <row r="26" spans="1:19" s="2" customFormat="1" hidden="1">
      <c r="A26" s="259"/>
      <c r="B26" s="348"/>
      <c r="C26" s="263"/>
      <c r="D26" s="266"/>
      <c r="E26" s="265"/>
      <c r="F26" s="266"/>
      <c r="G26" s="265"/>
      <c r="H26" s="266"/>
      <c r="I26" s="265">
        <v>600</v>
      </c>
      <c r="J26" s="263"/>
      <c r="K26" s="265">
        <v>200</v>
      </c>
      <c r="L26" s="315"/>
      <c r="M26" s="315"/>
      <c r="N26" s="265">
        <f t="shared" si="0"/>
        <v>0</v>
      </c>
      <c r="O26" s="265"/>
      <c r="P26" s="265"/>
      <c r="Q26" s="265" t="s">
        <v>1110</v>
      </c>
      <c r="R26" s="295"/>
      <c r="S26" s="316"/>
    </row>
    <row r="27" spans="1:19" s="2" customFormat="1" hidden="1">
      <c r="A27" s="259"/>
      <c r="B27" s="348"/>
      <c r="C27" s="263"/>
      <c r="D27" s="266"/>
      <c r="E27" s="265"/>
      <c r="F27" s="266"/>
      <c r="G27" s="265"/>
      <c r="H27" s="266"/>
      <c r="I27" s="265">
        <v>600</v>
      </c>
      <c r="J27" s="263"/>
      <c r="K27" s="265">
        <v>200</v>
      </c>
      <c r="L27" s="315"/>
      <c r="M27" s="315"/>
      <c r="N27" s="265">
        <f t="shared" si="0"/>
        <v>0</v>
      </c>
      <c r="O27" s="265"/>
      <c r="P27" s="265"/>
      <c r="Q27" s="265" t="s">
        <v>1110</v>
      </c>
      <c r="R27" s="295"/>
      <c r="S27" s="316"/>
    </row>
    <row r="28" spans="1:19" s="2" customFormat="1" hidden="1">
      <c r="A28" s="259"/>
      <c r="B28" s="348"/>
      <c r="C28" s="263"/>
      <c r="D28" s="266"/>
      <c r="E28" s="265"/>
      <c r="F28" s="266"/>
      <c r="G28" s="265"/>
      <c r="H28" s="266"/>
      <c r="I28" s="265">
        <v>600</v>
      </c>
      <c r="J28" s="263"/>
      <c r="K28" s="265">
        <v>200</v>
      </c>
      <c r="L28" s="315"/>
      <c r="M28" s="315"/>
      <c r="N28" s="265">
        <f t="shared" si="0"/>
        <v>0</v>
      </c>
      <c r="O28" s="265"/>
      <c r="P28" s="265"/>
      <c r="Q28" s="265" t="s">
        <v>1110</v>
      </c>
      <c r="R28" s="295"/>
      <c r="S28" s="316"/>
    </row>
    <row r="29" spans="1:19" s="2" customFormat="1" hidden="1">
      <c r="A29" s="259"/>
      <c r="B29" s="348"/>
      <c r="C29" s="263"/>
      <c r="D29" s="266"/>
      <c r="E29" s="265"/>
      <c r="F29" s="266"/>
      <c r="G29" s="265"/>
      <c r="H29" s="266"/>
      <c r="I29" s="265">
        <v>600</v>
      </c>
      <c r="J29" s="263"/>
      <c r="K29" s="265">
        <v>200</v>
      </c>
      <c r="L29" s="315"/>
      <c r="M29" s="315"/>
      <c r="N29" s="265">
        <f t="shared" si="0"/>
        <v>0</v>
      </c>
      <c r="O29" s="265"/>
      <c r="P29" s="265"/>
      <c r="Q29" s="265" t="s">
        <v>1110</v>
      </c>
      <c r="R29" s="295"/>
      <c r="S29" s="316"/>
    </row>
    <row r="30" spans="1:19" s="2" customFormat="1" hidden="1">
      <c r="A30" s="259"/>
      <c r="B30" s="348"/>
      <c r="C30" s="263"/>
      <c r="D30" s="266"/>
      <c r="E30" s="265"/>
      <c r="F30" s="266"/>
      <c r="G30" s="265"/>
      <c r="H30" s="266"/>
      <c r="I30" s="265">
        <v>600</v>
      </c>
      <c r="J30" s="263"/>
      <c r="K30" s="265">
        <v>200</v>
      </c>
      <c r="L30" s="315"/>
      <c r="M30" s="315"/>
      <c r="N30" s="265">
        <f t="shared" si="0"/>
        <v>0</v>
      </c>
      <c r="O30" s="265"/>
      <c r="P30" s="265"/>
      <c r="Q30" s="265" t="s">
        <v>1110</v>
      </c>
      <c r="R30" s="295"/>
      <c r="S30" s="316"/>
    </row>
    <row r="31" spans="1:19" s="2" customFormat="1" hidden="1">
      <c r="A31" s="259"/>
      <c r="B31" s="348"/>
      <c r="C31" s="263"/>
      <c r="D31" s="266"/>
      <c r="E31" s="265"/>
      <c r="F31" s="266"/>
      <c r="G31" s="265"/>
      <c r="H31" s="266"/>
      <c r="I31" s="265">
        <v>600</v>
      </c>
      <c r="J31" s="263"/>
      <c r="K31" s="265">
        <v>200</v>
      </c>
      <c r="L31" s="315"/>
      <c r="M31" s="315"/>
      <c r="N31" s="265">
        <f t="shared" si="0"/>
        <v>0</v>
      </c>
      <c r="O31" s="265"/>
      <c r="P31" s="265"/>
      <c r="Q31" s="265" t="s">
        <v>1110</v>
      </c>
      <c r="R31" s="295"/>
      <c r="S31" s="316"/>
    </row>
    <row r="32" spans="1:19" s="2" customFormat="1" hidden="1">
      <c r="A32" s="259"/>
      <c r="B32" s="348"/>
      <c r="C32" s="263"/>
      <c r="D32" s="266"/>
      <c r="E32" s="265"/>
      <c r="F32" s="266"/>
      <c r="G32" s="265"/>
      <c r="H32" s="266"/>
      <c r="I32" s="265">
        <v>600</v>
      </c>
      <c r="J32" s="263"/>
      <c r="K32" s="265">
        <v>200</v>
      </c>
      <c r="L32" s="315"/>
      <c r="M32" s="315"/>
      <c r="N32" s="265">
        <f t="shared" si="0"/>
        <v>0</v>
      </c>
      <c r="O32" s="265"/>
      <c r="P32" s="265"/>
      <c r="Q32" s="265" t="s">
        <v>1110</v>
      </c>
      <c r="R32" s="295"/>
      <c r="S32" s="316"/>
    </row>
    <row r="33" spans="1:19" s="2" customFormat="1" hidden="1">
      <c r="A33" s="259"/>
      <c r="B33" s="348"/>
      <c r="C33" s="263"/>
      <c r="D33" s="266"/>
      <c r="E33" s="265"/>
      <c r="F33" s="266"/>
      <c r="G33" s="265"/>
      <c r="H33" s="266"/>
      <c r="I33" s="265">
        <v>600</v>
      </c>
      <c r="J33" s="263"/>
      <c r="K33" s="265">
        <v>200</v>
      </c>
      <c r="L33" s="315"/>
      <c r="M33" s="315"/>
      <c r="N33" s="265">
        <f t="shared" si="0"/>
        <v>0</v>
      </c>
      <c r="O33" s="265"/>
      <c r="P33" s="265"/>
      <c r="Q33" s="265" t="s">
        <v>1110</v>
      </c>
      <c r="R33" s="295"/>
      <c r="S33" s="316"/>
    </row>
    <row r="34" spans="1:19" s="2" customFormat="1" hidden="1">
      <c r="A34" s="259"/>
      <c r="B34" s="348"/>
      <c r="C34" s="263"/>
      <c r="D34" s="266"/>
      <c r="E34" s="265"/>
      <c r="F34" s="266"/>
      <c r="G34" s="265"/>
      <c r="H34" s="266"/>
      <c r="I34" s="265">
        <v>600</v>
      </c>
      <c r="J34" s="263"/>
      <c r="K34" s="265">
        <v>200</v>
      </c>
      <c r="L34" s="315"/>
      <c r="M34" s="315"/>
      <c r="N34" s="265">
        <f t="shared" si="0"/>
        <v>0</v>
      </c>
      <c r="O34" s="265"/>
      <c r="P34" s="265"/>
      <c r="Q34" s="265" t="s">
        <v>1110</v>
      </c>
      <c r="R34" s="295"/>
      <c r="S34" s="316"/>
    </row>
    <row r="35" spans="1:19" s="2" customFormat="1" hidden="1">
      <c r="A35" s="259"/>
      <c r="B35" s="348"/>
      <c r="C35" s="263"/>
      <c r="D35" s="266"/>
      <c r="E35" s="265"/>
      <c r="F35" s="266"/>
      <c r="G35" s="265"/>
      <c r="H35" s="266"/>
      <c r="I35" s="265">
        <v>600</v>
      </c>
      <c r="J35" s="263"/>
      <c r="K35" s="265">
        <v>200</v>
      </c>
      <c r="L35" s="315"/>
      <c r="M35" s="315"/>
      <c r="N35" s="265">
        <f t="shared" si="0"/>
        <v>0</v>
      </c>
      <c r="O35" s="265"/>
      <c r="P35" s="265"/>
      <c r="Q35" s="265" t="s">
        <v>1110</v>
      </c>
      <c r="R35" s="295"/>
      <c r="S35" s="316"/>
    </row>
    <row r="36" spans="1:19" s="2" customFormat="1" hidden="1">
      <c r="A36" s="259"/>
      <c r="B36" s="348"/>
      <c r="C36" s="263"/>
      <c r="D36" s="266"/>
      <c r="E36" s="265"/>
      <c r="F36" s="266"/>
      <c r="G36" s="265"/>
      <c r="H36" s="266"/>
      <c r="I36" s="265">
        <v>600</v>
      </c>
      <c r="J36" s="263"/>
      <c r="K36" s="265">
        <v>200</v>
      </c>
      <c r="L36" s="315"/>
      <c r="M36" s="315"/>
      <c r="N36" s="265">
        <f t="shared" si="0"/>
        <v>0</v>
      </c>
      <c r="O36" s="265"/>
      <c r="P36" s="265"/>
      <c r="Q36" s="265" t="s">
        <v>1110</v>
      </c>
      <c r="R36" s="295"/>
      <c r="S36" s="316"/>
    </row>
    <row r="37" spans="1:19" s="2" customFormat="1" hidden="1">
      <c r="A37" s="259"/>
      <c r="B37" s="348"/>
      <c r="C37" s="263"/>
      <c r="D37" s="266"/>
      <c r="E37" s="265"/>
      <c r="F37" s="266"/>
      <c r="G37" s="265"/>
      <c r="H37" s="266"/>
      <c r="I37" s="265">
        <v>600</v>
      </c>
      <c r="J37" s="263"/>
      <c r="K37" s="265">
        <v>200</v>
      </c>
      <c r="L37" s="315"/>
      <c r="M37" s="315"/>
      <c r="N37" s="265">
        <f t="shared" si="0"/>
        <v>0</v>
      </c>
      <c r="O37" s="265"/>
      <c r="P37" s="265"/>
      <c r="Q37" s="265" t="s">
        <v>1110</v>
      </c>
      <c r="R37" s="295"/>
      <c r="S37" s="316"/>
    </row>
    <row r="38" spans="1:19" s="2" customFormat="1" hidden="1">
      <c r="A38" s="259"/>
      <c r="B38" s="348"/>
      <c r="C38" s="263"/>
      <c r="D38" s="266"/>
      <c r="E38" s="265"/>
      <c r="F38" s="266"/>
      <c r="G38" s="265"/>
      <c r="H38" s="266"/>
      <c r="I38" s="265">
        <v>600</v>
      </c>
      <c r="J38" s="263"/>
      <c r="K38" s="265">
        <v>200</v>
      </c>
      <c r="L38" s="315"/>
      <c r="M38" s="315"/>
      <c r="N38" s="265">
        <f t="shared" si="0"/>
        <v>0</v>
      </c>
      <c r="O38" s="265"/>
      <c r="P38" s="265"/>
      <c r="Q38" s="265" t="s">
        <v>1110</v>
      </c>
      <c r="R38" s="295"/>
      <c r="S38" s="316"/>
    </row>
    <row r="39" spans="1:19" s="2" customFormat="1" hidden="1">
      <c r="A39" s="259"/>
      <c r="B39" s="348"/>
      <c r="C39" s="263"/>
      <c r="D39" s="266"/>
      <c r="E39" s="265"/>
      <c r="F39" s="266"/>
      <c r="G39" s="265"/>
      <c r="H39" s="266"/>
      <c r="I39" s="265">
        <v>600</v>
      </c>
      <c r="J39" s="263"/>
      <c r="K39" s="265">
        <v>200</v>
      </c>
      <c r="L39" s="315"/>
      <c r="M39" s="315"/>
      <c r="N39" s="265">
        <f t="shared" si="0"/>
        <v>0</v>
      </c>
      <c r="O39" s="265"/>
      <c r="P39" s="265"/>
      <c r="Q39" s="265" t="s">
        <v>1110</v>
      </c>
      <c r="R39" s="295"/>
      <c r="S39" s="316"/>
    </row>
    <row r="40" spans="1:19" s="2" customFormat="1" hidden="1">
      <c r="A40" s="259"/>
      <c r="B40" s="348"/>
      <c r="C40" s="263"/>
      <c r="D40" s="266"/>
      <c r="E40" s="265"/>
      <c r="F40" s="266"/>
      <c r="G40" s="265"/>
      <c r="H40" s="266"/>
      <c r="I40" s="265">
        <v>600</v>
      </c>
      <c r="J40" s="263"/>
      <c r="K40" s="265">
        <v>200</v>
      </c>
      <c r="L40" s="315"/>
      <c r="M40" s="315"/>
      <c r="N40" s="265">
        <f t="shared" si="0"/>
        <v>0</v>
      </c>
      <c r="O40" s="265"/>
      <c r="P40" s="265"/>
      <c r="Q40" s="265" t="s">
        <v>1110</v>
      </c>
      <c r="R40" s="295"/>
      <c r="S40" s="316"/>
    </row>
    <row r="41" spans="1:19" s="2" customFormat="1">
      <c r="A41" s="259"/>
      <c r="B41" s="348"/>
      <c r="C41" s="263"/>
      <c r="D41" s="266"/>
      <c r="E41" s="265"/>
      <c r="F41" s="266"/>
      <c r="G41" s="265"/>
      <c r="H41" s="266"/>
      <c r="I41" s="265">
        <v>600</v>
      </c>
      <c r="J41" s="263"/>
      <c r="K41" s="265">
        <v>200</v>
      </c>
      <c r="L41" s="315"/>
      <c r="M41" s="315"/>
      <c r="N41" s="265">
        <f t="shared" si="0"/>
        <v>0</v>
      </c>
      <c r="O41" s="265"/>
      <c r="P41" s="265"/>
      <c r="Q41" s="265" t="s">
        <v>1110</v>
      </c>
      <c r="R41" s="295"/>
      <c r="S41" s="316"/>
    </row>
    <row r="42" spans="1:19" s="2" customFormat="1">
      <c r="A42" s="259">
        <v>42191</v>
      </c>
      <c r="B42" s="348"/>
      <c r="C42" s="263" t="s">
        <v>152</v>
      </c>
      <c r="D42" s="266">
        <v>10</v>
      </c>
      <c r="E42" s="265">
        <v>120</v>
      </c>
      <c r="F42" s="266">
        <v>1</v>
      </c>
      <c r="G42" s="265">
        <v>150</v>
      </c>
      <c r="H42" s="266"/>
      <c r="I42" s="265">
        <v>600</v>
      </c>
      <c r="J42" s="263">
        <v>1</v>
      </c>
      <c r="K42" s="265">
        <v>200</v>
      </c>
      <c r="L42" s="315"/>
      <c r="M42" s="315"/>
      <c r="N42" s="265">
        <f t="shared" si="0"/>
        <v>1550</v>
      </c>
      <c r="O42" s="265">
        <f t="shared" ref="O42:O81" si="3">(N42*5%)</f>
        <v>77.5</v>
      </c>
      <c r="P42" s="265">
        <f t="shared" ref="P42:P81" si="4">SUM(N42+O42)</f>
        <v>1627.5</v>
      </c>
      <c r="Q42" s="265" t="s">
        <v>1110</v>
      </c>
      <c r="R42" s="295"/>
      <c r="S42" s="316"/>
    </row>
    <row r="43" spans="1:19" s="2" customFormat="1">
      <c r="A43" s="259">
        <v>42192</v>
      </c>
      <c r="B43" s="348"/>
      <c r="C43" s="263" t="s">
        <v>152</v>
      </c>
      <c r="D43" s="266">
        <v>10</v>
      </c>
      <c r="E43" s="265">
        <v>120</v>
      </c>
      <c r="F43" s="266">
        <v>1</v>
      </c>
      <c r="G43" s="265">
        <v>150</v>
      </c>
      <c r="H43" s="266"/>
      <c r="I43" s="265">
        <v>600</v>
      </c>
      <c r="J43" s="263">
        <v>1</v>
      </c>
      <c r="K43" s="265">
        <v>200</v>
      </c>
      <c r="L43" s="315"/>
      <c r="M43" s="315"/>
      <c r="N43" s="265">
        <f t="shared" si="0"/>
        <v>1550</v>
      </c>
      <c r="O43" s="265">
        <f t="shared" si="3"/>
        <v>77.5</v>
      </c>
      <c r="P43" s="265">
        <f t="shared" si="4"/>
        <v>1627.5</v>
      </c>
      <c r="Q43" s="265" t="s">
        <v>1110</v>
      </c>
      <c r="R43" s="295"/>
      <c r="S43" s="316"/>
    </row>
    <row r="44" spans="1:19" s="2" customFormat="1">
      <c r="A44" s="259">
        <v>42193</v>
      </c>
      <c r="B44" s="348"/>
      <c r="C44" s="263" t="s">
        <v>152</v>
      </c>
      <c r="D44" s="266">
        <v>10</v>
      </c>
      <c r="E44" s="265">
        <v>120</v>
      </c>
      <c r="F44" s="266">
        <v>1</v>
      </c>
      <c r="G44" s="265">
        <v>150</v>
      </c>
      <c r="H44" s="266"/>
      <c r="I44" s="265">
        <v>600</v>
      </c>
      <c r="J44" s="263">
        <v>1</v>
      </c>
      <c r="K44" s="265">
        <v>200</v>
      </c>
      <c r="L44" s="315"/>
      <c r="M44" s="315"/>
      <c r="N44" s="265">
        <f t="shared" si="0"/>
        <v>1550</v>
      </c>
      <c r="O44" s="265">
        <f t="shared" si="3"/>
        <v>77.5</v>
      </c>
      <c r="P44" s="265">
        <f t="shared" si="4"/>
        <v>1627.5</v>
      </c>
      <c r="Q44" s="265" t="s">
        <v>1110</v>
      </c>
      <c r="R44" s="295"/>
      <c r="S44" s="316"/>
    </row>
    <row r="45" spans="1:19" s="2" customFormat="1">
      <c r="A45" s="259">
        <v>42194</v>
      </c>
      <c r="B45" s="348"/>
      <c r="C45" s="263" t="s">
        <v>152</v>
      </c>
      <c r="D45" s="266">
        <v>10</v>
      </c>
      <c r="E45" s="265">
        <v>120</v>
      </c>
      <c r="F45" s="266">
        <v>1</v>
      </c>
      <c r="G45" s="265">
        <v>150</v>
      </c>
      <c r="H45" s="266"/>
      <c r="I45" s="265">
        <v>600</v>
      </c>
      <c r="J45" s="263">
        <v>1</v>
      </c>
      <c r="K45" s="265">
        <v>200</v>
      </c>
      <c r="L45" s="315"/>
      <c r="M45" s="315"/>
      <c r="N45" s="265">
        <f t="shared" si="0"/>
        <v>1550</v>
      </c>
      <c r="O45" s="265">
        <f t="shared" si="3"/>
        <v>77.5</v>
      </c>
      <c r="P45" s="265">
        <f t="shared" si="4"/>
        <v>1627.5</v>
      </c>
      <c r="Q45" s="265" t="s">
        <v>1110</v>
      </c>
      <c r="R45" s="295"/>
      <c r="S45" s="316"/>
    </row>
    <row r="46" spans="1:19" s="2" customFormat="1">
      <c r="A46" s="259">
        <v>42195</v>
      </c>
      <c r="B46" s="348"/>
      <c r="C46" s="263" t="s">
        <v>152</v>
      </c>
      <c r="D46" s="266">
        <v>10</v>
      </c>
      <c r="E46" s="265">
        <v>120</v>
      </c>
      <c r="F46" s="266">
        <v>1</v>
      </c>
      <c r="G46" s="265">
        <v>150</v>
      </c>
      <c r="H46" s="266"/>
      <c r="I46" s="265">
        <v>600</v>
      </c>
      <c r="J46" s="263">
        <v>1</v>
      </c>
      <c r="K46" s="265">
        <v>200</v>
      </c>
      <c r="L46" s="315"/>
      <c r="M46" s="315"/>
      <c r="N46" s="265">
        <f t="shared" si="0"/>
        <v>1550</v>
      </c>
      <c r="O46" s="265">
        <f t="shared" si="3"/>
        <v>77.5</v>
      </c>
      <c r="P46" s="265">
        <f t="shared" si="4"/>
        <v>1627.5</v>
      </c>
      <c r="Q46" s="265" t="s">
        <v>1110</v>
      </c>
      <c r="R46" s="295"/>
      <c r="S46" s="316"/>
    </row>
    <row r="47" spans="1:19" s="2" customFormat="1">
      <c r="A47" s="259">
        <v>42196</v>
      </c>
      <c r="B47" s="348"/>
      <c r="C47" s="263" t="s">
        <v>152</v>
      </c>
      <c r="D47" s="266">
        <v>10</v>
      </c>
      <c r="E47" s="265">
        <v>120</v>
      </c>
      <c r="F47" s="266">
        <v>1</v>
      </c>
      <c r="G47" s="265">
        <v>150</v>
      </c>
      <c r="H47" s="266"/>
      <c r="I47" s="265">
        <v>600</v>
      </c>
      <c r="J47" s="263">
        <v>1</v>
      </c>
      <c r="K47" s="265">
        <v>200</v>
      </c>
      <c r="L47" s="315"/>
      <c r="M47" s="315"/>
      <c r="N47" s="265">
        <f t="shared" si="0"/>
        <v>1550</v>
      </c>
      <c r="O47" s="265">
        <f t="shared" si="3"/>
        <v>77.5</v>
      </c>
      <c r="P47" s="265">
        <f t="shared" si="4"/>
        <v>1627.5</v>
      </c>
      <c r="Q47" s="265" t="s">
        <v>1110</v>
      </c>
      <c r="R47" s="295"/>
      <c r="S47" s="316"/>
    </row>
    <row r="48" spans="1:19" s="2" customFormat="1">
      <c r="A48" s="259">
        <v>42197</v>
      </c>
      <c r="B48" s="348"/>
      <c r="C48" s="263" t="s">
        <v>152</v>
      </c>
      <c r="D48" s="266"/>
      <c r="E48" s="265">
        <v>120</v>
      </c>
      <c r="F48" s="266"/>
      <c r="G48" s="265">
        <v>150</v>
      </c>
      <c r="H48" s="266"/>
      <c r="I48" s="265">
        <v>600</v>
      </c>
      <c r="J48" s="263"/>
      <c r="K48" s="265">
        <v>200</v>
      </c>
      <c r="L48" s="315"/>
      <c r="M48" s="315"/>
      <c r="N48" s="265">
        <f t="shared" si="0"/>
        <v>0</v>
      </c>
      <c r="O48" s="265">
        <f t="shared" si="3"/>
        <v>0</v>
      </c>
      <c r="P48" s="265">
        <f t="shared" si="4"/>
        <v>0</v>
      </c>
      <c r="Q48" s="265" t="s">
        <v>1110</v>
      </c>
      <c r="R48" s="295"/>
      <c r="S48" s="316"/>
    </row>
    <row r="49" spans="1:19" s="2" customFormat="1">
      <c r="A49" s="259">
        <v>42198</v>
      </c>
      <c r="B49" s="348"/>
      <c r="C49" s="263" t="s">
        <v>152</v>
      </c>
      <c r="D49" s="266">
        <v>10</v>
      </c>
      <c r="E49" s="265">
        <v>120</v>
      </c>
      <c r="F49" s="266">
        <v>1</v>
      </c>
      <c r="G49" s="265">
        <v>150</v>
      </c>
      <c r="H49" s="266"/>
      <c r="I49" s="265">
        <v>600</v>
      </c>
      <c r="J49" s="263">
        <v>1</v>
      </c>
      <c r="K49" s="265">
        <v>200</v>
      </c>
      <c r="L49" s="315"/>
      <c r="M49" s="315"/>
      <c r="N49" s="265">
        <f t="shared" si="0"/>
        <v>1550</v>
      </c>
      <c r="O49" s="265">
        <f t="shared" si="3"/>
        <v>77.5</v>
      </c>
      <c r="P49" s="265">
        <f t="shared" si="4"/>
        <v>1627.5</v>
      </c>
      <c r="Q49" s="265" t="s">
        <v>1110</v>
      </c>
      <c r="R49" s="295"/>
      <c r="S49" s="316"/>
    </row>
    <row r="50" spans="1:19" s="2" customFormat="1">
      <c r="A50" s="259">
        <v>42199</v>
      </c>
      <c r="B50" s="348"/>
      <c r="C50" s="263" t="s">
        <v>152</v>
      </c>
      <c r="D50" s="266">
        <v>10</v>
      </c>
      <c r="E50" s="265">
        <v>120</v>
      </c>
      <c r="F50" s="266">
        <v>1</v>
      </c>
      <c r="G50" s="265">
        <v>150</v>
      </c>
      <c r="H50" s="266"/>
      <c r="I50" s="265">
        <v>600</v>
      </c>
      <c r="J50" s="263">
        <v>1</v>
      </c>
      <c r="K50" s="265">
        <v>200</v>
      </c>
      <c r="L50" s="315"/>
      <c r="M50" s="315"/>
      <c r="N50" s="265">
        <f t="shared" si="0"/>
        <v>1550</v>
      </c>
      <c r="O50" s="265">
        <f t="shared" si="3"/>
        <v>77.5</v>
      </c>
      <c r="P50" s="265">
        <f t="shared" si="4"/>
        <v>1627.5</v>
      </c>
      <c r="Q50" s="265" t="s">
        <v>1110</v>
      </c>
      <c r="R50" s="295"/>
      <c r="S50" s="316"/>
    </row>
    <row r="51" spans="1:19">
      <c r="A51" s="259">
        <v>42200</v>
      </c>
      <c r="B51" s="348"/>
      <c r="C51" s="263" t="s">
        <v>152</v>
      </c>
      <c r="D51" s="266">
        <v>10</v>
      </c>
      <c r="E51" s="265">
        <v>120</v>
      </c>
      <c r="F51" s="266">
        <v>1</v>
      </c>
      <c r="G51" s="265">
        <v>150</v>
      </c>
      <c r="H51" s="266"/>
      <c r="I51" s="265">
        <v>600</v>
      </c>
      <c r="J51" s="263">
        <v>1</v>
      </c>
      <c r="K51" s="265">
        <v>200</v>
      </c>
      <c r="L51" s="315"/>
      <c r="M51" s="315"/>
      <c r="N51" s="265">
        <f t="shared" si="0"/>
        <v>1550</v>
      </c>
      <c r="O51" s="265">
        <f t="shared" si="3"/>
        <v>77.5</v>
      </c>
      <c r="P51" s="265">
        <f t="shared" si="4"/>
        <v>1627.5</v>
      </c>
      <c r="Q51" s="265" t="s">
        <v>1110</v>
      </c>
      <c r="R51" s="295"/>
      <c r="S51" s="155"/>
    </row>
    <row r="52" spans="1:19">
      <c r="A52" s="26">
        <v>42201</v>
      </c>
      <c r="B52" s="346"/>
      <c r="C52" s="31" t="s">
        <v>152</v>
      </c>
      <c r="D52" s="35">
        <v>6</v>
      </c>
      <c r="E52" s="160">
        <v>100</v>
      </c>
      <c r="F52" s="35">
        <v>1</v>
      </c>
      <c r="G52" s="160">
        <v>150</v>
      </c>
      <c r="H52" s="35"/>
      <c r="I52" s="27">
        <v>600</v>
      </c>
      <c r="J52" s="31">
        <v>1</v>
      </c>
      <c r="K52" s="160">
        <v>200</v>
      </c>
      <c r="L52" s="274"/>
      <c r="M52" s="274"/>
      <c r="N52" s="27">
        <f t="shared" si="0"/>
        <v>950</v>
      </c>
      <c r="O52" s="27">
        <f t="shared" si="3"/>
        <v>47.5</v>
      </c>
      <c r="P52" s="27">
        <f t="shared" si="4"/>
        <v>997.5</v>
      </c>
      <c r="Q52" s="265" t="s">
        <v>1111</v>
      </c>
      <c r="R52" s="56"/>
      <c r="S52" s="173"/>
    </row>
    <row r="53" spans="1:19">
      <c r="A53" s="26">
        <v>42202</v>
      </c>
      <c r="B53" s="346"/>
      <c r="C53" s="31" t="s">
        <v>152</v>
      </c>
      <c r="D53" s="35">
        <v>6</v>
      </c>
      <c r="E53" s="160">
        <v>100</v>
      </c>
      <c r="F53" s="35">
        <v>1</v>
      </c>
      <c r="G53" s="160">
        <v>150</v>
      </c>
      <c r="H53" s="35"/>
      <c r="I53" s="27">
        <v>600</v>
      </c>
      <c r="J53" s="31"/>
      <c r="K53" s="160">
        <v>200</v>
      </c>
      <c r="L53" s="274"/>
      <c r="M53" s="274"/>
      <c r="N53" s="27">
        <f t="shared" si="0"/>
        <v>750</v>
      </c>
      <c r="O53" s="27">
        <f t="shared" si="3"/>
        <v>37.5</v>
      </c>
      <c r="P53" s="27">
        <f t="shared" si="4"/>
        <v>787.5</v>
      </c>
      <c r="Q53" s="265" t="s">
        <v>1111</v>
      </c>
      <c r="R53" s="56"/>
      <c r="S53" s="174"/>
    </row>
    <row r="54" spans="1:19">
      <c r="A54" s="26">
        <v>42203</v>
      </c>
      <c r="B54" s="346"/>
      <c r="C54" s="31" t="s">
        <v>152</v>
      </c>
      <c r="D54" s="35"/>
      <c r="E54" s="160">
        <v>120</v>
      </c>
      <c r="F54" s="35"/>
      <c r="G54" s="160">
        <v>150</v>
      </c>
      <c r="H54" s="35"/>
      <c r="I54" s="27">
        <v>600</v>
      </c>
      <c r="J54" s="31"/>
      <c r="K54" s="160">
        <v>200</v>
      </c>
      <c r="L54" s="274"/>
      <c r="M54" s="274"/>
      <c r="N54" s="27">
        <f t="shared" si="0"/>
        <v>0</v>
      </c>
      <c r="O54" s="27">
        <f t="shared" si="3"/>
        <v>0</v>
      </c>
      <c r="P54" s="27">
        <f t="shared" si="4"/>
        <v>0</v>
      </c>
      <c r="Q54" s="265" t="s">
        <v>1111</v>
      </c>
      <c r="R54" s="56"/>
      <c r="S54" s="175"/>
    </row>
    <row r="55" spans="1:19">
      <c r="A55" s="26">
        <v>42204</v>
      </c>
      <c r="B55" s="346"/>
      <c r="C55" s="31" t="s">
        <v>152</v>
      </c>
      <c r="D55" s="35"/>
      <c r="E55" s="160">
        <v>120</v>
      </c>
      <c r="F55" s="35"/>
      <c r="G55" s="160">
        <v>150</v>
      </c>
      <c r="H55" s="35"/>
      <c r="I55" s="27">
        <v>600</v>
      </c>
      <c r="J55" s="31"/>
      <c r="K55" s="160">
        <v>200</v>
      </c>
      <c r="L55" s="274"/>
      <c r="M55" s="274"/>
      <c r="N55" s="27">
        <f t="shared" si="0"/>
        <v>0</v>
      </c>
      <c r="O55" s="27">
        <f t="shared" si="3"/>
        <v>0</v>
      </c>
      <c r="P55" s="27">
        <f t="shared" si="4"/>
        <v>0</v>
      </c>
      <c r="Q55" s="265" t="s">
        <v>1111</v>
      </c>
      <c r="R55" s="56"/>
      <c r="S55" s="175"/>
    </row>
    <row r="56" spans="1:19">
      <c r="A56" s="26">
        <v>42205</v>
      </c>
      <c r="B56" s="346"/>
      <c r="C56" s="31" t="s">
        <v>144</v>
      </c>
      <c r="D56" s="35">
        <v>10</v>
      </c>
      <c r="E56" s="160">
        <v>120</v>
      </c>
      <c r="F56" s="35">
        <v>1</v>
      </c>
      <c r="G56" s="160">
        <v>150</v>
      </c>
      <c r="H56" s="35"/>
      <c r="I56" s="27">
        <v>600</v>
      </c>
      <c r="J56" s="31"/>
      <c r="K56" s="160">
        <v>200</v>
      </c>
      <c r="L56" s="274"/>
      <c r="M56" s="274"/>
      <c r="N56" s="27">
        <f t="shared" si="0"/>
        <v>1350</v>
      </c>
      <c r="O56" s="27">
        <f t="shared" si="3"/>
        <v>67.5</v>
      </c>
      <c r="P56" s="27">
        <f t="shared" si="4"/>
        <v>1417.5</v>
      </c>
      <c r="Q56" s="265" t="s">
        <v>1111</v>
      </c>
      <c r="R56" s="56"/>
      <c r="S56" s="176"/>
    </row>
    <row r="57" spans="1:19">
      <c r="A57" s="26">
        <v>42206</v>
      </c>
      <c r="B57" s="346"/>
      <c r="C57" s="31" t="s">
        <v>144</v>
      </c>
      <c r="D57" s="35">
        <v>11</v>
      </c>
      <c r="E57" s="160">
        <v>120</v>
      </c>
      <c r="F57" s="35">
        <v>1</v>
      </c>
      <c r="G57" s="160">
        <v>150</v>
      </c>
      <c r="H57" s="35"/>
      <c r="I57" s="27">
        <v>600</v>
      </c>
      <c r="J57" s="31"/>
      <c r="K57" s="160">
        <v>200</v>
      </c>
      <c r="L57" s="274"/>
      <c r="M57" s="274"/>
      <c r="N57" s="27">
        <f t="shared" si="0"/>
        <v>1470</v>
      </c>
      <c r="O57" s="27">
        <f t="shared" si="3"/>
        <v>73.5</v>
      </c>
      <c r="P57" s="27">
        <f t="shared" si="4"/>
        <v>1543.5</v>
      </c>
      <c r="Q57" s="265" t="s">
        <v>1111</v>
      </c>
      <c r="R57" s="56"/>
      <c r="S57" s="178"/>
    </row>
    <row r="58" spans="1:19">
      <c r="A58" s="26">
        <v>42207</v>
      </c>
      <c r="B58" s="346"/>
      <c r="C58" s="31" t="s">
        <v>144</v>
      </c>
      <c r="D58" s="35">
        <v>12</v>
      </c>
      <c r="E58" s="160">
        <v>120</v>
      </c>
      <c r="F58" s="35">
        <v>1</v>
      </c>
      <c r="G58" s="160">
        <v>150</v>
      </c>
      <c r="H58" s="35"/>
      <c r="I58" s="27">
        <v>600</v>
      </c>
      <c r="J58" s="31"/>
      <c r="K58" s="160">
        <v>200</v>
      </c>
      <c r="L58" s="274"/>
      <c r="M58" s="274"/>
      <c r="N58" s="27">
        <f t="shared" si="0"/>
        <v>1590</v>
      </c>
      <c r="O58" s="27">
        <f t="shared" si="3"/>
        <v>79.5</v>
      </c>
      <c r="P58" s="27">
        <f t="shared" si="4"/>
        <v>1669.5</v>
      </c>
      <c r="Q58" s="265" t="s">
        <v>1111</v>
      </c>
      <c r="R58" s="56"/>
      <c r="S58" s="179"/>
    </row>
    <row r="59" spans="1:19">
      <c r="A59" s="26">
        <v>42208</v>
      </c>
      <c r="B59" s="346"/>
      <c r="C59" s="31" t="s">
        <v>144</v>
      </c>
      <c r="D59" s="35">
        <v>13</v>
      </c>
      <c r="E59" s="160">
        <v>120</v>
      </c>
      <c r="F59" s="35">
        <v>1</v>
      </c>
      <c r="G59" s="160">
        <v>150</v>
      </c>
      <c r="H59" s="35"/>
      <c r="I59" s="27">
        <v>600</v>
      </c>
      <c r="J59" s="31"/>
      <c r="K59" s="160">
        <v>200</v>
      </c>
      <c r="L59" s="274"/>
      <c r="M59" s="274"/>
      <c r="N59" s="27">
        <f t="shared" si="0"/>
        <v>1710</v>
      </c>
      <c r="O59" s="27">
        <f t="shared" si="3"/>
        <v>85.5</v>
      </c>
      <c r="P59" s="27">
        <f t="shared" si="4"/>
        <v>1795.5</v>
      </c>
      <c r="Q59" s="265" t="s">
        <v>1111</v>
      </c>
      <c r="R59" s="56"/>
      <c r="S59" s="181"/>
    </row>
    <row r="60" spans="1:19">
      <c r="A60" s="26">
        <v>42209</v>
      </c>
      <c r="B60" s="346"/>
      <c r="C60" s="31" t="s">
        <v>144</v>
      </c>
      <c r="D60" s="35">
        <v>12</v>
      </c>
      <c r="E60" s="160">
        <v>120</v>
      </c>
      <c r="F60" s="35">
        <v>1</v>
      </c>
      <c r="G60" s="160">
        <v>150</v>
      </c>
      <c r="H60" s="35"/>
      <c r="I60" s="27">
        <v>600</v>
      </c>
      <c r="J60" s="31"/>
      <c r="K60" s="160">
        <v>200</v>
      </c>
      <c r="L60" s="274"/>
      <c r="M60" s="274"/>
      <c r="N60" s="27">
        <f t="shared" si="0"/>
        <v>1590</v>
      </c>
      <c r="O60" s="27">
        <f t="shared" si="3"/>
        <v>79.5</v>
      </c>
      <c r="P60" s="27">
        <f t="shared" si="4"/>
        <v>1669.5</v>
      </c>
      <c r="Q60" s="265" t="s">
        <v>1111</v>
      </c>
      <c r="R60" s="56"/>
      <c r="S60" s="181"/>
    </row>
    <row r="61" spans="1:19">
      <c r="A61" s="26">
        <v>42210</v>
      </c>
      <c r="B61" s="346"/>
      <c r="C61" s="31" t="s">
        <v>144</v>
      </c>
      <c r="D61" s="35">
        <v>12</v>
      </c>
      <c r="E61" s="160">
        <v>120</v>
      </c>
      <c r="F61" s="35">
        <v>1</v>
      </c>
      <c r="G61" s="160">
        <v>150</v>
      </c>
      <c r="H61" s="35"/>
      <c r="I61" s="27">
        <v>600</v>
      </c>
      <c r="J61" s="31"/>
      <c r="K61" s="160">
        <v>200</v>
      </c>
      <c r="L61" s="274"/>
      <c r="M61" s="274"/>
      <c r="N61" s="27">
        <f t="shared" si="0"/>
        <v>1590</v>
      </c>
      <c r="O61" s="27">
        <f t="shared" si="3"/>
        <v>79.5</v>
      </c>
      <c r="P61" s="27">
        <f t="shared" si="4"/>
        <v>1669.5</v>
      </c>
      <c r="Q61" s="265" t="s">
        <v>1111</v>
      </c>
      <c r="R61" s="56"/>
      <c r="S61" s="183"/>
    </row>
    <row r="62" spans="1:19">
      <c r="A62" s="26">
        <v>42211</v>
      </c>
      <c r="B62" s="346"/>
      <c r="C62" s="31"/>
      <c r="D62" s="35"/>
      <c r="E62" s="160">
        <v>120</v>
      </c>
      <c r="F62" s="35"/>
      <c r="G62" s="160">
        <v>150</v>
      </c>
      <c r="H62" s="35"/>
      <c r="I62" s="27">
        <v>600</v>
      </c>
      <c r="J62" s="31"/>
      <c r="K62" s="160">
        <v>200</v>
      </c>
      <c r="L62" s="274"/>
      <c r="M62" s="274"/>
      <c r="N62" s="27">
        <f t="shared" si="0"/>
        <v>0</v>
      </c>
      <c r="O62" s="27">
        <f t="shared" si="3"/>
        <v>0</v>
      </c>
      <c r="P62" s="27">
        <f t="shared" si="4"/>
        <v>0</v>
      </c>
      <c r="Q62" s="265" t="s">
        <v>1111</v>
      </c>
      <c r="R62" s="56"/>
      <c r="S62" s="183"/>
    </row>
    <row r="63" spans="1:19">
      <c r="A63" s="26">
        <v>42212</v>
      </c>
      <c r="B63" s="346"/>
      <c r="C63" s="31" t="s">
        <v>144</v>
      </c>
      <c r="D63" s="35">
        <v>12</v>
      </c>
      <c r="E63" s="160">
        <v>120</v>
      </c>
      <c r="F63" s="35">
        <v>1</v>
      </c>
      <c r="G63" s="160">
        <v>150</v>
      </c>
      <c r="H63" s="35"/>
      <c r="I63" s="27">
        <v>600</v>
      </c>
      <c r="J63" s="31"/>
      <c r="K63" s="160">
        <v>200</v>
      </c>
      <c r="L63" s="274"/>
      <c r="M63" s="274"/>
      <c r="N63" s="27">
        <f t="shared" si="0"/>
        <v>1590</v>
      </c>
      <c r="O63" s="27">
        <f t="shared" si="3"/>
        <v>79.5</v>
      </c>
      <c r="P63" s="27">
        <f t="shared" si="4"/>
        <v>1669.5</v>
      </c>
      <c r="Q63" s="265" t="s">
        <v>1111</v>
      </c>
      <c r="R63" s="56"/>
      <c r="S63" s="201"/>
    </row>
    <row r="64" spans="1:19">
      <c r="A64" s="26">
        <v>42213</v>
      </c>
      <c r="B64" s="346"/>
      <c r="C64" s="31" t="s">
        <v>144</v>
      </c>
      <c r="D64" s="35">
        <v>12</v>
      </c>
      <c r="E64" s="160">
        <v>120</v>
      </c>
      <c r="F64" s="35">
        <v>1</v>
      </c>
      <c r="G64" s="160">
        <v>150</v>
      </c>
      <c r="H64" s="35"/>
      <c r="I64" s="27">
        <v>600</v>
      </c>
      <c r="J64" s="31"/>
      <c r="K64" s="160">
        <v>200</v>
      </c>
      <c r="L64" s="274"/>
      <c r="M64" s="274"/>
      <c r="N64" s="27">
        <f t="shared" si="0"/>
        <v>1590</v>
      </c>
      <c r="O64" s="27">
        <f t="shared" si="3"/>
        <v>79.5</v>
      </c>
      <c r="P64" s="27">
        <f t="shared" si="4"/>
        <v>1669.5</v>
      </c>
      <c r="Q64" s="265" t="s">
        <v>1111</v>
      </c>
      <c r="R64" s="56"/>
      <c r="S64" s="206"/>
    </row>
    <row r="65" spans="1:39">
      <c r="A65" s="26">
        <v>42214</v>
      </c>
      <c r="B65" s="346"/>
      <c r="C65" s="31" t="s">
        <v>144</v>
      </c>
      <c r="D65" s="35">
        <v>12</v>
      </c>
      <c r="E65" s="160">
        <v>120</v>
      </c>
      <c r="F65" s="35">
        <v>1</v>
      </c>
      <c r="G65" s="160">
        <v>150</v>
      </c>
      <c r="H65" s="35"/>
      <c r="I65" s="27">
        <v>600</v>
      </c>
      <c r="J65" s="31"/>
      <c r="K65" s="160">
        <v>200</v>
      </c>
      <c r="L65" s="274"/>
      <c r="M65" s="274"/>
      <c r="N65" s="27">
        <f t="shared" si="0"/>
        <v>1590</v>
      </c>
      <c r="O65" s="27">
        <f t="shared" si="3"/>
        <v>79.5</v>
      </c>
      <c r="P65" s="27">
        <f t="shared" si="4"/>
        <v>1669.5</v>
      </c>
      <c r="Q65" s="265" t="s">
        <v>1111</v>
      </c>
      <c r="R65" s="56"/>
      <c r="S65" s="341"/>
    </row>
    <row r="66" spans="1:39">
      <c r="A66" s="26">
        <v>42215</v>
      </c>
      <c r="B66" s="346"/>
      <c r="C66" s="31" t="s">
        <v>144</v>
      </c>
      <c r="D66" s="35">
        <v>12</v>
      </c>
      <c r="E66" s="160">
        <v>120</v>
      </c>
      <c r="F66" s="35">
        <v>1</v>
      </c>
      <c r="G66" s="160">
        <v>150</v>
      </c>
      <c r="H66" s="35"/>
      <c r="I66" s="27">
        <v>600</v>
      </c>
      <c r="J66" s="31"/>
      <c r="K66" s="160">
        <v>200</v>
      </c>
      <c r="L66" s="274"/>
      <c r="M66" s="274"/>
      <c r="N66" s="27">
        <f t="shared" si="0"/>
        <v>1590</v>
      </c>
      <c r="O66" s="27">
        <f t="shared" si="3"/>
        <v>79.5</v>
      </c>
      <c r="P66" s="27">
        <f t="shared" si="4"/>
        <v>1669.5</v>
      </c>
      <c r="Q66" s="265" t="s">
        <v>1111</v>
      </c>
      <c r="R66" s="56"/>
      <c r="S66" s="208"/>
    </row>
    <row r="67" spans="1:39" s="371" customFormat="1">
      <c r="A67" s="26">
        <v>42216</v>
      </c>
      <c r="B67" s="346"/>
      <c r="C67" s="31" t="s">
        <v>144</v>
      </c>
      <c r="D67" s="35">
        <v>12</v>
      </c>
      <c r="E67" s="160">
        <v>120</v>
      </c>
      <c r="F67" s="35">
        <v>1</v>
      </c>
      <c r="G67" s="160">
        <v>150</v>
      </c>
      <c r="H67" s="35"/>
      <c r="I67" s="27">
        <v>600</v>
      </c>
      <c r="J67" s="31"/>
      <c r="K67" s="160">
        <v>200</v>
      </c>
      <c r="L67" s="274"/>
      <c r="M67" s="274"/>
      <c r="N67" s="27">
        <f t="shared" si="0"/>
        <v>1590</v>
      </c>
      <c r="O67" s="27">
        <f t="shared" si="3"/>
        <v>79.5</v>
      </c>
      <c r="P67" s="27">
        <f t="shared" si="4"/>
        <v>1669.5</v>
      </c>
      <c r="Q67" s="265" t="s">
        <v>1111</v>
      </c>
      <c r="R67" s="56"/>
      <c r="S67" s="208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</row>
    <row r="68" spans="1:39" s="371" customFormat="1">
      <c r="A68" s="405">
        <v>42217</v>
      </c>
      <c r="B68" s="406"/>
      <c r="C68" s="124" t="s">
        <v>144</v>
      </c>
      <c r="D68" s="122">
        <v>12</v>
      </c>
      <c r="E68" s="123">
        <v>120</v>
      </c>
      <c r="F68" s="122">
        <v>1</v>
      </c>
      <c r="G68" s="123">
        <v>150</v>
      </c>
      <c r="H68" s="122"/>
      <c r="I68" s="123">
        <v>600</v>
      </c>
      <c r="J68" s="124"/>
      <c r="K68" s="123">
        <v>200</v>
      </c>
      <c r="L68" s="407"/>
      <c r="M68" s="407"/>
      <c r="N68" s="123">
        <f t="shared" si="0"/>
        <v>1590</v>
      </c>
      <c r="O68" s="123">
        <f t="shared" si="3"/>
        <v>79.5</v>
      </c>
      <c r="P68" s="123">
        <f t="shared" si="4"/>
        <v>1669.5</v>
      </c>
      <c r="Q68" s="123" t="s">
        <v>1112</v>
      </c>
      <c r="R68" s="128"/>
      <c r="S68" s="370"/>
    </row>
    <row r="69" spans="1:39" s="371" customFormat="1">
      <c r="A69" s="405">
        <v>42218</v>
      </c>
      <c r="B69" s="406"/>
      <c r="C69" s="124"/>
      <c r="D69" s="122"/>
      <c r="E69" s="123">
        <v>120</v>
      </c>
      <c r="F69" s="122"/>
      <c r="G69" s="123">
        <v>150</v>
      </c>
      <c r="H69" s="122"/>
      <c r="I69" s="123">
        <v>600</v>
      </c>
      <c r="J69" s="124"/>
      <c r="K69" s="123">
        <v>200</v>
      </c>
      <c r="L69" s="407"/>
      <c r="M69" s="407"/>
      <c r="N69" s="123">
        <f t="shared" si="0"/>
        <v>0</v>
      </c>
      <c r="O69" s="123">
        <f t="shared" si="3"/>
        <v>0</v>
      </c>
      <c r="P69" s="123">
        <f t="shared" si="4"/>
        <v>0</v>
      </c>
      <c r="Q69" s="123" t="s">
        <v>1112</v>
      </c>
      <c r="R69" s="128"/>
      <c r="S69" s="370"/>
    </row>
    <row r="70" spans="1:39" s="371" customFormat="1">
      <c r="A70" s="405">
        <v>42219</v>
      </c>
      <c r="B70" s="406"/>
      <c r="C70" s="124" t="s">
        <v>281</v>
      </c>
      <c r="D70" s="122">
        <v>20</v>
      </c>
      <c r="E70" s="123">
        <v>120</v>
      </c>
      <c r="F70" s="122">
        <v>2</v>
      </c>
      <c r="G70" s="123">
        <v>150</v>
      </c>
      <c r="H70" s="122">
        <v>2</v>
      </c>
      <c r="I70" s="123">
        <v>600</v>
      </c>
      <c r="J70" s="124">
        <v>1</v>
      </c>
      <c r="K70" s="123">
        <v>200</v>
      </c>
      <c r="L70" s="407"/>
      <c r="M70" s="407"/>
      <c r="N70" s="123">
        <f t="shared" ref="N70:N115" si="5">(D70*E70)+(F70*G70)+(H70*I70)+(J70*K70)+(L70*M70)</f>
        <v>4100</v>
      </c>
      <c r="O70" s="123">
        <f t="shared" si="3"/>
        <v>205</v>
      </c>
      <c r="P70" s="123">
        <f t="shared" si="4"/>
        <v>4305</v>
      </c>
      <c r="Q70" s="123" t="s">
        <v>1112</v>
      </c>
      <c r="R70" s="128"/>
      <c r="S70" s="370"/>
    </row>
    <row r="71" spans="1:39" s="371" customFormat="1">
      <c r="A71" s="405">
        <v>42220</v>
      </c>
      <c r="B71" s="406"/>
      <c r="C71" s="124" t="s">
        <v>152</v>
      </c>
      <c r="D71" s="122">
        <v>10</v>
      </c>
      <c r="E71" s="123">
        <v>120</v>
      </c>
      <c r="F71" s="122">
        <v>1</v>
      </c>
      <c r="G71" s="123">
        <v>150</v>
      </c>
      <c r="H71" s="122"/>
      <c r="I71" s="123">
        <v>600</v>
      </c>
      <c r="J71" s="124">
        <v>1</v>
      </c>
      <c r="K71" s="123">
        <v>200</v>
      </c>
      <c r="L71" s="407"/>
      <c r="M71" s="407"/>
      <c r="N71" s="123">
        <f t="shared" si="5"/>
        <v>1550</v>
      </c>
      <c r="O71" s="123">
        <f t="shared" si="3"/>
        <v>77.5</v>
      </c>
      <c r="P71" s="123">
        <f t="shared" si="4"/>
        <v>1627.5</v>
      </c>
      <c r="Q71" s="123" t="s">
        <v>1112</v>
      </c>
      <c r="R71" s="128"/>
      <c r="S71" s="370"/>
    </row>
    <row r="72" spans="1:39" s="371" customFormat="1">
      <c r="A72" s="405">
        <v>42221</v>
      </c>
      <c r="B72" s="406"/>
      <c r="C72" s="124" t="s">
        <v>152</v>
      </c>
      <c r="D72" s="387">
        <v>11</v>
      </c>
      <c r="E72" s="123">
        <v>120</v>
      </c>
      <c r="F72" s="122">
        <v>1</v>
      </c>
      <c r="G72" s="123">
        <v>150</v>
      </c>
      <c r="H72" s="122"/>
      <c r="I72" s="123">
        <v>600</v>
      </c>
      <c r="J72" s="124">
        <v>1</v>
      </c>
      <c r="K72" s="123">
        <v>200</v>
      </c>
      <c r="L72" s="407"/>
      <c r="M72" s="407"/>
      <c r="N72" s="123">
        <f t="shared" si="5"/>
        <v>1670</v>
      </c>
      <c r="O72" s="123">
        <f t="shared" si="3"/>
        <v>83.5</v>
      </c>
      <c r="P72" s="123">
        <f t="shared" si="4"/>
        <v>1753.5</v>
      </c>
      <c r="Q72" s="123" t="s">
        <v>1112</v>
      </c>
      <c r="R72" s="128"/>
      <c r="S72" s="370"/>
    </row>
    <row r="73" spans="1:39" s="371" customFormat="1">
      <c r="A73" s="405">
        <v>42222</v>
      </c>
      <c r="B73" s="406"/>
      <c r="C73" s="124" t="s">
        <v>152</v>
      </c>
      <c r="D73" s="387">
        <v>10</v>
      </c>
      <c r="E73" s="123">
        <v>120</v>
      </c>
      <c r="F73" s="122">
        <v>1</v>
      </c>
      <c r="G73" s="123">
        <v>150</v>
      </c>
      <c r="H73" s="122"/>
      <c r="I73" s="123">
        <v>600</v>
      </c>
      <c r="J73" s="124">
        <v>1</v>
      </c>
      <c r="K73" s="123">
        <v>200</v>
      </c>
      <c r="L73" s="407"/>
      <c r="M73" s="407"/>
      <c r="N73" s="123">
        <f t="shared" si="5"/>
        <v>1550</v>
      </c>
      <c r="O73" s="123">
        <f t="shared" si="3"/>
        <v>77.5</v>
      </c>
      <c r="P73" s="123">
        <f t="shared" si="4"/>
        <v>1627.5</v>
      </c>
      <c r="Q73" s="123" t="s">
        <v>1112</v>
      </c>
      <c r="R73" s="128"/>
      <c r="S73" s="370"/>
    </row>
    <row r="74" spans="1:39" s="371" customFormat="1">
      <c r="A74" s="405">
        <v>42223</v>
      </c>
      <c r="B74" s="406"/>
      <c r="C74" s="124" t="s">
        <v>152</v>
      </c>
      <c r="D74" s="387">
        <v>10</v>
      </c>
      <c r="E74" s="123">
        <v>120</v>
      </c>
      <c r="F74" s="122">
        <v>1</v>
      </c>
      <c r="G74" s="123">
        <v>150</v>
      </c>
      <c r="H74" s="122"/>
      <c r="I74" s="123">
        <v>600</v>
      </c>
      <c r="J74" s="124">
        <v>1</v>
      </c>
      <c r="K74" s="123">
        <v>200</v>
      </c>
      <c r="L74" s="407"/>
      <c r="M74" s="407"/>
      <c r="N74" s="123">
        <f t="shared" si="5"/>
        <v>1550</v>
      </c>
      <c r="O74" s="123">
        <f t="shared" si="3"/>
        <v>77.5</v>
      </c>
      <c r="P74" s="123">
        <f t="shared" si="4"/>
        <v>1627.5</v>
      </c>
      <c r="Q74" s="123" t="s">
        <v>1112</v>
      </c>
      <c r="R74" s="128"/>
      <c r="S74" s="370"/>
    </row>
    <row r="75" spans="1:39" s="371" customFormat="1">
      <c r="A75" s="405">
        <v>42224</v>
      </c>
      <c r="B75" s="406"/>
      <c r="C75" s="124" t="s">
        <v>152</v>
      </c>
      <c r="D75" s="387">
        <v>10</v>
      </c>
      <c r="E75" s="123">
        <v>120</v>
      </c>
      <c r="F75" s="122">
        <v>1</v>
      </c>
      <c r="G75" s="123">
        <v>150</v>
      </c>
      <c r="H75" s="122"/>
      <c r="I75" s="123">
        <v>600</v>
      </c>
      <c r="J75" s="124"/>
      <c r="K75" s="123">
        <v>200</v>
      </c>
      <c r="L75" s="407"/>
      <c r="M75" s="407"/>
      <c r="N75" s="123">
        <f t="shared" si="5"/>
        <v>1350</v>
      </c>
      <c r="O75" s="123">
        <f t="shared" si="3"/>
        <v>67.5</v>
      </c>
      <c r="P75" s="123">
        <f t="shared" si="4"/>
        <v>1417.5</v>
      </c>
      <c r="Q75" s="123" t="s">
        <v>1112</v>
      </c>
      <c r="R75" s="128"/>
      <c r="S75" s="370"/>
    </row>
    <row r="76" spans="1:39" s="371" customFormat="1">
      <c r="A76" s="405">
        <v>42225</v>
      </c>
      <c r="B76" s="406"/>
      <c r="C76" s="124" t="s">
        <v>152</v>
      </c>
      <c r="D76" s="387"/>
      <c r="E76" s="123">
        <v>120</v>
      </c>
      <c r="F76" s="122"/>
      <c r="G76" s="123">
        <v>150</v>
      </c>
      <c r="H76" s="122"/>
      <c r="I76" s="123">
        <v>600</v>
      </c>
      <c r="J76" s="124"/>
      <c r="K76" s="123">
        <v>200</v>
      </c>
      <c r="L76" s="407"/>
      <c r="M76" s="407"/>
      <c r="N76" s="123">
        <f t="shared" si="5"/>
        <v>0</v>
      </c>
      <c r="O76" s="123">
        <f t="shared" si="3"/>
        <v>0</v>
      </c>
      <c r="P76" s="123">
        <f t="shared" si="4"/>
        <v>0</v>
      </c>
      <c r="Q76" s="123" t="s">
        <v>1112</v>
      </c>
      <c r="R76" s="128"/>
      <c r="S76" s="370"/>
    </row>
    <row r="77" spans="1:39" s="371" customFormat="1">
      <c r="A77" s="405">
        <v>42226</v>
      </c>
      <c r="B77" s="406"/>
      <c r="C77" s="124" t="s">
        <v>152</v>
      </c>
      <c r="D77" s="387">
        <v>10</v>
      </c>
      <c r="E77" s="123">
        <v>120</v>
      </c>
      <c r="F77" s="122">
        <v>1</v>
      </c>
      <c r="G77" s="123">
        <v>150</v>
      </c>
      <c r="H77" s="122"/>
      <c r="I77" s="123">
        <v>600</v>
      </c>
      <c r="J77" s="124">
        <v>1</v>
      </c>
      <c r="K77" s="123">
        <v>200</v>
      </c>
      <c r="L77" s="407"/>
      <c r="M77" s="407"/>
      <c r="N77" s="123">
        <f t="shared" si="5"/>
        <v>1550</v>
      </c>
      <c r="O77" s="123">
        <f t="shared" si="3"/>
        <v>77.5</v>
      </c>
      <c r="P77" s="123">
        <f t="shared" si="4"/>
        <v>1627.5</v>
      </c>
      <c r="Q77" s="123" t="s">
        <v>1112</v>
      </c>
      <c r="R77" s="128"/>
      <c r="S77" s="370"/>
    </row>
    <row r="78" spans="1:39" s="371" customFormat="1">
      <c r="A78" s="405">
        <v>42227</v>
      </c>
      <c r="B78" s="406"/>
      <c r="C78" s="124" t="s">
        <v>152</v>
      </c>
      <c r="D78" s="387">
        <v>10</v>
      </c>
      <c r="E78" s="123">
        <v>120</v>
      </c>
      <c r="F78" s="122">
        <v>1</v>
      </c>
      <c r="G78" s="123">
        <v>150</v>
      </c>
      <c r="H78" s="122"/>
      <c r="I78" s="123">
        <v>600</v>
      </c>
      <c r="J78" s="124">
        <v>1</v>
      </c>
      <c r="K78" s="123">
        <v>200</v>
      </c>
      <c r="L78" s="407"/>
      <c r="M78" s="407"/>
      <c r="N78" s="123">
        <f t="shared" si="5"/>
        <v>1550</v>
      </c>
      <c r="O78" s="123">
        <f t="shared" si="3"/>
        <v>77.5</v>
      </c>
      <c r="P78" s="123">
        <f t="shared" si="4"/>
        <v>1627.5</v>
      </c>
      <c r="Q78" s="123" t="s">
        <v>1112</v>
      </c>
      <c r="R78" s="128"/>
      <c r="S78" s="370"/>
    </row>
    <row r="79" spans="1:39" s="371" customFormat="1">
      <c r="A79" s="405">
        <v>42228</v>
      </c>
      <c r="B79" s="406"/>
      <c r="C79" s="124" t="s">
        <v>152</v>
      </c>
      <c r="D79" s="387">
        <v>12</v>
      </c>
      <c r="E79" s="123">
        <v>120</v>
      </c>
      <c r="F79" s="122">
        <v>1</v>
      </c>
      <c r="G79" s="123">
        <v>150</v>
      </c>
      <c r="H79" s="122"/>
      <c r="I79" s="123">
        <v>600</v>
      </c>
      <c r="J79" s="124">
        <v>1</v>
      </c>
      <c r="K79" s="123">
        <v>200</v>
      </c>
      <c r="L79" s="407"/>
      <c r="M79" s="407"/>
      <c r="N79" s="123">
        <f t="shared" si="5"/>
        <v>1790</v>
      </c>
      <c r="O79" s="123">
        <f t="shared" si="3"/>
        <v>89.5</v>
      </c>
      <c r="P79" s="123">
        <f t="shared" si="4"/>
        <v>1879.5</v>
      </c>
      <c r="Q79" s="123" t="s">
        <v>1112</v>
      </c>
      <c r="R79" s="128"/>
      <c r="S79" s="370"/>
    </row>
    <row r="80" spans="1:39" s="371" customFormat="1">
      <c r="A80" s="405">
        <v>42229</v>
      </c>
      <c r="B80" s="406"/>
      <c r="C80" s="124" t="s">
        <v>152</v>
      </c>
      <c r="D80" s="387">
        <v>11</v>
      </c>
      <c r="E80" s="123">
        <v>120</v>
      </c>
      <c r="F80" s="122">
        <v>1</v>
      </c>
      <c r="G80" s="123">
        <v>150</v>
      </c>
      <c r="H80" s="122"/>
      <c r="I80" s="123">
        <v>600</v>
      </c>
      <c r="J80" s="124">
        <v>1</v>
      </c>
      <c r="K80" s="123">
        <v>200</v>
      </c>
      <c r="L80" s="407"/>
      <c r="M80" s="407"/>
      <c r="N80" s="123">
        <f t="shared" si="5"/>
        <v>1670</v>
      </c>
      <c r="O80" s="123">
        <f t="shared" si="3"/>
        <v>83.5</v>
      </c>
      <c r="P80" s="123">
        <f t="shared" si="4"/>
        <v>1753.5</v>
      </c>
      <c r="Q80" s="123" t="s">
        <v>1112</v>
      </c>
      <c r="R80" s="128"/>
      <c r="S80" s="370"/>
    </row>
    <row r="81" spans="1:39" s="371" customFormat="1">
      <c r="A81" s="405">
        <v>42230</v>
      </c>
      <c r="B81" s="406"/>
      <c r="C81" s="124" t="s">
        <v>152</v>
      </c>
      <c r="D81" s="387">
        <v>12</v>
      </c>
      <c r="E81" s="123">
        <v>120</v>
      </c>
      <c r="F81" s="122">
        <v>1</v>
      </c>
      <c r="G81" s="123">
        <v>150</v>
      </c>
      <c r="H81" s="122"/>
      <c r="I81" s="123">
        <v>600</v>
      </c>
      <c r="J81" s="124">
        <v>1</v>
      </c>
      <c r="K81" s="123">
        <v>200</v>
      </c>
      <c r="L81" s="407"/>
      <c r="M81" s="407"/>
      <c r="N81" s="123">
        <f t="shared" si="5"/>
        <v>1790</v>
      </c>
      <c r="O81" s="123">
        <f t="shared" si="3"/>
        <v>89.5</v>
      </c>
      <c r="P81" s="123">
        <f t="shared" si="4"/>
        <v>1879.5</v>
      </c>
      <c r="Q81" s="123" t="s">
        <v>1112</v>
      </c>
      <c r="R81" s="128"/>
      <c r="S81" s="370"/>
    </row>
    <row r="82" spans="1:39" s="136" customFormat="1">
      <c r="A82" s="405">
        <v>42231</v>
      </c>
      <c r="B82" s="406"/>
      <c r="C82" s="124" t="s">
        <v>152</v>
      </c>
      <c r="D82" s="368">
        <v>10</v>
      </c>
      <c r="E82" s="123">
        <v>120</v>
      </c>
      <c r="F82" s="124">
        <v>1</v>
      </c>
      <c r="G82" s="123">
        <v>150</v>
      </c>
      <c r="H82" s="124"/>
      <c r="I82" s="123">
        <v>600</v>
      </c>
      <c r="J82" s="124">
        <v>1</v>
      </c>
      <c r="K82" s="123">
        <v>200</v>
      </c>
      <c r="L82" s="407"/>
      <c r="M82" s="407"/>
      <c r="N82" s="123">
        <f t="shared" si="5"/>
        <v>1550</v>
      </c>
      <c r="O82" s="123">
        <f t="shared" ref="O82:O109" si="6">(N82*5%)</f>
        <v>77.5</v>
      </c>
      <c r="P82" s="123">
        <f t="shared" ref="P82:P87" si="7">SUM(N82+O82)</f>
        <v>1627.5</v>
      </c>
      <c r="Q82" s="123" t="s">
        <v>1112</v>
      </c>
      <c r="R82" s="128"/>
      <c r="S82" s="390" t="s">
        <v>375</v>
      </c>
      <c r="T82" s="408">
        <v>23260</v>
      </c>
      <c r="U82" s="371"/>
      <c r="V82" s="371"/>
      <c r="W82" s="371"/>
      <c r="X82" s="371"/>
      <c r="Y82" s="371"/>
      <c r="Z82" s="371"/>
      <c r="AA82" s="371"/>
      <c r="AB82" s="371"/>
      <c r="AC82" s="371"/>
      <c r="AD82" s="371"/>
      <c r="AE82" s="371"/>
      <c r="AF82" s="371"/>
      <c r="AG82" s="371"/>
      <c r="AH82" s="371"/>
      <c r="AI82" s="371"/>
      <c r="AJ82" s="371"/>
      <c r="AK82" s="371"/>
      <c r="AL82" s="371"/>
      <c r="AM82" s="371"/>
    </row>
    <row r="83" spans="1:39" s="136" customFormat="1">
      <c r="A83" s="157">
        <v>42232</v>
      </c>
      <c r="B83" s="422">
        <v>4500121211</v>
      </c>
      <c r="C83" s="144" t="s">
        <v>317</v>
      </c>
      <c r="D83" s="144"/>
      <c r="E83" s="132">
        <v>120</v>
      </c>
      <c r="F83" s="131"/>
      <c r="G83" s="132">
        <v>150</v>
      </c>
      <c r="H83" s="131"/>
      <c r="I83" s="132">
        <v>600</v>
      </c>
      <c r="J83" s="133"/>
      <c r="K83" s="132">
        <v>200</v>
      </c>
      <c r="L83" s="423"/>
      <c r="M83" s="423"/>
      <c r="N83" s="132">
        <f t="shared" si="5"/>
        <v>0</v>
      </c>
      <c r="O83" s="132">
        <f t="shared" si="6"/>
        <v>0</v>
      </c>
      <c r="P83" s="132">
        <f t="shared" si="7"/>
        <v>0</v>
      </c>
      <c r="Q83" s="140" t="s">
        <v>1113</v>
      </c>
      <c r="R83" s="141" t="s">
        <v>317</v>
      </c>
      <c r="S83" s="148"/>
    </row>
    <row r="84" spans="1:39" s="136" customFormat="1">
      <c r="A84" s="157">
        <v>42233</v>
      </c>
      <c r="B84" s="422">
        <v>4500121212</v>
      </c>
      <c r="C84" s="140" t="s">
        <v>144</v>
      </c>
      <c r="D84" s="144">
        <v>12</v>
      </c>
      <c r="E84" s="132">
        <v>120</v>
      </c>
      <c r="F84" s="131">
        <v>1</v>
      </c>
      <c r="G84" s="132">
        <v>150</v>
      </c>
      <c r="H84" s="131"/>
      <c r="I84" s="132">
        <v>600</v>
      </c>
      <c r="J84" s="133"/>
      <c r="K84" s="132">
        <v>200</v>
      </c>
      <c r="L84" s="423"/>
      <c r="M84" s="423"/>
      <c r="N84" s="132">
        <f t="shared" si="5"/>
        <v>1590</v>
      </c>
      <c r="O84" s="132">
        <f t="shared" si="6"/>
        <v>79.5</v>
      </c>
      <c r="P84" s="132">
        <f t="shared" si="7"/>
        <v>1669.5</v>
      </c>
      <c r="Q84" s="140" t="s">
        <v>1113</v>
      </c>
      <c r="R84" s="141"/>
      <c r="S84" s="148"/>
    </row>
    <row r="85" spans="1:39" s="136" customFormat="1">
      <c r="A85" s="157">
        <v>42234</v>
      </c>
      <c r="B85" s="422">
        <v>4500121213</v>
      </c>
      <c r="C85" s="140" t="s">
        <v>144</v>
      </c>
      <c r="D85" s="144">
        <v>12</v>
      </c>
      <c r="E85" s="132">
        <v>120</v>
      </c>
      <c r="F85" s="131">
        <v>1</v>
      </c>
      <c r="G85" s="132">
        <v>150</v>
      </c>
      <c r="H85" s="131"/>
      <c r="I85" s="132">
        <v>600</v>
      </c>
      <c r="J85" s="133"/>
      <c r="K85" s="132">
        <v>200</v>
      </c>
      <c r="L85" s="423"/>
      <c r="M85" s="423"/>
      <c r="N85" s="132">
        <f t="shared" si="5"/>
        <v>1590</v>
      </c>
      <c r="O85" s="132">
        <f t="shared" si="6"/>
        <v>79.5</v>
      </c>
      <c r="P85" s="132">
        <f t="shared" si="7"/>
        <v>1669.5</v>
      </c>
      <c r="Q85" s="140" t="s">
        <v>1113</v>
      </c>
      <c r="R85" s="141"/>
      <c r="S85" s="148"/>
    </row>
    <row r="86" spans="1:39" s="136" customFormat="1">
      <c r="A86" s="157">
        <v>42235</v>
      </c>
      <c r="B86" s="422">
        <v>4500121214</v>
      </c>
      <c r="C86" s="140" t="s">
        <v>144</v>
      </c>
      <c r="D86" s="144">
        <v>14</v>
      </c>
      <c r="E86" s="132">
        <v>120</v>
      </c>
      <c r="F86" s="131">
        <v>1</v>
      </c>
      <c r="G86" s="132">
        <v>150</v>
      </c>
      <c r="H86" s="131"/>
      <c r="I86" s="132">
        <v>600</v>
      </c>
      <c r="J86" s="133"/>
      <c r="K86" s="132">
        <v>200</v>
      </c>
      <c r="L86" s="423"/>
      <c r="M86" s="423"/>
      <c r="N86" s="132">
        <f t="shared" si="5"/>
        <v>1830</v>
      </c>
      <c r="O86" s="132">
        <f t="shared" si="6"/>
        <v>91.5</v>
      </c>
      <c r="P86" s="132">
        <f t="shared" si="7"/>
        <v>1921.5</v>
      </c>
      <c r="Q86" s="140" t="s">
        <v>1113</v>
      </c>
      <c r="R86" s="141"/>
      <c r="S86" s="148"/>
    </row>
    <row r="87" spans="1:39" s="136" customFormat="1">
      <c r="A87" s="157">
        <v>42236</v>
      </c>
      <c r="B87" s="422">
        <v>4500121215</v>
      </c>
      <c r="C87" s="140" t="s">
        <v>144</v>
      </c>
      <c r="D87" s="144">
        <v>12</v>
      </c>
      <c r="E87" s="132">
        <v>120</v>
      </c>
      <c r="F87" s="131">
        <v>1</v>
      </c>
      <c r="G87" s="132">
        <v>150</v>
      </c>
      <c r="H87" s="131"/>
      <c r="I87" s="132">
        <v>600</v>
      </c>
      <c r="J87" s="133"/>
      <c r="K87" s="132">
        <v>200</v>
      </c>
      <c r="L87" s="423"/>
      <c r="M87" s="423"/>
      <c r="N87" s="132">
        <f t="shared" si="5"/>
        <v>1590</v>
      </c>
      <c r="O87" s="132">
        <f t="shared" si="6"/>
        <v>79.5</v>
      </c>
      <c r="P87" s="132">
        <f t="shared" si="7"/>
        <v>1669.5</v>
      </c>
      <c r="Q87" s="140" t="s">
        <v>1113</v>
      </c>
      <c r="R87" s="141"/>
      <c r="S87" s="148"/>
    </row>
    <row r="88" spans="1:39" s="136" customFormat="1">
      <c r="A88" s="157">
        <v>42237</v>
      </c>
      <c r="B88" s="422">
        <v>4500121216</v>
      </c>
      <c r="C88" s="140" t="s">
        <v>144</v>
      </c>
      <c r="D88" s="144">
        <v>12</v>
      </c>
      <c r="E88" s="132">
        <v>120</v>
      </c>
      <c r="F88" s="131">
        <v>1</v>
      </c>
      <c r="G88" s="132">
        <v>150</v>
      </c>
      <c r="H88" s="133"/>
      <c r="I88" s="132">
        <v>600</v>
      </c>
      <c r="J88" s="133"/>
      <c r="K88" s="132">
        <v>200</v>
      </c>
      <c r="L88" s="423"/>
      <c r="M88" s="423"/>
      <c r="N88" s="132">
        <f t="shared" si="5"/>
        <v>1590</v>
      </c>
      <c r="O88" s="132">
        <f t="shared" si="6"/>
        <v>79.5</v>
      </c>
      <c r="P88" s="132">
        <f>SUM(N88+O88)</f>
        <v>1669.5</v>
      </c>
      <c r="Q88" s="140" t="s">
        <v>1113</v>
      </c>
      <c r="R88" s="141"/>
      <c r="S88" s="148"/>
    </row>
    <row r="89" spans="1:39" s="136" customFormat="1">
      <c r="A89" s="157">
        <v>42238</v>
      </c>
      <c r="B89" s="422">
        <v>4500121217</v>
      </c>
      <c r="C89" s="140" t="s">
        <v>144</v>
      </c>
      <c r="D89" s="144">
        <v>12</v>
      </c>
      <c r="E89" s="132">
        <v>120</v>
      </c>
      <c r="F89" s="131">
        <v>1</v>
      </c>
      <c r="G89" s="132">
        <v>150</v>
      </c>
      <c r="H89" s="133"/>
      <c r="I89" s="132">
        <v>600</v>
      </c>
      <c r="J89" s="133"/>
      <c r="K89" s="132">
        <v>200</v>
      </c>
      <c r="L89" s="423"/>
      <c r="M89" s="423"/>
      <c r="N89" s="132">
        <f t="shared" si="5"/>
        <v>1590</v>
      </c>
      <c r="O89" s="132">
        <f t="shared" si="6"/>
        <v>79.5</v>
      </c>
      <c r="P89" s="132">
        <f t="shared" ref="P89:P109" si="8">SUM(N89+O89)</f>
        <v>1669.5</v>
      </c>
      <c r="Q89" s="140" t="s">
        <v>1113</v>
      </c>
      <c r="R89" s="141"/>
      <c r="S89" s="148"/>
    </row>
    <row r="90" spans="1:39" s="136" customFormat="1">
      <c r="A90" s="424">
        <v>42239</v>
      </c>
      <c r="B90" s="422">
        <v>4500121218</v>
      </c>
      <c r="C90" s="140" t="s">
        <v>144</v>
      </c>
      <c r="D90" s="144"/>
      <c r="E90" s="132">
        <v>120</v>
      </c>
      <c r="F90" s="131"/>
      <c r="G90" s="132">
        <v>150</v>
      </c>
      <c r="H90" s="133"/>
      <c r="I90" s="132">
        <v>600</v>
      </c>
      <c r="J90" s="133"/>
      <c r="K90" s="132">
        <v>200</v>
      </c>
      <c r="L90" s="423"/>
      <c r="M90" s="423"/>
      <c r="N90" s="132">
        <f>(D90*E90)+(F90*G90)+(H90*I90)+(J90*K90)+(L90*M90)</f>
        <v>0</v>
      </c>
      <c r="O90" s="132">
        <f>(N90*5%)</f>
        <v>0</v>
      </c>
      <c r="P90" s="132">
        <f>SUM(N90+O90)</f>
        <v>0</v>
      </c>
      <c r="Q90" s="140" t="s">
        <v>1113</v>
      </c>
      <c r="R90" s="425" t="s">
        <v>317</v>
      </c>
      <c r="S90" s="148"/>
    </row>
    <row r="91" spans="1:39" s="136" customFormat="1">
      <c r="A91" s="424">
        <v>42240</v>
      </c>
      <c r="B91" s="422">
        <v>4500121219</v>
      </c>
      <c r="C91" s="140" t="s">
        <v>144</v>
      </c>
      <c r="D91" s="144">
        <v>12</v>
      </c>
      <c r="E91" s="132">
        <v>120</v>
      </c>
      <c r="F91" s="131">
        <v>1</v>
      </c>
      <c r="G91" s="132">
        <v>150</v>
      </c>
      <c r="H91" s="133"/>
      <c r="I91" s="132">
        <v>600</v>
      </c>
      <c r="J91" s="133"/>
      <c r="K91" s="132">
        <v>200</v>
      </c>
      <c r="L91" s="423"/>
      <c r="M91" s="423"/>
      <c r="N91" s="132">
        <f>(D91*E91)+(F91*G91)+(H91*I91)+(J91*K91)+(L91*M91)</f>
        <v>1590</v>
      </c>
      <c r="O91" s="132">
        <f>(N91*5%)</f>
        <v>79.5</v>
      </c>
      <c r="P91" s="132">
        <f>SUM(N91+O91)</f>
        <v>1669.5</v>
      </c>
      <c r="Q91" s="140" t="s">
        <v>1113</v>
      </c>
      <c r="R91" s="425"/>
      <c r="S91" s="148"/>
    </row>
    <row r="92" spans="1:39" s="136" customFormat="1">
      <c r="A92" s="424">
        <v>42241</v>
      </c>
      <c r="B92" s="422">
        <v>4500121220</v>
      </c>
      <c r="C92" s="332" t="s">
        <v>141</v>
      </c>
      <c r="D92" s="426">
        <v>12</v>
      </c>
      <c r="E92" s="427">
        <v>120</v>
      </c>
      <c r="F92" s="428">
        <v>1</v>
      </c>
      <c r="G92" s="427">
        <v>150</v>
      </c>
      <c r="H92" s="429"/>
      <c r="I92" s="427">
        <v>600</v>
      </c>
      <c r="J92" s="429"/>
      <c r="K92" s="427">
        <v>200</v>
      </c>
      <c r="L92" s="427"/>
      <c r="M92" s="427"/>
      <c r="N92" s="427">
        <f t="shared" si="5"/>
        <v>1590</v>
      </c>
      <c r="O92" s="427">
        <f t="shared" si="6"/>
        <v>79.5</v>
      </c>
      <c r="P92" s="427">
        <f t="shared" si="8"/>
        <v>1669.5</v>
      </c>
      <c r="Q92" s="140" t="s">
        <v>1113</v>
      </c>
      <c r="R92" s="425"/>
      <c r="S92" s="148"/>
    </row>
    <row r="93" spans="1:39" s="136" customFormat="1">
      <c r="A93" s="137">
        <v>42242</v>
      </c>
      <c r="B93" s="422">
        <v>4500121221</v>
      </c>
      <c r="C93" s="332" t="s">
        <v>141</v>
      </c>
      <c r="D93" s="144">
        <v>12</v>
      </c>
      <c r="E93" s="132">
        <v>120</v>
      </c>
      <c r="F93" s="131">
        <v>1</v>
      </c>
      <c r="G93" s="132">
        <v>150</v>
      </c>
      <c r="H93" s="133"/>
      <c r="I93" s="132">
        <v>600</v>
      </c>
      <c r="J93" s="133"/>
      <c r="K93" s="132">
        <v>200</v>
      </c>
      <c r="L93" s="423"/>
      <c r="M93" s="423"/>
      <c r="N93" s="132">
        <f t="shared" si="5"/>
        <v>1590</v>
      </c>
      <c r="O93" s="132">
        <f t="shared" si="6"/>
        <v>79.5</v>
      </c>
      <c r="P93" s="132">
        <f t="shared" si="8"/>
        <v>1669.5</v>
      </c>
      <c r="Q93" s="140" t="s">
        <v>1113</v>
      </c>
      <c r="R93" s="141"/>
      <c r="S93" s="148"/>
    </row>
    <row r="94" spans="1:39" s="136" customFormat="1">
      <c r="A94" s="137">
        <v>42243</v>
      </c>
      <c r="B94" s="422">
        <v>4500121222</v>
      </c>
      <c r="C94" s="332" t="s">
        <v>141</v>
      </c>
      <c r="D94" s="144">
        <v>12</v>
      </c>
      <c r="E94" s="132">
        <v>120</v>
      </c>
      <c r="F94" s="131">
        <v>1</v>
      </c>
      <c r="G94" s="132">
        <v>150</v>
      </c>
      <c r="H94" s="131"/>
      <c r="I94" s="132">
        <v>600</v>
      </c>
      <c r="J94" s="133"/>
      <c r="K94" s="132">
        <v>200</v>
      </c>
      <c r="L94" s="423"/>
      <c r="M94" s="423"/>
      <c r="N94" s="132">
        <f t="shared" si="5"/>
        <v>1590</v>
      </c>
      <c r="O94" s="132">
        <f t="shared" si="6"/>
        <v>79.5</v>
      </c>
      <c r="P94" s="132">
        <f t="shared" si="8"/>
        <v>1669.5</v>
      </c>
      <c r="Q94" s="140" t="s">
        <v>1113</v>
      </c>
      <c r="R94" s="141"/>
      <c r="S94" s="148">
        <f>28+13</f>
        <v>41</v>
      </c>
    </row>
    <row r="95" spans="1:39" s="136" customFormat="1">
      <c r="A95" s="137">
        <v>42244</v>
      </c>
      <c r="B95" s="422">
        <v>4500121223</v>
      </c>
      <c r="C95" s="332" t="s">
        <v>141</v>
      </c>
      <c r="D95" s="144">
        <v>12</v>
      </c>
      <c r="E95" s="132">
        <v>120</v>
      </c>
      <c r="F95" s="131">
        <v>1</v>
      </c>
      <c r="G95" s="132">
        <v>150</v>
      </c>
      <c r="H95" s="133"/>
      <c r="I95" s="132">
        <v>600</v>
      </c>
      <c r="J95" s="133"/>
      <c r="K95" s="132">
        <v>200</v>
      </c>
      <c r="L95" s="423"/>
      <c r="M95" s="423"/>
      <c r="N95" s="132">
        <f t="shared" si="5"/>
        <v>1590</v>
      </c>
      <c r="O95" s="132">
        <f t="shared" si="6"/>
        <v>79.5</v>
      </c>
      <c r="P95" s="132">
        <f t="shared" si="8"/>
        <v>1669.5</v>
      </c>
      <c r="Q95" s="140" t="s">
        <v>1113</v>
      </c>
      <c r="R95" s="141"/>
      <c r="S95" s="148"/>
    </row>
    <row r="96" spans="1:39" s="136" customFormat="1">
      <c r="A96" s="137">
        <v>42245</v>
      </c>
      <c r="B96" s="422">
        <v>4500121224</v>
      </c>
      <c r="C96" s="332" t="s">
        <v>141</v>
      </c>
      <c r="D96" s="140">
        <f>10+2</f>
        <v>12</v>
      </c>
      <c r="E96" s="132">
        <v>120</v>
      </c>
      <c r="F96" s="133">
        <v>1</v>
      </c>
      <c r="G96" s="132">
        <v>150</v>
      </c>
      <c r="H96" s="133"/>
      <c r="I96" s="132">
        <v>600</v>
      </c>
      <c r="J96" s="133"/>
      <c r="K96" s="132">
        <v>200</v>
      </c>
      <c r="L96" s="423"/>
      <c r="M96" s="423"/>
      <c r="N96" s="132">
        <f t="shared" si="5"/>
        <v>1590</v>
      </c>
      <c r="O96" s="132">
        <f t="shared" si="6"/>
        <v>79.5</v>
      </c>
      <c r="P96" s="132">
        <f t="shared" si="8"/>
        <v>1669.5</v>
      </c>
      <c r="Q96" s="140" t="s">
        <v>1113</v>
      </c>
      <c r="R96" s="141"/>
      <c r="S96" s="148"/>
    </row>
    <row r="97" spans="1:39" s="136" customFormat="1">
      <c r="A97" s="137">
        <v>42246</v>
      </c>
      <c r="B97" s="422">
        <v>4500121225</v>
      </c>
      <c r="C97" s="144" t="s">
        <v>317</v>
      </c>
      <c r="D97" s="140"/>
      <c r="E97" s="132">
        <v>120</v>
      </c>
      <c r="F97" s="133"/>
      <c r="G97" s="132">
        <v>150</v>
      </c>
      <c r="H97" s="133"/>
      <c r="I97" s="132">
        <v>600</v>
      </c>
      <c r="J97" s="133"/>
      <c r="K97" s="132">
        <v>200</v>
      </c>
      <c r="L97" s="423"/>
      <c r="M97" s="423"/>
      <c r="N97" s="132">
        <f t="shared" si="5"/>
        <v>0</v>
      </c>
      <c r="O97" s="132">
        <f t="shared" si="6"/>
        <v>0</v>
      </c>
      <c r="P97" s="132">
        <f t="shared" si="8"/>
        <v>0</v>
      </c>
      <c r="Q97" s="140" t="s">
        <v>1113</v>
      </c>
      <c r="R97" s="425" t="s">
        <v>317</v>
      </c>
      <c r="S97" s="148"/>
    </row>
    <row r="98" spans="1:39" s="192" customFormat="1">
      <c r="A98" s="137">
        <v>42247</v>
      </c>
      <c r="B98" s="422">
        <v>4500121226</v>
      </c>
      <c r="C98" s="144" t="s">
        <v>152</v>
      </c>
      <c r="D98" s="140">
        <f>10+2</f>
        <v>12</v>
      </c>
      <c r="E98" s="132">
        <v>120</v>
      </c>
      <c r="F98" s="133">
        <v>1</v>
      </c>
      <c r="G98" s="132">
        <v>150</v>
      </c>
      <c r="H98" s="133"/>
      <c r="I98" s="132">
        <v>600</v>
      </c>
      <c r="J98" s="133">
        <v>1</v>
      </c>
      <c r="K98" s="132">
        <v>200</v>
      </c>
      <c r="L98" s="423"/>
      <c r="M98" s="423"/>
      <c r="N98" s="132">
        <f t="shared" si="5"/>
        <v>1790</v>
      </c>
      <c r="O98" s="132">
        <f t="shared" si="6"/>
        <v>89.5</v>
      </c>
      <c r="P98" s="132">
        <f t="shared" si="8"/>
        <v>1879.5</v>
      </c>
      <c r="Q98" s="140" t="s">
        <v>1113</v>
      </c>
      <c r="R98" s="141"/>
      <c r="S98" s="430" t="s">
        <v>387</v>
      </c>
      <c r="T98" s="136"/>
      <c r="U98" s="431">
        <v>21110</v>
      </c>
      <c r="V98" s="136"/>
      <c r="W98" s="136"/>
      <c r="X98" s="136"/>
      <c r="Y98" s="136"/>
      <c r="Z98" s="136"/>
      <c r="AA98" s="136"/>
      <c r="AB98" s="136"/>
      <c r="AC98" s="136"/>
      <c r="AD98" s="136"/>
      <c r="AE98" s="136"/>
      <c r="AF98" s="136"/>
      <c r="AG98" s="136"/>
      <c r="AH98" s="136"/>
      <c r="AI98" s="136"/>
      <c r="AJ98" s="136"/>
      <c r="AK98" s="136"/>
      <c r="AL98" s="136"/>
      <c r="AM98" s="136"/>
    </row>
    <row r="99" spans="1:39" s="192" customFormat="1">
      <c r="A99" s="197">
        <v>42248</v>
      </c>
      <c r="B99" s="503">
        <v>4500123149</v>
      </c>
      <c r="C99" s="200" t="s">
        <v>152</v>
      </c>
      <c r="D99" s="199">
        <v>10</v>
      </c>
      <c r="E99" s="188">
        <v>120</v>
      </c>
      <c r="F99" s="186">
        <v>1</v>
      </c>
      <c r="G99" s="188">
        <v>150</v>
      </c>
      <c r="H99" s="186"/>
      <c r="I99" s="188">
        <v>600</v>
      </c>
      <c r="J99" s="186">
        <v>1</v>
      </c>
      <c r="K99" s="188">
        <v>200</v>
      </c>
      <c r="L99" s="504"/>
      <c r="M99" s="504"/>
      <c r="N99" s="188">
        <f>(D99*E99)+(F99*G99)+(H99*I99)+(J99*K99)+(L99*M99)</f>
        <v>1550</v>
      </c>
      <c r="O99" s="188">
        <f>(N99*5%)</f>
        <v>77.5</v>
      </c>
      <c r="P99" s="188">
        <f>SUM(N99+O99)</f>
        <v>1627.5</v>
      </c>
      <c r="Q99" s="199"/>
      <c r="R99" s="190"/>
      <c r="S99" s="194"/>
    </row>
    <row r="100" spans="1:39" s="192" customFormat="1">
      <c r="A100" s="197">
        <v>42249</v>
      </c>
      <c r="B100" s="503">
        <v>4500123150</v>
      </c>
      <c r="C100" s="200" t="s">
        <v>152</v>
      </c>
      <c r="D100" s="199">
        <v>10</v>
      </c>
      <c r="E100" s="188">
        <v>120</v>
      </c>
      <c r="F100" s="186">
        <v>1</v>
      </c>
      <c r="G100" s="188">
        <v>150</v>
      </c>
      <c r="H100" s="186"/>
      <c r="I100" s="188">
        <v>600</v>
      </c>
      <c r="J100" s="186">
        <v>1</v>
      </c>
      <c r="K100" s="188">
        <v>200</v>
      </c>
      <c r="L100" s="504"/>
      <c r="M100" s="504"/>
      <c r="N100" s="188">
        <f>(D100*E100)+(F100*G100)+(H100*I100)+(J100*K100)+(L100*M100)</f>
        <v>1550</v>
      </c>
      <c r="O100" s="188">
        <f>(N100*5%)</f>
        <v>77.5</v>
      </c>
      <c r="P100" s="188">
        <f>SUM(N100+O100)</f>
        <v>1627.5</v>
      </c>
      <c r="Q100" s="199"/>
      <c r="R100" s="190"/>
      <c r="S100" s="194"/>
    </row>
    <row r="101" spans="1:39" s="192" customFormat="1">
      <c r="A101" s="197">
        <v>42250</v>
      </c>
      <c r="B101" s="503">
        <v>4500123151</v>
      </c>
      <c r="C101" s="200" t="s">
        <v>152</v>
      </c>
      <c r="D101" s="199">
        <v>10</v>
      </c>
      <c r="E101" s="188">
        <v>120</v>
      </c>
      <c r="F101" s="186">
        <v>1</v>
      </c>
      <c r="G101" s="188">
        <v>150</v>
      </c>
      <c r="H101" s="186"/>
      <c r="I101" s="188">
        <v>600</v>
      </c>
      <c r="J101" s="186">
        <v>1</v>
      </c>
      <c r="K101" s="188">
        <v>200</v>
      </c>
      <c r="L101" s="504"/>
      <c r="M101" s="504"/>
      <c r="N101" s="188">
        <f>(D101*E101)+(F101*G101)+(H101*I101)+(J101*K101)+(L101*M101)</f>
        <v>1550</v>
      </c>
      <c r="O101" s="188">
        <f>(N101*5%)</f>
        <v>77.5</v>
      </c>
      <c r="P101" s="188">
        <f>SUM(N101+O101)</f>
        <v>1627.5</v>
      </c>
      <c r="Q101" s="199"/>
      <c r="R101" s="190"/>
      <c r="S101" s="194"/>
    </row>
    <row r="102" spans="1:39" s="192" customFormat="1">
      <c r="A102" s="197">
        <v>42251</v>
      </c>
      <c r="B102" s="503"/>
      <c r="C102" s="199"/>
      <c r="D102" s="200"/>
      <c r="E102" s="188">
        <v>120</v>
      </c>
      <c r="F102" s="187"/>
      <c r="G102" s="188">
        <v>150</v>
      </c>
      <c r="H102" s="186"/>
      <c r="I102" s="188">
        <v>600</v>
      </c>
      <c r="J102" s="186"/>
      <c r="K102" s="188">
        <v>200</v>
      </c>
      <c r="L102" s="504"/>
      <c r="M102" s="504"/>
      <c r="N102" s="188">
        <f t="shared" si="5"/>
        <v>0</v>
      </c>
      <c r="O102" s="188">
        <f t="shared" si="6"/>
        <v>0</v>
      </c>
      <c r="P102" s="188">
        <f t="shared" si="8"/>
        <v>0</v>
      </c>
      <c r="Q102" s="199"/>
      <c r="R102" s="190"/>
      <c r="S102" s="194"/>
    </row>
    <row r="103" spans="1:39" s="192" customFormat="1">
      <c r="A103" s="197">
        <v>42252</v>
      </c>
      <c r="B103" s="503"/>
      <c r="C103" s="199"/>
      <c r="D103" s="200"/>
      <c r="E103" s="188">
        <v>120</v>
      </c>
      <c r="F103" s="187"/>
      <c r="G103" s="188">
        <v>150</v>
      </c>
      <c r="H103" s="187"/>
      <c r="I103" s="188">
        <v>600</v>
      </c>
      <c r="J103" s="186"/>
      <c r="K103" s="188">
        <v>200</v>
      </c>
      <c r="L103" s="504"/>
      <c r="M103" s="504"/>
      <c r="N103" s="188">
        <f t="shared" si="5"/>
        <v>0</v>
      </c>
      <c r="O103" s="188">
        <f t="shared" si="6"/>
        <v>0</v>
      </c>
      <c r="P103" s="188">
        <f t="shared" si="8"/>
        <v>0</v>
      </c>
      <c r="Q103" s="199"/>
      <c r="R103" s="190"/>
      <c r="S103" s="194"/>
    </row>
    <row r="104" spans="1:39" s="192" customFormat="1">
      <c r="A104" s="197">
        <v>42253</v>
      </c>
      <c r="B104" s="503"/>
      <c r="C104" s="199"/>
      <c r="D104" s="200"/>
      <c r="E104" s="188">
        <v>120</v>
      </c>
      <c r="F104" s="187"/>
      <c r="G104" s="188">
        <v>150</v>
      </c>
      <c r="H104" s="187"/>
      <c r="I104" s="188">
        <v>600</v>
      </c>
      <c r="J104" s="186"/>
      <c r="K104" s="188">
        <v>200</v>
      </c>
      <c r="L104" s="504"/>
      <c r="M104" s="504"/>
      <c r="N104" s="188">
        <f t="shared" si="5"/>
        <v>0</v>
      </c>
      <c r="O104" s="188">
        <f t="shared" si="6"/>
        <v>0</v>
      </c>
      <c r="P104" s="188">
        <f t="shared" si="8"/>
        <v>0</v>
      </c>
      <c r="Q104" s="199"/>
      <c r="R104" s="190"/>
      <c r="S104" s="194"/>
    </row>
    <row r="105" spans="1:39" s="192" customFormat="1">
      <c r="A105" s="197">
        <v>42254</v>
      </c>
      <c r="B105" s="503"/>
      <c r="C105" s="199"/>
      <c r="D105" s="200"/>
      <c r="E105" s="188">
        <v>120</v>
      </c>
      <c r="F105" s="187"/>
      <c r="G105" s="188">
        <v>150</v>
      </c>
      <c r="H105" s="186"/>
      <c r="I105" s="188">
        <v>600</v>
      </c>
      <c r="J105" s="186"/>
      <c r="K105" s="188">
        <v>200</v>
      </c>
      <c r="L105" s="504"/>
      <c r="M105" s="504"/>
      <c r="N105" s="188">
        <f t="shared" si="5"/>
        <v>0</v>
      </c>
      <c r="O105" s="188">
        <f t="shared" si="6"/>
        <v>0</v>
      </c>
      <c r="P105" s="188">
        <f t="shared" si="8"/>
        <v>0</v>
      </c>
      <c r="Q105" s="199"/>
      <c r="R105" s="190"/>
      <c r="S105" s="194"/>
    </row>
    <row r="106" spans="1:39" s="192" customFormat="1">
      <c r="A106" s="197">
        <v>42255</v>
      </c>
      <c r="B106" s="503">
        <v>4500123152</v>
      </c>
      <c r="C106" s="200" t="s">
        <v>152</v>
      </c>
      <c r="D106" s="199">
        <v>10</v>
      </c>
      <c r="E106" s="188">
        <v>120</v>
      </c>
      <c r="F106" s="186">
        <v>1</v>
      </c>
      <c r="G106" s="188">
        <v>150</v>
      </c>
      <c r="H106" s="186"/>
      <c r="I106" s="188">
        <v>600</v>
      </c>
      <c r="J106" s="186">
        <v>1</v>
      </c>
      <c r="K106" s="188">
        <v>200</v>
      </c>
      <c r="L106" s="504"/>
      <c r="M106" s="504"/>
      <c r="N106" s="188">
        <f t="shared" si="5"/>
        <v>1550</v>
      </c>
      <c r="O106" s="188">
        <f t="shared" si="6"/>
        <v>77.5</v>
      </c>
      <c r="P106" s="188">
        <f>SUM(N106+O106)</f>
        <v>1627.5</v>
      </c>
      <c r="Q106" s="199"/>
      <c r="R106" s="190"/>
      <c r="S106" s="194"/>
    </row>
    <row r="107" spans="1:39" s="192" customFormat="1">
      <c r="A107" s="197">
        <v>42256</v>
      </c>
      <c r="B107" s="503">
        <v>4500123153</v>
      </c>
      <c r="C107" s="200" t="s">
        <v>152</v>
      </c>
      <c r="D107" s="199">
        <v>10</v>
      </c>
      <c r="E107" s="188">
        <v>120</v>
      </c>
      <c r="F107" s="186">
        <v>1</v>
      </c>
      <c r="G107" s="188">
        <v>150</v>
      </c>
      <c r="H107" s="186"/>
      <c r="I107" s="188">
        <v>600</v>
      </c>
      <c r="J107" s="186">
        <v>1</v>
      </c>
      <c r="K107" s="188">
        <v>200</v>
      </c>
      <c r="L107" s="504"/>
      <c r="M107" s="504"/>
      <c r="N107" s="188">
        <f t="shared" si="5"/>
        <v>1550</v>
      </c>
      <c r="O107" s="188">
        <f t="shared" si="6"/>
        <v>77.5</v>
      </c>
      <c r="P107" s="188">
        <f>SUM(N107+O107)</f>
        <v>1627.5</v>
      </c>
      <c r="Q107" s="199"/>
      <c r="R107" s="190"/>
      <c r="S107" s="194"/>
    </row>
    <row r="108" spans="1:39" s="192" customFormat="1">
      <c r="A108" s="197">
        <v>42257</v>
      </c>
      <c r="B108" s="503">
        <v>4500123154</v>
      </c>
      <c r="C108" s="199" t="s">
        <v>152</v>
      </c>
      <c r="D108" s="199">
        <v>10</v>
      </c>
      <c r="E108" s="188">
        <v>120</v>
      </c>
      <c r="F108" s="186">
        <v>1</v>
      </c>
      <c r="G108" s="188">
        <v>150</v>
      </c>
      <c r="H108" s="186"/>
      <c r="I108" s="188">
        <v>600</v>
      </c>
      <c r="J108" s="186"/>
      <c r="K108" s="188">
        <v>200</v>
      </c>
      <c r="L108" s="504"/>
      <c r="M108" s="504"/>
      <c r="N108" s="188">
        <f t="shared" si="5"/>
        <v>1350</v>
      </c>
      <c r="O108" s="188">
        <f t="shared" si="6"/>
        <v>67.5</v>
      </c>
      <c r="P108" s="188">
        <f t="shared" si="8"/>
        <v>1417.5</v>
      </c>
      <c r="Q108" s="199"/>
      <c r="R108" s="190"/>
      <c r="S108" s="194"/>
    </row>
    <row r="109" spans="1:39">
      <c r="A109" s="197">
        <v>42258</v>
      </c>
      <c r="B109" s="503"/>
      <c r="C109" s="199"/>
      <c r="D109" s="199"/>
      <c r="E109" s="188">
        <v>120</v>
      </c>
      <c r="F109" s="186"/>
      <c r="G109" s="188">
        <v>150</v>
      </c>
      <c r="H109" s="186"/>
      <c r="I109" s="188">
        <v>600</v>
      </c>
      <c r="J109" s="186"/>
      <c r="K109" s="188">
        <v>200</v>
      </c>
      <c r="L109" s="504"/>
      <c r="M109" s="504"/>
      <c r="N109" s="188">
        <f t="shared" si="5"/>
        <v>0</v>
      </c>
      <c r="O109" s="188">
        <f t="shared" si="6"/>
        <v>0</v>
      </c>
      <c r="P109" s="188">
        <f t="shared" si="8"/>
        <v>0</v>
      </c>
      <c r="Q109" s="199"/>
      <c r="R109" s="190"/>
      <c r="S109" s="194" t="s">
        <v>406</v>
      </c>
      <c r="T109" s="192"/>
      <c r="U109" s="502">
        <v>9100</v>
      </c>
      <c r="V109" s="192"/>
      <c r="W109" s="192"/>
      <c r="X109" s="192"/>
      <c r="Y109" s="192"/>
      <c r="Z109" s="192"/>
      <c r="AA109" s="192"/>
      <c r="AB109" s="192"/>
      <c r="AC109" s="192"/>
      <c r="AD109" s="192"/>
      <c r="AE109" s="192"/>
      <c r="AF109" s="192"/>
      <c r="AG109" s="192"/>
      <c r="AH109" s="192"/>
      <c r="AI109" s="192"/>
      <c r="AJ109" s="192"/>
      <c r="AK109" s="192"/>
      <c r="AL109" s="192"/>
      <c r="AM109" s="192"/>
    </row>
    <row r="110" spans="1:39">
      <c r="A110" s="64"/>
      <c r="B110" s="346"/>
      <c r="C110" s="64"/>
      <c r="D110" s="64"/>
      <c r="E110" s="160">
        <v>120</v>
      </c>
      <c r="F110" s="31"/>
      <c r="G110" s="160">
        <v>150</v>
      </c>
      <c r="H110" s="31"/>
      <c r="I110" s="27">
        <v>600</v>
      </c>
      <c r="J110" s="31"/>
      <c r="K110" s="160">
        <v>200</v>
      </c>
      <c r="L110" s="274"/>
      <c r="M110" s="274"/>
      <c r="N110" s="27">
        <f t="shared" si="5"/>
        <v>0</v>
      </c>
      <c r="O110" s="27">
        <f t="shared" ref="O110:O115" si="9">(N110*5%)</f>
        <v>0</v>
      </c>
      <c r="P110" s="27">
        <f t="shared" ref="P110:P115" si="10">SUM(N110+O110)</f>
        <v>0</v>
      </c>
      <c r="Q110" s="64"/>
      <c r="R110" s="56"/>
    </row>
    <row r="111" spans="1:39">
      <c r="A111" s="64"/>
      <c r="B111" s="346"/>
      <c r="C111" s="64"/>
      <c r="D111" s="64"/>
      <c r="E111" s="160">
        <v>120</v>
      </c>
      <c r="F111" s="31"/>
      <c r="G111" s="160">
        <v>150</v>
      </c>
      <c r="H111" s="31"/>
      <c r="I111" s="27">
        <v>600</v>
      </c>
      <c r="J111" s="31"/>
      <c r="K111" s="160">
        <v>200</v>
      </c>
      <c r="L111" s="274"/>
      <c r="M111" s="274"/>
      <c r="N111" s="27">
        <f t="shared" si="5"/>
        <v>0</v>
      </c>
      <c r="O111" s="27">
        <f t="shared" si="9"/>
        <v>0</v>
      </c>
      <c r="P111" s="27">
        <f t="shared" si="10"/>
        <v>0</v>
      </c>
      <c r="Q111" s="64"/>
      <c r="R111" s="56"/>
    </row>
    <row r="112" spans="1:39">
      <c r="A112" s="64"/>
      <c r="B112" s="346"/>
      <c r="C112" s="64"/>
      <c r="D112" s="64"/>
      <c r="E112" s="160">
        <v>120</v>
      </c>
      <c r="F112" s="31"/>
      <c r="G112" s="160">
        <v>150</v>
      </c>
      <c r="H112" s="31"/>
      <c r="I112" s="27">
        <v>600</v>
      </c>
      <c r="J112" s="31"/>
      <c r="K112" s="160">
        <v>200</v>
      </c>
      <c r="L112" s="274"/>
      <c r="M112" s="274"/>
      <c r="N112" s="27">
        <f t="shared" si="5"/>
        <v>0</v>
      </c>
      <c r="O112" s="27">
        <f t="shared" si="9"/>
        <v>0</v>
      </c>
      <c r="P112" s="27">
        <f t="shared" si="10"/>
        <v>0</v>
      </c>
      <c r="Q112" s="64"/>
      <c r="R112" s="56"/>
    </row>
    <row r="113" spans="1:18">
      <c r="A113" s="64"/>
      <c r="B113" s="346"/>
      <c r="C113" s="64"/>
      <c r="D113" s="64"/>
      <c r="E113" s="160">
        <v>120</v>
      </c>
      <c r="F113" s="31"/>
      <c r="G113" s="160">
        <v>150</v>
      </c>
      <c r="H113" s="31"/>
      <c r="I113" s="27">
        <v>600</v>
      </c>
      <c r="J113" s="31"/>
      <c r="K113" s="160">
        <v>200</v>
      </c>
      <c r="L113" s="274"/>
      <c r="M113" s="274"/>
      <c r="N113" s="27">
        <f t="shared" si="5"/>
        <v>0</v>
      </c>
      <c r="O113" s="27">
        <f t="shared" si="9"/>
        <v>0</v>
      </c>
      <c r="P113" s="27">
        <f t="shared" si="10"/>
        <v>0</v>
      </c>
      <c r="Q113" s="64"/>
      <c r="R113" s="56"/>
    </row>
    <row r="114" spans="1:18">
      <c r="A114" s="64"/>
      <c r="B114" s="346"/>
      <c r="C114" s="64"/>
      <c r="D114" s="64"/>
      <c r="E114" s="160">
        <v>120</v>
      </c>
      <c r="F114" s="31"/>
      <c r="G114" s="160">
        <v>150</v>
      </c>
      <c r="H114" s="31"/>
      <c r="I114" s="27">
        <v>600</v>
      </c>
      <c r="J114" s="31"/>
      <c r="K114" s="160">
        <v>200</v>
      </c>
      <c r="L114" s="274"/>
      <c r="M114" s="274"/>
      <c r="N114" s="27">
        <f t="shared" si="5"/>
        <v>0</v>
      </c>
      <c r="O114" s="27">
        <f t="shared" si="9"/>
        <v>0</v>
      </c>
      <c r="P114" s="27">
        <f t="shared" si="10"/>
        <v>0</v>
      </c>
      <c r="Q114" s="64"/>
      <c r="R114" s="56"/>
    </row>
    <row r="115" spans="1:18">
      <c r="A115" s="64"/>
      <c r="B115" s="346"/>
      <c r="C115" s="64"/>
      <c r="D115" s="64"/>
      <c r="E115" s="160">
        <v>120</v>
      </c>
      <c r="F115" s="31"/>
      <c r="G115" s="160">
        <v>150</v>
      </c>
      <c r="H115" s="31"/>
      <c r="I115" s="27">
        <v>600</v>
      </c>
      <c r="J115" s="31"/>
      <c r="K115" s="160">
        <v>200</v>
      </c>
      <c r="L115" s="274"/>
      <c r="M115" s="274"/>
      <c r="N115" s="27">
        <f t="shared" si="5"/>
        <v>0</v>
      </c>
      <c r="O115" s="27">
        <f t="shared" si="9"/>
        <v>0</v>
      </c>
      <c r="P115" s="27">
        <f t="shared" si="10"/>
        <v>0</v>
      </c>
      <c r="Q115" s="64"/>
      <c r="R115" s="56"/>
    </row>
  </sheetData>
  <autoFilter ref="A4:S4"/>
  <phoneticPr fontId="3" type="noConversion"/>
  <pageMargins left="0.7" right="0.7" top="0.75" bottom="0.75" header="0.3" footer="0.3"/>
  <pageSetup orientation="portrait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theme="0"/>
  </sheetPr>
  <dimension ref="A1:BL444"/>
  <sheetViews>
    <sheetView topLeftCell="Y1" workbookViewId="0">
      <pane ySplit="3" topLeftCell="A4" activePane="bottomLeft" state="frozen"/>
      <selection activeCell="K94" sqref="K94"/>
      <selection pane="bottomLeft" activeCell="AJ5" sqref="AJ5:BL5"/>
    </sheetView>
  </sheetViews>
  <sheetFormatPr baseColWidth="10" defaultColWidth="8.83203125" defaultRowHeight="12" x14ac:dyDescent="0"/>
  <cols>
    <col min="1" max="1" width="9.5" style="316" bestFit="1" customWidth="1"/>
    <col min="2" max="2" width="17.6640625" style="316" customWidth="1"/>
    <col min="3" max="3" width="15" style="316" customWidth="1"/>
    <col min="4" max="4" width="10.33203125" style="316" customWidth="1"/>
    <col min="5" max="5" width="12.5" style="316" customWidth="1"/>
    <col min="6" max="6" width="9.5" style="316" customWidth="1"/>
    <col min="7" max="7" width="11.33203125" style="570" customWidth="1"/>
    <col min="8" max="8" width="12.83203125" style="570" customWidth="1"/>
    <col min="9" max="9" width="14.33203125" style="570" customWidth="1"/>
    <col min="10" max="10" width="11.5" style="570" customWidth="1"/>
    <col min="11" max="11" width="11.33203125" style="570" customWidth="1"/>
    <col min="12" max="12" width="12.83203125" style="570" customWidth="1"/>
    <col min="13" max="13" width="14.33203125" style="569" customWidth="1"/>
    <col min="14" max="14" width="11.5" style="570" customWidth="1"/>
    <col min="15" max="15" width="11.5" style="569" customWidth="1"/>
    <col min="16" max="20" width="11.5" style="570" customWidth="1"/>
    <col min="21" max="21" width="13.6640625" style="570" customWidth="1"/>
    <col min="22" max="22" width="11.33203125" style="570" customWidth="1"/>
    <col min="23" max="23" width="13.6640625" style="570" customWidth="1"/>
    <col min="24" max="24" width="10.33203125" style="570" customWidth="1"/>
    <col min="25" max="25" width="13.5" style="570" customWidth="1"/>
    <col min="26" max="26" width="10" style="570" customWidth="1"/>
    <col min="27" max="27" width="12" style="570" customWidth="1"/>
    <col min="28" max="28" width="10" style="570" customWidth="1"/>
    <col min="29" max="29" width="10.6640625" style="569" customWidth="1"/>
    <col min="30" max="31" width="10.6640625" style="570" customWidth="1"/>
    <col min="32" max="32" width="13" style="316" customWidth="1"/>
    <col min="33" max="33" width="15.5" style="316" customWidth="1"/>
    <col min="34" max="34" width="17" style="316" bestFit="1" customWidth="1"/>
    <col min="35" max="35" width="13.5" style="992" bestFit="1" customWidth="1"/>
    <col min="36" max="36" width="17.1640625" style="316" bestFit="1" customWidth="1"/>
    <col min="37" max="38" width="11" style="2" bestFit="1" customWidth="1"/>
    <col min="39" max="16384" width="8.83203125" style="2"/>
  </cols>
  <sheetData>
    <row r="1" spans="1:64">
      <c r="A1" s="1190" t="s">
        <v>1105</v>
      </c>
      <c r="B1" s="560"/>
      <c r="C1" s="560"/>
      <c r="D1" s="560"/>
      <c r="E1" s="560"/>
      <c r="F1" s="560"/>
      <c r="AF1" s="570"/>
      <c r="AG1" s="570"/>
      <c r="AH1" s="570"/>
      <c r="AI1" s="569"/>
    </row>
    <row r="2" spans="1:64">
      <c r="A2" s="571"/>
      <c r="B2" s="571"/>
      <c r="C2" s="571"/>
      <c r="D2" s="571"/>
      <c r="E2" s="571"/>
      <c r="F2" s="571"/>
      <c r="AF2" s="570"/>
      <c r="AG2" s="570"/>
      <c r="AH2" s="570"/>
      <c r="AI2" s="569"/>
    </row>
    <row r="3" spans="1:64" ht="51.75" customHeight="1">
      <c r="A3" s="572" t="s">
        <v>0</v>
      </c>
      <c r="B3" s="572" t="s">
        <v>147</v>
      </c>
      <c r="C3" s="572" t="s">
        <v>469</v>
      </c>
      <c r="D3" s="572" t="s">
        <v>26</v>
      </c>
      <c r="E3" s="572" t="s">
        <v>470</v>
      </c>
      <c r="F3" s="572" t="s">
        <v>26</v>
      </c>
      <c r="G3" s="574" t="s">
        <v>239</v>
      </c>
      <c r="H3" s="574" t="s">
        <v>242</v>
      </c>
      <c r="I3" s="574" t="s">
        <v>240</v>
      </c>
      <c r="J3" s="574" t="s">
        <v>504</v>
      </c>
      <c r="K3" s="574" t="s">
        <v>669</v>
      </c>
      <c r="L3" s="574" t="s">
        <v>244</v>
      </c>
      <c r="M3" s="573" t="s">
        <v>241</v>
      </c>
      <c r="N3" s="574" t="s">
        <v>243</v>
      </c>
      <c r="O3" s="690" t="s">
        <v>670</v>
      </c>
      <c r="P3" s="687" t="s">
        <v>244</v>
      </c>
      <c r="Q3" s="769" t="s">
        <v>688</v>
      </c>
      <c r="R3" s="769" t="s">
        <v>689</v>
      </c>
      <c r="S3" s="769" t="s">
        <v>690</v>
      </c>
      <c r="T3" s="687" t="s">
        <v>691</v>
      </c>
      <c r="U3" s="575" t="s">
        <v>468</v>
      </c>
      <c r="V3" s="574" t="s">
        <v>180</v>
      </c>
      <c r="W3" s="574" t="s">
        <v>150</v>
      </c>
      <c r="X3" s="574" t="s">
        <v>150</v>
      </c>
      <c r="Y3" s="574" t="s">
        <v>178</v>
      </c>
      <c r="Z3" s="574" t="s">
        <v>26</v>
      </c>
      <c r="AA3" s="574" t="s">
        <v>163</v>
      </c>
      <c r="AB3" s="574" t="s">
        <v>179</v>
      </c>
      <c r="AC3" s="573" t="s">
        <v>534</v>
      </c>
      <c r="AD3" s="576" t="s">
        <v>473</v>
      </c>
      <c r="AE3" s="576" t="s">
        <v>467</v>
      </c>
      <c r="AF3" s="574" t="s">
        <v>13</v>
      </c>
      <c r="AG3" s="574" t="s">
        <v>14</v>
      </c>
      <c r="AH3" s="574" t="s">
        <v>9</v>
      </c>
      <c r="AI3" s="573" t="s">
        <v>15</v>
      </c>
      <c r="AJ3" s="55" t="s">
        <v>16</v>
      </c>
      <c r="AK3" s="577" t="s">
        <v>151</v>
      </c>
      <c r="AL3" s="577" t="s">
        <v>151</v>
      </c>
    </row>
    <row r="4" spans="1:64" s="192" customFormat="1">
      <c r="A4" s="1208"/>
      <c r="B4" s="1208"/>
      <c r="C4" s="1208"/>
      <c r="D4" s="1208"/>
      <c r="E4" s="1208"/>
      <c r="F4" s="1208"/>
      <c r="G4" s="1205"/>
      <c r="H4" s="1205"/>
      <c r="I4" s="1205"/>
      <c r="J4" s="1205"/>
      <c r="K4" s="1205"/>
      <c r="L4" s="1205"/>
      <c r="M4" s="1206"/>
      <c r="N4" s="1205"/>
      <c r="O4" s="1206"/>
      <c r="P4" s="1205"/>
      <c r="Q4" s="1205"/>
      <c r="R4" s="1205"/>
      <c r="S4" s="1205"/>
      <c r="T4" s="1205"/>
      <c r="U4" s="1213"/>
      <c r="V4" s="1205"/>
      <c r="W4" s="1205"/>
      <c r="X4" s="1205"/>
      <c r="Y4" s="1205"/>
      <c r="Z4" s="1205"/>
      <c r="AA4" s="1205"/>
      <c r="AB4" s="1205"/>
      <c r="AC4" s="1206"/>
      <c r="AD4" s="1205"/>
      <c r="AE4" s="1205"/>
      <c r="AF4" s="1205"/>
      <c r="AG4" s="1205"/>
      <c r="AH4" s="1205"/>
      <c r="AI4" s="1206"/>
      <c r="AJ4" s="191">
        <f>SUM(AF5:AF403)</f>
        <v>832404.01627999789</v>
      </c>
    </row>
    <row r="5" spans="1:64" s="192" customFormat="1">
      <c r="A5" s="184">
        <v>42188</v>
      </c>
      <c r="B5" s="761" t="s">
        <v>148</v>
      </c>
      <c r="C5" s="761"/>
      <c r="D5" s="982">
        <v>1400</v>
      </c>
      <c r="E5" s="982"/>
      <c r="F5" s="982">
        <v>132</v>
      </c>
      <c r="G5" s="186"/>
      <c r="H5" s="188">
        <v>3150</v>
      </c>
      <c r="I5" s="188"/>
      <c r="J5" s="188">
        <v>0</v>
      </c>
      <c r="K5" s="186">
        <v>1</v>
      </c>
      <c r="L5" s="188">
        <v>2100</v>
      </c>
      <c r="M5" s="186"/>
      <c r="N5" s="188">
        <v>198</v>
      </c>
      <c r="O5" s="680"/>
      <c r="P5" s="726"/>
      <c r="Q5" s="766"/>
      <c r="R5" s="766"/>
      <c r="S5" s="766"/>
      <c r="T5" s="726"/>
      <c r="U5" s="186"/>
      <c r="V5" s="195">
        <v>0</v>
      </c>
      <c r="W5" s="186"/>
      <c r="X5" s="727">
        <v>0</v>
      </c>
      <c r="Y5" s="186">
        <v>5</v>
      </c>
      <c r="Z5" s="983">
        <v>24</v>
      </c>
      <c r="AA5" s="186">
        <v>5</v>
      </c>
      <c r="AB5" s="983">
        <v>16</v>
      </c>
      <c r="AC5" s="186"/>
      <c r="AD5" s="685"/>
      <c r="AE5" s="685"/>
      <c r="AF5" s="724">
        <f t="shared" ref="AF5:AF68" si="0">(C5*D5)+(Y5*Z5)+(O5*P5)+(Q5*R5)+(S5*T5)+(AA5*AB5)+(E5*F5)+(G5*H5)+(I5*J5)+(K5*L5)+(M5*N5)+(AD5*AE5)+(U5*V5)+(W5*X5)+AC5</f>
        <v>2300</v>
      </c>
      <c r="AG5" s="724">
        <f t="shared" ref="AG5:AG68" si="1">(AF5*5%)</f>
        <v>115</v>
      </c>
      <c r="AH5" s="724">
        <f t="shared" ref="AH5:AH68" si="2">SUM(AF5+AG5)</f>
        <v>2415</v>
      </c>
      <c r="AI5" s="187">
        <v>227911</v>
      </c>
      <c r="AJ5" s="884"/>
    </row>
    <row r="6" spans="1:64" s="192" customFormat="1">
      <c r="A6" s="184">
        <v>42189</v>
      </c>
      <c r="B6" s="761" t="s">
        <v>149</v>
      </c>
      <c r="C6" s="761"/>
      <c r="D6" s="982">
        <v>1400</v>
      </c>
      <c r="E6" s="982"/>
      <c r="F6" s="982">
        <v>132</v>
      </c>
      <c r="G6" s="186"/>
      <c r="H6" s="188">
        <v>3150</v>
      </c>
      <c r="I6" s="188"/>
      <c r="J6" s="188">
        <v>0</v>
      </c>
      <c r="K6" s="186">
        <v>1</v>
      </c>
      <c r="L6" s="188">
        <v>2100</v>
      </c>
      <c r="M6" s="186"/>
      <c r="N6" s="188">
        <v>198</v>
      </c>
      <c r="O6" s="680"/>
      <c r="P6" s="726"/>
      <c r="Q6" s="766"/>
      <c r="R6" s="766"/>
      <c r="S6" s="766"/>
      <c r="T6" s="726"/>
      <c r="U6" s="186"/>
      <c r="V6" s="195">
        <v>0</v>
      </c>
      <c r="W6" s="186"/>
      <c r="X6" s="727">
        <v>0</v>
      </c>
      <c r="Y6" s="186">
        <v>5</v>
      </c>
      <c r="Z6" s="983">
        <v>24</v>
      </c>
      <c r="AA6" s="186"/>
      <c r="AB6" s="983">
        <v>16</v>
      </c>
      <c r="AC6" s="186"/>
      <c r="AD6" s="685"/>
      <c r="AE6" s="685"/>
      <c r="AF6" s="724">
        <f t="shared" si="0"/>
        <v>2220</v>
      </c>
      <c r="AG6" s="724">
        <f t="shared" si="1"/>
        <v>111</v>
      </c>
      <c r="AH6" s="724">
        <f t="shared" si="2"/>
        <v>2331</v>
      </c>
      <c r="AI6" s="187">
        <v>227911</v>
      </c>
      <c r="AJ6" s="193"/>
    </row>
    <row r="7" spans="1:64" s="192" customFormat="1">
      <c r="A7" s="761">
        <v>42191</v>
      </c>
      <c r="B7" s="761" t="s">
        <v>156</v>
      </c>
      <c r="C7" s="761"/>
      <c r="D7" s="982">
        <v>1400</v>
      </c>
      <c r="E7" s="982"/>
      <c r="F7" s="982">
        <v>132</v>
      </c>
      <c r="G7" s="186"/>
      <c r="H7" s="188">
        <v>3150</v>
      </c>
      <c r="I7" s="188"/>
      <c r="J7" s="188">
        <v>0</v>
      </c>
      <c r="K7" s="186">
        <v>1</v>
      </c>
      <c r="L7" s="188">
        <v>2100</v>
      </c>
      <c r="M7" s="186"/>
      <c r="N7" s="188">
        <v>198</v>
      </c>
      <c r="O7" s="680"/>
      <c r="P7" s="726"/>
      <c r="Q7" s="766"/>
      <c r="R7" s="766"/>
      <c r="S7" s="766"/>
      <c r="T7" s="726"/>
      <c r="U7" s="186"/>
      <c r="V7" s="195">
        <v>0</v>
      </c>
      <c r="W7" s="186"/>
      <c r="X7" s="727">
        <v>0</v>
      </c>
      <c r="Y7" s="186"/>
      <c r="Z7" s="983">
        <v>24</v>
      </c>
      <c r="AA7" s="186">
        <v>7</v>
      </c>
      <c r="AB7" s="983">
        <v>16</v>
      </c>
      <c r="AC7" s="186"/>
      <c r="AD7" s="685"/>
      <c r="AE7" s="685"/>
      <c r="AF7" s="724">
        <f t="shared" si="0"/>
        <v>2212</v>
      </c>
      <c r="AG7" s="724">
        <f t="shared" si="1"/>
        <v>110.60000000000001</v>
      </c>
      <c r="AH7" s="724">
        <f t="shared" si="2"/>
        <v>2322.6</v>
      </c>
      <c r="AI7" s="187">
        <v>227911</v>
      </c>
      <c r="AJ7" s="194"/>
    </row>
    <row r="8" spans="1:64" s="192" customFormat="1">
      <c r="A8" s="761">
        <v>42192</v>
      </c>
      <c r="B8" s="761" t="s">
        <v>162</v>
      </c>
      <c r="C8" s="499"/>
      <c r="D8" s="982">
        <v>1400</v>
      </c>
      <c r="E8" s="982"/>
      <c r="F8" s="982">
        <v>132</v>
      </c>
      <c r="G8" s="186"/>
      <c r="H8" s="188">
        <v>3150</v>
      </c>
      <c r="I8" s="188"/>
      <c r="J8" s="188">
        <v>0</v>
      </c>
      <c r="K8" s="186">
        <v>1</v>
      </c>
      <c r="L8" s="188">
        <v>2100</v>
      </c>
      <c r="M8" s="186"/>
      <c r="N8" s="188">
        <v>198</v>
      </c>
      <c r="O8" s="680"/>
      <c r="P8" s="726"/>
      <c r="Q8" s="766"/>
      <c r="R8" s="766"/>
      <c r="S8" s="766"/>
      <c r="T8" s="726"/>
      <c r="U8" s="186"/>
      <c r="V8" s="195">
        <v>0</v>
      </c>
      <c r="W8" s="186"/>
      <c r="X8" s="727">
        <v>0</v>
      </c>
      <c r="Y8" s="186">
        <v>9</v>
      </c>
      <c r="Z8" s="983">
        <v>24</v>
      </c>
      <c r="AA8" s="186"/>
      <c r="AB8" s="983">
        <v>16</v>
      </c>
      <c r="AC8" s="186"/>
      <c r="AD8" s="685"/>
      <c r="AE8" s="685"/>
      <c r="AF8" s="724">
        <f t="shared" si="0"/>
        <v>2316</v>
      </c>
      <c r="AG8" s="724">
        <f t="shared" si="1"/>
        <v>115.80000000000001</v>
      </c>
      <c r="AH8" s="724">
        <f t="shared" si="2"/>
        <v>2431.8000000000002</v>
      </c>
      <c r="AI8" s="187">
        <v>227911</v>
      </c>
      <c r="AJ8" s="993" t="s">
        <v>850</v>
      </c>
    </row>
    <row r="9" spans="1:64" s="192" customFormat="1">
      <c r="A9" s="761">
        <v>42193</v>
      </c>
      <c r="B9" s="761" t="s">
        <v>160</v>
      </c>
      <c r="C9" s="499"/>
      <c r="D9" s="982">
        <v>1400</v>
      </c>
      <c r="E9" s="982"/>
      <c r="F9" s="982">
        <v>132</v>
      </c>
      <c r="G9" s="186"/>
      <c r="H9" s="188">
        <v>3150</v>
      </c>
      <c r="I9" s="188"/>
      <c r="J9" s="188">
        <v>0</v>
      </c>
      <c r="K9" s="186">
        <v>1</v>
      </c>
      <c r="L9" s="188">
        <v>2100</v>
      </c>
      <c r="M9" s="186"/>
      <c r="N9" s="188">
        <v>198</v>
      </c>
      <c r="O9" s="680"/>
      <c r="P9" s="726"/>
      <c r="Q9" s="766"/>
      <c r="R9" s="766"/>
      <c r="S9" s="766"/>
      <c r="T9" s="726"/>
      <c r="U9" s="186"/>
      <c r="V9" s="195">
        <v>0</v>
      </c>
      <c r="W9" s="186"/>
      <c r="X9" s="727">
        <v>0</v>
      </c>
      <c r="Y9" s="186">
        <v>4</v>
      </c>
      <c r="Z9" s="983">
        <v>24</v>
      </c>
      <c r="AA9" s="186">
        <v>10</v>
      </c>
      <c r="AB9" s="983">
        <v>16</v>
      </c>
      <c r="AC9" s="186"/>
      <c r="AD9" s="685"/>
      <c r="AE9" s="685"/>
      <c r="AF9" s="724">
        <f t="shared" si="0"/>
        <v>2356</v>
      </c>
      <c r="AG9" s="724">
        <f t="shared" si="1"/>
        <v>117.80000000000001</v>
      </c>
      <c r="AH9" s="724">
        <f t="shared" si="2"/>
        <v>2473.8000000000002</v>
      </c>
      <c r="AI9" s="187">
        <v>227911</v>
      </c>
      <c r="AJ9" s="194"/>
    </row>
    <row r="10" spans="1:64" s="192" customFormat="1">
      <c r="A10" s="184">
        <v>42194</v>
      </c>
      <c r="B10" s="184" t="s">
        <v>173</v>
      </c>
      <c r="C10" s="499"/>
      <c r="D10" s="982">
        <v>1400</v>
      </c>
      <c r="E10" s="982"/>
      <c r="F10" s="982">
        <v>132</v>
      </c>
      <c r="G10" s="186"/>
      <c r="H10" s="188">
        <v>3150</v>
      </c>
      <c r="I10" s="188"/>
      <c r="J10" s="188">
        <v>0</v>
      </c>
      <c r="K10" s="186">
        <v>1</v>
      </c>
      <c r="L10" s="188">
        <v>2100</v>
      </c>
      <c r="M10" s="186"/>
      <c r="N10" s="188">
        <v>198</v>
      </c>
      <c r="O10" s="680"/>
      <c r="P10" s="726"/>
      <c r="Q10" s="766"/>
      <c r="R10" s="766"/>
      <c r="S10" s="766"/>
      <c r="T10" s="726"/>
      <c r="U10" s="186"/>
      <c r="V10" s="195">
        <v>0</v>
      </c>
      <c r="W10" s="186"/>
      <c r="X10" s="727">
        <v>0</v>
      </c>
      <c r="Y10" s="186">
        <v>5</v>
      </c>
      <c r="Z10" s="983">
        <v>24</v>
      </c>
      <c r="AA10" s="186">
        <v>10</v>
      </c>
      <c r="AB10" s="983">
        <v>16</v>
      </c>
      <c r="AC10" s="186"/>
      <c r="AD10" s="685"/>
      <c r="AE10" s="685"/>
      <c r="AF10" s="724">
        <f t="shared" si="0"/>
        <v>2380</v>
      </c>
      <c r="AG10" s="724">
        <f t="shared" si="1"/>
        <v>119</v>
      </c>
      <c r="AH10" s="724">
        <f t="shared" si="2"/>
        <v>2499</v>
      </c>
      <c r="AI10" s="187">
        <v>227911</v>
      </c>
      <c r="AJ10" s="194"/>
    </row>
    <row r="11" spans="1:64" s="192" customFormat="1">
      <c r="A11" s="184">
        <v>42195</v>
      </c>
      <c r="B11" s="184" t="s">
        <v>177</v>
      </c>
      <c r="C11" s="499"/>
      <c r="D11" s="982">
        <v>1400</v>
      </c>
      <c r="E11" s="982"/>
      <c r="F11" s="982">
        <v>132</v>
      </c>
      <c r="G11" s="186"/>
      <c r="H11" s="188">
        <v>3150</v>
      </c>
      <c r="I11" s="188"/>
      <c r="J11" s="188">
        <v>0</v>
      </c>
      <c r="K11" s="186">
        <v>1</v>
      </c>
      <c r="L11" s="188">
        <v>2100</v>
      </c>
      <c r="M11" s="186"/>
      <c r="N11" s="188">
        <v>198</v>
      </c>
      <c r="O11" s="680"/>
      <c r="P11" s="726"/>
      <c r="Q11" s="766"/>
      <c r="R11" s="766"/>
      <c r="S11" s="766"/>
      <c r="T11" s="726"/>
      <c r="U11" s="186"/>
      <c r="V11" s="195">
        <v>0</v>
      </c>
      <c r="W11" s="186"/>
      <c r="X11" s="727">
        <v>0</v>
      </c>
      <c r="Y11" s="186">
        <v>5</v>
      </c>
      <c r="Z11" s="983">
        <v>24</v>
      </c>
      <c r="AA11" s="186">
        <v>3</v>
      </c>
      <c r="AB11" s="983">
        <v>16</v>
      </c>
      <c r="AC11" s="186"/>
      <c r="AD11" s="685"/>
      <c r="AE11" s="685"/>
      <c r="AF11" s="724">
        <f t="shared" si="0"/>
        <v>2268</v>
      </c>
      <c r="AG11" s="724">
        <f t="shared" si="1"/>
        <v>113.4</v>
      </c>
      <c r="AH11" s="724">
        <f t="shared" si="2"/>
        <v>2381.4</v>
      </c>
      <c r="AI11" s="187">
        <v>227911</v>
      </c>
      <c r="AJ11" s="194"/>
    </row>
    <row r="12" spans="1:64" s="136" customFormat="1">
      <c r="A12" s="184">
        <v>42196</v>
      </c>
      <c r="B12" s="761" t="s">
        <v>187</v>
      </c>
      <c r="C12" s="499"/>
      <c r="D12" s="982">
        <v>1400</v>
      </c>
      <c r="E12" s="982"/>
      <c r="F12" s="982">
        <v>132</v>
      </c>
      <c r="G12" s="186"/>
      <c r="H12" s="188">
        <v>3150</v>
      </c>
      <c r="I12" s="188"/>
      <c r="J12" s="188">
        <v>0</v>
      </c>
      <c r="K12" s="186">
        <v>1</v>
      </c>
      <c r="L12" s="188">
        <v>2100</v>
      </c>
      <c r="M12" s="186"/>
      <c r="N12" s="188">
        <v>198</v>
      </c>
      <c r="O12" s="680"/>
      <c r="P12" s="726"/>
      <c r="Q12" s="766"/>
      <c r="R12" s="766"/>
      <c r="S12" s="766"/>
      <c r="T12" s="726"/>
      <c r="U12" s="186"/>
      <c r="V12" s="195">
        <v>0</v>
      </c>
      <c r="W12" s="186"/>
      <c r="X12" s="727">
        <v>0</v>
      </c>
      <c r="Y12" s="186">
        <v>5</v>
      </c>
      <c r="Z12" s="983">
        <v>24</v>
      </c>
      <c r="AA12" s="186">
        <v>3</v>
      </c>
      <c r="AB12" s="983">
        <v>16</v>
      </c>
      <c r="AC12" s="186"/>
      <c r="AD12" s="685"/>
      <c r="AE12" s="685"/>
      <c r="AF12" s="724">
        <f t="shared" si="0"/>
        <v>2268</v>
      </c>
      <c r="AG12" s="724">
        <f t="shared" si="1"/>
        <v>113.4</v>
      </c>
      <c r="AH12" s="724">
        <f t="shared" si="2"/>
        <v>2381.4</v>
      </c>
      <c r="AI12" s="187">
        <v>227911</v>
      </c>
      <c r="AJ12" s="194"/>
      <c r="AK12" s="192"/>
      <c r="AL12" s="192"/>
      <c r="AM12" s="192"/>
      <c r="AN12" s="192"/>
      <c r="AO12" s="192"/>
      <c r="AP12" s="192"/>
      <c r="AQ12" s="192"/>
      <c r="AR12" s="192"/>
      <c r="AS12" s="192"/>
      <c r="AT12" s="192"/>
      <c r="AU12" s="192"/>
      <c r="AV12" s="192"/>
      <c r="AW12" s="192"/>
      <c r="AX12" s="192"/>
      <c r="AY12" s="192"/>
      <c r="AZ12" s="192"/>
      <c r="BA12" s="192"/>
      <c r="BB12" s="192"/>
      <c r="BC12" s="192"/>
      <c r="BD12" s="192"/>
      <c r="BE12" s="192"/>
      <c r="BF12" s="192"/>
      <c r="BG12" s="192"/>
      <c r="BH12" s="192"/>
      <c r="BI12" s="192"/>
      <c r="BJ12" s="192"/>
      <c r="BK12" s="192"/>
      <c r="BL12" s="192"/>
    </row>
    <row r="13" spans="1:64" s="136" customFormat="1">
      <c r="A13" s="157">
        <v>42198</v>
      </c>
      <c r="B13" s="129" t="s">
        <v>188</v>
      </c>
      <c r="C13" s="841"/>
      <c r="D13" s="994">
        <v>1400</v>
      </c>
      <c r="E13" s="994"/>
      <c r="F13" s="994">
        <v>132</v>
      </c>
      <c r="G13" s="133"/>
      <c r="H13" s="132">
        <v>3150</v>
      </c>
      <c r="I13" s="132"/>
      <c r="J13" s="132">
        <v>0</v>
      </c>
      <c r="K13" s="133">
        <v>1</v>
      </c>
      <c r="L13" s="132">
        <v>2100</v>
      </c>
      <c r="M13" s="133"/>
      <c r="N13" s="132">
        <v>198</v>
      </c>
      <c r="O13" s="635"/>
      <c r="P13" s="636"/>
      <c r="Q13" s="811"/>
      <c r="R13" s="811"/>
      <c r="S13" s="811"/>
      <c r="T13" s="636"/>
      <c r="U13" s="133"/>
      <c r="V13" s="143">
        <v>0</v>
      </c>
      <c r="W13" s="133"/>
      <c r="X13" s="812">
        <v>0</v>
      </c>
      <c r="Y13" s="133">
        <v>9</v>
      </c>
      <c r="Z13" s="995">
        <v>24</v>
      </c>
      <c r="AA13" s="133">
        <v>4</v>
      </c>
      <c r="AB13" s="995">
        <v>16</v>
      </c>
      <c r="AC13" s="133"/>
      <c r="AD13" s="557"/>
      <c r="AE13" s="557"/>
      <c r="AF13" s="809">
        <f t="shared" si="0"/>
        <v>2380</v>
      </c>
      <c r="AG13" s="809">
        <f t="shared" si="1"/>
        <v>119</v>
      </c>
      <c r="AH13" s="809">
        <f t="shared" si="2"/>
        <v>2499</v>
      </c>
      <c r="AI13" s="131">
        <v>227912</v>
      </c>
      <c r="AJ13" s="148"/>
    </row>
    <row r="14" spans="1:64" s="136" customFormat="1" ht="15" customHeight="1">
      <c r="A14" s="157">
        <v>42199</v>
      </c>
      <c r="B14" s="129" t="s">
        <v>189</v>
      </c>
      <c r="C14" s="841"/>
      <c r="D14" s="994">
        <v>1400</v>
      </c>
      <c r="E14" s="994"/>
      <c r="F14" s="994">
        <v>132</v>
      </c>
      <c r="G14" s="133"/>
      <c r="H14" s="132">
        <v>3150</v>
      </c>
      <c r="I14" s="132"/>
      <c r="J14" s="132">
        <v>0</v>
      </c>
      <c r="K14" s="133">
        <v>0.5</v>
      </c>
      <c r="L14" s="132">
        <v>2100</v>
      </c>
      <c r="M14" s="133"/>
      <c r="N14" s="132">
        <v>198</v>
      </c>
      <c r="O14" s="635"/>
      <c r="P14" s="636"/>
      <c r="Q14" s="811"/>
      <c r="R14" s="811"/>
      <c r="S14" s="811"/>
      <c r="T14" s="636"/>
      <c r="U14" s="133"/>
      <c r="V14" s="143">
        <v>0</v>
      </c>
      <c r="W14" s="133"/>
      <c r="X14" s="812">
        <v>0</v>
      </c>
      <c r="Y14" s="133"/>
      <c r="Z14" s="995">
        <v>24</v>
      </c>
      <c r="AA14" s="133"/>
      <c r="AB14" s="995">
        <v>16</v>
      </c>
      <c r="AC14" s="133"/>
      <c r="AD14" s="557"/>
      <c r="AE14" s="557"/>
      <c r="AF14" s="809">
        <f t="shared" si="0"/>
        <v>1050</v>
      </c>
      <c r="AG14" s="809">
        <f t="shared" si="1"/>
        <v>52.5</v>
      </c>
      <c r="AH14" s="809">
        <f t="shared" si="2"/>
        <v>1102.5</v>
      </c>
      <c r="AI14" s="131">
        <v>227912</v>
      </c>
      <c r="AJ14" s="148"/>
    </row>
    <row r="15" spans="1:64" s="136" customFormat="1">
      <c r="A15" s="157">
        <v>42200</v>
      </c>
      <c r="B15" s="129" t="s">
        <v>193</v>
      </c>
      <c r="C15" s="841"/>
      <c r="D15" s="994">
        <v>1400</v>
      </c>
      <c r="E15" s="841"/>
      <c r="F15" s="994">
        <v>132</v>
      </c>
      <c r="G15" s="133"/>
      <c r="H15" s="132">
        <v>3150</v>
      </c>
      <c r="I15" s="132"/>
      <c r="J15" s="132">
        <v>0</v>
      </c>
      <c r="K15" s="133">
        <v>1</v>
      </c>
      <c r="L15" s="132">
        <v>2100</v>
      </c>
      <c r="M15" s="133">
        <v>1</v>
      </c>
      <c r="N15" s="132">
        <v>198</v>
      </c>
      <c r="O15" s="635"/>
      <c r="P15" s="636"/>
      <c r="Q15" s="811"/>
      <c r="R15" s="811"/>
      <c r="S15" s="811"/>
      <c r="T15" s="636"/>
      <c r="U15" s="133"/>
      <c r="V15" s="143">
        <v>0</v>
      </c>
      <c r="W15" s="133"/>
      <c r="X15" s="812">
        <v>0</v>
      </c>
      <c r="Y15" s="133">
        <v>5</v>
      </c>
      <c r="Z15" s="995">
        <v>24</v>
      </c>
      <c r="AA15" s="133">
        <v>10</v>
      </c>
      <c r="AB15" s="995">
        <v>16</v>
      </c>
      <c r="AC15" s="133"/>
      <c r="AD15" s="557"/>
      <c r="AE15" s="557"/>
      <c r="AF15" s="809">
        <f t="shared" si="0"/>
        <v>2578</v>
      </c>
      <c r="AG15" s="809">
        <f t="shared" si="1"/>
        <v>128.9</v>
      </c>
      <c r="AH15" s="809">
        <f t="shared" si="2"/>
        <v>2706.9</v>
      </c>
      <c r="AI15" s="131">
        <v>227912</v>
      </c>
      <c r="AJ15" s="148"/>
    </row>
    <row r="16" spans="1:64" s="136" customFormat="1">
      <c r="A16" s="157">
        <v>42201</v>
      </c>
      <c r="B16" s="129" t="s">
        <v>198</v>
      </c>
      <c r="C16" s="841"/>
      <c r="D16" s="994">
        <v>1400</v>
      </c>
      <c r="E16" s="841"/>
      <c r="F16" s="994">
        <v>132</v>
      </c>
      <c r="G16" s="133"/>
      <c r="H16" s="132">
        <v>3150</v>
      </c>
      <c r="I16" s="132"/>
      <c r="J16" s="132">
        <v>0</v>
      </c>
      <c r="K16" s="133">
        <v>1</v>
      </c>
      <c r="L16" s="132">
        <v>2100</v>
      </c>
      <c r="M16" s="133"/>
      <c r="N16" s="132">
        <v>198</v>
      </c>
      <c r="O16" s="635"/>
      <c r="P16" s="636"/>
      <c r="Q16" s="811"/>
      <c r="R16" s="811"/>
      <c r="S16" s="811"/>
      <c r="T16" s="636"/>
      <c r="U16" s="133"/>
      <c r="V16" s="143">
        <v>0</v>
      </c>
      <c r="W16" s="133"/>
      <c r="X16" s="812">
        <v>0</v>
      </c>
      <c r="Y16" s="133">
        <v>2</v>
      </c>
      <c r="Z16" s="995">
        <v>24</v>
      </c>
      <c r="AA16" s="133">
        <v>4</v>
      </c>
      <c r="AB16" s="995">
        <v>16</v>
      </c>
      <c r="AC16" s="133"/>
      <c r="AD16" s="557"/>
      <c r="AE16" s="557"/>
      <c r="AF16" s="809">
        <f t="shared" si="0"/>
        <v>2212</v>
      </c>
      <c r="AG16" s="809">
        <f t="shared" si="1"/>
        <v>110.60000000000001</v>
      </c>
      <c r="AH16" s="809">
        <f t="shared" si="2"/>
        <v>2322.6</v>
      </c>
      <c r="AI16" s="131">
        <v>227912</v>
      </c>
      <c r="AJ16" s="148"/>
    </row>
    <row r="17" spans="1:64" s="136" customFormat="1">
      <c r="A17" s="157">
        <v>42201</v>
      </c>
      <c r="B17" s="129" t="s">
        <v>199</v>
      </c>
      <c r="C17" s="841"/>
      <c r="D17" s="994">
        <v>1400</v>
      </c>
      <c r="E17" s="841"/>
      <c r="F17" s="994">
        <v>132</v>
      </c>
      <c r="G17" s="133"/>
      <c r="H17" s="132">
        <v>3150</v>
      </c>
      <c r="I17" s="132"/>
      <c r="J17" s="132">
        <v>0</v>
      </c>
      <c r="K17" s="133">
        <v>1</v>
      </c>
      <c r="L17" s="132">
        <v>2100</v>
      </c>
      <c r="M17" s="133"/>
      <c r="N17" s="132">
        <v>198</v>
      </c>
      <c r="O17" s="635"/>
      <c r="P17" s="636"/>
      <c r="Q17" s="811"/>
      <c r="R17" s="811"/>
      <c r="S17" s="811"/>
      <c r="T17" s="636"/>
      <c r="U17" s="133"/>
      <c r="V17" s="143">
        <v>0</v>
      </c>
      <c r="W17" s="133"/>
      <c r="X17" s="812">
        <v>0</v>
      </c>
      <c r="Y17" s="133"/>
      <c r="Z17" s="995">
        <v>24</v>
      </c>
      <c r="AA17" s="133"/>
      <c r="AB17" s="995">
        <v>16</v>
      </c>
      <c r="AC17" s="133"/>
      <c r="AD17" s="557"/>
      <c r="AE17" s="557"/>
      <c r="AF17" s="809">
        <f t="shared" si="0"/>
        <v>2100</v>
      </c>
      <c r="AG17" s="809">
        <f t="shared" si="1"/>
        <v>105</v>
      </c>
      <c r="AH17" s="809">
        <f t="shared" si="2"/>
        <v>2205</v>
      </c>
      <c r="AI17" s="131">
        <v>227912</v>
      </c>
      <c r="AJ17" s="996" t="s">
        <v>851</v>
      </c>
    </row>
    <row r="18" spans="1:64" s="136" customFormat="1">
      <c r="A18" s="157">
        <v>42201</v>
      </c>
      <c r="B18" s="129" t="s">
        <v>194</v>
      </c>
      <c r="C18" s="841">
        <v>1</v>
      </c>
      <c r="D18" s="994">
        <v>1400</v>
      </c>
      <c r="E18" s="841"/>
      <c r="F18" s="994">
        <v>132</v>
      </c>
      <c r="G18" s="133"/>
      <c r="H18" s="132">
        <v>3150</v>
      </c>
      <c r="I18" s="132"/>
      <c r="J18" s="132">
        <v>0</v>
      </c>
      <c r="K18" s="132"/>
      <c r="L18" s="132">
        <v>2100</v>
      </c>
      <c r="M18" s="133"/>
      <c r="N18" s="132">
        <v>198</v>
      </c>
      <c r="O18" s="635"/>
      <c r="P18" s="636"/>
      <c r="Q18" s="811"/>
      <c r="R18" s="811"/>
      <c r="S18" s="811"/>
      <c r="T18" s="636"/>
      <c r="U18" s="133"/>
      <c r="V18" s="143">
        <v>0</v>
      </c>
      <c r="W18" s="133"/>
      <c r="X18" s="812">
        <v>0</v>
      </c>
      <c r="Y18" s="133"/>
      <c r="Z18" s="995">
        <v>24</v>
      </c>
      <c r="AA18" s="133"/>
      <c r="AB18" s="995">
        <v>16</v>
      </c>
      <c r="AC18" s="133"/>
      <c r="AD18" s="557"/>
      <c r="AE18" s="557"/>
      <c r="AF18" s="809">
        <f t="shared" si="0"/>
        <v>1400</v>
      </c>
      <c r="AG18" s="809">
        <f t="shared" si="1"/>
        <v>70</v>
      </c>
      <c r="AH18" s="809">
        <f t="shared" si="2"/>
        <v>1470</v>
      </c>
      <c r="AI18" s="131">
        <v>227912</v>
      </c>
      <c r="AJ18" s="148"/>
    </row>
    <row r="19" spans="1:64" s="136" customFormat="1">
      <c r="A19" s="157">
        <v>42202</v>
      </c>
      <c r="B19" s="129" t="s">
        <v>200</v>
      </c>
      <c r="C19" s="841"/>
      <c r="D19" s="994">
        <v>1400</v>
      </c>
      <c r="E19" s="841"/>
      <c r="F19" s="994">
        <v>132</v>
      </c>
      <c r="G19" s="133"/>
      <c r="H19" s="132">
        <v>3150</v>
      </c>
      <c r="I19" s="132"/>
      <c r="J19" s="132">
        <v>0</v>
      </c>
      <c r="K19" s="133">
        <v>0.5</v>
      </c>
      <c r="L19" s="132">
        <v>2100</v>
      </c>
      <c r="M19" s="133"/>
      <c r="N19" s="132">
        <v>198</v>
      </c>
      <c r="O19" s="635"/>
      <c r="P19" s="636"/>
      <c r="Q19" s="811"/>
      <c r="R19" s="811"/>
      <c r="S19" s="811"/>
      <c r="T19" s="636"/>
      <c r="U19" s="133"/>
      <c r="V19" s="143">
        <v>0</v>
      </c>
      <c r="W19" s="133"/>
      <c r="X19" s="812">
        <v>0</v>
      </c>
      <c r="Y19" s="133"/>
      <c r="Z19" s="995">
        <v>24</v>
      </c>
      <c r="AA19" s="133"/>
      <c r="AB19" s="995">
        <v>16</v>
      </c>
      <c r="AC19" s="133"/>
      <c r="AD19" s="557"/>
      <c r="AE19" s="557"/>
      <c r="AF19" s="809">
        <f t="shared" si="0"/>
        <v>1050</v>
      </c>
      <c r="AG19" s="809">
        <f t="shared" si="1"/>
        <v>52.5</v>
      </c>
      <c r="AH19" s="809">
        <f t="shared" si="2"/>
        <v>1102.5</v>
      </c>
      <c r="AI19" s="131">
        <v>227912</v>
      </c>
      <c r="AJ19" s="148"/>
    </row>
    <row r="20" spans="1:64" s="136" customFormat="1">
      <c r="A20" s="157">
        <v>42202</v>
      </c>
      <c r="B20" s="129" t="s">
        <v>201</v>
      </c>
      <c r="C20" s="841"/>
      <c r="D20" s="994">
        <v>1400</v>
      </c>
      <c r="E20" s="841"/>
      <c r="F20" s="994">
        <v>132</v>
      </c>
      <c r="G20" s="133"/>
      <c r="H20" s="132">
        <v>3150</v>
      </c>
      <c r="I20" s="132"/>
      <c r="J20" s="132">
        <v>0</v>
      </c>
      <c r="K20" s="133">
        <v>0.5</v>
      </c>
      <c r="L20" s="132">
        <v>2100</v>
      </c>
      <c r="M20" s="133"/>
      <c r="N20" s="132">
        <v>198</v>
      </c>
      <c r="O20" s="635"/>
      <c r="P20" s="636"/>
      <c r="Q20" s="811"/>
      <c r="R20" s="811"/>
      <c r="S20" s="811"/>
      <c r="T20" s="636"/>
      <c r="U20" s="133"/>
      <c r="V20" s="143">
        <v>0</v>
      </c>
      <c r="W20" s="133"/>
      <c r="X20" s="812">
        <v>0</v>
      </c>
      <c r="Y20" s="133"/>
      <c r="Z20" s="995">
        <v>24</v>
      </c>
      <c r="AA20" s="133"/>
      <c r="AB20" s="995">
        <v>16</v>
      </c>
      <c r="AC20" s="133"/>
      <c r="AD20" s="557"/>
      <c r="AE20" s="557"/>
      <c r="AF20" s="809">
        <f t="shared" si="0"/>
        <v>1050</v>
      </c>
      <c r="AG20" s="809">
        <f t="shared" si="1"/>
        <v>52.5</v>
      </c>
      <c r="AH20" s="809">
        <f t="shared" si="2"/>
        <v>1102.5</v>
      </c>
      <c r="AI20" s="131">
        <v>227912</v>
      </c>
      <c r="AJ20" s="148"/>
    </row>
    <row r="21" spans="1:64" s="136" customFormat="1">
      <c r="A21" s="157">
        <v>42202</v>
      </c>
      <c r="B21" s="129" t="s">
        <v>202</v>
      </c>
      <c r="C21" s="841">
        <v>0.83299999999999996</v>
      </c>
      <c r="D21" s="994">
        <v>1400</v>
      </c>
      <c r="E21" s="841"/>
      <c r="F21" s="994">
        <v>132</v>
      </c>
      <c r="G21" s="133"/>
      <c r="H21" s="132">
        <v>3150</v>
      </c>
      <c r="I21" s="132"/>
      <c r="J21" s="132">
        <v>0</v>
      </c>
      <c r="K21" s="132"/>
      <c r="L21" s="132">
        <v>2100</v>
      </c>
      <c r="M21" s="133"/>
      <c r="N21" s="132">
        <v>198</v>
      </c>
      <c r="O21" s="635"/>
      <c r="P21" s="636"/>
      <c r="Q21" s="811"/>
      <c r="R21" s="811"/>
      <c r="S21" s="811"/>
      <c r="T21" s="636"/>
      <c r="U21" s="133"/>
      <c r="V21" s="143">
        <v>0</v>
      </c>
      <c r="W21" s="133"/>
      <c r="X21" s="812">
        <v>0</v>
      </c>
      <c r="Y21" s="133"/>
      <c r="Z21" s="995">
        <v>24</v>
      </c>
      <c r="AA21" s="133"/>
      <c r="AB21" s="995">
        <v>16</v>
      </c>
      <c r="AC21" s="133"/>
      <c r="AD21" s="557"/>
      <c r="AE21" s="557"/>
      <c r="AF21" s="809">
        <f t="shared" si="0"/>
        <v>1166.2</v>
      </c>
      <c r="AG21" s="809">
        <f t="shared" si="1"/>
        <v>58.31</v>
      </c>
      <c r="AH21" s="809">
        <f t="shared" si="2"/>
        <v>1224.51</v>
      </c>
      <c r="AI21" s="131">
        <v>227912</v>
      </c>
      <c r="AJ21" s="148"/>
    </row>
    <row r="22" spans="1:64" s="136" customFormat="1">
      <c r="A22" s="157">
        <v>42203</v>
      </c>
      <c r="B22" s="129" t="s">
        <v>203</v>
      </c>
      <c r="C22" s="841"/>
      <c r="D22" s="994">
        <v>1400</v>
      </c>
      <c r="E22" s="841"/>
      <c r="F22" s="994">
        <v>132</v>
      </c>
      <c r="G22" s="133"/>
      <c r="H22" s="132">
        <v>3150</v>
      </c>
      <c r="I22" s="132"/>
      <c r="J22" s="132">
        <v>0</v>
      </c>
      <c r="K22" s="133">
        <v>1</v>
      </c>
      <c r="L22" s="132">
        <v>2100</v>
      </c>
      <c r="M22" s="133"/>
      <c r="N22" s="132">
        <v>198</v>
      </c>
      <c r="O22" s="635"/>
      <c r="P22" s="636"/>
      <c r="Q22" s="811"/>
      <c r="R22" s="811"/>
      <c r="S22" s="811"/>
      <c r="T22" s="636"/>
      <c r="U22" s="133"/>
      <c r="V22" s="143">
        <v>0</v>
      </c>
      <c r="W22" s="133"/>
      <c r="X22" s="812">
        <v>0</v>
      </c>
      <c r="Y22" s="133">
        <v>5</v>
      </c>
      <c r="Z22" s="995">
        <v>24</v>
      </c>
      <c r="AA22" s="133"/>
      <c r="AB22" s="995">
        <v>16</v>
      </c>
      <c r="AC22" s="133"/>
      <c r="AD22" s="557"/>
      <c r="AE22" s="557"/>
      <c r="AF22" s="809">
        <f t="shared" si="0"/>
        <v>2220</v>
      </c>
      <c r="AG22" s="809">
        <f t="shared" si="1"/>
        <v>111</v>
      </c>
      <c r="AH22" s="809">
        <f t="shared" si="2"/>
        <v>2331</v>
      </c>
      <c r="AI22" s="131">
        <v>227912</v>
      </c>
      <c r="AJ22" s="148"/>
    </row>
    <row r="23" spans="1:64" s="136" customFormat="1">
      <c r="A23" s="157">
        <v>42203</v>
      </c>
      <c r="B23" s="129" t="s">
        <v>204</v>
      </c>
      <c r="C23" s="841"/>
      <c r="D23" s="994">
        <v>1400</v>
      </c>
      <c r="E23" s="841"/>
      <c r="F23" s="994">
        <v>132</v>
      </c>
      <c r="G23" s="133"/>
      <c r="H23" s="132">
        <v>3150</v>
      </c>
      <c r="I23" s="132"/>
      <c r="J23" s="132">
        <v>0</v>
      </c>
      <c r="K23" s="133">
        <v>1</v>
      </c>
      <c r="L23" s="132">
        <v>2100</v>
      </c>
      <c r="M23" s="133"/>
      <c r="N23" s="132">
        <v>198</v>
      </c>
      <c r="O23" s="635"/>
      <c r="P23" s="636"/>
      <c r="Q23" s="811"/>
      <c r="R23" s="811"/>
      <c r="S23" s="811"/>
      <c r="T23" s="636"/>
      <c r="U23" s="133"/>
      <c r="V23" s="143">
        <v>0</v>
      </c>
      <c r="W23" s="133"/>
      <c r="X23" s="812">
        <v>0</v>
      </c>
      <c r="Y23" s="133"/>
      <c r="Z23" s="995">
        <v>24</v>
      </c>
      <c r="AA23" s="133"/>
      <c r="AB23" s="995">
        <v>16</v>
      </c>
      <c r="AC23" s="133"/>
      <c r="AD23" s="557"/>
      <c r="AE23" s="557"/>
      <c r="AF23" s="809">
        <f t="shared" si="0"/>
        <v>2100</v>
      </c>
      <c r="AG23" s="809">
        <f t="shared" si="1"/>
        <v>105</v>
      </c>
      <c r="AH23" s="809">
        <f t="shared" si="2"/>
        <v>2205</v>
      </c>
      <c r="AI23" s="131">
        <v>227912</v>
      </c>
      <c r="AJ23" s="148"/>
    </row>
    <row r="24" spans="1:64">
      <c r="A24" s="157">
        <v>42203</v>
      </c>
      <c r="B24" s="129" t="s">
        <v>205</v>
      </c>
      <c r="C24" s="841">
        <v>1</v>
      </c>
      <c r="D24" s="994">
        <v>1400</v>
      </c>
      <c r="E24" s="841"/>
      <c r="F24" s="994">
        <v>132</v>
      </c>
      <c r="G24" s="133"/>
      <c r="H24" s="132">
        <v>3150</v>
      </c>
      <c r="I24" s="132"/>
      <c r="J24" s="132">
        <v>0</v>
      </c>
      <c r="K24" s="132"/>
      <c r="L24" s="132">
        <v>2100</v>
      </c>
      <c r="M24" s="133"/>
      <c r="N24" s="132">
        <v>198</v>
      </c>
      <c r="O24" s="635"/>
      <c r="P24" s="636"/>
      <c r="Q24" s="811"/>
      <c r="R24" s="811"/>
      <c r="S24" s="811"/>
      <c r="T24" s="636"/>
      <c r="U24" s="133"/>
      <c r="V24" s="143">
        <v>0</v>
      </c>
      <c r="W24" s="133"/>
      <c r="X24" s="812">
        <v>0</v>
      </c>
      <c r="Y24" s="133"/>
      <c r="Z24" s="995">
        <v>24</v>
      </c>
      <c r="AA24" s="133"/>
      <c r="AB24" s="995">
        <v>16</v>
      </c>
      <c r="AC24" s="133"/>
      <c r="AD24" s="557"/>
      <c r="AE24" s="557"/>
      <c r="AF24" s="809">
        <f t="shared" si="0"/>
        <v>1400</v>
      </c>
      <c r="AG24" s="809">
        <f t="shared" si="1"/>
        <v>70</v>
      </c>
      <c r="AH24" s="809">
        <f t="shared" si="2"/>
        <v>1470</v>
      </c>
      <c r="AI24" s="131">
        <v>227912</v>
      </c>
      <c r="AJ24" s="148"/>
      <c r="AK24" s="136"/>
      <c r="AL24" s="136"/>
      <c r="AM24" s="136"/>
      <c r="AN24" s="136"/>
      <c r="AO24" s="136"/>
      <c r="AP24" s="136"/>
      <c r="AQ24" s="136"/>
      <c r="AR24" s="136"/>
      <c r="AS24" s="136"/>
      <c r="AT24" s="136"/>
      <c r="AU24" s="136"/>
      <c r="AV24" s="136"/>
      <c r="AW24" s="136"/>
      <c r="AX24" s="136"/>
      <c r="AY24" s="136"/>
      <c r="AZ24" s="136"/>
      <c r="BA24" s="136"/>
      <c r="BB24" s="136"/>
      <c r="BC24" s="136"/>
      <c r="BD24" s="136"/>
      <c r="BE24" s="136"/>
      <c r="BF24" s="136"/>
      <c r="BG24" s="136"/>
      <c r="BH24" s="136"/>
      <c r="BI24" s="136"/>
      <c r="BJ24" s="136"/>
      <c r="BK24" s="136"/>
      <c r="BL24" s="136"/>
    </row>
    <row r="25" spans="1:64">
      <c r="A25" s="259">
        <v>42205</v>
      </c>
      <c r="B25" s="317" t="s">
        <v>209</v>
      </c>
      <c r="C25" s="335">
        <v>1</v>
      </c>
      <c r="D25" s="327">
        <v>1400</v>
      </c>
      <c r="E25" s="335"/>
      <c r="F25" s="327">
        <v>132</v>
      </c>
      <c r="G25" s="263"/>
      <c r="H25" s="265">
        <v>3150</v>
      </c>
      <c r="I25" s="265"/>
      <c r="J25" s="265">
        <v>0</v>
      </c>
      <c r="K25" s="265"/>
      <c r="L25" s="265">
        <v>2100</v>
      </c>
      <c r="M25" s="263"/>
      <c r="N25" s="265">
        <v>198</v>
      </c>
      <c r="O25" s="593"/>
      <c r="P25" s="592"/>
      <c r="Q25" s="765"/>
      <c r="R25" s="765"/>
      <c r="S25" s="765"/>
      <c r="T25" s="592"/>
      <c r="U25" s="263"/>
      <c r="V25" s="267">
        <v>0</v>
      </c>
      <c r="W25" s="263"/>
      <c r="X25" s="587">
        <v>0</v>
      </c>
      <c r="Y25" s="263"/>
      <c r="Z25" s="578">
        <v>24</v>
      </c>
      <c r="AA25" s="263"/>
      <c r="AB25" s="578">
        <v>16</v>
      </c>
      <c r="AC25" s="263"/>
      <c r="AD25" s="579"/>
      <c r="AE25" s="579"/>
      <c r="AF25" s="734">
        <f t="shared" si="0"/>
        <v>1400</v>
      </c>
      <c r="AG25" s="585">
        <f t="shared" si="1"/>
        <v>70</v>
      </c>
      <c r="AH25" s="585">
        <f t="shared" si="2"/>
        <v>1470</v>
      </c>
      <c r="AI25" s="266">
        <v>227913</v>
      </c>
    </row>
    <row r="26" spans="1:64">
      <c r="A26" s="259">
        <v>42205</v>
      </c>
      <c r="B26" s="317" t="s">
        <v>210</v>
      </c>
      <c r="C26" s="335"/>
      <c r="D26" s="327">
        <v>1400</v>
      </c>
      <c r="E26" s="335"/>
      <c r="F26" s="327">
        <v>132</v>
      </c>
      <c r="G26" s="263"/>
      <c r="H26" s="265">
        <v>3150</v>
      </c>
      <c r="I26" s="265"/>
      <c r="J26" s="265">
        <v>0</v>
      </c>
      <c r="K26" s="263">
        <v>1</v>
      </c>
      <c r="L26" s="265">
        <v>2100</v>
      </c>
      <c r="M26" s="263">
        <v>1</v>
      </c>
      <c r="N26" s="265">
        <v>198</v>
      </c>
      <c r="O26" s="593"/>
      <c r="P26" s="592"/>
      <c r="Q26" s="765"/>
      <c r="R26" s="765"/>
      <c r="S26" s="765"/>
      <c r="T26" s="592"/>
      <c r="U26" s="263"/>
      <c r="V26" s="267">
        <v>0</v>
      </c>
      <c r="W26" s="263"/>
      <c r="X26" s="587">
        <v>0</v>
      </c>
      <c r="Y26" s="263">
        <v>5</v>
      </c>
      <c r="Z26" s="578">
        <v>24</v>
      </c>
      <c r="AA26" s="263">
        <v>5</v>
      </c>
      <c r="AB26" s="578">
        <v>16</v>
      </c>
      <c r="AC26" s="263"/>
      <c r="AD26" s="579"/>
      <c r="AE26" s="579"/>
      <c r="AF26" s="734">
        <f t="shared" si="0"/>
        <v>2498</v>
      </c>
      <c r="AG26" s="585">
        <f t="shared" si="1"/>
        <v>124.9</v>
      </c>
      <c r="AH26" s="585">
        <f t="shared" si="2"/>
        <v>2622.9</v>
      </c>
      <c r="AI26" s="266">
        <v>227913</v>
      </c>
    </row>
    <row r="27" spans="1:64">
      <c r="A27" s="259">
        <v>42206</v>
      </c>
      <c r="B27" s="317" t="s">
        <v>217</v>
      </c>
      <c r="C27" s="335">
        <v>1</v>
      </c>
      <c r="D27" s="327">
        <v>1400</v>
      </c>
      <c r="E27" s="335"/>
      <c r="F27" s="327">
        <v>132</v>
      </c>
      <c r="G27" s="263"/>
      <c r="H27" s="265">
        <v>3150</v>
      </c>
      <c r="I27" s="265"/>
      <c r="J27" s="265">
        <v>0</v>
      </c>
      <c r="K27" s="265"/>
      <c r="L27" s="265">
        <v>2100</v>
      </c>
      <c r="M27" s="263"/>
      <c r="N27" s="265">
        <v>198</v>
      </c>
      <c r="O27" s="593"/>
      <c r="P27" s="592"/>
      <c r="Q27" s="765"/>
      <c r="R27" s="765"/>
      <c r="S27" s="765"/>
      <c r="T27" s="592"/>
      <c r="U27" s="263"/>
      <c r="V27" s="267">
        <v>0</v>
      </c>
      <c r="W27" s="263"/>
      <c r="X27" s="587">
        <v>0</v>
      </c>
      <c r="Y27" s="263"/>
      <c r="Z27" s="578">
        <v>24</v>
      </c>
      <c r="AA27" s="263"/>
      <c r="AB27" s="578">
        <v>16</v>
      </c>
      <c r="AC27" s="263"/>
      <c r="AD27" s="579"/>
      <c r="AE27" s="579"/>
      <c r="AF27" s="734">
        <f t="shared" si="0"/>
        <v>1400</v>
      </c>
      <c r="AG27" s="585">
        <f t="shared" si="1"/>
        <v>70</v>
      </c>
      <c r="AH27" s="585">
        <f t="shared" si="2"/>
        <v>1470</v>
      </c>
      <c r="AI27" s="266">
        <v>227913</v>
      </c>
    </row>
    <row r="28" spans="1:64">
      <c r="A28" s="259">
        <v>42206</v>
      </c>
      <c r="B28" s="317" t="s">
        <v>218</v>
      </c>
      <c r="C28" s="335"/>
      <c r="D28" s="327">
        <v>1400</v>
      </c>
      <c r="E28" s="335"/>
      <c r="F28" s="327">
        <v>132</v>
      </c>
      <c r="G28" s="263"/>
      <c r="H28" s="265">
        <v>3150</v>
      </c>
      <c r="I28" s="265"/>
      <c r="J28" s="265">
        <v>0</v>
      </c>
      <c r="K28" s="263">
        <v>1</v>
      </c>
      <c r="L28" s="265">
        <v>1050</v>
      </c>
      <c r="M28" s="263"/>
      <c r="N28" s="265">
        <v>198</v>
      </c>
      <c r="O28" s="593"/>
      <c r="P28" s="592"/>
      <c r="Q28" s="765"/>
      <c r="R28" s="765"/>
      <c r="S28" s="765"/>
      <c r="T28" s="592"/>
      <c r="U28" s="263"/>
      <c r="V28" s="267">
        <v>0</v>
      </c>
      <c r="W28" s="263"/>
      <c r="X28" s="587">
        <v>0</v>
      </c>
      <c r="Y28" s="263"/>
      <c r="Z28" s="578">
        <v>24</v>
      </c>
      <c r="AA28" s="263"/>
      <c r="AB28" s="578">
        <v>16</v>
      </c>
      <c r="AC28" s="263"/>
      <c r="AD28" s="579"/>
      <c r="AE28" s="579"/>
      <c r="AF28" s="734">
        <f t="shared" si="0"/>
        <v>1050</v>
      </c>
      <c r="AG28" s="585">
        <f t="shared" si="1"/>
        <v>52.5</v>
      </c>
      <c r="AH28" s="585">
        <f t="shared" si="2"/>
        <v>1102.5</v>
      </c>
      <c r="AI28" s="266">
        <v>227913</v>
      </c>
    </row>
    <row r="29" spans="1:64">
      <c r="A29" s="259">
        <v>42207</v>
      </c>
      <c r="B29" s="317" t="s">
        <v>221</v>
      </c>
      <c r="C29" s="335">
        <v>1</v>
      </c>
      <c r="D29" s="327">
        <v>1400</v>
      </c>
      <c r="E29" s="335"/>
      <c r="F29" s="327">
        <v>132</v>
      </c>
      <c r="G29" s="263"/>
      <c r="H29" s="265">
        <v>3150</v>
      </c>
      <c r="I29" s="265"/>
      <c r="J29" s="265">
        <v>0</v>
      </c>
      <c r="K29" s="265"/>
      <c r="L29" s="265">
        <v>2100</v>
      </c>
      <c r="M29" s="263"/>
      <c r="N29" s="265">
        <v>198</v>
      </c>
      <c r="O29" s="593"/>
      <c r="P29" s="592"/>
      <c r="Q29" s="765"/>
      <c r="R29" s="765"/>
      <c r="S29" s="765"/>
      <c r="T29" s="592"/>
      <c r="U29" s="263"/>
      <c r="V29" s="267">
        <v>0</v>
      </c>
      <c r="W29" s="263"/>
      <c r="X29" s="587">
        <v>0</v>
      </c>
      <c r="Y29" s="263"/>
      <c r="Z29" s="578">
        <v>24</v>
      </c>
      <c r="AA29" s="263"/>
      <c r="AB29" s="578">
        <v>16</v>
      </c>
      <c r="AC29" s="263"/>
      <c r="AD29" s="579"/>
      <c r="AE29" s="579"/>
      <c r="AF29" s="734">
        <f t="shared" si="0"/>
        <v>1400</v>
      </c>
      <c r="AG29" s="585">
        <f t="shared" si="1"/>
        <v>70</v>
      </c>
      <c r="AH29" s="585">
        <f t="shared" si="2"/>
        <v>1470</v>
      </c>
      <c r="AI29" s="266">
        <v>227913</v>
      </c>
    </row>
    <row r="30" spans="1:64">
      <c r="A30" s="259">
        <v>42207</v>
      </c>
      <c r="B30" s="317" t="s">
        <v>220</v>
      </c>
      <c r="C30" s="335"/>
      <c r="D30" s="327">
        <v>1400</v>
      </c>
      <c r="E30" s="335"/>
      <c r="F30" s="327">
        <v>132</v>
      </c>
      <c r="G30" s="263"/>
      <c r="H30" s="265">
        <v>3150</v>
      </c>
      <c r="I30" s="265"/>
      <c r="J30" s="265">
        <v>0</v>
      </c>
      <c r="K30" s="263">
        <v>1</v>
      </c>
      <c r="L30" s="265">
        <v>2100</v>
      </c>
      <c r="M30" s="263">
        <v>0.5</v>
      </c>
      <c r="N30" s="265">
        <v>198</v>
      </c>
      <c r="O30" s="593"/>
      <c r="P30" s="592"/>
      <c r="Q30" s="765"/>
      <c r="R30" s="765"/>
      <c r="S30" s="765"/>
      <c r="T30" s="592"/>
      <c r="U30" s="263"/>
      <c r="V30" s="267">
        <v>0</v>
      </c>
      <c r="W30" s="263"/>
      <c r="X30" s="587">
        <v>0</v>
      </c>
      <c r="Y30" s="263">
        <v>10</v>
      </c>
      <c r="Z30" s="578">
        <v>24</v>
      </c>
      <c r="AA30" s="263">
        <v>6</v>
      </c>
      <c r="AB30" s="578">
        <v>16</v>
      </c>
      <c r="AC30" s="263"/>
      <c r="AD30" s="579"/>
      <c r="AE30" s="579"/>
      <c r="AF30" s="734">
        <f t="shared" si="0"/>
        <v>2535</v>
      </c>
      <c r="AG30" s="585">
        <f t="shared" si="1"/>
        <v>126.75</v>
      </c>
      <c r="AH30" s="585">
        <f t="shared" si="2"/>
        <v>2661.75</v>
      </c>
      <c r="AI30" s="266">
        <v>227913</v>
      </c>
      <c r="AJ30" s="966" t="s">
        <v>852</v>
      </c>
    </row>
    <row r="31" spans="1:64">
      <c r="A31" s="259">
        <v>42208</v>
      </c>
      <c r="B31" s="317" t="s">
        <v>229</v>
      </c>
      <c r="C31" s="335">
        <v>1</v>
      </c>
      <c r="D31" s="327">
        <v>1400</v>
      </c>
      <c r="E31" s="335"/>
      <c r="F31" s="327">
        <v>132</v>
      </c>
      <c r="G31" s="263"/>
      <c r="H31" s="265">
        <v>3150</v>
      </c>
      <c r="I31" s="265"/>
      <c r="J31" s="265">
        <v>0</v>
      </c>
      <c r="K31" s="265"/>
      <c r="L31" s="265">
        <v>2100</v>
      </c>
      <c r="M31" s="263"/>
      <c r="N31" s="265">
        <v>198</v>
      </c>
      <c r="O31" s="593"/>
      <c r="P31" s="592"/>
      <c r="Q31" s="765"/>
      <c r="R31" s="765"/>
      <c r="S31" s="765"/>
      <c r="T31" s="592"/>
      <c r="U31" s="263"/>
      <c r="V31" s="267">
        <v>0</v>
      </c>
      <c r="W31" s="263"/>
      <c r="X31" s="587">
        <v>0</v>
      </c>
      <c r="Y31" s="263"/>
      <c r="Z31" s="578">
        <v>24</v>
      </c>
      <c r="AA31" s="263"/>
      <c r="AB31" s="578">
        <v>16</v>
      </c>
      <c r="AC31" s="263"/>
      <c r="AD31" s="579"/>
      <c r="AE31" s="579"/>
      <c r="AF31" s="734">
        <f t="shared" si="0"/>
        <v>1400</v>
      </c>
      <c r="AG31" s="585">
        <f t="shared" si="1"/>
        <v>70</v>
      </c>
      <c r="AH31" s="585">
        <f t="shared" si="2"/>
        <v>1470</v>
      </c>
      <c r="AI31" s="266">
        <v>227913</v>
      </c>
    </row>
    <row r="32" spans="1:64">
      <c r="A32" s="259">
        <v>42208</v>
      </c>
      <c r="B32" s="317" t="s">
        <v>230</v>
      </c>
      <c r="C32" s="335"/>
      <c r="D32" s="327">
        <v>1400</v>
      </c>
      <c r="E32" s="335"/>
      <c r="F32" s="327">
        <v>132</v>
      </c>
      <c r="G32" s="263"/>
      <c r="H32" s="265">
        <v>3150</v>
      </c>
      <c r="I32" s="265"/>
      <c r="J32" s="265">
        <v>0</v>
      </c>
      <c r="K32" s="263">
        <v>1</v>
      </c>
      <c r="L32" s="265">
        <v>2100</v>
      </c>
      <c r="M32" s="263"/>
      <c r="N32" s="265">
        <v>198</v>
      </c>
      <c r="O32" s="593"/>
      <c r="P32" s="592"/>
      <c r="Q32" s="765"/>
      <c r="R32" s="765"/>
      <c r="S32" s="765"/>
      <c r="T32" s="592"/>
      <c r="U32" s="263"/>
      <c r="V32" s="267">
        <v>0</v>
      </c>
      <c r="W32" s="263"/>
      <c r="X32" s="587">
        <v>0</v>
      </c>
      <c r="Y32" s="263">
        <v>4</v>
      </c>
      <c r="Z32" s="578">
        <v>24</v>
      </c>
      <c r="AA32" s="263">
        <v>9</v>
      </c>
      <c r="AB32" s="578">
        <v>16</v>
      </c>
      <c r="AC32" s="263"/>
      <c r="AD32" s="579"/>
      <c r="AE32" s="579"/>
      <c r="AF32" s="734">
        <f t="shared" si="0"/>
        <v>2340</v>
      </c>
      <c r="AG32" s="585">
        <f t="shared" si="1"/>
        <v>117</v>
      </c>
      <c r="AH32" s="585">
        <f t="shared" si="2"/>
        <v>2457</v>
      </c>
      <c r="AI32" s="266">
        <v>227913</v>
      </c>
    </row>
    <row r="33" spans="1:64">
      <c r="A33" s="259">
        <v>42209</v>
      </c>
      <c r="B33" s="317" t="s">
        <v>231</v>
      </c>
      <c r="C33" s="335">
        <v>1</v>
      </c>
      <c r="D33" s="327">
        <v>1400</v>
      </c>
      <c r="E33" s="335"/>
      <c r="F33" s="327">
        <v>132</v>
      </c>
      <c r="G33" s="263"/>
      <c r="H33" s="265">
        <v>3150</v>
      </c>
      <c r="I33" s="265"/>
      <c r="J33" s="265">
        <v>0</v>
      </c>
      <c r="K33" s="265"/>
      <c r="L33" s="265">
        <v>2100</v>
      </c>
      <c r="M33" s="263"/>
      <c r="N33" s="265">
        <v>198</v>
      </c>
      <c r="O33" s="593"/>
      <c r="P33" s="592"/>
      <c r="Q33" s="765"/>
      <c r="R33" s="765"/>
      <c r="S33" s="765"/>
      <c r="T33" s="592"/>
      <c r="U33" s="263"/>
      <c r="V33" s="267">
        <v>0</v>
      </c>
      <c r="W33" s="263"/>
      <c r="X33" s="587">
        <v>0</v>
      </c>
      <c r="Y33" s="263"/>
      <c r="Z33" s="578">
        <v>24</v>
      </c>
      <c r="AA33" s="263"/>
      <c r="AB33" s="578">
        <v>16</v>
      </c>
      <c r="AC33" s="263"/>
      <c r="AD33" s="579"/>
      <c r="AE33" s="579"/>
      <c r="AF33" s="734">
        <f t="shared" si="0"/>
        <v>1400</v>
      </c>
      <c r="AG33" s="585">
        <f t="shared" si="1"/>
        <v>70</v>
      </c>
      <c r="AH33" s="585">
        <f t="shared" si="2"/>
        <v>1470</v>
      </c>
      <c r="AI33" s="266">
        <v>227913</v>
      </c>
    </row>
    <row r="34" spans="1:64">
      <c r="A34" s="259">
        <v>42209</v>
      </c>
      <c r="B34" s="317" t="s">
        <v>232</v>
      </c>
      <c r="C34" s="335"/>
      <c r="D34" s="327">
        <v>1400</v>
      </c>
      <c r="E34" s="335"/>
      <c r="F34" s="327">
        <v>132</v>
      </c>
      <c r="G34" s="263"/>
      <c r="H34" s="265">
        <v>3150</v>
      </c>
      <c r="I34" s="265"/>
      <c r="J34" s="265">
        <v>0</v>
      </c>
      <c r="K34" s="263">
        <v>1</v>
      </c>
      <c r="L34" s="265">
        <v>2100</v>
      </c>
      <c r="M34" s="263"/>
      <c r="N34" s="265">
        <v>198</v>
      </c>
      <c r="O34" s="593"/>
      <c r="P34" s="592"/>
      <c r="Q34" s="765"/>
      <c r="R34" s="765"/>
      <c r="S34" s="765"/>
      <c r="T34" s="592"/>
      <c r="U34" s="263"/>
      <c r="V34" s="267">
        <v>0</v>
      </c>
      <c r="W34" s="263"/>
      <c r="X34" s="587">
        <v>0</v>
      </c>
      <c r="Y34" s="263">
        <v>6</v>
      </c>
      <c r="Z34" s="578">
        <v>24</v>
      </c>
      <c r="AA34" s="263">
        <v>6</v>
      </c>
      <c r="AB34" s="578">
        <v>16</v>
      </c>
      <c r="AC34" s="263"/>
      <c r="AD34" s="579"/>
      <c r="AE34" s="579"/>
      <c r="AF34" s="734">
        <f t="shared" si="0"/>
        <v>2340</v>
      </c>
      <c r="AG34" s="585">
        <f t="shared" si="1"/>
        <v>117</v>
      </c>
      <c r="AH34" s="585">
        <f t="shared" si="2"/>
        <v>2457</v>
      </c>
      <c r="AI34" s="266">
        <v>227913</v>
      </c>
    </row>
    <row r="35" spans="1:64">
      <c r="A35" s="259">
        <v>42210</v>
      </c>
      <c r="B35" s="317" t="s">
        <v>237</v>
      </c>
      <c r="C35" s="335">
        <v>1</v>
      </c>
      <c r="D35" s="327">
        <v>1400</v>
      </c>
      <c r="E35" s="335"/>
      <c r="F35" s="327">
        <v>132</v>
      </c>
      <c r="G35" s="263"/>
      <c r="H35" s="265">
        <v>3150</v>
      </c>
      <c r="I35" s="265"/>
      <c r="J35" s="265">
        <v>0</v>
      </c>
      <c r="K35" s="265"/>
      <c r="L35" s="265">
        <v>2100</v>
      </c>
      <c r="M35" s="263"/>
      <c r="N35" s="265">
        <v>198</v>
      </c>
      <c r="O35" s="593"/>
      <c r="P35" s="592"/>
      <c r="Q35" s="765"/>
      <c r="R35" s="765"/>
      <c r="S35" s="765"/>
      <c r="T35" s="592"/>
      <c r="U35" s="263"/>
      <c r="V35" s="267">
        <v>0</v>
      </c>
      <c r="W35" s="263"/>
      <c r="X35" s="587">
        <v>0</v>
      </c>
      <c r="Y35" s="263"/>
      <c r="Z35" s="578">
        <v>24</v>
      </c>
      <c r="AA35" s="263"/>
      <c r="AB35" s="578">
        <v>16</v>
      </c>
      <c r="AC35" s="263"/>
      <c r="AD35" s="579"/>
      <c r="AE35" s="579"/>
      <c r="AF35" s="734">
        <f t="shared" si="0"/>
        <v>1400</v>
      </c>
      <c r="AG35" s="585">
        <f t="shared" si="1"/>
        <v>70</v>
      </c>
      <c r="AH35" s="585">
        <f t="shared" si="2"/>
        <v>1470</v>
      </c>
      <c r="AI35" s="266">
        <v>227913</v>
      </c>
    </row>
    <row r="36" spans="1:64">
      <c r="A36" s="259">
        <v>42210</v>
      </c>
      <c r="B36" s="317" t="s">
        <v>238</v>
      </c>
      <c r="C36" s="335"/>
      <c r="D36" s="327">
        <v>1400</v>
      </c>
      <c r="E36" s="335"/>
      <c r="F36" s="327">
        <v>132</v>
      </c>
      <c r="G36" s="263">
        <v>1</v>
      </c>
      <c r="H36" s="265">
        <v>3150</v>
      </c>
      <c r="I36" s="265"/>
      <c r="J36" s="265">
        <v>0</v>
      </c>
      <c r="K36" s="263"/>
      <c r="L36" s="265">
        <v>2100</v>
      </c>
      <c r="M36" s="263"/>
      <c r="N36" s="265">
        <v>198</v>
      </c>
      <c r="O36" s="593"/>
      <c r="P36" s="592"/>
      <c r="Q36" s="765"/>
      <c r="R36" s="765"/>
      <c r="S36" s="765"/>
      <c r="T36" s="592"/>
      <c r="U36" s="263"/>
      <c r="V36" s="267">
        <v>0</v>
      </c>
      <c r="W36" s="263"/>
      <c r="X36" s="587">
        <v>0</v>
      </c>
      <c r="Y36" s="263"/>
      <c r="Z36" s="578">
        <v>24</v>
      </c>
      <c r="AA36" s="263">
        <v>31</v>
      </c>
      <c r="AB36" s="578">
        <v>16</v>
      </c>
      <c r="AC36" s="263"/>
      <c r="AD36" s="579"/>
      <c r="AE36" s="579"/>
      <c r="AF36" s="734">
        <f t="shared" si="0"/>
        <v>3646</v>
      </c>
      <c r="AG36" s="585">
        <f t="shared" si="1"/>
        <v>182.3</v>
      </c>
      <c r="AH36" s="585">
        <f t="shared" si="2"/>
        <v>3828.3</v>
      </c>
      <c r="AI36" s="266">
        <v>227913</v>
      </c>
    </row>
    <row r="37" spans="1:64" s="559" customFormat="1">
      <c r="A37" s="259">
        <v>42210</v>
      </c>
      <c r="B37" s="317" t="s">
        <v>236</v>
      </c>
      <c r="C37" s="335"/>
      <c r="D37" s="327">
        <v>1400</v>
      </c>
      <c r="E37" s="335"/>
      <c r="F37" s="327">
        <v>132</v>
      </c>
      <c r="G37" s="263"/>
      <c r="H37" s="265">
        <v>3150</v>
      </c>
      <c r="I37" s="265"/>
      <c r="J37" s="265">
        <v>0</v>
      </c>
      <c r="K37" s="263">
        <v>1</v>
      </c>
      <c r="L37" s="265">
        <v>2100</v>
      </c>
      <c r="M37" s="263"/>
      <c r="N37" s="265">
        <v>198</v>
      </c>
      <c r="O37" s="593"/>
      <c r="P37" s="592"/>
      <c r="Q37" s="765"/>
      <c r="R37" s="765"/>
      <c r="S37" s="765"/>
      <c r="T37" s="592"/>
      <c r="U37" s="263"/>
      <c r="V37" s="267">
        <v>0</v>
      </c>
      <c r="W37" s="263"/>
      <c r="X37" s="587">
        <v>0</v>
      </c>
      <c r="Y37" s="263">
        <v>6</v>
      </c>
      <c r="Z37" s="578">
        <v>24</v>
      </c>
      <c r="AA37" s="263">
        <v>4</v>
      </c>
      <c r="AB37" s="578">
        <v>16</v>
      </c>
      <c r="AC37" s="263"/>
      <c r="AD37" s="579"/>
      <c r="AE37" s="579"/>
      <c r="AF37" s="734">
        <f t="shared" si="0"/>
        <v>2308</v>
      </c>
      <c r="AG37" s="585">
        <f t="shared" si="1"/>
        <v>115.4</v>
      </c>
      <c r="AH37" s="585">
        <f t="shared" si="2"/>
        <v>2423.4</v>
      </c>
      <c r="AI37" s="266">
        <v>227913</v>
      </c>
      <c r="AJ37" s="316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</row>
    <row r="38" spans="1:64" s="559" customFormat="1">
      <c r="A38" s="695">
        <v>42212</v>
      </c>
      <c r="B38" s="696" t="s">
        <v>246</v>
      </c>
      <c r="C38" s="697">
        <v>1</v>
      </c>
      <c r="D38" s="698">
        <v>1400</v>
      </c>
      <c r="E38" s="697">
        <v>0</v>
      </c>
      <c r="F38" s="698">
        <v>132</v>
      </c>
      <c r="G38" s="701"/>
      <c r="H38" s="700">
        <v>3150</v>
      </c>
      <c r="I38" s="700"/>
      <c r="J38" s="700">
        <v>0</v>
      </c>
      <c r="K38" s="700"/>
      <c r="L38" s="700">
        <v>2100</v>
      </c>
      <c r="M38" s="701"/>
      <c r="N38" s="700">
        <v>198</v>
      </c>
      <c r="O38" s="692"/>
      <c r="P38" s="689"/>
      <c r="Q38" s="764"/>
      <c r="R38" s="764"/>
      <c r="S38" s="764"/>
      <c r="T38" s="689"/>
      <c r="U38" s="701"/>
      <c r="V38" s="702">
        <v>0</v>
      </c>
      <c r="W38" s="701">
        <v>1</v>
      </c>
      <c r="X38" s="623">
        <v>0</v>
      </c>
      <c r="Y38" s="701"/>
      <c r="Z38" s="703">
        <v>24</v>
      </c>
      <c r="AA38" s="701"/>
      <c r="AB38" s="703">
        <v>16</v>
      </c>
      <c r="AC38" s="701"/>
      <c r="AD38" s="704"/>
      <c r="AE38" s="704"/>
      <c r="AF38" s="622">
        <f t="shared" si="0"/>
        <v>1400</v>
      </c>
      <c r="AG38" s="622">
        <f t="shared" si="1"/>
        <v>70</v>
      </c>
      <c r="AH38" s="622">
        <f t="shared" si="2"/>
        <v>1470</v>
      </c>
      <c r="AI38" s="699">
        <v>227914</v>
      </c>
      <c r="AJ38" s="626"/>
    </row>
    <row r="39" spans="1:64" s="559" customFormat="1">
      <c r="A39" s="695">
        <v>42212</v>
      </c>
      <c r="B39" s="696" t="s">
        <v>247</v>
      </c>
      <c r="C39" s="697"/>
      <c r="D39" s="698">
        <v>1400</v>
      </c>
      <c r="E39" s="697"/>
      <c r="F39" s="698">
        <v>132</v>
      </c>
      <c r="G39" s="701">
        <v>1</v>
      </c>
      <c r="H39" s="700">
        <v>3150</v>
      </c>
      <c r="I39" s="700">
        <v>1</v>
      </c>
      <c r="J39" s="700">
        <v>840</v>
      </c>
      <c r="K39" s="701"/>
      <c r="L39" s="700">
        <v>2100</v>
      </c>
      <c r="M39" s="701"/>
      <c r="N39" s="700">
        <v>198</v>
      </c>
      <c r="O39" s="692"/>
      <c r="P39" s="689"/>
      <c r="Q39" s="764"/>
      <c r="R39" s="764"/>
      <c r="S39" s="764"/>
      <c r="T39" s="689"/>
      <c r="U39" s="701"/>
      <c r="V39" s="702">
        <v>0</v>
      </c>
      <c r="W39" s="701">
        <v>1</v>
      </c>
      <c r="X39" s="623">
        <v>0</v>
      </c>
      <c r="Y39" s="701"/>
      <c r="Z39" s="703">
        <v>24</v>
      </c>
      <c r="AA39" s="701">
        <v>53</v>
      </c>
      <c r="AB39" s="703">
        <v>16</v>
      </c>
      <c r="AC39" s="701"/>
      <c r="AD39" s="704"/>
      <c r="AE39" s="704"/>
      <c r="AF39" s="622">
        <f t="shared" si="0"/>
        <v>4838</v>
      </c>
      <c r="AG39" s="622">
        <f t="shared" si="1"/>
        <v>241.9</v>
      </c>
      <c r="AH39" s="622">
        <f t="shared" si="2"/>
        <v>5079.8999999999996</v>
      </c>
      <c r="AI39" s="699">
        <v>227914</v>
      </c>
      <c r="AJ39" s="626"/>
    </row>
    <row r="40" spans="1:64" s="559" customFormat="1">
      <c r="A40" s="695">
        <v>42212</v>
      </c>
      <c r="B40" s="696" t="s">
        <v>248</v>
      </c>
      <c r="C40" s="697"/>
      <c r="D40" s="698">
        <v>1400</v>
      </c>
      <c r="E40" s="697"/>
      <c r="F40" s="698">
        <v>132</v>
      </c>
      <c r="G40" s="701"/>
      <c r="H40" s="700">
        <v>3990</v>
      </c>
      <c r="I40" s="700"/>
      <c r="J40" s="700">
        <v>0</v>
      </c>
      <c r="K40" s="701">
        <v>1</v>
      </c>
      <c r="L40" s="700">
        <v>2100</v>
      </c>
      <c r="M40" s="701"/>
      <c r="N40" s="700">
        <v>198</v>
      </c>
      <c r="O40" s="692"/>
      <c r="P40" s="689"/>
      <c r="Q40" s="764"/>
      <c r="R40" s="764"/>
      <c r="S40" s="764"/>
      <c r="T40" s="689"/>
      <c r="U40" s="701"/>
      <c r="V40" s="702">
        <v>0</v>
      </c>
      <c r="W40" s="701"/>
      <c r="X40" s="623">
        <v>0</v>
      </c>
      <c r="Y40" s="701">
        <v>3</v>
      </c>
      <c r="Z40" s="703">
        <v>24</v>
      </c>
      <c r="AA40" s="701">
        <v>5</v>
      </c>
      <c r="AB40" s="703">
        <v>16</v>
      </c>
      <c r="AC40" s="701"/>
      <c r="AD40" s="704"/>
      <c r="AE40" s="704"/>
      <c r="AF40" s="622">
        <f t="shared" si="0"/>
        <v>2252</v>
      </c>
      <c r="AG40" s="622">
        <f t="shared" si="1"/>
        <v>112.60000000000001</v>
      </c>
      <c r="AH40" s="622">
        <f t="shared" si="2"/>
        <v>2364.6</v>
      </c>
      <c r="AI40" s="699">
        <v>227914</v>
      </c>
      <c r="AJ40" s="626"/>
    </row>
    <row r="41" spans="1:64" s="559" customFormat="1">
      <c r="A41" s="695">
        <v>42212</v>
      </c>
      <c r="B41" s="696" t="s">
        <v>853</v>
      </c>
      <c r="C41" s="697"/>
      <c r="D41" s="698">
        <v>1400</v>
      </c>
      <c r="E41" s="697"/>
      <c r="F41" s="698">
        <v>132</v>
      </c>
      <c r="G41" s="701"/>
      <c r="H41" s="700">
        <v>3150</v>
      </c>
      <c r="I41" s="700"/>
      <c r="J41" s="700">
        <v>0</v>
      </c>
      <c r="K41" s="701">
        <v>1</v>
      </c>
      <c r="L41" s="700">
        <v>2100</v>
      </c>
      <c r="M41" s="701"/>
      <c r="N41" s="700">
        <v>198</v>
      </c>
      <c r="O41" s="692"/>
      <c r="P41" s="689"/>
      <c r="Q41" s="764"/>
      <c r="R41" s="764"/>
      <c r="S41" s="764"/>
      <c r="T41" s="689"/>
      <c r="U41" s="701"/>
      <c r="V41" s="702">
        <v>0</v>
      </c>
      <c r="W41" s="701"/>
      <c r="X41" s="623">
        <v>0</v>
      </c>
      <c r="Y41" s="701">
        <v>2</v>
      </c>
      <c r="Z41" s="703">
        <v>24</v>
      </c>
      <c r="AA41" s="701">
        <v>2</v>
      </c>
      <c r="AB41" s="703">
        <v>16</v>
      </c>
      <c r="AC41" s="701"/>
      <c r="AD41" s="704"/>
      <c r="AE41" s="704"/>
      <c r="AF41" s="622">
        <f t="shared" si="0"/>
        <v>2180</v>
      </c>
      <c r="AG41" s="622">
        <f t="shared" si="1"/>
        <v>109</v>
      </c>
      <c r="AH41" s="622">
        <f t="shared" si="2"/>
        <v>2289</v>
      </c>
      <c r="AI41" s="699">
        <v>227914</v>
      </c>
      <c r="AJ41" s="626"/>
    </row>
    <row r="42" spans="1:64" s="559" customFormat="1">
      <c r="A42" s="695">
        <v>42213</v>
      </c>
      <c r="B42" s="696" t="s">
        <v>249</v>
      </c>
      <c r="C42" s="697">
        <v>1</v>
      </c>
      <c r="D42" s="698">
        <v>1400</v>
      </c>
      <c r="E42" s="697">
        <v>1</v>
      </c>
      <c r="F42" s="698">
        <v>132</v>
      </c>
      <c r="G42" s="701"/>
      <c r="H42" s="700">
        <v>3150</v>
      </c>
      <c r="I42" s="700"/>
      <c r="J42" s="700">
        <v>0</v>
      </c>
      <c r="K42" s="700"/>
      <c r="L42" s="700">
        <v>2100</v>
      </c>
      <c r="M42" s="701"/>
      <c r="N42" s="700">
        <v>198</v>
      </c>
      <c r="O42" s="692"/>
      <c r="P42" s="689"/>
      <c r="Q42" s="764"/>
      <c r="R42" s="764"/>
      <c r="S42" s="764"/>
      <c r="T42" s="689"/>
      <c r="U42" s="701"/>
      <c r="V42" s="702">
        <v>0</v>
      </c>
      <c r="W42" s="701">
        <v>1</v>
      </c>
      <c r="X42" s="623">
        <v>0</v>
      </c>
      <c r="Y42" s="701"/>
      <c r="Z42" s="703">
        <v>24</v>
      </c>
      <c r="AA42" s="701"/>
      <c r="AB42" s="703">
        <v>16</v>
      </c>
      <c r="AC42" s="701"/>
      <c r="AD42" s="704"/>
      <c r="AE42" s="704"/>
      <c r="AF42" s="622">
        <f t="shared" si="0"/>
        <v>1532</v>
      </c>
      <c r="AG42" s="622">
        <f t="shared" si="1"/>
        <v>76.600000000000009</v>
      </c>
      <c r="AH42" s="622">
        <f t="shared" si="2"/>
        <v>1608.6</v>
      </c>
      <c r="AI42" s="699">
        <v>227914</v>
      </c>
      <c r="AJ42" s="626"/>
    </row>
    <row r="43" spans="1:64" s="559" customFormat="1">
      <c r="A43" s="695">
        <v>42213</v>
      </c>
      <c r="B43" s="696" t="s">
        <v>250</v>
      </c>
      <c r="C43" s="697"/>
      <c r="D43" s="698">
        <v>1400</v>
      </c>
      <c r="E43" s="697"/>
      <c r="F43" s="698">
        <v>132</v>
      </c>
      <c r="G43" s="701">
        <v>1</v>
      </c>
      <c r="H43" s="700">
        <v>3150</v>
      </c>
      <c r="I43" s="700"/>
      <c r="J43" s="700">
        <v>0</v>
      </c>
      <c r="K43" s="700"/>
      <c r="L43" s="700">
        <v>2100</v>
      </c>
      <c r="M43" s="701"/>
      <c r="N43" s="700">
        <v>198</v>
      </c>
      <c r="O43" s="692"/>
      <c r="P43" s="689"/>
      <c r="Q43" s="764"/>
      <c r="R43" s="764"/>
      <c r="S43" s="764"/>
      <c r="T43" s="689"/>
      <c r="U43" s="701"/>
      <c r="V43" s="702">
        <v>0</v>
      </c>
      <c r="W43" s="701">
        <v>1</v>
      </c>
      <c r="X43" s="623">
        <v>0</v>
      </c>
      <c r="Y43" s="701"/>
      <c r="Z43" s="703">
        <v>24</v>
      </c>
      <c r="AA43" s="701">
        <v>64</v>
      </c>
      <c r="AB43" s="703">
        <v>16</v>
      </c>
      <c r="AC43" s="701"/>
      <c r="AD43" s="704"/>
      <c r="AE43" s="704"/>
      <c r="AF43" s="622">
        <f t="shared" si="0"/>
        <v>4174</v>
      </c>
      <c r="AG43" s="622">
        <f t="shared" si="1"/>
        <v>208.70000000000002</v>
      </c>
      <c r="AH43" s="622">
        <f t="shared" si="2"/>
        <v>4382.7</v>
      </c>
      <c r="AI43" s="699">
        <v>227914</v>
      </c>
      <c r="AJ43" s="626"/>
    </row>
    <row r="44" spans="1:64" s="559" customFormat="1">
      <c r="A44" s="695">
        <v>42213</v>
      </c>
      <c r="B44" s="696" t="s">
        <v>251</v>
      </c>
      <c r="C44" s="697"/>
      <c r="D44" s="698">
        <v>1400</v>
      </c>
      <c r="E44" s="697"/>
      <c r="F44" s="698">
        <v>132</v>
      </c>
      <c r="G44" s="701"/>
      <c r="H44" s="700">
        <v>3150</v>
      </c>
      <c r="I44" s="700"/>
      <c r="J44" s="700">
        <v>0</v>
      </c>
      <c r="K44" s="701">
        <v>1</v>
      </c>
      <c r="L44" s="700">
        <v>2100</v>
      </c>
      <c r="M44" s="701"/>
      <c r="N44" s="700">
        <v>198</v>
      </c>
      <c r="O44" s="692"/>
      <c r="P44" s="689"/>
      <c r="Q44" s="764"/>
      <c r="R44" s="764"/>
      <c r="S44" s="764"/>
      <c r="T44" s="689"/>
      <c r="U44" s="701"/>
      <c r="V44" s="702">
        <v>0</v>
      </c>
      <c r="W44" s="701"/>
      <c r="X44" s="623">
        <v>0</v>
      </c>
      <c r="Y44" s="701">
        <v>4</v>
      </c>
      <c r="Z44" s="703">
        <v>24</v>
      </c>
      <c r="AA44" s="701">
        <v>5</v>
      </c>
      <c r="AB44" s="703">
        <v>16</v>
      </c>
      <c r="AC44" s="701"/>
      <c r="AD44" s="704"/>
      <c r="AE44" s="704"/>
      <c r="AF44" s="622">
        <f t="shared" si="0"/>
        <v>2276</v>
      </c>
      <c r="AG44" s="622">
        <f t="shared" si="1"/>
        <v>113.80000000000001</v>
      </c>
      <c r="AH44" s="622">
        <f t="shared" si="2"/>
        <v>2389.8000000000002</v>
      </c>
      <c r="AI44" s="699">
        <v>227914</v>
      </c>
      <c r="AJ44" s="626"/>
    </row>
    <row r="45" spans="1:64" s="559" customFormat="1">
      <c r="A45" s="695">
        <v>42213</v>
      </c>
      <c r="B45" s="696" t="s">
        <v>252</v>
      </c>
      <c r="C45" s="697"/>
      <c r="D45" s="698">
        <v>1400</v>
      </c>
      <c r="E45" s="697"/>
      <c r="F45" s="698">
        <v>132</v>
      </c>
      <c r="G45" s="701">
        <v>1</v>
      </c>
      <c r="H45" s="700">
        <v>3150</v>
      </c>
      <c r="I45" s="700"/>
      <c r="J45" s="700">
        <v>0</v>
      </c>
      <c r="K45" s="700"/>
      <c r="L45" s="700">
        <v>2100</v>
      </c>
      <c r="M45" s="701"/>
      <c r="N45" s="700">
        <v>198</v>
      </c>
      <c r="O45" s="692"/>
      <c r="P45" s="689"/>
      <c r="Q45" s="764"/>
      <c r="R45" s="764"/>
      <c r="S45" s="764"/>
      <c r="T45" s="689"/>
      <c r="U45" s="701">
        <v>3</v>
      </c>
      <c r="V45" s="702">
        <v>0</v>
      </c>
      <c r="W45" s="701"/>
      <c r="X45" s="623">
        <v>0</v>
      </c>
      <c r="Y45" s="701">
        <v>26</v>
      </c>
      <c r="Z45" s="703">
        <v>24</v>
      </c>
      <c r="AA45" s="701"/>
      <c r="AB45" s="703">
        <v>16</v>
      </c>
      <c r="AC45" s="701"/>
      <c r="AD45" s="704"/>
      <c r="AE45" s="704"/>
      <c r="AF45" s="622">
        <f t="shared" si="0"/>
        <v>3774</v>
      </c>
      <c r="AG45" s="622">
        <f t="shared" si="1"/>
        <v>188.70000000000002</v>
      </c>
      <c r="AH45" s="622">
        <f t="shared" si="2"/>
        <v>3962.7</v>
      </c>
      <c r="AI45" s="699">
        <v>227914</v>
      </c>
      <c r="AJ45" s="626"/>
    </row>
    <row r="46" spans="1:64" s="559" customFormat="1">
      <c r="A46" s="695">
        <v>42214</v>
      </c>
      <c r="B46" s="696" t="s">
        <v>253</v>
      </c>
      <c r="C46" s="697">
        <v>1</v>
      </c>
      <c r="D46" s="698">
        <v>1400</v>
      </c>
      <c r="E46" s="697">
        <v>2</v>
      </c>
      <c r="F46" s="698">
        <v>132</v>
      </c>
      <c r="G46" s="701"/>
      <c r="H46" s="700">
        <v>3150</v>
      </c>
      <c r="I46" s="700"/>
      <c r="J46" s="700">
        <v>0</v>
      </c>
      <c r="K46" s="700"/>
      <c r="L46" s="700">
        <v>2100</v>
      </c>
      <c r="M46" s="701"/>
      <c r="N46" s="700">
        <v>198</v>
      </c>
      <c r="O46" s="692"/>
      <c r="P46" s="689"/>
      <c r="Q46" s="764"/>
      <c r="R46" s="764"/>
      <c r="S46" s="764"/>
      <c r="T46" s="689"/>
      <c r="U46" s="701"/>
      <c r="V46" s="702">
        <v>0</v>
      </c>
      <c r="W46" s="701">
        <v>1</v>
      </c>
      <c r="X46" s="623">
        <v>0</v>
      </c>
      <c r="Y46" s="701"/>
      <c r="Z46" s="703">
        <v>24</v>
      </c>
      <c r="AA46" s="701"/>
      <c r="AB46" s="703">
        <v>16</v>
      </c>
      <c r="AC46" s="701"/>
      <c r="AD46" s="704"/>
      <c r="AE46" s="704"/>
      <c r="AF46" s="622">
        <f t="shared" si="0"/>
        <v>1664</v>
      </c>
      <c r="AG46" s="622">
        <f t="shared" si="1"/>
        <v>83.2</v>
      </c>
      <c r="AH46" s="622">
        <f t="shared" si="2"/>
        <v>1747.2</v>
      </c>
      <c r="AI46" s="699">
        <v>227914</v>
      </c>
      <c r="AJ46" s="626"/>
    </row>
    <row r="47" spans="1:64" s="559" customFormat="1">
      <c r="A47" s="695">
        <v>42214</v>
      </c>
      <c r="B47" s="696" t="s">
        <v>254</v>
      </c>
      <c r="C47" s="697"/>
      <c r="D47" s="698">
        <v>1400</v>
      </c>
      <c r="E47" s="697"/>
      <c r="F47" s="698">
        <v>132</v>
      </c>
      <c r="G47" s="701">
        <v>1</v>
      </c>
      <c r="H47" s="700">
        <v>3150</v>
      </c>
      <c r="I47" s="700"/>
      <c r="J47" s="700">
        <v>0</v>
      </c>
      <c r="K47" s="700"/>
      <c r="L47" s="700">
        <v>2100</v>
      </c>
      <c r="M47" s="701"/>
      <c r="N47" s="700">
        <v>198</v>
      </c>
      <c r="O47" s="692"/>
      <c r="P47" s="689"/>
      <c r="Q47" s="764"/>
      <c r="R47" s="764"/>
      <c r="S47" s="764"/>
      <c r="T47" s="689"/>
      <c r="U47" s="701"/>
      <c r="V47" s="702">
        <v>0</v>
      </c>
      <c r="W47" s="701">
        <v>1</v>
      </c>
      <c r="X47" s="623">
        <v>0</v>
      </c>
      <c r="Y47" s="701"/>
      <c r="Z47" s="703">
        <v>24</v>
      </c>
      <c r="AA47" s="701">
        <v>64</v>
      </c>
      <c r="AB47" s="703">
        <v>16</v>
      </c>
      <c r="AC47" s="701"/>
      <c r="AD47" s="704"/>
      <c r="AE47" s="704"/>
      <c r="AF47" s="622">
        <f t="shared" si="0"/>
        <v>4174</v>
      </c>
      <c r="AG47" s="622">
        <f t="shared" si="1"/>
        <v>208.70000000000002</v>
      </c>
      <c r="AH47" s="622">
        <f t="shared" si="2"/>
        <v>4382.7</v>
      </c>
      <c r="AI47" s="699">
        <v>227914</v>
      </c>
      <c r="AJ47" s="997" t="s">
        <v>854</v>
      </c>
    </row>
    <row r="48" spans="1:64" s="559" customFormat="1">
      <c r="A48" s="695">
        <v>42214</v>
      </c>
      <c r="B48" s="696" t="s">
        <v>255</v>
      </c>
      <c r="C48" s="697"/>
      <c r="D48" s="698">
        <v>1400</v>
      </c>
      <c r="E48" s="697"/>
      <c r="F48" s="698">
        <v>132</v>
      </c>
      <c r="G48" s="701"/>
      <c r="H48" s="700">
        <v>3150</v>
      </c>
      <c r="I48" s="700"/>
      <c r="J48" s="700">
        <v>0</v>
      </c>
      <c r="K48" s="701">
        <v>1</v>
      </c>
      <c r="L48" s="700">
        <v>2100</v>
      </c>
      <c r="M48" s="701"/>
      <c r="N48" s="700">
        <v>198</v>
      </c>
      <c r="O48" s="692"/>
      <c r="P48" s="689"/>
      <c r="Q48" s="764"/>
      <c r="R48" s="764"/>
      <c r="S48" s="764"/>
      <c r="T48" s="689"/>
      <c r="U48" s="701"/>
      <c r="V48" s="702">
        <v>0</v>
      </c>
      <c r="W48" s="701"/>
      <c r="X48" s="623">
        <v>0</v>
      </c>
      <c r="Y48" s="701">
        <v>9</v>
      </c>
      <c r="Z48" s="703">
        <v>24</v>
      </c>
      <c r="AA48" s="701">
        <v>4</v>
      </c>
      <c r="AB48" s="703">
        <v>16</v>
      </c>
      <c r="AC48" s="701"/>
      <c r="AD48" s="704"/>
      <c r="AE48" s="704"/>
      <c r="AF48" s="622">
        <f t="shared" si="0"/>
        <v>2380</v>
      </c>
      <c r="AG48" s="622">
        <f t="shared" si="1"/>
        <v>119</v>
      </c>
      <c r="AH48" s="622">
        <f t="shared" si="2"/>
        <v>2499</v>
      </c>
      <c r="AI48" s="699">
        <v>227914</v>
      </c>
      <c r="AJ48" s="998" t="s">
        <v>855</v>
      </c>
    </row>
    <row r="49" spans="1:64" s="559" customFormat="1">
      <c r="A49" s="695">
        <v>42214</v>
      </c>
      <c r="B49" s="696" t="s">
        <v>256</v>
      </c>
      <c r="C49" s="697"/>
      <c r="D49" s="698">
        <v>1400</v>
      </c>
      <c r="E49" s="697"/>
      <c r="F49" s="698">
        <v>132</v>
      </c>
      <c r="G49" s="701">
        <v>1</v>
      </c>
      <c r="H49" s="700">
        <v>3150</v>
      </c>
      <c r="I49" s="700"/>
      <c r="J49" s="700">
        <v>0</v>
      </c>
      <c r="K49" s="700"/>
      <c r="L49" s="700">
        <v>2100</v>
      </c>
      <c r="M49" s="701"/>
      <c r="N49" s="700">
        <v>198</v>
      </c>
      <c r="O49" s="692"/>
      <c r="P49" s="689"/>
      <c r="Q49" s="764"/>
      <c r="R49" s="764"/>
      <c r="S49" s="764"/>
      <c r="T49" s="689"/>
      <c r="U49" s="701">
        <v>3</v>
      </c>
      <c r="V49" s="702">
        <v>0</v>
      </c>
      <c r="W49" s="701"/>
      <c r="X49" s="623">
        <v>0</v>
      </c>
      <c r="Y49" s="701">
        <v>12</v>
      </c>
      <c r="Z49" s="703">
        <v>24</v>
      </c>
      <c r="AA49" s="701"/>
      <c r="AB49" s="703">
        <v>16</v>
      </c>
      <c r="AC49" s="701"/>
      <c r="AD49" s="704"/>
      <c r="AE49" s="704"/>
      <c r="AF49" s="622">
        <f t="shared" si="0"/>
        <v>3438</v>
      </c>
      <c r="AG49" s="622">
        <f t="shared" si="1"/>
        <v>171.9</v>
      </c>
      <c r="AH49" s="622">
        <f t="shared" si="2"/>
        <v>3609.9</v>
      </c>
      <c r="AI49" s="699">
        <v>227914</v>
      </c>
      <c r="AJ49" s="626"/>
    </row>
    <row r="50" spans="1:64" s="559" customFormat="1">
      <c r="A50" s="705">
        <v>42215</v>
      </c>
      <c r="B50" s="706" t="s">
        <v>257</v>
      </c>
      <c r="C50" s="707">
        <v>1</v>
      </c>
      <c r="D50" s="708">
        <v>1400</v>
      </c>
      <c r="E50" s="707">
        <v>1</v>
      </c>
      <c r="F50" s="708">
        <v>132</v>
      </c>
      <c r="G50" s="711"/>
      <c r="H50" s="710">
        <v>3150</v>
      </c>
      <c r="I50" s="710"/>
      <c r="J50" s="710">
        <v>0</v>
      </c>
      <c r="K50" s="710"/>
      <c r="L50" s="710">
        <v>2100</v>
      </c>
      <c r="M50" s="711"/>
      <c r="N50" s="710">
        <v>198</v>
      </c>
      <c r="O50" s="712"/>
      <c r="P50" s="713"/>
      <c r="Q50" s="763"/>
      <c r="R50" s="763"/>
      <c r="S50" s="763"/>
      <c r="T50" s="763"/>
      <c r="U50" s="711"/>
      <c r="V50" s="714">
        <v>0</v>
      </c>
      <c r="W50" s="711">
        <v>1</v>
      </c>
      <c r="X50" s="623">
        <v>0</v>
      </c>
      <c r="Y50" s="711"/>
      <c r="Z50" s="715">
        <v>24</v>
      </c>
      <c r="AA50" s="711"/>
      <c r="AB50" s="715">
        <v>16</v>
      </c>
      <c r="AC50" s="711"/>
      <c r="AD50" s="711"/>
      <c r="AE50" s="711"/>
      <c r="AF50" s="622">
        <f t="shared" si="0"/>
        <v>1532</v>
      </c>
      <c r="AG50" s="622">
        <f t="shared" si="1"/>
        <v>76.600000000000009</v>
      </c>
      <c r="AH50" s="622">
        <f t="shared" si="2"/>
        <v>1608.6</v>
      </c>
      <c r="AI50" s="709">
        <v>227914</v>
      </c>
      <c r="AJ50" s="626"/>
    </row>
    <row r="51" spans="1:64" s="559" customFormat="1">
      <c r="A51" s="716">
        <v>42215</v>
      </c>
      <c r="B51" s="717" t="s">
        <v>258</v>
      </c>
      <c r="C51" s="620"/>
      <c r="D51" s="621">
        <v>1400</v>
      </c>
      <c r="E51" s="620"/>
      <c r="F51" s="621">
        <v>132</v>
      </c>
      <c r="G51" s="719">
        <v>1</v>
      </c>
      <c r="H51" s="622">
        <v>3150</v>
      </c>
      <c r="I51" s="622"/>
      <c r="J51" s="622">
        <v>0</v>
      </c>
      <c r="K51" s="622"/>
      <c r="L51" s="622">
        <v>2100</v>
      </c>
      <c r="M51" s="719"/>
      <c r="N51" s="622">
        <v>198</v>
      </c>
      <c r="O51" s="692"/>
      <c r="P51" s="689"/>
      <c r="Q51" s="764"/>
      <c r="R51" s="764"/>
      <c r="S51" s="764"/>
      <c r="T51" s="764"/>
      <c r="U51" s="719"/>
      <c r="V51" s="623">
        <v>0</v>
      </c>
      <c r="W51" s="719">
        <v>1</v>
      </c>
      <c r="X51" s="623">
        <v>0</v>
      </c>
      <c r="Y51" s="719"/>
      <c r="Z51" s="624">
        <v>24</v>
      </c>
      <c r="AA51" s="719">
        <v>64</v>
      </c>
      <c r="AB51" s="624">
        <v>16</v>
      </c>
      <c r="AC51" s="719"/>
      <c r="AD51" s="719"/>
      <c r="AE51" s="719"/>
      <c r="AF51" s="622">
        <f t="shared" si="0"/>
        <v>4174</v>
      </c>
      <c r="AG51" s="622">
        <f t="shared" si="1"/>
        <v>208.70000000000002</v>
      </c>
      <c r="AH51" s="622">
        <f t="shared" si="2"/>
        <v>4382.7</v>
      </c>
      <c r="AI51" s="718">
        <v>227914</v>
      </c>
      <c r="AJ51" s="626"/>
    </row>
    <row r="52" spans="1:64" s="559" customFormat="1">
      <c r="A52" s="716">
        <v>42215</v>
      </c>
      <c r="B52" s="717" t="s">
        <v>259</v>
      </c>
      <c r="C52" s="620"/>
      <c r="D52" s="621">
        <v>1400</v>
      </c>
      <c r="E52" s="620"/>
      <c r="F52" s="621">
        <v>132</v>
      </c>
      <c r="G52" s="719"/>
      <c r="H52" s="622">
        <v>3150</v>
      </c>
      <c r="I52" s="622"/>
      <c r="J52" s="622">
        <v>0</v>
      </c>
      <c r="K52" s="719">
        <v>1</v>
      </c>
      <c r="L52" s="622">
        <v>2100</v>
      </c>
      <c r="M52" s="719"/>
      <c r="N52" s="622">
        <v>198</v>
      </c>
      <c r="O52" s="692"/>
      <c r="P52" s="689"/>
      <c r="Q52" s="764"/>
      <c r="R52" s="764"/>
      <c r="S52" s="764"/>
      <c r="T52" s="764"/>
      <c r="U52" s="719"/>
      <c r="V52" s="623">
        <v>0</v>
      </c>
      <c r="W52" s="719"/>
      <c r="X52" s="623">
        <v>0</v>
      </c>
      <c r="Y52" s="719">
        <v>7</v>
      </c>
      <c r="Z52" s="624">
        <v>24</v>
      </c>
      <c r="AA52" s="719">
        <v>10</v>
      </c>
      <c r="AB52" s="624">
        <v>16</v>
      </c>
      <c r="AC52" s="719"/>
      <c r="AD52" s="719"/>
      <c r="AE52" s="719"/>
      <c r="AF52" s="622">
        <f t="shared" si="0"/>
        <v>2428</v>
      </c>
      <c r="AG52" s="622">
        <f t="shared" si="1"/>
        <v>121.4</v>
      </c>
      <c r="AH52" s="622">
        <f t="shared" si="2"/>
        <v>2549.4</v>
      </c>
      <c r="AI52" s="718">
        <v>227914</v>
      </c>
      <c r="AJ52" s="626"/>
    </row>
    <row r="53" spans="1:64" s="559" customFormat="1">
      <c r="A53" s="716">
        <v>42215</v>
      </c>
      <c r="B53" s="717" t="s">
        <v>260</v>
      </c>
      <c r="C53" s="620"/>
      <c r="D53" s="621">
        <v>1400</v>
      </c>
      <c r="E53" s="620"/>
      <c r="F53" s="621">
        <v>132</v>
      </c>
      <c r="G53" s="719">
        <v>1</v>
      </c>
      <c r="H53" s="622">
        <v>3150</v>
      </c>
      <c r="I53" s="622"/>
      <c r="J53" s="622">
        <v>0</v>
      </c>
      <c r="K53" s="719"/>
      <c r="L53" s="622">
        <v>2100</v>
      </c>
      <c r="M53" s="719"/>
      <c r="N53" s="622">
        <v>198</v>
      </c>
      <c r="O53" s="692"/>
      <c r="P53" s="689"/>
      <c r="Q53" s="764"/>
      <c r="R53" s="764"/>
      <c r="S53" s="764"/>
      <c r="T53" s="764"/>
      <c r="U53" s="719">
        <v>3</v>
      </c>
      <c r="V53" s="623">
        <v>0</v>
      </c>
      <c r="W53" s="719"/>
      <c r="X53" s="623">
        <v>0</v>
      </c>
      <c r="Y53" s="719">
        <v>60</v>
      </c>
      <c r="Z53" s="624">
        <v>24</v>
      </c>
      <c r="AA53" s="719"/>
      <c r="AB53" s="624">
        <v>16</v>
      </c>
      <c r="AC53" s="719"/>
      <c r="AD53" s="719"/>
      <c r="AE53" s="719"/>
      <c r="AF53" s="622">
        <f t="shared" si="0"/>
        <v>4590</v>
      </c>
      <c r="AG53" s="622">
        <f t="shared" si="1"/>
        <v>229.5</v>
      </c>
      <c r="AH53" s="622">
        <f t="shared" si="2"/>
        <v>4819.5</v>
      </c>
      <c r="AI53" s="718">
        <v>227914</v>
      </c>
      <c r="AJ53" s="626"/>
    </row>
    <row r="54" spans="1:64" s="559" customFormat="1">
      <c r="A54" s="716">
        <v>42216</v>
      </c>
      <c r="B54" s="717" t="s">
        <v>272</v>
      </c>
      <c r="C54" s="620">
        <v>1</v>
      </c>
      <c r="D54" s="621">
        <v>1400</v>
      </c>
      <c r="E54" s="620">
        <v>2</v>
      </c>
      <c r="F54" s="621">
        <v>132</v>
      </c>
      <c r="G54" s="719"/>
      <c r="H54" s="622">
        <v>3150</v>
      </c>
      <c r="I54" s="622"/>
      <c r="J54" s="622">
        <v>0</v>
      </c>
      <c r="K54" s="719"/>
      <c r="L54" s="622">
        <v>2100</v>
      </c>
      <c r="M54" s="719"/>
      <c r="N54" s="622">
        <v>198</v>
      </c>
      <c r="O54" s="692"/>
      <c r="P54" s="689"/>
      <c r="Q54" s="764"/>
      <c r="R54" s="764"/>
      <c r="S54" s="764"/>
      <c r="T54" s="764"/>
      <c r="U54" s="719"/>
      <c r="V54" s="623">
        <v>0</v>
      </c>
      <c r="W54" s="719">
        <v>1</v>
      </c>
      <c r="X54" s="623">
        <v>0</v>
      </c>
      <c r="Y54" s="719"/>
      <c r="Z54" s="624">
        <v>24</v>
      </c>
      <c r="AA54" s="719"/>
      <c r="AB54" s="624">
        <v>16</v>
      </c>
      <c r="AC54" s="719"/>
      <c r="AD54" s="719"/>
      <c r="AE54" s="719"/>
      <c r="AF54" s="622">
        <f t="shared" si="0"/>
        <v>1664</v>
      </c>
      <c r="AG54" s="622">
        <f t="shared" si="1"/>
        <v>83.2</v>
      </c>
      <c r="AH54" s="622">
        <f t="shared" si="2"/>
        <v>1747.2</v>
      </c>
      <c r="AI54" s="718">
        <v>227914</v>
      </c>
      <c r="AJ54" s="626"/>
    </row>
    <row r="55" spans="1:64" s="559" customFormat="1">
      <c r="A55" s="716">
        <v>42216</v>
      </c>
      <c r="B55" s="717" t="s">
        <v>273</v>
      </c>
      <c r="C55" s="620"/>
      <c r="D55" s="621">
        <v>1400</v>
      </c>
      <c r="E55" s="620"/>
      <c r="F55" s="621">
        <v>132</v>
      </c>
      <c r="G55" s="719">
        <v>0.72221999999999997</v>
      </c>
      <c r="H55" s="622">
        <v>3150</v>
      </c>
      <c r="I55" s="622"/>
      <c r="J55" s="622">
        <v>0</v>
      </c>
      <c r="K55" s="719"/>
      <c r="L55" s="622">
        <v>2100</v>
      </c>
      <c r="M55" s="719"/>
      <c r="N55" s="622">
        <v>198</v>
      </c>
      <c r="O55" s="692"/>
      <c r="P55" s="689"/>
      <c r="Q55" s="764"/>
      <c r="R55" s="764"/>
      <c r="S55" s="764"/>
      <c r="T55" s="764"/>
      <c r="U55" s="719"/>
      <c r="V55" s="623">
        <v>0</v>
      </c>
      <c r="W55" s="719">
        <v>1</v>
      </c>
      <c r="X55" s="623">
        <v>0</v>
      </c>
      <c r="Y55" s="719"/>
      <c r="Z55" s="624">
        <v>24</v>
      </c>
      <c r="AA55" s="719">
        <v>96</v>
      </c>
      <c r="AB55" s="624">
        <v>16</v>
      </c>
      <c r="AC55" s="719"/>
      <c r="AD55" s="719"/>
      <c r="AE55" s="719"/>
      <c r="AF55" s="622">
        <f t="shared" si="0"/>
        <v>3810.9929999999999</v>
      </c>
      <c r="AG55" s="622">
        <f t="shared" si="1"/>
        <v>190.54965000000001</v>
      </c>
      <c r="AH55" s="622">
        <f t="shared" si="2"/>
        <v>4001.5426499999999</v>
      </c>
      <c r="AI55" s="718">
        <v>227914</v>
      </c>
      <c r="AJ55" s="626"/>
    </row>
    <row r="56" spans="1:64" s="559" customFormat="1">
      <c r="A56" s="716">
        <v>42216</v>
      </c>
      <c r="B56" s="717" t="s">
        <v>274</v>
      </c>
      <c r="C56" s="620"/>
      <c r="D56" s="621">
        <v>1400</v>
      </c>
      <c r="E56" s="620"/>
      <c r="F56" s="621">
        <v>132</v>
      </c>
      <c r="G56" s="719"/>
      <c r="H56" s="622">
        <v>3150</v>
      </c>
      <c r="I56" s="622"/>
      <c r="J56" s="622">
        <v>0</v>
      </c>
      <c r="K56" s="719">
        <v>1</v>
      </c>
      <c r="L56" s="622">
        <v>2100</v>
      </c>
      <c r="M56" s="719"/>
      <c r="N56" s="622">
        <v>198</v>
      </c>
      <c r="O56" s="692"/>
      <c r="P56" s="689"/>
      <c r="Q56" s="764"/>
      <c r="R56" s="764"/>
      <c r="S56" s="764"/>
      <c r="T56" s="764"/>
      <c r="U56" s="719"/>
      <c r="V56" s="623">
        <v>0</v>
      </c>
      <c r="W56" s="719"/>
      <c r="X56" s="623">
        <v>0</v>
      </c>
      <c r="Y56" s="719">
        <v>7</v>
      </c>
      <c r="Z56" s="624">
        <v>24</v>
      </c>
      <c r="AA56" s="719"/>
      <c r="AB56" s="624">
        <v>16</v>
      </c>
      <c r="AC56" s="719"/>
      <c r="AD56" s="719"/>
      <c r="AE56" s="719"/>
      <c r="AF56" s="622">
        <f t="shared" si="0"/>
        <v>2268</v>
      </c>
      <c r="AG56" s="622">
        <f t="shared" si="1"/>
        <v>113.4</v>
      </c>
      <c r="AH56" s="622">
        <f t="shared" si="2"/>
        <v>2381.4</v>
      </c>
      <c r="AI56" s="718">
        <v>227914</v>
      </c>
      <c r="AJ56" s="626"/>
    </row>
    <row r="57" spans="1:64">
      <c r="A57" s="716">
        <v>42216</v>
      </c>
      <c r="B57" s="717" t="s">
        <v>275</v>
      </c>
      <c r="C57" s="620"/>
      <c r="D57" s="621">
        <v>1400</v>
      </c>
      <c r="E57" s="620"/>
      <c r="F57" s="621">
        <v>132</v>
      </c>
      <c r="G57" s="719">
        <v>1</v>
      </c>
      <c r="H57" s="622">
        <v>3150</v>
      </c>
      <c r="I57" s="719">
        <v>2</v>
      </c>
      <c r="J57" s="622">
        <v>271</v>
      </c>
      <c r="K57" s="719"/>
      <c r="L57" s="622">
        <v>2100</v>
      </c>
      <c r="M57" s="719"/>
      <c r="N57" s="622">
        <v>198</v>
      </c>
      <c r="O57" s="692"/>
      <c r="P57" s="689"/>
      <c r="Q57" s="764"/>
      <c r="R57" s="764"/>
      <c r="S57" s="764"/>
      <c r="T57" s="764"/>
      <c r="U57" s="719">
        <v>3</v>
      </c>
      <c r="V57" s="623">
        <v>0</v>
      </c>
      <c r="W57" s="719"/>
      <c r="X57" s="623">
        <v>0</v>
      </c>
      <c r="Y57" s="719">
        <v>26</v>
      </c>
      <c r="Z57" s="624">
        <v>24</v>
      </c>
      <c r="AA57" s="719"/>
      <c r="AB57" s="624">
        <v>16</v>
      </c>
      <c r="AC57" s="719"/>
      <c r="AD57" s="719"/>
      <c r="AE57" s="719"/>
      <c r="AF57" s="622">
        <f t="shared" si="0"/>
        <v>4316</v>
      </c>
      <c r="AG57" s="622">
        <f t="shared" si="1"/>
        <v>215.8</v>
      </c>
      <c r="AH57" s="622">
        <f t="shared" si="2"/>
        <v>4531.8</v>
      </c>
      <c r="AI57" s="718">
        <v>227914</v>
      </c>
      <c r="AJ57" s="626"/>
      <c r="AK57" s="559"/>
      <c r="AL57" s="559"/>
      <c r="AM57" s="559"/>
      <c r="AN57" s="559"/>
      <c r="AO57" s="559"/>
      <c r="AP57" s="559"/>
      <c r="AQ57" s="559"/>
      <c r="AR57" s="559"/>
      <c r="AS57" s="559"/>
      <c r="AT57" s="559"/>
      <c r="AU57" s="559"/>
      <c r="AV57" s="559"/>
      <c r="AW57" s="559"/>
      <c r="AX57" s="559"/>
      <c r="AY57" s="559"/>
      <c r="AZ57" s="559"/>
      <c r="BA57" s="559"/>
      <c r="BB57" s="559"/>
      <c r="BC57" s="559"/>
      <c r="BD57" s="559"/>
      <c r="BE57" s="559"/>
      <c r="BF57" s="559"/>
      <c r="BG57" s="559"/>
      <c r="BH57" s="559"/>
      <c r="BI57" s="559"/>
      <c r="BJ57" s="559"/>
      <c r="BK57" s="559"/>
      <c r="BL57" s="559"/>
    </row>
    <row r="58" spans="1:64">
      <c r="A58" s="580">
        <v>42217</v>
      </c>
      <c r="B58" s="581" t="s">
        <v>276</v>
      </c>
      <c r="C58" s="582">
        <v>1</v>
      </c>
      <c r="D58" s="583">
        <v>1400</v>
      </c>
      <c r="E58" s="582">
        <v>1</v>
      </c>
      <c r="F58" s="583">
        <v>132</v>
      </c>
      <c r="G58" s="586"/>
      <c r="H58" s="585">
        <v>3150</v>
      </c>
      <c r="I58" s="585"/>
      <c r="J58" s="585">
        <v>0</v>
      </c>
      <c r="K58" s="586"/>
      <c r="L58" s="585">
        <v>2100</v>
      </c>
      <c r="M58" s="586"/>
      <c r="N58" s="585">
        <v>198</v>
      </c>
      <c r="O58" s="593"/>
      <c r="P58" s="592"/>
      <c r="Q58" s="765"/>
      <c r="R58" s="765"/>
      <c r="S58" s="765"/>
      <c r="T58" s="765"/>
      <c r="U58" s="586"/>
      <c r="V58" s="587">
        <v>0</v>
      </c>
      <c r="W58" s="586"/>
      <c r="X58" s="587">
        <v>0</v>
      </c>
      <c r="Y58" s="586"/>
      <c r="Z58" s="588">
        <v>24</v>
      </c>
      <c r="AA58" s="586"/>
      <c r="AB58" s="588">
        <v>16</v>
      </c>
      <c r="AC58" s="586"/>
      <c r="AD58" s="586"/>
      <c r="AE58" s="586"/>
      <c r="AF58" s="734">
        <f t="shared" si="0"/>
        <v>1532</v>
      </c>
      <c r="AG58" s="585">
        <f t="shared" si="1"/>
        <v>76.600000000000009</v>
      </c>
      <c r="AH58" s="585">
        <f t="shared" si="2"/>
        <v>1608.6</v>
      </c>
      <c r="AI58" s="584">
        <v>227915</v>
      </c>
    </row>
    <row r="59" spans="1:64">
      <c r="A59" s="580">
        <v>42217</v>
      </c>
      <c r="B59" s="581" t="s">
        <v>277</v>
      </c>
      <c r="C59" s="582"/>
      <c r="D59" s="583">
        <v>1400</v>
      </c>
      <c r="E59" s="582"/>
      <c r="F59" s="583">
        <v>132</v>
      </c>
      <c r="G59" s="586"/>
      <c r="H59" s="585">
        <v>3150</v>
      </c>
      <c r="I59" s="585"/>
      <c r="J59" s="585">
        <v>0</v>
      </c>
      <c r="K59" s="586">
        <v>1</v>
      </c>
      <c r="L59" s="585">
        <v>2100</v>
      </c>
      <c r="M59" s="586"/>
      <c r="N59" s="585">
        <v>198</v>
      </c>
      <c r="O59" s="593"/>
      <c r="P59" s="592"/>
      <c r="Q59" s="765"/>
      <c r="R59" s="765"/>
      <c r="S59" s="765"/>
      <c r="T59" s="765"/>
      <c r="U59" s="586">
        <v>0</v>
      </c>
      <c r="V59" s="587">
        <v>60</v>
      </c>
      <c r="W59" s="586"/>
      <c r="X59" s="587">
        <v>150</v>
      </c>
      <c r="Y59" s="586">
        <v>4</v>
      </c>
      <c r="Z59" s="588">
        <v>24</v>
      </c>
      <c r="AA59" s="586">
        <v>11</v>
      </c>
      <c r="AB59" s="588">
        <v>16</v>
      </c>
      <c r="AC59" s="586"/>
      <c r="AD59" s="586"/>
      <c r="AE59" s="589"/>
      <c r="AF59" s="734">
        <f t="shared" si="0"/>
        <v>2372</v>
      </c>
      <c r="AG59" s="585">
        <f t="shared" si="1"/>
        <v>118.60000000000001</v>
      </c>
      <c r="AH59" s="585">
        <f t="shared" si="2"/>
        <v>2490.6</v>
      </c>
      <c r="AI59" s="584">
        <v>227915</v>
      </c>
    </row>
    <row r="60" spans="1:64">
      <c r="A60" s="580">
        <v>42217</v>
      </c>
      <c r="B60" s="581" t="s">
        <v>887</v>
      </c>
      <c r="C60" s="582"/>
      <c r="D60" s="583">
        <v>1400</v>
      </c>
      <c r="E60" s="582"/>
      <c r="F60" s="583">
        <v>132</v>
      </c>
      <c r="G60" s="586">
        <v>1</v>
      </c>
      <c r="H60" s="585">
        <v>3150</v>
      </c>
      <c r="I60" s="585"/>
      <c r="J60" s="585">
        <v>0</v>
      </c>
      <c r="K60" s="586"/>
      <c r="L60" s="585">
        <v>2100</v>
      </c>
      <c r="M60" s="586"/>
      <c r="N60" s="585">
        <v>198</v>
      </c>
      <c r="O60" s="593"/>
      <c r="P60" s="592"/>
      <c r="Q60" s="765"/>
      <c r="R60" s="765"/>
      <c r="S60" s="765"/>
      <c r="T60" s="765"/>
      <c r="U60" s="586"/>
      <c r="V60" s="587">
        <v>60</v>
      </c>
      <c r="W60" s="586">
        <v>0</v>
      </c>
      <c r="X60" s="587">
        <v>150</v>
      </c>
      <c r="Y60" s="586">
        <v>60</v>
      </c>
      <c r="Z60" s="588">
        <v>24</v>
      </c>
      <c r="AA60" s="586"/>
      <c r="AB60" s="588">
        <v>16</v>
      </c>
      <c r="AC60" s="586"/>
      <c r="AD60" s="586"/>
      <c r="AE60" s="586"/>
      <c r="AF60" s="734">
        <f t="shared" si="0"/>
        <v>4590</v>
      </c>
      <c r="AG60" s="585">
        <f t="shared" si="1"/>
        <v>229.5</v>
      </c>
      <c r="AH60" s="585">
        <f t="shared" si="2"/>
        <v>4819.5</v>
      </c>
      <c r="AI60" s="584">
        <v>227915</v>
      </c>
      <c r="AJ60" s="532"/>
    </row>
    <row r="61" spans="1:64">
      <c r="A61" s="580">
        <v>42217</v>
      </c>
      <c r="B61" s="581" t="s">
        <v>497</v>
      </c>
      <c r="C61" s="582"/>
      <c r="D61" s="583">
        <v>1400</v>
      </c>
      <c r="E61" s="582"/>
      <c r="F61" s="583">
        <v>132</v>
      </c>
      <c r="G61" s="586">
        <v>1</v>
      </c>
      <c r="H61" s="585">
        <v>3150</v>
      </c>
      <c r="I61" s="586"/>
      <c r="J61" s="585">
        <v>0</v>
      </c>
      <c r="K61" s="586"/>
      <c r="L61" s="585">
        <v>2100</v>
      </c>
      <c r="M61" s="586"/>
      <c r="N61" s="585">
        <v>198</v>
      </c>
      <c r="O61" s="593"/>
      <c r="P61" s="592"/>
      <c r="Q61" s="765"/>
      <c r="R61" s="765"/>
      <c r="S61" s="765"/>
      <c r="T61" s="765"/>
      <c r="U61" s="586"/>
      <c r="V61" s="587">
        <v>60</v>
      </c>
      <c r="W61" s="586"/>
      <c r="X61" s="587">
        <v>150</v>
      </c>
      <c r="Y61" s="586"/>
      <c r="Z61" s="588">
        <v>24</v>
      </c>
      <c r="AA61" s="586">
        <v>74</v>
      </c>
      <c r="AB61" s="588">
        <v>16</v>
      </c>
      <c r="AC61" s="586"/>
      <c r="AD61" s="586"/>
      <c r="AE61" s="586"/>
      <c r="AF61" s="734">
        <f t="shared" si="0"/>
        <v>4334</v>
      </c>
      <c r="AG61" s="585">
        <f t="shared" si="1"/>
        <v>216.70000000000002</v>
      </c>
      <c r="AH61" s="585">
        <f t="shared" si="2"/>
        <v>4550.7</v>
      </c>
      <c r="AI61" s="584">
        <v>227915</v>
      </c>
    </row>
    <row r="62" spans="1:64">
      <c r="A62" s="580">
        <v>42217</v>
      </c>
      <c r="B62" s="581" t="s">
        <v>842</v>
      </c>
      <c r="C62" s="582"/>
      <c r="D62" s="583">
        <v>1400</v>
      </c>
      <c r="E62" s="582"/>
      <c r="F62" s="583">
        <v>132</v>
      </c>
      <c r="G62" s="586"/>
      <c r="H62" s="585">
        <v>3150</v>
      </c>
      <c r="I62" s="585"/>
      <c r="J62" s="585">
        <v>0</v>
      </c>
      <c r="K62" s="586">
        <v>1</v>
      </c>
      <c r="L62" s="585">
        <v>2100</v>
      </c>
      <c r="M62" s="586"/>
      <c r="N62" s="585">
        <v>198</v>
      </c>
      <c r="O62" s="593"/>
      <c r="P62" s="592"/>
      <c r="Q62" s="765"/>
      <c r="R62" s="765"/>
      <c r="S62" s="765"/>
      <c r="T62" s="765"/>
      <c r="U62" s="586"/>
      <c r="V62" s="587">
        <v>60</v>
      </c>
      <c r="W62" s="586"/>
      <c r="X62" s="587">
        <v>150</v>
      </c>
      <c r="Y62" s="586">
        <v>2</v>
      </c>
      <c r="Z62" s="588">
        <v>24</v>
      </c>
      <c r="AA62" s="586">
        <v>4</v>
      </c>
      <c r="AB62" s="588">
        <v>16</v>
      </c>
      <c r="AC62" s="586"/>
      <c r="AD62" s="586"/>
      <c r="AE62" s="586"/>
      <c r="AF62" s="734">
        <f t="shared" si="0"/>
        <v>2212</v>
      </c>
      <c r="AG62" s="585">
        <f t="shared" si="1"/>
        <v>110.60000000000001</v>
      </c>
      <c r="AH62" s="585">
        <f t="shared" si="2"/>
        <v>2322.6</v>
      </c>
      <c r="AI62" s="584">
        <v>227915</v>
      </c>
    </row>
    <row r="63" spans="1:64">
      <c r="A63" s="580">
        <v>42219</v>
      </c>
      <c r="B63" s="581" t="s">
        <v>471</v>
      </c>
      <c r="C63" s="582">
        <v>1</v>
      </c>
      <c r="D63" s="583">
        <v>1750</v>
      </c>
      <c r="E63" s="582">
        <v>1</v>
      </c>
      <c r="F63" s="583">
        <v>132</v>
      </c>
      <c r="G63" s="586"/>
      <c r="H63" s="585">
        <v>3150</v>
      </c>
      <c r="I63" s="585"/>
      <c r="J63" s="585">
        <v>0</v>
      </c>
      <c r="K63" s="586"/>
      <c r="L63" s="585">
        <v>2100</v>
      </c>
      <c r="M63" s="586"/>
      <c r="N63" s="585">
        <v>198</v>
      </c>
      <c r="O63" s="593"/>
      <c r="P63" s="592"/>
      <c r="Q63" s="765"/>
      <c r="R63" s="765"/>
      <c r="S63" s="765"/>
      <c r="T63" s="765"/>
      <c r="U63" s="586">
        <v>1</v>
      </c>
      <c r="V63" s="587">
        <v>60</v>
      </c>
      <c r="W63" s="586"/>
      <c r="X63" s="587">
        <v>0</v>
      </c>
      <c r="Y63" s="586"/>
      <c r="Z63" s="588">
        <v>24</v>
      </c>
      <c r="AA63" s="586"/>
      <c r="AB63" s="588">
        <v>16</v>
      </c>
      <c r="AC63" s="586"/>
      <c r="AD63" s="586">
        <v>1</v>
      </c>
      <c r="AE63" s="589">
        <v>140.6</v>
      </c>
      <c r="AF63" s="734">
        <f t="shared" si="0"/>
        <v>2082.6</v>
      </c>
      <c r="AG63" s="585">
        <f t="shared" si="1"/>
        <v>104.13</v>
      </c>
      <c r="AH63" s="585">
        <f t="shared" si="2"/>
        <v>2186.73</v>
      </c>
      <c r="AI63" s="584">
        <v>227915</v>
      </c>
    </row>
    <row r="64" spans="1:64">
      <c r="A64" s="580">
        <v>42219</v>
      </c>
      <c r="B64" s="581" t="s">
        <v>284</v>
      </c>
      <c r="C64" s="582"/>
      <c r="D64" s="583">
        <v>1400</v>
      </c>
      <c r="E64" s="582"/>
      <c r="F64" s="583">
        <v>132</v>
      </c>
      <c r="G64" s="586"/>
      <c r="H64" s="585">
        <v>3150</v>
      </c>
      <c r="I64" s="585"/>
      <c r="J64" s="585">
        <v>0</v>
      </c>
      <c r="K64" s="586">
        <v>1</v>
      </c>
      <c r="L64" s="585">
        <v>2650</v>
      </c>
      <c r="M64" s="586"/>
      <c r="N64" s="585">
        <v>198</v>
      </c>
      <c r="O64" s="593"/>
      <c r="P64" s="592"/>
      <c r="Q64" s="765"/>
      <c r="R64" s="765"/>
      <c r="S64" s="765"/>
      <c r="T64" s="765"/>
      <c r="U64" s="586">
        <v>1</v>
      </c>
      <c r="V64" s="587">
        <v>60</v>
      </c>
      <c r="W64" s="586">
        <v>1</v>
      </c>
      <c r="X64" s="587">
        <v>150</v>
      </c>
      <c r="Y64" s="586">
        <v>7</v>
      </c>
      <c r="Z64" s="588">
        <v>24</v>
      </c>
      <c r="AA64" s="586">
        <v>8</v>
      </c>
      <c r="AB64" s="588">
        <v>16</v>
      </c>
      <c r="AC64" s="586"/>
      <c r="AD64" s="586">
        <v>1</v>
      </c>
      <c r="AE64" s="586">
        <v>144.15</v>
      </c>
      <c r="AF64" s="734">
        <f t="shared" si="0"/>
        <v>3300.15</v>
      </c>
      <c r="AG64" s="585">
        <f t="shared" si="1"/>
        <v>165.00750000000002</v>
      </c>
      <c r="AH64" s="585">
        <f t="shared" si="2"/>
        <v>3465.1575000000003</v>
      </c>
      <c r="AI64" s="584">
        <v>227915</v>
      </c>
    </row>
    <row r="65" spans="1:36">
      <c r="A65" s="580">
        <v>42219</v>
      </c>
      <c r="B65" s="581" t="s">
        <v>888</v>
      </c>
      <c r="C65" s="582"/>
      <c r="D65" s="583">
        <v>1400</v>
      </c>
      <c r="E65" s="582"/>
      <c r="F65" s="583">
        <v>132</v>
      </c>
      <c r="G65" s="586">
        <v>1</v>
      </c>
      <c r="H65" s="585">
        <v>3950</v>
      </c>
      <c r="I65" s="585"/>
      <c r="J65" s="585">
        <v>0</v>
      </c>
      <c r="K65" s="586"/>
      <c r="L65" s="585">
        <v>2100</v>
      </c>
      <c r="M65" s="586"/>
      <c r="N65" s="585">
        <v>198</v>
      </c>
      <c r="O65" s="593"/>
      <c r="P65" s="592"/>
      <c r="Q65" s="765"/>
      <c r="R65" s="765"/>
      <c r="S65" s="765"/>
      <c r="T65" s="765"/>
      <c r="U65" s="586">
        <v>2</v>
      </c>
      <c r="V65" s="587">
        <v>60</v>
      </c>
      <c r="W65" s="586">
        <v>1</v>
      </c>
      <c r="X65" s="587">
        <v>150</v>
      </c>
      <c r="Y65" s="586">
        <v>60</v>
      </c>
      <c r="Z65" s="588">
        <v>24</v>
      </c>
      <c r="AA65" s="586"/>
      <c r="AB65" s="588">
        <v>16</v>
      </c>
      <c r="AC65" s="586"/>
      <c r="AD65" s="586">
        <v>1</v>
      </c>
      <c r="AE65" s="586">
        <v>260.19</v>
      </c>
      <c r="AF65" s="734">
        <f t="shared" si="0"/>
        <v>5920.19</v>
      </c>
      <c r="AG65" s="585">
        <f t="shared" si="1"/>
        <v>296.0095</v>
      </c>
      <c r="AH65" s="585">
        <f t="shared" si="2"/>
        <v>6216.1994999999997</v>
      </c>
      <c r="AI65" s="584">
        <v>227915</v>
      </c>
    </row>
    <row r="66" spans="1:36">
      <c r="A66" s="580">
        <v>42219</v>
      </c>
      <c r="B66" s="581" t="s">
        <v>498</v>
      </c>
      <c r="C66" s="582"/>
      <c r="D66" s="583">
        <v>1400</v>
      </c>
      <c r="E66" s="582"/>
      <c r="F66" s="583">
        <v>132</v>
      </c>
      <c r="G66" s="586">
        <v>1</v>
      </c>
      <c r="H66" s="585">
        <v>3950</v>
      </c>
      <c r="I66" s="586"/>
      <c r="J66" s="585"/>
      <c r="K66" s="586"/>
      <c r="L66" s="585">
        <v>2100</v>
      </c>
      <c r="M66" s="586"/>
      <c r="N66" s="585">
        <v>198</v>
      </c>
      <c r="O66" s="593"/>
      <c r="P66" s="592"/>
      <c r="Q66" s="765"/>
      <c r="R66" s="765"/>
      <c r="S66" s="765"/>
      <c r="T66" s="765"/>
      <c r="U66" s="586"/>
      <c r="V66" s="587">
        <v>60</v>
      </c>
      <c r="W66" s="586">
        <v>3</v>
      </c>
      <c r="X66" s="587">
        <v>150</v>
      </c>
      <c r="Y66" s="586"/>
      <c r="Z66" s="588">
        <v>24</v>
      </c>
      <c r="AA66" s="586">
        <v>64</v>
      </c>
      <c r="AB66" s="588">
        <v>16</v>
      </c>
      <c r="AC66" s="586"/>
      <c r="AD66" s="586"/>
      <c r="AE66" s="586"/>
      <c r="AF66" s="734">
        <f t="shared" si="0"/>
        <v>5424</v>
      </c>
      <c r="AG66" s="585">
        <f t="shared" si="1"/>
        <v>271.2</v>
      </c>
      <c r="AH66" s="585">
        <f t="shared" si="2"/>
        <v>5695.2</v>
      </c>
      <c r="AI66" s="584">
        <v>227915</v>
      </c>
    </row>
    <row r="67" spans="1:36">
      <c r="A67" s="580">
        <v>42219</v>
      </c>
      <c r="B67" s="581" t="s">
        <v>843</v>
      </c>
      <c r="C67" s="582"/>
      <c r="D67" s="583">
        <v>1400</v>
      </c>
      <c r="E67" s="582"/>
      <c r="F67" s="583">
        <v>132</v>
      </c>
      <c r="G67" s="586"/>
      <c r="H67" s="585">
        <v>3150</v>
      </c>
      <c r="I67" s="586"/>
      <c r="J67" s="585"/>
      <c r="K67" s="586">
        <v>1</v>
      </c>
      <c r="L67" s="585">
        <v>2650</v>
      </c>
      <c r="M67" s="586"/>
      <c r="N67" s="585">
        <v>198</v>
      </c>
      <c r="O67" s="593"/>
      <c r="P67" s="592"/>
      <c r="Q67" s="765"/>
      <c r="R67" s="765"/>
      <c r="S67" s="765"/>
      <c r="T67" s="765"/>
      <c r="U67" s="586"/>
      <c r="V67" s="587">
        <v>60</v>
      </c>
      <c r="W67" s="586">
        <v>2</v>
      </c>
      <c r="X67" s="587">
        <v>150</v>
      </c>
      <c r="Y67" s="586">
        <v>2</v>
      </c>
      <c r="Z67" s="588">
        <v>24</v>
      </c>
      <c r="AA67" s="586">
        <v>4</v>
      </c>
      <c r="AB67" s="588">
        <v>16</v>
      </c>
      <c r="AC67" s="586"/>
      <c r="AD67" s="586"/>
      <c r="AE67" s="586"/>
      <c r="AF67" s="734">
        <f t="shared" si="0"/>
        <v>3062</v>
      </c>
      <c r="AG67" s="585">
        <f t="shared" si="1"/>
        <v>153.1</v>
      </c>
      <c r="AH67" s="585">
        <f t="shared" si="2"/>
        <v>3215.1</v>
      </c>
      <c r="AI67" s="584">
        <v>227915</v>
      </c>
    </row>
    <row r="68" spans="1:36">
      <c r="A68" s="580">
        <v>42220</v>
      </c>
      <c r="B68" s="581" t="s">
        <v>472</v>
      </c>
      <c r="C68" s="582">
        <v>1</v>
      </c>
      <c r="D68" s="583">
        <v>1400</v>
      </c>
      <c r="E68" s="582">
        <v>1</v>
      </c>
      <c r="F68" s="583">
        <v>132</v>
      </c>
      <c r="G68" s="586"/>
      <c r="H68" s="585">
        <v>3150</v>
      </c>
      <c r="I68" s="585"/>
      <c r="J68" s="585">
        <v>0</v>
      </c>
      <c r="K68" s="586"/>
      <c r="L68" s="585">
        <v>2100</v>
      </c>
      <c r="M68" s="586"/>
      <c r="N68" s="585">
        <v>198</v>
      </c>
      <c r="O68" s="593"/>
      <c r="P68" s="592"/>
      <c r="Q68" s="765"/>
      <c r="R68" s="765"/>
      <c r="S68" s="765"/>
      <c r="T68" s="765"/>
      <c r="U68" s="586">
        <v>1</v>
      </c>
      <c r="V68" s="587">
        <v>60</v>
      </c>
      <c r="W68" s="586"/>
      <c r="X68" s="587">
        <v>0</v>
      </c>
      <c r="Y68" s="586"/>
      <c r="Z68" s="588">
        <v>24</v>
      </c>
      <c r="AA68" s="586"/>
      <c r="AB68" s="588">
        <v>16</v>
      </c>
      <c r="AC68" s="586"/>
      <c r="AD68" s="586">
        <v>1</v>
      </c>
      <c r="AE68" s="589">
        <v>140.6</v>
      </c>
      <c r="AF68" s="734">
        <f t="shared" si="0"/>
        <v>1732.6</v>
      </c>
      <c r="AG68" s="585">
        <f t="shared" si="1"/>
        <v>86.63</v>
      </c>
      <c r="AH68" s="585">
        <f t="shared" si="2"/>
        <v>1819.23</v>
      </c>
      <c r="AI68" s="584">
        <v>227915</v>
      </c>
    </row>
    <row r="69" spans="1:36">
      <c r="A69" s="580">
        <v>42220</v>
      </c>
      <c r="B69" s="581" t="s">
        <v>285</v>
      </c>
      <c r="C69" s="582"/>
      <c r="D69" s="583">
        <v>1400</v>
      </c>
      <c r="E69" s="582"/>
      <c r="F69" s="583">
        <v>132</v>
      </c>
      <c r="G69" s="586"/>
      <c r="H69" s="585">
        <v>3150</v>
      </c>
      <c r="I69" s="585"/>
      <c r="J69" s="585">
        <v>0</v>
      </c>
      <c r="K69" s="586">
        <v>1</v>
      </c>
      <c r="L69" s="585">
        <v>2100</v>
      </c>
      <c r="M69" s="586"/>
      <c r="N69" s="585">
        <v>198</v>
      </c>
      <c r="O69" s="593"/>
      <c r="P69" s="592"/>
      <c r="Q69" s="765"/>
      <c r="R69" s="765"/>
      <c r="S69" s="765"/>
      <c r="T69" s="765"/>
      <c r="U69" s="586">
        <v>1</v>
      </c>
      <c r="V69" s="587">
        <v>60</v>
      </c>
      <c r="W69" s="586">
        <v>1</v>
      </c>
      <c r="X69" s="587">
        <v>150</v>
      </c>
      <c r="Y69" s="586">
        <v>4</v>
      </c>
      <c r="Z69" s="588">
        <v>24</v>
      </c>
      <c r="AA69" s="586">
        <v>7</v>
      </c>
      <c r="AB69" s="588">
        <v>16</v>
      </c>
      <c r="AC69" s="586"/>
      <c r="AD69" s="586">
        <v>1</v>
      </c>
      <c r="AE69" s="586">
        <v>144.15</v>
      </c>
      <c r="AF69" s="734">
        <f t="shared" ref="AF69:AF132" si="3">(C69*D69)+(Y69*Z69)+(O69*P69)+(Q69*R69)+(S69*T69)+(AA69*AB69)+(E69*F69)+(G69*H69)+(I69*J69)+(K69*L69)+(M69*N69)+(AD69*AE69)+(U69*V69)+(W69*X69)+AC69</f>
        <v>2662.15</v>
      </c>
      <c r="AG69" s="585">
        <f t="shared" ref="AG69:AG132" si="4">(AF69*5%)</f>
        <v>133.10750000000002</v>
      </c>
      <c r="AH69" s="585">
        <f t="shared" ref="AH69:AH132" si="5">SUM(AF69+AG69)</f>
        <v>2795.2575000000002</v>
      </c>
      <c r="AI69" s="584">
        <v>227915</v>
      </c>
    </row>
    <row r="70" spans="1:36">
      <c r="A70" s="580">
        <v>42220</v>
      </c>
      <c r="B70" s="581" t="s">
        <v>889</v>
      </c>
      <c r="C70" s="582"/>
      <c r="D70" s="583">
        <v>1400</v>
      </c>
      <c r="E70" s="582"/>
      <c r="F70" s="583">
        <v>132</v>
      </c>
      <c r="G70" s="586">
        <v>1</v>
      </c>
      <c r="H70" s="585">
        <v>3150</v>
      </c>
      <c r="I70" s="585">
        <v>1</v>
      </c>
      <c r="J70" s="585">
        <v>840</v>
      </c>
      <c r="K70" s="586"/>
      <c r="L70" s="585">
        <v>2100</v>
      </c>
      <c r="M70" s="586"/>
      <c r="N70" s="585">
        <v>198</v>
      </c>
      <c r="O70" s="593"/>
      <c r="P70" s="592"/>
      <c r="Q70" s="765"/>
      <c r="R70" s="765"/>
      <c r="S70" s="765"/>
      <c r="T70" s="765"/>
      <c r="U70" s="586">
        <v>3</v>
      </c>
      <c r="V70" s="587">
        <v>60</v>
      </c>
      <c r="W70" s="586">
        <v>1</v>
      </c>
      <c r="X70" s="587">
        <v>150</v>
      </c>
      <c r="Y70" s="586">
        <v>64</v>
      </c>
      <c r="Z70" s="588">
        <v>24</v>
      </c>
      <c r="AA70" s="586"/>
      <c r="AB70" s="588">
        <v>16</v>
      </c>
      <c r="AC70" s="586"/>
      <c r="AD70" s="586">
        <v>1</v>
      </c>
      <c r="AE70" s="586">
        <v>390.28</v>
      </c>
      <c r="AF70" s="734">
        <f t="shared" si="3"/>
        <v>6246.28</v>
      </c>
      <c r="AG70" s="585">
        <f t="shared" si="4"/>
        <v>312.31400000000002</v>
      </c>
      <c r="AH70" s="585">
        <f t="shared" si="5"/>
        <v>6558.5940000000001</v>
      </c>
      <c r="AI70" s="584">
        <v>227915</v>
      </c>
    </row>
    <row r="71" spans="1:36">
      <c r="A71" s="580">
        <v>42220</v>
      </c>
      <c r="B71" s="581" t="s">
        <v>499</v>
      </c>
      <c r="C71" s="582"/>
      <c r="D71" s="583">
        <v>1400</v>
      </c>
      <c r="E71" s="582"/>
      <c r="F71" s="583">
        <v>132</v>
      </c>
      <c r="G71" s="586">
        <v>1</v>
      </c>
      <c r="H71" s="585">
        <v>3150</v>
      </c>
      <c r="I71" s="586"/>
      <c r="J71" s="585">
        <v>0</v>
      </c>
      <c r="K71" s="586"/>
      <c r="L71" s="585">
        <v>2100</v>
      </c>
      <c r="M71" s="586"/>
      <c r="N71" s="585">
        <v>198</v>
      </c>
      <c r="O71" s="593"/>
      <c r="P71" s="592"/>
      <c r="Q71" s="765"/>
      <c r="R71" s="765"/>
      <c r="S71" s="765"/>
      <c r="T71" s="765"/>
      <c r="U71" s="586"/>
      <c r="V71" s="587">
        <v>60</v>
      </c>
      <c r="W71" s="586">
        <v>3</v>
      </c>
      <c r="X71" s="587">
        <v>150</v>
      </c>
      <c r="Y71" s="586"/>
      <c r="Z71" s="588">
        <v>24</v>
      </c>
      <c r="AA71" s="965">
        <v>64</v>
      </c>
      <c r="AB71" s="588">
        <v>16</v>
      </c>
      <c r="AC71" s="586"/>
      <c r="AD71" s="586"/>
      <c r="AE71" s="586"/>
      <c r="AF71" s="734">
        <f t="shared" si="3"/>
        <v>4624</v>
      </c>
      <c r="AG71" s="585">
        <f t="shared" si="4"/>
        <v>231.20000000000002</v>
      </c>
      <c r="AH71" s="585">
        <f t="shared" si="5"/>
        <v>4855.2</v>
      </c>
      <c r="AI71" s="584">
        <v>227915</v>
      </c>
    </row>
    <row r="72" spans="1:36">
      <c r="A72" s="580">
        <v>42220</v>
      </c>
      <c r="B72" s="581" t="s">
        <v>844</v>
      </c>
      <c r="C72" s="582"/>
      <c r="D72" s="583">
        <v>1400</v>
      </c>
      <c r="E72" s="582"/>
      <c r="F72" s="583">
        <v>132</v>
      </c>
      <c r="G72" s="586"/>
      <c r="H72" s="585">
        <v>3150</v>
      </c>
      <c r="I72" s="585"/>
      <c r="J72" s="585">
        <v>0</v>
      </c>
      <c r="K72" s="586">
        <v>1</v>
      </c>
      <c r="L72" s="585">
        <v>2100</v>
      </c>
      <c r="M72" s="586"/>
      <c r="N72" s="585">
        <v>198</v>
      </c>
      <c r="O72" s="593"/>
      <c r="P72" s="592"/>
      <c r="Q72" s="765"/>
      <c r="R72" s="765"/>
      <c r="S72" s="765"/>
      <c r="T72" s="765"/>
      <c r="U72" s="586"/>
      <c r="V72" s="587">
        <v>60</v>
      </c>
      <c r="W72" s="586">
        <v>2</v>
      </c>
      <c r="X72" s="587">
        <v>150</v>
      </c>
      <c r="Y72" s="586"/>
      <c r="Z72" s="588">
        <v>24</v>
      </c>
      <c r="AA72" s="586">
        <v>5</v>
      </c>
      <c r="AB72" s="588">
        <v>16</v>
      </c>
      <c r="AC72" s="586"/>
      <c r="AD72" s="586"/>
      <c r="AE72" s="586"/>
      <c r="AF72" s="734">
        <f t="shared" si="3"/>
        <v>2480</v>
      </c>
      <c r="AG72" s="585">
        <f t="shared" si="4"/>
        <v>124</v>
      </c>
      <c r="AH72" s="585">
        <f t="shared" si="5"/>
        <v>2604</v>
      </c>
      <c r="AI72" s="584">
        <v>227915</v>
      </c>
    </row>
    <row r="73" spans="1:36">
      <c r="A73" s="580">
        <v>42221</v>
      </c>
      <c r="B73" s="581" t="s">
        <v>474</v>
      </c>
      <c r="C73" s="582">
        <v>1</v>
      </c>
      <c r="D73" s="583">
        <v>1400</v>
      </c>
      <c r="E73" s="582">
        <v>1</v>
      </c>
      <c r="F73" s="583">
        <v>132</v>
      </c>
      <c r="G73" s="586"/>
      <c r="H73" s="585">
        <v>3150</v>
      </c>
      <c r="I73" s="585"/>
      <c r="J73" s="585">
        <v>0</v>
      </c>
      <c r="K73" s="586"/>
      <c r="L73" s="585">
        <v>2100</v>
      </c>
      <c r="M73" s="586"/>
      <c r="N73" s="585">
        <v>198</v>
      </c>
      <c r="O73" s="593"/>
      <c r="P73" s="592"/>
      <c r="Q73" s="765"/>
      <c r="R73" s="765"/>
      <c r="S73" s="765"/>
      <c r="T73" s="765"/>
      <c r="U73" s="586">
        <v>1</v>
      </c>
      <c r="V73" s="587">
        <v>60</v>
      </c>
      <c r="W73" s="586"/>
      <c r="X73" s="587">
        <v>0</v>
      </c>
      <c r="Y73" s="586"/>
      <c r="Z73" s="588">
        <v>24</v>
      </c>
      <c r="AA73" s="586"/>
      <c r="AB73" s="588">
        <v>16</v>
      </c>
      <c r="AC73" s="586"/>
      <c r="AD73" s="586">
        <v>1</v>
      </c>
      <c r="AE73" s="589">
        <v>140.6</v>
      </c>
      <c r="AF73" s="734">
        <f t="shared" si="3"/>
        <v>1732.6</v>
      </c>
      <c r="AG73" s="585">
        <f t="shared" si="4"/>
        <v>86.63</v>
      </c>
      <c r="AH73" s="585">
        <f t="shared" si="5"/>
        <v>1819.23</v>
      </c>
      <c r="AI73" s="584">
        <v>227915</v>
      </c>
    </row>
    <row r="74" spans="1:36">
      <c r="A74" s="580">
        <v>42221</v>
      </c>
      <c r="B74" s="581" t="s">
        <v>289</v>
      </c>
      <c r="C74" s="582"/>
      <c r="D74" s="583">
        <v>1400</v>
      </c>
      <c r="E74" s="582"/>
      <c r="F74" s="583">
        <v>132</v>
      </c>
      <c r="G74" s="586"/>
      <c r="H74" s="585">
        <v>3150</v>
      </c>
      <c r="I74" s="585"/>
      <c r="J74" s="585">
        <v>0</v>
      </c>
      <c r="K74" s="586">
        <v>1</v>
      </c>
      <c r="L74" s="585">
        <v>2100</v>
      </c>
      <c r="M74" s="586"/>
      <c r="N74" s="585">
        <v>198</v>
      </c>
      <c r="O74" s="593"/>
      <c r="P74" s="592"/>
      <c r="Q74" s="765"/>
      <c r="R74" s="765"/>
      <c r="S74" s="765"/>
      <c r="T74" s="765"/>
      <c r="U74" s="586">
        <v>1</v>
      </c>
      <c r="V74" s="587">
        <v>60</v>
      </c>
      <c r="W74" s="586">
        <v>1</v>
      </c>
      <c r="X74" s="587">
        <v>150</v>
      </c>
      <c r="Y74" s="586">
        <v>7</v>
      </c>
      <c r="Z74" s="588">
        <v>24</v>
      </c>
      <c r="AA74" s="586">
        <v>5</v>
      </c>
      <c r="AB74" s="588">
        <v>16</v>
      </c>
      <c r="AC74" s="586"/>
      <c r="AD74" s="586">
        <v>1</v>
      </c>
      <c r="AE74" s="586">
        <v>144.13999999999999</v>
      </c>
      <c r="AF74" s="734">
        <f t="shared" si="3"/>
        <v>2702.14</v>
      </c>
      <c r="AG74" s="585">
        <f t="shared" si="4"/>
        <v>135.107</v>
      </c>
      <c r="AH74" s="585">
        <f t="shared" si="5"/>
        <v>2837.2469999999998</v>
      </c>
      <c r="AI74" s="584">
        <v>227915</v>
      </c>
    </row>
    <row r="75" spans="1:36">
      <c r="A75" s="580">
        <v>42221</v>
      </c>
      <c r="B75" s="581" t="s">
        <v>890</v>
      </c>
      <c r="C75" s="582"/>
      <c r="D75" s="583">
        <v>1400</v>
      </c>
      <c r="E75" s="582"/>
      <c r="F75" s="583">
        <v>132</v>
      </c>
      <c r="G75" s="586">
        <v>1</v>
      </c>
      <c r="H75" s="585">
        <v>3150</v>
      </c>
      <c r="I75" s="585">
        <v>1</v>
      </c>
      <c r="J75" s="585">
        <v>840</v>
      </c>
      <c r="K75" s="586"/>
      <c r="L75" s="585">
        <v>2100</v>
      </c>
      <c r="M75" s="586"/>
      <c r="N75" s="585">
        <v>198</v>
      </c>
      <c r="O75" s="593"/>
      <c r="P75" s="592"/>
      <c r="Q75" s="765"/>
      <c r="R75" s="765"/>
      <c r="S75" s="765"/>
      <c r="T75" s="765"/>
      <c r="U75" s="586">
        <v>3</v>
      </c>
      <c r="V75" s="587">
        <v>60</v>
      </c>
      <c r="W75" s="586">
        <v>1</v>
      </c>
      <c r="X75" s="587">
        <v>150</v>
      </c>
      <c r="Y75" s="586">
        <v>77</v>
      </c>
      <c r="Z75" s="588">
        <v>24</v>
      </c>
      <c r="AA75" s="586"/>
      <c r="AB75" s="588">
        <v>16</v>
      </c>
      <c r="AC75" s="586"/>
      <c r="AD75" s="586">
        <v>1</v>
      </c>
      <c r="AE75" s="586">
        <v>390.28</v>
      </c>
      <c r="AF75" s="734">
        <f t="shared" si="3"/>
        <v>6558.28</v>
      </c>
      <c r="AG75" s="585">
        <f t="shared" si="4"/>
        <v>327.91399999999999</v>
      </c>
      <c r="AH75" s="585">
        <f t="shared" si="5"/>
        <v>6886.1939999999995</v>
      </c>
      <c r="AI75" s="584">
        <v>227915</v>
      </c>
      <c r="AJ75" s="966" t="s">
        <v>849</v>
      </c>
    </row>
    <row r="76" spans="1:36">
      <c r="A76" s="580">
        <v>42221</v>
      </c>
      <c r="B76" s="581" t="s">
        <v>500</v>
      </c>
      <c r="C76" s="582"/>
      <c r="D76" s="583">
        <v>1400</v>
      </c>
      <c r="E76" s="582"/>
      <c r="F76" s="583">
        <v>132</v>
      </c>
      <c r="G76" s="586">
        <v>1</v>
      </c>
      <c r="H76" s="585">
        <v>3150</v>
      </c>
      <c r="I76" s="586"/>
      <c r="J76" s="585">
        <v>0</v>
      </c>
      <c r="K76" s="586"/>
      <c r="L76" s="585">
        <v>2100</v>
      </c>
      <c r="M76" s="586"/>
      <c r="N76" s="585">
        <v>198</v>
      </c>
      <c r="O76" s="593"/>
      <c r="P76" s="592"/>
      <c r="Q76" s="765"/>
      <c r="R76" s="765"/>
      <c r="S76" s="765"/>
      <c r="T76" s="765"/>
      <c r="U76" s="586"/>
      <c r="V76" s="587">
        <v>60</v>
      </c>
      <c r="W76" s="586">
        <v>3</v>
      </c>
      <c r="X76" s="587">
        <v>150</v>
      </c>
      <c r="Y76" s="586"/>
      <c r="Z76" s="588">
        <v>24</v>
      </c>
      <c r="AA76" s="965">
        <v>33</v>
      </c>
      <c r="AB76" s="588">
        <v>16</v>
      </c>
      <c r="AC76" s="586"/>
      <c r="AD76" s="586"/>
      <c r="AE76" s="586"/>
      <c r="AF76" s="734">
        <f t="shared" si="3"/>
        <v>4128</v>
      </c>
      <c r="AG76" s="585">
        <f t="shared" si="4"/>
        <v>206.4</v>
      </c>
      <c r="AH76" s="585">
        <f t="shared" si="5"/>
        <v>4334.3999999999996</v>
      </c>
      <c r="AI76" s="584">
        <v>227915</v>
      </c>
      <c r="AJ76" s="999" t="s">
        <v>882</v>
      </c>
    </row>
    <row r="77" spans="1:36">
      <c r="A77" s="580">
        <v>42221</v>
      </c>
      <c r="B77" s="581" t="s">
        <v>845</v>
      </c>
      <c r="C77" s="582"/>
      <c r="D77" s="583">
        <v>1400</v>
      </c>
      <c r="E77" s="582"/>
      <c r="F77" s="583">
        <v>132</v>
      </c>
      <c r="G77" s="586"/>
      <c r="H77" s="585">
        <v>3150</v>
      </c>
      <c r="I77" s="585"/>
      <c r="J77" s="585">
        <v>0</v>
      </c>
      <c r="K77" s="586">
        <v>1</v>
      </c>
      <c r="L77" s="585">
        <v>2100</v>
      </c>
      <c r="M77" s="586"/>
      <c r="N77" s="585">
        <v>198</v>
      </c>
      <c r="O77" s="593"/>
      <c r="P77" s="592"/>
      <c r="Q77" s="765"/>
      <c r="R77" s="765"/>
      <c r="S77" s="765"/>
      <c r="T77" s="765"/>
      <c r="U77" s="586"/>
      <c r="V77" s="587">
        <v>60</v>
      </c>
      <c r="W77" s="586">
        <v>2</v>
      </c>
      <c r="X77" s="587">
        <v>150</v>
      </c>
      <c r="Y77" s="965">
        <v>8</v>
      </c>
      <c r="Z77" s="588">
        <v>24</v>
      </c>
      <c r="AA77" s="586">
        <v>2</v>
      </c>
      <c r="AB77" s="588">
        <v>16</v>
      </c>
      <c r="AC77" s="586"/>
      <c r="AD77" s="586"/>
      <c r="AE77" s="586"/>
      <c r="AF77" s="734">
        <f t="shared" si="3"/>
        <v>2624</v>
      </c>
      <c r="AG77" s="585">
        <f t="shared" si="4"/>
        <v>131.20000000000002</v>
      </c>
      <c r="AH77" s="585">
        <f t="shared" si="5"/>
        <v>2755.2</v>
      </c>
      <c r="AI77" s="584">
        <v>227915</v>
      </c>
    </row>
    <row r="78" spans="1:36">
      <c r="A78" s="580">
        <v>42222</v>
      </c>
      <c r="B78" s="581" t="s">
        <v>475</v>
      </c>
      <c r="C78" s="582">
        <v>1</v>
      </c>
      <c r="D78" s="583">
        <v>1400</v>
      </c>
      <c r="E78" s="582">
        <v>1</v>
      </c>
      <c r="F78" s="583">
        <v>132</v>
      </c>
      <c r="G78" s="586"/>
      <c r="H78" s="585">
        <v>3150</v>
      </c>
      <c r="I78" s="585"/>
      <c r="J78" s="585">
        <v>0</v>
      </c>
      <c r="K78" s="586"/>
      <c r="L78" s="585">
        <v>2100</v>
      </c>
      <c r="M78" s="586"/>
      <c r="N78" s="585">
        <v>198</v>
      </c>
      <c r="O78" s="593"/>
      <c r="P78" s="592"/>
      <c r="Q78" s="765"/>
      <c r="R78" s="765"/>
      <c r="S78" s="765"/>
      <c r="T78" s="765"/>
      <c r="U78" s="586">
        <v>1</v>
      </c>
      <c r="V78" s="587">
        <v>60</v>
      </c>
      <c r="W78" s="586"/>
      <c r="X78" s="587">
        <v>0</v>
      </c>
      <c r="Y78" s="586"/>
      <c r="Z78" s="588">
        <v>24</v>
      </c>
      <c r="AA78" s="586"/>
      <c r="AB78" s="588">
        <v>16</v>
      </c>
      <c r="AC78" s="586"/>
      <c r="AD78" s="586">
        <v>1</v>
      </c>
      <c r="AE78" s="589">
        <v>140.6</v>
      </c>
      <c r="AF78" s="734">
        <f t="shared" si="3"/>
        <v>1732.6</v>
      </c>
      <c r="AG78" s="585">
        <f t="shared" si="4"/>
        <v>86.63</v>
      </c>
      <c r="AH78" s="585">
        <f t="shared" si="5"/>
        <v>1819.23</v>
      </c>
      <c r="AI78" s="584">
        <v>227915</v>
      </c>
    </row>
    <row r="79" spans="1:36">
      <c r="A79" s="580">
        <v>42222</v>
      </c>
      <c r="B79" s="581" t="s">
        <v>291</v>
      </c>
      <c r="C79" s="582"/>
      <c r="D79" s="583">
        <v>1400</v>
      </c>
      <c r="E79" s="582"/>
      <c r="F79" s="583">
        <v>132</v>
      </c>
      <c r="G79" s="586"/>
      <c r="H79" s="585">
        <v>3150</v>
      </c>
      <c r="I79" s="585"/>
      <c r="J79" s="585">
        <v>0</v>
      </c>
      <c r="K79" s="586">
        <v>1</v>
      </c>
      <c r="L79" s="585">
        <v>2100</v>
      </c>
      <c r="M79" s="586"/>
      <c r="N79" s="585">
        <v>198</v>
      </c>
      <c r="O79" s="593"/>
      <c r="P79" s="592"/>
      <c r="Q79" s="765"/>
      <c r="R79" s="765"/>
      <c r="S79" s="765"/>
      <c r="T79" s="765"/>
      <c r="U79" s="586">
        <v>1</v>
      </c>
      <c r="V79" s="587">
        <v>60</v>
      </c>
      <c r="W79" s="586">
        <v>1</v>
      </c>
      <c r="X79" s="587">
        <v>150</v>
      </c>
      <c r="Y79" s="586"/>
      <c r="Z79" s="588">
        <v>24</v>
      </c>
      <c r="AA79" s="586">
        <v>19</v>
      </c>
      <c r="AB79" s="588">
        <v>16</v>
      </c>
      <c r="AC79" s="586"/>
      <c r="AD79" s="586">
        <v>1</v>
      </c>
      <c r="AE79" s="586">
        <v>144.13999999999999</v>
      </c>
      <c r="AF79" s="734">
        <f t="shared" si="3"/>
        <v>2758.14</v>
      </c>
      <c r="AG79" s="585">
        <f t="shared" si="4"/>
        <v>137.90700000000001</v>
      </c>
      <c r="AH79" s="585">
        <f t="shared" si="5"/>
        <v>2896.047</v>
      </c>
      <c r="AI79" s="584">
        <v>227915</v>
      </c>
    </row>
    <row r="80" spans="1:36">
      <c r="A80" s="580">
        <v>42222</v>
      </c>
      <c r="B80" s="581" t="s">
        <v>891</v>
      </c>
      <c r="C80" s="582"/>
      <c r="D80" s="583">
        <v>1400</v>
      </c>
      <c r="E80" s="582"/>
      <c r="F80" s="583">
        <v>132</v>
      </c>
      <c r="G80" s="586">
        <v>1</v>
      </c>
      <c r="H80" s="585">
        <v>3150</v>
      </c>
      <c r="I80" s="586">
        <v>1</v>
      </c>
      <c r="J80" s="585">
        <v>840</v>
      </c>
      <c r="K80" s="586"/>
      <c r="L80" s="585">
        <v>2100</v>
      </c>
      <c r="M80" s="586"/>
      <c r="N80" s="585">
        <v>198</v>
      </c>
      <c r="O80" s="593"/>
      <c r="P80" s="592"/>
      <c r="Q80" s="765"/>
      <c r="R80" s="765"/>
      <c r="S80" s="765"/>
      <c r="T80" s="765"/>
      <c r="U80" s="586">
        <v>3</v>
      </c>
      <c r="V80" s="587">
        <v>60</v>
      </c>
      <c r="W80" s="586">
        <v>1</v>
      </c>
      <c r="X80" s="587">
        <v>150</v>
      </c>
      <c r="Y80" s="586">
        <v>45</v>
      </c>
      <c r="Z80" s="588">
        <v>24</v>
      </c>
      <c r="AA80" s="586"/>
      <c r="AB80" s="588">
        <v>16</v>
      </c>
      <c r="AC80" s="586"/>
      <c r="AD80" s="586">
        <v>1</v>
      </c>
      <c r="AE80" s="586">
        <v>390.28</v>
      </c>
      <c r="AF80" s="734">
        <f t="shared" si="3"/>
        <v>5790.28</v>
      </c>
      <c r="AG80" s="585">
        <f t="shared" si="4"/>
        <v>289.51400000000001</v>
      </c>
      <c r="AH80" s="585">
        <f t="shared" si="5"/>
        <v>6079.7939999999999</v>
      </c>
      <c r="AI80" s="584">
        <v>227915</v>
      </c>
    </row>
    <row r="81" spans="1:64">
      <c r="A81" s="580">
        <v>42222</v>
      </c>
      <c r="B81" s="581" t="s">
        <v>501</v>
      </c>
      <c r="C81" s="582"/>
      <c r="D81" s="583">
        <v>1400</v>
      </c>
      <c r="E81" s="582"/>
      <c r="F81" s="583">
        <v>132</v>
      </c>
      <c r="G81" s="586">
        <v>1</v>
      </c>
      <c r="H81" s="585">
        <v>3150</v>
      </c>
      <c r="I81" s="586"/>
      <c r="J81" s="585">
        <v>0</v>
      </c>
      <c r="K81" s="586"/>
      <c r="L81" s="585">
        <v>2100</v>
      </c>
      <c r="M81" s="586"/>
      <c r="N81" s="585">
        <v>198</v>
      </c>
      <c r="O81" s="593"/>
      <c r="P81" s="592"/>
      <c r="Q81" s="765"/>
      <c r="R81" s="765"/>
      <c r="S81" s="765"/>
      <c r="T81" s="765"/>
      <c r="U81" s="586"/>
      <c r="V81" s="587">
        <v>60</v>
      </c>
      <c r="W81" s="586">
        <v>3</v>
      </c>
      <c r="X81" s="587">
        <v>150</v>
      </c>
      <c r="Y81" s="586"/>
      <c r="Z81" s="588">
        <v>24</v>
      </c>
      <c r="AA81" s="586">
        <v>53</v>
      </c>
      <c r="AB81" s="588">
        <v>16</v>
      </c>
      <c r="AC81" s="586"/>
      <c r="AD81" s="586"/>
      <c r="AE81" s="586"/>
      <c r="AF81" s="734">
        <f t="shared" si="3"/>
        <v>4448</v>
      </c>
      <c r="AG81" s="585">
        <f t="shared" si="4"/>
        <v>222.4</v>
      </c>
      <c r="AH81" s="585">
        <f t="shared" si="5"/>
        <v>4670.3999999999996</v>
      </c>
      <c r="AI81" s="584">
        <v>227915</v>
      </c>
    </row>
    <row r="82" spans="1:64">
      <c r="A82" s="580">
        <v>42222</v>
      </c>
      <c r="B82" s="581" t="s">
        <v>846</v>
      </c>
      <c r="C82" s="582"/>
      <c r="D82" s="583">
        <v>1400</v>
      </c>
      <c r="E82" s="582"/>
      <c r="F82" s="583">
        <v>132</v>
      </c>
      <c r="G82" s="586"/>
      <c r="H82" s="585">
        <v>3150</v>
      </c>
      <c r="I82" s="585"/>
      <c r="J82" s="585">
        <v>0</v>
      </c>
      <c r="K82" s="586">
        <v>1</v>
      </c>
      <c r="L82" s="585">
        <v>2100</v>
      </c>
      <c r="M82" s="586"/>
      <c r="N82" s="585">
        <v>198</v>
      </c>
      <c r="O82" s="593"/>
      <c r="P82" s="592"/>
      <c r="Q82" s="765"/>
      <c r="R82" s="765"/>
      <c r="S82" s="765"/>
      <c r="T82" s="765"/>
      <c r="U82" s="586"/>
      <c r="V82" s="587">
        <v>60</v>
      </c>
      <c r="W82" s="586">
        <v>2</v>
      </c>
      <c r="X82" s="587">
        <v>150</v>
      </c>
      <c r="Y82" s="965">
        <v>3</v>
      </c>
      <c r="Z82" s="588">
        <v>24</v>
      </c>
      <c r="AA82" s="586"/>
      <c r="AB82" s="588">
        <v>16</v>
      </c>
      <c r="AC82" s="586"/>
      <c r="AD82" s="586"/>
      <c r="AE82" s="586"/>
      <c r="AF82" s="734">
        <f t="shared" si="3"/>
        <v>2472</v>
      </c>
      <c r="AG82" s="585">
        <f t="shared" si="4"/>
        <v>123.60000000000001</v>
      </c>
      <c r="AH82" s="585">
        <f t="shared" si="5"/>
        <v>2595.6</v>
      </c>
      <c r="AI82" s="584">
        <v>227915</v>
      </c>
    </row>
    <row r="83" spans="1:64">
      <c r="A83" s="580">
        <v>42223</v>
      </c>
      <c r="B83" s="581" t="s">
        <v>476</v>
      </c>
      <c r="C83" s="582">
        <v>1</v>
      </c>
      <c r="D83" s="583">
        <v>1400</v>
      </c>
      <c r="E83" s="582">
        <v>1</v>
      </c>
      <c r="F83" s="583">
        <v>132</v>
      </c>
      <c r="G83" s="586"/>
      <c r="H83" s="585">
        <v>3150</v>
      </c>
      <c r="I83" s="585"/>
      <c r="J83" s="585">
        <v>0</v>
      </c>
      <c r="K83" s="586"/>
      <c r="L83" s="585">
        <v>2100</v>
      </c>
      <c r="M83" s="586"/>
      <c r="N83" s="585">
        <v>198</v>
      </c>
      <c r="O83" s="593"/>
      <c r="P83" s="592"/>
      <c r="Q83" s="765"/>
      <c r="R83" s="765"/>
      <c r="S83" s="765"/>
      <c r="T83" s="765"/>
      <c r="U83" s="586">
        <v>1</v>
      </c>
      <c r="V83" s="587">
        <v>60</v>
      </c>
      <c r="W83" s="586"/>
      <c r="X83" s="587">
        <v>0</v>
      </c>
      <c r="Y83" s="586"/>
      <c r="Z83" s="588">
        <v>24</v>
      </c>
      <c r="AA83" s="586"/>
      <c r="AB83" s="588">
        <v>16</v>
      </c>
      <c r="AC83" s="586"/>
      <c r="AD83" s="586">
        <v>1</v>
      </c>
      <c r="AE83" s="589">
        <v>140.6</v>
      </c>
      <c r="AF83" s="734">
        <f t="shared" si="3"/>
        <v>1732.6</v>
      </c>
      <c r="AG83" s="585">
        <f t="shared" si="4"/>
        <v>86.63</v>
      </c>
      <c r="AH83" s="585">
        <f t="shared" si="5"/>
        <v>1819.23</v>
      </c>
      <c r="AI83" s="584">
        <v>227915</v>
      </c>
      <c r="AJ83" s="532"/>
    </row>
    <row r="84" spans="1:64">
      <c r="A84" s="580">
        <v>42223</v>
      </c>
      <c r="B84" s="581" t="s">
        <v>292</v>
      </c>
      <c r="C84" s="582"/>
      <c r="D84" s="583">
        <v>1400</v>
      </c>
      <c r="E84" s="582"/>
      <c r="F84" s="583">
        <v>132</v>
      </c>
      <c r="G84" s="586"/>
      <c r="H84" s="585">
        <v>3150</v>
      </c>
      <c r="I84" s="585"/>
      <c r="J84" s="585">
        <v>0</v>
      </c>
      <c r="K84" s="586">
        <v>1</v>
      </c>
      <c r="L84" s="585">
        <v>2100</v>
      </c>
      <c r="M84" s="586"/>
      <c r="N84" s="585">
        <v>198</v>
      </c>
      <c r="O84" s="593"/>
      <c r="P84" s="592"/>
      <c r="Q84" s="765"/>
      <c r="R84" s="765"/>
      <c r="S84" s="765"/>
      <c r="T84" s="765"/>
      <c r="U84" s="586">
        <v>1</v>
      </c>
      <c r="V84" s="587">
        <v>60</v>
      </c>
      <c r="W84" s="586">
        <v>1</v>
      </c>
      <c r="X84" s="587">
        <v>150</v>
      </c>
      <c r="Y84" s="586">
        <v>8</v>
      </c>
      <c r="Z84" s="588">
        <v>24</v>
      </c>
      <c r="AA84" s="586"/>
      <c r="AB84" s="588">
        <v>16</v>
      </c>
      <c r="AC84" s="586"/>
      <c r="AD84" s="586">
        <v>1</v>
      </c>
      <c r="AE84" s="586">
        <v>144.13999999999999</v>
      </c>
      <c r="AF84" s="734">
        <f t="shared" si="3"/>
        <v>2646.14</v>
      </c>
      <c r="AG84" s="585">
        <f t="shared" si="4"/>
        <v>132.30699999999999</v>
      </c>
      <c r="AH84" s="585">
        <f t="shared" si="5"/>
        <v>2778.4469999999997</v>
      </c>
      <c r="AI84" s="584">
        <v>227915</v>
      </c>
    </row>
    <row r="85" spans="1:64">
      <c r="A85" s="580">
        <v>42223</v>
      </c>
      <c r="B85" s="581" t="s">
        <v>892</v>
      </c>
      <c r="C85" s="582"/>
      <c r="D85" s="583">
        <v>1400</v>
      </c>
      <c r="E85" s="582"/>
      <c r="F85" s="583">
        <v>132</v>
      </c>
      <c r="G85" s="586">
        <v>1</v>
      </c>
      <c r="H85" s="585">
        <v>3150</v>
      </c>
      <c r="I85" s="586">
        <v>1</v>
      </c>
      <c r="J85" s="585">
        <v>840</v>
      </c>
      <c r="K85" s="586"/>
      <c r="L85" s="585">
        <v>2100</v>
      </c>
      <c r="M85" s="586"/>
      <c r="N85" s="585">
        <v>198</v>
      </c>
      <c r="O85" s="593"/>
      <c r="P85" s="592"/>
      <c r="Q85" s="765"/>
      <c r="R85" s="765"/>
      <c r="S85" s="765"/>
      <c r="T85" s="765"/>
      <c r="U85" s="586">
        <v>3</v>
      </c>
      <c r="V85" s="587">
        <v>60</v>
      </c>
      <c r="W85" s="586">
        <v>1</v>
      </c>
      <c r="X85" s="587">
        <v>150</v>
      </c>
      <c r="Y85" s="586">
        <v>43</v>
      </c>
      <c r="Z85" s="588">
        <v>24</v>
      </c>
      <c r="AA85" s="586"/>
      <c r="AB85" s="588">
        <v>16</v>
      </c>
      <c r="AC85" s="586"/>
      <c r="AD85" s="586">
        <v>1</v>
      </c>
      <c r="AE85" s="586">
        <v>390.28</v>
      </c>
      <c r="AF85" s="734">
        <f t="shared" si="3"/>
        <v>5742.28</v>
      </c>
      <c r="AG85" s="585">
        <f t="shared" si="4"/>
        <v>287.11399999999998</v>
      </c>
      <c r="AH85" s="585">
        <f t="shared" si="5"/>
        <v>6029.3939999999993</v>
      </c>
      <c r="AI85" s="584">
        <v>227915</v>
      </c>
    </row>
    <row r="86" spans="1:64">
      <c r="A86" s="580">
        <v>42223</v>
      </c>
      <c r="B86" s="581" t="s">
        <v>502</v>
      </c>
      <c r="C86" s="582"/>
      <c r="D86" s="583">
        <v>1400</v>
      </c>
      <c r="E86" s="582"/>
      <c r="F86" s="583">
        <v>132</v>
      </c>
      <c r="G86" s="586">
        <v>1</v>
      </c>
      <c r="H86" s="585">
        <v>3150</v>
      </c>
      <c r="I86" s="586"/>
      <c r="J86" s="585">
        <v>0</v>
      </c>
      <c r="K86" s="586"/>
      <c r="L86" s="585">
        <v>2100</v>
      </c>
      <c r="M86" s="586"/>
      <c r="N86" s="585">
        <v>198</v>
      </c>
      <c r="O86" s="593"/>
      <c r="P86" s="592"/>
      <c r="Q86" s="765"/>
      <c r="R86" s="765"/>
      <c r="S86" s="765"/>
      <c r="T86" s="765"/>
      <c r="U86" s="586"/>
      <c r="V86" s="587">
        <v>60</v>
      </c>
      <c r="W86" s="586">
        <v>3</v>
      </c>
      <c r="X86" s="587">
        <v>150</v>
      </c>
      <c r="Y86" s="586"/>
      <c r="Z86" s="588">
        <v>24</v>
      </c>
      <c r="AA86" s="586">
        <v>64</v>
      </c>
      <c r="AB86" s="588">
        <v>16</v>
      </c>
      <c r="AC86" s="586"/>
      <c r="AD86" s="586"/>
      <c r="AE86" s="586"/>
      <c r="AF86" s="734">
        <f t="shared" si="3"/>
        <v>4624</v>
      </c>
      <c r="AG86" s="585">
        <f t="shared" si="4"/>
        <v>231.20000000000002</v>
      </c>
      <c r="AH86" s="585">
        <f t="shared" si="5"/>
        <v>4855.2</v>
      </c>
      <c r="AI86" s="584">
        <v>227915</v>
      </c>
    </row>
    <row r="87" spans="1:64">
      <c r="A87" s="580">
        <v>42223</v>
      </c>
      <c r="B87" s="581" t="s">
        <v>847</v>
      </c>
      <c r="C87" s="582"/>
      <c r="D87" s="583">
        <v>1400</v>
      </c>
      <c r="E87" s="582"/>
      <c r="F87" s="583">
        <v>132</v>
      </c>
      <c r="G87" s="586"/>
      <c r="H87" s="585">
        <v>3150</v>
      </c>
      <c r="I87" s="585"/>
      <c r="J87" s="585">
        <v>0</v>
      </c>
      <c r="K87" s="586">
        <v>1</v>
      </c>
      <c r="L87" s="585">
        <v>2100</v>
      </c>
      <c r="M87" s="586"/>
      <c r="N87" s="585">
        <v>198</v>
      </c>
      <c r="O87" s="593"/>
      <c r="P87" s="592"/>
      <c r="Q87" s="765"/>
      <c r="R87" s="765"/>
      <c r="S87" s="765"/>
      <c r="T87" s="765"/>
      <c r="U87" s="586"/>
      <c r="V87" s="587">
        <v>60</v>
      </c>
      <c r="W87" s="586">
        <v>2</v>
      </c>
      <c r="X87" s="587">
        <v>150</v>
      </c>
      <c r="Y87" s="965">
        <v>4</v>
      </c>
      <c r="Z87" s="588">
        <v>24</v>
      </c>
      <c r="AA87" s="965">
        <v>3</v>
      </c>
      <c r="AB87" s="588">
        <v>16</v>
      </c>
      <c r="AC87" s="586"/>
      <c r="AD87" s="586"/>
      <c r="AE87" s="586"/>
      <c r="AF87" s="734">
        <f t="shared" si="3"/>
        <v>2544</v>
      </c>
      <c r="AG87" s="585">
        <f t="shared" si="4"/>
        <v>127.2</v>
      </c>
      <c r="AH87" s="585">
        <f t="shared" si="5"/>
        <v>2671.2</v>
      </c>
      <c r="AI87" s="584">
        <v>227915</v>
      </c>
    </row>
    <row r="88" spans="1:64">
      <c r="A88" s="580">
        <v>42224</v>
      </c>
      <c r="B88" s="581" t="s">
        <v>477</v>
      </c>
      <c r="C88" s="582">
        <v>1</v>
      </c>
      <c r="D88" s="583">
        <v>1400</v>
      </c>
      <c r="E88" s="582">
        <v>1</v>
      </c>
      <c r="F88" s="583">
        <v>132</v>
      </c>
      <c r="G88" s="586"/>
      <c r="H88" s="585">
        <v>3150</v>
      </c>
      <c r="I88" s="585"/>
      <c r="J88" s="585">
        <v>0</v>
      </c>
      <c r="K88" s="586"/>
      <c r="L88" s="585">
        <v>2100</v>
      </c>
      <c r="M88" s="586"/>
      <c r="N88" s="585">
        <v>198</v>
      </c>
      <c r="O88" s="593"/>
      <c r="P88" s="592"/>
      <c r="Q88" s="765"/>
      <c r="R88" s="765"/>
      <c r="S88" s="765"/>
      <c r="T88" s="765"/>
      <c r="U88" s="586">
        <v>1</v>
      </c>
      <c r="V88" s="587">
        <v>60</v>
      </c>
      <c r="W88" s="586"/>
      <c r="X88" s="587">
        <v>0</v>
      </c>
      <c r="Y88" s="586"/>
      <c r="Z88" s="588">
        <v>24</v>
      </c>
      <c r="AA88" s="586"/>
      <c r="AB88" s="588">
        <v>16</v>
      </c>
      <c r="AC88" s="586"/>
      <c r="AD88" s="586">
        <v>1</v>
      </c>
      <c r="AE88" s="589">
        <v>140.63</v>
      </c>
      <c r="AF88" s="734">
        <f t="shared" si="3"/>
        <v>1732.63</v>
      </c>
      <c r="AG88" s="585">
        <f t="shared" si="4"/>
        <v>86.631500000000017</v>
      </c>
      <c r="AH88" s="585">
        <f t="shared" si="5"/>
        <v>1819.2615000000001</v>
      </c>
      <c r="AI88" s="584">
        <v>227915</v>
      </c>
    </row>
    <row r="89" spans="1:64">
      <c r="A89" s="580">
        <v>42224</v>
      </c>
      <c r="B89" s="581" t="s">
        <v>296</v>
      </c>
      <c r="C89" s="582"/>
      <c r="D89" s="583">
        <v>1400</v>
      </c>
      <c r="E89" s="582"/>
      <c r="F89" s="583">
        <v>132</v>
      </c>
      <c r="G89" s="586"/>
      <c r="H89" s="585">
        <v>3150</v>
      </c>
      <c r="I89" s="585"/>
      <c r="J89" s="585">
        <v>0</v>
      </c>
      <c r="K89" s="586">
        <v>1</v>
      </c>
      <c r="L89" s="585">
        <v>2100</v>
      </c>
      <c r="M89" s="586"/>
      <c r="N89" s="585">
        <v>198</v>
      </c>
      <c r="O89" s="593"/>
      <c r="P89" s="592"/>
      <c r="Q89" s="765"/>
      <c r="R89" s="765"/>
      <c r="S89" s="765"/>
      <c r="T89" s="765"/>
      <c r="U89" s="586">
        <v>1</v>
      </c>
      <c r="V89" s="587">
        <v>60</v>
      </c>
      <c r="W89" s="586">
        <v>1</v>
      </c>
      <c r="X89" s="587">
        <v>150</v>
      </c>
      <c r="Y89" s="586">
        <v>6</v>
      </c>
      <c r="Z89" s="588">
        <v>24</v>
      </c>
      <c r="AA89" s="586">
        <v>4</v>
      </c>
      <c r="AB89" s="588">
        <v>16</v>
      </c>
      <c r="AC89" s="586"/>
      <c r="AD89" s="586">
        <v>1</v>
      </c>
      <c r="AE89" s="586">
        <v>144.13999999999999</v>
      </c>
      <c r="AF89" s="734">
        <f t="shared" si="3"/>
        <v>2662.14</v>
      </c>
      <c r="AG89" s="585">
        <f t="shared" si="4"/>
        <v>133.107</v>
      </c>
      <c r="AH89" s="585">
        <f t="shared" si="5"/>
        <v>2795.2469999999998</v>
      </c>
      <c r="AI89" s="584">
        <v>227915</v>
      </c>
    </row>
    <row r="90" spans="1:64">
      <c r="A90" s="580">
        <v>42224</v>
      </c>
      <c r="B90" s="581" t="s">
        <v>893</v>
      </c>
      <c r="C90" s="582"/>
      <c r="D90" s="583">
        <v>1400</v>
      </c>
      <c r="E90" s="582"/>
      <c r="F90" s="583">
        <v>132</v>
      </c>
      <c r="G90" s="586">
        <v>1</v>
      </c>
      <c r="H90" s="585">
        <v>3150</v>
      </c>
      <c r="I90" s="586">
        <v>1</v>
      </c>
      <c r="J90" s="585">
        <v>840</v>
      </c>
      <c r="K90" s="586"/>
      <c r="L90" s="585">
        <v>2100</v>
      </c>
      <c r="M90" s="586"/>
      <c r="N90" s="585">
        <v>198</v>
      </c>
      <c r="O90" s="593"/>
      <c r="P90" s="592"/>
      <c r="Q90" s="765"/>
      <c r="R90" s="765"/>
      <c r="S90" s="765"/>
      <c r="T90" s="765"/>
      <c r="U90" s="586">
        <v>3</v>
      </c>
      <c r="V90" s="587">
        <v>60</v>
      </c>
      <c r="W90" s="586">
        <v>1</v>
      </c>
      <c r="X90" s="587">
        <v>150</v>
      </c>
      <c r="Y90" s="586">
        <v>51</v>
      </c>
      <c r="Z90" s="588">
        <v>24</v>
      </c>
      <c r="AA90" s="586"/>
      <c r="AB90" s="588">
        <v>16</v>
      </c>
      <c r="AC90" s="586"/>
      <c r="AD90" s="586">
        <v>1</v>
      </c>
      <c r="AE90" s="586">
        <v>390.31</v>
      </c>
      <c r="AF90" s="734">
        <f t="shared" si="3"/>
        <v>5934.31</v>
      </c>
      <c r="AG90" s="585">
        <f t="shared" si="4"/>
        <v>296.71550000000002</v>
      </c>
      <c r="AH90" s="585">
        <f t="shared" si="5"/>
        <v>6231.0255000000006</v>
      </c>
      <c r="AI90" s="584">
        <v>227915</v>
      </c>
    </row>
    <row r="91" spans="1:64">
      <c r="A91" s="580">
        <v>42224</v>
      </c>
      <c r="B91" s="581" t="s">
        <v>503</v>
      </c>
      <c r="C91" s="582"/>
      <c r="D91" s="583">
        <v>1400</v>
      </c>
      <c r="E91" s="582"/>
      <c r="F91" s="583">
        <v>132</v>
      </c>
      <c r="G91" s="586">
        <v>1</v>
      </c>
      <c r="H91" s="585">
        <v>3150</v>
      </c>
      <c r="I91" s="586"/>
      <c r="J91" s="585">
        <v>0</v>
      </c>
      <c r="K91" s="586"/>
      <c r="L91" s="585">
        <v>2100</v>
      </c>
      <c r="M91" s="586"/>
      <c r="N91" s="585">
        <v>198</v>
      </c>
      <c r="O91" s="593"/>
      <c r="P91" s="592"/>
      <c r="Q91" s="765"/>
      <c r="R91" s="765"/>
      <c r="S91" s="765"/>
      <c r="T91" s="765"/>
      <c r="U91" s="586"/>
      <c r="V91" s="587">
        <v>60</v>
      </c>
      <c r="W91" s="586">
        <v>3</v>
      </c>
      <c r="X91" s="587">
        <v>150</v>
      </c>
      <c r="Y91" s="586"/>
      <c r="Z91" s="588">
        <v>24</v>
      </c>
      <c r="AA91" s="586">
        <v>84</v>
      </c>
      <c r="AB91" s="588">
        <v>16</v>
      </c>
      <c r="AC91" s="586"/>
      <c r="AD91" s="586"/>
      <c r="AE91" s="586"/>
      <c r="AF91" s="734">
        <f t="shared" si="3"/>
        <v>4944</v>
      </c>
      <c r="AG91" s="585">
        <f t="shared" si="4"/>
        <v>247.20000000000002</v>
      </c>
      <c r="AH91" s="585">
        <f t="shared" si="5"/>
        <v>5191.2</v>
      </c>
      <c r="AI91" s="584">
        <v>227915</v>
      </c>
    </row>
    <row r="92" spans="1:64" s="192" customFormat="1">
      <c r="A92" s="580">
        <v>42224</v>
      </c>
      <c r="B92" s="581" t="s">
        <v>848</v>
      </c>
      <c r="C92" s="582"/>
      <c r="D92" s="583">
        <v>1400</v>
      </c>
      <c r="E92" s="582"/>
      <c r="F92" s="583">
        <v>132</v>
      </c>
      <c r="G92" s="586"/>
      <c r="H92" s="585">
        <v>3150</v>
      </c>
      <c r="I92" s="585"/>
      <c r="J92" s="585">
        <v>0</v>
      </c>
      <c r="K92" s="586">
        <v>1</v>
      </c>
      <c r="L92" s="585">
        <v>2100</v>
      </c>
      <c r="M92" s="586"/>
      <c r="N92" s="585">
        <v>198</v>
      </c>
      <c r="O92" s="593"/>
      <c r="P92" s="592"/>
      <c r="Q92" s="765"/>
      <c r="R92" s="765"/>
      <c r="S92" s="765"/>
      <c r="T92" s="765"/>
      <c r="U92" s="586"/>
      <c r="V92" s="587">
        <v>60</v>
      </c>
      <c r="W92" s="586">
        <v>2</v>
      </c>
      <c r="X92" s="587">
        <v>150</v>
      </c>
      <c r="Y92" s="586">
        <v>1</v>
      </c>
      <c r="Z92" s="588">
        <v>24</v>
      </c>
      <c r="AA92" s="586">
        <v>2</v>
      </c>
      <c r="AB92" s="588">
        <v>16</v>
      </c>
      <c r="AC92" s="586"/>
      <c r="AD92" s="586"/>
      <c r="AE92" s="586"/>
      <c r="AF92" s="734">
        <f t="shared" si="3"/>
        <v>2456</v>
      </c>
      <c r="AG92" s="585">
        <f t="shared" si="4"/>
        <v>122.80000000000001</v>
      </c>
      <c r="AH92" s="585">
        <f t="shared" si="5"/>
        <v>2578.8000000000002</v>
      </c>
      <c r="AI92" s="584">
        <v>227915</v>
      </c>
      <c r="AJ92" s="316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</row>
    <row r="93" spans="1:64" s="192" customFormat="1">
      <c r="A93" s="720">
        <v>42226</v>
      </c>
      <c r="B93" s="721" t="s">
        <v>478</v>
      </c>
      <c r="C93" s="722">
        <v>1</v>
      </c>
      <c r="D93" s="723">
        <v>1400</v>
      </c>
      <c r="E93" s="722">
        <v>1</v>
      </c>
      <c r="F93" s="723">
        <v>132</v>
      </c>
      <c r="G93" s="725"/>
      <c r="H93" s="724">
        <v>3150</v>
      </c>
      <c r="I93" s="724"/>
      <c r="J93" s="724">
        <v>0</v>
      </c>
      <c r="K93" s="725"/>
      <c r="L93" s="724">
        <v>2100</v>
      </c>
      <c r="M93" s="725"/>
      <c r="N93" s="724">
        <v>198</v>
      </c>
      <c r="O93" s="680"/>
      <c r="P93" s="726"/>
      <c r="Q93" s="766"/>
      <c r="R93" s="766"/>
      <c r="S93" s="766"/>
      <c r="T93" s="766"/>
      <c r="U93" s="725">
        <v>1</v>
      </c>
      <c r="V93" s="727">
        <v>60</v>
      </c>
      <c r="W93" s="725"/>
      <c r="X93" s="727">
        <v>0</v>
      </c>
      <c r="Y93" s="725"/>
      <c r="Z93" s="728">
        <v>24</v>
      </c>
      <c r="AA93" s="725"/>
      <c r="AB93" s="728">
        <v>16</v>
      </c>
      <c r="AC93" s="725"/>
      <c r="AD93" s="725">
        <v>1</v>
      </c>
      <c r="AE93" s="725">
        <v>140.6</v>
      </c>
      <c r="AF93" s="724">
        <f t="shared" si="3"/>
        <v>1732.6</v>
      </c>
      <c r="AG93" s="724">
        <f t="shared" si="4"/>
        <v>86.63</v>
      </c>
      <c r="AH93" s="724">
        <f t="shared" si="5"/>
        <v>1819.23</v>
      </c>
      <c r="AI93" s="984">
        <v>227916</v>
      </c>
      <c r="AJ93" s="194"/>
    </row>
    <row r="94" spans="1:64" s="192" customFormat="1">
      <c r="A94" s="720">
        <v>42226</v>
      </c>
      <c r="B94" s="721" t="s">
        <v>484</v>
      </c>
      <c r="C94" s="722"/>
      <c r="D94" s="723">
        <v>1400</v>
      </c>
      <c r="E94" s="722"/>
      <c r="F94" s="723">
        <v>132</v>
      </c>
      <c r="G94" s="725"/>
      <c r="H94" s="724">
        <v>3150</v>
      </c>
      <c r="I94" s="724"/>
      <c r="J94" s="724">
        <v>0</v>
      </c>
      <c r="K94" s="725">
        <v>1</v>
      </c>
      <c r="L94" s="724">
        <v>2100</v>
      </c>
      <c r="M94" s="725"/>
      <c r="N94" s="724">
        <v>198</v>
      </c>
      <c r="O94" s="680"/>
      <c r="P94" s="726"/>
      <c r="Q94" s="766"/>
      <c r="R94" s="766"/>
      <c r="S94" s="766"/>
      <c r="T94" s="766"/>
      <c r="U94" s="725">
        <v>1</v>
      </c>
      <c r="V94" s="727">
        <v>60</v>
      </c>
      <c r="W94" s="725">
        <v>1</v>
      </c>
      <c r="X94" s="727">
        <v>150</v>
      </c>
      <c r="Y94" s="725">
        <v>6</v>
      </c>
      <c r="Z94" s="728">
        <v>24</v>
      </c>
      <c r="AA94" s="725">
        <v>10</v>
      </c>
      <c r="AB94" s="728">
        <v>16</v>
      </c>
      <c r="AC94" s="725"/>
      <c r="AD94" s="725">
        <v>1</v>
      </c>
      <c r="AE94" s="725">
        <v>144.13999999999999</v>
      </c>
      <c r="AF94" s="724">
        <f t="shared" si="3"/>
        <v>2758.14</v>
      </c>
      <c r="AG94" s="724">
        <f t="shared" si="4"/>
        <v>137.90700000000001</v>
      </c>
      <c r="AH94" s="724">
        <f t="shared" si="5"/>
        <v>2896.047</v>
      </c>
      <c r="AI94" s="984">
        <v>227916</v>
      </c>
      <c r="AJ94" s="194"/>
    </row>
    <row r="95" spans="1:64" s="192" customFormat="1">
      <c r="A95" s="720">
        <v>42226</v>
      </c>
      <c r="B95" s="721" t="s">
        <v>490</v>
      </c>
      <c r="C95" s="722"/>
      <c r="D95" s="723">
        <v>1400</v>
      </c>
      <c r="E95" s="722"/>
      <c r="F95" s="723">
        <v>132</v>
      </c>
      <c r="G95" s="725"/>
      <c r="H95" s="724">
        <v>3150</v>
      </c>
      <c r="I95" s="724"/>
      <c r="J95" s="724">
        <v>0</v>
      </c>
      <c r="K95" s="725">
        <v>1</v>
      </c>
      <c r="L95" s="724">
        <v>2100</v>
      </c>
      <c r="M95" s="725">
        <v>1</v>
      </c>
      <c r="N95" s="724">
        <v>198</v>
      </c>
      <c r="O95" s="680"/>
      <c r="P95" s="726"/>
      <c r="Q95" s="766"/>
      <c r="R95" s="766"/>
      <c r="S95" s="766"/>
      <c r="T95" s="766"/>
      <c r="U95" s="725"/>
      <c r="V95" s="727">
        <v>60</v>
      </c>
      <c r="W95" s="725">
        <v>2</v>
      </c>
      <c r="X95" s="727">
        <v>150</v>
      </c>
      <c r="Y95" s="965">
        <v>3</v>
      </c>
      <c r="Z95" s="728">
        <v>24</v>
      </c>
      <c r="AA95" s="725">
        <v>0</v>
      </c>
      <c r="AB95" s="728">
        <v>16</v>
      </c>
      <c r="AC95" s="725"/>
      <c r="AD95" s="725"/>
      <c r="AE95" s="725"/>
      <c r="AF95" s="724">
        <f t="shared" si="3"/>
        <v>2670</v>
      </c>
      <c r="AG95" s="724">
        <f t="shared" si="4"/>
        <v>133.5</v>
      </c>
      <c r="AH95" s="724">
        <f t="shared" si="5"/>
        <v>2803.5</v>
      </c>
      <c r="AI95" s="984">
        <v>227916</v>
      </c>
      <c r="AJ95" s="194"/>
    </row>
    <row r="96" spans="1:64" s="192" customFormat="1">
      <c r="A96" s="720">
        <v>42226</v>
      </c>
      <c r="B96" s="721" t="s">
        <v>894</v>
      </c>
      <c r="C96" s="722"/>
      <c r="D96" s="723">
        <v>1400</v>
      </c>
      <c r="E96" s="722"/>
      <c r="F96" s="723">
        <v>132</v>
      </c>
      <c r="G96" s="725">
        <v>1</v>
      </c>
      <c r="H96" s="724">
        <v>3150</v>
      </c>
      <c r="I96" s="725">
        <v>1</v>
      </c>
      <c r="J96" s="724">
        <v>840</v>
      </c>
      <c r="K96" s="725"/>
      <c r="L96" s="724">
        <v>2100</v>
      </c>
      <c r="M96" s="725"/>
      <c r="N96" s="724">
        <v>198</v>
      </c>
      <c r="O96" s="680"/>
      <c r="P96" s="726"/>
      <c r="Q96" s="766"/>
      <c r="R96" s="766"/>
      <c r="S96" s="766"/>
      <c r="T96" s="766"/>
      <c r="U96" s="725">
        <v>3</v>
      </c>
      <c r="V96" s="727">
        <v>60</v>
      </c>
      <c r="W96" s="725">
        <v>1</v>
      </c>
      <c r="X96" s="727">
        <v>150</v>
      </c>
      <c r="Y96" s="725">
        <v>56</v>
      </c>
      <c r="Z96" s="728">
        <v>24</v>
      </c>
      <c r="AA96" s="725"/>
      <c r="AB96" s="728">
        <v>16</v>
      </c>
      <c r="AC96" s="725"/>
      <c r="AD96" s="725">
        <v>1</v>
      </c>
      <c r="AE96" s="725">
        <v>390.29</v>
      </c>
      <c r="AF96" s="724">
        <f t="shared" si="3"/>
        <v>6054.29</v>
      </c>
      <c r="AG96" s="724">
        <f t="shared" si="4"/>
        <v>302.71449999999999</v>
      </c>
      <c r="AH96" s="724">
        <f t="shared" si="5"/>
        <v>6357.0045</v>
      </c>
      <c r="AI96" s="984">
        <v>227916</v>
      </c>
      <c r="AJ96" s="194"/>
    </row>
    <row r="97" spans="1:36" s="192" customFormat="1">
      <c r="A97" s="720">
        <v>42226</v>
      </c>
      <c r="B97" s="721" t="s">
        <v>496</v>
      </c>
      <c r="C97" s="722"/>
      <c r="D97" s="723">
        <v>1400</v>
      </c>
      <c r="E97" s="722"/>
      <c r="F97" s="723">
        <v>132</v>
      </c>
      <c r="G97" s="725">
        <v>1</v>
      </c>
      <c r="H97" s="724">
        <v>3150</v>
      </c>
      <c r="I97" s="724"/>
      <c r="J97" s="724">
        <v>0</v>
      </c>
      <c r="K97" s="725"/>
      <c r="L97" s="724">
        <v>2100</v>
      </c>
      <c r="M97" s="725"/>
      <c r="N97" s="724">
        <v>198</v>
      </c>
      <c r="O97" s="680"/>
      <c r="P97" s="726"/>
      <c r="Q97" s="766"/>
      <c r="R97" s="766"/>
      <c r="S97" s="766"/>
      <c r="T97" s="766"/>
      <c r="U97" s="725"/>
      <c r="V97" s="727">
        <v>60</v>
      </c>
      <c r="W97" s="725">
        <v>3</v>
      </c>
      <c r="X97" s="727">
        <v>150</v>
      </c>
      <c r="Y97" s="725"/>
      <c r="Z97" s="728">
        <v>24</v>
      </c>
      <c r="AA97" s="725">
        <v>64</v>
      </c>
      <c r="AB97" s="728">
        <v>16</v>
      </c>
      <c r="AC97" s="725"/>
      <c r="AD97" s="725"/>
      <c r="AE97" s="725"/>
      <c r="AF97" s="724">
        <f t="shared" si="3"/>
        <v>4624</v>
      </c>
      <c r="AG97" s="724">
        <f t="shared" si="4"/>
        <v>231.20000000000002</v>
      </c>
      <c r="AH97" s="724">
        <f t="shared" si="5"/>
        <v>4855.2</v>
      </c>
      <c r="AI97" s="984">
        <v>227916</v>
      </c>
      <c r="AJ97" s="194"/>
    </row>
    <row r="98" spans="1:36" s="192" customFormat="1">
      <c r="A98" s="720">
        <v>42227</v>
      </c>
      <c r="B98" s="721" t="s">
        <v>479</v>
      </c>
      <c r="C98" s="722">
        <v>1</v>
      </c>
      <c r="D98" s="723">
        <v>1400</v>
      </c>
      <c r="E98" s="722">
        <v>1</v>
      </c>
      <c r="F98" s="723">
        <v>132</v>
      </c>
      <c r="G98" s="725"/>
      <c r="H98" s="724">
        <v>3150</v>
      </c>
      <c r="I98" s="724"/>
      <c r="J98" s="724">
        <v>0</v>
      </c>
      <c r="K98" s="725"/>
      <c r="L98" s="724">
        <v>2100</v>
      </c>
      <c r="M98" s="725"/>
      <c r="N98" s="724">
        <v>198</v>
      </c>
      <c r="O98" s="680"/>
      <c r="P98" s="726"/>
      <c r="Q98" s="766"/>
      <c r="R98" s="766"/>
      <c r="S98" s="766"/>
      <c r="T98" s="766"/>
      <c r="U98" s="725">
        <v>1</v>
      </c>
      <c r="V98" s="727">
        <v>60</v>
      </c>
      <c r="W98" s="725"/>
      <c r="X98" s="727">
        <v>0</v>
      </c>
      <c r="Y98" s="725"/>
      <c r="Z98" s="728">
        <v>24</v>
      </c>
      <c r="AA98" s="725"/>
      <c r="AB98" s="728">
        <v>16</v>
      </c>
      <c r="AC98" s="725"/>
      <c r="AD98" s="725">
        <v>1</v>
      </c>
      <c r="AE98" s="725">
        <v>140.6</v>
      </c>
      <c r="AF98" s="724">
        <f t="shared" si="3"/>
        <v>1732.6</v>
      </c>
      <c r="AG98" s="724">
        <f t="shared" si="4"/>
        <v>86.63</v>
      </c>
      <c r="AH98" s="724">
        <f t="shared" si="5"/>
        <v>1819.23</v>
      </c>
      <c r="AI98" s="984">
        <v>227916</v>
      </c>
      <c r="AJ98" s="194"/>
    </row>
    <row r="99" spans="1:36" s="192" customFormat="1">
      <c r="A99" s="720">
        <v>42227</v>
      </c>
      <c r="B99" s="721" t="s">
        <v>485</v>
      </c>
      <c r="C99" s="722"/>
      <c r="D99" s="723">
        <v>1400</v>
      </c>
      <c r="E99" s="722"/>
      <c r="F99" s="723">
        <v>132</v>
      </c>
      <c r="G99" s="725"/>
      <c r="H99" s="724">
        <v>3150</v>
      </c>
      <c r="I99" s="724"/>
      <c r="J99" s="724">
        <v>0</v>
      </c>
      <c r="K99" s="725">
        <v>1</v>
      </c>
      <c r="L99" s="724">
        <v>2100</v>
      </c>
      <c r="M99" s="725"/>
      <c r="N99" s="724">
        <v>198</v>
      </c>
      <c r="O99" s="680"/>
      <c r="P99" s="726"/>
      <c r="Q99" s="766"/>
      <c r="R99" s="766"/>
      <c r="S99" s="766"/>
      <c r="T99" s="766"/>
      <c r="U99" s="725">
        <v>1</v>
      </c>
      <c r="V99" s="727">
        <v>60</v>
      </c>
      <c r="W99" s="725">
        <v>1</v>
      </c>
      <c r="X99" s="727">
        <v>150</v>
      </c>
      <c r="Y99" s="725">
        <v>7</v>
      </c>
      <c r="Z99" s="728">
        <v>24</v>
      </c>
      <c r="AA99" s="725">
        <v>4</v>
      </c>
      <c r="AB99" s="728">
        <v>16</v>
      </c>
      <c r="AC99" s="725"/>
      <c r="AD99" s="725">
        <v>1</v>
      </c>
      <c r="AE99" s="725">
        <v>144.13999999999999</v>
      </c>
      <c r="AF99" s="724">
        <f t="shared" si="3"/>
        <v>2686.14</v>
      </c>
      <c r="AG99" s="724">
        <f t="shared" si="4"/>
        <v>134.30699999999999</v>
      </c>
      <c r="AH99" s="724">
        <f t="shared" si="5"/>
        <v>2820.4469999999997</v>
      </c>
      <c r="AI99" s="984">
        <v>227916</v>
      </c>
      <c r="AJ99" s="194"/>
    </row>
    <row r="100" spans="1:36" s="192" customFormat="1">
      <c r="A100" s="720">
        <v>42227</v>
      </c>
      <c r="B100" s="721" t="s">
        <v>491</v>
      </c>
      <c r="C100" s="722"/>
      <c r="D100" s="723">
        <v>1400</v>
      </c>
      <c r="E100" s="722"/>
      <c r="F100" s="723">
        <v>132</v>
      </c>
      <c r="G100" s="725"/>
      <c r="H100" s="724">
        <v>3150</v>
      </c>
      <c r="I100" s="724"/>
      <c r="J100" s="724">
        <v>0</v>
      </c>
      <c r="K100" s="725">
        <v>1</v>
      </c>
      <c r="L100" s="724">
        <v>2100</v>
      </c>
      <c r="M100" s="725"/>
      <c r="N100" s="724">
        <v>198</v>
      </c>
      <c r="O100" s="680"/>
      <c r="P100" s="726"/>
      <c r="Q100" s="766"/>
      <c r="R100" s="766"/>
      <c r="S100" s="766"/>
      <c r="T100" s="766"/>
      <c r="U100" s="725"/>
      <c r="V100" s="727">
        <v>60</v>
      </c>
      <c r="W100" s="725">
        <v>2</v>
      </c>
      <c r="X100" s="727">
        <v>150</v>
      </c>
      <c r="Y100" s="965">
        <v>6</v>
      </c>
      <c r="Z100" s="728">
        <v>24</v>
      </c>
      <c r="AA100" s="725">
        <v>2</v>
      </c>
      <c r="AB100" s="728">
        <v>16</v>
      </c>
      <c r="AC100" s="725"/>
      <c r="AD100" s="725"/>
      <c r="AE100" s="725"/>
      <c r="AF100" s="724">
        <f t="shared" si="3"/>
        <v>2576</v>
      </c>
      <c r="AG100" s="724">
        <f t="shared" si="4"/>
        <v>128.80000000000001</v>
      </c>
      <c r="AH100" s="724">
        <f t="shared" si="5"/>
        <v>2704.8</v>
      </c>
      <c r="AI100" s="984">
        <v>227916</v>
      </c>
      <c r="AJ100" s="194"/>
    </row>
    <row r="101" spans="1:36" s="192" customFormat="1">
      <c r="A101" s="720">
        <v>42227</v>
      </c>
      <c r="B101" s="721" t="s">
        <v>895</v>
      </c>
      <c r="C101" s="722"/>
      <c r="D101" s="723">
        <v>1400</v>
      </c>
      <c r="E101" s="722"/>
      <c r="F101" s="723">
        <v>132</v>
      </c>
      <c r="G101" s="725">
        <v>1</v>
      </c>
      <c r="H101" s="724">
        <v>3150</v>
      </c>
      <c r="I101" s="725">
        <v>1</v>
      </c>
      <c r="J101" s="724">
        <v>840</v>
      </c>
      <c r="K101" s="725"/>
      <c r="L101" s="724">
        <v>2100</v>
      </c>
      <c r="M101" s="725"/>
      <c r="N101" s="724">
        <v>198</v>
      </c>
      <c r="O101" s="680"/>
      <c r="P101" s="726"/>
      <c r="Q101" s="766"/>
      <c r="R101" s="766"/>
      <c r="S101" s="766"/>
      <c r="T101" s="766"/>
      <c r="U101" s="725">
        <v>3</v>
      </c>
      <c r="V101" s="727">
        <v>60</v>
      </c>
      <c r="W101" s="725">
        <v>1</v>
      </c>
      <c r="X101" s="727">
        <v>150</v>
      </c>
      <c r="Y101" s="725">
        <v>49</v>
      </c>
      <c r="Z101" s="728">
        <v>24</v>
      </c>
      <c r="AA101" s="725"/>
      <c r="AB101" s="728">
        <v>16</v>
      </c>
      <c r="AC101" s="725"/>
      <c r="AD101" s="725">
        <v>1</v>
      </c>
      <c r="AE101" s="725">
        <v>390.29</v>
      </c>
      <c r="AF101" s="724">
        <f t="shared" si="3"/>
        <v>5886.29</v>
      </c>
      <c r="AG101" s="724">
        <f t="shared" si="4"/>
        <v>294.31450000000001</v>
      </c>
      <c r="AH101" s="724">
        <f t="shared" si="5"/>
        <v>6180.6045000000004</v>
      </c>
      <c r="AI101" s="984">
        <v>227916</v>
      </c>
      <c r="AJ101" s="194"/>
    </row>
    <row r="102" spans="1:36" s="192" customFormat="1">
      <c r="A102" s="720">
        <v>42227</v>
      </c>
      <c r="B102" s="721" t="s">
        <v>857</v>
      </c>
      <c r="C102" s="722"/>
      <c r="D102" s="723">
        <v>1400</v>
      </c>
      <c r="E102" s="722"/>
      <c r="F102" s="723">
        <v>132</v>
      </c>
      <c r="G102" s="725">
        <v>1</v>
      </c>
      <c r="H102" s="724">
        <v>3150</v>
      </c>
      <c r="I102" s="724"/>
      <c r="J102" s="724">
        <v>0</v>
      </c>
      <c r="K102" s="725"/>
      <c r="L102" s="724">
        <v>2100</v>
      </c>
      <c r="M102" s="725"/>
      <c r="N102" s="724">
        <v>198</v>
      </c>
      <c r="O102" s="680"/>
      <c r="P102" s="726"/>
      <c r="Q102" s="766"/>
      <c r="R102" s="766"/>
      <c r="S102" s="766"/>
      <c r="T102" s="766"/>
      <c r="U102" s="725"/>
      <c r="V102" s="727">
        <v>60</v>
      </c>
      <c r="W102" s="725">
        <v>3</v>
      </c>
      <c r="X102" s="727">
        <v>150</v>
      </c>
      <c r="Y102" s="725"/>
      <c r="Z102" s="728">
        <v>24</v>
      </c>
      <c r="AA102" s="725">
        <v>64</v>
      </c>
      <c r="AB102" s="728">
        <v>16</v>
      </c>
      <c r="AC102" s="725"/>
      <c r="AD102" s="725"/>
      <c r="AE102" s="725"/>
      <c r="AF102" s="724">
        <f t="shared" si="3"/>
        <v>4624</v>
      </c>
      <c r="AG102" s="724">
        <f t="shared" si="4"/>
        <v>231.20000000000002</v>
      </c>
      <c r="AH102" s="724">
        <f t="shared" si="5"/>
        <v>4855.2</v>
      </c>
      <c r="AI102" s="984">
        <v>227916</v>
      </c>
      <c r="AJ102" s="194"/>
    </row>
    <row r="103" spans="1:36" s="192" customFormat="1">
      <c r="A103" s="720">
        <v>42228</v>
      </c>
      <c r="B103" s="721" t="s">
        <v>480</v>
      </c>
      <c r="C103" s="722">
        <v>1</v>
      </c>
      <c r="D103" s="723">
        <v>1400</v>
      </c>
      <c r="E103" s="722">
        <v>1</v>
      </c>
      <c r="F103" s="723">
        <v>132</v>
      </c>
      <c r="G103" s="725"/>
      <c r="H103" s="724">
        <v>3150</v>
      </c>
      <c r="I103" s="724"/>
      <c r="J103" s="724">
        <v>0</v>
      </c>
      <c r="K103" s="725"/>
      <c r="L103" s="724">
        <v>2100</v>
      </c>
      <c r="M103" s="725"/>
      <c r="N103" s="724">
        <v>198</v>
      </c>
      <c r="O103" s="680"/>
      <c r="P103" s="726"/>
      <c r="Q103" s="766"/>
      <c r="R103" s="766"/>
      <c r="S103" s="766"/>
      <c r="T103" s="766"/>
      <c r="U103" s="725">
        <v>1</v>
      </c>
      <c r="V103" s="727">
        <v>60</v>
      </c>
      <c r="W103" s="725"/>
      <c r="X103" s="727">
        <v>0</v>
      </c>
      <c r="Y103" s="725"/>
      <c r="Z103" s="728">
        <v>24</v>
      </c>
      <c r="AA103" s="725"/>
      <c r="AB103" s="728">
        <v>16</v>
      </c>
      <c r="AC103" s="725"/>
      <c r="AD103" s="725">
        <v>1</v>
      </c>
      <c r="AE103" s="725">
        <v>140.6</v>
      </c>
      <c r="AF103" s="724">
        <f t="shared" si="3"/>
        <v>1732.6</v>
      </c>
      <c r="AG103" s="724">
        <f t="shared" si="4"/>
        <v>86.63</v>
      </c>
      <c r="AH103" s="724">
        <f t="shared" si="5"/>
        <v>1819.23</v>
      </c>
      <c r="AI103" s="984">
        <v>227916</v>
      </c>
      <c r="AJ103" s="194"/>
    </row>
    <row r="104" spans="1:36" s="192" customFormat="1">
      <c r="A104" s="720">
        <v>42228</v>
      </c>
      <c r="B104" s="721" t="s">
        <v>486</v>
      </c>
      <c r="C104" s="722"/>
      <c r="D104" s="723">
        <v>1400</v>
      </c>
      <c r="E104" s="722"/>
      <c r="F104" s="723">
        <v>132</v>
      </c>
      <c r="G104" s="725"/>
      <c r="H104" s="724">
        <v>3150</v>
      </c>
      <c r="I104" s="724"/>
      <c r="J104" s="724">
        <v>0</v>
      </c>
      <c r="K104" s="725">
        <v>1</v>
      </c>
      <c r="L104" s="724">
        <v>2100</v>
      </c>
      <c r="M104" s="725"/>
      <c r="N104" s="724">
        <v>198</v>
      </c>
      <c r="O104" s="680"/>
      <c r="P104" s="726"/>
      <c r="Q104" s="766"/>
      <c r="R104" s="766"/>
      <c r="S104" s="766"/>
      <c r="T104" s="766"/>
      <c r="U104" s="725">
        <v>1</v>
      </c>
      <c r="V104" s="727">
        <v>60</v>
      </c>
      <c r="W104" s="725">
        <v>1</v>
      </c>
      <c r="X104" s="727">
        <v>150</v>
      </c>
      <c r="Y104" s="725">
        <v>5</v>
      </c>
      <c r="Z104" s="728">
        <v>24</v>
      </c>
      <c r="AA104" s="725">
        <v>10</v>
      </c>
      <c r="AB104" s="728">
        <v>16</v>
      </c>
      <c r="AC104" s="725"/>
      <c r="AD104" s="725">
        <v>1</v>
      </c>
      <c r="AE104" s="725">
        <v>144.15</v>
      </c>
      <c r="AF104" s="724">
        <f t="shared" si="3"/>
        <v>2734.15</v>
      </c>
      <c r="AG104" s="724">
        <f t="shared" si="4"/>
        <v>136.70750000000001</v>
      </c>
      <c r="AH104" s="724">
        <f t="shared" si="5"/>
        <v>2870.8575000000001</v>
      </c>
      <c r="AI104" s="984">
        <v>227916</v>
      </c>
      <c r="AJ104" s="194"/>
    </row>
    <row r="105" spans="1:36" s="192" customFormat="1">
      <c r="A105" s="720">
        <v>42228</v>
      </c>
      <c r="B105" s="721" t="s">
        <v>492</v>
      </c>
      <c r="C105" s="722"/>
      <c r="D105" s="723">
        <v>1400</v>
      </c>
      <c r="E105" s="722"/>
      <c r="F105" s="723">
        <v>132</v>
      </c>
      <c r="G105" s="725"/>
      <c r="H105" s="724">
        <v>3150</v>
      </c>
      <c r="I105" s="724"/>
      <c r="J105" s="724">
        <v>0</v>
      </c>
      <c r="K105" s="725">
        <v>1</v>
      </c>
      <c r="L105" s="724">
        <v>2100</v>
      </c>
      <c r="M105" s="725"/>
      <c r="N105" s="724">
        <v>198</v>
      </c>
      <c r="O105" s="680"/>
      <c r="P105" s="726"/>
      <c r="Q105" s="766"/>
      <c r="R105" s="766"/>
      <c r="S105" s="766"/>
      <c r="T105" s="766"/>
      <c r="U105" s="725"/>
      <c r="V105" s="727">
        <v>60</v>
      </c>
      <c r="W105" s="725">
        <v>2</v>
      </c>
      <c r="X105" s="727">
        <v>150</v>
      </c>
      <c r="Y105" s="725">
        <v>4</v>
      </c>
      <c r="Z105" s="728">
        <v>24</v>
      </c>
      <c r="AA105" s="725">
        <v>4</v>
      </c>
      <c r="AB105" s="728">
        <v>16</v>
      </c>
      <c r="AC105" s="725"/>
      <c r="AD105" s="725"/>
      <c r="AE105" s="725"/>
      <c r="AF105" s="724">
        <f t="shared" si="3"/>
        <v>2560</v>
      </c>
      <c r="AG105" s="724">
        <f t="shared" si="4"/>
        <v>128</v>
      </c>
      <c r="AH105" s="724">
        <f t="shared" si="5"/>
        <v>2688</v>
      </c>
      <c r="AI105" s="984">
        <v>227916</v>
      </c>
      <c r="AJ105" s="993" t="s">
        <v>856</v>
      </c>
    </row>
    <row r="106" spans="1:36" s="192" customFormat="1">
      <c r="A106" s="720">
        <v>42228</v>
      </c>
      <c r="B106" s="721" t="s">
        <v>896</v>
      </c>
      <c r="C106" s="722"/>
      <c r="D106" s="723">
        <v>1400</v>
      </c>
      <c r="E106" s="722"/>
      <c r="F106" s="723">
        <v>132</v>
      </c>
      <c r="G106" s="725">
        <v>1</v>
      </c>
      <c r="H106" s="724">
        <v>3150</v>
      </c>
      <c r="I106" s="725">
        <v>1</v>
      </c>
      <c r="J106" s="724">
        <v>840</v>
      </c>
      <c r="K106" s="725"/>
      <c r="L106" s="724">
        <v>2100</v>
      </c>
      <c r="M106" s="725"/>
      <c r="N106" s="724">
        <v>198</v>
      </c>
      <c r="O106" s="680"/>
      <c r="P106" s="726"/>
      <c r="Q106" s="766"/>
      <c r="R106" s="766"/>
      <c r="S106" s="766"/>
      <c r="T106" s="766"/>
      <c r="U106" s="725">
        <v>3</v>
      </c>
      <c r="V106" s="727">
        <v>60</v>
      </c>
      <c r="W106" s="725">
        <v>1</v>
      </c>
      <c r="X106" s="727">
        <v>150</v>
      </c>
      <c r="Y106" s="725">
        <v>68</v>
      </c>
      <c r="Z106" s="728">
        <v>24</v>
      </c>
      <c r="AA106" s="725"/>
      <c r="AB106" s="728">
        <v>16</v>
      </c>
      <c r="AC106" s="725"/>
      <c r="AD106" s="725">
        <v>1</v>
      </c>
      <c r="AE106" s="725">
        <v>390.29</v>
      </c>
      <c r="AF106" s="724">
        <f t="shared" si="3"/>
        <v>6342.29</v>
      </c>
      <c r="AG106" s="724">
        <f t="shared" si="4"/>
        <v>317.11450000000002</v>
      </c>
      <c r="AH106" s="724">
        <f t="shared" si="5"/>
        <v>6659.4044999999996</v>
      </c>
      <c r="AI106" s="984">
        <v>227916</v>
      </c>
      <c r="AJ106" s="1000" t="s">
        <v>883</v>
      </c>
    </row>
    <row r="107" spans="1:36" s="192" customFormat="1">
      <c r="A107" s="720">
        <v>42228</v>
      </c>
      <c r="B107" s="721" t="s">
        <v>858</v>
      </c>
      <c r="C107" s="722"/>
      <c r="D107" s="723">
        <v>1400</v>
      </c>
      <c r="E107" s="722"/>
      <c r="F107" s="723">
        <v>132</v>
      </c>
      <c r="G107" s="725">
        <v>1</v>
      </c>
      <c r="H107" s="724">
        <v>3150</v>
      </c>
      <c r="I107" s="724"/>
      <c r="J107" s="724">
        <v>0</v>
      </c>
      <c r="K107" s="725"/>
      <c r="L107" s="724">
        <v>2100</v>
      </c>
      <c r="M107" s="725"/>
      <c r="N107" s="724">
        <v>198</v>
      </c>
      <c r="O107" s="680"/>
      <c r="P107" s="726"/>
      <c r="Q107" s="766"/>
      <c r="R107" s="766"/>
      <c r="S107" s="766"/>
      <c r="T107" s="766"/>
      <c r="U107" s="725"/>
      <c r="V107" s="727">
        <v>60</v>
      </c>
      <c r="W107" s="725">
        <v>3</v>
      </c>
      <c r="X107" s="727">
        <v>150</v>
      </c>
      <c r="Y107" s="725"/>
      <c r="Z107" s="728">
        <v>24</v>
      </c>
      <c r="AA107" s="965">
        <v>64</v>
      </c>
      <c r="AB107" s="728">
        <v>16</v>
      </c>
      <c r="AC107" s="725"/>
      <c r="AD107" s="725"/>
      <c r="AE107" s="725"/>
      <c r="AF107" s="724">
        <f t="shared" si="3"/>
        <v>4624</v>
      </c>
      <c r="AG107" s="724">
        <f t="shared" si="4"/>
        <v>231.20000000000002</v>
      </c>
      <c r="AH107" s="724">
        <f t="shared" si="5"/>
        <v>4855.2</v>
      </c>
      <c r="AI107" s="984">
        <v>227916</v>
      </c>
      <c r="AJ107" s="194"/>
    </row>
    <row r="108" spans="1:36" s="192" customFormat="1">
      <c r="A108" s="720">
        <v>42229</v>
      </c>
      <c r="B108" s="721" t="s">
        <v>481</v>
      </c>
      <c r="C108" s="722">
        <v>1</v>
      </c>
      <c r="D108" s="723">
        <v>1400</v>
      </c>
      <c r="E108" s="722">
        <v>1</v>
      </c>
      <c r="F108" s="723">
        <v>132</v>
      </c>
      <c r="G108" s="725"/>
      <c r="H108" s="724">
        <v>3150</v>
      </c>
      <c r="I108" s="724"/>
      <c r="J108" s="724">
        <v>0</v>
      </c>
      <c r="K108" s="725"/>
      <c r="L108" s="724">
        <v>2100</v>
      </c>
      <c r="M108" s="725"/>
      <c r="N108" s="724">
        <v>198</v>
      </c>
      <c r="O108" s="680"/>
      <c r="P108" s="726"/>
      <c r="Q108" s="766"/>
      <c r="R108" s="766"/>
      <c r="S108" s="766"/>
      <c r="T108" s="766"/>
      <c r="U108" s="725">
        <v>1</v>
      </c>
      <c r="V108" s="727">
        <v>60</v>
      </c>
      <c r="W108" s="725"/>
      <c r="X108" s="727">
        <v>0</v>
      </c>
      <c r="Y108" s="725"/>
      <c r="Z108" s="728">
        <v>24</v>
      </c>
      <c r="AA108" s="725"/>
      <c r="AB108" s="728">
        <v>16</v>
      </c>
      <c r="AC108" s="725"/>
      <c r="AD108" s="725">
        <v>1</v>
      </c>
      <c r="AE108" s="725">
        <v>140.61000000000001</v>
      </c>
      <c r="AF108" s="724">
        <f t="shared" si="3"/>
        <v>1732.6100000000001</v>
      </c>
      <c r="AG108" s="724">
        <f t="shared" si="4"/>
        <v>86.630500000000012</v>
      </c>
      <c r="AH108" s="724">
        <f t="shared" si="5"/>
        <v>1819.2405000000001</v>
      </c>
      <c r="AI108" s="984">
        <v>227916</v>
      </c>
      <c r="AJ108" s="194"/>
    </row>
    <row r="109" spans="1:36" s="192" customFormat="1">
      <c r="A109" s="720">
        <v>42229</v>
      </c>
      <c r="B109" s="721" t="s">
        <v>487</v>
      </c>
      <c r="C109" s="722"/>
      <c r="D109" s="723">
        <v>1400</v>
      </c>
      <c r="E109" s="722"/>
      <c r="F109" s="723">
        <v>132</v>
      </c>
      <c r="G109" s="725"/>
      <c r="H109" s="724">
        <v>3150</v>
      </c>
      <c r="I109" s="724"/>
      <c r="J109" s="724">
        <v>0</v>
      </c>
      <c r="K109" s="725">
        <v>1</v>
      </c>
      <c r="L109" s="724">
        <v>2100</v>
      </c>
      <c r="M109" s="725"/>
      <c r="N109" s="724">
        <v>198</v>
      </c>
      <c r="O109" s="680"/>
      <c r="P109" s="726"/>
      <c r="Q109" s="766"/>
      <c r="R109" s="766"/>
      <c r="S109" s="766"/>
      <c r="T109" s="766"/>
      <c r="U109" s="725">
        <v>1</v>
      </c>
      <c r="V109" s="727">
        <v>60</v>
      </c>
      <c r="W109" s="725">
        <v>1</v>
      </c>
      <c r="X109" s="727">
        <v>150</v>
      </c>
      <c r="Y109" s="725">
        <v>3</v>
      </c>
      <c r="Z109" s="728">
        <v>24</v>
      </c>
      <c r="AA109" s="725">
        <v>4</v>
      </c>
      <c r="AB109" s="728">
        <v>16</v>
      </c>
      <c r="AC109" s="725"/>
      <c r="AD109" s="725">
        <v>1</v>
      </c>
      <c r="AE109" s="725">
        <v>144.15</v>
      </c>
      <c r="AF109" s="724">
        <f t="shared" si="3"/>
        <v>2590.15</v>
      </c>
      <c r="AG109" s="724">
        <f t="shared" si="4"/>
        <v>129.50750000000002</v>
      </c>
      <c r="AH109" s="724">
        <f t="shared" si="5"/>
        <v>2719.6575000000003</v>
      </c>
      <c r="AI109" s="984">
        <v>227916</v>
      </c>
      <c r="AJ109" s="194"/>
    </row>
    <row r="110" spans="1:36" s="192" customFormat="1">
      <c r="A110" s="720">
        <v>42229</v>
      </c>
      <c r="B110" s="721" t="s">
        <v>493</v>
      </c>
      <c r="C110" s="722"/>
      <c r="D110" s="723">
        <v>1400</v>
      </c>
      <c r="E110" s="722"/>
      <c r="F110" s="723">
        <v>132</v>
      </c>
      <c r="G110" s="725"/>
      <c r="H110" s="724">
        <v>3150</v>
      </c>
      <c r="I110" s="724"/>
      <c r="J110" s="724">
        <v>0</v>
      </c>
      <c r="K110" s="725">
        <v>1</v>
      </c>
      <c r="L110" s="724">
        <v>2100</v>
      </c>
      <c r="M110" s="725"/>
      <c r="N110" s="724">
        <v>198</v>
      </c>
      <c r="O110" s="680"/>
      <c r="P110" s="726"/>
      <c r="Q110" s="766"/>
      <c r="R110" s="766"/>
      <c r="S110" s="766"/>
      <c r="T110" s="766"/>
      <c r="U110" s="725"/>
      <c r="V110" s="727">
        <v>60</v>
      </c>
      <c r="W110" s="725">
        <v>2</v>
      </c>
      <c r="X110" s="727">
        <v>150</v>
      </c>
      <c r="Y110" s="965">
        <v>5</v>
      </c>
      <c r="Z110" s="728">
        <v>24</v>
      </c>
      <c r="AA110" s="725">
        <v>2</v>
      </c>
      <c r="AB110" s="728">
        <v>16</v>
      </c>
      <c r="AC110" s="725"/>
      <c r="AD110" s="725"/>
      <c r="AE110" s="725"/>
      <c r="AF110" s="724">
        <f t="shared" si="3"/>
        <v>2552</v>
      </c>
      <c r="AG110" s="724">
        <f t="shared" si="4"/>
        <v>127.60000000000001</v>
      </c>
      <c r="AH110" s="724">
        <f t="shared" si="5"/>
        <v>2679.6</v>
      </c>
      <c r="AI110" s="984">
        <v>227916</v>
      </c>
      <c r="AJ110" s="194"/>
    </row>
    <row r="111" spans="1:36" s="192" customFormat="1">
      <c r="A111" s="720">
        <v>42229</v>
      </c>
      <c r="B111" s="721" t="s">
        <v>897</v>
      </c>
      <c r="C111" s="722"/>
      <c r="D111" s="723">
        <v>1400</v>
      </c>
      <c r="E111" s="722"/>
      <c r="F111" s="723">
        <v>132</v>
      </c>
      <c r="G111" s="725">
        <v>1</v>
      </c>
      <c r="H111" s="724">
        <v>3150</v>
      </c>
      <c r="I111" s="725">
        <v>1</v>
      </c>
      <c r="J111" s="724">
        <v>840</v>
      </c>
      <c r="K111" s="725"/>
      <c r="L111" s="724">
        <v>2100</v>
      </c>
      <c r="M111" s="725"/>
      <c r="N111" s="724">
        <v>198</v>
      </c>
      <c r="O111" s="680"/>
      <c r="P111" s="726"/>
      <c r="Q111" s="766"/>
      <c r="R111" s="766"/>
      <c r="S111" s="766"/>
      <c r="T111" s="766"/>
      <c r="U111" s="725">
        <v>3</v>
      </c>
      <c r="V111" s="727">
        <v>60</v>
      </c>
      <c r="W111" s="725">
        <v>1</v>
      </c>
      <c r="X111" s="727">
        <v>150</v>
      </c>
      <c r="Y111" s="725">
        <v>67</v>
      </c>
      <c r="Z111" s="728">
        <v>24</v>
      </c>
      <c r="AA111" s="725"/>
      <c r="AB111" s="728">
        <v>16</v>
      </c>
      <c r="AC111" s="725"/>
      <c r="AD111" s="725">
        <v>1</v>
      </c>
      <c r="AE111" s="725">
        <v>390.28</v>
      </c>
      <c r="AF111" s="724">
        <f t="shared" si="3"/>
        <v>6318.28</v>
      </c>
      <c r="AG111" s="724">
        <f t="shared" si="4"/>
        <v>315.91399999999999</v>
      </c>
      <c r="AH111" s="724">
        <f t="shared" si="5"/>
        <v>6634.1939999999995</v>
      </c>
      <c r="AI111" s="984">
        <v>227916</v>
      </c>
      <c r="AJ111" s="194"/>
    </row>
    <row r="112" spans="1:36" s="192" customFormat="1">
      <c r="A112" s="720">
        <v>42229</v>
      </c>
      <c r="B112" s="721" t="s">
        <v>859</v>
      </c>
      <c r="C112" s="722"/>
      <c r="D112" s="723">
        <v>1400</v>
      </c>
      <c r="E112" s="722"/>
      <c r="F112" s="723">
        <v>132</v>
      </c>
      <c r="G112" s="725">
        <v>1</v>
      </c>
      <c r="H112" s="724">
        <v>3150</v>
      </c>
      <c r="I112" s="724"/>
      <c r="J112" s="724">
        <v>0</v>
      </c>
      <c r="K112" s="725"/>
      <c r="L112" s="724">
        <v>2100</v>
      </c>
      <c r="M112" s="725"/>
      <c r="N112" s="724">
        <v>198</v>
      </c>
      <c r="O112" s="680"/>
      <c r="P112" s="726"/>
      <c r="Q112" s="766"/>
      <c r="R112" s="766"/>
      <c r="S112" s="766"/>
      <c r="T112" s="766"/>
      <c r="U112" s="725"/>
      <c r="V112" s="727">
        <v>60</v>
      </c>
      <c r="W112" s="725">
        <v>3</v>
      </c>
      <c r="X112" s="727">
        <v>150</v>
      </c>
      <c r="Y112" s="725"/>
      <c r="Z112" s="728">
        <v>24</v>
      </c>
      <c r="AA112" s="725">
        <v>64</v>
      </c>
      <c r="AB112" s="728">
        <v>16</v>
      </c>
      <c r="AC112" s="725"/>
      <c r="AD112" s="725"/>
      <c r="AE112" s="725"/>
      <c r="AF112" s="724">
        <f t="shared" si="3"/>
        <v>4624</v>
      </c>
      <c r="AG112" s="724">
        <f t="shared" si="4"/>
        <v>231.20000000000002</v>
      </c>
      <c r="AH112" s="724">
        <f t="shared" si="5"/>
        <v>4855.2</v>
      </c>
      <c r="AI112" s="984">
        <v>227916</v>
      </c>
      <c r="AJ112" s="194"/>
    </row>
    <row r="113" spans="1:64" s="192" customFormat="1">
      <c r="A113" s="720">
        <v>42230</v>
      </c>
      <c r="B113" s="721" t="s">
        <v>482</v>
      </c>
      <c r="C113" s="722">
        <v>1</v>
      </c>
      <c r="D113" s="723">
        <v>1400</v>
      </c>
      <c r="E113" s="722">
        <v>1</v>
      </c>
      <c r="F113" s="723">
        <v>132</v>
      </c>
      <c r="G113" s="725"/>
      <c r="H113" s="724">
        <v>3150</v>
      </c>
      <c r="I113" s="724"/>
      <c r="J113" s="724">
        <v>0</v>
      </c>
      <c r="K113" s="725"/>
      <c r="L113" s="724">
        <v>2100</v>
      </c>
      <c r="M113" s="725"/>
      <c r="N113" s="724">
        <v>198</v>
      </c>
      <c r="O113" s="680"/>
      <c r="P113" s="726"/>
      <c r="Q113" s="766"/>
      <c r="R113" s="766"/>
      <c r="S113" s="766"/>
      <c r="T113" s="766"/>
      <c r="U113" s="725">
        <v>1</v>
      </c>
      <c r="V113" s="727">
        <v>60</v>
      </c>
      <c r="W113" s="725"/>
      <c r="X113" s="727">
        <v>0</v>
      </c>
      <c r="Y113" s="725"/>
      <c r="Z113" s="728">
        <v>24</v>
      </c>
      <c r="AA113" s="725"/>
      <c r="AB113" s="728">
        <v>16</v>
      </c>
      <c r="AC113" s="725"/>
      <c r="AD113" s="725">
        <v>1</v>
      </c>
      <c r="AE113" s="725">
        <v>140.61000000000001</v>
      </c>
      <c r="AF113" s="724">
        <f t="shared" si="3"/>
        <v>1732.6100000000001</v>
      </c>
      <c r="AG113" s="724">
        <f t="shared" si="4"/>
        <v>86.630500000000012</v>
      </c>
      <c r="AH113" s="724">
        <f t="shared" si="5"/>
        <v>1819.2405000000001</v>
      </c>
      <c r="AI113" s="984">
        <v>227916</v>
      </c>
      <c r="AJ113" s="194"/>
    </row>
    <row r="114" spans="1:64" s="192" customFormat="1">
      <c r="A114" s="720">
        <v>42230</v>
      </c>
      <c r="B114" s="721" t="s">
        <v>488</v>
      </c>
      <c r="C114" s="722"/>
      <c r="D114" s="723">
        <v>1400</v>
      </c>
      <c r="E114" s="722"/>
      <c r="F114" s="723">
        <v>132</v>
      </c>
      <c r="G114" s="725"/>
      <c r="H114" s="724">
        <v>3150</v>
      </c>
      <c r="I114" s="724"/>
      <c r="J114" s="724">
        <v>0</v>
      </c>
      <c r="K114" s="725">
        <v>1</v>
      </c>
      <c r="L114" s="724">
        <v>2100</v>
      </c>
      <c r="M114" s="725"/>
      <c r="N114" s="724">
        <v>198</v>
      </c>
      <c r="O114" s="680"/>
      <c r="P114" s="726"/>
      <c r="Q114" s="766"/>
      <c r="R114" s="766"/>
      <c r="S114" s="766"/>
      <c r="T114" s="766"/>
      <c r="U114" s="725">
        <v>1</v>
      </c>
      <c r="V114" s="727">
        <v>60</v>
      </c>
      <c r="W114" s="725">
        <v>1</v>
      </c>
      <c r="X114" s="727">
        <v>150</v>
      </c>
      <c r="Y114" s="725">
        <v>7</v>
      </c>
      <c r="Z114" s="728">
        <v>24</v>
      </c>
      <c r="AA114" s="725">
        <v>5</v>
      </c>
      <c r="AB114" s="728">
        <v>16</v>
      </c>
      <c r="AC114" s="725"/>
      <c r="AD114" s="725">
        <v>1</v>
      </c>
      <c r="AE114" s="725">
        <v>144.13999999999999</v>
      </c>
      <c r="AF114" s="724">
        <f t="shared" si="3"/>
        <v>2702.14</v>
      </c>
      <c r="AG114" s="724">
        <f t="shared" si="4"/>
        <v>135.107</v>
      </c>
      <c r="AH114" s="724">
        <f t="shared" si="5"/>
        <v>2837.2469999999998</v>
      </c>
      <c r="AI114" s="984">
        <v>227916</v>
      </c>
      <c r="AJ114" s="194"/>
    </row>
    <row r="115" spans="1:64" s="192" customFormat="1">
      <c r="A115" s="720">
        <v>42230</v>
      </c>
      <c r="B115" s="721" t="s">
        <v>494</v>
      </c>
      <c r="C115" s="722"/>
      <c r="D115" s="723">
        <v>1400</v>
      </c>
      <c r="E115" s="722"/>
      <c r="F115" s="723">
        <v>132</v>
      </c>
      <c r="G115" s="725"/>
      <c r="H115" s="724">
        <v>3150</v>
      </c>
      <c r="I115" s="724"/>
      <c r="J115" s="724">
        <v>0</v>
      </c>
      <c r="K115" s="725">
        <v>1</v>
      </c>
      <c r="L115" s="724">
        <v>2100</v>
      </c>
      <c r="M115" s="725"/>
      <c r="N115" s="724">
        <v>198</v>
      </c>
      <c r="O115" s="680"/>
      <c r="P115" s="726"/>
      <c r="Q115" s="766"/>
      <c r="R115" s="766"/>
      <c r="S115" s="766"/>
      <c r="T115" s="766"/>
      <c r="U115" s="725"/>
      <c r="V115" s="727">
        <v>60</v>
      </c>
      <c r="W115" s="725">
        <v>2</v>
      </c>
      <c r="X115" s="727">
        <v>150</v>
      </c>
      <c r="Y115" s="725">
        <v>3</v>
      </c>
      <c r="Z115" s="728">
        <v>24</v>
      </c>
      <c r="AA115" s="725">
        <v>5</v>
      </c>
      <c r="AB115" s="728">
        <v>16</v>
      </c>
      <c r="AC115" s="725"/>
      <c r="AD115" s="725"/>
      <c r="AE115" s="725"/>
      <c r="AF115" s="724">
        <f t="shared" si="3"/>
        <v>2552</v>
      </c>
      <c r="AG115" s="724">
        <f t="shared" si="4"/>
        <v>127.60000000000001</v>
      </c>
      <c r="AH115" s="724">
        <f t="shared" si="5"/>
        <v>2679.6</v>
      </c>
      <c r="AI115" s="984">
        <v>227916</v>
      </c>
      <c r="AJ115" s="194"/>
    </row>
    <row r="116" spans="1:64" s="192" customFormat="1">
      <c r="A116" s="720">
        <v>42230</v>
      </c>
      <c r="B116" s="721" t="s">
        <v>898</v>
      </c>
      <c r="C116" s="722"/>
      <c r="D116" s="723">
        <v>1400</v>
      </c>
      <c r="E116" s="722"/>
      <c r="F116" s="723">
        <v>132</v>
      </c>
      <c r="G116" s="725">
        <v>1</v>
      </c>
      <c r="H116" s="724">
        <v>3150</v>
      </c>
      <c r="I116" s="725">
        <v>1</v>
      </c>
      <c r="J116" s="724">
        <v>840</v>
      </c>
      <c r="K116" s="725"/>
      <c r="L116" s="724">
        <v>2100</v>
      </c>
      <c r="M116" s="725"/>
      <c r="N116" s="724">
        <v>198</v>
      </c>
      <c r="O116" s="680"/>
      <c r="P116" s="726"/>
      <c r="Q116" s="766"/>
      <c r="R116" s="766"/>
      <c r="S116" s="766"/>
      <c r="T116" s="766"/>
      <c r="U116" s="725">
        <v>3</v>
      </c>
      <c r="V116" s="727">
        <v>60</v>
      </c>
      <c r="W116" s="725">
        <v>1</v>
      </c>
      <c r="X116" s="727">
        <v>150</v>
      </c>
      <c r="Y116" s="725"/>
      <c r="Z116" s="728">
        <v>24</v>
      </c>
      <c r="AA116" s="725"/>
      <c r="AB116" s="728">
        <v>16</v>
      </c>
      <c r="AC116" s="725"/>
      <c r="AD116" s="725">
        <v>1</v>
      </c>
      <c r="AE116" s="725">
        <v>390.28</v>
      </c>
      <c r="AF116" s="724">
        <f t="shared" si="3"/>
        <v>4710.28</v>
      </c>
      <c r="AG116" s="724">
        <f t="shared" si="4"/>
        <v>235.51400000000001</v>
      </c>
      <c r="AH116" s="724">
        <f t="shared" si="5"/>
        <v>4945.7939999999999</v>
      </c>
      <c r="AI116" s="984">
        <v>227916</v>
      </c>
      <c r="AJ116" s="194"/>
    </row>
    <row r="117" spans="1:64" s="192" customFormat="1">
      <c r="A117" s="720">
        <v>42230</v>
      </c>
      <c r="B117" s="721" t="s">
        <v>860</v>
      </c>
      <c r="C117" s="722"/>
      <c r="D117" s="723">
        <v>1400</v>
      </c>
      <c r="E117" s="722"/>
      <c r="F117" s="723">
        <v>132</v>
      </c>
      <c r="G117" s="725">
        <v>1</v>
      </c>
      <c r="H117" s="724">
        <v>3150</v>
      </c>
      <c r="I117" s="724"/>
      <c r="J117" s="724">
        <v>0</v>
      </c>
      <c r="K117" s="725"/>
      <c r="L117" s="724">
        <v>2100</v>
      </c>
      <c r="M117" s="725"/>
      <c r="N117" s="724">
        <v>198</v>
      </c>
      <c r="O117" s="680"/>
      <c r="P117" s="726"/>
      <c r="Q117" s="766"/>
      <c r="R117" s="766"/>
      <c r="S117" s="766"/>
      <c r="T117" s="766"/>
      <c r="U117" s="725"/>
      <c r="V117" s="727">
        <v>60</v>
      </c>
      <c r="W117" s="725">
        <v>3</v>
      </c>
      <c r="X117" s="727">
        <v>150</v>
      </c>
      <c r="Y117" s="725"/>
      <c r="Z117" s="728">
        <v>24</v>
      </c>
      <c r="AA117" s="725">
        <v>108</v>
      </c>
      <c r="AB117" s="728">
        <v>16</v>
      </c>
      <c r="AC117" s="725"/>
      <c r="AD117" s="725"/>
      <c r="AE117" s="725"/>
      <c r="AF117" s="724">
        <f t="shared" si="3"/>
        <v>5328</v>
      </c>
      <c r="AG117" s="724">
        <f t="shared" si="4"/>
        <v>266.40000000000003</v>
      </c>
      <c r="AH117" s="724">
        <f t="shared" si="5"/>
        <v>5594.4</v>
      </c>
      <c r="AI117" s="984">
        <v>227916</v>
      </c>
      <c r="AJ117" s="194"/>
    </row>
    <row r="118" spans="1:64" s="192" customFormat="1">
      <c r="A118" s="720">
        <v>42231</v>
      </c>
      <c r="B118" s="721" t="s">
        <v>483</v>
      </c>
      <c r="C118" s="722">
        <v>1</v>
      </c>
      <c r="D118" s="723">
        <v>1400</v>
      </c>
      <c r="E118" s="722">
        <v>1</v>
      </c>
      <c r="F118" s="723">
        <v>132</v>
      </c>
      <c r="G118" s="725"/>
      <c r="H118" s="724">
        <v>3150</v>
      </c>
      <c r="I118" s="724"/>
      <c r="J118" s="724">
        <v>0</v>
      </c>
      <c r="K118" s="725"/>
      <c r="L118" s="724">
        <v>2100</v>
      </c>
      <c r="M118" s="725"/>
      <c r="N118" s="724">
        <v>198</v>
      </c>
      <c r="O118" s="680"/>
      <c r="P118" s="726"/>
      <c r="Q118" s="766"/>
      <c r="R118" s="766"/>
      <c r="S118" s="766"/>
      <c r="T118" s="766"/>
      <c r="U118" s="725">
        <v>1</v>
      </c>
      <c r="V118" s="727">
        <v>60</v>
      </c>
      <c r="W118" s="725"/>
      <c r="X118" s="727">
        <v>0</v>
      </c>
      <c r="Y118" s="725"/>
      <c r="Z118" s="728">
        <v>24</v>
      </c>
      <c r="AA118" s="725"/>
      <c r="AB118" s="728">
        <v>16</v>
      </c>
      <c r="AC118" s="725"/>
      <c r="AD118" s="725">
        <v>1</v>
      </c>
      <c r="AE118" s="725">
        <v>140.61000000000001</v>
      </c>
      <c r="AF118" s="724">
        <f t="shared" si="3"/>
        <v>1732.6100000000001</v>
      </c>
      <c r="AG118" s="724">
        <f t="shared" si="4"/>
        <v>86.630500000000012</v>
      </c>
      <c r="AH118" s="724">
        <f t="shared" si="5"/>
        <v>1819.2405000000001</v>
      </c>
      <c r="AI118" s="984">
        <v>227916</v>
      </c>
      <c r="AJ118" s="194"/>
    </row>
    <row r="119" spans="1:64" s="192" customFormat="1">
      <c r="A119" s="720">
        <v>42231</v>
      </c>
      <c r="B119" s="721" t="s">
        <v>489</v>
      </c>
      <c r="C119" s="722"/>
      <c r="D119" s="723">
        <v>1400</v>
      </c>
      <c r="E119" s="722"/>
      <c r="F119" s="723">
        <v>132</v>
      </c>
      <c r="G119" s="725"/>
      <c r="H119" s="724">
        <v>3150</v>
      </c>
      <c r="I119" s="724"/>
      <c r="J119" s="724">
        <v>0</v>
      </c>
      <c r="K119" s="725">
        <v>1</v>
      </c>
      <c r="L119" s="724">
        <v>2100</v>
      </c>
      <c r="M119" s="725"/>
      <c r="N119" s="724">
        <v>198</v>
      </c>
      <c r="O119" s="680"/>
      <c r="P119" s="726"/>
      <c r="Q119" s="766"/>
      <c r="R119" s="766"/>
      <c r="S119" s="766"/>
      <c r="T119" s="766"/>
      <c r="U119" s="725">
        <v>1</v>
      </c>
      <c r="V119" s="727">
        <v>60</v>
      </c>
      <c r="W119" s="725">
        <v>1</v>
      </c>
      <c r="X119" s="727">
        <v>150</v>
      </c>
      <c r="Y119" s="725">
        <v>4</v>
      </c>
      <c r="Z119" s="728">
        <v>24</v>
      </c>
      <c r="AA119" s="725">
        <v>5</v>
      </c>
      <c r="AB119" s="728">
        <v>16</v>
      </c>
      <c r="AC119" s="725"/>
      <c r="AD119" s="725">
        <v>1</v>
      </c>
      <c r="AE119" s="725">
        <v>144.13999999999999</v>
      </c>
      <c r="AF119" s="724">
        <f t="shared" si="3"/>
        <v>2630.14</v>
      </c>
      <c r="AG119" s="724">
        <f t="shared" si="4"/>
        <v>131.50700000000001</v>
      </c>
      <c r="AH119" s="724">
        <f t="shared" si="5"/>
        <v>2761.6469999999999</v>
      </c>
      <c r="AI119" s="984">
        <v>227916</v>
      </c>
      <c r="AJ119" s="194"/>
    </row>
    <row r="120" spans="1:64" s="192" customFormat="1">
      <c r="A120" s="720">
        <v>42231</v>
      </c>
      <c r="B120" s="721" t="s">
        <v>495</v>
      </c>
      <c r="C120" s="722"/>
      <c r="D120" s="723">
        <v>1400</v>
      </c>
      <c r="E120" s="722"/>
      <c r="F120" s="723">
        <v>132</v>
      </c>
      <c r="G120" s="725"/>
      <c r="H120" s="724">
        <v>3150</v>
      </c>
      <c r="I120" s="724"/>
      <c r="J120" s="724">
        <v>0</v>
      </c>
      <c r="K120" s="725">
        <v>1</v>
      </c>
      <c r="L120" s="724">
        <v>2100</v>
      </c>
      <c r="M120" s="725"/>
      <c r="N120" s="724">
        <v>198</v>
      </c>
      <c r="O120" s="680"/>
      <c r="P120" s="726"/>
      <c r="Q120" s="766"/>
      <c r="R120" s="766"/>
      <c r="S120" s="766"/>
      <c r="T120" s="766"/>
      <c r="U120" s="725"/>
      <c r="V120" s="727">
        <v>60</v>
      </c>
      <c r="W120" s="725">
        <v>0</v>
      </c>
      <c r="X120" s="727">
        <v>150</v>
      </c>
      <c r="Y120" s="725">
        <v>2</v>
      </c>
      <c r="Z120" s="728">
        <v>24</v>
      </c>
      <c r="AA120" s="725">
        <v>7</v>
      </c>
      <c r="AB120" s="728">
        <v>16</v>
      </c>
      <c r="AC120" s="725"/>
      <c r="AD120" s="725"/>
      <c r="AE120" s="725"/>
      <c r="AF120" s="724">
        <f t="shared" si="3"/>
        <v>2260</v>
      </c>
      <c r="AG120" s="724">
        <f t="shared" si="4"/>
        <v>113</v>
      </c>
      <c r="AH120" s="724">
        <f t="shared" si="5"/>
        <v>2373</v>
      </c>
      <c r="AI120" s="984">
        <v>227916</v>
      </c>
      <c r="AJ120" s="194"/>
    </row>
    <row r="121" spans="1:64" s="192" customFormat="1">
      <c r="A121" s="720">
        <v>42231</v>
      </c>
      <c r="B121" s="721" t="s">
        <v>886</v>
      </c>
      <c r="C121" s="722"/>
      <c r="D121" s="723">
        <v>1400</v>
      </c>
      <c r="E121" s="722"/>
      <c r="F121" s="723">
        <v>132</v>
      </c>
      <c r="G121" s="725"/>
      <c r="H121" s="724">
        <v>3150</v>
      </c>
      <c r="I121" s="724"/>
      <c r="J121" s="724">
        <v>0</v>
      </c>
      <c r="K121" s="725">
        <v>1</v>
      </c>
      <c r="L121" s="724">
        <v>2100</v>
      </c>
      <c r="M121" s="725"/>
      <c r="N121" s="724">
        <v>198</v>
      </c>
      <c r="O121" s="680"/>
      <c r="P121" s="726"/>
      <c r="Q121" s="766"/>
      <c r="R121" s="766"/>
      <c r="S121" s="766"/>
      <c r="T121" s="766"/>
      <c r="U121" s="725">
        <v>2</v>
      </c>
      <c r="V121" s="727">
        <v>60</v>
      </c>
      <c r="W121" s="725"/>
      <c r="X121" s="727">
        <v>150</v>
      </c>
      <c r="Y121" s="725">
        <v>5</v>
      </c>
      <c r="Z121" s="728">
        <v>24</v>
      </c>
      <c r="AA121" s="725">
        <v>5</v>
      </c>
      <c r="AB121" s="728">
        <v>16</v>
      </c>
      <c r="AC121" s="725"/>
      <c r="AD121" s="725">
        <v>1</v>
      </c>
      <c r="AE121" s="725">
        <v>260.19</v>
      </c>
      <c r="AF121" s="724">
        <f t="shared" si="3"/>
        <v>2680.19</v>
      </c>
      <c r="AG121" s="724">
        <f t="shared" si="4"/>
        <v>134.0095</v>
      </c>
      <c r="AH121" s="724">
        <f t="shared" si="5"/>
        <v>2814.1995000000002</v>
      </c>
      <c r="AI121" s="984">
        <v>227916</v>
      </c>
      <c r="AJ121" s="194"/>
    </row>
    <row r="122" spans="1:64" s="371" customFormat="1">
      <c r="A122" s="720">
        <v>42231</v>
      </c>
      <c r="B122" s="721" t="s">
        <v>861</v>
      </c>
      <c r="C122" s="722"/>
      <c r="D122" s="723">
        <v>1400</v>
      </c>
      <c r="E122" s="722"/>
      <c r="F122" s="723">
        <v>132</v>
      </c>
      <c r="G122" s="725">
        <v>1</v>
      </c>
      <c r="H122" s="724">
        <v>3150</v>
      </c>
      <c r="I122" s="724"/>
      <c r="J122" s="724">
        <v>0</v>
      </c>
      <c r="K122" s="725"/>
      <c r="L122" s="724">
        <v>2100</v>
      </c>
      <c r="M122" s="725"/>
      <c r="N122" s="724">
        <v>198</v>
      </c>
      <c r="O122" s="680"/>
      <c r="P122" s="726"/>
      <c r="Q122" s="766"/>
      <c r="R122" s="766"/>
      <c r="S122" s="766"/>
      <c r="T122" s="766"/>
      <c r="U122" s="725"/>
      <c r="V122" s="727">
        <v>60</v>
      </c>
      <c r="W122" s="725">
        <v>3</v>
      </c>
      <c r="X122" s="727">
        <v>150</v>
      </c>
      <c r="Y122" s="725"/>
      <c r="Z122" s="728">
        <v>24</v>
      </c>
      <c r="AA122" s="725">
        <v>20</v>
      </c>
      <c r="AB122" s="728">
        <v>16</v>
      </c>
      <c r="AC122" s="725"/>
      <c r="AD122" s="725"/>
      <c r="AE122" s="725"/>
      <c r="AF122" s="724">
        <f t="shared" si="3"/>
        <v>3920</v>
      </c>
      <c r="AG122" s="724">
        <f t="shared" si="4"/>
        <v>196</v>
      </c>
      <c r="AH122" s="724">
        <f t="shared" si="5"/>
        <v>4116</v>
      </c>
      <c r="AI122" s="984">
        <v>227916</v>
      </c>
      <c r="AJ122" s="194"/>
      <c r="AK122" s="192"/>
      <c r="AL122" s="192"/>
      <c r="AM122" s="192"/>
      <c r="AN122" s="192"/>
      <c r="AO122" s="192"/>
      <c r="AP122" s="192"/>
      <c r="AQ122" s="192"/>
      <c r="AR122" s="192"/>
      <c r="AS122" s="192"/>
      <c r="AT122" s="192"/>
      <c r="AU122" s="192"/>
      <c r="AV122" s="192"/>
      <c r="AW122" s="192"/>
      <c r="AX122" s="192"/>
      <c r="AY122" s="192"/>
      <c r="AZ122" s="192"/>
      <c r="BA122" s="192"/>
      <c r="BB122" s="192"/>
      <c r="BC122" s="192"/>
      <c r="BD122" s="192"/>
      <c r="BE122" s="192"/>
      <c r="BF122" s="192"/>
      <c r="BG122" s="192"/>
      <c r="BH122" s="192"/>
      <c r="BI122" s="192"/>
      <c r="BJ122" s="192"/>
      <c r="BK122" s="192"/>
      <c r="BL122" s="192"/>
    </row>
    <row r="123" spans="1:64" s="371" customFormat="1">
      <c r="A123" s="729">
        <v>42233</v>
      </c>
      <c r="B123" s="730" t="s">
        <v>505</v>
      </c>
      <c r="C123" s="599">
        <v>1</v>
      </c>
      <c r="D123" s="600">
        <v>1400</v>
      </c>
      <c r="E123" s="599">
        <v>1</v>
      </c>
      <c r="F123" s="600">
        <v>132</v>
      </c>
      <c r="G123" s="731">
        <v>0</v>
      </c>
      <c r="H123" s="601">
        <v>3150</v>
      </c>
      <c r="I123" s="601"/>
      <c r="J123" s="601">
        <v>0</v>
      </c>
      <c r="K123" s="731"/>
      <c r="L123" s="601">
        <v>2100</v>
      </c>
      <c r="M123" s="731"/>
      <c r="N123" s="601">
        <v>198</v>
      </c>
      <c r="O123" s="691"/>
      <c r="P123" s="688"/>
      <c r="Q123" s="767"/>
      <c r="R123" s="767"/>
      <c r="S123" s="767"/>
      <c r="T123" s="767"/>
      <c r="U123" s="731">
        <v>1</v>
      </c>
      <c r="V123" s="602">
        <v>60</v>
      </c>
      <c r="W123" s="731"/>
      <c r="X123" s="602">
        <v>150</v>
      </c>
      <c r="Y123" s="731"/>
      <c r="Z123" s="603">
        <v>24</v>
      </c>
      <c r="AA123" s="731"/>
      <c r="AB123" s="603">
        <v>16</v>
      </c>
      <c r="AC123" s="731"/>
      <c r="AD123" s="731">
        <v>1</v>
      </c>
      <c r="AE123" s="604">
        <v>140.6</v>
      </c>
      <c r="AF123" s="601">
        <f t="shared" si="3"/>
        <v>1732.6</v>
      </c>
      <c r="AG123" s="601">
        <f t="shared" si="4"/>
        <v>86.63</v>
      </c>
      <c r="AH123" s="601">
        <f t="shared" si="5"/>
        <v>1819.23</v>
      </c>
      <c r="AI123" s="985">
        <v>227917</v>
      </c>
      <c r="AJ123" s="370"/>
    </row>
    <row r="124" spans="1:64" s="371" customFormat="1">
      <c r="A124" s="729">
        <v>42233</v>
      </c>
      <c r="B124" s="732" t="s">
        <v>511</v>
      </c>
      <c r="C124" s="599"/>
      <c r="D124" s="600">
        <v>1400</v>
      </c>
      <c r="E124" s="599">
        <v>0</v>
      </c>
      <c r="F124" s="600">
        <v>132</v>
      </c>
      <c r="G124" s="731">
        <v>0</v>
      </c>
      <c r="H124" s="601">
        <v>3150</v>
      </c>
      <c r="I124" s="601"/>
      <c r="J124" s="601">
        <v>0</v>
      </c>
      <c r="K124" s="731">
        <v>1</v>
      </c>
      <c r="L124" s="601">
        <v>2100</v>
      </c>
      <c r="M124" s="731"/>
      <c r="N124" s="601">
        <v>198</v>
      </c>
      <c r="O124" s="691"/>
      <c r="P124" s="688"/>
      <c r="Q124" s="767"/>
      <c r="R124" s="767"/>
      <c r="S124" s="767"/>
      <c r="T124" s="767"/>
      <c r="U124" s="731">
        <v>1</v>
      </c>
      <c r="V124" s="602">
        <v>60</v>
      </c>
      <c r="W124" s="731">
        <v>1</v>
      </c>
      <c r="X124" s="602">
        <v>150</v>
      </c>
      <c r="Y124" s="731">
        <v>6</v>
      </c>
      <c r="Z124" s="603">
        <v>24</v>
      </c>
      <c r="AA124" s="731">
        <v>8</v>
      </c>
      <c r="AB124" s="603">
        <v>16</v>
      </c>
      <c r="AC124" s="731"/>
      <c r="AD124" s="731">
        <v>1</v>
      </c>
      <c r="AE124" s="604">
        <v>144.13999999999999</v>
      </c>
      <c r="AF124" s="601">
        <f t="shared" si="3"/>
        <v>2726.14</v>
      </c>
      <c r="AG124" s="601">
        <f t="shared" si="4"/>
        <v>136.30699999999999</v>
      </c>
      <c r="AH124" s="601">
        <f t="shared" si="5"/>
        <v>2862.4469999999997</v>
      </c>
      <c r="AI124" s="985">
        <v>227917</v>
      </c>
      <c r="AJ124" s="370"/>
    </row>
    <row r="125" spans="1:64" s="371" customFormat="1">
      <c r="A125" s="729">
        <v>42233</v>
      </c>
      <c r="B125" s="732" t="s">
        <v>512</v>
      </c>
      <c r="C125" s="599"/>
      <c r="D125" s="600">
        <v>1400</v>
      </c>
      <c r="E125" s="599">
        <v>0</v>
      </c>
      <c r="F125" s="600">
        <v>132</v>
      </c>
      <c r="G125" s="731">
        <v>0</v>
      </c>
      <c r="H125" s="601">
        <v>3150</v>
      </c>
      <c r="I125" s="601"/>
      <c r="J125" s="601">
        <v>0</v>
      </c>
      <c r="K125" s="731">
        <v>1</v>
      </c>
      <c r="L125" s="601">
        <v>2100</v>
      </c>
      <c r="M125" s="731">
        <v>2</v>
      </c>
      <c r="N125" s="601">
        <v>198</v>
      </c>
      <c r="O125" s="691"/>
      <c r="P125" s="688"/>
      <c r="Q125" s="767"/>
      <c r="R125" s="767"/>
      <c r="S125" s="767"/>
      <c r="T125" s="767"/>
      <c r="U125" s="731"/>
      <c r="V125" s="602">
        <v>60</v>
      </c>
      <c r="W125" s="731">
        <v>2</v>
      </c>
      <c r="X125" s="602">
        <v>150</v>
      </c>
      <c r="Y125" s="731">
        <v>5</v>
      </c>
      <c r="Z125" s="603">
        <v>24</v>
      </c>
      <c r="AA125" s="731">
        <v>1</v>
      </c>
      <c r="AB125" s="603">
        <v>16</v>
      </c>
      <c r="AC125" s="731"/>
      <c r="AD125" s="731"/>
      <c r="AE125" s="604"/>
      <c r="AF125" s="601">
        <f t="shared" si="3"/>
        <v>2932</v>
      </c>
      <c r="AG125" s="601">
        <f t="shared" si="4"/>
        <v>146.6</v>
      </c>
      <c r="AH125" s="601">
        <f t="shared" si="5"/>
        <v>3078.6</v>
      </c>
      <c r="AI125" s="985">
        <v>227917</v>
      </c>
      <c r="AJ125" s="370"/>
    </row>
    <row r="126" spans="1:64" s="371" customFormat="1">
      <c r="A126" s="729">
        <v>42233</v>
      </c>
      <c r="B126" s="732" t="s">
        <v>513</v>
      </c>
      <c r="C126" s="599"/>
      <c r="D126" s="600">
        <v>1400</v>
      </c>
      <c r="E126" s="599">
        <v>0</v>
      </c>
      <c r="F126" s="600">
        <v>132</v>
      </c>
      <c r="G126" s="731">
        <v>1</v>
      </c>
      <c r="H126" s="601">
        <v>3150</v>
      </c>
      <c r="I126" s="601"/>
      <c r="J126" s="601">
        <v>0</v>
      </c>
      <c r="K126" s="731">
        <v>0</v>
      </c>
      <c r="L126" s="601">
        <v>2100</v>
      </c>
      <c r="M126" s="731"/>
      <c r="N126" s="601">
        <v>198</v>
      </c>
      <c r="O126" s="691"/>
      <c r="P126" s="688"/>
      <c r="Q126" s="767"/>
      <c r="R126" s="767"/>
      <c r="S126" s="767"/>
      <c r="T126" s="767"/>
      <c r="U126" s="731"/>
      <c r="V126" s="602">
        <v>60</v>
      </c>
      <c r="W126" s="731">
        <v>3</v>
      </c>
      <c r="X126" s="602">
        <v>150</v>
      </c>
      <c r="Y126" s="731">
        <v>0</v>
      </c>
      <c r="Z126" s="603">
        <v>24</v>
      </c>
      <c r="AA126" s="731">
        <v>44</v>
      </c>
      <c r="AB126" s="603">
        <v>16</v>
      </c>
      <c r="AC126" s="731"/>
      <c r="AD126" s="731"/>
      <c r="AE126" s="604"/>
      <c r="AF126" s="601">
        <f t="shared" si="3"/>
        <v>4304</v>
      </c>
      <c r="AG126" s="601">
        <f t="shared" si="4"/>
        <v>215.20000000000002</v>
      </c>
      <c r="AH126" s="601">
        <f t="shared" si="5"/>
        <v>4519.2</v>
      </c>
      <c r="AI126" s="985">
        <v>227917</v>
      </c>
      <c r="AJ126" s="370"/>
    </row>
    <row r="127" spans="1:64" s="371" customFormat="1">
      <c r="A127" s="729">
        <v>42233</v>
      </c>
      <c r="B127" s="732" t="s">
        <v>881</v>
      </c>
      <c r="C127" s="599"/>
      <c r="D127" s="600">
        <v>1400</v>
      </c>
      <c r="E127" s="599"/>
      <c r="F127" s="600">
        <v>132</v>
      </c>
      <c r="G127" s="731">
        <v>1</v>
      </c>
      <c r="H127" s="601">
        <v>3150</v>
      </c>
      <c r="I127" s="731">
        <v>1</v>
      </c>
      <c r="J127" s="601">
        <v>840</v>
      </c>
      <c r="K127" s="731"/>
      <c r="L127" s="601">
        <v>2100</v>
      </c>
      <c r="M127" s="731"/>
      <c r="N127" s="601">
        <v>198</v>
      </c>
      <c r="O127" s="691"/>
      <c r="P127" s="688"/>
      <c r="Q127" s="767"/>
      <c r="R127" s="767"/>
      <c r="S127" s="767"/>
      <c r="T127" s="767"/>
      <c r="U127" s="731">
        <v>3</v>
      </c>
      <c r="V127" s="602">
        <v>60</v>
      </c>
      <c r="W127" s="731">
        <v>1</v>
      </c>
      <c r="X127" s="602">
        <v>150</v>
      </c>
      <c r="Y127" s="731">
        <v>32</v>
      </c>
      <c r="Z127" s="603">
        <v>24</v>
      </c>
      <c r="AA127" s="731"/>
      <c r="AB127" s="603">
        <v>16</v>
      </c>
      <c r="AC127" s="731"/>
      <c r="AD127" s="731">
        <v>1</v>
      </c>
      <c r="AE127" s="604">
        <v>390.29</v>
      </c>
      <c r="AF127" s="601">
        <f t="shared" si="3"/>
        <v>5478.29</v>
      </c>
      <c r="AG127" s="601">
        <f t="shared" si="4"/>
        <v>273.91450000000003</v>
      </c>
      <c r="AH127" s="601">
        <f t="shared" si="5"/>
        <v>5752.2044999999998</v>
      </c>
      <c r="AI127" s="985">
        <v>227917</v>
      </c>
      <c r="AJ127" s="370"/>
    </row>
    <row r="128" spans="1:64" s="371" customFormat="1">
      <c r="A128" s="729">
        <v>42234</v>
      </c>
      <c r="B128" s="730" t="s">
        <v>506</v>
      </c>
      <c r="C128" s="599">
        <v>1</v>
      </c>
      <c r="D128" s="600">
        <v>1400</v>
      </c>
      <c r="E128" s="599">
        <v>1</v>
      </c>
      <c r="F128" s="600">
        <v>132</v>
      </c>
      <c r="G128" s="731">
        <v>0</v>
      </c>
      <c r="H128" s="601">
        <v>3150</v>
      </c>
      <c r="I128" s="601"/>
      <c r="J128" s="601">
        <v>0</v>
      </c>
      <c r="K128" s="731"/>
      <c r="L128" s="601">
        <v>2100</v>
      </c>
      <c r="M128" s="731"/>
      <c r="N128" s="601">
        <v>198</v>
      </c>
      <c r="O128" s="691"/>
      <c r="P128" s="688"/>
      <c r="Q128" s="767"/>
      <c r="R128" s="767"/>
      <c r="S128" s="767"/>
      <c r="T128" s="767"/>
      <c r="U128" s="731">
        <v>1</v>
      </c>
      <c r="V128" s="602">
        <v>60</v>
      </c>
      <c r="W128" s="731"/>
      <c r="X128" s="602">
        <v>150</v>
      </c>
      <c r="Y128" s="731"/>
      <c r="Z128" s="603">
        <v>24</v>
      </c>
      <c r="AA128" s="731"/>
      <c r="AB128" s="603">
        <v>16</v>
      </c>
      <c r="AC128" s="731"/>
      <c r="AD128" s="731">
        <v>1</v>
      </c>
      <c r="AE128" s="604">
        <v>140.61000000000001</v>
      </c>
      <c r="AF128" s="601">
        <f t="shared" si="3"/>
        <v>1732.6100000000001</v>
      </c>
      <c r="AG128" s="601">
        <f t="shared" si="4"/>
        <v>86.630500000000012</v>
      </c>
      <c r="AH128" s="601">
        <f t="shared" si="5"/>
        <v>1819.2405000000001</v>
      </c>
      <c r="AI128" s="985">
        <v>227917</v>
      </c>
      <c r="AJ128" s="370"/>
    </row>
    <row r="129" spans="1:36" s="371" customFormat="1">
      <c r="A129" s="729">
        <v>42234</v>
      </c>
      <c r="B129" s="732" t="s">
        <v>863</v>
      </c>
      <c r="C129" s="599"/>
      <c r="D129" s="600">
        <v>1400</v>
      </c>
      <c r="E129" s="599">
        <v>0</v>
      </c>
      <c r="F129" s="600">
        <v>132</v>
      </c>
      <c r="G129" s="731">
        <v>0</v>
      </c>
      <c r="H129" s="601">
        <v>3150</v>
      </c>
      <c r="I129" s="601"/>
      <c r="J129" s="601">
        <v>0</v>
      </c>
      <c r="K129" s="731">
        <v>1</v>
      </c>
      <c r="L129" s="601">
        <v>2100</v>
      </c>
      <c r="M129" s="731"/>
      <c r="N129" s="601">
        <v>198</v>
      </c>
      <c r="O129" s="691"/>
      <c r="P129" s="688"/>
      <c r="Q129" s="767"/>
      <c r="R129" s="767"/>
      <c r="S129" s="767"/>
      <c r="T129" s="767"/>
      <c r="U129" s="731">
        <v>1</v>
      </c>
      <c r="V129" s="602">
        <v>60</v>
      </c>
      <c r="W129" s="731">
        <v>1</v>
      </c>
      <c r="X129" s="602">
        <v>150</v>
      </c>
      <c r="Y129" s="731">
        <v>11</v>
      </c>
      <c r="Z129" s="603">
        <v>24</v>
      </c>
      <c r="AA129" s="731">
        <v>2</v>
      </c>
      <c r="AB129" s="603">
        <v>16</v>
      </c>
      <c r="AC129" s="731"/>
      <c r="AD129" s="731">
        <v>1</v>
      </c>
      <c r="AE129" s="604">
        <v>144.13999999999999</v>
      </c>
      <c r="AF129" s="601">
        <f t="shared" si="3"/>
        <v>2750.14</v>
      </c>
      <c r="AG129" s="601">
        <f t="shared" si="4"/>
        <v>137.50700000000001</v>
      </c>
      <c r="AH129" s="601">
        <f t="shared" si="5"/>
        <v>2887.6469999999999</v>
      </c>
      <c r="AI129" s="985">
        <v>227917</v>
      </c>
      <c r="AJ129" s="370"/>
    </row>
    <row r="130" spans="1:36" s="371" customFormat="1">
      <c r="A130" s="729">
        <v>42234</v>
      </c>
      <c r="B130" s="732" t="s">
        <v>868</v>
      </c>
      <c r="C130" s="599"/>
      <c r="D130" s="600">
        <v>1400</v>
      </c>
      <c r="E130" s="599">
        <v>0</v>
      </c>
      <c r="F130" s="600">
        <v>132</v>
      </c>
      <c r="G130" s="731">
        <v>0</v>
      </c>
      <c r="H130" s="601">
        <v>3150</v>
      </c>
      <c r="I130" s="601"/>
      <c r="J130" s="601">
        <v>0</v>
      </c>
      <c r="K130" s="731">
        <v>1</v>
      </c>
      <c r="L130" s="601">
        <v>2100</v>
      </c>
      <c r="M130" s="731"/>
      <c r="N130" s="601">
        <v>198</v>
      </c>
      <c r="O130" s="691"/>
      <c r="P130" s="688"/>
      <c r="Q130" s="767"/>
      <c r="R130" s="767"/>
      <c r="S130" s="767"/>
      <c r="T130" s="767"/>
      <c r="U130" s="731"/>
      <c r="V130" s="602">
        <v>60</v>
      </c>
      <c r="W130" s="731">
        <v>2</v>
      </c>
      <c r="X130" s="602">
        <v>150</v>
      </c>
      <c r="Y130" s="731">
        <v>2</v>
      </c>
      <c r="Z130" s="603">
        <v>24</v>
      </c>
      <c r="AA130" s="731">
        <v>4</v>
      </c>
      <c r="AB130" s="603">
        <v>16</v>
      </c>
      <c r="AC130" s="731"/>
      <c r="AD130" s="731"/>
      <c r="AE130" s="604"/>
      <c r="AF130" s="601">
        <f t="shared" si="3"/>
        <v>2512</v>
      </c>
      <c r="AG130" s="601">
        <f t="shared" si="4"/>
        <v>125.60000000000001</v>
      </c>
      <c r="AH130" s="601">
        <f t="shared" si="5"/>
        <v>2637.6</v>
      </c>
      <c r="AI130" s="985">
        <v>227917</v>
      </c>
      <c r="AJ130" s="370"/>
    </row>
    <row r="131" spans="1:36" s="371" customFormat="1">
      <c r="A131" s="729">
        <v>42234</v>
      </c>
      <c r="B131" s="732" t="s">
        <v>873</v>
      </c>
      <c r="C131" s="599"/>
      <c r="D131" s="600">
        <v>1400</v>
      </c>
      <c r="E131" s="599">
        <v>0</v>
      </c>
      <c r="F131" s="600">
        <v>132</v>
      </c>
      <c r="G131" s="731">
        <v>1</v>
      </c>
      <c r="H131" s="601">
        <v>3150</v>
      </c>
      <c r="I131" s="601"/>
      <c r="J131" s="601">
        <v>0</v>
      </c>
      <c r="K131" s="731">
        <v>0</v>
      </c>
      <c r="L131" s="601">
        <v>2100</v>
      </c>
      <c r="M131" s="731"/>
      <c r="N131" s="601">
        <v>198</v>
      </c>
      <c r="O131" s="691"/>
      <c r="P131" s="688"/>
      <c r="Q131" s="767"/>
      <c r="R131" s="767"/>
      <c r="S131" s="767"/>
      <c r="T131" s="767"/>
      <c r="U131" s="731"/>
      <c r="V131" s="602">
        <v>60</v>
      </c>
      <c r="W131" s="731">
        <v>3</v>
      </c>
      <c r="X131" s="602">
        <v>150</v>
      </c>
      <c r="Y131" s="731">
        <v>0</v>
      </c>
      <c r="Z131" s="603">
        <v>24</v>
      </c>
      <c r="AA131" s="731">
        <v>40</v>
      </c>
      <c r="AB131" s="603">
        <v>16</v>
      </c>
      <c r="AC131" s="731"/>
      <c r="AD131" s="731"/>
      <c r="AE131" s="604"/>
      <c r="AF131" s="601">
        <f t="shared" si="3"/>
        <v>4240</v>
      </c>
      <c r="AG131" s="601">
        <f t="shared" si="4"/>
        <v>212</v>
      </c>
      <c r="AH131" s="601">
        <f t="shared" si="5"/>
        <v>4452</v>
      </c>
      <c r="AI131" s="985">
        <v>227917</v>
      </c>
      <c r="AJ131" s="370"/>
    </row>
    <row r="132" spans="1:36" s="371" customFormat="1">
      <c r="A132" s="729">
        <v>42234</v>
      </c>
      <c r="B132" s="732" t="s">
        <v>880</v>
      </c>
      <c r="C132" s="599"/>
      <c r="D132" s="600">
        <v>1400</v>
      </c>
      <c r="E132" s="599"/>
      <c r="F132" s="600">
        <v>132</v>
      </c>
      <c r="G132" s="731">
        <v>1</v>
      </c>
      <c r="H132" s="601">
        <v>3150</v>
      </c>
      <c r="I132" s="731">
        <v>1</v>
      </c>
      <c r="J132" s="601">
        <v>840</v>
      </c>
      <c r="K132" s="731"/>
      <c r="L132" s="601">
        <v>2100</v>
      </c>
      <c r="M132" s="731"/>
      <c r="N132" s="601">
        <v>198</v>
      </c>
      <c r="O132" s="691"/>
      <c r="P132" s="688"/>
      <c r="Q132" s="767"/>
      <c r="R132" s="767"/>
      <c r="S132" s="767"/>
      <c r="T132" s="767"/>
      <c r="U132" s="731">
        <v>3</v>
      </c>
      <c r="V132" s="602">
        <v>60</v>
      </c>
      <c r="W132" s="731">
        <v>1</v>
      </c>
      <c r="X132" s="602">
        <v>150</v>
      </c>
      <c r="Y132" s="731">
        <v>22</v>
      </c>
      <c r="Z132" s="603">
        <v>24</v>
      </c>
      <c r="AA132" s="731"/>
      <c r="AB132" s="603">
        <v>16</v>
      </c>
      <c r="AC132" s="731"/>
      <c r="AD132" s="731">
        <v>1</v>
      </c>
      <c r="AE132" s="604">
        <v>390.29</v>
      </c>
      <c r="AF132" s="601">
        <f t="shared" si="3"/>
        <v>5238.29</v>
      </c>
      <c r="AG132" s="601">
        <f t="shared" si="4"/>
        <v>261.91450000000003</v>
      </c>
      <c r="AH132" s="601">
        <f t="shared" si="5"/>
        <v>5500.2044999999998</v>
      </c>
      <c r="AI132" s="985">
        <v>227917</v>
      </c>
      <c r="AJ132" s="370"/>
    </row>
    <row r="133" spans="1:36" s="371" customFormat="1">
      <c r="A133" s="729">
        <v>42235</v>
      </c>
      <c r="B133" s="730" t="s">
        <v>507</v>
      </c>
      <c r="C133" s="599">
        <v>1</v>
      </c>
      <c r="D133" s="600">
        <v>1400</v>
      </c>
      <c r="E133" s="599">
        <v>1</v>
      </c>
      <c r="F133" s="600">
        <v>132</v>
      </c>
      <c r="G133" s="731">
        <v>0</v>
      </c>
      <c r="H133" s="601">
        <v>3150</v>
      </c>
      <c r="I133" s="601"/>
      <c r="J133" s="601">
        <v>0</v>
      </c>
      <c r="K133" s="731"/>
      <c r="L133" s="601">
        <v>2100</v>
      </c>
      <c r="M133" s="731"/>
      <c r="N133" s="601">
        <v>198</v>
      </c>
      <c r="O133" s="691"/>
      <c r="P133" s="688"/>
      <c r="Q133" s="767"/>
      <c r="R133" s="767"/>
      <c r="S133" s="767"/>
      <c r="T133" s="767"/>
      <c r="U133" s="731">
        <v>1</v>
      </c>
      <c r="V133" s="602">
        <v>60</v>
      </c>
      <c r="W133" s="731"/>
      <c r="X133" s="602">
        <v>150</v>
      </c>
      <c r="Y133" s="731"/>
      <c r="Z133" s="603">
        <v>24</v>
      </c>
      <c r="AA133" s="731"/>
      <c r="AB133" s="603">
        <v>16</v>
      </c>
      <c r="AC133" s="731"/>
      <c r="AD133" s="731">
        <v>1</v>
      </c>
      <c r="AE133" s="604">
        <v>140.61000000000001</v>
      </c>
      <c r="AF133" s="601">
        <f t="shared" ref="AF133:AF196" si="6">(C133*D133)+(Y133*Z133)+(O133*P133)+(Q133*R133)+(S133*T133)+(AA133*AB133)+(E133*F133)+(G133*H133)+(I133*J133)+(K133*L133)+(M133*N133)+(AD133*AE133)+(U133*V133)+(W133*X133)+AC133</f>
        <v>1732.6100000000001</v>
      </c>
      <c r="AG133" s="601">
        <f t="shared" ref="AG133:AG196" si="7">(AF133*5%)</f>
        <v>86.630500000000012</v>
      </c>
      <c r="AH133" s="601">
        <f t="shared" ref="AH133:AH196" si="8">SUM(AF133+AG133)</f>
        <v>1819.2405000000001</v>
      </c>
      <c r="AI133" s="985">
        <v>227917</v>
      </c>
      <c r="AJ133" s="370"/>
    </row>
    <row r="134" spans="1:36" s="371" customFormat="1">
      <c r="A134" s="729">
        <v>42235</v>
      </c>
      <c r="B134" s="732" t="s">
        <v>864</v>
      </c>
      <c r="C134" s="599"/>
      <c r="D134" s="600">
        <v>1400</v>
      </c>
      <c r="E134" s="599">
        <v>0</v>
      </c>
      <c r="F134" s="600">
        <v>132</v>
      </c>
      <c r="G134" s="731">
        <v>0</v>
      </c>
      <c r="H134" s="601">
        <v>3150</v>
      </c>
      <c r="I134" s="601"/>
      <c r="J134" s="601">
        <v>0</v>
      </c>
      <c r="K134" s="731">
        <v>1</v>
      </c>
      <c r="L134" s="601">
        <v>2100</v>
      </c>
      <c r="M134" s="731"/>
      <c r="N134" s="601">
        <v>198</v>
      </c>
      <c r="O134" s="691"/>
      <c r="P134" s="688"/>
      <c r="Q134" s="767"/>
      <c r="R134" s="767"/>
      <c r="S134" s="767"/>
      <c r="T134" s="767"/>
      <c r="U134" s="731">
        <v>1</v>
      </c>
      <c r="V134" s="602">
        <v>60</v>
      </c>
      <c r="W134" s="731">
        <v>1</v>
      </c>
      <c r="X134" s="602">
        <v>150</v>
      </c>
      <c r="Y134" s="731">
        <v>8</v>
      </c>
      <c r="Z134" s="603">
        <v>24</v>
      </c>
      <c r="AA134" s="731">
        <v>12</v>
      </c>
      <c r="AB134" s="603">
        <v>16</v>
      </c>
      <c r="AC134" s="731"/>
      <c r="AD134" s="731">
        <v>1</v>
      </c>
      <c r="AE134" s="604">
        <v>144.13999999999999</v>
      </c>
      <c r="AF134" s="601">
        <f t="shared" si="6"/>
        <v>2838.14</v>
      </c>
      <c r="AG134" s="601">
        <f t="shared" si="7"/>
        <v>141.90700000000001</v>
      </c>
      <c r="AH134" s="601">
        <f t="shared" si="8"/>
        <v>2980.047</v>
      </c>
      <c r="AI134" s="985">
        <v>227917</v>
      </c>
      <c r="AJ134" s="1001" t="s">
        <v>862</v>
      </c>
    </row>
    <row r="135" spans="1:36" s="371" customFormat="1">
      <c r="A135" s="729">
        <v>42235</v>
      </c>
      <c r="B135" s="732" t="s">
        <v>869</v>
      </c>
      <c r="C135" s="599"/>
      <c r="D135" s="600">
        <v>1400</v>
      </c>
      <c r="E135" s="599">
        <v>0</v>
      </c>
      <c r="F135" s="600">
        <v>132</v>
      </c>
      <c r="G135" s="731">
        <v>0</v>
      </c>
      <c r="H135" s="601">
        <v>3150</v>
      </c>
      <c r="I135" s="601"/>
      <c r="J135" s="601">
        <v>0</v>
      </c>
      <c r="K135" s="731">
        <v>1</v>
      </c>
      <c r="L135" s="601">
        <v>2100</v>
      </c>
      <c r="M135" s="731"/>
      <c r="N135" s="601">
        <v>198</v>
      </c>
      <c r="O135" s="691"/>
      <c r="P135" s="688"/>
      <c r="Q135" s="767"/>
      <c r="R135" s="767"/>
      <c r="S135" s="767"/>
      <c r="T135" s="767"/>
      <c r="U135" s="731"/>
      <c r="V135" s="602">
        <v>60</v>
      </c>
      <c r="W135" s="731">
        <v>2</v>
      </c>
      <c r="X135" s="602">
        <v>150</v>
      </c>
      <c r="Y135" s="731">
        <v>1</v>
      </c>
      <c r="Z135" s="603">
        <v>24</v>
      </c>
      <c r="AA135" s="731">
        <v>2</v>
      </c>
      <c r="AB135" s="603">
        <v>16</v>
      </c>
      <c r="AC135" s="731"/>
      <c r="AD135" s="731"/>
      <c r="AE135" s="604"/>
      <c r="AF135" s="601">
        <f t="shared" si="6"/>
        <v>2456</v>
      </c>
      <c r="AG135" s="601">
        <f t="shared" si="7"/>
        <v>122.80000000000001</v>
      </c>
      <c r="AH135" s="601">
        <f t="shared" si="8"/>
        <v>2578.8000000000002</v>
      </c>
      <c r="AI135" s="985">
        <v>227917</v>
      </c>
      <c r="AJ135" s="1002" t="s">
        <v>884</v>
      </c>
    </row>
    <row r="136" spans="1:36" s="371" customFormat="1">
      <c r="A136" s="729">
        <v>42235</v>
      </c>
      <c r="B136" s="732" t="s">
        <v>874</v>
      </c>
      <c r="C136" s="599"/>
      <c r="D136" s="600">
        <v>1400</v>
      </c>
      <c r="E136" s="599">
        <v>0</v>
      </c>
      <c r="F136" s="600">
        <v>132</v>
      </c>
      <c r="G136" s="731">
        <v>1</v>
      </c>
      <c r="H136" s="601">
        <v>3150</v>
      </c>
      <c r="I136" s="601"/>
      <c r="J136" s="601">
        <v>0</v>
      </c>
      <c r="K136" s="731">
        <v>0</v>
      </c>
      <c r="L136" s="601">
        <v>2100</v>
      </c>
      <c r="M136" s="731"/>
      <c r="N136" s="601">
        <v>198</v>
      </c>
      <c r="O136" s="691"/>
      <c r="P136" s="688"/>
      <c r="Q136" s="767"/>
      <c r="R136" s="767"/>
      <c r="S136" s="767"/>
      <c r="T136" s="767"/>
      <c r="U136" s="731"/>
      <c r="V136" s="602">
        <v>60</v>
      </c>
      <c r="W136" s="731">
        <v>3</v>
      </c>
      <c r="X136" s="602">
        <v>150</v>
      </c>
      <c r="Y136" s="731">
        <v>0</v>
      </c>
      <c r="Z136" s="603">
        <v>24</v>
      </c>
      <c r="AA136" s="731">
        <v>24</v>
      </c>
      <c r="AB136" s="603">
        <v>16</v>
      </c>
      <c r="AC136" s="731"/>
      <c r="AD136" s="731"/>
      <c r="AE136" s="604"/>
      <c r="AF136" s="601">
        <f t="shared" si="6"/>
        <v>3984</v>
      </c>
      <c r="AG136" s="601">
        <f t="shared" si="7"/>
        <v>199.20000000000002</v>
      </c>
      <c r="AH136" s="601">
        <f t="shared" si="8"/>
        <v>4183.2</v>
      </c>
      <c r="AI136" s="985">
        <v>227917</v>
      </c>
      <c r="AJ136" s="370"/>
    </row>
    <row r="137" spans="1:36" s="371" customFormat="1">
      <c r="A137" s="729">
        <v>42235</v>
      </c>
      <c r="B137" s="732" t="s">
        <v>879</v>
      </c>
      <c r="C137" s="599"/>
      <c r="D137" s="600">
        <v>1400</v>
      </c>
      <c r="E137" s="599"/>
      <c r="F137" s="600">
        <v>132</v>
      </c>
      <c r="G137" s="731">
        <v>1</v>
      </c>
      <c r="H137" s="601">
        <v>3150</v>
      </c>
      <c r="I137" s="731">
        <v>1</v>
      </c>
      <c r="J137" s="601">
        <v>840</v>
      </c>
      <c r="K137" s="731"/>
      <c r="L137" s="601">
        <v>2100</v>
      </c>
      <c r="M137" s="731"/>
      <c r="N137" s="601">
        <v>198</v>
      </c>
      <c r="O137" s="691"/>
      <c r="P137" s="688"/>
      <c r="Q137" s="767"/>
      <c r="R137" s="767"/>
      <c r="S137" s="767"/>
      <c r="T137" s="767"/>
      <c r="U137" s="731">
        <v>3</v>
      </c>
      <c r="V137" s="602">
        <v>60</v>
      </c>
      <c r="W137" s="731">
        <v>1</v>
      </c>
      <c r="X137" s="602">
        <v>150</v>
      </c>
      <c r="Y137" s="731">
        <v>19</v>
      </c>
      <c r="Z137" s="603">
        <v>24</v>
      </c>
      <c r="AA137" s="731">
        <v>1</v>
      </c>
      <c r="AB137" s="603">
        <v>16</v>
      </c>
      <c r="AC137" s="731"/>
      <c r="AD137" s="731">
        <v>1</v>
      </c>
      <c r="AE137" s="604">
        <v>390.28</v>
      </c>
      <c r="AF137" s="601">
        <f t="shared" si="6"/>
        <v>5182.28</v>
      </c>
      <c r="AG137" s="601">
        <f t="shared" si="7"/>
        <v>259.11399999999998</v>
      </c>
      <c r="AH137" s="601">
        <f t="shared" si="8"/>
        <v>5441.3939999999993</v>
      </c>
      <c r="AI137" s="985">
        <v>227917</v>
      </c>
      <c r="AJ137" s="370"/>
    </row>
    <row r="138" spans="1:36" s="371" customFormat="1">
      <c r="A138" s="729">
        <v>42236</v>
      </c>
      <c r="B138" s="730" t="s">
        <v>508</v>
      </c>
      <c r="C138" s="599">
        <v>1</v>
      </c>
      <c r="D138" s="600">
        <v>1400</v>
      </c>
      <c r="E138" s="599">
        <v>1</v>
      </c>
      <c r="F138" s="600">
        <v>132</v>
      </c>
      <c r="G138" s="731">
        <v>0</v>
      </c>
      <c r="H138" s="601">
        <v>3150</v>
      </c>
      <c r="I138" s="601"/>
      <c r="J138" s="601">
        <v>0</v>
      </c>
      <c r="K138" s="731"/>
      <c r="L138" s="601">
        <v>2100</v>
      </c>
      <c r="M138" s="731"/>
      <c r="N138" s="601">
        <v>198</v>
      </c>
      <c r="O138" s="691"/>
      <c r="P138" s="688"/>
      <c r="Q138" s="767"/>
      <c r="R138" s="767"/>
      <c r="S138" s="767"/>
      <c r="T138" s="767"/>
      <c r="U138" s="731">
        <v>1</v>
      </c>
      <c r="V138" s="602">
        <v>60</v>
      </c>
      <c r="W138" s="731"/>
      <c r="X138" s="602">
        <v>150</v>
      </c>
      <c r="Y138" s="731"/>
      <c r="Z138" s="603">
        <v>24</v>
      </c>
      <c r="AA138" s="731"/>
      <c r="AB138" s="603">
        <v>16</v>
      </c>
      <c r="AC138" s="731"/>
      <c r="AD138" s="731">
        <v>1</v>
      </c>
      <c r="AE138" s="604">
        <v>140.61000000000001</v>
      </c>
      <c r="AF138" s="601">
        <f t="shared" si="6"/>
        <v>1732.6100000000001</v>
      </c>
      <c r="AG138" s="601">
        <f t="shared" si="7"/>
        <v>86.630500000000012</v>
      </c>
      <c r="AH138" s="601">
        <f t="shared" si="8"/>
        <v>1819.2405000000001</v>
      </c>
      <c r="AI138" s="985">
        <v>227917</v>
      </c>
      <c r="AJ138" s="370"/>
    </row>
    <row r="139" spans="1:36" s="371" customFormat="1">
      <c r="A139" s="729">
        <v>42236</v>
      </c>
      <c r="B139" s="732" t="s">
        <v>865</v>
      </c>
      <c r="C139" s="599"/>
      <c r="D139" s="600">
        <v>1400</v>
      </c>
      <c r="E139" s="599">
        <v>0</v>
      </c>
      <c r="F139" s="600">
        <v>132</v>
      </c>
      <c r="G139" s="731">
        <v>0</v>
      </c>
      <c r="H139" s="601">
        <v>3150</v>
      </c>
      <c r="I139" s="601"/>
      <c r="J139" s="601">
        <v>0</v>
      </c>
      <c r="K139" s="731">
        <v>1</v>
      </c>
      <c r="L139" s="601">
        <v>2100</v>
      </c>
      <c r="M139" s="731"/>
      <c r="N139" s="601">
        <v>198</v>
      </c>
      <c r="O139" s="691"/>
      <c r="P139" s="688"/>
      <c r="Q139" s="767"/>
      <c r="R139" s="767"/>
      <c r="S139" s="767"/>
      <c r="T139" s="767"/>
      <c r="U139" s="731">
        <v>1</v>
      </c>
      <c r="V139" s="602">
        <v>60</v>
      </c>
      <c r="W139" s="731">
        <v>1</v>
      </c>
      <c r="X139" s="602">
        <v>150</v>
      </c>
      <c r="Y139" s="731">
        <v>15</v>
      </c>
      <c r="Z139" s="603">
        <v>24</v>
      </c>
      <c r="AA139" s="731"/>
      <c r="AB139" s="603">
        <v>16</v>
      </c>
      <c r="AC139" s="731"/>
      <c r="AD139" s="731">
        <v>1</v>
      </c>
      <c r="AE139" s="604">
        <v>144.13999999999999</v>
      </c>
      <c r="AF139" s="601">
        <f t="shared" si="6"/>
        <v>2814.14</v>
      </c>
      <c r="AG139" s="601">
        <f t="shared" si="7"/>
        <v>140.70699999999999</v>
      </c>
      <c r="AH139" s="601">
        <f t="shared" si="8"/>
        <v>2954.8469999999998</v>
      </c>
      <c r="AI139" s="985">
        <v>227917</v>
      </c>
      <c r="AJ139" s="370"/>
    </row>
    <row r="140" spans="1:36" s="371" customFormat="1">
      <c r="A140" s="729">
        <v>42236</v>
      </c>
      <c r="B140" s="732" t="s">
        <v>870</v>
      </c>
      <c r="C140" s="599"/>
      <c r="D140" s="600">
        <v>1400</v>
      </c>
      <c r="E140" s="599">
        <v>0</v>
      </c>
      <c r="F140" s="600">
        <v>132</v>
      </c>
      <c r="G140" s="731">
        <v>0</v>
      </c>
      <c r="H140" s="601">
        <v>3150</v>
      </c>
      <c r="I140" s="601"/>
      <c r="J140" s="601">
        <v>0</v>
      </c>
      <c r="K140" s="731">
        <v>1</v>
      </c>
      <c r="L140" s="601">
        <v>2100</v>
      </c>
      <c r="M140" s="731"/>
      <c r="N140" s="601">
        <v>198</v>
      </c>
      <c r="O140" s="691"/>
      <c r="P140" s="688"/>
      <c r="Q140" s="767"/>
      <c r="R140" s="767"/>
      <c r="S140" s="767"/>
      <c r="T140" s="767"/>
      <c r="U140" s="731"/>
      <c r="V140" s="602">
        <v>60</v>
      </c>
      <c r="W140" s="731">
        <v>2</v>
      </c>
      <c r="X140" s="602">
        <v>150</v>
      </c>
      <c r="Y140" s="731">
        <v>2</v>
      </c>
      <c r="Z140" s="603">
        <v>24</v>
      </c>
      <c r="AA140" s="731">
        <v>3</v>
      </c>
      <c r="AB140" s="603">
        <v>16</v>
      </c>
      <c r="AC140" s="731"/>
      <c r="AD140" s="731"/>
      <c r="AE140" s="604"/>
      <c r="AF140" s="601">
        <f t="shared" si="6"/>
        <v>2496</v>
      </c>
      <c r="AG140" s="601">
        <f t="shared" si="7"/>
        <v>124.80000000000001</v>
      </c>
      <c r="AH140" s="601">
        <f t="shared" si="8"/>
        <v>2620.8000000000002</v>
      </c>
      <c r="AI140" s="985">
        <v>227917</v>
      </c>
      <c r="AJ140" s="370"/>
    </row>
    <row r="141" spans="1:36" s="371" customFormat="1">
      <c r="A141" s="729">
        <v>42236</v>
      </c>
      <c r="B141" s="732" t="s">
        <v>875</v>
      </c>
      <c r="C141" s="599"/>
      <c r="D141" s="600">
        <v>1400</v>
      </c>
      <c r="E141" s="599">
        <v>0</v>
      </c>
      <c r="F141" s="600">
        <v>132</v>
      </c>
      <c r="G141" s="731">
        <v>1</v>
      </c>
      <c r="H141" s="601">
        <v>3150</v>
      </c>
      <c r="I141" s="601"/>
      <c r="J141" s="601">
        <v>0</v>
      </c>
      <c r="K141" s="731">
        <v>0</v>
      </c>
      <c r="L141" s="601">
        <v>2100</v>
      </c>
      <c r="M141" s="731"/>
      <c r="N141" s="601">
        <v>198</v>
      </c>
      <c r="O141" s="691"/>
      <c r="P141" s="688"/>
      <c r="Q141" s="767"/>
      <c r="R141" s="767"/>
      <c r="S141" s="767"/>
      <c r="T141" s="767"/>
      <c r="U141" s="731"/>
      <c r="V141" s="602">
        <v>60</v>
      </c>
      <c r="W141" s="731">
        <v>3</v>
      </c>
      <c r="X141" s="602">
        <v>150</v>
      </c>
      <c r="Y141" s="731">
        <v>0</v>
      </c>
      <c r="Z141" s="603">
        <v>24</v>
      </c>
      <c r="AA141" s="731">
        <v>62</v>
      </c>
      <c r="AB141" s="603">
        <v>16</v>
      </c>
      <c r="AC141" s="731"/>
      <c r="AD141" s="731"/>
      <c r="AE141" s="604"/>
      <c r="AF141" s="601">
        <f t="shared" si="6"/>
        <v>4592</v>
      </c>
      <c r="AG141" s="601">
        <f t="shared" si="7"/>
        <v>229.60000000000002</v>
      </c>
      <c r="AH141" s="601">
        <f t="shared" si="8"/>
        <v>4821.6000000000004</v>
      </c>
      <c r="AI141" s="985">
        <v>227917</v>
      </c>
      <c r="AJ141" s="370"/>
    </row>
    <row r="142" spans="1:36" s="371" customFormat="1">
      <c r="A142" s="729">
        <v>42236</v>
      </c>
      <c r="B142" s="732" t="s">
        <v>878</v>
      </c>
      <c r="C142" s="599"/>
      <c r="D142" s="600">
        <v>1400</v>
      </c>
      <c r="E142" s="599"/>
      <c r="F142" s="600">
        <v>132</v>
      </c>
      <c r="G142" s="731">
        <v>1</v>
      </c>
      <c r="H142" s="601">
        <v>3150</v>
      </c>
      <c r="I142" s="731">
        <v>1</v>
      </c>
      <c r="J142" s="601">
        <v>840</v>
      </c>
      <c r="K142" s="731"/>
      <c r="L142" s="601">
        <v>2100</v>
      </c>
      <c r="M142" s="731"/>
      <c r="N142" s="601">
        <v>198</v>
      </c>
      <c r="O142" s="691"/>
      <c r="P142" s="688"/>
      <c r="Q142" s="767"/>
      <c r="R142" s="767"/>
      <c r="S142" s="767"/>
      <c r="T142" s="767"/>
      <c r="U142" s="731">
        <v>3</v>
      </c>
      <c r="V142" s="602">
        <v>60</v>
      </c>
      <c r="W142" s="731">
        <v>1</v>
      </c>
      <c r="X142" s="602">
        <v>150</v>
      </c>
      <c r="Y142" s="731">
        <v>31</v>
      </c>
      <c r="Z142" s="603">
        <v>24</v>
      </c>
      <c r="AA142" s="731"/>
      <c r="AB142" s="603">
        <v>16</v>
      </c>
      <c r="AC142" s="731"/>
      <c r="AD142" s="731">
        <v>1</v>
      </c>
      <c r="AE142" s="604">
        <v>390.28</v>
      </c>
      <c r="AF142" s="601">
        <f t="shared" si="6"/>
        <v>5454.28</v>
      </c>
      <c r="AG142" s="601">
        <f t="shared" si="7"/>
        <v>272.714</v>
      </c>
      <c r="AH142" s="601">
        <f t="shared" si="8"/>
        <v>5726.9939999999997</v>
      </c>
      <c r="AI142" s="985">
        <v>227917</v>
      </c>
      <c r="AJ142" s="370"/>
    </row>
    <row r="143" spans="1:36" s="371" customFormat="1">
      <c r="A143" s="729">
        <v>42237</v>
      </c>
      <c r="B143" s="730" t="s">
        <v>509</v>
      </c>
      <c r="C143" s="599">
        <v>1</v>
      </c>
      <c r="D143" s="600">
        <v>1400</v>
      </c>
      <c r="E143" s="599">
        <v>0</v>
      </c>
      <c r="F143" s="600">
        <v>132</v>
      </c>
      <c r="G143" s="731">
        <v>0</v>
      </c>
      <c r="H143" s="601">
        <v>3150</v>
      </c>
      <c r="I143" s="601"/>
      <c r="J143" s="601">
        <v>0</v>
      </c>
      <c r="K143" s="731"/>
      <c r="L143" s="601">
        <v>2100</v>
      </c>
      <c r="M143" s="731"/>
      <c r="N143" s="601">
        <v>198</v>
      </c>
      <c r="O143" s="691"/>
      <c r="P143" s="688"/>
      <c r="Q143" s="767"/>
      <c r="R143" s="767"/>
      <c r="S143" s="767"/>
      <c r="T143" s="767"/>
      <c r="U143" s="731">
        <v>1</v>
      </c>
      <c r="V143" s="602">
        <v>60</v>
      </c>
      <c r="W143" s="731"/>
      <c r="X143" s="602">
        <v>150</v>
      </c>
      <c r="Y143" s="731"/>
      <c r="Z143" s="603">
        <v>24</v>
      </c>
      <c r="AA143" s="731"/>
      <c r="AB143" s="603">
        <v>16</v>
      </c>
      <c r="AC143" s="731"/>
      <c r="AD143" s="731">
        <v>1</v>
      </c>
      <c r="AE143" s="604">
        <v>140.6</v>
      </c>
      <c r="AF143" s="601">
        <f t="shared" si="6"/>
        <v>1600.6</v>
      </c>
      <c r="AG143" s="601">
        <f t="shared" si="7"/>
        <v>80.03</v>
      </c>
      <c r="AH143" s="601">
        <f t="shared" si="8"/>
        <v>1680.6299999999999</v>
      </c>
      <c r="AI143" s="985">
        <v>227917</v>
      </c>
      <c r="AJ143" s="370"/>
    </row>
    <row r="144" spans="1:36" s="371" customFormat="1">
      <c r="A144" s="729">
        <v>42237</v>
      </c>
      <c r="B144" s="732" t="s">
        <v>866</v>
      </c>
      <c r="C144" s="599"/>
      <c r="D144" s="600">
        <v>1400</v>
      </c>
      <c r="E144" s="599">
        <v>0</v>
      </c>
      <c r="F144" s="600">
        <v>132</v>
      </c>
      <c r="G144" s="731">
        <v>0</v>
      </c>
      <c r="H144" s="601">
        <v>3150</v>
      </c>
      <c r="I144" s="601"/>
      <c r="J144" s="601">
        <v>0</v>
      </c>
      <c r="K144" s="731">
        <v>1</v>
      </c>
      <c r="L144" s="601">
        <v>2100</v>
      </c>
      <c r="M144" s="731"/>
      <c r="N144" s="601">
        <v>198</v>
      </c>
      <c r="O144" s="691"/>
      <c r="P144" s="688"/>
      <c r="Q144" s="767"/>
      <c r="R144" s="767"/>
      <c r="S144" s="767"/>
      <c r="T144" s="767"/>
      <c r="U144" s="731">
        <v>1</v>
      </c>
      <c r="V144" s="602">
        <v>60</v>
      </c>
      <c r="W144" s="731">
        <v>1</v>
      </c>
      <c r="X144" s="602">
        <v>150</v>
      </c>
      <c r="Y144" s="731">
        <v>8</v>
      </c>
      <c r="Z144" s="603">
        <v>24</v>
      </c>
      <c r="AA144" s="731">
        <v>10</v>
      </c>
      <c r="AB144" s="603">
        <v>16</v>
      </c>
      <c r="AC144" s="731"/>
      <c r="AD144" s="731">
        <v>1</v>
      </c>
      <c r="AE144" s="604">
        <v>144.15</v>
      </c>
      <c r="AF144" s="601">
        <f t="shared" si="6"/>
        <v>2806.15</v>
      </c>
      <c r="AG144" s="601">
        <f t="shared" si="7"/>
        <v>140.3075</v>
      </c>
      <c r="AH144" s="601">
        <f t="shared" si="8"/>
        <v>2946.4575</v>
      </c>
      <c r="AI144" s="985">
        <v>227917</v>
      </c>
      <c r="AJ144" s="370"/>
    </row>
    <row r="145" spans="1:64" s="371" customFormat="1">
      <c r="A145" s="729">
        <v>42237</v>
      </c>
      <c r="B145" s="732" t="s">
        <v>871</v>
      </c>
      <c r="C145" s="599"/>
      <c r="D145" s="600">
        <v>1400</v>
      </c>
      <c r="E145" s="599">
        <v>0</v>
      </c>
      <c r="F145" s="600">
        <v>132</v>
      </c>
      <c r="G145" s="731">
        <v>0</v>
      </c>
      <c r="H145" s="601">
        <v>3150</v>
      </c>
      <c r="I145" s="601"/>
      <c r="J145" s="601">
        <v>0</v>
      </c>
      <c r="K145" s="731">
        <v>1</v>
      </c>
      <c r="L145" s="601">
        <v>2100</v>
      </c>
      <c r="M145" s="731"/>
      <c r="N145" s="601">
        <v>198</v>
      </c>
      <c r="O145" s="691"/>
      <c r="P145" s="688"/>
      <c r="Q145" s="767"/>
      <c r="R145" s="767"/>
      <c r="S145" s="767"/>
      <c r="T145" s="767"/>
      <c r="U145" s="731"/>
      <c r="V145" s="602">
        <v>60</v>
      </c>
      <c r="W145" s="731">
        <v>2</v>
      </c>
      <c r="X145" s="602">
        <v>150</v>
      </c>
      <c r="Y145" s="731">
        <v>5</v>
      </c>
      <c r="Z145" s="603">
        <v>24</v>
      </c>
      <c r="AA145" s="731">
        <v>7</v>
      </c>
      <c r="AB145" s="603">
        <v>16</v>
      </c>
      <c r="AC145" s="731"/>
      <c r="AD145" s="731"/>
      <c r="AE145" s="604"/>
      <c r="AF145" s="601">
        <f t="shared" si="6"/>
        <v>2632</v>
      </c>
      <c r="AG145" s="601">
        <f t="shared" si="7"/>
        <v>131.6</v>
      </c>
      <c r="AH145" s="601">
        <f t="shared" si="8"/>
        <v>2763.6</v>
      </c>
      <c r="AI145" s="985">
        <v>227917</v>
      </c>
      <c r="AJ145" s="370"/>
    </row>
    <row r="146" spans="1:64" s="371" customFormat="1">
      <c r="A146" s="729">
        <v>42237</v>
      </c>
      <c r="B146" s="732" t="s">
        <v>877</v>
      </c>
      <c r="C146" s="599"/>
      <c r="D146" s="600">
        <v>1400</v>
      </c>
      <c r="E146" s="599"/>
      <c r="F146" s="600">
        <v>132</v>
      </c>
      <c r="G146" s="731">
        <v>0.72221999999999997</v>
      </c>
      <c r="H146" s="601">
        <v>3150</v>
      </c>
      <c r="I146" s="731"/>
      <c r="J146" s="601">
        <v>0</v>
      </c>
      <c r="K146" s="731"/>
      <c r="L146" s="601">
        <v>2100</v>
      </c>
      <c r="M146" s="731"/>
      <c r="N146" s="601">
        <v>198</v>
      </c>
      <c r="O146" s="691"/>
      <c r="P146" s="688"/>
      <c r="Q146" s="767"/>
      <c r="R146" s="767"/>
      <c r="S146" s="767"/>
      <c r="T146" s="767"/>
      <c r="U146" s="731">
        <v>2</v>
      </c>
      <c r="V146" s="602">
        <v>60</v>
      </c>
      <c r="W146" s="731"/>
      <c r="X146" s="602">
        <v>150</v>
      </c>
      <c r="Y146" s="731">
        <v>1</v>
      </c>
      <c r="Z146" s="603">
        <v>24</v>
      </c>
      <c r="AA146" s="731">
        <v>4</v>
      </c>
      <c r="AB146" s="603">
        <v>16</v>
      </c>
      <c r="AC146" s="731"/>
      <c r="AD146" s="731">
        <v>1</v>
      </c>
      <c r="AE146" s="604">
        <v>260.19</v>
      </c>
      <c r="AF146" s="601">
        <f t="shared" si="6"/>
        <v>2743.183</v>
      </c>
      <c r="AG146" s="601">
        <f t="shared" si="7"/>
        <v>137.15915000000001</v>
      </c>
      <c r="AH146" s="601">
        <f t="shared" si="8"/>
        <v>2880.3421499999999</v>
      </c>
      <c r="AI146" s="985">
        <v>227917</v>
      </c>
      <c r="AJ146" s="370"/>
    </row>
    <row r="147" spans="1:64" s="371" customFormat="1">
      <c r="A147" s="729">
        <v>42238</v>
      </c>
      <c r="B147" s="730" t="s">
        <v>510</v>
      </c>
      <c r="C147" s="599">
        <v>1</v>
      </c>
      <c r="D147" s="600">
        <v>1400</v>
      </c>
      <c r="E147" s="599">
        <v>0</v>
      </c>
      <c r="F147" s="600">
        <v>132</v>
      </c>
      <c r="G147" s="731">
        <v>0</v>
      </c>
      <c r="H147" s="601">
        <v>3150</v>
      </c>
      <c r="I147" s="601"/>
      <c r="J147" s="601">
        <v>0</v>
      </c>
      <c r="K147" s="731"/>
      <c r="L147" s="601">
        <v>2100</v>
      </c>
      <c r="M147" s="731"/>
      <c r="N147" s="601">
        <v>198</v>
      </c>
      <c r="O147" s="691"/>
      <c r="P147" s="688"/>
      <c r="Q147" s="767"/>
      <c r="R147" s="767"/>
      <c r="S147" s="767"/>
      <c r="T147" s="767"/>
      <c r="U147" s="731">
        <v>1</v>
      </c>
      <c r="V147" s="602">
        <v>60</v>
      </c>
      <c r="W147" s="731"/>
      <c r="X147" s="602">
        <v>150</v>
      </c>
      <c r="Y147" s="731"/>
      <c r="Z147" s="603">
        <v>24</v>
      </c>
      <c r="AA147" s="731"/>
      <c r="AB147" s="603">
        <v>16</v>
      </c>
      <c r="AC147" s="731"/>
      <c r="AD147" s="731">
        <v>1</v>
      </c>
      <c r="AE147" s="604">
        <v>140.6</v>
      </c>
      <c r="AF147" s="601">
        <f t="shared" si="6"/>
        <v>1600.6</v>
      </c>
      <c r="AG147" s="601">
        <f t="shared" si="7"/>
        <v>80.03</v>
      </c>
      <c r="AH147" s="601">
        <f t="shared" si="8"/>
        <v>1680.6299999999999</v>
      </c>
      <c r="AI147" s="985">
        <v>227917</v>
      </c>
      <c r="AJ147" s="370"/>
    </row>
    <row r="148" spans="1:64" s="371" customFormat="1">
      <c r="A148" s="729">
        <v>42238</v>
      </c>
      <c r="B148" s="732" t="s">
        <v>867</v>
      </c>
      <c r="C148" s="599"/>
      <c r="D148" s="600">
        <v>1400</v>
      </c>
      <c r="E148" s="599">
        <v>0</v>
      </c>
      <c r="F148" s="600">
        <v>132</v>
      </c>
      <c r="G148" s="731">
        <v>0</v>
      </c>
      <c r="H148" s="601">
        <v>3150</v>
      </c>
      <c r="I148" s="601"/>
      <c r="J148" s="601">
        <v>0</v>
      </c>
      <c r="K148" s="731">
        <v>1</v>
      </c>
      <c r="L148" s="601">
        <v>2100</v>
      </c>
      <c r="M148" s="731"/>
      <c r="N148" s="601">
        <v>198</v>
      </c>
      <c r="O148" s="691"/>
      <c r="P148" s="688"/>
      <c r="Q148" s="767"/>
      <c r="R148" s="767"/>
      <c r="S148" s="767"/>
      <c r="T148" s="767"/>
      <c r="U148" s="731">
        <v>1</v>
      </c>
      <c r="V148" s="602">
        <v>60</v>
      </c>
      <c r="W148" s="731">
        <v>1</v>
      </c>
      <c r="X148" s="602">
        <v>150</v>
      </c>
      <c r="Y148" s="731">
        <v>6</v>
      </c>
      <c r="Z148" s="603">
        <v>24</v>
      </c>
      <c r="AA148" s="731">
        <v>8</v>
      </c>
      <c r="AB148" s="603">
        <v>16</v>
      </c>
      <c r="AC148" s="731"/>
      <c r="AD148" s="731">
        <v>1</v>
      </c>
      <c r="AE148" s="604">
        <v>144.15</v>
      </c>
      <c r="AF148" s="601">
        <f t="shared" si="6"/>
        <v>2726.15</v>
      </c>
      <c r="AG148" s="601">
        <f t="shared" si="7"/>
        <v>136.3075</v>
      </c>
      <c r="AH148" s="601">
        <f t="shared" si="8"/>
        <v>2862.4575</v>
      </c>
      <c r="AI148" s="985">
        <v>227917</v>
      </c>
      <c r="AJ148" s="370"/>
    </row>
    <row r="149" spans="1:64" s="371" customFormat="1">
      <c r="A149" s="729">
        <v>42238</v>
      </c>
      <c r="B149" s="732" t="s">
        <v>872</v>
      </c>
      <c r="C149" s="599"/>
      <c r="D149" s="600">
        <v>1400</v>
      </c>
      <c r="E149" s="599">
        <v>0</v>
      </c>
      <c r="F149" s="600">
        <v>132</v>
      </c>
      <c r="G149" s="731">
        <v>0</v>
      </c>
      <c r="H149" s="601">
        <v>3150</v>
      </c>
      <c r="I149" s="601"/>
      <c r="J149" s="601">
        <v>0</v>
      </c>
      <c r="K149" s="731">
        <v>1</v>
      </c>
      <c r="L149" s="601">
        <v>2100</v>
      </c>
      <c r="M149" s="731"/>
      <c r="N149" s="601">
        <v>198</v>
      </c>
      <c r="O149" s="691"/>
      <c r="P149" s="688"/>
      <c r="Q149" s="767"/>
      <c r="R149" s="767"/>
      <c r="S149" s="767"/>
      <c r="T149" s="767"/>
      <c r="U149" s="731"/>
      <c r="V149" s="602">
        <v>60</v>
      </c>
      <c r="W149" s="731">
        <v>2</v>
      </c>
      <c r="X149" s="602">
        <v>150</v>
      </c>
      <c r="Y149" s="731">
        <v>6</v>
      </c>
      <c r="Z149" s="603">
        <v>24</v>
      </c>
      <c r="AA149" s="731">
        <v>6</v>
      </c>
      <c r="AB149" s="603">
        <v>16</v>
      </c>
      <c r="AC149" s="731"/>
      <c r="AD149" s="731"/>
      <c r="AE149" s="604"/>
      <c r="AF149" s="601">
        <f t="shared" si="6"/>
        <v>2640</v>
      </c>
      <c r="AG149" s="601">
        <f t="shared" si="7"/>
        <v>132</v>
      </c>
      <c r="AH149" s="601">
        <f t="shared" si="8"/>
        <v>2772</v>
      </c>
      <c r="AI149" s="985">
        <v>227917</v>
      </c>
      <c r="AJ149" s="370"/>
    </row>
    <row r="150" spans="1:64" s="617" customFormat="1">
      <c r="A150" s="729">
        <v>42238</v>
      </c>
      <c r="B150" s="732" t="s">
        <v>876</v>
      </c>
      <c r="C150" s="599"/>
      <c r="D150" s="600">
        <v>1400</v>
      </c>
      <c r="E150" s="599"/>
      <c r="F150" s="600">
        <v>132</v>
      </c>
      <c r="G150" s="731">
        <v>0.72221999999999997</v>
      </c>
      <c r="H150" s="601">
        <v>3150</v>
      </c>
      <c r="I150" s="731"/>
      <c r="J150" s="601">
        <v>0</v>
      </c>
      <c r="K150" s="731"/>
      <c r="L150" s="601">
        <v>2100</v>
      </c>
      <c r="M150" s="731"/>
      <c r="N150" s="601">
        <v>198</v>
      </c>
      <c r="O150" s="691"/>
      <c r="P150" s="688"/>
      <c r="Q150" s="767"/>
      <c r="R150" s="767"/>
      <c r="S150" s="767"/>
      <c r="T150" s="767"/>
      <c r="U150" s="731">
        <v>2</v>
      </c>
      <c r="V150" s="602">
        <v>60</v>
      </c>
      <c r="W150" s="731"/>
      <c r="X150" s="602">
        <v>150</v>
      </c>
      <c r="Y150" s="731">
        <v>7</v>
      </c>
      <c r="Z150" s="603">
        <v>24</v>
      </c>
      <c r="AA150" s="731">
        <v>8</v>
      </c>
      <c r="AB150" s="603">
        <v>16</v>
      </c>
      <c r="AC150" s="731"/>
      <c r="AD150" s="731">
        <v>1</v>
      </c>
      <c r="AE150" s="604">
        <v>260.19</v>
      </c>
      <c r="AF150" s="601">
        <f t="shared" si="6"/>
        <v>2951.183</v>
      </c>
      <c r="AG150" s="601">
        <f t="shared" si="7"/>
        <v>147.55915000000002</v>
      </c>
      <c r="AH150" s="601">
        <f t="shared" si="8"/>
        <v>3098.74215</v>
      </c>
      <c r="AI150" s="985">
        <v>227917</v>
      </c>
      <c r="AJ150" s="370"/>
      <c r="AK150" s="371"/>
      <c r="AL150" s="371"/>
      <c r="AM150" s="371"/>
      <c r="AN150" s="371"/>
      <c r="AO150" s="371"/>
      <c r="AP150" s="371"/>
      <c r="AQ150" s="371"/>
      <c r="AR150" s="371"/>
      <c r="AS150" s="371"/>
      <c r="AT150" s="371"/>
      <c r="AU150" s="371"/>
      <c r="AV150" s="371"/>
      <c r="AW150" s="371"/>
      <c r="AX150" s="371"/>
      <c r="AY150" s="371"/>
      <c r="AZ150" s="371"/>
      <c r="BA150" s="371"/>
      <c r="BB150" s="371"/>
      <c r="BC150" s="371"/>
      <c r="BD150" s="371"/>
      <c r="BE150" s="371"/>
      <c r="BF150" s="371"/>
      <c r="BG150" s="371"/>
      <c r="BH150" s="371"/>
      <c r="BI150" s="371"/>
      <c r="BJ150" s="371"/>
      <c r="BK150" s="371"/>
      <c r="BL150" s="371"/>
    </row>
    <row r="151" spans="1:64" s="617" customFormat="1">
      <c r="A151" s="605">
        <v>42240</v>
      </c>
      <c r="B151" s="606" t="s">
        <v>556</v>
      </c>
      <c r="C151" s="607"/>
      <c r="D151" s="608">
        <v>1400</v>
      </c>
      <c r="E151" s="607"/>
      <c r="F151" s="608">
        <v>132</v>
      </c>
      <c r="G151" s="610"/>
      <c r="H151" s="611">
        <v>3150</v>
      </c>
      <c r="I151" s="610"/>
      <c r="J151" s="611">
        <v>0</v>
      </c>
      <c r="K151" s="610">
        <v>1</v>
      </c>
      <c r="L151" s="611">
        <v>2100</v>
      </c>
      <c r="M151" s="612"/>
      <c r="N151" s="611">
        <v>198</v>
      </c>
      <c r="O151" s="612"/>
      <c r="P151" s="609"/>
      <c r="Q151" s="768"/>
      <c r="R151" s="768"/>
      <c r="S151" s="768"/>
      <c r="T151" s="768"/>
      <c r="U151" s="612"/>
      <c r="V151" s="613">
        <v>60</v>
      </c>
      <c r="W151" s="612">
        <v>2</v>
      </c>
      <c r="X151" s="613">
        <v>150</v>
      </c>
      <c r="Y151" s="612">
        <v>5</v>
      </c>
      <c r="Z151" s="614">
        <v>24</v>
      </c>
      <c r="AA151" s="612">
        <v>4</v>
      </c>
      <c r="AB151" s="614">
        <v>16</v>
      </c>
      <c r="AC151" s="612"/>
      <c r="AD151" s="612"/>
      <c r="AE151" s="615"/>
      <c r="AF151" s="611">
        <f t="shared" si="6"/>
        <v>2584</v>
      </c>
      <c r="AG151" s="611">
        <f t="shared" si="7"/>
        <v>129.20000000000002</v>
      </c>
      <c r="AH151" s="611">
        <f t="shared" si="8"/>
        <v>2713.2</v>
      </c>
      <c r="AI151" s="986">
        <v>229624</v>
      </c>
      <c r="AJ151" s="616"/>
    </row>
    <row r="152" spans="1:64" s="617" customFormat="1">
      <c r="A152" s="605">
        <v>42240</v>
      </c>
      <c r="B152" s="606" t="s">
        <v>558</v>
      </c>
      <c r="C152" s="607"/>
      <c r="D152" s="608">
        <v>1400</v>
      </c>
      <c r="E152" s="607"/>
      <c r="F152" s="608">
        <v>132</v>
      </c>
      <c r="G152" s="610"/>
      <c r="H152" s="611">
        <v>3150</v>
      </c>
      <c r="I152" s="610"/>
      <c r="J152" s="611">
        <v>0</v>
      </c>
      <c r="K152" s="610">
        <v>1</v>
      </c>
      <c r="L152" s="611">
        <v>2100</v>
      </c>
      <c r="M152" s="612"/>
      <c r="N152" s="611">
        <v>198</v>
      </c>
      <c r="O152" s="612"/>
      <c r="P152" s="609"/>
      <c r="Q152" s="768"/>
      <c r="R152" s="768"/>
      <c r="S152" s="768"/>
      <c r="T152" s="768"/>
      <c r="U152" s="612">
        <v>1</v>
      </c>
      <c r="V152" s="613">
        <v>60</v>
      </c>
      <c r="W152" s="612">
        <v>1</v>
      </c>
      <c r="X152" s="613">
        <v>150</v>
      </c>
      <c r="Y152" s="612">
        <v>8</v>
      </c>
      <c r="Z152" s="614">
        <v>24</v>
      </c>
      <c r="AA152" s="612">
        <v>13</v>
      </c>
      <c r="AB152" s="614">
        <v>16</v>
      </c>
      <c r="AC152" s="612"/>
      <c r="AD152" s="612">
        <v>1</v>
      </c>
      <c r="AE152" s="615">
        <v>144.15</v>
      </c>
      <c r="AF152" s="611">
        <f>(C152*D152)+(Y152*Z152)+(O152*P152)+(Q152*R152)+(S152*T152)+(AA152*AB152)+(E152*F152)+(G152*H152)+(I152*J152)+(K152*L152)+(M152*N152)+(AD152*AE152)+(U152*V152)+(W152*X152)+AC152</f>
        <v>2854.15</v>
      </c>
      <c r="AG152" s="611">
        <f t="shared" si="7"/>
        <v>142.70750000000001</v>
      </c>
      <c r="AH152" s="611">
        <f t="shared" si="8"/>
        <v>2996.8575000000001</v>
      </c>
      <c r="AI152" s="986">
        <v>229624</v>
      </c>
      <c r="AJ152" s="616"/>
    </row>
    <row r="153" spans="1:64" s="617" customFormat="1">
      <c r="A153" s="605">
        <v>42240</v>
      </c>
      <c r="B153" s="606" t="s">
        <v>559</v>
      </c>
      <c r="C153" s="607"/>
      <c r="D153" s="608">
        <v>1400</v>
      </c>
      <c r="E153" s="607"/>
      <c r="F153" s="608">
        <v>132</v>
      </c>
      <c r="G153" s="610"/>
      <c r="H153" s="611">
        <v>3150</v>
      </c>
      <c r="I153" s="610"/>
      <c r="J153" s="611">
        <v>0</v>
      </c>
      <c r="K153" s="610">
        <v>1</v>
      </c>
      <c r="L153" s="611">
        <v>2100</v>
      </c>
      <c r="M153" s="612"/>
      <c r="N153" s="611">
        <v>198</v>
      </c>
      <c r="O153" s="612"/>
      <c r="P153" s="609"/>
      <c r="Q153" s="768"/>
      <c r="R153" s="768"/>
      <c r="S153" s="768"/>
      <c r="T153" s="768"/>
      <c r="U153" s="612"/>
      <c r="V153" s="613">
        <v>60</v>
      </c>
      <c r="W153" s="612">
        <v>2</v>
      </c>
      <c r="X153" s="613">
        <v>150</v>
      </c>
      <c r="Y153" s="612">
        <v>4</v>
      </c>
      <c r="Z153" s="614">
        <v>24</v>
      </c>
      <c r="AA153" s="612">
        <v>4</v>
      </c>
      <c r="AB153" s="614">
        <v>16</v>
      </c>
      <c r="AC153" s="612"/>
      <c r="AD153" s="612"/>
      <c r="AE153" s="615"/>
      <c r="AF153" s="611">
        <f t="shared" si="6"/>
        <v>2560</v>
      </c>
      <c r="AG153" s="611">
        <f t="shared" si="7"/>
        <v>128</v>
      </c>
      <c r="AH153" s="611">
        <f t="shared" si="8"/>
        <v>2688</v>
      </c>
      <c r="AI153" s="986">
        <v>229624</v>
      </c>
      <c r="AJ153" s="616"/>
    </row>
    <row r="154" spans="1:64" s="617" customFormat="1">
      <c r="A154" s="605">
        <v>42240</v>
      </c>
      <c r="B154" s="606" t="s">
        <v>899</v>
      </c>
      <c r="C154" s="607"/>
      <c r="D154" s="608">
        <v>1400</v>
      </c>
      <c r="E154" s="607"/>
      <c r="F154" s="608">
        <v>132</v>
      </c>
      <c r="G154" s="610"/>
      <c r="H154" s="611">
        <v>3150</v>
      </c>
      <c r="I154" s="610"/>
      <c r="J154" s="611">
        <v>0</v>
      </c>
      <c r="K154" s="610">
        <v>1</v>
      </c>
      <c r="L154" s="611">
        <v>2100</v>
      </c>
      <c r="M154" s="612"/>
      <c r="N154" s="611">
        <v>198</v>
      </c>
      <c r="O154" s="612"/>
      <c r="P154" s="609"/>
      <c r="Q154" s="768"/>
      <c r="R154" s="768"/>
      <c r="S154" s="768"/>
      <c r="T154" s="768"/>
      <c r="U154" s="612">
        <v>2</v>
      </c>
      <c r="V154" s="613">
        <v>60</v>
      </c>
      <c r="W154" s="612"/>
      <c r="X154" s="613">
        <v>150</v>
      </c>
      <c r="Y154" s="612">
        <v>4</v>
      </c>
      <c r="Z154" s="614">
        <v>24</v>
      </c>
      <c r="AA154" s="612">
        <v>5</v>
      </c>
      <c r="AB154" s="614">
        <v>16</v>
      </c>
      <c r="AC154" s="612"/>
      <c r="AD154" s="612">
        <v>1</v>
      </c>
      <c r="AE154" s="615">
        <v>260.19</v>
      </c>
      <c r="AF154" s="611">
        <f t="shared" si="6"/>
        <v>2656.19</v>
      </c>
      <c r="AG154" s="611">
        <f t="shared" si="7"/>
        <v>132.80950000000001</v>
      </c>
      <c r="AH154" s="611">
        <f t="shared" si="8"/>
        <v>2788.9994999999999</v>
      </c>
      <c r="AI154" s="986">
        <v>229624</v>
      </c>
      <c r="AJ154" s="616"/>
    </row>
    <row r="155" spans="1:64" s="617" customFormat="1">
      <c r="A155" s="605">
        <v>42241</v>
      </c>
      <c r="B155" s="606" t="s">
        <v>571</v>
      </c>
      <c r="C155" s="607"/>
      <c r="D155" s="608">
        <v>1400</v>
      </c>
      <c r="E155" s="607"/>
      <c r="F155" s="608">
        <v>132</v>
      </c>
      <c r="G155" s="610"/>
      <c r="H155" s="611">
        <v>3150</v>
      </c>
      <c r="I155" s="610"/>
      <c r="J155" s="611">
        <v>0</v>
      </c>
      <c r="K155" s="610">
        <v>1</v>
      </c>
      <c r="L155" s="611">
        <v>2100</v>
      </c>
      <c r="M155" s="612"/>
      <c r="N155" s="611">
        <v>198</v>
      </c>
      <c r="O155" s="612"/>
      <c r="P155" s="609"/>
      <c r="Q155" s="768"/>
      <c r="R155" s="768"/>
      <c r="S155" s="768"/>
      <c r="T155" s="768"/>
      <c r="U155" s="612"/>
      <c r="V155" s="613">
        <v>60</v>
      </c>
      <c r="W155" s="612">
        <v>2</v>
      </c>
      <c r="X155" s="613">
        <v>150</v>
      </c>
      <c r="Y155" s="612">
        <v>4</v>
      </c>
      <c r="Z155" s="614">
        <v>24</v>
      </c>
      <c r="AA155" s="612">
        <v>4</v>
      </c>
      <c r="AB155" s="614">
        <v>16</v>
      </c>
      <c r="AC155" s="612"/>
      <c r="AD155" s="612"/>
      <c r="AE155" s="615"/>
      <c r="AF155" s="611">
        <f t="shared" si="6"/>
        <v>2560</v>
      </c>
      <c r="AG155" s="611">
        <f t="shared" si="7"/>
        <v>128</v>
      </c>
      <c r="AH155" s="611">
        <f t="shared" si="8"/>
        <v>2688</v>
      </c>
      <c r="AI155" s="986">
        <v>229624</v>
      </c>
      <c r="AJ155" s="616"/>
    </row>
    <row r="156" spans="1:64" s="617" customFormat="1">
      <c r="A156" s="605">
        <v>42241</v>
      </c>
      <c r="B156" s="606" t="s">
        <v>557</v>
      </c>
      <c r="C156" s="607">
        <v>1</v>
      </c>
      <c r="D156" s="608">
        <v>1400</v>
      </c>
      <c r="E156" s="607"/>
      <c r="F156" s="608">
        <v>132</v>
      </c>
      <c r="G156" s="610"/>
      <c r="H156" s="611">
        <v>3150</v>
      </c>
      <c r="I156" s="610"/>
      <c r="J156" s="611">
        <v>0</v>
      </c>
      <c r="K156" s="610"/>
      <c r="L156" s="611">
        <v>2100</v>
      </c>
      <c r="M156" s="612"/>
      <c r="N156" s="611">
        <v>198</v>
      </c>
      <c r="O156" s="612"/>
      <c r="P156" s="609"/>
      <c r="Q156" s="768"/>
      <c r="R156" s="768"/>
      <c r="S156" s="768"/>
      <c r="T156" s="768"/>
      <c r="U156" s="612">
        <v>1</v>
      </c>
      <c r="V156" s="613">
        <v>60</v>
      </c>
      <c r="W156" s="612"/>
      <c r="X156" s="613">
        <v>150</v>
      </c>
      <c r="Y156" s="612"/>
      <c r="Z156" s="614">
        <v>24</v>
      </c>
      <c r="AA156" s="612"/>
      <c r="AB156" s="614">
        <v>16</v>
      </c>
      <c r="AC156" s="612"/>
      <c r="AD156" s="612">
        <v>1</v>
      </c>
      <c r="AE156" s="615">
        <v>140.61000000000001</v>
      </c>
      <c r="AF156" s="611">
        <f t="shared" si="6"/>
        <v>1600.6100000000001</v>
      </c>
      <c r="AG156" s="611">
        <f t="shared" si="7"/>
        <v>80.030500000000018</v>
      </c>
      <c r="AH156" s="611">
        <f t="shared" si="8"/>
        <v>1680.6405000000002</v>
      </c>
      <c r="AI156" s="986">
        <v>229624</v>
      </c>
      <c r="AJ156" s="616"/>
    </row>
    <row r="157" spans="1:64" s="617" customFormat="1">
      <c r="A157" s="605">
        <v>42241</v>
      </c>
      <c r="B157" s="606" t="s">
        <v>565</v>
      </c>
      <c r="C157" s="607"/>
      <c r="D157" s="608">
        <v>1400</v>
      </c>
      <c r="E157" s="607"/>
      <c r="F157" s="608">
        <v>132</v>
      </c>
      <c r="G157" s="610"/>
      <c r="H157" s="611">
        <v>3150</v>
      </c>
      <c r="I157" s="610"/>
      <c r="J157" s="611">
        <v>0</v>
      </c>
      <c r="K157" s="610">
        <v>1</v>
      </c>
      <c r="L157" s="611">
        <v>2100</v>
      </c>
      <c r="M157" s="612"/>
      <c r="N157" s="611">
        <v>198</v>
      </c>
      <c r="O157" s="612"/>
      <c r="P157" s="609"/>
      <c r="Q157" s="768"/>
      <c r="R157" s="768"/>
      <c r="S157" s="768"/>
      <c r="T157" s="768"/>
      <c r="U157" s="612">
        <v>1</v>
      </c>
      <c r="V157" s="613">
        <v>60</v>
      </c>
      <c r="W157" s="612">
        <v>1</v>
      </c>
      <c r="X157" s="613">
        <v>150</v>
      </c>
      <c r="Y157" s="612">
        <v>7</v>
      </c>
      <c r="Z157" s="614">
        <v>24</v>
      </c>
      <c r="AA157" s="612">
        <v>9</v>
      </c>
      <c r="AB157" s="614">
        <v>16</v>
      </c>
      <c r="AC157" s="612"/>
      <c r="AD157" s="612">
        <v>1</v>
      </c>
      <c r="AE157" s="615">
        <v>144.15</v>
      </c>
      <c r="AF157" s="611">
        <f t="shared" si="6"/>
        <v>2766.15</v>
      </c>
      <c r="AG157" s="611">
        <f t="shared" si="7"/>
        <v>138.3075</v>
      </c>
      <c r="AH157" s="611">
        <f t="shared" si="8"/>
        <v>2904.4575</v>
      </c>
      <c r="AI157" s="986">
        <v>229624</v>
      </c>
      <c r="AJ157" s="616"/>
    </row>
    <row r="158" spans="1:64" s="617" customFormat="1">
      <c r="A158" s="605">
        <v>42241</v>
      </c>
      <c r="B158" s="606" t="s">
        <v>562</v>
      </c>
      <c r="C158" s="607"/>
      <c r="D158" s="608">
        <v>1400</v>
      </c>
      <c r="E158" s="607"/>
      <c r="F158" s="608">
        <v>132</v>
      </c>
      <c r="G158" s="610"/>
      <c r="H158" s="611">
        <v>3150</v>
      </c>
      <c r="I158" s="610"/>
      <c r="J158" s="611">
        <v>0</v>
      </c>
      <c r="K158" s="610">
        <v>1</v>
      </c>
      <c r="L158" s="611">
        <v>2100</v>
      </c>
      <c r="M158" s="612"/>
      <c r="N158" s="611">
        <v>198</v>
      </c>
      <c r="O158" s="612"/>
      <c r="P158" s="609"/>
      <c r="Q158" s="768"/>
      <c r="R158" s="768"/>
      <c r="S158" s="768"/>
      <c r="T158" s="768"/>
      <c r="U158" s="612"/>
      <c r="V158" s="613">
        <v>60</v>
      </c>
      <c r="W158" s="612">
        <v>2</v>
      </c>
      <c r="X158" s="613">
        <v>150</v>
      </c>
      <c r="Y158" s="612">
        <v>4</v>
      </c>
      <c r="Z158" s="614">
        <v>24</v>
      </c>
      <c r="AA158" s="612">
        <v>2</v>
      </c>
      <c r="AB158" s="614">
        <v>16</v>
      </c>
      <c r="AC158" s="612"/>
      <c r="AD158" s="612"/>
      <c r="AE158" s="615"/>
      <c r="AF158" s="611">
        <f t="shared" si="6"/>
        <v>2528</v>
      </c>
      <c r="AG158" s="611">
        <f t="shared" si="7"/>
        <v>126.4</v>
      </c>
      <c r="AH158" s="611">
        <f t="shared" si="8"/>
        <v>2654.4</v>
      </c>
      <c r="AI158" s="986">
        <v>229624</v>
      </c>
      <c r="AJ158" s="616"/>
    </row>
    <row r="159" spans="1:64" s="617" customFormat="1">
      <c r="A159" s="605">
        <v>42241</v>
      </c>
      <c r="B159" s="606" t="s">
        <v>900</v>
      </c>
      <c r="C159" s="607"/>
      <c r="D159" s="608">
        <v>1400</v>
      </c>
      <c r="E159" s="607"/>
      <c r="F159" s="608">
        <v>132</v>
      </c>
      <c r="G159" s="607"/>
      <c r="H159" s="611">
        <v>3150</v>
      </c>
      <c r="I159" s="607"/>
      <c r="J159" s="611">
        <v>0</v>
      </c>
      <c r="K159" s="607">
        <v>1</v>
      </c>
      <c r="L159" s="611">
        <v>2100</v>
      </c>
      <c r="M159" s="963"/>
      <c r="N159" s="611">
        <v>198</v>
      </c>
      <c r="O159" s="612"/>
      <c r="P159" s="609"/>
      <c r="Q159" s="768"/>
      <c r="R159" s="768"/>
      <c r="S159" s="768"/>
      <c r="T159" s="768"/>
      <c r="U159" s="963">
        <v>2</v>
      </c>
      <c r="V159" s="613">
        <v>60</v>
      </c>
      <c r="W159" s="963"/>
      <c r="X159" s="613">
        <v>150</v>
      </c>
      <c r="Y159" s="963">
        <v>4</v>
      </c>
      <c r="Z159" s="614">
        <v>24</v>
      </c>
      <c r="AA159" s="963">
        <v>6</v>
      </c>
      <c r="AB159" s="614">
        <v>16</v>
      </c>
      <c r="AC159" s="1006">
        <v>24</v>
      </c>
      <c r="AD159" s="963">
        <v>1</v>
      </c>
      <c r="AE159" s="615">
        <v>260.19</v>
      </c>
      <c r="AF159" s="611">
        <f t="shared" si="6"/>
        <v>2696.19</v>
      </c>
      <c r="AG159" s="611">
        <f t="shared" si="7"/>
        <v>134.80950000000001</v>
      </c>
      <c r="AH159" s="611">
        <f t="shared" si="8"/>
        <v>2830.9994999999999</v>
      </c>
      <c r="AI159" s="986">
        <v>229624</v>
      </c>
      <c r="AJ159" s="616"/>
    </row>
    <row r="160" spans="1:64" s="617" customFormat="1">
      <c r="A160" s="605">
        <v>42242</v>
      </c>
      <c r="B160" s="606" t="s">
        <v>572</v>
      </c>
      <c r="C160" s="607"/>
      <c r="D160" s="608">
        <v>1400</v>
      </c>
      <c r="E160" s="607"/>
      <c r="F160" s="608">
        <v>132</v>
      </c>
      <c r="G160" s="610"/>
      <c r="H160" s="611">
        <v>3150</v>
      </c>
      <c r="I160" s="610"/>
      <c r="J160" s="611">
        <v>0</v>
      </c>
      <c r="K160" s="610">
        <v>1</v>
      </c>
      <c r="L160" s="611">
        <v>2100</v>
      </c>
      <c r="M160" s="612"/>
      <c r="N160" s="611">
        <v>198</v>
      </c>
      <c r="O160" s="612"/>
      <c r="P160" s="609"/>
      <c r="Q160" s="768"/>
      <c r="R160" s="768"/>
      <c r="S160" s="768"/>
      <c r="T160" s="768"/>
      <c r="U160" s="612"/>
      <c r="V160" s="613">
        <v>60</v>
      </c>
      <c r="W160" s="612">
        <v>2</v>
      </c>
      <c r="X160" s="613">
        <v>150</v>
      </c>
      <c r="Y160" s="612">
        <v>3</v>
      </c>
      <c r="Z160" s="614">
        <v>24</v>
      </c>
      <c r="AA160" s="612">
        <v>3</v>
      </c>
      <c r="AB160" s="614">
        <v>16</v>
      </c>
      <c r="AC160" s="612"/>
      <c r="AD160" s="612"/>
      <c r="AE160" s="615"/>
      <c r="AF160" s="611">
        <f t="shared" si="6"/>
        <v>2520</v>
      </c>
      <c r="AG160" s="611">
        <f t="shared" si="7"/>
        <v>126</v>
      </c>
      <c r="AH160" s="611">
        <f t="shared" si="8"/>
        <v>2646</v>
      </c>
      <c r="AI160" s="986">
        <v>229624</v>
      </c>
      <c r="AJ160" s="616"/>
    </row>
    <row r="161" spans="1:36" s="617" customFormat="1">
      <c r="A161" s="605">
        <v>42242</v>
      </c>
      <c r="B161" s="606" t="s">
        <v>577</v>
      </c>
      <c r="C161" s="607">
        <v>1</v>
      </c>
      <c r="D161" s="608">
        <v>1400</v>
      </c>
      <c r="E161" s="607"/>
      <c r="F161" s="608">
        <v>132</v>
      </c>
      <c r="G161" s="610"/>
      <c r="H161" s="611">
        <v>3150</v>
      </c>
      <c r="I161" s="610"/>
      <c r="J161" s="611">
        <v>0</v>
      </c>
      <c r="K161" s="610"/>
      <c r="L161" s="611">
        <v>2100</v>
      </c>
      <c r="M161" s="612"/>
      <c r="N161" s="611">
        <v>198</v>
      </c>
      <c r="O161" s="612"/>
      <c r="P161" s="609"/>
      <c r="Q161" s="768"/>
      <c r="R161" s="768"/>
      <c r="S161" s="768"/>
      <c r="T161" s="768"/>
      <c r="U161" s="612">
        <v>1</v>
      </c>
      <c r="V161" s="613">
        <v>60</v>
      </c>
      <c r="W161" s="612"/>
      <c r="X161" s="613">
        <v>150</v>
      </c>
      <c r="Y161" s="612"/>
      <c r="Z161" s="614">
        <v>24</v>
      </c>
      <c r="AA161" s="612"/>
      <c r="AB161" s="614">
        <v>16</v>
      </c>
      <c r="AC161" s="612"/>
      <c r="AD161" s="612">
        <v>1</v>
      </c>
      <c r="AE161" s="615">
        <v>140.61000000000001</v>
      </c>
      <c r="AF161" s="611">
        <f t="shared" si="6"/>
        <v>1600.6100000000001</v>
      </c>
      <c r="AG161" s="611">
        <f t="shared" si="7"/>
        <v>80.030500000000018</v>
      </c>
      <c r="AH161" s="611">
        <f t="shared" si="8"/>
        <v>1680.6405000000002</v>
      </c>
      <c r="AI161" s="986">
        <v>229624</v>
      </c>
      <c r="AJ161" s="616"/>
    </row>
    <row r="162" spans="1:36" s="617" customFormat="1">
      <c r="A162" s="605">
        <v>42242</v>
      </c>
      <c r="B162" s="606" t="s">
        <v>566</v>
      </c>
      <c r="C162" s="607"/>
      <c r="D162" s="608">
        <v>1400</v>
      </c>
      <c r="E162" s="607"/>
      <c r="F162" s="608">
        <v>132</v>
      </c>
      <c r="G162" s="610"/>
      <c r="H162" s="611">
        <v>3150</v>
      </c>
      <c r="I162" s="610"/>
      <c r="J162" s="611">
        <v>0</v>
      </c>
      <c r="K162" s="610">
        <v>1</v>
      </c>
      <c r="L162" s="611">
        <v>2100</v>
      </c>
      <c r="M162" s="612"/>
      <c r="N162" s="611">
        <v>198</v>
      </c>
      <c r="O162" s="612"/>
      <c r="P162" s="609"/>
      <c r="Q162" s="768"/>
      <c r="R162" s="768"/>
      <c r="S162" s="768"/>
      <c r="T162" s="768"/>
      <c r="U162" s="612">
        <v>1</v>
      </c>
      <c r="V162" s="613">
        <v>60</v>
      </c>
      <c r="W162" s="612">
        <v>1</v>
      </c>
      <c r="X162" s="613">
        <v>150</v>
      </c>
      <c r="Y162" s="612">
        <v>9</v>
      </c>
      <c r="Z162" s="614">
        <v>24</v>
      </c>
      <c r="AA162" s="612">
        <v>3</v>
      </c>
      <c r="AB162" s="614">
        <v>16</v>
      </c>
      <c r="AC162" s="612"/>
      <c r="AD162" s="612">
        <v>1</v>
      </c>
      <c r="AE162" s="615">
        <v>144.15</v>
      </c>
      <c r="AF162" s="611">
        <f t="shared" si="6"/>
        <v>2718.15</v>
      </c>
      <c r="AG162" s="611">
        <f t="shared" si="7"/>
        <v>135.9075</v>
      </c>
      <c r="AH162" s="611">
        <f t="shared" si="8"/>
        <v>2854.0574999999999</v>
      </c>
      <c r="AI162" s="986">
        <v>229624</v>
      </c>
      <c r="AJ162" s="1003" t="s">
        <v>885</v>
      </c>
    </row>
    <row r="163" spans="1:36" s="617" customFormat="1">
      <c r="A163" s="605">
        <v>42242</v>
      </c>
      <c r="B163" s="606" t="s">
        <v>560</v>
      </c>
      <c r="C163" s="607"/>
      <c r="D163" s="608">
        <v>1400</v>
      </c>
      <c r="E163" s="607"/>
      <c r="F163" s="608">
        <v>132</v>
      </c>
      <c r="G163" s="610"/>
      <c r="H163" s="611">
        <v>3150</v>
      </c>
      <c r="I163" s="610"/>
      <c r="J163" s="611">
        <v>0</v>
      </c>
      <c r="K163" s="610">
        <v>1</v>
      </c>
      <c r="L163" s="611">
        <v>2100</v>
      </c>
      <c r="M163" s="612"/>
      <c r="N163" s="611">
        <v>198</v>
      </c>
      <c r="O163" s="612"/>
      <c r="P163" s="609"/>
      <c r="Q163" s="768"/>
      <c r="R163" s="768"/>
      <c r="S163" s="768"/>
      <c r="T163" s="768"/>
      <c r="U163" s="612"/>
      <c r="V163" s="613">
        <v>60</v>
      </c>
      <c r="W163" s="612">
        <v>2</v>
      </c>
      <c r="X163" s="613">
        <v>150</v>
      </c>
      <c r="Y163" s="612">
        <v>3</v>
      </c>
      <c r="Z163" s="614">
        <v>24</v>
      </c>
      <c r="AA163" s="612">
        <v>1</v>
      </c>
      <c r="AB163" s="614">
        <v>16</v>
      </c>
      <c r="AC163" s="612"/>
      <c r="AD163" s="612"/>
      <c r="AE163" s="615"/>
      <c r="AF163" s="611">
        <f t="shared" si="6"/>
        <v>2488</v>
      </c>
      <c r="AG163" s="611">
        <f t="shared" si="7"/>
        <v>124.4</v>
      </c>
      <c r="AH163" s="611">
        <f t="shared" si="8"/>
        <v>2612.4</v>
      </c>
      <c r="AI163" s="986">
        <v>229624</v>
      </c>
      <c r="AJ163" s="1004" t="s">
        <v>906</v>
      </c>
    </row>
    <row r="164" spans="1:36" s="617" customFormat="1">
      <c r="A164" s="605">
        <v>42242</v>
      </c>
      <c r="B164" s="606" t="s">
        <v>901</v>
      </c>
      <c r="C164" s="607"/>
      <c r="D164" s="608">
        <v>1400</v>
      </c>
      <c r="E164" s="607"/>
      <c r="F164" s="608">
        <v>132</v>
      </c>
      <c r="G164" s="607"/>
      <c r="H164" s="611">
        <v>3150</v>
      </c>
      <c r="I164" s="607"/>
      <c r="J164" s="611">
        <v>0</v>
      </c>
      <c r="K164" s="607">
        <v>1</v>
      </c>
      <c r="L164" s="611">
        <v>2100</v>
      </c>
      <c r="M164" s="963"/>
      <c r="N164" s="611">
        <v>198</v>
      </c>
      <c r="O164" s="612"/>
      <c r="P164" s="609"/>
      <c r="Q164" s="768"/>
      <c r="R164" s="768"/>
      <c r="S164" s="768"/>
      <c r="T164" s="768"/>
      <c r="U164" s="963">
        <v>2</v>
      </c>
      <c r="V164" s="613">
        <v>60</v>
      </c>
      <c r="W164" s="963"/>
      <c r="X164" s="613">
        <v>150</v>
      </c>
      <c r="Y164" s="963">
        <v>3</v>
      </c>
      <c r="Z164" s="614">
        <v>24</v>
      </c>
      <c r="AA164" s="963">
        <v>4</v>
      </c>
      <c r="AB164" s="614">
        <v>16</v>
      </c>
      <c r="AC164" s="963"/>
      <c r="AD164" s="963">
        <v>1</v>
      </c>
      <c r="AE164" s="615">
        <v>260.19</v>
      </c>
      <c r="AF164" s="611">
        <f t="shared" si="6"/>
        <v>2616.19</v>
      </c>
      <c r="AG164" s="611">
        <f t="shared" si="7"/>
        <v>130.80950000000001</v>
      </c>
      <c r="AH164" s="611">
        <f t="shared" si="8"/>
        <v>2746.9994999999999</v>
      </c>
      <c r="AI164" s="986">
        <v>229624</v>
      </c>
      <c r="AJ164" s="616"/>
    </row>
    <row r="165" spans="1:36" s="617" customFormat="1">
      <c r="A165" s="605">
        <v>42243</v>
      </c>
      <c r="B165" s="606" t="s">
        <v>573</v>
      </c>
      <c r="C165" s="607"/>
      <c r="D165" s="608">
        <v>1400</v>
      </c>
      <c r="E165" s="607"/>
      <c r="F165" s="608">
        <v>132</v>
      </c>
      <c r="G165" s="610"/>
      <c r="H165" s="611">
        <v>3150</v>
      </c>
      <c r="I165" s="610"/>
      <c r="J165" s="611">
        <v>0</v>
      </c>
      <c r="K165" s="610">
        <v>1</v>
      </c>
      <c r="L165" s="611">
        <v>2100</v>
      </c>
      <c r="M165" s="612"/>
      <c r="N165" s="611">
        <v>198</v>
      </c>
      <c r="O165" s="612"/>
      <c r="P165" s="609"/>
      <c r="Q165" s="768"/>
      <c r="R165" s="768"/>
      <c r="S165" s="768"/>
      <c r="T165" s="768"/>
      <c r="U165" s="612"/>
      <c r="V165" s="613">
        <v>60</v>
      </c>
      <c r="W165" s="612">
        <v>2</v>
      </c>
      <c r="X165" s="613">
        <v>150</v>
      </c>
      <c r="Y165" s="612">
        <v>9</v>
      </c>
      <c r="Z165" s="614">
        <v>24</v>
      </c>
      <c r="AA165" s="612">
        <v>8</v>
      </c>
      <c r="AB165" s="614">
        <v>16</v>
      </c>
      <c r="AC165" s="612"/>
      <c r="AD165" s="612"/>
      <c r="AE165" s="615"/>
      <c r="AF165" s="611">
        <f t="shared" si="6"/>
        <v>2744</v>
      </c>
      <c r="AG165" s="611">
        <f t="shared" si="7"/>
        <v>137.20000000000002</v>
      </c>
      <c r="AH165" s="611">
        <f t="shared" si="8"/>
        <v>2881.2</v>
      </c>
      <c r="AI165" s="986">
        <v>229624</v>
      </c>
      <c r="AJ165" s="616"/>
    </row>
    <row r="166" spans="1:36" s="617" customFormat="1">
      <c r="A166" s="605">
        <v>42243</v>
      </c>
      <c r="B166" s="606" t="s">
        <v>578</v>
      </c>
      <c r="C166" s="607">
        <v>1</v>
      </c>
      <c r="D166" s="608">
        <v>1400</v>
      </c>
      <c r="E166" s="607"/>
      <c r="F166" s="608">
        <v>132</v>
      </c>
      <c r="G166" s="610"/>
      <c r="H166" s="611">
        <v>3150</v>
      </c>
      <c r="I166" s="610"/>
      <c r="J166" s="611">
        <v>0</v>
      </c>
      <c r="K166" s="610"/>
      <c r="L166" s="611">
        <v>2100</v>
      </c>
      <c r="M166" s="612"/>
      <c r="N166" s="611">
        <v>198</v>
      </c>
      <c r="O166" s="612"/>
      <c r="P166" s="609"/>
      <c r="Q166" s="768"/>
      <c r="R166" s="768"/>
      <c r="S166" s="768"/>
      <c r="T166" s="768"/>
      <c r="U166" s="612">
        <v>1</v>
      </c>
      <c r="V166" s="613">
        <v>60</v>
      </c>
      <c r="W166" s="612"/>
      <c r="X166" s="613">
        <v>150</v>
      </c>
      <c r="Y166" s="612"/>
      <c r="Z166" s="614">
        <v>24</v>
      </c>
      <c r="AA166" s="612"/>
      <c r="AB166" s="614">
        <v>16</v>
      </c>
      <c r="AC166" s="612"/>
      <c r="AD166" s="612">
        <v>1</v>
      </c>
      <c r="AE166" s="615">
        <v>140.61000000000001</v>
      </c>
      <c r="AF166" s="611">
        <f t="shared" si="6"/>
        <v>1600.6100000000001</v>
      </c>
      <c r="AG166" s="611">
        <f t="shared" si="7"/>
        <v>80.030500000000018</v>
      </c>
      <c r="AH166" s="611">
        <f t="shared" si="8"/>
        <v>1680.6405000000002</v>
      </c>
      <c r="AI166" s="986">
        <v>229624</v>
      </c>
      <c r="AJ166" s="616"/>
    </row>
    <row r="167" spans="1:36" s="617" customFormat="1">
      <c r="A167" s="605">
        <v>42243</v>
      </c>
      <c r="B167" s="606" t="s">
        <v>567</v>
      </c>
      <c r="C167" s="607"/>
      <c r="D167" s="608">
        <v>1400</v>
      </c>
      <c r="E167" s="607"/>
      <c r="F167" s="608">
        <v>132</v>
      </c>
      <c r="G167" s="610"/>
      <c r="H167" s="611">
        <v>3150</v>
      </c>
      <c r="I167" s="610"/>
      <c r="J167" s="611">
        <v>0</v>
      </c>
      <c r="K167" s="610">
        <v>1</v>
      </c>
      <c r="L167" s="611">
        <v>2100</v>
      </c>
      <c r="M167" s="612"/>
      <c r="N167" s="611">
        <v>198</v>
      </c>
      <c r="O167" s="612"/>
      <c r="P167" s="609"/>
      <c r="Q167" s="768"/>
      <c r="R167" s="768"/>
      <c r="S167" s="768"/>
      <c r="T167" s="768"/>
      <c r="U167" s="612">
        <v>1</v>
      </c>
      <c r="V167" s="613">
        <v>60</v>
      </c>
      <c r="W167" s="612">
        <v>1</v>
      </c>
      <c r="X167" s="613">
        <v>150</v>
      </c>
      <c r="Y167" s="612">
        <v>13</v>
      </c>
      <c r="Z167" s="614">
        <v>24</v>
      </c>
      <c r="AA167" s="612">
        <v>7</v>
      </c>
      <c r="AB167" s="614">
        <v>16</v>
      </c>
      <c r="AC167" s="612"/>
      <c r="AD167" s="612">
        <v>1</v>
      </c>
      <c r="AE167" s="615">
        <v>144.13999999999999</v>
      </c>
      <c r="AF167" s="611">
        <f t="shared" si="6"/>
        <v>2878.14</v>
      </c>
      <c r="AG167" s="611">
        <f t="shared" si="7"/>
        <v>143.90700000000001</v>
      </c>
      <c r="AH167" s="611">
        <f t="shared" si="8"/>
        <v>3022.047</v>
      </c>
      <c r="AI167" s="986">
        <v>229624</v>
      </c>
      <c r="AJ167" s="616"/>
    </row>
    <row r="168" spans="1:36" s="617" customFormat="1">
      <c r="A168" s="605">
        <v>42243</v>
      </c>
      <c r="B168" s="606" t="s">
        <v>563</v>
      </c>
      <c r="C168" s="607"/>
      <c r="D168" s="608">
        <v>1400</v>
      </c>
      <c r="E168" s="607"/>
      <c r="F168" s="608">
        <v>132</v>
      </c>
      <c r="G168" s="610"/>
      <c r="H168" s="611">
        <v>3150</v>
      </c>
      <c r="I168" s="610"/>
      <c r="J168" s="611">
        <v>0</v>
      </c>
      <c r="K168" s="610">
        <v>1</v>
      </c>
      <c r="L168" s="611">
        <v>2100</v>
      </c>
      <c r="M168" s="612"/>
      <c r="N168" s="611">
        <v>198</v>
      </c>
      <c r="O168" s="612"/>
      <c r="P168" s="609"/>
      <c r="Q168" s="768"/>
      <c r="R168" s="768"/>
      <c r="S168" s="768"/>
      <c r="T168" s="768"/>
      <c r="U168" s="612"/>
      <c r="V168" s="613">
        <v>60</v>
      </c>
      <c r="W168" s="612">
        <v>2</v>
      </c>
      <c r="X168" s="613">
        <v>150</v>
      </c>
      <c r="Y168" s="612">
        <v>3</v>
      </c>
      <c r="Z168" s="614">
        <v>24</v>
      </c>
      <c r="AA168" s="612">
        <v>1</v>
      </c>
      <c r="AB168" s="614">
        <v>16</v>
      </c>
      <c r="AC168" s="612"/>
      <c r="AD168" s="612"/>
      <c r="AE168" s="615"/>
      <c r="AF168" s="611">
        <f t="shared" si="6"/>
        <v>2488</v>
      </c>
      <c r="AG168" s="611">
        <f t="shared" si="7"/>
        <v>124.4</v>
      </c>
      <c r="AH168" s="611">
        <f t="shared" si="8"/>
        <v>2612.4</v>
      </c>
      <c r="AI168" s="986">
        <v>229624</v>
      </c>
      <c r="AJ168" s="616"/>
    </row>
    <row r="169" spans="1:36" s="617" customFormat="1">
      <c r="A169" s="605">
        <v>42243</v>
      </c>
      <c r="B169" s="606" t="s">
        <v>902</v>
      </c>
      <c r="C169" s="607"/>
      <c r="D169" s="608">
        <v>1400</v>
      </c>
      <c r="E169" s="607"/>
      <c r="F169" s="608">
        <v>132</v>
      </c>
      <c r="G169" s="607"/>
      <c r="H169" s="611">
        <v>3150</v>
      </c>
      <c r="I169" s="607"/>
      <c r="J169" s="611">
        <v>0</v>
      </c>
      <c r="K169" s="607">
        <v>1</v>
      </c>
      <c r="L169" s="611">
        <v>2100</v>
      </c>
      <c r="M169" s="963"/>
      <c r="N169" s="611">
        <v>198</v>
      </c>
      <c r="O169" s="612"/>
      <c r="P169" s="609"/>
      <c r="Q169" s="768"/>
      <c r="R169" s="768"/>
      <c r="S169" s="768"/>
      <c r="T169" s="768"/>
      <c r="U169" s="963">
        <v>2</v>
      </c>
      <c r="V169" s="613">
        <v>60</v>
      </c>
      <c r="W169" s="963"/>
      <c r="X169" s="613">
        <v>150</v>
      </c>
      <c r="Y169" s="963">
        <v>3</v>
      </c>
      <c r="Z169" s="614">
        <v>24</v>
      </c>
      <c r="AA169" s="963">
        <v>3</v>
      </c>
      <c r="AB169" s="614">
        <v>16</v>
      </c>
      <c r="AC169" s="963">
        <v>108</v>
      </c>
      <c r="AD169" s="963">
        <v>1</v>
      </c>
      <c r="AE169" s="615">
        <v>260.19</v>
      </c>
      <c r="AF169" s="611">
        <f t="shared" si="6"/>
        <v>2708.19</v>
      </c>
      <c r="AG169" s="611">
        <f t="shared" si="7"/>
        <v>135.40950000000001</v>
      </c>
      <c r="AH169" s="611">
        <f t="shared" si="8"/>
        <v>2843.5995000000003</v>
      </c>
      <c r="AI169" s="986">
        <v>229624</v>
      </c>
      <c r="AJ169" s="616"/>
    </row>
    <row r="170" spans="1:36" s="617" customFormat="1">
      <c r="A170" s="605">
        <v>42244</v>
      </c>
      <c r="B170" s="606" t="s">
        <v>574</v>
      </c>
      <c r="C170" s="607"/>
      <c r="D170" s="608">
        <v>1400</v>
      </c>
      <c r="E170" s="607"/>
      <c r="F170" s="608">
        <v>132</v>
      </c>
      <c r="G170" s="610"/>
      <c r="H170" s="611">
        <v>3150</v>
      </c>
      <c r="I170" s="610"/>
      <c r="J170" s="611">
        <v>0</v>
      </c>
      <c r="K170" s="610">
        <v>1</v>
      </c>
      <c r="L170" s="611">
        <v>2100</v>
      </c>
      <c r="M170" s="612"/>
      <c r="N170" s="611">
        <v>198</v>
      </c>
      <c r="O170" s="612"/>
      <c r="P170" s="609"/>
      <c r="Q170" s="768"/>
      <c r="R170" s="768"/>
      <c r="S170" s="768"/>
      <c r="T170" s="768"/>
      <c r="U170" s="612"/>
      <c r="V170" s="613">
        <v>60</v>
      </c>
      <c r="W170" s="612">
        <v>2</v>
      </c>
      <c r="X170" s="613">
        <v>150</v>
      </c>
      <c r="Y170" s="612">
        <v>1</v>
      </c>
      <c r="Z170" s="614">
        <v>24</v>
      </c>
      <c r="AA170" s="612">
        <v>7</v>
      </c>
      <c r="AB170" s="614">
        <v>16</v>
      </c>
      <c r="AC170" s="612"/>
      <c r="AD170" s="612"/>
      <c r="AE170" s="615"/>
      <c r="AF170" s="611">
        <f t="shared" si="6"/>
        <v>2536</v>
      </c>
      <c r="AG170" s="611">
        <f t="shared" si="7"/>
        <v>126.80000000000001</v>
      </c>
      <c r="AH170" s="611">
        <f t="shared" si="8"/>
        <v>2662.8</v>
      </c>
      <c r="AI170" s="986">
        <v>229624</v>
      </c>
      <c r="AJ170" s="616"/>
    </row>
    <row r="171" spans="1:36" s="617" customFormat="1">
      <c r="A171" s="605">
        <v>42244</v>
      </c>
      <c r="B171" s="606" t="s">
        <v>579</v>
      </c>
      <c r="C171" s="607">
        <v>1</v>
      </c>
      <c r="D171" s="608">
        <v>1400</v>
      </c>
      <c r="E171" s="607"/>
      <c r="F171" s="608">
        <v>132</v>
      </c>
      <c r="G171" s="610"/>
      <c r="H171" s="611">
        <v>3150</v>
      </c>
      <c r="I171" s="610"/>
      <c r="J171" s="611">
        <v>0</v>
      </c>
      <c r="K171" s="610"/>
      <c r="L171" s="611">
        <v>2100</v>
      </c>
      <c r="M171" s="612"/>
      <c r="N171" s="611">
        <v>198</v>
      </c>
      <c r="O171" s="612"/>
      <c r="P171" s="609"/>
      <c r="Q171" s="768"/>
      <c r="R171" s="768"/>
      <c r="S171" s="768"/>
      <c r="T171" s="768"/>
      <c r="U171" s="612">
        <v>1</v>
      </c>
      <c r="V171" s="613">
        <v>60</v>
      </c>
      <c r="W171" s="612"/>
      <c r="X171" s="613">
        <v>150</v>
      </c>
      <c r="Y171" s="612"/>
      <c r="Z171" s="614">
        <v>24</v>
      </c>
      <c r="AA171" s="612"/>
      <c r="AB171" s="614">
        <v>16</v>
      </c>
      <c r="AC171" s="612"/>
      <c r="AD171" s="612">
        <v>1</v>
      </c>
      <c r="AE171" s="615">
        <v>140.6</v>
      </c>
      <c r="AF171" s="611">
        <f t="shared" si="6"/>
        <v>1600.6</v>
      </c>
      <c r="AG171" s="611">
        <f t="shared" si="7"/>
        <v>80.03</v>
      </c>
      <c r="AH171" s="611">
        <f t="shared" si="8"/>
        <v>1680.6299999999999</v>
      </c>
      <c r="AI171" s="986">
        <v>229624</v>
      </c>
      <c r="AJ171" s="616"/>
    </row>
    <row r="172" spans="1:36" s="617" customFormat="1">
      <c r="A172" s="605">
        <v>42244</v>
      </c>
      <c r="B172" s="606" t="s">
        <v>568</v>
      </c>
      <c r="C172" s="607"/>
      <c r="D172" s="608">
        <v>1400</v>
      </c>
      <c r="E172" s="607"/>
      <c r="F172" s="608">
        <v>132</v>
      </c>
      <c r="G172" s="610"/>
      <c r="H172" s="611">
        <v>3150</v>
      </c>
      <c r="I172" s="610"/>
      <c r="J172" s="611">
        <v>0</v>
      </c>
      <c r="K172" s="610">
        <v>1</v>
      </c>
      <c r="L172" s="611">
        <v>2100</v>
      </c>
      <c r="M172" s="612"/>
      <c r="N172" s="611">
        <v>198</v>
      </c>
      <c r="O172" s="612"/>
      <c r="P172" s="609"/>
      <c r="Q172" s="768"/>
      <c r="R172" s="768"/>
      <c r="S172" s="768"/>
      <c r="T172" s="768"/>
      <c r="U172" s="612">
        <v>1</v>
      </c>
      <c r="V172" s="613">
        <v>60</v>
      </c>
      <c r="W172" s="612">
        <v>1</v>
      </c>
      <c r="X172" s="613">
        <v>150</v>
      </c>
      <c r="Y172" s="612">
        <v>4</v>
      </c>
      <c r="Z172" s="614">
        <v>24</v>
      </c>
      <c r="AA172" s="612">
        <v>14</v>
      </c>
      <c r="AB172" s="614">
        <v>16</v>
      </c>
      <c r="AC172" s="612"/>
      <c r="AD172" s="612">
        <v>1</v>
      </c>
      <c r="AE172" s="615">
        <v>144.13999999999999</v>
      </c>
      <c r="AF172" s="611">
        <f t="shared" si="6"/>
        <v>2774.14</v>
      </c>
      <c r="AG172" s="611">
        <f t="shared" si="7"/>
        <v>138.70699999999999</v>
      </c>
      <c r="AH172" s="611">
        <f t="shared" si="8"/>
        <v>2912.8469999999998</v>
      </c>
      <c r="AI172" s="986">
        <v>229624</v>
      </c>
      <c r="AJ172" s="616"/>
    </row>
    <row r="173" spans="1:36" s="617" customFormat="1">
      <c r="A173" s="605">
        <v>42244</v>
      </c>
      <c r="B173" s="606" t="s">
        <v>903</v>
      </c>
      <c r="C173" s="607"/>
      <c r="D173" s="608">
        <v>1400</v>
      </c>
      <c r="E173" s="607"/>
      <c r="F173" s="608">
        <v>132</v>
      </c>
      <c r="G173" s="607"/>
      <c r="H173" s="611">
        <v>3150</v>
      </c>
      <c r="I173" s="607"/>
      <c r="J173" s="611">
        <v>0</v>
      </c>
      <c r="K173" s="607">
        <v>1</v>
      </c>
      <c r="L173" s="611">
        <v>2100</v>
      </c>
      <c r="M173" s="963"/>
      <c r="N173" s="611">
        <v>198</v>
      </c>
      <c r="O173" s="612"/>
      <c r="P173" s="609"/>
      <c r="Q173" s="768"/>
      <c r="R173" s="768"/>
      <c r="S173" s="768"/>
      <c r="T173" s="768"/>
      <c r="U173" s="963">
        <v>2</v>
      </c>
      <c r="V173" s="613">
        <v>60</v>
      </c>
      <c r="W173" s="963"/>
      <c r="X173" s="613">
        <v>150</v>
      </c>
      <c r="Y173" s="963">
        <v>6</v>
      </c>
      <c r="Z173" s="614">
        <v>24</v>
      </c>
      <c r="AA173" s="963">
        <v>6</v>
      </c>
      <c r="AB173" s="614">
        <v>16</v>
      </c>
      <c r="AC173" s="963">
        <v>48</v>
      </c>
      <c r="AD173" s="963">
        <v>1</v>
      </c>
      <c r="AE173" s="615">
        <v>260.19</v>
      </c>
      <c r="AF173" s="611">
        <f t="shared" si="6"/>
        <v>2768.19</v>
      </c>
      <c r="AG173" s="611">
        <f t="shared" si="7"/>
        <v>138.40950000000001</v>
      </c>
      <c r="AH173" s="611">
        <f t="shared" si="8"/>
        <v>2906.5995000000003</v>
      </c>
      <c r="AI173" s="986">
        <v>229624</v>
      </c>
      <c r="AJ173" s="616"/>
    </row>
    <row r="174" spans="1:36" s="617" customFormat="1">
      <c r="A174" s="605">
        <v>42245</v>
      </c>
      <c r="B174" s="606" t="s">
        <v>575</v>
      </c>
      <c r="C174" s="607"/>
      <c r="D174" s="608">
        <v>1400</v>
      </c>
      <c r="E174" s="607"/>
      <c r="F174" s="608">
        <v>132</v>
      </c>
      <c r="G174" s="610"/>
      <c r="H174" s="611">
        <v>3150</v>
      </c>
      <c r="I174" s="610"/>
      <c r="J174" s="611">
        <v>0</v>
      </c>
      <c r="K174" s="610">
        <v>1</v>
      </c>
      <c r="L174" s="611">
        <v>2100</v>
      </c>
      <c r="M174" s="612"/>
      <c r="N174" s="611">
        <v>198</v>
      </c>
      <c r="O174" s="612"/>
      <c r="P174" s="609"/>
      <c r="Q174" s="768"/>
      <c r="R174" s="768"/>
      <c r="S174" s="768"/>
      <c r="T174" s="768"/>
      <c r="U174" s="612"/>
      <c r="V174" s="613">
        <v>60</v>
      </c>
      <c r="W174" s="612">
        <v>2</v>
      </c>
      <c r="X174" s="613">
        <v>150</v>
      </c>
      <c r="Y174" s="612">
        <v>7</v>
      </c>
      <c r="Z174" s="614">
        <v>24</v>
      </c>
      <c r="AA174" s="612">
        <v>7</v>
      </c>
      <c r="AB174" s="614">
        <v>16</v>
      </c>
      <c r="AC174" s="612"/>
      <c r="AD174" s="612"/>
      <c r="AE174" s="615"/>
      <c r="AF174" s="611">
        <f t="shared" si="6"/>
        <v>2680</v>
      </c>
      <c r="AG174" s="611">
        <f t="shared" si="7"/>
        <v>134</v>
      </c>
      <c r="AH174" s="611">
        <f t="shared" si="8"/>
        <v>2814</v>
      </c>
      <c r="AI174" s="986">
        <v>229624</v>
      </c>
      <c r="AJ174" s="616"/>
    </row>
    <row r="175" spans="1:36" s="617" customFormat="1">
      <c r="A175" s="605">
        <v>42245</v>
      </c>
      <c r="B175" s="606" t="s">
        <v>580</v>
      </c>
      <c r="C175" s="607">
        <v>1</v>
      </c>
      <c r="D175" s="608">
        <v>1400</v>
      </c>
      <c r="E175" s="607"/>
      <c r="F175" s="608">
        <v>132</v>
      </c>
      <c r="G175" s="610"/>
      <c r="H175" s="611">
        <v>3150</v>
      </c>
      <c r="I175" s="610"/>
      <c r="J175" s="611">
        <v>0</v>
      </c>
      <c r="K175" s="610"/>
      <c r="L175" s="611">
        <v>2100</v>
      </c>
      <c r="M175" s="612"/>
      <c r="N175" s="611">
        <v>198</v>
      </c>
      <c r="O175" s="612"/>
      <c r="P175" s="609"/>
      <c r="Q175" s="768"/>
      <c r="R175" s="768"/>
      <c r="S175" s="768"/>
      <c r="T175" s="768"/>
      <c r="U175" s="612">
        <v>1</v>
      </c>
      <c r="V175" s="613">
        <v>60</v>
      </c>
      <c r="W175" s="612"/>
      <c r="X175" s="613">
        <v>150</v>
      </c>
      <c r="Y175" s="612"/>
      <c r="Z175" s="614">
        <v>24</v>
      </c>
      <c r="AA175" s="612"/>
      <c r="AB175" s="614">
        <v>16</v>
      </c>
      <c r="AC175" s="612"/>
      <c r="AD175" s="612">
        <v>1</v>
      </c>
      <c r="AE175" s="615">
        <v>140.6</v>
      </c>
      <c r="AF175" s="611">
        <f t="shared" si="6"/>
        <v>1600.6</v>
      </c>
      <c r="AG175" s="611">
        <f t="shared" si="7"/>
        <v>80.03</v>
      </c>
      <c r="AH175" s="611">
        <f t="shared" si="8"/>
        <v>1680.6299999999999</v>
      </c>
      <c r="AI175" s="986">
        <v>229624</v>
      </c>
      <c r="AJ175" s="616"/>
    </row>
    <row r="176" spans="1:36" s="617" customFormat="1">
      <c r="A176" s="605">
        <v>42245</v>
      </c>
      <c r="B176" s="606" t="s">
        <v>569</v>
      </c>
      <c r="C176" s="607"/>
      <c r="D176" s="608">
        <v>1400</v>
      </c>
      <c r="E176" s="607"/>
      <c r="F176" s="608">
        <v>132</v>
      </c>
      <c r="G176" s="610"/>
      <c r="H176" s="611">
        <v>3150</v>
      </c>
      <c r="I176" s="610"/>
      <c r="J176" s="611">
        <v>0</v>
      </c>
      <c r="K176" s="610">
        <v>1</v>
      </c>
      <c r="L176" s="611">
        <v>2100</v>
      </c>
      <c r="M176" s="612"/>
      <c r="N176" s="611">
        <v>198</v>
      </c>
      <c r="O176" s="612"/>
      <c r="P176" s="609"/>
      <c r="Q176" s="768"/>
      <c r="R176" s="768"/>
      <c r="S176" s="768"/>
      <c r="T176" s="768"/>
      <c r="U176" s="612">
        <v>1</v>
      </c>
      <c r="V176" s="613">
        <v>60</v>
      </c>
      <c r="W176" s="612">
        <v>1</v>
      </c>
      <c r="X176" s="613">
        <v>150</v>
      </c>
      <c r="Y176" s="612"/>
      <c r="Z176" s="614">
        <v>24</v>
      </c>
      <c r="AA176" s="612">
        <v>20</v>
      </c>
      <c r="AB176" s="614">
        <v>16</v>
      </c>
      <c r="AC176" s="612"/>
      <c r="AD176" s="612">
        <v>1</v>
      </c>
      <c r="AE176" s="615">
        <v>144.13999999999999</v>
      </c>
      <c r="AF176" s="611">
        <f t="shared" si="6"/>
        <v>2774.14</v>
      </c>
      <c r="AG176" s="611">
        <f t="shared" si="7"/>
        <v>138.70699999999999</v>
      </c>
      <c r="AH176" s="611">
        <f t="shared" si="8"/>
        <v>2912.8469999999998</v>
      </c>
      <c r="AI176" s="986">
        <v>229624</v>
      </c>
      <c r="AJ176" s="616"/>
    </row>
    <row r="177" spans="1:64" s="617" customFormat="1">
      <c r="A177" s="605">
        <v>42245</v>
      </c>
      <c r="B177" s="606" t="s">
        <v>904</v>
      </c>
      <c r="C177" s="607"/>
      <c r="D177" s="608">
        <v>1400</v>
      </c>
      <c r="E177" s="607"/>
      <c r="F177" s="608">
        <v>132</v>
      </c>
      <c r="G177" s="607"/>
      <c r="H177" s="611">
        <v>3150</v>
      </c>
      <c r="I177" s="607"/>
      <c r="J177" s="611">
        <v>0</v>
      </c>
      <c r="K177" s="607">
        <v>1</v>
      </c>
      <c r="L177" s="611">
        <v>2100</v>
      </c>
      <c r="M177" s="607"/>
      <c r="N177" s="611">
        <v>198</v>
      </c>
      <c r="O177" s="612"/>
      <c r="P177" s="609"/>
      <c r="Q177" s="768"/>
      <c r="R177" s="768"/>
      <c r="S177" s="768"/>
      <c r="T177" s="768"/>
      <c r="U177" s="607">
        <v>2</v>
      </c>
      <c r="V177" s="613">
        <v>60</v>
      </c>
      <c r="W177" s="607"/>
      <c r="X177" s="613">
        <v>150</v>
      </c>
      <c r="Y177" s="607">
        <v>4</v>
      </c>
      <c r="Z177" s="614">
        <v>24</v>
      </c>
      <c r="AA177" s="607">
        <v>5</v>
      </c>
      <c r="AB177" s="614">
        <v>16</v>
      </c>
      <c r="AC177" s="607">
        <v>28</v>
      </c>
      <c r="AD177" s="607">
        <v>1</v>
      </c>
      <c r="AE177" s="615">
        <v>260.19</v>
      </c>
      <c r="AF177" s="611">
        <f t="shared" si="6"/>
        <v>2684.19</v>
      </c>
      <c r="AG177" s="611">
        <f t="shared" si="7"/>
        <v>134.20950000000002</v>
      </c>
      <c r="AH177" s="611">
        <f t="shared" si="8"/>
        <v>2818.3995</v>
      </c>
      <c r="AI177" s="986">
        <v>229624</v>
      </c>
      <c r="AJ177" s="616"/>
    </row>
    <row r="178" spans="1:64" s="617" customFormat="1">
      <c r="A178" s="605">
        <v>42247</v>
      </c>
      <c r="B178" s="606" t="s">
        <v>576</v>
      </c>
      <c r="C178" s="607"/>
      <c r="D178" s="608">
        <v>1400</v>
      </c>
      <c r="E178" s="607"/>
      <c r="F178" s="608">
        <v>132</v>
      </c>
      <c r="G178" s="610"/>
      <c r="H178" s="611">
        <v>3150</v>
      </c>
      <c r="I178" s="610"/>
      <c r="J178" s="611">
        <v>0</v>
      </c>
      <c r="K178" s="610">
        <v>1</v>
      </c>
      <c r="L178" s="611">
        <v>2100</v>
      </c>
      <c r="M178" s="610"/>
      <c r="N178" s="611">
        <v>198</v>
      </c>
      <c r="O178" s="612"/>
      <c r="P178" s="609"/>
      <c r="Q178" s="768"/>
      <c r="R178" s="768"/>
      <c r="S178" s="768"/>
      <c r="T178" s="768"/>
      <c r="U178" s="610"/>
      <c r="V178" s="613">
        <v>60</v>
      </c>
      <c r="W178" s="610">
        <v>2</v>
      </c>
      <c r="X178" s="613">
        <v>150</v>
      </c>
      <c r="Y178" s="610">
        <v>6</v>
      </c>
      <c r="Z178" s="614">
        <v>24</v>
      </c>
      <c r="AA178" s="610">
        <v>6</v>
      </c>
      <c r="AB178" s="614">
        <v>16</v>
      </c>
      <c r="AC178" s="610"/>
      <c r="AD178" s="610"/>
      <c r="AE178" s="615"/>
      <c r="AF178" s="611">
        <f t="shared" si="6"/>
        <v>2640</v>
      </c>
      <c r="AG178" s="611">
        <f t="shared" si="7"/>
        <v>132</v>
      </c>
      <c r="AH178" s="611">
        <f t="shared" si="8"/>
        <v>2772</v>
      </c>
      <c r="AI178" s="986">
        <v>229624</v>
      </c>
      <c r="AJ178" s="616"/>
    </row>
    <row r="179" spans="1:64" s="617" customFormat="1">
      <c r="A179" s="605">
        <v>42247</v>
      </c>
      <c r="B179" s="606" t="s">
        <v>561</v>
      </c>
      <c r="C179" s="607">
        <v>1</v>
      </c>
      <c r="D179" s="608">
        <v>1400</v>
      </c>
      <c r="E179" s="607"/>
      <c r="F179" s="608">
        <v>132</v>
      </c>
      <c r="G179" s="610"/>
      <c r="H179" s="611">
        <v>3150</v>
      </c>
      <c r="I179" s="610"/>
      <c r="J179" s="611">
        <v>0</v>
      </c>
      <c r="K179" s="610"/>
      <c r="L179" s="611">
        <v>2100</v>
      </c>
      <c r="M179" s="610"/>
      <c r="N179" s="611">
        <v>198</v>
      </c>
      <c r="O179" s="612"/>
      <c r="P179" s="609"/>
      <c r="Q179" s="768"/>
      <c r="R179" s="768"/>
      <c r="S179" s="768"/>
      <c r="T179" s="768"/>
      <c r="U179" s="610">
        <v>1</v>
      </c>
      <c r="V179" s="613">
        <v>60</v>
      </c>
      <c r="W179" s="610"/>
      <c r="X179" s="613">
        <v>150</v>
      </c>
      <c r="Y179" s="610"/>
      <c r="Z179" s="614">
        <v>24</v>
      </c>
      <c r="AA179" s="610"/>
      <c r="AB179" s="614">
        <v>16</v>
      </c>
      <c r="AC179" s="610"/>
      <c r="AD179" s="610">
        <v>1</v>
      </c>
      <c r="AE179" s="615">
        <v>140.6</v>
      </c>
      <c r="AF179" s="611">
        <f t="shared" si="6"/>
        <v>1600.6</v>
      </c>
      <c r="AG179" s="611">
        <f t="shared" si="7"/>
        <v>80.03</v>
      </c>
      <c r="AH179" s="611">
        <f t="shared" si="8"/>
        <v>1680.6299999999999</v>
      </c>
      <c r="AI179" s="986">
        <v>229624</v>
      </c>
      <c r="AJ179" s="616"/>
    </row>
    <row r="180" spans="1:64" s="617" customFormat="1">
      <c r="A180" s="605">
        <v>42247</v>
      </c>
      <c r="B180" s="606" t="s">
        <v>570</v>
      </c>
      <c r="C180" s="607"/>
      <c r="D180" s="608">
        <v>1400</v>
      </c>
      <c r="E180" s="607"/>
      <c r="F180" s="608">
        <v>132</v>
      </c>
      <c r="G180" s="610"/>
      <c r="H180" s="611">
        <v>3150</v>
      </c>
      <c r="I180" s="610"/>
      <c r="J180" s="611">
        <v>0</v>
      </c>
      <c r="K180" s="610">
        <v>1</v>
      </c>
      <c r="L180" s="611">
        <v>2100</v>
      </c>
      <c r="M180" s="610"/>
      <c r="N180" s="611">
        <v>198</v>
      </c>
      <c r="O180" s="612"/>
      <c r="P180" s="609"/>
      <c r="Q180" s="768"/>
      <c r="R180" s="768"/>
      <c r="S180" s="768"/>
      <c r="T180" s="768"/>
      <c r="U180" s="610">
        <v>1</v>
      </c>
      <c r="V180" s="613">
        <v>60</v>
      </c>
      <c r="W180" s="610">
        <v>1</v>
      </c>
      <c r="X180" s="613">
        <v>150</v>
      </c>
      <c r="Y180" s="610"/>
      <c r="Z180" s="614">
        <v>24</v>
      </c>
      <c r="AA180" s="610">
        <v>31</v>
      </c>
      <c r="AB180" s="614">
        <v>16</v>
      </c>
      <c r="AC180" s="610"/>
      <c r="AD180" s="610">
        <v>1</v>
      </c>
      <c r="AE180" s="615">
        <v>144.13999999999999</v>
      </c>
      <c r="AF180" s="611">
        <f t="shared" si="6"/>
        <v>2950.14</v>
      </c>
      <c r="AG180" s="611">
        <f t="shared" si="7"/>
        <v>147.50700000000001</v>
      </c>
      <c r="AH180" s="611">
        <f t="shared" si="8"/>
        <v>3097.6469999999999</v>
      </c>
      <c r="AI180" s="986">
        <v>229624</v>
      </c>
      <c r="AJ180" s="616"/>
    </row>
    <row r="181" spans="1:64" s="617" customFormat="1">
      <c r="A181" s="605">
        <v>42247</v>
      </c>
      <c r="B181" s="606" t="s">
        <v>564</v>
      </c>
      <c r="C181" s="607"/>
      <c r="D181" s="608">
        <v>1400</v>
      </c>
      <c r="E181" s="607"/>
      <c r="F181" s="608">
        <v>132</v>
      </c>
      <c r="G181" s="610"/>
      <c r="H181" s="611">
        <v>3150</v>
      </c>
      <c r="I181" s="610"/>
      <c r="J181" s="611">
        <v>0</v>
      </c>
      <c r="K181" s="610">
        <v>1</v>
      </c>
      <c r="L181" s="611">
        <v>2100</v>
      </c>
      <c r="M181" s="610"/>
      <c r="N181" s="611">
        <v>198</v>
      </c>
      <c r="O181" s="612"/>
      <c r="P181" s="609"/>
      <c r="Q181" s="768"/>
      <c r="R181" s="768"/>
      <c r="S181" s="768"/>
      <c r="T181" s="768"/>
      <c r="U181" s="610"/>
      <c r="V181" s="613">
        <v>60</v>
      </c>
      <c r="W181" s="610">
        <v>2</v>
      </c>
      <c r="X181" s="613">
        <v>150</v>
      </c>
      <c r="Y181" s="610">
        <v>6</v>
      </c>
      <c r="Z181" s="614">
        <v>24</v>
      </c>
      <c r="AA181" s="610">
        <v>4</v>
      </c>
      <c r="AB181" s="614">
        <v>16</v>
      </c>
      <c r="AC181" s="610"/>
      <c r="AD181" s="610"/>
      <c r="AE181" s="615"/>
      <c r="AF181" s="611">
        <f t="shared" si="6"/>
        <v>2608</v>
      </c>
      <c r="AG181" s="611">
        <f t="shared" si="7"/>
        <v>130.4</v>
      </c>
      <c r="AH181" s="611">
        <f t="shared" si="8"/>
        <v>2738.4</v>
      </c>
      <c r="AI181" s="986">
        <v>229624</v>
      </c>
      <c r="AJ181" s="616"/>
    </row>
    <row r="182" spans="1:64" s="371" customFormat="1">
      <c r="A182" s="605">
        <v>42247</v>
      </c>
      <c r="B182" s="606" t="s">
        <v>905</v>
      </c>
      <c r="C182" s="607"/>
      <c r="D182" s="608">
        <v>1400</v>
      </c>
      <c r="E182" s="607"/>
      <c r="F182" s="608">
        <v>132</v>
      </c>
      <c r="G182" s="607"/>
      <c r="H182" s="611">
        <v>3150</v>
      </c>
      <c r="I182" s="607"/>
      <c r="J182" s="611">
        <v>0</v>
      </c>
      <c r="K182" s="607">
        <v>1</v>
      </c>
      <c r="L182" s="611">
        <v>2100</v>
      </c>
      <c r="M182" s="607"/>
      <c r="N182" s="611">
        <v>198</v>
      </c>
      <c r="O182" s="612"/>
      <c r="P182" s="609"/>
      <c r="Q182" s="768"/>
      <c r="R182" s="768"/>
      <c r="S182" s="768"/>
      <c r="T182" s="768"/>
      <c r="U182" s="607">
        <v>2</v>
      </c>
      <c r="V182" s="613">
        <v>60</v>
      </c>
      <c r="W182" s="607"/>
      <c r="X182" s="613">
        <v>150</v>
      </c>
      <c r="Y182" s="607"/>
      <c r="Z182" s="614">
        <v>24</v>
      </c>
      <c r="AA182" s="607"/>
      <c r="AB182" s="614">
        <v>16</v>
      </c>
      <c r="AC182" s="607">
        <v>352</v>
      </c>
      <c r="AD182" s="607">
        <v>1</v>
      </c>
      <c r="AE182" s="615">
        <v>260.19</v>
      </c>
      <c r="AF182" s="611">
        <f t="shared" si="6"/>
        <v>2832.19</v>
      </c>
      <c r="AG182" s="611">
        <f t="shared" si="7"/>
        <v>141.6095</v>
      </c>
      <c r="AH182" s="611">
        <f t="shared" si="8"/>
        <v>2973.7995000000001</v>
      </c>
      <c r="AI182" s="986">
        <v>229624</v>
      </c>
      <c r="AJ182" s="616"/>
      <c r="AK182" s="617"/>
      <c r="AL182" s="617"/>
      <c r="AM182" s="617"/>
      <c r="AN182" s="617"/>
      <c r="AO182" s="617"/>
      <c r="AP182" s="617"/>
      <c r="AQ182" s="617"/>
      <c r="AR182" s="617"/>
      <c r="AS182" s="617"/>
      <c r="AT182" s="617"/>
      <c r="AU182" s="617"/>
      <c r="AV182" s="617"/>
      <c r="AW182" s="617"/>
      <c r="AX182" s="617"/>
      <c r="AY182" s="617"/>
      <c r="AZ182" s="617"/>
      <c r="BA182" s="617"/>
      <c r="BB182" s="617"/>
      <c r="BC182" s="617"/>
      <c r="BD182" s="617"/>
      <c r="BE182" s="617"/>
      <c r="BF182" s="617"/>
      <c r="BG182" s="617"/>
      <c r="BH182" s="617"/>
      <c r="BI182" s="617"/>
      <c r="BJ182" s="617"/>
      <c r="BK182" s="617"/>
      <c r="BL182" s="617"/>
    </row>
    <row r="183" spans="1:64" s="371" customFormat="1">
      <c r="A183" s="597">
        <v>42248</v>
      </c>
      <c r="B183" s="598" t="s">
        <v>583</v>
      </c>
      <c r="C183" s="599">
        <v>1</v>
      </c>
      <c r="D183" s="600">
        <v>1400</v>
      </c>
      <c r="E183" s="599"/>
      <c r="F183" s="600">
        <v>132</v>
      </c>
      <c r="G183" s="599"/>
      <c r="H183" s="601">
        <v>3150</v>
      </c>
      <c r="I183" s="599"/>
      <c r="J183" s="601">
        <v>0</v>
      </c>
      <c r="K183" s="599"/>
      <c r="L183" s="601">
        <v>2100</v>
      </c>
      <c r="M183" s="599"/>
      <c r="N183" s="601">
        <v>198</v>
      </c>
      <c r="O183" s="691"/>
      <c r="P183" s="688"/>
      <c r="Q183" s="767"/>
      <c r="R183" s="767"/>
      <c r="S183" s="767"/>
      <c r="T183" s="767"/>
      <c r="U183" s="599">
        <v>1</v>
      </c>
      <c r="V183" s="602">
        <v>60</v>
      </c>
      <c r="W183" s="599"/>
      <c r="X183" s="602">
        <v>150</v>
      </c>
      <c r="Y183" s="599"/>
      <c r="Z183" s="603">
        <v>24</v>
      </c>
      <c r="AA183" s="599"/>
      <c r="AB183" s="603">
        <v>16</v>
      </c>
      <c r="AC183" s="599"/>
      <c r="AD183" s="599">
        <v>1</v>
      </c>
      <c r="AE183" s="604">
        <v>140.6</v>
      </c>
      <c r="AF183" s="601">
        <f t="shared" si="6"/>
        <v>1600.6</v>
      </c>
      <c r="AG183" s="601">
        <f t="shared" si="7"/>
        <v>80.03</v>
      </c>
      <c r="AH183" s="601">
        <f t="shared" si="8"/>
        <v>1680.6299999999999</v>
      </c>
      <c r="AI183" s="987">
        <v>229626</v>
      </c>
      <c r="AJ183" s="370"/>
    </row>
    <row r="184" spans="1:64" s="371" customFormat="1">
      <c r="A184" s="597">
        <v>42248</v>
      </c>
      <c r="B184" s="598" t="s">
        <v>585</v>
      </c>
      <c r="C184" s="599"/>
      <c r="D184" s="600">
        <v>1400</v>
      </c>
      <c r="E184" s="599"/>
      <c r="F184" s="600">
        <v>132</v>
      </c>
      <c r="G184" s="599"/>
      <c r="H184" s="601">
        <v>3150</v>
      </c>
      <c r="I184" s="599"/>
      <c r="J184" s="601">
        <v>0</v>
      </c>
      <c r="K184" s="599">
        <v>1</v>
      </c>
      <c r="L184" s="601">
        <v>2100</v>
      </c>
      <c r="M184" s="599"/>
      <c r="N184" s="601">
        <v>198</v>
      </c>
      <c r="O184" s="691"/>
      <c r="P184" s="688"/>
      <c r="Q184" s="767"/>
      <c r="R184" s="767"/>
      <c r="S184" s="767"/>
      <c r="T184" s="767"/>
      <c r="U184" s="599"/>
      <c r="V184" s="602">
        <v>60</v>
      </c>
      <c r="W184" s="599">
        <v>2</v>
      </c>
      <c r="X184" s="602">
        <v>150</v>
      </c>
      <c r="Y184" s="599">
        <v>5</v>
      </c>
      <c r="Z184" s="603">
        <v>24</v>
      </c>
      <c r="AA184" s="599">
        <v>4</v>
      </c>
      <c r="AB184" s="603">
        <v>16</v>
      </c>
      <c r="AC184" s="599"/>
      <c r="AD184" s="599"/>
      <c r="AE184" s="604"/>
      <c r="AF184" s="601">
        <f t="shared" si="6"/>
        <v>2584</v>
      </c>
      <c r="AG184" s="601">
        <f t="shared" si="7"/>
        <v>129.20000000000002</v>
      </c>
      <c r="AH184" s="601">
        <f t="shared" si="8"/>
        <v>2713.2</v>
      </c>
      <c r="AI184" s="987">
        <v>229626</v>
      </c>
      <c r="AJ184" s="370"/>
    </row>
    <row r="185" spans="1:64" s="371" customFormat="1">
      <c r="A185" s="597">
        <v>42248</v>
      </c>
      <c r="B185" s="598" t="s">
        <v>588</v>
      </c>
      <c r="C185" s="599"/>
      <c r="D185" s="600">
        <v>1400</v>
      </c>
      <c r="E185" s="599"/>
      <c r="F185" s="600">
        <v>132</v>
      </c>
      <c r="G185" s="599"/>
      <c r="H185" s="601">
        <v>3150</v>
      </c>
      <c r="I185" s="599"/>
      <c r="J185" s="601">
        <v>0</v>
      </c>
      <c r="K185" s="599">
        <v>1</v>
      </c>
      <c r="L185" s="601">
        <v>2100</v>
      </c>
      <c r="M185" s="599">
        <v>1</v>
      </c>
      <c r="N185" s="601">
        <v>198</v>
      </c>
      <c r="O185" s="691"/>
      <c r="P185" s="688"/>
      <c r="Q185" s="767"/>
      <c r="R185" s="767"/>
      <c r="S185" s="767"/>
      <c r="T185" s="767"/>
      <c r="U185" s="599">
        <v>1</v>
      </c>
      <c r="V185" s="602">
        <v>60</v>
      </c>
      <c r="W185" s="599">
        <v>1</v>
      </c>
      <c r="X185" s="602">
        <v>150</v>
      </c>
      <c r="Y185" s="599"/>
      <c r="Z185" s="603">
        <v>24</v>
      </c>
      <c r="AA185" s="599">
        <v>22</v>
      </c>
      <c r="AB185" s="603">
        <v>16</v>
      </c>
      <c r="AC185" s="599"/>
      <c r="AD185" s="599">
        <v>1</v>
      </c>
      <c r="AE185" s="604">
        <v>144.13999999999999</v>
      </c>
      <c r="AF185" s="601">
        <f t="shared" si="6"/>
        <v>3004.14</v>
      </c>
      <c r="AG185" s="601">
        <f t="shared" si="7"/>
        <v>150.20699999999999</v>
      </c>
      <c r="AH185" s="601">
        <f t="shared" si="8"/>
        <v>3154.3469999999998</v>
      </c>
      <c r="AI185" s="987">
        <v>229626</v>
      </c>
      <c r="AJ185" s="370"/>
    </row>
    <row r="186" spans="1:64" s="371" customFormat="1">
      <c r="A186" s="597">
        <v>42248</v>
      </c>
      <c r="B186" s="598" t="s">
        <v>590</v>
      </c>
      <c r="C186" s="599"/>
      <c r="D186" s="600">
        <v>1400</v>
      </c>
      <c r="E186" s="599"/>
      <c r="F186" s="600">
        <v>132</v>
      </c>
      <c r="G186" s="599"/>
      <c r="H186" s="601">
        <v>3150</v>
      </c>
      <c r="I186" s="599"/>
      <c r="J186" s="601">
        <v>0</v>
      </c>
      <c r="K186" s="599">
        <v>1</v>
      </c>
      <c r="L186" s="601">
        <v>2100</v>
      </c>
      <c r="M186" s="599"/>
      <c r="N186" s="601">
        <v>198</v>
      </c>
      <c r="O186" s="691"/>
      <c r="P186" s="688"/>
      <c r="Q186" s="767"/>
      <c r="R186" s="767"/>
      <c r="S186" s="767"/>
      <c r="T186" s="767"/>
      <c r="U186" s="599"/>
      <c r="V186" s="602">
        <v>60</v>
      </c>
      <c r="W186" s="599">
        <v>2</v>
      </c>
      <c r="X186" s="602">
        <v>150</v>
      </c>
      <c r="Y186" s="599">
        <v>5</v>
      </c>
      <c r="Z186" s="603">
        <v>24</v>
      </c>
      <c r="AA186" s="599">
        <v>5</v>
      </c>
      <c r="AB186" s="603">
        <v>16</v>
      </c>
      <c r="AC186" s="599"/>
      <c r="AD186" s="599"/>
      <c r="AE186" s="604"/>
      <c r="AF186" s="601">
        <f t="shared" si="6"/>
        <v>2600</v>
      </c>
      <c r="AG186" s="601">
        <f t="shared" si="7"/>
        <v>130</v>
      </c>
      <c r="AH186" s="601">
        <f t="shared" si="8"/>
        <v>2730</v>
      </c>
      <c r="AI186" s="987">
        <v>229626</v>
      </c>
      <c r="AJ186" s="370"/>
    </row>
    <row r="187" spans="1:64" s="371" customFormat="1">
      <c r="A187" s="597">
        <v>42248</v>
      </c>
      <c r="B187" s="598" t="s">
        <v>593</v>
      </c>
      <c r="C187" s="599"/>
      <c r="D187" s="600">
        <v>1400</v>
      </c>
      <c r="E187" s="599"/>
      <c r="F187" s="600">
        <v>132</v>
      </c>
      <c r="G187" s="599"/>
      <c r="H187" s="601">
        <v>3150</v>
      </c>
      <c r="I187" s="599"/>
      <c r="J187" s="601">
        <v>0</v>
      </c>
      <c r="K187" s="599">
        <v>1</v>
      </c>
      <c r="L187" s="601">
        <v>2100</v>
      </c>
      <c r="M187" s="599"/>
      <c r="N187" s="601">
        <v>198</v>
      </c>
      <c r="O187" s="691"/>
      <c r="P187" s="688"/>
      <c r="Q187" s="767"/>
      <c r="R187" s="767"/>
      <c r="S187" s="767"/>
      <c r="T187" s="767"/>
      <c r="U187" s="599">
        <v>2</v>
      </c>
      <c r="V187" s="602">
        <v>60</v>
      </c>
      <c r="W187" s="599"/>
      <c r="X187" s="602">
        <v>150</v>
      </c>
      <c r="Y187" s="599"/>
      <c r="Z187" s="603">
        <v>24</v>
      </c>
      <c r="AA187" s="599"/>
      <c r="AB187" s="603">
        <v>16</v>
      </c>
      <c r="AC187" s="599">
        <v>222</v>
      </c>
      <c r="AD187" s="599">
        <v>1</v>
      </c>
      <c r="AE187" s="604">
        <v>260.19</v>
      </c>
      <c r="AF187" s="601">
        <f t="shared" si="6"/>
        <v>2702.19</v>
      </c>
      <c r="AG187" s="601">
        <f t="shared" si="7"/>
        <v>135.1095</v>
      </c>
      <c r="AH187" s="601">
        <f t="shared" si="8"/>
        <v>2837.2995000000001</v>
      </c>
      <c r="AI187" s="987">
        <v>229626</v>
      </c>
      <c r="AJ187" s="370"/>
    </row>
    <row r="188" spans="1:64" s="371" customFormat="1">
      <c r="A188" s="597">
        <v>42249</v>
      </c>
      <c r="B188" s="598" t="s">
        <v>584</v>
      </c>
      <c r="C188" s="599">
        <v>1</v>
      </c>
      <c r="D188" s="600">
        <v>1400</v>
      </c>
      <c r="E188" s="599"/>
      <c r="F188" s="600">
        <v>132</v>
      </c>
      <c r="G188" s="599"/>
      <c r="H188" s="601">
        <v>3150</v>
      </c>
      <c r="I188" s="599"/>
      <c r="J188" s="601">
        <v>0</v>
      </c>
      <c r="K188" s="599"/>
      <c r="L188" s="601">
        <v>2100</v>
      </c>
      <c r="M188" s="599"/>
      <c r="N188" s="601">
        <v>198</v>
      </c>
      <c r="O188" s="691"/>
      <c r="P188" s="688"/>
      <c r="Q188" s="767"/>
      <c r="R188" s="767"/>
      <c r="S188" s="767"/>
      <c r="T188" s="767"/>
      <c r="U188" s="599">
        <v>1</v>
      </c>
      <c r="V188" s="602">
        <v>60</v>
      </c>
      <c r="W188" s="599"/>
      <c r="X188" s="602">
        <v>150</v>
      </c>
      <c r="Y188" s="599"/>
      <c r="Z188" s="603">
        <v>24</v>
      </c>
      <c r="AA188" s="599"/>
      <c r="AB188" s="603">
        <v>16</v>
      </c>
      <c r="AC188" s="599"/>
      <c r="AD188" s="599">
        <v>1</v>
      </c>
      <c r="AE188" s="604">
        <v>140.61000000000001</v>
      </c>
      <c r="AF188" s="601">
        <f t="shared" si="6"/>
        <v>1600.6100000000001</v>
      </c>
      <c r="AG188" s="601">
        <f t="shared" si="7"/>
        <v>80.030500000000018</v>
      </c>
      <c r="AH188" s="601">
        <f t="shared" si="8"/>
        <v>1680.6405000000002</v>
      </c>
      <c r="AI188" s="987">
        <v>229626</v>
      </c>
      <c r="AJ188" s="1001" t="s">
        <v>907</v>
      </c>
    </row>
    <row r="189" spans="1:64" s="371" customFormat="1">
      <c r="A189" s="597">
        <v>42249</v>
      </c>
      <c r="B189" s="598" t="s">
        <v>586</v>
      </c>
      <c r="C189" s="599"/>
      <c r="D189" s="600">
        <v>1400</v>
      </c>
      <c r="E189" s="599"/>
      <c r="F189" s="600">
        <v>132</v>
      </c>
      <c r="G189" s="599"/>
      <c r="H189" s="601">
        <v>3150</v>
      </c>
      <c r="I189" s="599"/>
      <c r="J189" s="601">
        <v>0</v>
      </c>
      <c r="K189" s="599">
        <v>1</v>
      </c>
      <c r="L189" s="601">
        <v>2100</v>
      </c>
      <c r="M189" s="599"/>
      <c r="N189" s="601">
        <v>198</v>
      </c>
      <c r="O189" s="691"/>
      <c r="P189" s="688"/>
      <c r="Q189" s="767"/>
      <c r="R189" s="767"/>
      <c r="S189" s="767"/>
      <c r="T189" s="767"/>
      <c r="U189" s="599"/>
      <c r="V189" s="602">
        <v>60</v>
      </c>
      <c r="W189" s="599">
        <v>2</v>
      </c>
      <c r="X189" s="602">
        <v>150</v>
      </c>
      <c r="Y189" s="599">
        <v>3</v>
      </c>
      <c r="Z189" s="603">
        <v>24</v>
      </c>
      <c r="AA189" s="599">
        <v>3</v>
      </c>
      <c r="AB189" s="603">
        <v>16</v>
      </c>
      <c r="AC189" s="599"/>
      <c r="AD189" s="599"/>
      <c r="AE189" s="604"/>
      <c r="AF189" s="601">
        <f t="shared" si="6"/>
        <v>2520</v>
      </c>
      <c r="AG189" s="601">
        <f t="shared" si="7"/>
        <v>126</v>
      </c>
      <c r="AH189" s="601">
        <f t="shared" si="8"/>
        <v>2646</v>
      </c>
      <c r="AI189" s="987">
        <v>229626</v>
      </c>
      <c r="AJ189" s="1002" t="s">
        <v>908</v>
      </c>
    </row>
    <row r="190" spans="1:64" s="371" customFormat="1">
      <c r="A190" s="597">
        <v>42249</v>
      </c>
      <c r="B190" s="598" t="s">
        <v>589</v>
      </c>
      <c r="C190" s="599"/>
      <c r="D190" s="600">
        <v>1400</v>
      </c>
      <c r="E190" s="599"/>
      <c r="F190" s="600">
        <v>132</v>
      </c>
      <c r="G190" s="599"/>
      <c r="H190" s="601">
        <v>3150</v>
      </c>
      <c r="I190" s="599"/>
      <c r="J190" s="601">
        <v>0</v>
      </c>
      <c r="K190" s="599">
        <v>1</v>
      </c>
      <c r="L190" s="601">
        <v>2100</v>
      </c>
      <c r="M190" s="599"/>
      <c r="N190" s="601">
        <v>198</v>
      </c>
      <c r="O190" s="691"/>
      <c r="P190" s="688"/>
      <c r="Q190" s="767"/>
      <c r="R190" s="767"/>
      <c r="S190" s="767"/>
      <c r="T190" s="767"/>
      <c r="U190" s="599">
        <v>1</v>
      </c>
      <c r="V190" s="602">
        <v>60</v>
      </c>
      <c r="W190" s="599">
        <v>1</v>
      </c>
      <c r="X190" s="602">
        <v>150</v>
      </c>
      <c r="Y190" s="599">
        <v>3</v>
      </c>
      <c r="Z190" s="603">
        <v>24</v>
      </c>
      <c r="AA190" s="599">
        <v>4</v>
      </c>
      <c r="AB190" s="603">
        <v>16</v>
      </c>
      <c r="AC190" s="599"/>
      <c r="AD190" s="599">
        <v>1</v>
      </c>
      <c r="AE190" s="604">
        <v>144.15</v>
      </c>
      <c r="AF190" s="601">
        <f t="shared" si="6"/>
        <v>2590.15</v>
      </c>
      <c r="AG190" s="601">
        <f t="shared" si="7"/>
        <v>129.50750000000002</v>
      </c>
      <c r="AH190" s="601">
        <f t="shared" si="8"/>
        <v>2719.6575000000003</v>
      </c>
      <c r="AI190" s="987">
        <v>229626</v>
      </c>
      <c r="AJ190" s="370"/>
    </row>
    <row r="191" spans="1:64" s="371" customFormat="1">
      <c r="A191" s="597">
        <v>42249</v>
      </c>
      <c r="B191" s="598" t="s">
        <v>591</v>
      </c>
      <c r="C191" s="599"/>
      <c r="D191" s="600">
        <v>1400</v>
      </c>
      <c r="E191" s="599"/>
      <c r="F191" s="600">
        <v>132</v>
      </c>
      <c r="G191" s="599"/>
      <c r="H191" s="601">
        <v>3150</v>
      </c>
      <c r="I191" s="599"/>
      <c r="J191" s="601">
        <v>0</v>
      </c>
      <c r="K191" s="599">
        <v>1</v>
      </c>
      <c r="L191" s="601">
        <v>2100</v>
      </c>
      <c r="M191" s="599"/>
      <c r="N191" s="601">
        <v>198</v>
      </c>
      <c r="O191" s="691"/>
      <c r="P191" s="688"/>
      <c r="Q191" s="767"/>
      <c r="R191" s="767"/>
      <c r="S191" s="767"/>
      <c r="T191" s="767"/>
      <c r="U191" s="599"/>
      <c r="V191" s="602">
        <v>60</v>
      </c>
      <c r="W191" s="599">
        <v>2</v>
      </c>
      <c r="X191" s="602">
        <v>150</v>
      </c>
      <c r="Y191" s="599">
        <v>6</v>
      </c>
      <c r="Z191" s="603">
        <v>24</v>
      </c>
      <c r="AA191" s="599">
        <v>6</v>
      </c>
      <c r="AB191" s="603">
        <v>16</v>
      </c>
      <c r="AC191" s="599"/>
      <c r="AD191" s="599"/>
      <c r="AE191" s="604"/>
      <c r="AF191" s="601">
        <f t="shared" si="6"/>
        <v>2640</v>
      </c>
      <c r="AG191" s="601">
        <f t="shared" si="7"/>
        <v>132</v>
      </c>
      <c r="AH191" s="601">
        <f t="shared" si="8"/>
        <v>2772</v>
      </c>
      <c r="AI191" s="987">
        <v>229626</v>
      </c>
      <c r="AJ191" s="370"/>
    </row>
    <row r="192" spans="1:64" s="371" customFormat="1">
      <c r="A192" s="597">
        <v>42249</v>
      </c>
      <c r="B192" s="598" t="s">
        <v>594</v>
      </c>
      <c r="C192" s="599"/>
      <c r="D192" s="600">
        <v>1400</v>
      </c>
      <c r="E192" s="599"/>
      <c r="F192" s="600">
        <v>132</v>
      </c>
      <c r="G192" s="599"/>
      <c r="H192" s="601">
        <v>3150</v>
      </c>
      <c r="I192" s="599"/>
      <c r="J192" s="601">
        <v>0</v>
      </c>
      <c r="K192" s="599">
        <v>1</v>
      </c>
      <c r="L192" s="601">
        <v>2100</v>
      </c>
      <c r="M192" s="599"/>
      <c r="N192" s="601">
        <v>198</v>
      </c>
      <c r="O192" s="691"/>
      <c r="P192" s="688"/>
      <c r="Q192" s="767"/>
      <c r="R192" s="767"/>
      <c r="S192" s="767"/>
      <c r="T192" s="767"/>
      <c r="U192" s="599">
        <v>2</v>
      </c>
      <c r="V192" s="602">
        <v>60</v>
      </c>
      <c r="W192" s="599"/>
      <c r="X192" s="602">
        <v>150</v>
      </c>
      <c r="Y192" s="599"/>
      <c r="Z192" s="603">
        <v>24</v>
      </c>
      <c r="AA192" s="599"/>
      <c r="AB192" s="603">
        <v>16</v>
      </c>
      <c r="AC192" s="599">
        <v>358</v>
      </c>
      <c r="AD192" s="599">
        <v>1</v>
      </c>
      <c r="AE192" s="604">
        <v>260.19</v>
      </c>
      <c r="AF192" s="601">
        <f t="shared" si="6"/>
        <v>2838.19</v>
      </c>
      <c r="AG192" s="601">
        <f t="shared" si="7"/>
        <v>141.90950000000001</v>
      </c>
      <c r="AH192" s="601">
        <f t="shared" si="8"/>
        <v>2980.0995000000003</v>
      </c>
      <c r="AI192" s="987">
        <v>229626</v>
      </c>
      <c r="AJ192" s="370"/>
    </row>
    <row r="193" spans="1:64" s="371" customFormat="1">
      <c r="A193" s="597">
        <v>42250</v>
      </c>
      <c r="B193" s="598" t="s">
        <v>552</v>
      </c>
      <c r="C193" s="599">
        <v>1</v>
      </c>
      <c r="D193" s="600">
        <v>1400</v>
      </c>
      <c r="E193" s="599"/>
      <c r="F193" s="600">
        <v>132</v>
      </c>
      <c r="G193" s="599"/>
      <c r="H193" s="601">
        <v>3150</v>
      </c>
      <c r="I193" s="599"/>
      <c r="J193" s="601">
        <v>0</v>
      </c>
      <c r="K193" s="599"/>
      <c r="L193" s="601">
        <v>2100</v>
      </c>
      <c r="M193" s="599"/>
      <c r="N193" s="601">
        <v>198</v>
      </c>
      <c r="O193" s="691"/>
      <c r="P193" s="688"/>
      <c r="Q193" s="767"/>
      <c r="R193" s="767"/>
      <c r="S193" s="767"/>
      <c r="T193" s="767"/>
      <c r="U193" s="599">
        <v>1</v>
      </c>
      <c r="V193" s="602">
        <v>60</v>
      </c>
      <c r="W193" s="599"/>
      <c r="X193" s="602">
        <v>150</v>
      </c>
      <c r="Y193" s="599"/>
      <c r="Z193" s="603">
        <v>24</v>
      </c>
      <c r="AA193" s="599"/>
      <c r="AB193" s="603">
        <v>16</v>
      </c>
      <c r="AC193" s="599"/>
      <c r="AD193" s="599">
        <v>1</v>
      </c>
      <c r="AE193" s="604">
        <v>140.61000000000001</v>
      </c>
      <c r="AF193" s="601">
        <f t="shared" si="6"/>
        <v>1600.6100000000001</v>
      </c>
      <c r="AG193" s="601">
        <f t="shared" si="7"/>
        <v>80.030500000000018</v>
      </c>
      <c r="AH193" s="601">
        <f t="shared" si="8"/>
        <v>1680.6405000000002</v>
      </c>
      <c r="AI193" s="987">
        <v>229626</v>
      </c>
      <c r="AJ193" s="370"/>
    </row>
    <row r="194" spans="1:64" s="371" customFormat="1">
      <c r="A194" s="597">
        <v>42250</v>
      </c>
      <c r="B194" s="598" t="s">
        <v>587</v>
      </c>
      <c r="C194" s="599"/>
      <c r="D194" s="600">
        <v>1400</v>
      </c>
      <c r="E194" s="599"/>
      <c r="F194" s="600">
        <v>132</v>
      </c>
      <c r="G194" s="599"/>
      <c r="H194" s="601">
        <v>3150</v>
      </c>
      <c r="I194" s="599"/>
      <c r="J194" s="601">
        <v>0</v>
      </c>
      <c r="K194" s="599">
        <v>1</v>
      </c>
      <c r="L194" s="601">
        <v>2100</v>
      </c>
      <c r="M194" s="599"/>
      <c r="N194" s="601">
        <v>198</v>
      </c>
      <c r="O194" s="691"/>
      <c r="P194" s="688"/>
      <c r="Q194" s="767"/>
      <c r="R194" s="767"/>
      <c r="S194" s="767"/>
      <c r="T194" s="767"/>
      <c r="U194" s="599"/>
      <c r="V194" s="602">
        <v>60</v>
      </c>
      <c r="W194" s="599">
        <v>2</v>
      </c>
      <c r="X194" s="602">
        <v>150</v>
      </c>
      <c r="Y194" s="599">
        <v>4</v>
      </c>
      <c r="Z194" s="603">
        <v>24</v>
      </c>
      <c r="AA194" s="599">
        <v>6</v>
      </c>
      <c r="AB194" s="603">
        <v>16</v>
      </c>
      <c r="AC194" s="599"/>
      <c r="AD194" s="599"/>
      <c r="AE194" s="604"/>
      <c r="AF194" s="601">
        <f t="shared" si="6"/>
        <v>2592</v>
      </c>
      <c r="AG194" s="601">
        <f t="shared" si="7"/>
        <v>129.6</v>
      </c>
      <c r="AH194" s="601">
        <f t="shared" si="8"/>
        <v>2721.6</v>
      </c>
      <c r="AI194" s="987">
        <v>229626</v>
      </c>
      <c r="AJ194" s="370"/>
    </row>
    <row r="195" spans="1:64" s="371" customFormat="1">
      <c r="A195" s="597">
        <v>42250</v>
      </c>
      <c r="B195" s="598" t="s">
        <v>553</v>
      </c>
      <c r="C195" s="599"/>
      <c r="D195" s="600">
        <v>1400</v>
      </c>
      <c r="E195" s="599"/>
      <c r="F195" s="600">
        <v>132</v>
      </c>
      <c r="G195" s="599"/>
      <c r="H195" s="601">
        <v>3150</v>
      </c>
      <c r="I195" s="599"/>
      <c r="J195" s="601">
        <v>0</v>
      </c>
      <c r="K195" s="599">
        <v>1</v>
      </c>
      <c r="L195" s="601">
        <v>2100</v>
      </c>
      <c r="M195" s="599"/>
      <c r="N195" s="601">
        <v>198</v>
      </c>
      <c r="O195" s="691"/>
      <c r="P195" s="688"/>
      <c r="Q195" s="767"/>
      <c r="R195" s="767"/>
      <c r="S195" s="767"/>
      <c r="T195" s="767"/>
      <c r="U195" s="599">
        <v>1</v>
      </c>
      <c r="V195" s="602">
        <v>60</v>
      </c>
      <c r="W195" s="599">
        <v>1</v>
      </c>
      <c r="X195" s="602">
        <v>150</v>
      </c>
      <c r="Y195" s="599">
        <v>4</v>
      </c>
      <c r="Z195" s="603">
        <v>24</v>
      </c>
      <c r="AA195" s="599">
        <v>4</v>
      </c>
      <c r="AB195" s="603">
        <v>16</v>
      </c>
      <c r="AC195" s="599"/>
      <c r="AD195" s="599">
        <v>1</v>
      </c>
      <c r="AE195" s="604">
        <v>144.15</v>
      </c>
      <c r="AF195" s="601">
        <f t="shared" si="6"/>
        <v>2614.15</v>
      </c>
      <c r="AG195" s="601">
        <f t="shared" si="7"/>
        <v>130.70750000000001</v>
      </c>
      <c r="AH195" s="601">
        <f t="shared" si="8"/>
        <v>2744.8575000000001</v>
      </c>
      <c r="AI195" s="987">
        <v>229626</v>
      </c>
      <c r="AJ195" s="370"/>
    </row>
    <row r="196" spans="1:64" s="371" customFormat="1">
      <c r="A196" s="597">
        <v>42250</v>
      </c>
      <c r="B196" s="598" t="s">
        <v>592</v>
      </c>
      <c r="C196" s="599"/>
      <c r="D196" s="600">
        <v>1400</v>
      </c>
      <c r="E196" s="599"/>
      <c r="F196" s="600">
        <v>132</v>
      </c>
      <c r="G196" s="599"/>
      <c r="H196" s="601">
        <v>3150</v>
      </c>
      <c r="I196" s="599"/>
      <c r="J196" s="601">
        <v>0</v>
      </c>
      <c r="K196" s="599">
        <v>1</v>
      </c>
      <c r="L196" s="601">
        <v>2100</v>
      </c>
      <c r="M196" s="599"/>
      <c r="N196" s="601">
        <v>198</v>
      </c>
      <c r="O196" s="691"/>
      <c r="P196" s="688"/>
      <c r="Q196" s="767"/>
      <c r="R196" s="767"/>
      <c r="S196" s="767"/>
      <c r="T196" s="767"/>
      <c r="U196" s="599"/>
      <c r="V196" s="602">
        <v>60</v>
      </c>
      <c r="W196" s="599">
        <v>2</v>
      </c>
      <c r="X196" s="602">
        <v>150</v>
      </c>
      <c r="Y196" s="599">
        <v>2</v>
      </c>
      <c r="Z196" s="603">
        <v>24</v>
      </c>
      <c r="AA196" s="599">
        <v>2</v>
      </c>
      <c r="AB196" s="603">
        <v>16</v>
      </c>
      <c r="AC196" s="599"/>
      <c r="AD196" s="599"/>
      <c r="AE196" s="604"/>
      <c r="AF196" s="601">
        <f t="shared" si="6"/>
        <v>2480</v>
      </c>
      <c r="AG196" s="601">
        <f t="shared" si="7"/>
        <v>124</v>
      </c>
      <c r="AH196" s="601">
        <f t="shared" si="8"/>
        <v>2604</v>
      </c>
      <c r="AI196" s="987">
        <v>229626</v>
      </c>
      <c r="AJ196" s="370"/>
    </row>
    <row r="197" spans="1:64" s="617" customFormat="1">
      <c r="A197" s="597">
        <v>42250</v>
      </c>
      <c r="B197" s="598" t="s">
        <v>595</v>
      </c>
      <c r="C197" s="599"/>
      <c r="D197" s="600">
        <v>1400</v>
      </c>
      <c r="E197" s="599"/>
      <c r="F197" s="600">
        <v>132</v>
      </c>
      <c r="G197" s="599"/>
      <c r="H197" s="601">
        <v>3150</v>
      </c>
      <c r="I197" s="599"/>
      <c r="J197" s="601">
        <v>0</v>
      </c>
      <c r="K197" s="599">
        <v>1</v>
      </c>
      <c r="L197" s="601">
        <v>2100</v>
      </c>
      <c r="M197" s="599"/>
      <c r="N197" s="601">
        <v>198</v>
      </c>
      <c r="O197" s="691"/>
      <c r="P197" s="688"/>
      <c r="Q197" s="767"/>
      <c r="R197" s="767"/>
      <c r="S197" s="767"/>
      <c r="T197" s="767"/>
      <c r="U197" s="599">
        <v>2</v>
      </c>
      <c r="V197" s="602">
        <v>60</v>
      </c>
      <c r="W197" s="599"/>
      <c r="X197" s="602">
        <v>150</v>
      </c>
      <c r="Y197" s="599">
        <v>3</v>
      </c>
      <c r="Z197" s="603">
        <v>24</v>
      </c>
      <c r="AA197" s="599">
        <v>4</v>
      </c>
      <c r="AB197" s="603">
        <v>16</v>
      </c>
      <c r="AC197" s="599"/>
      <c r="AD197" s="599">
        <v>1</v>
      </c>
      <c r="AE197" s="604">
        <v>260.19</v>
      </c>
      <c r="AF197" s="601">
        <f t="shared" ref="AF197:AF259" si="9">(C197*D197)+(Y197*Z197)+(O197*P197)+(Q197*R197)+(S197*T197)+(AA197*AB197)+(E197*F197)+(G197*H197)+(I197*J197)+(K197*L197)+(M197*N197)+(AD197*AE197)+(U197*V197)+(W197*X197)+AC197</f>
        <v>2616.19</v>
      </c>
      <c r="AG197" s="601">
        <f t="shared" ref="AG197:AG259" si="10">(AF197*5%)</f>
        <v>130.80950000000001</v>
      </c>
      <c r="AH197" s="601">
        <f t="shared" ref="AH197:AH259" si="11">SUM(AF197+AG197)</f>
        <v>2746.9994999999999</v>
      </c>
      <c r="AI197" s="987">
        <v>229626</v>
      </c>
      <c r="AJ197" s="370"/>
      <c r="AK197" s="371"/>
      <c r="AL197" s="371"/>
      <c r="AM197" s="371"/>
      <c r="AN197" s="371"/>
      <c r="AO197" s="371"/>
      <c r="AP197" s="371"/>
      <c r="AQ197" s="371"/>
      <c r="AR197" s="371"/>
      <c r="AS197" s="371"/>
      <c r="AT197" s="371"/>
      <c r="AU197" s="371"/>
      <c r="AV197" s="371"/>
      <c r="AW197" s="371"/>
      <c r="AX197" s="371"/>
      <c r="AY197" s="371"/>
      <c r="AZ197" s="371"/>
      <c r="BA197" s="371"/>
      <c r="BB197" s="371"/>
      <c r="BC197" s="371"/>
      <c r="BD197" s="371"/>
      <c r="BE197" s="371"/>
      <c r="BF197" s="371"/>
      <c r="BG197" s="371"/>
      <c r="BH197" s="371"/>
      <c r="BI197" s="371"/>
      <c r="BJ197" s="371"/>
      <c r="BK197" s="371"/>
      <c r="BL197" s="371"/>
    </row>
    <row r="198" spans="1:64" s="617" customFormat="1">
      <c r="A198" s="605">
        <v>42255</v>
      </c>
      <c r="B198" s="606" t="s">
        <v>598</v>
      </c>
      <c r="C198" s="607">
        <v>1</v>
      </c>
      <c r="D198" s="608">
        <v>1400</v>
      </c>
      <c r="E198" s="607"/>
      <c r="F198" s="608">
        <v>132</v>
      </c>
      <c r="G198" s="607"/>
      <c r="H198" s="611">
        <v>3150</v>
      </c>
      <c r="I198" s="607"/>
      <c r="J198" s="611">
        <v>0</v>
      </c>
      <c r="K198" s="607"/>
      <c r="L198" s="611">
        <v>2100</v>
      </c>
      <c r="M198" s="607"/>
      <c r="N198" s="611">
        <v>198</v>
      </c>
      <c r="O198" s="612"/>
      <c r="P198" s="609"/>
      <c r="Q198" s="768"/>
      <c r="R198" s="768"/>
      <c r="S198" s="768"/>
      <c r="T198" s="768"/>
      <c r="U198" s="607">
        <v>1</v>
      </c>
      <c r="V198" s="613">
        <v>60</v>
      </c>
      <c r="W198" s="607"/>
      <c r="X198" s="613">
        <v>150</v>
      </c>
      <c r="Y198" s="607"/>
      <c r="Z198" s="614">
        <v>24</v>
      </c>
      <c r="AA198" s="607"/>
      <c r="AB198" s="614">
        <v>16</v>
      </c>
      <c r="AC198" s="607"/>
      <c r="AD198" s="607">
        <v>1</v>
      </c>
      <c r="AE198" s="615">
        <v>140.6</v>
      </c>
      <c r="AF198" s="611">
        <f t="shared" si="9"/>
        <v>1600.6</v>
      </c>
      <c r="AG198" s="611">
        <f t="shared" si="10"/>
        <v>80.03</v>
      </c>
      <c r="AH198" s="611">
        <f t="shared" si="11"/>
        <v>1680.6299999999999</v>
      </c>
      <c r="AI198" s="986">
        <v>229630</v>
      </c>
      <c r="AJ198" s="616"/>
    </row>
    <row r="199" spans="1:64" s="617" customFormat="1">
      <c r="A199" s="605">
        <v>42255</v>
      </c>
      <c r="B199" s="606" t="s">
        <v>911</v>
      </c>
      <c r="C199" s="607"/>
      <c r="D199" s="608">
        <v>1400</v>
      </c>
      <c r="E199" s="607"/>
      <c r="F199" s="608">
        <v>132</v>
      </c>
      <c r="G199" s="607"/>
      <c r="H199" s="611">
        <v>3150</v>
      </c>
      <c r="I199" s="607"/>
      <c r="J199" s="611">
        <v>0</v>
      </c>
      <c r="K199" s="607">
        <v>0.5</v>
      </c>
      <c r="L199" s="611">
        <v>2100</v>
      </c>
      <c r="M199" s="607"/>
      <c r="N199" s="611">
        <v>198</v>
      </c>
      <c r="O199" s="612"/>
      <c r="P199" s="609"/>
      <c r="Q199" s="768"/>
      <c r="R199" s="768"/>
      <c r="S199" s="768"/>
      <c r="T199" s="768"/>
      <c r="U199" s="607"/>
      <c r="V199" s="613">
        <v>60</v>
      </c>
      <c r="W199" s="607">
        <v>1</v>
      </c>
      <c r="X199" s="613">
        <v>150</v>
      </c>
      <c r="Y199" s="607"/>
      <c r="Z199" s="614">
        <v>24</v>
      </c>
      <c r="AA199" s="607"/>
      <c r="AB199" s="614">
        <v>16</v>
      </c>
      <c r="AC199" s="607"/>
      <c r="AD199" s="607"/>
      <c r="AE199" s="615"/>
      <c r="AF199" s="611">
        <f t="shared" si="9"/>
        <v>1200</v>
      </c>
      <c r="AG199" s="611">
        <f t="shared" si="10"/>
        <v>60</v>
      </c>
      <c r="AH199" s="611">
        <f t="shared" si="11"/>
        <v>1260</v>
      </c>
      <c r="AI199" s="986">
        <v>229630</v>
      </c>
      <c r="AJ199" s="616"/>
    </row>
    <row r="200" spans="1:64" s="617" customFormat="1">
      <c r="A200" s="605">
        <v>42255</v>
      </c>
      <c r="B200" s="606" t="s">
        <v>604</v>
      </c>
      <c r="C200" s="607"/>
      <c r="D200" s="608">
        <v>1400</v>
      </c>
      <c r="E200" s="607"/>
      <c r="F200" s="608">
        <v>132</v>
      </c>
      <c r="G200" s="607"/>
      <c r="H200" s="611">
        <v>3150</v>
      </c>
      <c r="I200" s="607"/>
      <c r="J200" s="611">
        <v>0</v>
      </c>
      <c r="K200" s="607">
        <v>0.5</v>
      </c>
      <c r="L200" s="611">
        <v>2100</v>
      </c>
      <c r="M200" s="607"/>
      <c r="N200" s="611">
        <v>198</v>
      </c>
      <c r="O200" s="612"/>
      <c r="P200" s="609"/>
      <c r="Q200" s="768"/>
      <c r="R200" s="768"/>
      <c r="S200" s="768"/>
      <c r="T200" s="768"/>
      <c r="U200" s="607">
        <v>1</v>
      </c>
      <c r="V200" s="613">
        <v>60</v>
      </c>
      <c r="W200" s="607"/>
      <c r="X200" s="613">
        <v>150</v>
      </c>
      <c r="Y200" s="607"/>
      <c r="Z200" s="614">
        <v>24</v>
      </c>
      <c r="AA200" s="607"/>
      <c r="AB200" s="614">
        <v>16</v>
      </c>
      <c r="AC200" s="607"/>
      <c r="AD200" s="607">
        <v>1</v>
      </c>
      <c r="AE200" s="615">
        <v>144.13999999999999</v>
      </c>
      <c r="AF200" s="611">
        <f t="shared" si="9"/>
        <v>1254.1399999999999</v>
      </c>
      <c r="AG200" s="611">
        <f t="shared" si="10"/>
        <v>62.706999999999994</v>
      </c>
      <c r="AH200" s="611">
        <f t="shared" si="11"/>
        <v>1316.8469999999998</v>
      </c>
      <c r="AI200" s="986">
        <v>229630</v>
      </c>
      <c r="AJ200" s="616"/>
    </row>
    <row r="201" spans="1:64" s="617" customFormat="1">
      <c r="A201" s="605">
        <v>42255</v>
      </c>
      <c r="B201" s="606" t="s">
        <v>610</v>
      </c>
      <c r="C201" s="607"/>
      <c r="D201" s="608">
        <v>1400</v>
      </c>
      <c r="E201" s="607"/>
      <c r="F201" s="608">
        <v>132</v>
      </c>
      <c r="G201" s="607"/>
      <c r="H201" s="611">
        <v>3150</v>
      </c>
      <c r="I201" s="607"/>
      <c r="J201" s="611">
        <v>0</v>
      </c>
      <c r="K201" s="607">
        <v>0.5</v>
      </c>
      <c r="L201" s="611">
        <v>2100</v>
      </c>
      <c r="M201" s="607"/>
      <c r="N201" s="611">
        <v>198</v>
      </c>
      <c r="O201" s="612"/>
      <c r="P201" s="609"/>
      <c r="Q201" s="768"/>
      <c r="R201" s="768"/>
      <c r="S201" s="768"/>
      <c r="T201" s="768"/>
      <c r="U201" s="607"/>
      <c r="V201" s="613">
        <v>60</v>
      </c>
      <c r="W201" s="607"/>
      <c r="X201" s="613">
        <v>150</v>
      </c>
      <c r="Y201" s="607"/>
      <c r="Z201" s="614">
        <v>24</v>
      </c>
      <c r="AA201" s="607"/>
      <c r="AB201" s="614">
        <v>16</v>
      </c>
      <c r="AC201" s="607"/>
      <c r="AD201" s="607"/>
      <c r="AE201" s="615"/>
      <c r="AF201" s="611">
        <f t="shared" si="9"/>
        <v>1050</v>
      </c>
      <c r="AG201" s="611">
        <f t="shared" si="10"/>
        <v>52.5</v>
      </c>
      <c r="AH201" s="611">
        <f t="shared" si="11"/>
        <v>1102.5</v>
      </c>
      <c r="AI201" s="986">
        <v>229630</v>
      </c>
      <c r="AJ201" s="616"/>
    </row>
    <row r="202" spans="1:64" s="617" customFormat="1">
      <c r="A202" s="605">
        <v>42255</v>
      </c>
      <c r="B202" s="606" t="s">
        <v>910</v>
      </c>
      <c r="C202" s="607"/>
      <c r="D202" s="608">
        <v>1400</v>
      </c>
      <c r="E202" s="607"/>
      <c r="F202" s="608">
        <v>132</v>
      </c>
      <c r="G202" s="607"/>
      <c r="H202" s="611">
        <v>3150</v>
      </c>
      <c r="I202" s="607"/>
      <c r="J202" s="611">
        <v>0</v>
      </c>
      <c r="K202" s="607">
        <v>1</v>
      </c>
      <c r="L202" s="611">
        <v>2100</v>
      </c>
      <c r="M202" s="607"/>
      <c r="N202" s="611">
        <v>198</v>
      </c>
      <c r="O202" s="612"/>
      <c r="P202" s="609"/>
      <c r="Q202" s="768"/>
      <c r="R202" s="768"/>
      <c r="S202" s="768"/>
      <c r="T202" s="768"/>
      <c r="U202" s="607">
        <v>2</v>
      </c>
      <c r="V202" s="613">
        <v>60</v>
      </c>
      <c r="W202" s="607"/>
      <c r="X202" s="613">
        <v>150</v>
      </c>
      <c r="Y202" s="607"/>
      <c r="Z202" s="614">
        <v>24</v>
      </c>
      <c r="AA202" s="607"/>
      <c r="AB202" s="614">
        <v>16</v>
      </c>
      <c r="AC202" s="1007">
        <v>324</v>
      </c>
      <c r="AD202" s="607">
        <v>1</v>
      </c>
      <c r="AE202" s="615">
        <v>260.19</v>
      </c>
      <c r="AF202" s="611">
        <f t="shared" si="9"/>
        <v>2804.19</v>
      </c>
      <c r="AG202" s="611">
        <f t="shared" si="10"/>
        <v>140.20950000000002</v>
      </c>
      <c r="AH202" s="611">
        <f t="shared" si="11"/>
        <v>2944.3995</v>
      </c>
      <c r="AI202" s="986">
        <v>229630</v>
      </c>
      <c r="AJ202" s="616"/>
    </row>
    <row r="203" spans="1:64" s="617" customFormat="1">
      <c r="A203" s="605">
        <v>42256</v>
      </c>
      <c r="B203" s="606" t="s">
        <v>599</v>
      </c>
      <c r="C203" s="607">
        <v>1</v>
      </c>
      <c r="D203" s="608">
        <v>1400</v>
      </c>
      <c r="E203" s="607"/>
      <c r="F203" s="608">
        <v>132</v>
      </c>
      <c r="G203" s="607"/>
      <c r="H203" s="611">
        <v>3150</v>
      </c>
      <c r="I203" s="607"/>
      <c r="J203" s="611">
        <v>0</v>
      </c>
      <c r="K203" s="607"/>
      <c r="L203" s="611">
        <v>2100</v>
      </c>
      <c r="M203" s="607"/>
      <c r="N203" s="611">
        <v>198</v>
      </c>
      <c r="O203" s="612"/>
      <c r="P203" s="609"/>
      <c r="Q203" s="768"/>
      <c r="R203" s="768"/>
      <c r="S203" s="768"/>
      <c r="T203" s="768"/>
      <c r="U203" s="607">
        <v>1</v>
      </c>
      <c r="V203" s="613">
        <v>60</v>
      </c>
      <c r="W203" s="607"/>
      <c r="X203" s="613">
        <v>150</v>
      </c>
      <c r="Y203" s="607"/>
      <c r="Z203" s="614">
        <v>24</v>
      </c>
      <c r="AA203" s="607"/>
      <c r="AB203" s="614">
        <v>16</v>
      </c>
      <c r="AC203" s="607"/>
      <c r="AD203" s="607">
        <v>1</v>
      </c>
      <c r="AE203" s="615">
        <v>140.61000000000001</v>
      </c>
      <c r="AF203" s="611">
        <f t="shared" si="9"/>
        <v>1600.6100000000001</v>
      </c>
      <c r="AG203" s="611">
        <f t="shared" si="10"/>
        <v>80.030500000000018</v>
      </c>
      <c r="AH203" s="611">
        <f t="shared" si="11"/>
        <v>1680.6405000000002</v>
      </c>
      <c r="AI203" s="986">
        <v>229630</v>
      </c>
      <c r="AJ203" s="616"/>
    </row>
    <row r="204" spans="1:64" s="617" customFormat="1">
      <c r="A204" s="605">
        <v>42256</v>
      </c>
      <c r="B204" s="606" t="s">
        <v>912</v>
      </c>
      <c r="C204" s="607"/>
      <c r="D204" s="608">
        <v>1400</v>
      </c>
      <c r="E204" s="607"/>
      <c r="F204" s="608">
        <v>132</v>
      </c>
      <c r="G204" s="607"/>
      <c r="H204" s="611">
        <v>3150</v>
      </c>
      <c r="I204" s="607"/>
      <c r="J204" s="611">
        <v>0</v>
      </c>
      <c r="K204" s="607">
        <v>0.5</v>
      </c>
      <c r="L204" s="611">
        <v>2100</v>
      </c>
      <c r="M204" s="607"/>
      <c r="N204" s="611">
        <v>198</v>
      </c>
      <c r="O204" s="612"/>
      <c r="P204" s="609"/>
      <c r="Q204" s="768"/>
      <c r="R204" s="768"/>
      <c r="S204" s="768"/>
      <c r="T204" s="768"/>
      <c r="U204" s="607"/>
      <c r="V204" s="613">
        <v>60</v>
      </c>
      <c r="W204" s="607">
        <v>1</v>
      </c>
      <c r="X204" s="613">
        <v>150</v>
      </c>
      <c r="Y204" s="607"/>
      <c r="Z204" s="614">
        <v>24</v>
      </c>
      <c r="AA204" s="607"/>
      <c r="AB204" s="614">
        <v>16</v>
      </c>
      <c r="AC204" s="607"/>
      <c r="AD204" s="607"/>
      <c r="AE204" s="615"/>
      <c r="AF204" s="611">
        <f t="shared" si="9"/>
        <v>1200</v>
      </c>
      <c r="AG204" s="611">
        <f t="shared" si="10"/>
        <v>60</v>
      </c>
      <c r="AH204" s="611">
        <f t="shared" si="11"/>
        <v>1260</v>
      </c>
      <c r="AI204" s="986">
        <v>229630</v>
      </c>
      <c r="AJ204" s="616"/>
    </row>
    <row r="205" spans="1:64" s="617" customFormat="1">
      <c r="A205" s="605">
        <v>42256</v>
      </c>
      <c r="B205" s="606" t="s">
        <v>605</v>
      </c>
      <c r="C205" s="607"/>
      <c r="D205" s="608">
        <v>1400</v>
      </c>
      <c r="E205" s="607"/>
      <c r="F205" s="608">
        <v>132</v>
      </c>
      <c r="G205" s="607"/>
      <c r="H205" s="611">
        <v>3150</v>
      </c>
      <c r="I205" s="607"/>
      <c r="J205" s="611">
        <v>0</v>
      </c>
      <c r="K205" s="607">
        <v>0.5</v>
      </c>
      <c r="L205" s="611">
        <v>2100</v>
      </c>
      <c r="M205" s="607"/>
      <c r="N205" s="611">
        <v>198</v>
      </c>
      <c r="O205" s="612"/>
      <c r="P205" s="609"/>
      <c r="Q205" s="768"/>
      <c r="R205" s="768"/>
      <c r="S205" s="768"/>
      <c r="T205" s="768"/>
      <c r="U205" s="607">
        <v>1</v>
      </c>
      <c r="V205" s="613">
        <v>60</v>
      </c>
      <c r="W205" s="607"/>
      <c r="X205" s="613">
        <v>150</v>
      </c>
      <c r="Y205" s="607"/>
      <c r="Z205" s="614">
        <v>24</v>
      </c>
      <c r="AA205" s="607"/>
      <c r="AB205" s="614">
        <v>16</v>
      </c>
      <c r="AC205" s="607"/>
      <c r="AD205" s="607">
        <v>1</v>
      </c>
      <c r="AE205" s="615">
        <v>144.13999999999999</v>
      </c>
      <c r="AF205" s="611">
        <f t="shared" si="9"/>
        <v>1254.1399999999999</v>
      </c>
      <c r="AG205" s="611">
        <f t="shared" si="10"/>
        <v>62.706999999999994</v>
      </c>
      <c r="AH205" s="611">
        <f t="shared" si="11"/>
        <v>1316.8469999999998</v>
      </c>
      <c r="AI205" s="986">
        <v>229630</v>
      </c>
      <c r="AJ205" s="616"/>
    </row>
    <row r="206" spans="1:64" s="617" customFormat="1">
      <c r="A206" s="605">
        <v>42256</v>
      </c>
      <c r="B206" s="606" t="s">
        <v>611</v>
      </c>
      <c r="C206" s="607"/>
      <c r="D206" s="608">
        <v>1400</v>
      </c>
      <c r="E206" s="607"/>
      <c r="F206" s="608">
        <v>132</v>
      </c>
      <c r="G206" s="607"/>
      <c r="H206" s="611">
        <v>3150</v>
      </c>
      <c r="I206" s="607"/>
      <c r="J206" s="611">
        <v>0</v>
      </c>
      <c r="K206" s="607">
        <v>0.5</v>
      </c>
      <c r="L206" s="611">
        <v>2100</v>
      </c>
      <c r="M206" s="607"/>
      <c r="N206" s="611">
        <v>198</v>
      </c>
      <c r="O206" s="612"/>
      <c r="P206" s="609"/>
      <c r="Q206" s="768"/>
      <c r="R206" s="768"/>
      <c r="S206" s="768"/>
      <c r="T206" s="768"/>
      <c r="U206" s="607"/>
      <c r="V206" s="613">
        <v>60</v>
      </c>
      <c r="W206" s="607"/>
      <c r="X206" s="613">
        <v>150</v>
      </c>
      <c r="Y206" s="607"/>
      <c r="Z206" s="614">
        <v>24</v>
      </c>
      <c r="AA206" s="607"/>
      <c r="AB206" s="614">
        <v>16</v>
      </c>
      <c r="AC206" s="607"/>
      <c r="AD206" s="607"/>
      <c r="AE206" s="615"/>
      <c r="AF206" s="611">
        <f t="shared" si="9"/>
        <v>1050</v>
      </c>
      <c r="AG206" s="611">
        <f t="shared" si="10"/>
        <v>52.5</v>
      </c>
      <c r="AH206" s="611">
        <f t="shared" si="11"/>
        <v>1102.5</v>
      </c>
      <c r="AI206" s="986">
        <v>229630</v>
      </c>
      <c r="AJ206" s="616"/>
    </row>
    <row r="207" spans="1:64" s="617" customFormat="1">
      <c r="A207" s="605">
        <v>42256</v>
      </c>
      <c r="B207" s="606" t="s">
        <v>913</v>
      </c>
      <c r="C207" s="607"/>
      <c r="D207" s="608">
        <v>1400</v>
      </c>
      <c r="E207" s="607"/>
      <c r="F207" s="608">
        <v>132</v>
      </c>
      <c r="G207" s="607"/>
      <c r="H207" s="611">
        <v>3150</v>
      </c>
      <c r="I207" s="607"/>
      <c r="J207" s="611">
        <v>0</v>
      </c>
      <c r="K207" s="607">
        <v>1</v>
      </c>
      <c r="L207" s="611">
        <v>2100</v>
      </c>
      <c r="M207" s="607"/>
      <c r="N207" s="611">
        <v>198</v>
      </c>
      <c r="O207" s="612"/>
      <c r="P207" s="609"/>
      <c r="Q207" s="768"/>
      <c r="R207" s="768"/>
      <c r="S207" s="768"/>
      <c r="T207" s="768"/>
      <c r="U207" s="607">
        <v>2</v>
      </c>
      <c r="V207" s="613">
        <v>60</v>
      </c>
      <c r="W207" s="607"/>
      <c r="X207" s="613">
        <v>150</v>
      </c>
      <c r="Y207" s="607">
        <v>3</v>
      </c>
      <c r="Z207" s="614">
        <v>24</v>
      </c>
      <c r="AA207" s="607"/>
      <c r="AB207" s="614">
        <v>16</v>
      </c>
      <c r="AC207" s="607">
        <v>136</v>
      </c>
      <c r="AD207" s="607">
        <v>1</v>
      </c>
      <c r="AE207" s="615">
        <v>260.19</v>
      </c>
      <c r="AF207" s="611">
        <f t="shared" si="9"/>
        <v>2688.19</v>
      </c>
      <c r="AG207" s="611">
        <f t="shared" si="10"/>
        <v>134.40950000000001</v>
      </c>
      <c r="AH207" s="611">
        <f t="shared" si="11"/>
        <v>2822.5995000000003</v>
      </c>
      <c r="AI207" s="986">
        <v>229630</v>
      </c>
      <c r="AJ207" s="616"/>
    </row>
    <row r="208" spans="1:64" s="617" customFormat="1">
      <c r="A208" s="605">
        <v>42257</v>
      </c>
      <c r="B208" s="606" t="s">
        <v>600</v>
      </c>
      <c r="C208" s="607">
        <v>1</v>
      </c>
      <c r="D208" s="608">
        <v>1400</v>
      </c>
      <c r="E208" s="607"/>
      <c r="F208" s="608">
        <v>132</v>
      </c>
      <c r="G208" s="607"/>
      <c r="H208" s="611">
        <v>3150</v>
      </c>
      <c r="I208" s="607"/>
      <c r="J208" s="611">
        <v>0</v>
      </c>
      <c r="K208" s="607"/>
      <c r="L208" s="611">
        <v>2100</v>
      </c>
      <c r="M208" s="607"/>
      <c r="N208" s="611">
        <v>198</v>
      </c>
      <c r="O208" s="612"/>
      <c r="P208" s="609"/>
      <c r="Q208" s="768"/>
      <c r="R208" s="768"/>
      <c r="S208" s="768"/>
      <c r="T208" s="768"/>
      <c r="U208" s="607">
        <v>1</v>
      </c>
      <c r="V208" s="613">
        <v>60</v>
      </c>
      <c r="W208" s="607"/>
      <c r="X208" s="613">
        <v>150</v>
      </c>
      <c r="Y208" s="607"/>
      <c r="Z208" s="614">
        <v>24</v>
      </c>
      <c r="AA208" s="607"/>
      <c r="AB208" s="614">
        <v>16</v>
      </c>
      <c r="AC208" s="607"/>
      <c r="AD208" s="607">
        <v>1</v>
      </c>
      <c r="AE208" s="615">
        <v>140.61000000000001</v>
      </c>
      <c r="AF208" s="611">
        <f t="shared" si="9"/>
        <v>1600.6100000000001</v>
      </c>
      <c r="AG208" s="611">
        <f t="shared" si="10"/>
        <v>80.030500000000018</v>
      </c>
      <c r="AH208" s="611">
        <f t="shared" si="11"/>
        <v>1680.6405000000002</v>
      </c>
      <c r="AI208" s="986">
        <v>229630</v>
      </c>
      <c r="AJ208" s="616"/>
    </row>
    <row r="209" spans="1:36" s="617" customFormat="1">
      <c r="A209" s="605">
        <v>42257</v>
      </c>
      <c r="B209" s="606" t="s">
        <v>914</v>
      </c>
      <c r="C209" s="607"/>
      <c r="D209" s="608">
        <v>1400</v>
      </c>
      <c r="E209" s="607"/>
      <c r="F209" s="608">
        <v>132</v>
      </c>
      <c r="G209" s="607"/>
      <c r="H209" s="611">
        <v>3150</v>
      </c>
      <c r="I209" s="607"/>
      <c r="J209" s="611">
        <v>0</v>
      </c>
      <c r="K209" s="607">
        <v>1</v>
      </c>
      <c r="L209" s="611">
        <v>2100</v>
      </c>
      <c r="M209" s="607">
        <v>1</v>
      </c>
      <c r="N209" s="611">
        <v>198</v>
      </c>
      <c r="O209" s="612"/>
      <c r="P209" s="609"/>
      <c r="Q209" s="768"/>
      <c r="R209" s="768"/>
      <c r="S209" s="768"/>
      <c r="T209" s="768"/>
      <c r="U209" s="607"/>
      <c r="V209" s="613">
        <v>60</v>
      </c>
      <c r="W209" s="607">
        <v>2</v>
      </c>
      <c r="X209" s="613">
        <v>150</v>
      </c>
      <c r="Y209" s="607">
        <v>3</v>
      </c>
      <c r="Z209" s="614">
        <v>24</v>
      </c>
      <c r="AA209" s="607">
        <v>2</v>
      </c>
      <c r="AB209" s="614">
        <v>16</v>
      </c>
      <c r="AC209" s="607"/>
      <c r="AD209" s="607"/>
      <c r="AE209" s="615"/>
      <c r="AF209" s="611">
        <f t="shared" si="9"/>
        <v>2702</v>
      </c>
      <c r="AG209" s="611">
        <f t="shared" si="10"/>
        <v>135.1</v>
      </c>
      <c r="AH209" s="611">
        <f t="shared" si="11"/>
        <v>2837.1</v>
      </c>
      <c r="AI209" s="986">
        <v>229630</v>
      </c>
      <c r="AJ209" s="616"/>
    </row>
    <row r="210" spans="1:36" s="617" customFormat="1">
      <c r="A210" s="605">
        <v>42257</v>
      </c>
      <c r="B210" s="606" t="s">
        <v>606</v>
      </c>
      <c r="C210" s="607"/>
      <c r="D210" s="608">
        <v>1400</v>
      </c>
      <c r="E210" s="607"/>
      <c r="F210" s="608">
        <v>132</v>
      </c>
      <c r="G210" s="607"/>
      <c r="H210" s="611">
        <v>3150</v>
      </c>
      <c r="I210" s="607"/>
      <c r="J210" s="611">
        <v>0</v>
      </c>
      <c r="K210" s="607">
        <v>1</v>
      </c>
      <c r="L210" s="611">
        <v>2100</v>
      </c>
      <c r="M210" s="607">
        <v>1</v>
      </c>
      <c r="N210" s="611">
        <v>198</v>
      </c>
      <c r="O210" s="612"/>
      <c r="P210" s="609"/>
      <c r="Q210" s="768"/>
      <c r="R210" s="768"/>
      <c r="S210" s="768"/>
      <c r="T210" s="768"/>
      <c r="U210" s="607">
        <v>1</v>
      </c>
      <c r="V210" s="613">
        <v>60</v>
      </c>
      <c r="W210" s="607">
        <v>1</v>
      </c>
      <c r="X210" s="613">
        <v>150</v>
      </c>
      <c r="Y210" s="607">
        <v>5</v>
      </c>
      <c r="Z210" s="614">
        <v>24</v>
      </c>
      <c r="AA210" s="607">
        <v>5</v>
      </c>
      <c r="AB210" s="614">
        <v>16</v>
      </c>
      <c r="AC210" s="607"/>
      <c r="AD210" s="607">
        <v>1</v>
      </c>
      <c r="AE210" s="615">
        <v>144.13999999999999</v>
      </c>
      <c r="AF210" s="611">
        <f t="shared" si="9"/>
        <v>2852.14</v>
      </c>
      <c r="AG210" s="611">
        <f t="shared" si="10"/>
        <v>142.607</v>
      </c>
      <c r="AH210" s="611">
        <f t="shared" si="11"/>
        <v>2994.7469999999998</v>
      </c>
      <c r="AI210" s="986">
        <v>229630</v>
      </c>
      <c r="AJ210" s="1003" t="s">
        <v>909</v>
      </c>
    </row>
    <row r="211" spans="1:36" s="617" customFormat="1">
      <c r="A211" s="605">
        <v>42257</v>
      </c>
      <c r="B211" s="606" t="s">
        <v>612</v>
      </c>
      <c r="C211" s="607"/>
      <c r="D211" s="608">
        <v>1400</v>
      </c>
      <c r="E211" s="607"/>
      <c r="F211" s="608">
        <v>132</v>
      </c>
      <c r="G211" s="607"/>
      <c r="H211" s="611">
        <v>3150</v>
      </c>
      <c r="I211" s="607"/>
      <c r="J211" s="611">
        <v>0</v>
      </c>
      <c r="K211" s="607">
        <v>0.5</v>
      </c>
      <c r="L211" s="611">
        <v>2100</v>
      </c>
      <c r="M211" s="607"/>
      <c r="N211" s="611">
        <v>198</v>
      </c>
      <c r="O211" s="612"/>
      <c r="P211" s="609"/>
      <c r="Q211" s="768"/>
      <c r="R211" s="768"/>
      <c r="S211" s="768"/>
      <c r="T211" s="768"/>
      <c r="U211" s="607"/>
      <c r="V211" s="613">
        <v>60</v>
      </c>
      <c r="W211" s="607"/>
      <c r="X211" s="613">
        <v>150</v>
      </c>
      <c r="Y211" s="607"/>
      <c r="Z211" s="614">
        <v>24</v>
      </c>
      <c r="AA211" s="607"/>
      <c r="AB211" s="614">
        <v>16</v>
      </c>
      <c r="AC211" s="607"/>
      <c r="AD211" s="607"/>
      <c r="AE211" s="615"/>
      <c r="AF211" s="611">
        <f t="shared" si="9"/>
        <v>1050</v>
      </c>
      <c r="AG211" s="611">
        <f t="shared" si="10"/>
        <v>52.5</v>
      </c>
      <c r="AH211" s="611">
        <f t="shared" si="11"/>
        <v>1102.5</v>
      </c>
      <c r="AI211" s="986">
        <v>229630</v>
      </c>
      <c r="AJ211" s="1004" t="s">
        <v>921</v>
      </c>
    </row>
    <row r="212" spans="1:36" s="617" customFormat="1">
      <c r="A212" s="605">
        <v>42257</v>
      </c>
      <c r="B212" s="606" t="s">
        <v>915</v>
      </c>
      <c r="C212" s="607"/>
      <c r="D212" s="608">
        <v>1400</v>
      </c>
      <c r="E212" s="607"/>
      <c r="F212" s="608">
        <v>132</v>
      </c>
      <c r="G212" s="607"/>
      <c r="H212" s="611">
        <v>3150</v>
      </c>
      <c r="I212" s="607"/>
      <c r="J212" s="611">
        <v>0</v>
      </c>
      <c r="K212" s="607">
        <v>1</v>
      </c>
      <c r="L212" s="611">
        <v>2100</v>
      </c>
      <c r="M212" s="607"/>
      <c r="N212" s="611">
        <v>198</v>
      </c>
      <c r="O212" s="612"/>
      <c r="P212" s="609"/>
      <c r="Q212" s="768"/>
      <c r="R212" s="768"/>
      <c r="S212" s="768"/>
      <c r="T212" s="768"/>
      <c r="U212" s="607">
        <v>2</v>
      </c>
      <c r="V212" s="613">
        <v>60</v>
      </c>
      <c r="W212" s="607"/>
      <c r="X212" s="613">
        <v>150</v>
      </c>
      <c r="Y212" s="607"/>
      <c r="Z212" s="614">
        <v>24</v>
      </c>
      <c r="AA212" s="607"/>
      <c r="AB212" s="614">
        <v>16</v>
      </c>
      <c r="AC212" s="607">
        <v>400</v>
      </c>
      <c r="AD212" s="607">
        <v>1</v>
      </c>
      <c r="AE212" s="615">
        <v>260.19</v>
      </c>
      <c r="AF212" s="611">
        <f t="shared" si="9"/>
        <v>2880.19</v>
      </c>
      <c r="AG212" s="611">
        <f t="shared" si="10"/>
        <v>144.0095</v>
      </c>
      <c r="AH212" s="611">
        <f t="shared" si="11"/>
        <v>3024.1995000000002</v>
      </c>
      <c r="AI212" s="986">
        <v>229630</v>
      </c>
      <c r="AJ212" s="616"/>
    </row>
    <row r="213" spans="1:36" s="617" customFormat="1">
      <c r="A213" s="605">
        <v>42258</v>
      </c>
      <c r="B213" s="606" t="s">
        <v>601</v>
      </c>
      <c r="C213" s="607">
        <v>1</v>
      </c>
      <c r="D213" s="608">
        <v>1400</v>
      </c>
      <c r="E213" s="607"/>
      <c r="F213" s="608">
        <v>132</v>
      </c>
      <c r="G213" s="607"/>
      <c r="H213" s="611">
        <v>3150</v>
      </c>
      <c r="I213" s="607"/>
      <c r="J213" s="611">
        <v>0</v>
      </c>
      <c r="K213" s="607"/>
      <c r="L213" s="611">
        <v>2100</v>
      </c>
      <c r="M213" s="607"/>
      <c r="N213" s="611">
        <v>198</v>
      </c>
      <c r="O213" s="612"/>
      <c r="P213" s="609"/>
      <c r="Q213" s="768"/>
      <c r="R213" s="768"/>
      <c r="S213" s="768"/>
      <c r="T213" s="768"/>
      <c r="U213" s="607">
        <v>1</v>
      </c>
      <c r="V213" s="613">
        <v>60</v>
      </c>
      <c r="W213" s="607"/>
      <c r="X213" s="613">
        <v>150</v>
      </c>
      <c r="Y213" s="607"/>
      <c r="Z213" s="614">
        <v>24</v>
      </c>
      <c r="AA213" s="607"/>
      <c r="AB213" s="614">
        <v>16</v>
      </c>
      <c r="AC213" s="607"/>
      <c r="AD213" s="607">
        <v>1</v>
      </c>
      <c r="AE213" s="615">
        <v>140.61000000000001</v>
      </c>
      <c r="AF213" s="611">
        <f t="shared" si="9"/>
        <v>1600.6100000000001</v>
      </c>
      <c r="AG213" s="611">
        <f t="shared" si="10"/>
        <v>80.030500000000018</v>
      </c>
      <c r="AH213" s="611">
        <f t="shared" si="11"/>
        <v>1680.6405000000002</v>
      </c>
      <c r="AI213" s="986">
        <v>229630</v>
      </c>
      <c r="AJ213" s="616"/>
    </row>
    <row r="214" spans="1:36" s="617" customFormat="1">
      <c r="A214" s="605">
        <v>42258</v>
      </c>
      <c r="B214" s="606" t="s">
        <v>916</v>
      </c>
      <c r="C214" s="607"/>
      <c r="D214" s="608">
        <v>1400</v>
      </c>
      <c r="E214" s="607"/>
      <c r="F214" s="608">
        <v>132</v>
      </c>
      <c r="G214" s="607"/>
      <c r="H214" s="611">
        <v>3150</v>
      </c>
      <c r="I214" s="607"/>
      <c r="J214" s="611">
        <v>0</v>
      </c>
      <c r="K214" s="607">
        <v>1</v>
      </c>
      <c r="L214" s="611">
        <v>2100</v>
      </c>
      <c r="M214" s="607"/>
      <c r="N214" s="611">
        <v>198</v>
      </c>
      <c r="O214" s="612"/>
      <c r="P214" s="609"/>
      <c r="Q214" s="768"/>
      <c r="R214" s="768"/>
      <c r="S214" s="768"/>
      <c r="T214" s="768"/>
      <c r="U214" s="607"/>
      <c r="V214" s="613">
        <v>60</v>
      </c>
      <c r="W214" s="607">
        <v>2</v>
      </c>
      <c r="X214" s="613">
        <v>150</v>
      </c>
      <c r="Y214" s="607">
        <v>9</v>
      </c>
      <c r="Z214" s="614">
        <v>24</v>
      </c>
      <c r="AA214" s="607">
        <v>3</v>
      </c>
      <c r="AB214" s="614">
        <v>16</v>
      </c>
      <c r="AC214" s="607"/>
      <c r="AD214" s="607"/>
      <c r="AE214" s="615"/>
      <c r="AF214" s="611">
        <f t="shared" si="9"/>
        <v>2664</v>
      </c>
      <c r="AG214" s="611">
        <f t="shared" si="10"/>
        <v>133.20000000000002</v>
      </c>
      <c r="AH214" s="611">
        <f t="shared" si="11"/>
        <v>2797.2</v>
      </c>
      <c r="AI214" s="986">
        <v>229630</v>
      </c>
      <c r="AJ214" s="616"/>
    </row>
    <row r="215" spans="1:36" s="617" customFormat="1">
      <c r="A215" s="605">
        <v>42258</v>
      </c>
      <c r="B215" s="606" t="s">
        <v>607</v>
      </c>
      <c r="C215" s="607"/>
      <c r="D215" s="608">
        <v>1400</v>
      </c>
      <c r="E215" s="607"/>
      <c r="F215" s="608">
        <v>132</v>
      </c>
      <c r="G215" s="607"/>
      <c r="H215" s="611">
        <v>3150</v>
      </c>
      <c r="I215" s="607"/>
      <c r="J215" s="611">
        <v>0</v>
      </c>
      <c r="K215" s="607">
        <v>1</v>
      </c>
      <c r="L215" s="611">
        <v>2100</v>
      </c>
      <c r="M215" s="607"/>
      <c r="N215" s="611">
        <v>198</v>
      </c>
      <c r="O215" s="612"/>
      <c r="P215" s="609"/>
      <c r="Q215" s="768"/>
      <c r="R215" s="768"/>
      <c r="S215" s="768"/>
      <c r="T215" s="768"/>
      <c r="U215" s="607">
        <v>1</v>
      </c>
      <c r="V215" s="613">
        <v>60</v>
      </c>
      <c r="W215" s="607">
        <v>1</v>
      </c>
      <c r="X215" s="613">
        <v>150</v>
      </c>
      <c r="Y215" s="607">
        <v>5</v>
      </c>
      <c r="Z215" s="614">
        <v>24</v>
      </c>
      <c r="AA215" s="607">
        <v>9</v>
      </c>
      <c r="AB215" s="614">
        <v>16</v>
      </c>
      <c r="AC215" s="607"/>
      <c r="AD215" s="607">
        <v>1</v>
      </c>
      <c r="AE215" s="615">
        <v>144.15</v>
      </c>
      <c r="AF215" s="611">
        <f t="shared" si="9"/>
        <v>2718.15</v>
      </c>
      <c r="AG215" s="611">
        <f t="shared" si="10"/>
        <v>135.9075</v>
      </c>
      <c r="AH215" s="611">
        <f t="shared" si="11"/>
        <v>2854.0574999999999</v>
      </c>
      <c r="AI215" s="986">
        <v>229630</v>
      </c>
      <c r="AJ215" s="616"/>
    </row>
    <row r="216" spans="1:36" s="617" customFormat="1">
      <c r="A216" s="605">
        <v>42258</v>
      </c>
      <c r="B216" s="606" t="s">
        <v>613</v>
      </c>
      <c r="C216" s="607"/>
      <c r="D216" s="608">
        <v>1400</v>
      </c>
      <c r="E216" s="607"/>
      <c r="F216" s="608">
        <v>132</v>
      </c>
      <c r="G216" s="607"/>
      <c r="H216" s="611">
        <v>3150</v>
      </c>
      <c r="I216" s="607"/>
      <c r="J216" s="611">
        <v>0</v>
      </c>
      <c r="K216" s="607">
        <v>1</v>
      </c>
      <c r="L216" s="611">
        <v>2100</v>
      </c>
      <c r="M216" s="607"/>
      <c r="N216" s="611">
        <v>198</v>
      </c>
      <c r="O216" s="612"/>
      <c r="P216" s="609"/>
      <c r="Q216" s="768"/>
      <c r="R216" s="768"/>
      <c r="S216" s="768"/>
      <c r="T216" s="768"/>
      <c r="U216" s="607"/>
      <c r="V216" s="613">
        <v>60</v>
      </c>
      <c r="W216" s="607">
        <v>2</v>
      </c>
      <c r="X216" s="613">
        <v>150</v>
      </c>
      <c r="Y216" s="607">
        <v>3</v>
      </c>
      <c r="Z216" s="614">
        <v>24</v>
      </c>
      <c r="AA216" s="607">
        <v>5</v>
      </c>
      <c r="AB216" s="614">
        <v>16</v>
      </c>
      <c r="AC216" s="607"/>
      <c r="AD216" s="607"/>
      <c r="AE216" s="615"/>
      <c r="AF216" s="611">
        <f t="shared" si="9"/>
        <v>2552</v>
      </c>
      <c r="AG216" s="611">
        <f t="shared" si="10"/>
        <v>127.60000000000001</v>
      </c>
      <c r="AH216" s="611">
        <f t="shared" si="11"/>
        <v>2679.6</v>
      </c>
      <c r="AI216" s="986">
        <v>229630</v>
      </c>
      <c r="AJ216" s="616"/>
    </row>
    <row r="217" spans="1:36" s="617" customFormat="1">
      <c r="A217" s="605">
        <v>42258</v>
      </c>
      <c r="B217" s="606" t="s">
        <v>917</v>
      </c>
      <c r="C217" s="607"/>
      <c r="D217" s="608">
        <v>1400</v>
      </c>
      <c r="E217" s="607"/>
      <c r="F217" s="608">
        <v>132</v>
      </c>
      <c r="G217" s="607"/>
      <c r="H217" s="611">
        <v>3150</v>
      </c>
      <c r="I217" s="607"/>
      <c r="J217" s="611">
        <v>0</v>
      </c>
      <c r="K217" s="607">
        <v>1</v>
      </c>
      <c r="L217" s="611">
        <v>2100</v>
      </c>
      <c r="M217" s="607"/>
      <c r="N217" s="611">
        <v>198</v>
      </c>
      <c r="O217" s="612"/>
      <c r="P217" s="609"/>
      <c r="Q217" s="768"/>
      <c r="R217" s="768"/>
      <c r="S217" s="768"/>
      <c r="T217" s="768"/>
      <c r="U217" s="607">
        <v>2</v>
      </c>
      <c r="V217" s="613">
        <v>60</v>
      </c>
      <c r="W217" s="607"/>
      <c r="X217" s="613">
        <v>150</v>
      </c>
      <c r="Y217" s="607"/>
      <c r="Z217" s="614">
        <v>24</v>
      </c>
      <c r="AA217" s="607"/>
      <c r="AB217" s="614">
        <v>16</v>
      </c>
      <c r="AC217" s="607">
        <v>248</v>
      </c>
      <c r="AD217" s="607">
        <v>1</v>
      </c>
      <c r="AE217" s="615">
        <v>260.19</v>
      </c>
      <c r="AF217" s="611">
        <f t="shared" si="9"/>
        <v>2728.19</v>
      </c>
      <c r="AG217" s="611">
        <f t="shared" si="10"/>
        <v>136.40950000000001</v>
      </c>
      <c r="AH217" s="611">
        <f t="shared" si="11"/>
        <v>2864.5995000000003</v>
      </c>
      <c r="AI217" s="986">
        <v>229630</v>
      </c>
      <c r="AJ217" s="616"/>
    </row>
    <row r="218" spans="1:36" s="617" customFormat="1">
      <c r="A218" s="605">
        <v>42259</v>
      </c>
      <c r="B218" s="606" t="s">
        <v>602</v>
      </c>
      <c r="C218" s="607">
        <v>1</v>
      </c>
      <c r="D218" s="608">
        <v>1400</v>
      </c>
      <c r="E218" s="607"/>
      <c r="F218" s="608">
        <v>132</v>
      </c>
      <c r="G218" s="607"/>
      <c r="H218" s="611">
        <v>3150</v>
      </c>
      <c r="I218" s="607"/>
      <c r="J218" s="611">
        <v>0</v>
      </c>
      <c r="K218" s="607"/>
      <c r="L218" s="611">
        <v>2100</v>
      </c>
      <c r="M218" s="607"/>
      <c r="N218" s="611">
        <v>198</v>
      </c>
      <c r="O218" s="612"/>
      <c r="P218" s="609"/>
      <c r="Q218" s="768"/>
      <c r="R218" s="768"/>
      <c r="S218" s="768"/>
      <c r="T218" s="768"/>
      <c r="U218" s="607">
        <v>1</v>
      </c>
      <c r="V218" s="613">
        <v>60</v>
      </c>
      <c r="W218" s="607"/>
      <c r="X218" s="613">
        <v>150</v>
      </c>
      <c r="Y218" s="607"/>
      <c r="Z218" s="614">
        <v>24</v>
      </c>
      <c r="AA218" s="607"/>
      <c r="AB218" s="614">
        <v>16</v>
      </c>
      <c r="AC218" s="607"/>
      <c r="AD218" s="607">
        <v>1</v>
      </c>
      <c r="AE218" s="615">
        <v>140.6</v>
      </c>
      <c r="AF218" s="611">
        <f t="shared" si="9"/>
        <v>1600.6</v>
      </c>
      <c r="AG218" s="611">
        <f t="shared" si="10"/>
        <v>80.03</v>
      </c>
      <c r="AH218" s="611">
        <f t="shared" si="11"/>
        <v>1680.6299999999999</v>
      </c>
      <c r="AI218" s="986">
        <v>229630</v>
      </c>
      <c r="AJ218" s="616"/>
    </row>
    <row r="219" spans="1:36" s="617" customFormat="1">
      <c r="A219" s="605">
        <v>42259</v>
      </c>
      <c r="B219" s="606" t="s">
        <v>918</v>
      </c>
      <c r="C219" s="607"/>
      <c r="D219" s="608">
        <v>1400</v>
      </c>
      <c r="E219" s="607"/>
      <c r="F219" s="608">
        <v>132</v>
      </c>
      <c r="G219" s="607"/>
      <c r="H219" s="611">
        <v>3150</v>
      </c>
      <c r="I219" s="607"/>
      <c r="J219" s="611">
        <v>0</v>
      </c>
      <c r="K219" s="607">
        <v>1</v>
      </c>
      <c r="L219" s="611">
        <v>2100</v>
      </c>
      <c r="M219" s="607"/>
      <c r="N219" s="611">
        <v>198</v>
      </c>
      <c r="O219" s="612"/>
      <c r="P219" s="609"/>
      <c r="Q219" s="768"/>
      <c r="R219" s="768"/>
      <c r="S219" s="768"/>
      <c r="T219" s="768"/>
      <c r="U219" s="607"/>
      <c r="V219" s="613">
        <v>60</v>
      </c>
      <c r="W219" s="607">
        <v>2</v>
      </c>
      <c r="X219" s="613">
        <v>150</v>
      </c>
      <c r="Y219" s="607">
        <v>5</v>
      </c>
      <c r="Z219" s="614">
        <v>24</v>
      </c>
      <c r="AA219" s="607">
        <v>4</v>
      </c>
      <c r="AB219" s="614">
        <v>16</v>
      </c>
      <c r="AC219" s="607"/>
      <c r="AD219" s="607"/>
      <c r="AE219" s="615"/>
      <c r="AF219" s="611">
        <f t="shared" si="9"/>
        <v>2584</v>
      </c>
      <c r="AG219" s="611">
        <f t="shared" si="10"/>
        <v>129.20000000000002</v>
      </c>
      <c r="AH219" s="611">
        <f t="shared" si="11"/>
        <v>2713.2</v>
      </c>
      <c r="AI219" s="986">
        <v>229630</v>
      </c>
      <c r="AJ219" s="616"/>
    </row>
    <row r="220" spans="1:36" s="617" customFormat="1">
      <c r="A220" s="605">
        <v>42259</v>
      </c>
      <c r="B220" s="606" t="s">
        <v>608</v>
      </c>
      <c r="C220" s="607"/>
      <c r="D220" s="608">
        <v>1400</v>
      </c>
      <c r="E220" s="607"/>
      <c r="F220" s="608">
        <v>132</v>
      </c>
      <c r="G220" s="607"/>
      <c r="H220" s="611">
        <v>3150</v>
      </c>
      <c r="I220" s="607"/>
      <c r="J220" s="611">
        <v>0</v>
      </c>
      <c r="K220" s="607">
        <v>1</v>
      </c>
      <c r="L220" s="611">
        <v>2100</v>
      </c>
      <c r="M220" s="607"/>
      <c r="N220" s="611">
        <v>198</v>
      </c>
      <c r="O220" s="612"/>
      <c r="P220" s="609"/>
      <c r="Q220" s="768"/>
      <c r="R220" s="768"/>
      <c r="S220" s="768"/>
      <c r="T220" s="768"/>
      <c r="U220" s="607">
        <v>1</v>
      </c>
      <c r="V220" s="613">
        <v>60</v>
      </c>
      <c r="W220" s="607">
        <v>1</v>
      </c>
      <c r="X220" s="613">
        <v>150</v>
      </c>
      <c r="Y220" s="607">
        <v>5</v>
      </c>
      <c r="Z220" s="614">
        <v>24</v>
      </c>
      <c r="AA220" s="607">
        <v>8</v>
      </c>
      <c r="AB220" s="614">
        <v>16</v>
      </c>
      <c r="AC220" s="607"/>
      <c r="AD220" s="607">
        <v>1</v>
      </c>
      <c r="AE220" s="615">
        <v>144.13999999999999</v>
      </c>
      <c r="AF220" s="611">
        <f t="shared" si="9"/>
        <v>2702.14</v>
      </c>
      <c r="AG220" s="611">
        <f t="shared" si="10"/>
        <v>135.107</v>
      </c>
      <c r="AH220" s="611">
        <f t="shared" si="11"/>
        <v>2837.2469999999998</v>
      </c>
      <c r="AI220" s="986">
        <v>229630</v>
      </c>
      <c r="AJ220" s="616"/>
    </row>
    <row r="221" spans="1:36" s="617" customFormat="1">
      <c r="A221" s="605">
        <v>42259</v>
      </c>
      <c r="B221" s="606" t="s">
        <v>614</v>
      </c>
      <c r="C221" s="607"/>
      <c r="D221" s="608">
        <v>1400</v>
      </c>
      <c r="E221" s="607"/>
      <c r="F221" s="608">
        <v>132</v>
      </c>
      <c r="G221" s="607"/>
      <c r="H221" s="611">
        <v>3150</v>
      </c>
      <c r="I221" s="607"/>
      <c r="J221" s="611">
        <v>0</v>
      </c>
      <c r="K221" s="607">
        <v>1</v>
      </c>
      <c r="L221" s="611">
        <v>2100</v>
      </c>
      <c r="M221" s="607"/>
      <c r="N221" s="611">
        <v>198</v>
      </c>
      <c r="O221" s="612"/>
      <c r="P221" s="609"/>
      <c r="Q221" s="768"/>
      <c r="R221" s="768"/>
      <c r="S221" s="768"/>
      <c r="T221" s="768"/>
      <c r="U221" s="607"/>
      <c r="V221" s="613">
        <v>60</v>
      </c>
      <c r="W221" s="607">
        <v>2</v>
      </c>
      <c r="X221" s="613">
        <v>150</v>
      </c>
      <c r="Y221" s="607">
        <v>5</v>
      </c>
      <c r="Z221" s="614">
        <v>24</v>
      </c>
      <c r="AA221" s="607">
        <v>8</v>
      </c>
      <c r="AB221" s="614">
        <v>16</v>
      </c>
      <c r="AC221" s="607"/>
      <c r="AD221" s="607"/>
      <c r="AE221" s="615"/>
      <c r="AF221" s="611">
        <f t="shared" si="9"/>
        <v>2648</v>
      </c>
      <c r="AG221" s="611">
        <f t="shared" si="10"/>
        <v>132.4</v>
      </c>
      <c r="AH221" s="611">
        <f t="shared" si="11"/>
        <v>2780.4</v>
      </c>
      <c r="AI221" s="986">
        <v>229630</v>
      </c>
      <c r="AJ221" s="616"/>
    </row>
    <row r="222" spans="1:36" s="617" customFormat="1">
      <c r="A222" s="605">
        <v>42259</v>
      </c>
      <c r="B222" s="606" t="s">
        <v>919</v>
      </c>
      <c r="C222" s="607"/>
      <c r="D222" s="608">
        <v>1400</v>
      </c>
      <c r="E222" s="607"/>
      <c r="F222" s="608">
        <v>132</v>
      </c>
      <c r="G222" s="607"/>
      <c r="H222" s="611">
        <v>3150</v>
      </c>
      <c r="I222" s="607"/>
      <c r="J222" s="611">
        <v>0</v>
      </c>
      <c r="K222" s="607">
        <v>1</v>
      </c>
      <c r="L222" s="611">
        <v>2100</v>
      </c>
      <c r="M222" s="607"/>
      <c r="N222" s="611">
        <v>198</v>
      </c>
      <c r="O222" s="612"/>
      <c r="P222" s="609"/>
      <c r="Q222" s="768"/>
      <c r="R222" s="768"/>
      <c r="S222" s="768"/>
      <c r="T222" s="768"/>
      <c r="U222" s="607">
        <v>2</v>
      </c>
      <c r="V222" s="613">
        <v>60</v>
      </c>
      <c r="W222" s="607"/>
      <c r="X222" s="613">
        <v>150</v>
      </c>
      <c r="Y222" s="607"/>
      <c r="Z222" s="614">
        <v>24</v>
      </c>
      <c r="AA222" s="607"/>
      <c r="AB222" s="614">
        <v>16</v>
      </c>
      <c r="AC222" s="607">
        <v>200</v>
      </c>
      <c r="AD222" s="607">
        <v>1</v>
      </c>
      <c r="AE222" s="615">
        <v>260.19</v>
      </c>
      <c r="AF222" s="611">
        <f t="shared" si="9"/>
        <v>2680.19</v>
      </c>
      <c r="AG222" s="611">
        <f t="shared" si="10"/>
        <v>134.0095</v>
      </c>
      <c r="AH222" s="611">
        <f t="shared" si="11"/>
        <v>2814.1995000000002</v>
      </c>
      <c r="AI222" s="986">
        <v>229630</v>
      </c>
      <c r="AJ222" s="616"/>
    </row>
    <row r="223" spans="1:36" s="617" customFormat="1">
      <c r="A223" s="605">
        <v>42260</v>
      </c>
      <c r="B223" s="606" t="s">
        <v>603</v>
      </c>
      <c r="C223" s="607">
        <v>1</v>
      </c>
      <c r="D223" s="608">
        <v>1750</v>
      </c>
      <c r="E223" s="607"/>
      <c r="F223" s="608">
        <v>132</v>
      </c>
      <c r="G223" s="607"/>
      <c r="H223" s="611">
        <v>3150</v>
      </c>
      <c r="I223" s="607"/>
      <c r="J223" s="611">
        <v>0</v>
      </c>
      <c r="K223" s="607"/>
      <c r="L223" s="611">
        <v>2100</v>
      </c>
      <c r="M223" s="607"/>
      <c r="N223" s="611">
        <v>198</v>
      </c>
      <c r="O223" s="612"/>
      <c r="P223" s="609"/>
      <c r="Q223" s="768"/>
      <c r="R223" s="768"/>
      <c r="S223" s="768"/>
      <c r="T223" s="768"/>
      <c r="U223" s="607"/>
      <c r="V223" s="613">
        <v>60</v>
      </c>
      <c r="W223" s="607"/>
      <c r="X223" s="613">
        <v>150</v>
      </c>
      <c r="Y223" s="607"/>
      <c r="Z223" s="614">
        <v>24</v>
      </c>
      <c r="AA223" s="607"/>
      <c r="AB223" s="614">
        <v>16</v>
      </c>
      <c r="AC223" s="607"/>
      <c r="AD223" s="607">
        <v>1</v>
      </c>
      <c r="AE223" s="615">
        <v>140.6</v>
      </c>
      <c r="AF223" s="611">
        <f t="shared" si="9"/>
        <v>1890.6</v>
      </c>
      <c r="AG223" s="611">
        <f t="shared" si="10"/>
        <v>94.53</v>
      </c>
      <c r="AH223" s="611">
        <f t="shared" si="11"/>
        <v>1985.1299999999999</v>
      </c>
      <c r="AI223" s="986">
        <v>229630</v>
      </c>
      <c r="AJ223" s="616"/>
    </row>
    <row r="224" spans="1:36" s="617" customFormat="1">
      <c r="A224" s="605">
        <v>42260</v>
      </c>
      <c r="B224" s="606" t="s">
        <v>609</v>
      </c>
      <c r="C224" s="607"/>
      <c r="D224" s="608">
        <v>1400</v>
      </c>
      <c r="E224" s="607"/>
      <c r="F224" s="608">
        <v>132</v>
      </c>
      <c r="G224" s="607"/>
      <c r="H224" s="611">
        <v>3150</v>
      </c>
      <c r="I224" s="607"/>
      <c r="J224" s="611">
        <v>0</v>
      </c>
      <c r="K224" s="607">
        <v>1</v>
      </c>
      <c r="L224" s="611">
        <v>2650</v>
      </c>
      <c r="M224" s="607"/>
      <c r="N224" s="611">
        <v>198</v>
      </c>
      <c r="O224" s="612"/>
      <c r="P224" s="609"/>
      <c r="Q224" s="768"/>
      <c r="R224" s="768"/>
      <c r="S224" s="768"/>
      <c r="T224" s="768"/>
      <c r="U224" s="607">
        <v>1</v>
      </c>
      <c r="V224" s="613">
        <v>60</v>
      </c>
      <c r="W224" s="607">
        <v>1</v>
      </c>
      <c r="X224" s="613">
        <v>150</v>
      </c>
      <c r="Y224" s="607"/>
      <c r="Z224" s="614">
        <v>24</v>
      </c>
      <c r="AA224" s="607">
        <v>5</v>
      </c>
      <c r="AB224" s="614">
        <v>16</v>
      </c>
      <c r="AC224" s="607"/>
      <c r="AD224" s="607">
        <v>1</v>
      </c>
      <c r="AE224" s="615">
        <v>144.15</v>
      </c>
      <c r="AF224" s="611">
        <f t="shared" si="9"/>
        <v>3084.15</v>
      </c>
      <c r="AG224" s="611">
        <f t="shared" si="10"/>
        <v>154.20750000000001</v>
      </c>
      <c r="AH224" s="611">
        <f t="shared" si="11"/>
        <v>3238.3575000000001</v>
      </c>
      <c r="AI224" s="986">
        <v>229630</v>
      </c>
      <c r="AJ224" s="616"/>
    </row>
    <row r="225" spans="1:64" s="559" customFormat="1">
      <c r="A225" s="605">
        <v>42260</v>
      </c>
      <c r="B225" s="606" t="s">
        <v>615</v>
      </c>
      <c r="C225" s="607"/>
      <c r="D225" s="608">
        <v>1400</v>
      </c>
      <c r="E225" s="607"/>
      <c r="F225" s="608">
        <v>132</v>
      </c>
      <c r="G225" s="607"/>
      <c r="H225" s="611">
        <v>3150</v>
      </c>
      <c r="I225" s="607"/>
      <c r="J225" s="611">
        <v>0</v>
      </c>
      <c r="K225" s="607">
        <v>1</v>
      </c>
      <c r="L225" s="611">
        <v>2650</v>
      </c>
      <c r="M225" s="607"/>
      <c r="N225" s="611">
        <v>198</v>
      </c>
      <c r="O225" s="612"/>
      <c r="P225" s="609"/>
      <c r="Q225" s="768"/>
      <c r="R225" s="768"/>
      <c r="S225" s="768"/>
      <c r="T225" s="768"/>
      <c r="U225" s="607"/>
      <c r="V225" s="613">
        <v>60</v>
      </c>
      <c r="W225" s="607">
        <v>2</v>
      </c>
      <c r="X225" s="613">
        <v>150</v>
      </c>
      <c r="Y225" s="607"/>
      <c r="Z225" s="614">
        <v>24</v>
      </c>
      <c r="AA225" s="607">
        <v>8</v>
      </c>
      <c r="AB225" s="614">
        <v>16</v>
      </c>
      <c r="AC225" s="607"/>
      <c r="AD225" s="607"/>
      <c r="AE225" s="615"/>
      <c r="AF225" s="611">
        <f t="shared" si="9"/>
        <v>3078</v>
      </c>
      <c r="AG225" s="611">
        <f t="shared" si="10"/>
        <v>153.9</v>
      </c>
      <c r="AH225" s="611">
        <f t="shared" si="11"/>
        <v>3231.9</v>
      </c>
      <c r="AI225" s="986">
        <v>229630</v>
      </c>
      <c r="AJ225" s="616"/>
      <c r="AK225" s="617"/>
      <c r="AL225" s="617"/>
      <c r="AM225" s="617"/>
      <c r="AN225" s="617"/>
      <c r="AO225" s="617"/>
      <c r="AP225" s="617"/>
      <c r="AQ225" s="617"/>
      <c r="AR225" s="617"/>
      <c r="AS225" s="617"/>
      <c r="AT225" s="617"/>
      <c r="AU225" s="617"/>
      <c r="AV225" s="617"/>
      <c r="AW225" s="617"/>
      <c r="AX225" s="617"/>
      <c r="AY225" s="617"/>
      <c r="AZ225" s="617"/>
      <c r="BA225" s="617"/>
      <c r="BB225" s="617"/>
      <c r="BC225" s="617"/>
      <c r="BD225" s="617"/>
      <c r="BE225" s="617"/>
      <c r="BF225" s="617"/>
      <c r="BG225" s="617"/>
      <c r="BH225" s="617"/>
      <c r="BI225" s="617"/>
      <c r="BJ225" s="617"/>
      <c r="BK225" s="617"/>
      <c r="BL225" s="617"/>
    </row>
    <row r="226" spans="1:64" s="559" customFormat="1">
      <c r="A226" s="605">
        <v>42260</v>
      </c>
      <c r="B226" s="606" t="s">
        <v>920</v>
      </c>
      <c r="C226" s="607"/>
      <c r="D226" s="608">
        <v>1400</v>
      </c>
      <c r="E226" s="607"/>
      <c r="F226" s="608">
        <v>132</v>
      </c>
      <c r="G226" s="607"/>
      <c r="H226" s="611">
        <v>3150</v>
      </c>
      <c r="I226" s="607"/>
      <c r="J226" s="611">
        <v>0</v>
      </c>
      <c r="K226" s="607">
        <v>1</v>
      </c>
      <c r="L226" s="611">
        <v>2650</v>
      </c>
      <c r="M226" s="607"/>
      <c r="N226" s="611">
        <v>198</v>
      </c>
      <c r="O226" s="612"/>
      <c r="P226" s="609"/>
      <c r="Q226" s="768"/>
      <c r="R226" s="768"/>
      <c r="S226" s="768"/>
      <c r="T226" s="768"/>
      <c r="U226" s="607">
        <v>2</v>
      </c>
      <c r="V226" s="613">
        <v>60</v>
      </c>
      <c r="W226" s="607"/>
      <c r="X226" s="613">
        <v>150</v>
      </c>
      <c r="Y226" s="607">
        <v>6</v>
      </c>
      <c r="Z226" s="614">
        <v>24</v>
      </c>
      <c r="AA226" s="607">
        <v>5</v>
      </c>
      <c r="AB226" s="614">
        <v>16</v>
      </c>
      <c r="AC226" s="607"/>
      <c r="AD226" s="607">
        <v>1</v>
      </c>
      <c r="AE226" s="615">
        <v>260.19</v>
      </c>
      <c r="AF226" s="611">
        <f t="shared" si="9"/>
        <v>3254.19</v>
      </c>
      <c r="AG226" s="611">
        <f t="shared" si="10"/>
        <v>162.70950000000002</v>
      </c>
      <c r="AH226" s="611">
        <f t="shared" si="11"/>
        <v>3416.8995</v>
      </c>
      <c r="AI226" s="986">
        <v>229630</v>
      </c>
      <c r="AJ226" s="616"/>
    </row>
    <row r="227" spans="1:64" s="559" customFormat="1">
      <c r="A227" s="618">
        <v>42261</v>
      </c>
      <c r="B227" s="619" t="s">
        <v>618</v>
      </c>
      <c r="C227" s="620">
        <v>1</v>
      </c>
      <c r="D227" s="621">
        <v>1400</v>
      </c>
      <c r="E227" s="620"/>
      <c r="F227" s="621">
        <v>132</v>
      </c>
      <c r="G227" s="620">
        <v>0</v>
      </c>
      <c r="H227" s="622">
        <v>3150</v>
      </c>
      <c r="I227" s="620">
        <v>0</v>
      </c>
      <c r="J227" s="622">
        <v>0</v>
      </c>
      <c r="K227" s="620"/>
      <c r="L227" s="622">
        <v>2100</v>
      </c>
      <c r="M227" s="620"/>
      <c r="N227" s="622">
        <v>198</v>
      </c>
      <c r="O227" s="692"/>
      <c r="P227" s="689"/>
      <c r="Q227" s="764"/>
      <c r="R227" s="764"/>
      <c r="S227" s="764"/>
      <c r="T227" s="764"/>
      <c r="U227" s="620">
        <v>1</v>
      </c>
      <c r="V227" s="623">
        <v>60</v>
      </c>
      <c r="W227" s="620"/>
      <c r="X227" s="623">
        <v>150</v>
      </c>
      <c r="Y227" s="620"/>
      <c r="Z227" s="624">
        <v>24</v>
      </c>
      <c r="AA227" s="620"/>
      <c r="AB227" s="624">
        <v>16</v>
      </c>
      <c r="AC227" s="620"/>
      <c r="AD227" s="620">
        <v>1</v>
      </c>
      <c r="AE227" s="625">
        <v>140.6</v>
      </c>
      <c r="AF227" s="622">
        <f t="shared" si="9"/>
        <v>1600.6</v>
      </c>
      <c r="AG227" s="622">
        <f t="shared" si="10"/>
        <v>80.03</v>
      </c>
      <c r="AH227" s="622">
        <f t="shared" si="11"/>
        <v>1680.6299999999999</v>
      </c>
      <c r="AI227" s="988">
        <v>339632</v>
      </c>
      <c r="AJ227" s="626"/>
    </row>
    <row r="228" spans="1:64" s="559" customFormat="1">
      <c r="A228" s="618">
        <v>42261</v>
      </c>
      <c r="B228" s="619" t="s">
        <v>923</v>
      </c>
      <c r="C228" s="620"/>
      <c r="D228" s="621">
        <v>1400</v>
      </c>
      <c r="E228" s="620"/>
      <c r="F228" s="621">
        <v>132</v>
      </c>
      <c r="G228" s="620">
        <v>0</v>
      </c>
      <c r="H228" s="622">
        <v>3150</v>
      </c>
      <c r="I228" s="620">
        <v>0</v>
      </c>
      <c r="J228" s="622">
        <v>0</v>
      </c>
      <c r="K228" s="620">
        <v>1</v>
      </c>
      <c r="L228" s="622">
        <v>2100</v>
      </c>
      <c r="M228" s="620"/>
      <c r="N228" s="622">
        <v>198</v>
      </c>
      <c r="O228" s="692"/>
      <c r="P228" s="689"/>
      <c r="Q228" s="764"/>
      <c r="R228" s="764"/>
      <c r="S228" s="764"/>
      <c r="T228" s="764"/>
      <c r="U228" s="620"/>
      <c r="V228" s="623">
        <v>60</v>
      </c>
      <c r="W228" s="620">
        <v>2</v>
      </c>
      <c r="X228" s="623">
        <v>150</v>
      </c>
      <c r="Y228" s="620">
        <v>4</v>
      </c>
      <c r="Z228" s="624">
        <v>24</v>
      </c>
      <c r="AA228" s="620">
        <v>3</v>
      </c>
      <c r="AB228" s="624">
        <v>16</v>
      </c>
      <c r="AC228" s="620"/>
      <c r="AD228" s="620"/>
      <c r="AE228" s="625"/>
      <c r="AF228" s="622">
        <f t="shared" si="9"/>
        <v>2544</v>
      </c>
      <c r="AG228" s="622">
        <f t="shared" si="10"/>
        <v>127.2</v>
      </c>
      <c r="AH228" s="622">
        <f t="shared" si="11"/>
        <v>2671.2</v>
      </c>
      <c r="AI228" s="988">
        <v>339632</v>
      </c>
      <c r="AJ228" s="626"/>
    </row>
    <row r="229" spans="1:64" s="559" customFormat="1">
      <c r="A229" s="618">
        <v>42261</v>
      </c>
      <c r="B229" s="619" t="s">
        <v>924</v>
      </c>
      <c r="C229" s="620"/>
      <c r="D229" s="621">
        <v>1400</v>
      </c>
      <c r="E229" s="620"/>
      <c r="F229" s="621">
        <v>132</v>
      </c>
      <c r="G229" s="620">
        <v>0</v>
      </c>
      <c r="H229" s="622">
        <v>3150</v>
      </c>
      <c r="I229" s="620">
        <v>0</v>
      </c>
      <c r="J229" s="622">
        <v>0</v>
      </c>
      <c r="K229" s="620">
        <v>1</v>
      </c>
      <c r="L229" s="622">
        <v>2100</v>
      </c>
      <c r="M229" s="620"/>
      <c r="N229" s="622">
        <v>198</v>
      </c>
      <c r="O229" s="692"/>
      <c r="P229" s="689"/>
      <c r="Q229" s="764"/>
      <c r="R229" s="764"/>
      <c r="S229" s="764"/>
      <c r="T229" s="764"/>
      <c r="U229" s="620">
        <v>1</v>
      </c>
      <c r="V229" s="623">
        <v>60</v>
      </c>
      <c r="W229" s="620">
        <v>1</v>
      </c>
      <c r="X229" s="623">
        <v>150</v>
      </c>
      <c r="Y229" s="620"/>
      <c r="Z229" s="624">
        <v>24</v>
      </c>
      <c r="AA229" s="620">
        <v>7</v>
      </c>
      <c r="AB229" s="624">
        <v>16</v>
      </c>
      <c r="AC229" s="620"/>
      <c r="AD229" s="620">
        <v>1</v>
      </c>
      <c r="AE229" s="625">
        <v>144.13999999999999</v>
      </c>
      <c r="AF229" s="622">
        <f t="shared" si="9"/>
        <v>2566.14</v>
      </c>
      <c r="AG229" s="622">
        <f t="shared" si="10"/>
        <v>128.30699999999999</v>
      </c>
      <c r="AH229" s="622">
        <f t="shared" si="11"/>
        <v>2694.4469999999997</v>
      </c>
      <c r="AI229" s="988">
        <v>339632</v>
      </c>
      <c r="AJ229" s="626"/>
    </row>
    <row r="230" spans="1:64" s="559" customFormat="1">
      <c r="A230" s="618">
        <v>42261</v>
      </c>
      <c r="B230" s="619" t="s">
        <v>624</v>
      </c>
      <c r="C230" s="620"/>
      <c r="D230" s="621">
        <v>1400</v>
      </c>
      <c r="E230" s="620"/>
      <c r="F230" s="621">
        <v>132</v>
      </c>
      <c r="G230" s="620">
        <v>0</v>
      </c>
      <c r="H230" s="622">
        <v>3150</v>
      </c>
      <c r="I230" s="620">
        <v>0</v>
      </c>
      <c r="J230" s="622">
        <v>0</v>
      </c>
      <c r="K230" s="620">
        <v>1</v>
      </c>
      <c r="L230" s="622">
        <v>2100</v>
      </c>
      <c r="M230" s="620"/>
      <c r="N230" s="622">
        <v>198</v>
      </c>
      <c r="O230" s="692"/>
      <c r="P230" s="689"/>
      <c r="Q230" s="764"/>
      <c r="R230" s="764"/>
      <c r="S230" s="764"/>
      <c r="T230" s="764"/>
      <c r="U230" s="620"/>
      <c r="V230" s="623">
        <v>60</v>
      </c>
      <c r="W230" s="620">
        <v>2</v>
      </c>
      <c r="X230" s="623">
        <v>150</v>
      </c>
      <c r="Y230" s="620"/>
      <c r="Z230" s="624">
        <v>24</v>
      </c>
      <c r="AA230" s="620">
        <v>11</v>
      </c>
      <c r="AB230" s="624">
        <v>16</v>
      </c>
      <c r="AC230" s="620">
        <v>44</v>
      </c>
      <c r="AD230" s="620"/>
      <c r="AE230" s="625"/>
      <c r="AF230" s="622">
        <f t="shared" si="9"/>
        <v>2620</v>
      </c>
      <c r="AG230" s="622">
        <f t="shared" si="10"/>
        <v>131</v>
      </c>
      <c r="AH230" s="622">
        <f t="shared" si="11"/>
        <v>2751</v>
      </c>
      <c r="AI230" s="988">
        <v>339632</v>
      </c>
      <c r="AJ230" s="626"/>
    </row>
    <row r="231" spans="1:64" s="559" customFormat="1">
      <c r="A231" s="618">
        <v>42261</v>
      </c>
      <c r="B231" s="619" t="s">
        <v>626</v>
      </c>
      <c r="C231" s="620"/>
      <c r="D231" s="621">
        <v>1400</v>
      </c>
      <c r="E231" s="620"/>
      <c r="F231" s="621">
        <v>132</v>
      </c>
      <c r="G231" s="620">
        <v>0</v>
      </c>
      <c r="H231" s="622">
        <v>3150</v>
      </c>
      <c r="I231" s="620">
        <v>0</v>
      </c>
      <c r="J231" s="622">
        <v>0</v>
      </c>
      <c r="K231" s="620">
        <v>1</v>
      </c>
      <c r="L231" s="622">
        <v>2100</v>
      </c>
      <c r="M231" s="620"/>
      <c r="N231" s="622">
        <v>198</v>
      </c>
      <c r="O231" s="692"/>
      <c r="P231" s="689"/>
      <c r="Q231" s="764"/>
      <c r="R231" s="764"/>
      <c r="S231" s="764"/>
      <c r="T231" s="764"/>
      <c r="U231" s="620">
        <v>2</v>
      </c>
      <c r="V231" s="623">
        <v>60</v>
      </c>
      <c r="W231" s="620"/>
      <c r="X231" s="623">
        <v>150</v>
      </c>
      <c r="Y231" s="620"/>
      <c r="Z231" s="624">
        <v>24</v>
      </c>
      <c r="AA231" s="620">
        <v>7</v>
      </c>
      <c r="AB231" s="624">
        <v>16</v>
      </c>
      <c r="AC231" s="620"/>
      <c r="AD231" s="620">
        <v>1</v>
      </c>
      <c r="AE231" s="625">
        <v>260.19</v>
      </c>
      <c r="AF231" s="622">
        <f t="shared" si="9"/>
        <v>2592.19</v>
      </c>
      <c r="AG231" s="622">
        <f t="shared" si="10"/>
        <v>129.6095</v>
      </c>
      <c r="AH231" s="622">
        <f t="shared" si="11"/>
        <v>2721.7995000000001</v>
      </c>
      <c r="AI231" s="988">
        <v>339632</v>
      </c>
      <c r="AJ231" s="626"/>
    </row>
    <row r="232" spans="1:64" s="559" customFormat="1">
      <c r="A232" s="618">
        <v>42262</v>
      </c>
      <c r="B232" s="619" t="s">
        <v>619</v>
      </c>
      <c r="C232" s="620">
        <v>1</v>
      </c>
      <c r="D232" s="621">
        <v>1400</v>
      </c>
      <c r="E232" s="620"/>
      <c r="F232" s="621">
        <v>132</v>
      </c>
      <c r="G232" s="620">
        <v>0</v>
      </c>
      <c r="H232" s="622">
        <v>3150</v>
      </c>
      <c r="I232" s="620">
        <v>0</v>
      </c>
      <c r="J232" s="622">
        <v>0</v>
      </c>
      <c r="K232" s="620"/>
      <c r="L232" s="622">
        <v>2100</v>
      </c>
      <c r="M232" s="620"/>
      <c r="N232" s="622">
        <v>198</v>
      </c>
      <c r="O232" s="692"/>
      <c r="P232" s="689"/>
      <c r="Q232" s="764"/>
      <c r="R232" s="764"/>
      <c r="S232" s="764"/>
      <c r="T232" s="764"/>
      <c r="U232" s="620">
        <v>1</v>
      </c>
      <c r="V232" s="623">
        <v>60</v>
      </c>
      <c r="W232" s="620"/>
      <c r="X232" s="623">
        <v>150</v>
      </c>
      <c r="Y232" s="620"/>
      <c r="Z232" s="624">
        <v>24</v>
      </c>
      <c r="AA232" s="620"/>
      <c r="AB232" s="624">
        <v>16</v>
      </c>
      <c r="AC232" s="620"/>
      <c r="AD232" s="620">
        <v>1</v>
      </c>
      <c r="AE232" s="625">
        <v>140.6</v>
      </c>
      <c r="AF232" s="622">
        <f t="shared" si="9"/>
        <v>1600.6</v>
      </c>
      <c r="AG232" s="622">
        <f t="shared" si="10"/>
        <v>80.03</v>
      </c>
      <c r="AH232" s="622">
        <f t="shared" si="11"/>
        <v>1680.6299999999999</v>
      </c>
      <c r="AI232" s="988">
        <v>339632</v>
      </c>
      <c r="AJ232" s="626"/>
    </row>
    <row r="233" spans="1:64" s="559" customFormat="1">
      <c r="A233" s="618">
        <v>42262</v>
      </c>
      <c r="B233" s="619" t="s">
        <v>925</v>
      </c>
      <c r="C233" s="620"/>
      <c r="D233" s="621">
        <v>1400</v>
      </c>
      <c r="E233" s="620"/>
      <c r="F233" s="621">
        <v>132</v>
      </c>
      <c r="G233" s="620">
        <v>0</v>
      </c>
      <c r="H233" s="622">
        <v>3150</v>
      </c>
      <c r="I233" s="620">
        <v>0</v>
      </c>
      <c r="J233" s="622">
        <v>0</v>
      </c>
      <c r="K233" s="620">
        <v>0.5</v>
      </c>
      <c r="L233" s="622">
        <v>2100</v>
      </c>
      <c r="M233" s="620"/>
      <c r="N233" s="622">
        <v>198</v>
      </c>
      <c r="O233" s="692"/>
      <c r="P233" s="689"/>
      <c r="Q233" s="764"/>
      <c r="R233" s="764"/>
      <c r="S233" s="764"/>
      <c r="T233" s="764"/>
      <c r="U233" s="620">
        <v>1</v>
      </c>
      <c r="V233" s="623">
        <v>60</v>
      </c>
      <c r="W233" s="620"/>
      <c r="X233" s="623">
        <v>150</v>
      </c>
      <c r="Y233" s="620"/>
      <c r="Z233" s="624">
        <v>24</v>
      </c>
      <c r="AA233" s="620"/>
      <c r="AB233" s="624">
        <v>16</v>
      </c>
      <c r="AC233" s="620"/>
      <c r="AD233" s="620">
        <v>1</v>
      </c>
      <c r="AE233" s="625">
        <v>144.13999999999999</v>
      </c>
      <c r="AF233" s="622">
        <f t="shared" si="9"/>
        <v>1254.1399999999999</v>
      </c>
      <c r="AG233" s="622">
        <f t="shared" si="10"/>
        <v>62.706999999999994</v>
      </c>
      <c r="AH233" s="622">
        <f t="shared" si="11"/>
        <v>1316.8469999999998</v>
      </c>
      <c r="AI233" s="988">
        <v>339632</v>
      </c>
      <c r="AJ233" s="626"/>
    </row>
    <row r="234" spans="1:64" s="559" customFormat="1">
      <c r="A234" s="618">
        <v>42262</v>
      </c>
      <c r="B234" s="619" t="s">
        <v>625</v>
      </c>
      <c r="C234" s="620"/>
      <c r="D234" s="621">
        <v>1400</v>
      </c>
      <c r="E234" s="620"/>
      <c r="F234" s="621">
        <v>132</v>
      </c>
      <c r="G234" s="620">
        <v>0</v>
      </c>
      <c r="H234" s="622">
        <v>3150</v>
      </c>
      <c r="I234" s="620">
        <v>0</v>
      </c>
      <c r="J234" s="622">
        <v>0</v>
      </c>
      <c r="K234" s="620">
        <v>1</v>
      </c>
      <c r="L234" s="622">
        <v>2100</v>
      </c>
      <c r="M234" s="620"/>
      <c r="N234" s="622">
        <v>198</v>
      </c>
      <c r="O234" s="692"/>
      <c r="P234" s="689"/>
      <c r="Q234" s="764"/>
      <c r="R234" s="764"/>
      <c r="S234" s="764"/>
      <c r="T234" s="764"/>
      <c r="U234" s="620"/>
      <c r="V234" s="623">
        <v>60</v>
      </c>
      <c r="W234" s="620">
        <v>2</v>
      </c>
      <c r="X234" s="623">
        <v>150</v>
      </c>
      <c r="Y234" s="620"/>
      <c r="Z234" s="624">
        <v>24</v>
      </c>
      <c r="AA234" s="620"/>
      <c r="AB234" s="624">
        <v>16</v>
      </c>
      <c r="AC234" s="620"/>
      <c r="AD234" s="620"/>
      <c r="AE234" s="625"/>
      <c r="AF234" s="622">
        <f t="shared" si="9"/>
        <v>2400</v>
      </c>
      <c r="AG234" s="622">
        <f t="shared" si="10"/>
        <v>120</v>
      </c>
      <c r="AH234" s="622">
        <f t="shared" si="11"/>
        <v>2520</v>
      </c>
      <c r="AI234" s="988">
        <v>339632</v>
      </c>
      <c r="AJ234" s="626"/>
    </row>
    <row r="235" spans="1:64" s="559" customFormat="1">
      <c r="A235" s="618">
        <v>42263</v>
      </c>
      <c r="B235" s="619" t="s">
        <v>620</v>
      </c>
      <c r="C235" s="620">
        <v>1</v>
      </c>
      <c r="D235" s="621">
        <v>1400</v>
      </c>
      <c r="E235" s="620"/>
      <c r="F235" s="621">
        <v>132</v>
      </c>
      <c r="G235" s="620">
        <v>0</v>
      </c>
      <c r="H235" s="622">
        <v>3150</v>
      </c>
      <c r="I235" s="620">
        <v>0</v>
      </c>
      <c r="J235" s="622">
        <v>0</v>
      </c>
      <c r="K235" s="620"/>
      <c r="L235" s="622">
        <v>2100</v>
      </c>
      <c r="M235" s="620"/>
      <c r="N235" s="622">
        <v>198</v>
      </c>
      <c r="O235" s="692"/>
      <c r="P235" s="689"/>
      <c r="Q235" s="764"/>
      <c r="R235" s="764"/>
      <c r="S235" s="764"/>
      <c r="T235" s="764"/>
      <c r="U235" s="620">
        <v>1</v>
      </c>
      <c r="V235" s="623">
        <v>60</v>
      </c>
      <c r="W235" s="620"/>
      <c r="X235" s="623">
        <v>150</v>
      </c>
      <c r="Y235" s="620"/>
      <c r="Z235" s="624">
        <v>24</v>
      </c>
      <c r="AA235" s="620"/>
      <c r="AB235" s="624">
        <v>16</v>
      </c>
      <c r="AC235" s="620"/>
      <c r="AD235" s="620">
        <v>1</v>
      </c>
      <c r="AE235" s="625">
        <v>140.6</v>
      </c>
      <c r="AF235" s="622">
        <f t="shared" si="9"/>
        <v>1600.6</v>
      </c>
      <c r="AG235" s="622">
        <f t="shared" si="10"/>
        <v>80.03</v>
      </c>
      <c r="AH235" s="622">
        <f t="shared" si="11"/>
        <v>1680.6299999999999</v>
      </c>
      <c r="AI235" s="988">
        <v>339632</v>
      </c>
      <c r="AJ235" s="997" t="s">
        <v>922</v>
      </c>
    </row>
    <row r="236" spans="1:64" s="559" customFormat="1">
      <c r="A236" s="618">
        <v>42263</v>
      </c>
      <c r="B236" s="619" t="s">
        <v>926</v>
      </c>
      <c r="C236" s="620"/>
      <c r="D236" s="621">
        <v>1400</v>
      </c>
      <c r="E236" s="620"/>
      <c r="F236" s="621">
        <v>132</v>
      </c>
      <c r="G236" s="620">
        <v>0</v>
      </c>
      <c r="H236" s="622">
        <v>3150</v>
      </c>
      <c r="I236" s="620">
        <v>0</v>
      </c>
      <c r="J236" s="622">
        <v>0</v>
      </c>
      <c r="K236" s="620">
        <v>1</v>
      </c>
      <c r="L236" s="622">
        <v>2100</v>
      </c>
      <c r="M236" s="620"/>
      <c r="N236" s="622">
        <v>198</v>
      </c>
      <c r="O236" s="692"/>
      <c r="P236" s="689"/>
      <c r="Q236" s="764"/>
      <c r="R236" s="764"/>
      <c r="S236" s="764"/>
      <c r="T236" s="764"/>
      <c r="U236" s="620"/>
      <c r="V236" s="623">
        <v>60</v>
      </c>
      <c r="W236" s="620">
        <v>2</v>
      </c>
      <c r="X236" s="623">
        <v>150</v>
      </c>
      <c r="Y236" s="620"/>
      <c r="Z236" s="624">
        <v>24</v>
      </c>
      <c r="AA236" s="620"/>
      <c r="AB236" s="624">
        <v>16</v>
      </c>
      <c r="AC236" s="620">
        <v>100</v>
      </c>
      <c r="AD236" s="620"/>
      <c r="AE236" s="625"/>
      <c r="AF236" s="622">
        <f t="shared" si="9"/>
        <v>2500</v>
      </c>
      <c r="AG236" s="622">
        <f t="shared" si="10"/>
        <v>125</v>
      </c>
      <c r="AH236" s="622">
        <f t="shared" si="11"/>
        <v>2625</v>
      </c>
      <c r="AI236" s="988">
        <v>339632</v>
      </c>
      <c r="AJ236" s="998" t="s">
        <v>934</v>
      </c>
    </row>
    <row r="237" spans="1:64" s="559" customFormat="1">
      <c r="A237" s="618">
        <v>42263</v>
      </c>
      <c r="B237" s="619" t="s">
        <v>927</v>
      </c>
      <c r="C237" s="620"/>
      <c r="D237" s="621">
        <v>1400</v>
      </c>
      <c r="E237" s="620"/>
      <c r="F237" s="621">
        <v>132</v>
      </c>
      <c r="G237" s="620">
        <v>0</v>
      </c>
      <c r="H237" s="622">
        <v>3150</v>
      </c>
      <c r="I237" s="620">
        <v>0</v>
      </c>
      <c r="J237" s="622">
        <v>0</v>
      </c>
      <c r="K237" s="620">
        <v>0.5</v>
      </c>
      <c r="L237" s="622">
        <v>2100</v>
      </c>
      <c r="M237" s="620"/>
      <c r="N237" s="622">
        <v>198</v>
      </c>
      <c r="O237" s="692"/>
      <c r="P237" s="689"/>
      <c r="Q237" s="764"/>
      <c r="R237" s="764"/>
      <c r="S237" s="764"/>
      <c r="T237" s="764"/>
      <c r="U237" s="620">
        <v>1</v>
      </c>
      <c r="V237" s="623">
        <v>60</v>
      </c>
      <c r="W237" s="620"/>
      <c r="X237" s="623">
        <v>150</v>
      </c>
      <c r="Y237" s="620"/>
      <c r="Z237" s="624">
        <v>24</v>
      </c>
      <c r="AA237" s="620"/>
      <c r="AB237" s="624">
        <v>16</v>
      </c>
      <c r="AC237" s="620"/>
      <c r="AD237" s="620">
        <v>1</v>
      </c>
      <c r="AE237" s="625">
        <v>144.13999999999999</v>
      </c>
      <c r="AF237" s="622">
        <f t="shared" si="9"/>
        <v>1254.1399999999999</v>
      </c>
      <c r="AG237" s="622">
        <f t="shared" si="10"/>
        <v>62.706999999999994</v>
      </c>
      <c r="AH237" s="622">
        <f t="shared" si="11"/>
        <v>1316.8469999999998</v>
      </c>
      <c r="AI237" s="988">
        <v>339632</v>
      </c>
      <c r="AJ237" s="626"/>
    </row>
    <row r="238" spans="1:64" s="559" customFormat="1">
      <c r="A238" s="618">
        <v>42264</v>
      </c>
      <c r="B238" s="619" t="s">
        <v>621</v>
      </c>
      <c r="C238" s="620">
        <v>1</v>
      </c>
      <c r="D238" s="621">
        <v>1400</v>
      </c>
      <c r="E238" s="620"/>
      <c r="F238" s="621">
        <v>132</v>
      </c>
      <c r="G238" s="620">
        <v>0</v>
      </c>
      <c r="H238" s="622">
        <v>3150</v>
      </c>
      <c r="I238" s="620">
        <v>0</v>
      </c>
      <c r="J238" s="622">
        <v>0</v>
      </c>
      <c r="K238" s="620"/>
      <c r="L238" s="622">
        <v>2100</v>
      </c>
      <c r="M238" s="620"/>
      <c r="N238" s="622">
        <v>198</v>
      </c>
      <c r="O238" s="692"/>
      <c r="P238" s="689"/>
      <c r="Q238" s="764"/>
      <c r="R238" s="764"/>
      <c r="S238" s="764"/>
      <c r="T238" s="764"/>
      <c r="U238" s="620">
        <v>1</v>
      </c>
      <c r="V238" s="623">
        <v>60</v>
      </c>
      <c r="W238" s="620"/>
      <c r="X238" s="623">
        <v>150</v>
      </c>
      <c r="Y238" s="620"/>
      <c r="Z238" s="624">
        <v>24</v>
      </c>
      <c r="AA238" s="620"/>
      <c r="AB238" s="624">
        <v>16</v>
      </c>
      <c r="AC238" s="620"/>
      <c r="AD238" s="620">
        <v>1</v>
      </c>
      <c r="AE238" s="625">
        <v>140.6</v>
      </c>
      <c r="AF238" s="622">
        <f t="shared" si="9"/>
        <v>1600.6</v>
      </c>
      <c r="AG238" s="622">
        <f t="shared" si="10"/>
        <v>80.03</v>
      </c>
      <c r="AH238" s="622">
        <f t="shared" si="11"/>
        <v>1680.6299999999999</v>
      </c>
      <c r="AI238" s="988">
        <v>339632</v>
      </c>
      <c r="AJ238" s="626"/>
    </row>
    <row r="239" spans="1:64" s="559" customFormat="1">
      <c r="A239" s="618">
        <v>42264</v>
      </c>
      <c r="B239" s="619" t="s">
        <v>928</v>
      </c>
      <c r="C239" s="620"/>
      <c r="D239" s="621">
        <v>1400</v>
      </c>
      <c r="E239" s="620"/>
      <c r="F239" s="621">
        <v>132</v>
      </c>
      <c r="G239" s="620">
        <v>0</v>
      </c>
      <c r="H239" s="622">
        <v>3150</v>
      </c>
      <c r="I239" s="620">
        <v>0</v>
      </c>
      <c r="J239" s="622">
        <v>0</v>
      </c>
      <c r="K239" s="620">
        <v>1</v>
      </c>
      <c r="L239" s="622">
        <v>2100</v>
      </c>
      <c r="M239" s="620"/>
      <c r="N239" s="622">
        <v>198</v>
      </c>
      <c r="O239" s="692"/>
      <c r="P239" s="689"/>
      <c r="Q239" s="764"/>
      <c r="R239" s="764"/>
      <c r="S239" s="764"/>
      <c r="T239" s="764"/>
      <c r="U239" s="620"/>
      <c r="V239" s="623">
        <v>60</v>
      </c>
      <c r="W239" s="620">
        <v>2</v>
      </c>
      <c r="X239" s="623">
        <v>150</v>
      </c>
      <c r="Y239" s="620"/>
      <c r="Z239" s="624">
        <v>24</v>
      </c>
      <c r="AA239" s="620"/>
      <c r="AB239" s="624">
        <v>16</v>
      </c>
      <c r="AC239" s="620">
        <v>166</v>
      </c>
      <c r="AD239" s="620"/>
      <c r="AE239" s="625"/>
      <c r="AF239" s="622">
        <f t="shared" si="9"/>
        <v>2566</v>
      </c>
      <c r="AG239" s="622">
        <f t="shared" si="10"/>
        <v>128.30000000000001</v>
      </c>
      <c r="AH239" s="622">
        <f t="shared" si="11"/>
        <v>2694.3</v>
      </c>
      <c r="AI239" s="988">
        <v>339632</v>
      </c>
      <c r="AJ239" s="626"/>
    </row>
    <row r="240" spans="1:64" s="559" customFormat="1">
      <c r="A240" s="618">
        <v>42264</v>
      </c>
      <c r="B240" s="619" t="s">
        <v>929</v>
      </c>
      <c r="C240" s="620"/>
      <c r="D240" s="621">
        <v>1400</v>
      </c>
      <c r="E240" s="620"/>
      <c r="F240" s="621">
        <v>132</v>
      </c>
      <c r="G240" s="620">
        <v>0</v>
      </c>
      <c r="H240" s="622">
        <v>3150</v>
      </c>
      <c r="I240" s="620">
        <v>0</v>
      </c>
      <c r="J240" s="622">
        <v>0</v>
      </c>
      <c r="K240" s="620">
        <v>0.66666999999999998</v>
      </c>
      <c r="L240" s="622">
        <v>2100</v>
      </c>
      <c r="M240" s="620"/>
      <c r="N240" s="622">
        <v>198</v>
      </c>
      <c r="O240" s="692"/>
      <c r="P240" s="689"/>
      <c r="Q240" s="764"/>
      <c r="R240" s="764"/>
      <c r="S240" s="764"/>
      <c r="T240" s="764"/>
      <c r="U240" s="620">
        <v>1</v>
      </c>
      <c r="V240" s="623">
        <v>60</v>
      </c>
      <c r="W240" s="620">
        <v>1</v>
      </c>
      <c r="X240" s="623">
        <v>150</v>
      </c>
      <c r="Y240" s="620"/>
      <c r="Z240" s="624">
        <v>24</v>
      </c>
      <c r="AA240" s="620">
        <v>9</v>
      </c>
      <c r="AB240" s="624">
        <v>16</v>
      </c>
      <c r="AC240" s="620"/>
      <c r="AD240" s="620">
        <v>1</v>
      </c>
      <c r="AE240" s="625">
        <v>144.13999999999999</v>
      </c>
      <c r="AF240" s="622">
        <f t="shared" si="9"/>
        <v>1898.1469999999999</v>
      </c>
      <c r="AG240" s="622">
        <f t="shared" si="10"/>
        <v>94.907350000000008</v>
      </c>
      <c r="AH240" s="622">
        <f t="shared" si="11"/>
        <v>1993.0543499999999</v>
      </c>
      <c r="AI240" s="988">
        <v>339632</v>
      </c>
      <c r="AJ240" s="626"/>
    </row>
    <row r="241" spans="1:64" s="559" customFormat="1">
      <c r="A241" s="618">
        <v>42265</v>
      </c>
      <c r="B241" s="619" t="s">
        <v>622</v>
      </c>
      <c r="C241" s="620">
        <v>1</v>
      </c>
      <c r="D241" s="621">
        <v>1400</v>
      </c>
      <c r="E241" s="620"/>
      <c r="F241" s="621">
        <v>132</v>
      </c>
      <c r="G241" s="620">
        <v>0</v>
      </c>
      <c r="H241" s="622">
        <v>3150</v>
      </c>
      <c r="I241" s="620">
        <v>0</v>
      </c>
      <c r="J241" s="622">
        <v>0</v>
      </c>
      <c r="K241" s="620"/>
      <c r="L241" s="622">
        <v>2100</v>
      </c>
      <c r="M241" s="620"/>
      <c r="N241" s="622">
        <v>198</v>
      </c>
      <c r="O241" s="692"/>
      <c r="P241" s="689"/>
      <c r="Q241" s="764"/>
      <c r="R241" s="764"/>
      <c r="S241" s="764"/>
      <c r="T241" s="764"/>
      <c r="U241" s="620">
        <v>1</v>
      </c>
      <c r="V241" s="623">
        <v>60</v>
      </c>
      <c r="W241" s="620"/>
      <c r="X241" s="623">
        <v>150</v>
      </c>
      <c r="Y241" s="620"/>
      <c r="Z241" s="624">
        <v>24</v>
      </c>
      <c r="AA241" s="620"/>
      <c r="AB241" s="624">
        <v>16</v>
      </c>
      <c r="AC241" s="620"/>
      <c r="AD241" s="620">
        <v>1</v>
      </c>
      <c r="AE241" s="625">
        <v>140.6</v>
      </c>
      <c r="AF241" s="622">
        <f t="shared" si="9"/>
        <v>1600.6</v>
      </c>
      <c r="AG241" s="622">
        <f t="shared" si="10"/>
        <v>80.03</v>
      </c>
      <c r="AH241" s="622">
        <f t="shared" si="11"/>
        <v>1680.6299999999999</v>
      </c>
      <c r="AI241" s="988">
        <v>339632</v>
      </c>
      <c r="AJ241" s="626"/>
    </row>
    <row r="242" spans="1:64" s="559" customFormat="1">
      <c r="A242" s="618">
        <v>42265</v>
      </c>
      <c r="B242" s="619" t="s">
        <v>930</v>
      </c>
      <c r="C242" s="620"/>
      <c r="D242" s="621">
        <v>1400</v>
      </c>
      <c r="E242" s="620"/>
      <c r="F242" s="621">
        <v>132</v>
      </c>
      <c r="G242" s="620">
        <v>0</v>
      </c>
      <c r="H242" s="622">
        <v>3150</v>
      </c>
      <c r="I242" s="620">
        <v>0</v>
      </c>
      <c r="J242" s="622">
        <v>0</v>
      </c>
      <c r="K242" s="620">
        <v>1</v>
      </c>
      <c r="L242" s="622">
        <v>2100</v>
      </c>
      <c r="M242" s="620"/>
      <c r="N242" s="622">
        <v>198</v>
      </c>
      <c r="O242" s="692"/>
      <c r="P242" s="689"/>
      <c r="Q242" s="764"/>
      <c r="R242" s="764"/>
      <c r="S242" s="764"/>
      <c r="T242" s="764"/>
      <c r="U242" s="620"/>
      <c r="V242" s="623">
        <v>60</v>
      </c>
      <c r="W242" s="620">
        <v>2</v>
      </c>
      <c r="X242" s="623">
        <v>150</v>
      </c>
      <c r="Y242" s="620"/>
      <c r="Z242" s="624">
        <v>24</v>
      </c>
      <c r="AA242" s="620">
        <v>5</v>
      </c>
      <c r="AB242" s="624">
        <v>16</v>
      </c>
      <c r="AC242" s="620"/>
      <c r="AD242" s="620"/>
      <c r="AE242" s="625"/>
      <c r="AF242" s="622">
        <f t="shared" si="9"/>
        <v>2480</v>
      </c>
      <c r="AG242" s="622">
        <f t="shared" si="10"/>
        <v>124</v>
      </c>
      <c r="AH242" s="622">
        <f t="shared" si="11"/>
        <v>2604</v>
      </c>
      <c r="AI242" s="988">
        <v>339632</v>
      </c>
      <c r="AJ242" s="626"/>
    </row>
    <row r="243" spans="1:64" s="559" customFormat="1">
      <c r="A243" s="618">
        <v>42265</v>
      </c>
      <c r="B243" s="619" t="s">
        <v>931</v>
      </c>
      <c r="C243" s="620"/>
      <c r="D243" s="621">
        <v>1400</v>
      </c>
      <c r="E243" s="620"/>
      <c r="F243" s="621">
        <v>132</v>
      </c>
      <c r="G243" s="620">
        <v>0</v>
      </c>
      <c r="H243" s="622">
        <v>3150</v>
      </c>
      <c r="I243" s="620">
        <v>0</v>
      </c>
      <c r="J243" s="622">
        <v>0</v>
      </c>
      <c r="K243" s="620">
        <v>1</v>
      </c>
      <c r="L243" s="622">
        <v>2100</v>
      </c>
      <c r="M243" s="620"/>
      <c r="N243" s="622">
        <v>198</v>
      </c>
      <c r="O243" s="692"/>
      <c r="P243" s="689"/>
      <c r="Q243" s="764"/>
      <c r="R243" s="764"/>
      <c r="S243" s="764"/>
      <c r="T243" s="764"/>
      <c r="U243" s="620">
        <v>1</v>
      </c>
      <c r="V243" s="623">
        <v>60</v>
      </c>
      <c r="W243" s="620">
        <v>1</v>
      </c>
      <c r="X243" s="623">
        <v>150</v>
      </c>
      <c r="Y243" s="620"/>
      <c r="Z243" s="624">
        <v>24</v>
      </c>
      <c r="AA243" s="620">
        <v>10</v>
      </c>
      <c r="AB243" s="624">
        <v>16</v>
      </c>
      <c r="AC243" s="620"/>
      <c r="AD243" s="620">
        <v>1</v>
      </c>
      <c r="AE243" s="625">
        <v>144.13999999999999</v>
      </c>
      <c r="AF243" s="622">
        <f t="shared" si="9"/>
        <v>2614.14</v>
      </c>
      <c r="AG243" s="622">
        <f t="shared" si="10"/>
        <v>130.70699999999999</v>
      </c>
      <c r="AH243" s="622">
        <f t="shared" si="11"/>
        <v>2744.8469999999998</v>
      </c>
      <c r="AI243" s="988">
        <v>339632</v>
      </c>
      <c r="AJ243" s="626"/>
    </row>
    <row r="244" spans="1:64" s="559" customFormat="1">
      <c r="A244" s="618">
        <v>42266</v>
      </c>
      <c r="B244" s="619" t="s">
        <v>623</v>
      </c>
      <c r="C244" s="620">
        <v>1</v>
      </c>
      <c r="D244" s="621">
        <v>1400</v>
      </c>
      <c r="E244" s="620"/>
      <c r="F244" s="621">
        <v>132</v>
      </c>
      <c r="G244" s="620">
        <v>0</v>
      </c>
      <c r="H244" s="622">
        <v>3150</v>
      </c>
      <c r="I244" s="620">
        <v>0</v>
      </c>
      <c r="J244" s="622">
        <v>0</v>
      </c>
      <c r="K244" s="620"/>
      <c r="L244" s="622">
        <v>2100</v>
      </c>
      <c r="M244" s="620"/>
      <c r="N244" s="622">
        <v>198</v>
      </c>
      <c r="O244" s="692"/>
      <c r="P244" s="689"/>
      <c r="Q244" s="764"/>
      <c r="R244" s="764"/>
      <c r="S244" s="764"/>
      <c r="T244" s="764"/>
      <c r="U244" s="620">
        <v>1</v>
      </c>
      <c r="V244" s="623">
        <v>60</v>
      </c>
      <c r="W244" s="620"/>
      <c r="X244" s="623">
        <v>150</v>
      </c>
      <c r="Y244" s="620"/>
      <c r="Z244" s="624">
        <v>24</v>
      </c>
      <c r="AA244" s="620"/>
      <c r="AB244" s="624">
        <v>16</v>
      </c>
      <c r="AC244" s="620"/>
      <c r="AD244" s="620">
        <v>1</v>
      </c>
      <c r="AE244" s="625">
        <v>140.6</v>
      </c>
      <c r="AF244" s="622">
        <f t="shared" si="9"/>
        <v>1600.6</v>
      </c>
      <c r="AG244" s="622">
        <f t="shared" si="10"/>
        <v>80.03</v>
      </c>
      <c r="AH244" s="622">
        <f t="shared" si="11"/>
        <v>1680.6299999999999</v>
      </c>
      <c r="AI244" s="988">
        <v>339632</v>
      </c>
      <c r="AJ244" s="626"/>
    </row>
    <row r="245" spans="1:64" s="371" customFormat="1">
      <c r="A245" s="618">
        <v>42266</v>
      </c>
      <c r="B245" s="619" t="s">
        <v>932</v>
      </c>
      <c r="C245" s="620"/>
      <c r="D245" s="621">
        <v>1400</v>
      </c>
      <c r="E245" s="620"/>
      <c r="F245" s="621">
        <v>132</v>
      </c>
      <c r="G245" s="620">
        <v>0</v>
      </c>
      <c r="H245" s="622">
        <v>3150</v>
      </c>
      <c r="I245" s="620">
        <v>0</v>
      </c>
      <c r="J245" s="622">
        <v>0</v>
      </c>
      <c r="K245" s="620">
        <v>1</v>
      </c>
      <c r="L245" s="622">
        <v>2100</v>
      </c>
      <c r="M245" s="620"/>
      <c r="N245" s="622">
        <v>198</v>
      </c>
      <c r="O245" s="692"/>
      <c r="P245" s="689"/>
      <c r="Q245" s="764"/>
      <c r="R245" s="764"/>
      <c r="S245" s="764"/>
      <c r="T245" s="764"/>
      <c r="U245" s="620"/>
      <c r="V245" s="623">
        <v>60</v>
      </c>
      <c r="W245" s="620">
        <v>2</v>
      </c>
      <c r="X245" s="623">
        <v>150</v>
      </c>
      <c r="Y245" s="620"/>
      <c r="Z245" s="624">
        <v>24</v>
      </c>
      <c r="AA245" s="620"/>
      <c r="AB245" s="624">
        <v>16</v>
      </c>
      <c r="AC245" s="620">
        <v>244</v>
      </c>
      <c r="AD245" s="620"/>
      <c r="AE245" s="625"/>
      <c r="AF245" s="622">
        <f t="shared" si="9"/>
        <v>2644</v>
      </c>
      <c r="AG245" s="622">
        <f t="shared" si="10"/>
        <v>132.20000000000002</v>
      </c>
      <c r="AH245" s="622">
        <f t="shared" si="11"/>
        <v>2776.2</v>
      </c>
      <c r="AI245" s="988">
        <v>339632</v>
      </c>
      <c r="AJ245" s="626"/>
      <c r="AK245" s="559"/>
      <c r="AL245" s="559"/>
      <c r="AM245" s="559"/>
      <c r="AN245" s="559"/>
      <c r="AO245" s="559"/>
      <c r="AP245" s="559"/>
      <c r="AQ245" s="559"/>
      <c r="AR245" s="559"/>
      <c r="AS245" s="559"/>
      <c r="AT245" s="559"/>
      <c r="AU245" s="559"/>
      <c r="AV245" s="559"/>
      <c r="AW245" s="559"/>
      <c r="AX245" s="559"/>
      <c r="AY245" s="559"/>
      <c r="AZ245" s="559"/>
      <c r="BA245" s="559"/>
      <c r="BB245" s="559"/>
      <c r="BC245" s="559"/>
      <c r="BD245" s="559"/>
      <c r="BE245" s="559"/>
      <c r="BF245" s="559"/>
      <c r="BG245" s="559"/>
      <c r="BH245" s="559"/>
      <c r="BI245" s="559"/>
      <c r="BJ245" s="559"/>
      <c r="BK245" s="559"/>
      <c r="BL245" s="559"/>
    </row>
    <row r="246" spans="1:64" s="371" customFormat="1">
      <c r="A246" s="618">
        <v>42266</v>
      </c>
      <c r="B246" s="619" t="s">
        <v>933</v>
      </c>
      <c r="C246" s="967"/>
      <c r="D246" s="621">
        <v>1400</v>
      </c>
      <c r="E246" s="620"/>
      <c r="F246" s="621">
        <v>132</v>
      </c>
      <c r="G246" s="620">
        <v>0</v>
      </c>
      <c r="H246" s="622">
        <v>3150</v>
      </c>
      <c r="I246" s="620">
        <v>0</v>
      </c>
      <c r="J246" s="622">
        <v>0</v>
      </c>
      <c r="K246" s="967">
        <v>1</v>
      </c>
      <c r="L246" s="622">
        <v>2100</v>
      </c>
      <c r="M246" s="967"/>
      <c r="N246" s="622">
        <v>198</v>
      </c>
      <c r="O246" s="692"/>
      <c r="P246" s="689"/>
      <c r="Q246" s="764"/>
      <c r="R246" s="764"/>
      <c r="S246" s="764"/>
      <c r="T246" s="764"/>
      <c r="U246" s="967">
        <v>1</v>
      </c>
      <c r="V246" s="623">
        <v>60</v>
      </c>
      <c r="W246" s="967">
        <v>1</v>
      </c>
      <c r="X246" s="623">
        <v>150</v>
      </c>
      <c r="Y246" s="967">
        <v>1</v>
      </c>
      <c r="Z246" s="624">
        <v>24</v>
      </c>
      <c r="AA246" s="967">
        <v>11</v>
      </c>
      <c r="AB246" s="624">
        <v>16</v>
      </c>
      <c r="AC246" s="967"/>
      <c r="AD246" s="967">
        <v>1</v>
      </c>
      <c r="AE246" s="625">
        <v>144.13999999999999</v>
      </c>
      <c r="AF246" s="622">
        <f t="shared" si="9"/>
        <v>2654.14</v>
      </c>
      <c r="AG246" s="622">
        <f t="shared" si="10"/>
        <v>132.70699999999999</v>
      </c>
      <c r="AH246" s="622">
        <f t="shared" si="11"/>
        <v>2786.8469999999998</v>
      </c>
      <c r="AI246" s="988">
        <v>339632</v>
      </c>
      <c r="AJ246" s="626"/>
    </row>
    <row r="247" spans="1:64" s="371" customFormat="1">
      <c r="A247" s="597">
        <v>42268</v>
      </c>
      <c r="B247" s="598" t="s">
        <v>540</v>
      </c>
      <c r="C247" s="804">
        <v>1</v>
      </c>
      <c r="D247" s="600">
        <v>1400</v>
      </c>
      <c r="E247" s="599"/>
      <c r="F247" s="600">
        <v>132</v>
      </c>
      <c r="G247" s="731">
        <v>0</v>
      </c>
      <c r="H247" s="601">
        <v>3150</v>
      </c>
      <c r="I247" s="731">
        <v>0</v>
      </c>
      <c r="J247" s="601">
        <v>0</v>
      </c>
      <c r="K247" s="691"/>
      <c r="L247" s="601">
        <v>2100</v>
      </c>
      <c r="M247" s="691"/>
      <c r="N247" s="601">
        <v>198</v>
      </c>
      <c r="O247" s="691"/>
      <c r="P247" s="688"/>
      <c r="Q247" s="767"/>
      <c r="R247" s="767"/>
      <c r="S247" s="767"/>
      <c r="T247" s="767"/>
      <c r="U247" s="691">
        <v>1</v>
      </c>
      <c r="V247" s="602">
        <v>60</v>
      </c>
      <c r="W247" s="691"/>
      <c r="X247" s="602">
        <v>150</v>
      </c>
      <c r="Y247" s="691"/>
      <c r="Z247" s="603">
        <v>24</v>
      </c>
      <c r="AA247" s="691"/>
      <c r="AB247" s="603">
        <v>16</v>
      </c>
      <c r="AC247" s="691"/>
      <c r="AD247" s="691">
        <v>1</v>
      </c>
      <c r="AE247" s="604">
        <v>135.44999999999999</v>
      </c>
      <c r="AF247" s="601">
        <f t="shared" si="9"/>
        <v>1595.45</v>
      </c>
      <c r="AG247" s="601">
        <f t="shared" si="10"/>
        <v>79.772500000000008</v>
      </c>
      <c r="AH247" s="601">
        <f t="shared" si="11"/>
        <v>1675.2225000000001</v>
      </c>
      <c r="AI247" s="987">
        <v>236335</v>
      </c>
      <c r="AJ247" s="370"/>
    </row>
    <row r="248" spans="1:64" s="371" customFormat="1">
      <c r="A248" s="949">
        <v>42268</v>
      </c>
      <c r="B248" s="1005" t="s">
        <v>935</v>
      </c>
      <c r="C248" s="804"/>
      <c r="D248" s="600">
        <v>1400</v>
      </c>
      <c r="E248" s="599"/>
      <c r="F248" s="600">
        <v>132</v>
      </c>
      <c r="G248" s="731">
        <v>0</v>
      </c>
      <c r="H248" s="601">
        <v>3150</v>
      </c>
      <c r="I248" s="731">
        <v>0</v>
      </c>
      <c r="J248" s="601">
        <v>0</v>
      </c>
      <c r="K248" s="691">
        <v>1</v>
      </c>
      <c r="L248" s="601">
        <v>2100</v>
      </c>
      <c r="M248" s="691"/>
      <c r="N248" s="601">
        <v>198</v>
      </c>
      <c r="O248" s="691"/>
      <c r="P248" s="688"/>
      <c r="Q248" s="767"/>
      <c r="R248" s="767"/>
      <c r="S248" s="767"/>
      <c r="T248" s="767"/>
      <c r="U248" s="691"/>
      <c r="V248" s="602">
        <v>60</v>
      </c>
      <c r="W248" s="691">
        <v>2</v>
      </c>
      <c r="X248" s="602">
        <v>150</v>
      </c>
      <c r="Y248" s="691"/>
      <c r="Z248" s="603">
        <v>24</v>
      </c>
      <c r="AA248" s="691"/>
      <c r="AB248" s="603">
        <v>16</v>
      </c>
      <c r="AC248" s="691">
        <v>222</v>
      </c>
      <c r="AD248" s="691"/>
      <c r="AE248" s="604"/>
      <c r="AF248" s="601">
        <f>(C248*D248)+(Y248*Z248)+(O248*P248)+(Q248*R248)+(S248*T248)+(AA248*AB248)+(E248*F248)+(G248*H248)+(I248*J248)+(K248*L248)+(M248*N248)+(AD248*AE248)+(U248*V248)+(W248*X248)+AC248</f>
        <v>2622</v>
      </c>
      <c r="AG248" s="601">
        <f t="shared" si="10"/>
        <v>131.1</v>
      </c>
      <c r="AH248" s="601">
        <f>SUM(AF248+AG248)</f>
        <v>2753.1</v>
      </c>
      <c r="AI248" s="987">
        <v>236335</v>
      </c>
      <c r="AJ248" s="370"/>
    </row>
    <row r="249" spans="1:64" s="371" customFormat="1">
      <c r="A249" s="949">
        <v>42268</v>
      </c>
      <c r="B249" s="1005" t="s">
        <v>936</v>
      </c>
      <c r="C249" s="804"/>
      <c r="D249" s="600">
        <v>1400</v>
      </c>
      <c r="E249" s="599"/>
      <c r="F249" s="600">
        <v>132</v>
      </c>
      <c r="G249" s="731">
        <v>0</v>
      </c>
      <c r="H249" s="601">
        <v>3150</v>
      </c>
      <c r="I249" s="731">
        <v>0</v>
      </c>
      <c r="J249" s="601">
        <v>0</v>
      </c>
      <c r="K249" s="691">
        <v>1</v>
      </c>
      <c r="L249" s="601">
        <v>2100</v>
      </c>
      <c r="M249" s="691"/>
      <c r="N249" s="601">
        <v>198</v>
      </c>
      <c r="O249" s="691"/>
      <c r="P249" s="688"/>
      <c r="Q249" s="767"/>
      <c r="R249" s="767"/>
      <c r="S249" s="767"/>
      <c r="T249" s="767"/>
      <c r="U249" s="691">
        <v>1</v>
      </c>
      <c r="V249" s="602">
        <v>60</v>
      </c>
      <c r="W249" s="691">
        <v>1</v>
      </c>
      <c r="X249" s="602">
        <v>150</v>
      </c>
      <c r="Y249" s="691"/>
      <c r="Z249" s="603">
        <v>24</v>
      </c>
      <c r="AA249" s="691">
        <v>5</v>
      </c>
      <c r="AB249" s="603">
        <v>16</v>
      </c>
      <c r="AC249" s="691"/>
      <c r="AD249" s="691">
        <v>1</v>
      </c>
      <c r="AE249" s="604">
        <v>138.6</v>
      </c>
      <c r="AF249" s="601">
        <f>(C249*D249)+(Y249*Z249)+(O249*P249)+(Q249*R249)+(S249*T249)+(AA249*AB249)+(E249*F249)+(G249*H249)+(I249*J249)+(K249*L249)+(M249*N249)+(AD249*AE249)+(U249*V249)+(W249*X249)+AC249</f>
        <v>2528.6</v>
      </c>
      <c r="AG249" s="601">
        <f t="shared" si="10"/>
        <v>126.43</v>
      </c>
      <c r="AH249" s="601">
        <f>SUM(AF249+AG249)</f>
        <v>2655.0299999999997</v>
      </c>
      <c r="AI249" s="987">
        <v>236335</v>
      </c>
      <c r="AJ249" s="370"/>
    </row>
    <row r="250" spans="1:64" s="371" customFormat="1">
      <c r="A250" s="597">
        <v>42269</v>
      </c>
      <c r="B250" s="598" t="s">
        <v>540</v>
      </c>
      <c r="C250" s="804">
        <v>1</v>
      </c>
      <c r="D250" s="600">
        <v>1400</v>
      </c>
      <c r="E250" s="599"/>
      <c r="F250" s="600">
        <v>132</v>
      </c>
      <c r="G250" s="731">
        <v>0</v>
      </c>
      <c r="H250" s="601">
        <v>3150</v>
      </c>
      <c r="I250" s="731">
        <v>0</v>
      </c>
      <c r="J250" s="601">
        <v>0</v>
      </c>
      <c r="K250" s="691"/>
      <c r="L250" s="601">
        <v>2100</v>
      </c>
      <c r="M250" s="691"/>
      <c r="N250" s="601">
        <v>198</v>
      </c>
      <c r="O250" s="691"/>
      <c r="P250" s="688"/>
      <c r="Q250" s="767"/>
      <c r="R250" s="767"/>
      <c r="S250" s="767"/>
      <c r="T250" s="767"/>
      <c r="U250" s="691">
        <v>1</v>
      </c>
      <c r="V250" s="602">
        <v>60</v>
      </c>
      <c r="W250" s="691"/>
      <c r="X250" s="602">
        <v>150</v>
      </c>
      <c r="Y250" s="691"/>
      <c r="Z250" s="603">
        <v>24</v>
      </c>
      <c r="AA250" s="691"/>
      <c r="AB250" s="603">
        <v>16</v>
      </c>
      <c r="AC250" s="691"/>
      <c r="AD250" s="691">
        <v>1</v>
      </c>
      <c r="AE250" s="604">
        <v>135.44999999999999</v>
      </c>
      <c r="AF250" s="601">
        <f t="shared" si="9"/>
        <v>1595.45</v>
      </c>
      <c r="AG250" s="601">
        <f t="shared" si="10"/>
        <v>79.772500000000008</v>
      </c>
      <c r="AH250" s="601">
        <f t="shared" si="11"/>
        <v>1675.2225000000001</v>
      </c>
      <c r="AI250" s="987">
        <v>236335</v>
      </c>
      <c r="AJ250" s="390" t="s">
        <v>970</v>
      </c>
    </row>
    <row r="251" spans="1:64" s="371" customFormat="1">
      <c r="A251" s="597">
        <v>42269</v>
      </c>
      <c r="B251" s="598" t="s">
        <v>541</v>
      </c>
      <c r="C251" s="804"/>
      <c r="D251" s="600">
        <v>1400</v>
      </c>
      <c r="E251" s="599"/>
      <c r="F251" s="600">
        <v>132</v>
      </c>
      <c r="G251" s="731">
        <v>0</v>
      </c>
      <c r="H251" s="601">
        <v>3150</v>
      </c>
      <c r="I251" s="731">
        <v>0</v>
      </c>
      <c r="J251" s="601">
        <v>0</v>
      </c>
      <c r="K251" s="691">
        <v>1</v>
      </c>
      <c r="L251" s="601">
        <v>2100</v>
      </c>
      <c r="M251" s="691"/>
      <c r="N251" s="601">
        <v>198</v>
      </c>
      <c r="O251" s="691"/>
      <c r="P251" s="688"/>
      <c r="Q251" s="767"/>
      <c r="R251" s="767"/>
      <c r="S251" s="767"/>
      <c r="T251" s="767"/>
      <c r="U251" s="691"/>
      <c r="V251" s="602">
        <v>60</v>
      </c>
      <c r="W251" s="691">
        <v>2</v>
      </c>
      <c r="X251" s="602">
        <v>150</v>
      </c>
      <c r="Y251" s="691"/>
      <c r="Z251" s="603">
        <v>24</v>
      </c>
      <c r="AA251" s="691"/>
      <c r="AB251" s="603">
        <v>16</v>
      </c>
      <c r="AC251" s="691">
        <v>172</v>
      </c>
      <c r="AD251" s="691"/>
      <c r="AE251" s="604"/>
      <c r="AF251" s="601">
        <f t="shared" si="9"/>
        <v>2572</v>
      </c>
      <c r="AG251" s="601">
        <f t="shared" si="10"/>
        <v>128.6</v>
      </c>
      <c r="AH251" s="601">
        <f t="shared" si="11"/>
        <v>2700.6</v>
      </c>
      <c r="AI251" s="987">
        <v>236335</v>
      </c>
      <c r="AJ251" s="815"/>
    </row>
    <row r="252" spans="1:64" s="371" customFormat="1">
      <c r="A252" s="729">
        <v>42269</v>
      </c>
      <c r="B252" s="732" t="s">
        <v>542</v>
      </c>
      <c r="C252" s="599"/>
      <c r="D252" s="600">
        <v>1400</v>
      </c>
      <c r="E252" s="599"/>
      <c r="F252" s="600">
        <v>132</v>
      </c>
      <c r="G252" s="731">
        <v>0</v>
      </c>
      <c r="H252" s="601">
        <v>3150</v>
      </c>
      <c r="I252" s="731">
        <v>0</v>
      </c>
      <c r="J252" s="601">
        <v>0</v>
      </c>
      <c r="K252" s="731">
        <v>0.83333299999999999</v>
      </c>
      <c r="L252" s="601">
        <v>2100</v>
      </c>
      <c r="M252" s="731"/>
      <c r="N252" s="601">
        <v>198</v>
      </c>
      <c r="O252" s="691"/>
      <c r="P252" s="688"/>
      <c r="Q252" s="767"/>
      <c r="R252" s="767"/>
      <c r="S252" s="767"/>
      <c r="T252" s="767"/>
      <c r="U252" s="731">
        <v>1</v>
      </c>
      <c r="V252" s="602">
        <v>60</v>
      </c>
      <c r="W252" s="731">
        <v>1</v>
      </c>
      <c r="X252" s="602">
        <v>150</v>
      </c>
      <c r="Y252" s="731"/>
      <c r="Z252" s="603">
        <v>24</v>
      </c>
      <c r="AA252" s="731">
        <v>5</v>
      </c>
      <c r="AB252" s="603">
        <v>16</v>
      </c>
      <c r="AC252" s="731"/>
      <c r="AD252" s="731">
        <v>1</v>
      </c>
      <c r="AE252" s="604">
        <v>138.6</v>
      </c>
      <c r="AF252" s="601">
        <f t="shared" si="9"/>
        <v>2178.5992999999999</v>
      </c>
      <c r="AG252" s="601">
        <f t="shared" si="10"/>
        <v>108.929965</v>
      </c>
      <c r="AH252" s="601">
        <f t="shared" si="11"/>
        <v>2287.5292649999997</v>
      </c>
      <c r="AI252" s="987">
        <v>236335</v>
      </c>
      <c r="AJ252" s="370"/>
    </row>
    <row r="253" spans="1:64" s="371" customFormat="1">
      <c r="A253" s="729">
        <v>42270</v>
      </c>
      <c r="B253" s="732" t="s">
        <v>537</v>
      </c>
      <c r="C253" s="599">
        <v>1</v>
      </c>
      <c r="D253" s="600">
        <v>1400</v>
      </c>
      <c r="E253" s="599"/>
      <c r="F253" s="600">
        <v>132</v>
      </c>
      <c r="G253" s="731">
        <v>0</v>
      </c>
      <c r="H253" s="601">
        <v>3150</v>
      </c>
      <c r="I253" s="731">
        <v>0</v>
      </c>
      <c r="J253" s="601">
        <v>0</v>
      </c>
      <c r="K253" s="731"/>
      <c r="L253" s="601">
        <v>2100</v>
      </c>
      <c r="M253" s="731"/>
      <c r="N253" s="601">
        <v>198</v>
      </c>
      <c r="O253" s="691"/>
      <c r="P253" s="688"/>
      <c r="Q253" s="767"/>
      <c r="R253" s="767"/>
      <c r="S253" s="767"/>
      <c r="T253" s="767"/>
      <c r="U253" s="731">
        <v>1</v>
      </c>
      <c r="V253" s="602">
        <v>60</v>
      </c>
      <c r="W253" s="731"/>
      <c r="X253" s="602">
        <v>150</v>
      </c>
      <c r="Y253" s="731"/>
      <c r="Z253" s="603">
        <v>24</v>
      </c>
      <c r="AA253" s="731"/>
      <c r="AB253" s="603">
        <v>16</v>
      </c>
      <c r="AC253" s="731"/>
      <c r="AD253" s="731">
        <v>1</v>
      </c>
      <c r="AE253" s="604">
        <v>135.44999999999999</v>
      </c>
      <c r="AF253" s="601">
        <f t="shared" si="9"/>
        <v>1595.45</v>
      </c>
      <c r="AG253" s="601">
        <f t="shared" si="10"/>
        <v>79.772500000000008</v>
      </c>
      <c r="AH253" s="601">
        <f t="shared" si="11"/>
        <v>1675.2225000000001</v>
      </c>
      <c r="AI253" s="987">
        <v>236335</v>
      </c>
      <c r="AJ253" s="1001"/>
    </row>
    <row r="254" spans="1:64" s="371" customFormat="1">
      <c r="A254" s="729">
        <v>42270</v>
      </c>
      <c r="B254" s="732" t="s">
        <v>538</v>
      </c>
      <c r="C254" s="599"/>
      <c r="D254" s="600">
        <v>1400</v>
      </c>
      <c r="E254" s="599"/>
      <c r="F254" s="600">
        <v>132</v>
      </c>
      <c r="G254" s="731">
        <v>0</v>
      </c>
      <c r="H254" s="601">
        <v>3150</v>
      </c>
      <c r="I254" s="731">
        <v>0</v>
      </c>
      <c r="J254" s="601">
        <v>0</v>
      </c>
      <c r="K254" s="731">
        <v>0.5</v>
      </c>
      <c r="L254" s="601">
        <v>2100</v>
      </c>
      <c r="M254" s="731"/>
      <c r="N254" s="601">
        <v>198</v>
      </c>
      <c r="O254" s="691"/>
      <c r="P254" s="688"/>
      <c r="Q254" s="767"/>
      <c r="R254" s="767"/>
      <c r="S254" s="767"/>
      <c r="T254" s="767"/>
      <c r="U254" s="731"/>
      <c r="V254" s="602">
        <v>60</v>
      </c>
      <c r="W254" s="731">
        <v>1</v>
      </c>
      <c r="X254" s="602">
        <v>150</v>
      </c>
      <c r="Y254" s="731"/>
      <c r="Z254" s="603">
        <v>24</v>
      </c>
      <c r="AA254" s="731"/>
      <c r="AB254" s="603">
        <v>16</v>
      </c>
      <c r="AC254" s="731">
        <v>46</v>
      </c>
      <c r="AD254" s="731"/>
      <c r="AE254" s="604"/>
      <c r="AF254" s="601">
        <f t="shared" si="9"/>
        <v>1246</v>
      </c>
      <c r="AG254" s="601">
        <f t="shared" si="10"/>
        <v>62.300000000000004</v>
      </c>
      <c r="AH254" s="601">
        <f t="shared" si="11"/>
        <v>1308.3</v>
      </c>
      <c r="AI254" s="987">
        <v>236335</v>
      </c>
      <c r="AJ254" s="370"/>
    </row>
    <row r="255" spans="1:64" s="371" customFormat="1">
      <c r="A255" s="729">
        <v>42270</v>
      </c>
      <c r="B255" s="732" t="s">
        <v>539</v>
      </c>
      <c r="C255" s="599"/>
      <c r="D255" s="600">
        <v>1400</v>
      </c>
      <c r="E255" s="599"/>
      <c r="F255" s="600">
        <v>132</v>
      </c>
      <c r="G255" s="731">
        <v>0</v>
      </c>
      <c r="H255" s="601">
        <v>3150</v>
      </c>
      <c r="I255" s="731">
        <v>0</v>
      </c>
      <c r="J255" s="601">
        <v>0</v>
      </c>
      <c r="K255" s="731">
        <v>1</v>
      </c>
      <c r="L255" s="601">
        <v>2100</v>
      </c>
      <c r="M255" s="731"/>
      <c r="N255" s="601">
        <v>198</v>
      </c>
      <c r="O255" s="691"/>
      <c r="P255" s="688"/>
      <c r="Q255" s="767"/>
      <c r="R255" s="767"/>
      <c r="S255" s="767"/>
      <c r="T255" s="767"/>
      <c r="U255" s="731">
        <v>1</v>
      </c>
      <c r="V255" s="602">
        <v>60</v>
      </c>
      <c r="W255" s="731">
        <v>1</v>
      </c>
      <c r="X255" s="602">
        <v>150</v>
      </c>
      <c r="Y255" s="731">
        <v>4</v>
      </c>
      <c r="Z255" s="603">
        <v>24</v>
      </c>
      <c r="AA255" s="731">
        <v>5</v>
      </c>
      <c r="AB255" s="603">
        <v>16</v>
      </c>
      <c r="AC255" s="731"/>
      <c r="AD255" s="731">
        <v>1</v>
      </c>
      <c r="AE255" s="604">
        <v>138.6</v>
      </c>
      <c r="AF255" s="601">
        <f t="shared" si="9"/>
        <v>2624.6</v>
      </c>
      <c r="AG255" s="601">
        <f t="shared" si="10"/>
        <v>131.22999999999999</v>
      </c>
      <c r="AH255" s="601">
        <f t="shared" si="11"/>
        <v>2755.83</v>
      </c>
      <c r="AI255" s="987">
        <v>236335</v>
      </c>
      <c r="AJ255" s="370"/>
    </row>
    <row r="256" spans="1:64" s="371" customFormat="1">
      <c r="A256" s="729">
        <v>42271</v>
      </c>
      <c r="B256" s="732" t="s">
        <v>535</v>
      </c>
      <c r="C256" s="599">
        <v>1</v>
      </c>
      <c r="D256" s="600">
        <v>1400</v>
      </c>
      <c r="E256" s="599"/>
      <c r="F256" s="600">
        <v>132</v>
      </c>
      <c r="G256" s="731">
        <v>0</v>
      </c>
      <c r="H256" s="601">
        <v>3150</v>
      </c>
      <c r="I256" s="731">
        <v>0</v>
      </c>
      <c r="J256" s="601">
        <v>0</v>
      </c>
      <c r="K256" s="691"/>
      <c r="L256" s="601">
        <v>2100</v>
      </c>
      <c r="M256" s="731"/>
      <c r="N256" s="601">
        <v>198</v>
      </c>
      <c r="O256" s="691"/>
      <c r="P256" s="688"/>
      <c r="Q256" s="767"/>
      <c r="R256" s="767"/>
      <c r="S256" s="767"/>
      <c r="T256" s="767"/>
      <c r="U256" s="731">
        <v>1</v>
      </c>
      <c r="V256" s="602">
        <v>60</v>
      </c>
      <c r="W256" s="731"/>
      <c r="X256" s="602">
        <v>150</v>
      </c>
      <c r="Y256" s="731"/>
      <c r="Z256" s="603">
        <v>24</v>
      </c>
      <c r="AA256" s="731"/>
      <c r="AB256" s="603">
        <v>16</v>
      </c>
      <c r="AC256" s="731"/>
      <c r="AD256" s="731">
        <v>1</v>
      </c>
      <c r="AE256" s="604">
        <v>135.44999999999999</v>
      </c>
      <c r="AF256" s="601">
        <f t="shared" si="9"/>
        <v>1595.45</v>
      </c>
      <c r="AG256" s="601">
        <f t="shared" si="10"/>
        <v>79.772500000000008</v>
      </c>
      <c r="AH256" s="601">
        <f t="shared" si="11"/>
        <v>1675.2225000000001</v>
      </c>
      <c r="AI256" s="987">
        <v>236335</v>
      </c>
      <c r="AJ256" s="370"/>
    </row>
    <row r="257" spans="1:64" s="371" customFormat="1">
      <c r="A257" s="729">
        <v>42271</v>
      </c>
      <c r="B257" s="732" t="s">
        <v>536</v>
      </c>
      <c r="C257" s="599"/>
      <c r="D257" s="600">
        <v>1400</v>
      </c>
      <c r="E257" s="599"/>
      <c r="F257" s="600">
        <v>132</v>
      </c>
      <c r="G257" s="731">
        <v>0</v>
      </c>
      <c r="H257" s="601">
        <v>3150</v>
      </c>
      <c r="I257" s="731">
        <v>0</v>
      </c>
      <c r="J257" s="601">
        <v>0</v>
      </c>
      <c r="K257" s="731">
        <v>0.83333299999999999</v>
      </c>
      <c r="L257" s="601">
        <v>2100</v>
      </c>
      <c r="M257" s="731"/>
      <c r="N257" s="601">
        <v>198</v>
      </c>
      <c r="O257" s="691"/>
      <c r="P257" s="688"/>
      <c r="Q257" s="767"/>
      <c r="R257" s="767"/>
      <c r="S257" s="767"/>
      <c r="T257" s="767"/>
      <c r="U257" s="731">
        <v>1</v>
      </c>
      <c r="V257" s="602">
        <v>60</v>
      </c>
      <c r="W257" s="731">
        <v>1</v>
      </c>
      <c r="X257" s="602">
        <v>150</v>
      </c>
      <c r="Y257" s="731">
        <v>4</v>
      </c>
      <c r="Z257" s="603">
        <v>24</v>
      </c>
      <c r="AA257" s="731">
        <v>4</v>
      </c>
      <c r="AB257" s="603">
        <v>16</v>
      </c>
      <c r="AC257" s="731"/>
      <c r="AD257" s="731">
        <v>1</v>
      </c>
      <c r="AE257" s="604">
        <v>138.6</v>
      </c>
      <c r="AF257" s="601">
        <f t="shared" si="9"/>
        <v>2258.5992999999999</v>
      </c>
      <c r="AG257" s="601">
        <f t="shared" si="10"/>
        <v>112.929965</v>
      </c>
      <c r="AH257" s="601">
        <f t="shared" si="11"/>
        <v>2371.5292649999997</v>
      </c>
      <c r="AI257" s="987">
        <v>236335</v>
      </c>
      <c r="AJ257" s="370"/>
    </row>
    <row r="258" spans="1:64" s="371" customFormat="1">
      <c r="A258" s="729">
        <v>42272</v>
      </c>
      <c r="B258" s="732" t="s">
        <v>532</v>
      </c>
      <c r="C258" s="599">
        <v>1</v>
      </c>
      <c r="D258" s="600">
        <v>1400</v>
      </c>
      <c r="E258" s="599"/>
      <c r="F258" s="600">
        <v>132</v>
      </c>
      <c r="G258" s="731">
        <v>0</v>
      </c>
      <c r="H258" s="601">
        <v>3150</v>
      </c>
      <c r="I258" s="731">
        <v>0</v>
      </c>
      <c r="J258" s="601">
        <v>0</v>
      </c>
      <c r="K258" s="731"/>
      <c r="L258" s="601">
        <v>2100</v>
      </c>
      <c r="M258" s="731"/>
      <c r="N258" s="601">
        <v>198</v>
      </c>
      <c r="O258" s="691"/>
      <c r="P258" s="688"/>
      <c r="Q258" s="767"/>
      <c r="R258" s="767"/>
      <c r="S258" s="767"/>
      <c r="T258" s="767"/>
      <c r="U258" s="731">
        <v>1</v>
      </c>
      <c r="V258" s="602">
        <v>60</v>
      </c>
      <c r="W258" s="731"/>
      <c r="X258" s="602">
        <v>150</v>
      </c>
      <c r="Y258" s="731"/>
      <c r="Z258" s="603">
        <v>24</v>
      </c>
      <c r="AA258" s="731"/>
      <c r="AB258" s="603">
        <v>16</v>
      </c>
      <c r="AC258" s="731"/>
      <c r="AD258" s="731">
        <v>1</v>
      </c>
      <c r="AE258" s="604">
        <v>135.44999999999999</v>
      </c>
      <c r="AF258" s="601">
        <f t="shared" si="9"/>
        <v>1595.45</v>
      </c>
      <c r="AG258" s="601">
        <f t="shared" si="10"/>
        <v>79.772500000000008</v>
      </c>
      <c r="AH258" s="601">
        <f t="shared" si="11"/>
        <v>1675.2225000000001</v>
      </c>
      <c r="AI258" s="987">
        <v>236335</v>
      </c>
      <c r="AJ258" s="370"/>
    </row>
    <row r="259" spans="1:64" s="371" customFormat="1">
      <c r="A259" s="729">
        <v>42272</v>
      </c>
      <c r="B259" s="732" t="s">
        <v>533</v>
      </c>
      <c r="C259" s="599"/>
      <c r="D259" s="600">
        <v>1400</v>
      </c>
      <c r="E259" s="599"/>
      <c r="F259" s="600">
        <v>132</v>
      </c>
      <c r="G259" s="731">
        <v>0</v>
      </c>
      <c r="H259" s="601">
        <v>3150</v>
      </c>
      <c r="I259" s="731">
        <v>0</v>
      </c>
      <c r="J259" s="601">
        <v>0</v>
      </c>
      <c r="K259" s="731">
        <v>1</v>
      </c>
      <c r="L259" s="601">
        <v>1050</v>
      </c>
      <c r="M259" s="731"/>
      <c r="N259" s="601">
        <v>198</v>
      </c>
      <c r="O259" s="691"/>
      <c r="P259" s="688"/>
      <c r="Q259" s="767"/>
      <c r="R259" s="767"/>
      <c r="S259" s="767"/>
      <c r="T259" s="767"/>
      <c r="U259" s="731">
        <v>1</v>
      </c>
      <c r="V259" s="602">
        <v>60</v>
      </c>
      <c r="W259" s="731">
        <v>1</v>
      </c>
      <c r="X259" s="602">
        <v>150</v>
      </c>
      <c r="Y259" s="731"/>
      <c r="Z259" s="603">
        <v>24</v>
      </c>
      <c r="AA259" s="731"/>
      <c r="AB259" s="603">
        <v>16</v>
      </c>
      <c r="AC259" s="731"/>
      <c r="AD259" s="731">
        <v>1</v>
      </c>
      <c r="AE259" s="604">
        <v>138.6</v>
      </c>
      <c r="AF259" s="601">
        <f t="shared" si="9"/>
        <v>1398.6</v>
      </c>
      <c r="AG259" s="601">
        <f t="shared" si="10"/>
        <v>69.929999999999993</v>
      </c>
      <c r="AH259" s="601">
        <f t="shared" si="11"/>
        <v>1468.53</v>
      </c>
      <c r="AI259" s="987">
        <v>236335</v>
      </c>
      <c r="AJ259" s="370"/>
    </row>
    <row r="260" spans="1:64" s="136" customFormat="1">
      <c r="A260" s="729">
        <v>42273</v>
      </c>
      <c r="B260" s="732" t="s">
        <v>677</v>
      </c>
      <c r="C260" s="599">
        <v>1</v>
      </c>
      <c r="D260" s="600">
        <v>1400</v>
      </c>
      <c r="E260" s="599"/>
      <c r="F260" s="600">
        <v>132</v>
      </c>
      <c r="G260" s="731">
        <v>0</v>
      </c>
      <c r="H260" s="601">
        <v>3150</v>
      </c>
      <c r="I260" s="731">
        <v>0</v>
      </c>
      <c r="J260" s="601">
        <v>0</v>
      </c>
      <c r="K260" s="731"/>
      <c r="L260" s="601">
        <v>2100</v>
      </c>
      <c r="M260" s="731"/>
      <c r="N260" s="601">
        <v>198</v>
      </c>
      <c r="O260" s="691"/>
      <c r="P260" s="688"/>
      <c r="Q260" s="767"/>
      <c r="R260" s="767"/>
      <c r="S260" s="767"/>
      <c r="T260" s="767"/>
      <c r="U260" s="731">
        <v>1</v>
      </c>
      <c r="V260" s="602">
        <v>60</v>
      </c>
      <c r="W260" s="731"/>
      <c r="X260" s="602">
        <v>150</v>
      </c>
      <c r="Y260" s="731"/>
      <c r="Z260" s="603">
        <v>24</v>
      </c>
      <c r="AA260" s="731"/>
      <c r="AB260" s="603">
        <v>16</v>
      </c>
      <c r="AC260" s="731"/>
      <c r="AD260" s="731">
        <v>1</v>
      </c>
      <c r="AE260" s="604">
        <v>135.44999999999999</v>
      </c>
      <c r="AF260" s="601">
        <f t="shared" ref="AF260:AF324" si="12">(C260*D260)+(Y260*Z260)+(O260*P260)+(Q260*R260)+(S260*T260)+(AA260*AB260)+(E260*F260)+(G260*H260)+(I260*J260)+(K260*L260)+(M260*N260)+(AD260*AE260)+(U260*V260)+(W260*X260)+AC260</f>
        <v>1595.45</v>
      </c>
      <c r="AG260" s="601">
        <f t="shared" ref="AG260:AG324" si="13">(AF260*5%)</f>
        <v>79.772500000000008</v>
      </c>
      <c r="AH260" s="601">
        <f t="shared" ref="AH260:AH324" si="14">SUM(AF260+AG260)</f>
        <v>1675.2225000000001</v>
      </c>
      <c r="AI260" s="987">
        <v>236335</v>
      </c>
      <c r="AJ260" s="370"/>
      <c r="AK260" s="371"/>
      <c r="AL260" s="371"/>
      <c r="AM260" s="371"/>
      <c r="AN260" s="371"/>
      <c r="AO260" s="371"/>
      <c r="AP260" s="371"/>
      <c r="AQ260" s="371"/>
      <c r="AR260" s="371"/>
      <c r="AS260" s="371"/>
      <c r="AT260" s="371"/>
      <c r="AU260" s="371"/>
      <c r="AV260" s="371"/>
      <c r="AW260" s="371"/>
      <c r="AX260" s="371"/>
      <c r="AY260" s="371"/>
      <c r="AZ260" s="371"/>
      <c r="BA260" s="371"/>
      <c r="BB260" s="371"/>
      <c r="BC260" s="371"/>
      <c r="BD260" s="371"/>
      <c r="BE260" s="371"/>
      <c r="BF260" s="371"/>
      <c r="BG260" s="371"/>
      <c r="BH260" s="371"/>
      <c r="BI260" s="371"/>
      <c r="BJ260" s="371"/>
      <c r="BK260" s="371"/>
      <c r="BL260" s="371"/>
    </row>
    <row r="261" spans="1:64" s="136" customFormat="1">
      <c r="A261" s="729">
        <v>42273</v>
      </c>
      <c r="B261" s="732" t="s">
        <v>678</v>
      </c>
      <c r="C261" s="599"/>
      <c r="D261" s="600">
        <v>1400</v>
      </c>
      <c r="E261" s="599"/>
      <c r="F261" s="600">
        <v>132</v>
      </c>
      <c r="G261" s="731">
        <v>0</v>
      </c>
      <c r="H261" s="601">
        <v>3150</v>
      </c>
      <c r="I261" s="731">
        <v>0</v>
      </c>
      <c r="J261" s="601">
        <v>0</v>
      </c>
      <c r="K261" s="731">
        <v>1</v>
      </c>
      <c r="L261" s="601">
        <v>2100</v>
      </c>
      <c r="M261" s="731"/>
      <c r="N261" s="601">
        <v>198</v>
      </c>
      <c r="O261" s="691"/>
      <c r="P261" s="688"/>
      <c r="Q261" s="767"/>
      <c r="R261" s="767"/>
      <c r="S261" s="767"/>
      <c r="T261" s="767"/>
      <c r="U261" s="731">
        <v>1</v>
      </c>
      <c r="V261" s="602">
        <v>60</v>
      </c>
      <c r="W261" s="731">
        <v>1</v>
      </c>
      <c r="X261" s="602">
        <v>150</v>
      </c>
      <c r="Y261" s="731"/>
      <c r="Z261" s="603">
        <v>24</v>
      </c>
      <c r="AA261" s="731"/>
      <c r="AB261" s="603">
        <v>16</v>
      </c>
      <c r="AC261" s="731"/>
      <c r="AD261" s="731">
        <v>1</v>
      </c>
      <c r="AE261" s="604">
        <v>138.6</v>
      </c>
      <c r="AF261" s="601">
        <f t="shared" si="12"/>
        <v>2448.6</v>
      </c>
      <c r="AG261" s="601">
        <f t="shared" si="13"/>
        <v>122.43</v>
      </c>
      <c r="AH261" s="601">
        <f t="shared" si="14"/>
        <v>2571.0299999999997</v>
      </c>
      <c r="AI261" s="987">
        <v>236335</v>
      </c>
      <c r="AJ261" s="370"/>
    </row>
    <row r="262" spans="1:64" s="136" customFormat="1">
      <c r="A262" s="1008">
        <v>42275</v>
      </c>
      <c r="B262" s="805" t="s">
        <v>548</v>
      </c>
      <c r="C262" s="806">
        <v>1</v>
      </c>
      <c r="D262" s="807">
        <v>1400</v>
      </c>
      <c r="E262" s="806"/>
      <c r="F262" s="807">
        <v>132</v>
      </c>
      <c r="G262" s="810">
        <v>0</v>
      </c>
      <c r="H262" s="809">
        <v>3150</v>
      </c>
      <c r="I262" s="810">
        <v>0</v>
      </c>
      <c r="J262" s="809">
        <v>0</v>
      </c>
      <c r="K262" s="810"/>
      <c r="L262" s="809">
        <v>2100</v>
      </c>
      <c r="M262" s="810"/>
      <c r="N262" s="809">
        <v>198</v>
      </c>
      <c r="O262" s="635"/>
      <c r="P262" s="636"/>
      <c r="Q262" s="811"/>
      <c r="R262" s="811"/>
      <c r="S262" s="811"/>
      <c r="T262" s="811"/>
      <c r="U262" s="810">
        <v>1</v>
      </c>
      <c r="V262" s="812">
        <v>60</v>
      </c>
      <c r="W262" s="810"/>
      <c r="X262" s="812">
        <v>150</v>
      </c>
      <c r="Y262" s="810"/>
      <c r="Z262" s="813">
        <v>24</v>
      </c>
      <c r="AA262" s="810"/>
      <c r="AB262" s="813">
        <v>16</v>
      </c>
      <c r="AC262" s="810"/>
      <c r="AD262" s="810">
        <v>1</v>
      </c>
      <c r="AE262" s="814">
        <v>135.44999999999999</v>
      </c>
      <c r="AF262" s="809">
        <f t="shared" si="12"/>
        <v>1595.45</v>
      </c>
      <c r="AG262" s="809">
        <f t="shared" si="13"/>
        <v>79.772500000000008</v>
      </c>
      <c r="AH262" s="809">
        <f t="shared" si="14"/>
        <v>1675.2225000000001</v>
      </c>
      <c r="AI262" s="989">
        <v>236339</v>
      </c>
      <c r="AJ262" s="148"/>
    </row>
    <row r="263" spans="1:64" s="136" customFormat="1">
      <c r="A263" s="962">
        <v>42275</v>
      </c>
      <c r="B263" s="805" t="s">
        <v>549</v>
      </c>
      <c r="C263" s="806"/>
      <c r="D263" s="807">
        <v>1400</v>
      </c>
      <c r="E263" s="806"/>
      <c r="F263" s="807">
        <v>132</v>
      </c>
      <c r="G263" s="810">
        <v>0</v>
      </c>
      <c r="H263" s="809">
        <v>3150</v>
      </c>
      <c r="I263" s="810">
        <v>0</v>
      </c>
      <c r="J263" s="809">
        <v>0</v>
      </c>
      <c r="K263" s="810">
        <v>1</v>
      </c>
      <c r="L263" s="809">
        <v>2100</v>
      </c>
      <c r="M263" s="810"/>
      <c r="N263" s="809">
        <v>198</v>
      </c>
      <c r="O263" s="635"/>
      <c r="P263" s="636"/>
      <c r="Q263" s="811"/>
      <c r="R263" s="811"/>
      <c r="S263" s="811"/>
      <c r="T263" s="811"/>
      <c r="U263" s="810">
        <v>1</v>
      </c>
      <c r="V263" s="812">
        <v>60</v>
      </c>
      <c r="W263" s="810">
        <v>1</v>
      </c>
      <c r="X263" s="812">
        <v>150</v>
      </c>
      <c r="Y263" s="810">
        <v>3</v>
      </c>
      <c r="Z263" s="813">
        <v>24</v>
      </c>
      <c r="AA263" s="810">
        <v>5</v>
      </c>
      <c r="AB263" s="813">
        <v>16</v>
      </c>
      <c r="AC263" s="810"/>
      <c r="AD263" s="810">
        <v>1</v>
      </c>
      <c r="AE263" s="814">
        <v>138.6</v>
      </c>
      <c r="AF263" s="809">
        <f t="shared" si="12"/>
        <v>2600.6</v>
      </c>
      <c r="AG263" s="809">
        <f t="shared" si="13"/>
        <v>130.03</v>
      </c>
      <c r="AH263" s="809">
        <f t="shared" si="14"/>
        <v>2730.63</v>
      </c>
      <c r="AI263" s="989">
        <v>236339</v>
      </c>
      <c r="AJ263" s="148"/>
    </row>
    <row r="264" spans="1:64" s="136" customFormat="1">
      <c r="A264" s="962">
        <v>42276</v>
      </c>
      <c r="B264" s="805" t="s">
        <v>544</v>
      </c>
      <c r="C264" s="806">
        <v>1</v>
      </c>
      <c r="D264" s="807">
        <v>1400</v>
      </c>
      <c r="E264" s="806"/>
      <c r="F264" s="807">
        <v>132</v>
      </c>
      <c r="G264" s="810">
        <v>0</v>
      </c>
      <c r="H264" s="809">
        <v>3150</v>
      </c>
      <c r="I264" s="810">
        <v>0</v>
      </c>
      <c r="J264" s="809">
        <v>0</v>
      </c>
      <c r="K264" s="810"/>
      <c r="L264" s="809">
        <v>2100</v>
      </c>
      <c r="M264" s="810"/>
      <c r="N264" s="809">
        <v>198</v>
      </c>
      <c r="O264" s="635"/>
      <c r="P264" s="636"/>
      <c r="Q264" s="811"/>
      <c r="R264" s="811"/>
      <c r="S264" s="811"/>
      <c r="T264" s="811"/>
      <c r="U264" s="810">
        <v>1</v>
      </c>
      <c r="V264" s="812">
        <v>60</v>
      </c>
      <c r="W264" s="810"/>
      <c r="X264" s="812">
        <v>150</v>
      </c>
      <c r="Y264" s="810"/>
      <c r="Z264" s="813">
        <v>24</v>
      </c>
      <c r="AA264" s="810"/>
      <c r="AB264" s="813">
        <v>16</v>
      </c>
      <c r="AC264" s="810"/>
      <c r="AD264" s="810">
        <v>1</v>
      </c>
      <c r="AE264" s="814">
        <v>135.44999999999999</v>
      </c>
      <c r="AF264" s="809">
        <f t="shared" si="12"/>
        <v>1595.45</v>
      </c>
      <c r="AG264" s="809">
        <f t="shared" si="13"/>
        <v>79.772500000000008</v>
      </c>
      <c r="AH264" s="809">
        <f t="shared" si="14"/>
        <v>1675.2225000000001</v>
      </c>
      <c r="AI264" s="989">
        <v>236339</v>
      </c>
      <c r="AJ264" s="148"/>
    </row>
    <row r="265" spans="1:64" s="136" customFormat="1">
      <c r="A265" s="962">
        <v>42276</v>
      </c>
      <c r="B265" s="805" t="s">
        <v>545</v>
      </c>
      <c r="C265" s="806"/>
      <c r="D265" s="807">
        <v>1400</v>
      </c>
      <c r="E265" s="806"/>
      <c r="F265" s="807">
        <v>132</v>
      </c>
      <c r="G265" s="810">
        <v>0</v>
      </c>
      <c r="H265" s="809">
        <v>3150</v>
      </c>
      <c r="I265" s="810">
        <v>0</v>
      </c>
      <c r="J265" s="809">
        <v>0</v>
      </c>
      <c r="K265" s="810">
        <v>0.66666499999999995</v>
      </c>
      <c r="L265" s="809">
        <v>2100</v>
      </c>
      <c r="M265" s="810"/>
      <c r="N265" s="809">
        <v>198</v>
      </c>
      <c r="O265" s="635"/>
      <c r="P265" s="636"/>
      <c r="Q265" s="811"/>
      <c r="R265" s="811"/>
      <c r="S265" s="811"/>
      <c r="T265" s="811"/>
      <c r="U265" s="810">
        <v>1</v>
      </c>
      <c r="V265" s="812">
        <v>60</v>
      </c>
      <c r="W265" s="810">
        <v>1</v>
      </c>
      <c r="X265" s="812">
        <v>150</v>
      </c>
      <c r="Y265" s="810"/>
      <c r="Z265" s="813">
        <v>24</v>
      </c>
      <c r="AA265" s="810">
        <v>2</v>
      </c>
      <c r="AB265" s="813">
        <v>16</v>
      </c>
      <c r="AC265" s="810"/>
      <c r="AD265" s="810">
        <v>1</v>
      </c>
      <c r="AE265" s="814">
        <v>138.6</v>
      </c>
      <c r="AF265" s="809">
        <f t="shared" si="12"/>
        <v>1780.5964999999999</v>
      </c>
      <c r="AG265" s="809">
        <f t="shared" si="13"/>
        <v>89.029825000000002</v>
      </c>
      <c r="AH265" s="809">
        <f t="shared" si="14"/>
        <v>1869.626325</v>
      </c>
      <c r="AI265" s="989">
        <v>236339</v>
      </c>
      <c r="AJ265" s="148"/>
    </row>
    <row r="266" spans="1:64" s="136" customFormat="1">
      <c r="A266" s="962">
        <v>42277</v>
      </c>
      <c r="B266" s="805" t="s">
        <v>552</v>
      </c>
      <c r="C266" s="806">
        <v>1</v>
      </c>
      <c r="D266" s="807">
        <v>1400</v>
      </c>
      <c r="E266" s="806"/>
      <c r="F266" s="807">
        <v>132</v>
      </c>
      <c r="G266" s="810">
        <v>0</v>
      </c>
      <c r="H266" s="809">
        <v>3150</v>
      </c>
      <c r="I266" s="810">
        <v>0</v>
      </c>
      <c r="J266" s="809">
        <v>0</v>
      </c>
      <c r="K266" s="810"/>
      <c r="L266" s="809">
        <v>2100</v>
      </c>
      <c r="M266" s="810"/>
      <c r="N266" s="809">
        <v>198</v>
      </c>
      <c r="O266" s="635"/>
      <c r="P266" s="636"/>
      <c r="Q266" s="811"/>
      <c r="R266" s="811"/>
      <c r="S266" s="811"/>
      <c r="T266" s="811"/>
      <c r="U266" s="810">
        <v>1</v>
      </c>
      <c r="V266" s="812">
        <v>60</v>
      </c>
      <c r="W266" s="810"/>
      <c r="X266" s="812">
        <v>150</v>
      </c>
      <c r="Y266" s="810"/>
      <c r="Z266" s="813">
        <v>24</v>
      </c>
      <c r="AA266" s="810"/>
      <c r="AB266" s="813">
        <v>16</v>
      </c>
      <c r="AC266" s="810"/>
      <c r="AD266" s="810">
        <v>1</v>
      </c>
      <c r="AE266" s="814">
        <v>135.44999999999999</v>
      </c>
      <c r="AF266" s="809">
        <f t="shared" si="12"/>
        <v>1595.45</v>
      </c>
      <c r="AG266" s="809">
        <f t="shared" si="13"/>
        <v>79.772500000000008</v>
      </c>
      <c r="AH266" s="809">
        <f t="shared" si="14"/>
        <v>1675.2225000000001</v>
      </c>
      <c r="AI266" s="989">
        <v>236339</v>
      </c>
      <c r="AJ266" s="430" t="s">
        <v>973</v>
      </c>
    </row>
    <row r="267" spans="1:64" s="136" customFormat="1">
      <c r="A267" s="962">
        <v>42277</v>
      </c>
      <c r="B267" s="805" t="s">
        <v>937</v>
      </c>
      <c r="C267" s="806"/>
      <c r="D267" s="807">
        <v>1400</v>
      </c>
      <c r="E267" s="806"/>
      <c r="F267" s="807">
        <v>132</v>
      </c>
      <c r="G267" s="810">
        <v>0</v>
      </c>
      <c r="H267" s="809">
        <v>3150</v>
      </c>
      <c r="I267" s="810">
        <v>0</v>
      </c>
      <c r="J267" s="809">
        <v>0</v>
      </c>
      <c r="K267" s="810">
        <v>1</v>
      </c>
      <c r="L267" s="809">
        <v>2100</v>
      </c>
      <c r="M267" s="810"/>
      <c r="N267" s="809">
        <v>198</v>
      </c>
      <c r="O267" s="635"/>
      <c r="P267" s="636"/>
      <c r="Q267" s="811"/>
      <c r="R267" s="811"/>
      <c r="S267" s="811"/>
      <c r="T267" s="811"/>
      <c r="U267" s="810">
        <v>1</v>
      </c>
      <c r="V267" s="812">
        <v>60</v>
      </c>
      <c r="W267" s="810">
        <v>1</v>
      </c>
      <c r="X267" s="812">
        <v>150</v>
      </c>
      <c r="Y267" s="810">
        <v>3</v>
      </c>
      <c r="Z267" s="813">
        <v>24</v>
      </c>
      <c r="AA267" s="810">
        <v>4</v>
      </c>
      <c r="AB267" s="813">
        <v>16</v>
      </c>
      <c r="AC267" s="810"/>
      <c r="AD267" s="810">
        <v>1</v>
      </c>
      <c r="AE267" s="814">
        <v>138.6</v>
      </c>
      <c r="AF267" s="809">
        <f>(C267*D267)+(Y267*Z267)+(O267*P267)+(Q267*R267)+(S267*T267)+(AA267*AB267)+(E267*F267)+(G267*H267)+(I267*J267)+(K267*L267)+(M267*N267)+(AD267*AE267)+(U267*V267)+(W267*X267)+AC267</f>
        <v>2584.6</v>
      </c>
      <c r="AG267" s="809">
        <f t="shared" si="13"/>
        <v>129.22999999999999</v>
      </c>
      <c r="AH267" s="809">
        <f>SUM(AF267+AG267)</f>
        <v>2713.83</v>
      </c>
      <c r="AI267" s="989">
        <v>236339</v>
      </c>
      <c r="AJ267" s="816" t="s">
        <v>754</v>
      </c>
    </row>
    <row r="268" spans="1:64" s="136" customFormat="1">
      <c r="A268" s="962">
        <v>42278</v>
      </c>
      <c r="B268" s="805" t="s">
        <v>554</v>
      </c>
      <c r="C268" s="806">
        <v>1</v>
      </c>
      <c r="D268" s="807">
        <v>1400</v>
      </c>
      <c r="E268" s="806"/>
      <c r="F268" s="807">
        <v>132</v>
      </c>
      <c r="G268" s="810"/>
      <c r="H268" s="809">
        <v>3150</v>
      </c>
      <c r="I268" s="810">
        <v>0</v>
      </c>
      <c r="J268" s="809">
        <v>0</v>
      </c>
      <c r="K268" s="810"/>
      <c r="L268" s="809">
        <v>2100</v>
      </c>
      <c r="M268" s="810"/>
      <c r="N268" s="809">
        <v>198</v>
      </c>
      <c r="O268" s="635"/>
      <c r="P268" s="636"/>
      <c r="Q268" s="811"/>
      <c r="R268" s="811"/>
      <c r="S268" s="811"/>
      <c r="T268" s="811"/>
      <c r="U268" s="810">
        <v>1</v>
      </c>
      <c r="V268" s="812">
        <v>60</v>
      </c>
      <c r="W268" s="810"/>
      <c r="X268" s="812">
        <v>150</v>
      </c>
      <c r="Y268" s="810"/>
      <c r="Z268" s="813">
        <v>24</v>
      </c>
      <c r="AA268" s="810"/>
      <c r="AB268" s="813">
        <v>16</v>
      </c>
      <c r="AC268" s="810"/>
      <c r="AD268" s="810">
        <v>1</v>
      </c>
      <c r="AE268" s="814">
        <v>135.44999999999999</v>
      </c>
      <c r="AF268" s="809">
        <f t="shared" si="12"/>
        <v>1595.45</v>
      </c>
      <c r="AG268" s="809">
        <f t="shared" si="13"/>
        <v>79.772500000000008</v>
      </c>
      <c r="AH268" s="809">
        <f t="shared" si="14"/>
        <v>1675.2225000000001</v>
      </c>
      <c r="AI268" s="989">
        <v>236339</v>
      </c>
      <c r="AJ268" s="148"/>
    </row>
    <row r="269" spans="1:64" s="136" customFormat="1">
      <c r="A269" s="962">
        <v>42278</v>
      </c>
      <c r="B269" s="805" t="s">
        <v>555</v>
      </c>
      <c r="C269" s="806"/>
      <c r="D269" s="807">
        <v>1400</v>
      </c>
      <c r="E269" s="806"/>
      <c r="F269" s="807">
        <v>132</v>
      </c>
      <c r="G269" s="810"/>
      <c r="H269" s="809">
        <v>3150</v>
      </c>
      <c r="I269" s="810">
        <v>0</v>
      </c>
      <c r="J269" s="809">
        <v>0</v>
      </c>
      <c r="K269" s="810">
        <v>0.66666499999999995</v>
      </c>
      <c r="L269" s="809">
        <v>2100</v>
      </c>
      <c r="M269" s="810">
        <v>1</v>
      </c>
      <c r="N269" s="809">
        <v>198</v>
      </c>
      <c r="O269" s="635"/>
      <c r="P269" s="636"/>
      <c r="Q269" s="811"/>
      <c r="R269" s="811"/>
      <c r="S269" s="811"/>
      <c r="T269" s="811"/>
      <c r="U269" s="810">
        <v>1</v>
      </c>
      <c r="V269" s="812">
        <v>60</v>
      </c>
      <c r="W269" s="810">
        <v>1</v>
      </c>
      <c r="X269" s="812">
        <v>150</v>
      </c>
      <c r="Y269" s="810">
        <v>2</v>
      </c>
      <c r="Z269" s="813">
        <v>24</v>
      </c>
      <c r="AA269" s="810">
        <v>12</v>
      </c>
      <c r="AB269" s="813">
        <v>16</v>
      </c>
      <c r="AC269" s="810"/>
      <c r="AD269" s="810">
        <v>1</v>
      </c>
      <c r="AE269" s="814">
        <v>138.6</v>
      </c>
      <c r="AF269" s="809">
        <f t="shared" si="12"/>
        <v>2186.5964999999997</v>
      </c>
      <c r="AG269" s="809">
        <f t="shared" si="13"/>
        <v>109.32982499999999</v>
      </c>
      <c r="AH269" s="809">
        <f t="shared" si="14"/>
        <v>2295.9263249999995</v>
      </c>
      <c r="AI269" s="989">
        <v>236339</v>
      </c>
      <c r="AJ269" s="148"/>
    </row>
    <row r="270" spans="1:64" s="136" customFormat="1">
      <c r="A270" s="962">
        <v>42279</v>
      </c>
      <c r="B270" s="805" t="s">
        <v>639</v>
      </c>
      <c r="C270" s="806">
        <v>0.5</v>
      </c>
      <c r="D270" s="807">
        <v>1400</v>
      </c>
      <c r="E270" s="806"/>
      <c r="F270" s="807">
        <v>132</v>
      </c>
      <c r="G270" s="810"/>
      <c r="H270" s="809">
        <v>3150</v>
      </c>
      <c r="I270" s="810">
        <v>0</v>
      </c>
      <c r="J270" s="809">
        <v>0</v>
      </c>
      <c r="K270" s="810"/>
      <c r="L270" s="809">
        <v>2100</v>
      </c>
      <c r="M270" s="810"/>
      <c r="N270" s="809">
        <v>198</v>
      </c>
      <c r="O270" s="635"/>
      <c r="P270" s="636"/>
      <c r="Q270" s="811"/>
      <c r="R270" s="811"/>
      <c r="S270" s="811"/>
      <c r="T270" s="811"/>
      <c r="U270" s="810">
        <v>1</v>
      </c>
      <c r="V270" s="812">
        <v>60</v>
      </c>
      <c r="W270" s="810"/>
      <c r="X270" s="812">
        <v>150</v>
      </c>
      <c r="Y270" s="810"/>
      <c r="Z270" s="813">
        <v>24</v>
      </c>
      <c r="AA270" s="810"/>
      <c r="AB270" s="813">
        <v>16</v>
      </c>
      <c r="AC270" s="810"/>
      <c r="AD270" s="810">
        <v>1</v>
      </c>
      <c r="AE270" s="814">
        <v>135.44999999999999</v>
      </c>
      <c r="AF270" s="809">
        <f t="shared" si="12"/>
        <v>895.45</v>
      </c>
      <c r="AG270" s="809">
        <f t="shared" si="13"/>
        <v>44.772500000000008</v>
      </c>
      <c r="AH270" s="809">
        <f t="shared" si="14"/>
        <v>940.22250000000008</v>
      </c>
      <c r="AI270" s="989">
        <v>236339</v>
      </c>
      <c r="AJ270" s="996"/>
    </row>
    <row r="271" spans="1:64" s="136" customFormat="1">
      <c r="A271" s="962">
        <v>42279</v>
      </c>
      <c r="B271" s="805" t="s">
        <v>640</v>
      </c>
      <c r="C271" s="806"/>
      <c r="D271" s="807">
        <v>1400</v>
      </c>
      <c r="E271" s="806"/>
      <c r="F271" s="807">
        <v>132</v>
      </c>
      <c r="G271" s="810"/>
      <c r="H271" s="809">
        <v>3150</v>
      </c>
      <c r="I271" s="810">
        <v>0</v>
      </c>
      <c r="J271" s="809">
        <v>0</v>
      </c>
      <c r="K271" s="810">
        <v>1</v>
      </c>
      <c r="L271" s="809">
        <v>2100</v>
      </c>
      <c r="M271" s="810">
        <v>1</v>
      </c>
      <c r="N271" s="809">
        <v>198</v>
      </c>
      <c r="O271" s="635"/>
      <c r="P271" s="636"/>
      <c r="Q271" s="811"/>
      <c r="R271" s="811"/>
      <c r="S271" s="811"/>
      <c r="T271" s="811"/>
      <c r="U271" s="810">
        <v>1</v>
      </c>
      <c r="V271" s="812">
        <v>60</v>
      </c>
      <c r="W271" s="810">
        <v>1</v>
      </c>
      <c r="X271" s="812">
        <v>150</v>
      </c>
      <c r="Y271" s="810">
        <v>6</v>
      </c>
      <c r="Z271" s="813">
        <v>24</v>
      </c>
      <c r="AA271" s="810">
        <v>4</v>
      </c>
      <c r="AB271" s="813">
        <v>16</v>
      </c>
      <c r="AC271" s="810"/>
      <c r="AD271" s="810">
        <v>1</v>
      </c>
      <c r="AE271" s="814">
        <v>138.6</v>
      </c>
      <c r="AF271" s="809">
        <f t="shared" si="12"/>
        <v>2854.6</v>
      </c>
      <c r="AG271" s="809">
        <f t="shared" si="13"/>
        <v>142.72999999999999</v>
      </c>
      <c r="AH271" s="809">
        <f t="shared" si="14"/>
        <v>2997.33</v>
      </c>
      <c r="AI271" s="989">
        <v>236339</v>
      </c>
      <c r="AJ271" s="148"/>
    </row>
    <row r="272" spans="1:64" s="136" customFormat="1">
      <c r="A272" s="962">
        <v>42280</v>
      </c>
      <c r="B272" s="805" t="s">
        <v>641</v>
      </c>
      <c r="C272" s="806">
        <v>0.5</v>
      </c>
      <c r="D272" s="807">
        <v>1400</v>
      </c>
      <c r="E272" s="806"/>
      <c r="F272" s="807">
        <v>132</v>
      </c>
      <c r="G272" s="810"/>
      <c r="H272" s="809">
        <v>3150</v>
      </c>
      <c r="I272" s="810">
        <v>0</v>
      </c>
      <c r="J272" s="809">
        <v>0</v>
      </c>
      <c r="K272" s="810"/>
      <c r="L272" s="809">
        <v>2100</v>
      </c>
      <c r="M272" s="810"/>
      <c r="N272" s="809">
        <v>198</v>
      </c>
      <c r="O272" s="635"/>
      <c r="P272" s="636"/>
      <c r="Q272" s="811"/>
      <c r="R272" s="811"/>
      <c r="S272" s="811"/>
      <c r="T272" s="811"/>
      <c r="U272" s="810">
        <v>1</v>
      </c>
      <c r="V272" s="812">
        <v>60</v>
      </c>
      <c r="W272" s="810"/>
      <c r="X272" s="812">
        <v>150</v>
      </c>
      <c r="Y272" s="810"/>
      <c r="Z272" s="813">
        <v>24</v>
      </c>
      <c r="AA272" s="810"/>
      <c r="AB272" s="813">
        <v>16</v>
      </c>
      <c r="AC272" s="810"/>
      <c r="AD272" s="810">
        <v>1</v>
      </c>
      <c r="AE272" s="814">
        <v>135.44999999999999</v>
      </c>
      <c r="AF272" s="809">
        <f t="shared" si="12"/>
        <v>895.45</v>
      </c>
      <c r="AG272" s="809">
        <f t="shared" si="13"/>
        <v>44.772500000000008</v>
      </c>
      <c r="AH272" s="809">
        <f t="shared" si="14"/>
        <v>940.22250000000008</v>
      </c>
      <c r="AI272" s="989">
        <v>236339</v>
      </c>
      <c r="AJ272" s="148"/>
    </row>
    <row r="273" spans="1:64" s="136" customFormat="1">
      <c r="A273" s="962">
        <v>42280</v>
      </c>
      <c r="B273" s="805" t="s">
        <v>642</v>
      </c>
      <c r="C273" s="806"/>
      <c r="D273" s="807">
        <v>1400</v>
      </c>
      <c r="E273" s="806"/>
      <c r="F273" s="807">
        <v>132</v>
      </c>
      <c r="G273" s="810"/>
      <c r="H273" s="809">
        <v>3150</v>
      </c>
      <c r="I273" s="810">
        <v>0</v>
      </c>
      <c r="J273" s="809">
        <v>0</v>
      </c>
      <c r="K273" s="810">
        <v>1</v>
      </c>
      <c r="L273" s="809">
        <v>2100</v>
      </c>
      <c r="M273" s="810"/>
      <c r="N273" s="809">
        <v>198</v>
      </c>
      <c r="O273" s="635"/>
      <c r="P273" s="636"/>
      <c r="Q273" s="811"/>
      <c r="R273" s="811"/>
      <c r="S273" s="811"/>
      <c r="T273" s="811"/>
      <c r="U273" s="810">
        <v>1</v>
      </c>
      <c r="V273" s="812">
        <v>60</v>
      </c>
      <c r="W273" s="810">
        <v>1</v>
      </c>
      <c r="X273" s="812">
        <v>150</v>
      </c>
      <c r="Y273" s="810">
        <v>7</v>
      </c>
      <c r="Z273" s="813">
        <v>24</v>
      </c>
      <c r="AA273" s="810">
        <v>6</v>
      </c>
      <c r="AB273" s="813">
        <v>16</v>
      </c>
      <c r="AC273" s="810"/>
      <c r="AD273" s="810">
        <v>1</v>
      </c>
      <c r="AE273" s="814">
        <v>138.6</v>
      </c>
      <c r="AF273" s="809">
        <f t="shared" si="12"/>
        <v>2712.6</v>
      </c>
      <c r="AG273" s="809">
        <f t="shared" si="13"/>
        <v>135.63</v>
      </c>
      <c r="AH273" s="809">
        <f t="shared" si="14"/>
        <v>2848.23</v>
      </c>
      <c r="AI273" s="989">
        <v>236339</v>
      </c>
      <c r="AJ273" s="148"/>
    </row>
    <row r="274" spans="1:64" s="136" customFormat="1">
      <c r="A274" s="962">
        <v>42281</v>
      </c>
      <c r="B274" s="805" t="s">
        <v>643</v>
      </c>
      <c r="C274" s="806">
        <v>0.5</v>
      </c>
      <c r="D274" s="807">
        <v>1750</v>
      </c>
      <c r="E274" s="806"/>
      <c r="F274" s="807">
        <v>132</v>
      </c>
      <c r="G274" s="810"/>
      <c r="H274" s="809">
        <v>3150</v>
      </c>
      <c r="I274" s="810">
        <v>0</v>
      </c>
      <c r="J274" s="809">
        <v>0</v>
      </c>
      <c r="K274" s="810"/>
      <c r="L274" s="809">
        <v>2100</v>
      </c>
      <c r="M274" s="810"/>
      <c r="N274" s="809">
        <v>198</v>
      </c>
      <c r="O274" s="635"/>
      <c r="P274" s="636"/>
      <c r="Q274" s="811"/>
      <c r="R274" s="811"/>
      <c r="S274" s="811"/>
      <c r="T274" s="811"/>
      <c r="U274" s="810">
        <v>1</v>
      </c>
      <c r="V274" s="812">
        <v>60</v>
      </c>
      <c r="W274" s="810"/>
      <c r="X274" s="812">
        <v>150</v>
      </c>
      <c r="Y274" s="810"/>
      <c r="Z274" s="813">
        <v>24</v>
      </c>
      <c r="AA274" s="810"/>
      <c r="AB274" s="813">
        <v>16</v>
      </c>
      <c r="AC274" s="810"/>
      <c r="AD274" s="810">
        <v>1</v>
      </c>
      <c r="AE274" s="814">
        <v>135.44999999999999</v>
      </c>
      <c r="AF274" s="809">
        <f t="shared" si="12"/>
        <v>1070.45</v>
      </c>
      <c r="AG274" s="809">
        <f t="shared" si="13"/>
        <v>53.522500000000008</v>
      </c>
      <c r="AH274" s="809">
        <f t="shared" si="14"/>
        <v>1123.9725000000001</v>
      </c>
      <c r="AI274" s="989">
        <v>236339</v>
      </c>
      <c r="AJ274" s="148"/>
    </row>
    <row r="275" spans="1:64" s="371" customFormat="1">
      <c r="A275" s="962">
        <v>42281</v>
      </c>
      <c r="B275" s="805" t="s">
        <v>644</v>
      </c>
      <c r="C275" s="806"/>
      <c r="D275" s="807">
        <v>1400</v>
      </c>
      <c r="E275" s="806"/>
      <c r="F275" s="807">
        <v>132</v>
      </c>
      <c r="G275" s="810"/>
      <c r="H275" s="809">
        <v>3150</v>
      </c>
      <c r="I275" s="810">
        <v>0</v>
      </c>
      <c r="J275" s="809">
        <v>0</v>
      </c>
      <c r="K275" s="635">
        <v>0.83333500000000005</v>
      </c>
      <c r="L275" s="809">
        <v>2650</v>
      </c>
      <c r="M275" s="810"/>
      <c r="N275" s="809">
        <v>198</v>
      </c>
      <c r="O275" s="635"/>
      <c r="P275" s="636"/>
      <c r="Q275" s="811"/>
      <c r="R275" s="811"/>
      <c r="S275" s="811"/>
      <c r="T275" s="811"/>
      <c r="U275" s="810">
        <v>1</v>
      </c>
      <c r="V275" s="812">
        <v>60</v>
      </c>
      <c r="W275" s="810">
        <v>1</v>
      </c>
      <c r="X275" s="812">
        <v>150</v>
      </c>
      <c r="Y275" s="810">
        <v>8</v>
      </c>
      <c r="Z275" s="813">
        <v>24</v>
      </c>
      <c r="AA275" s="810">
        <v>3</v>
      </c>
      <c r="AB275" s="813">
        <v>16</v>
      </c>
      <c r="AC275" s="810"/>
      <c r="AD275" s="810">
        <v>1</v>
      </c>
      <c r="AE275" s="814">
        <v>138.6</v>
      </c>
      <c r="AF275" s="809">
        <f t="shared" si="12"/>
        <v>2796.9377500000001</v>
      </c>
      <c r="AG275" s="809">
        <f t="shared" si="13"/>
        <v>139.84688750000001</v>
      </c>
      <c r="AH275" s="809">
        <f t="shared" si="14"/>
        <v>2936.7846374999999</v>
      </c>
      <c r="AI275" s="989">
        <v>236339</v>
      </c>
      <c r="AJ275" s="148"/>
      <c r="AK275" s="136"/>
      <c r="AL275" s="136"/>
      <c r="AM275" s="136"/>
      <c r="AN275" s="136"/>
      <c r="AO275" s="136"/>
      <c r="AP275" s="136"/>
      <c r="AQ275" s="136"/>
      <c r="AR275" s="136"/>
      <c r="AS275" s="136"/>
      <c r="AT275" s="136"/>
      <c r="AU275" s="136"/>
      <c r="AV275" s="136"/>
      <c r="AW275" s="136"/>
      <c r="AX275" s="136"/>
      <c r="AY275" s="136"/>
      <c r="AZ275" s="136"/>
      <c r="BA275" s="136"/>
      <c r="BB275" s="136"/>
      <c r="BC275" s="136"/>
      <c r="BD275" s="136"/>
      <c r="BE275" s="136"/>
      <c r="BF275" s="136"/>
      <c r="BG275" s="136"/>
      <c r="BH275" s="136"/>
      <c r="BI275" s="136"/>
      <c r="BJ275" s="136"/>
      <c r="BK275" s="136"/>
      <c r="BL275" s="136"/>
    </row>
    <row r="276" spans="1:64" s="371" customFormat="1">
      <c r="A276" s="962">
        <v>42282</v>
      </c>
      <c r="B276" s="732" t="s">
        <v>645</v>
      </c>
      <c r="C276" s="599">
        <v>1</v>
      </c>
      <c r="D276" s="600">
        <v>1400</v>
      </c>
      <c r="E276" s="599"/>
      <c r="F276" s="600">
        <v>132</v>
      </c>
      <c r="G276" s="731"/>
      <c r="H276" s="601">
        <v>3150</v>
      </c>
      <c r="I276" s="731">
        <v>0</v>
      </c>
      <c r="J276" s="601">
        <v>0</v>
      </c>
      <c r="K276" s="731"/>
      <c r="L276" s="601">
        <v>2100</v>
      </c>
      <c r="M276" s="731"/>
      <c r="N276" s="601">
        <v>198</v>
      </c>
      <c r="O276" s="691"/>
      <c r="P276" s="688"/>
      <c r="Q276" s="767"/>
      <c r="R276" s="767"/>
      <c r="S276" s="767"/>
      <c r="T276" s="767"/>
      <c r="U276" s="731">
        <v>1</v>
      </c>
      <c r="V276" s="602">
        <v>60</v>
      </c>
      <c r="W276" s="731"/>
      <c r="X276" s="602">
        <v>150</v>
      </c>
      <c r="Y276" s="731"/>
      <c r="Z276" s="603">
        <v>24</v>
      </c>
      <c r="AA276" s="731"/>
      <c r="AB276" s="603">
        <v>16</v>
      </c>
      <c r="AC276" s="731"/>
      <c r="AD276" s="731">
        <v>1</v>
      </c>
      <c r="AE276" s="604">
        <v>135.44999999999999</v>
      </c>
      <c r="AF276" s="601">
        <f t="shared" si="12"/>
        <v>1595.45</v>
      </c>
      <c r="AG276" s="601">
        <f t="shared" si="13"/>
        <v>79.772500000000008</v>
      </c>
      <c r="AH276" s="601">
        <f t="shared" si="14"/>
        <v>1675.2225000000001</v>
      </c>
      <c r="AI276" s="985">
        <v>236347</v>
      </c>
      <c r="AJ276" s="370"/>
    </row>
    <row r="277" spans="1:64" s="371" customFormat="1">
      <c r="A277" s="962">
        <v>42282</v>
      </c>
      <c r="B277" s="732" t="s">
        <v>647</v>
      </c>
      <c r="C277" s="599"/>
      <c r="D277" s="600">
        <v>1400</v>
      </c>
      <c r="E277" s="599"/>
      <c r="F277" s="600">
        <v>132</v>
      </c>
      <c r="G277" s="731"/>
      <c r="H277" s="601">
        <v>3150</v>
      </c>
      <c r="I277" s="731">
        <v>0</v>
      </c>
      <c r="J277" s="601">
        <v>0</v>
      </c>
      <c r="K277" s="731">
        <v>1</v>
      </c>
      <c r="L277" s="601">
        <v>2100</v>
      </c>
      <c r="M277" s="731"/>
      <c r="N277" s="601">
        <v>198</v>
      </c>
      <c r="O277" s="691"/>
      <c r="P277" s="688"/>
      <c r="Q277" s="767"/>
      <c r="R277" s="767"/>
      <c r="S277" s="767"/>
      <c r="T277" s="767"/>
      <c r="U277" s="731">
        <v>1</v>
      </c>
      <c r="V277" s="602">
        <v>60</v>
      </c>
      <c r="W277" s="731">
        <v>1</v>
      </c>
      <c r="X277" s="602">
        <v>150</v>
      </c>
      <c r="Y277" s="731"/>
      <c r="Z277" s="603">
        <v>24</v>
      </c>
      <c r="AA277" s="731">
        <v>6</v>
      </c>
      <c r="AB277" s="603">
        <v>16</v>
      </c>
      <c r="AC277" s="731"/>
      <c r="AD277" s="731">
        <v>1</v>
      </c>
      <c r="AE277" s="604">
        <v>138.6</v>
      </c>
      <c r="AF277" s="601">
        <f t="shared" si="12"/>
        <v>2544.6</v>
      </c>
      <c r="AG277" s="601">
        <f t="shared" si="13"/>
        <v>127.23</v>
      </c>
      <c r="AH277" s="601">
        <f t="shared" si="14"/>
        <v>2671.83</v>
      </c>
      <c r="AI277" s="985">
        <v>236347</v>
      </c>
      <c r="AJ277" s="390" t="s">
        <v>938</v>
      </c>
    </row>
    <row r="278" spans="1:64" s="371" customFormat="1">
      <c r="A278" s="962">
        <v>42283</v>
      </c>
      <c r="B278" s="732" t="s">
        <v>648</v>
      </c>
      <c r="C278" s="599"/>
      <c r="D278" s="600">
        <v>1400</v>
      </c>
      <c r="E278" s="599"/>
      <c r="F278" s="600">
        <v>132</v>
      </c>
      <c r="G278" s="731"/>
      <c r="H278" s="601">
        <v>3150</v>
      </c>
      <c r="I278" s="731"/>
      <c r="J278" s="601">
        <v>0</v>
      </c>
      <c r="K278" s="731">
        <v>1</v>
      </c>
      <c r="L278" s="601">
        <v>2100</v>
      </c>
      <c r="M278" s="731"/>
      <c r="N278" s="601">
        <v>198</v>
      </c>
      <c r="O278" s="691"/>
      <c r="P278" s="688"/>
      <c r="Q278" s="767"/>
      <c r="R278" s="767"/>
      <c r="S278" s="767"/>
      <c r="T278" s="767"/>
      <c r="U278" s="731">
        <v>1</v>
      </c>
      <c r="V278" s="602">
        <v>60</v>
      </c>
      <c r="W278" s="731">
        <v>1</v>
      </c>
      <c r="X278" s="602">
        <v>150</v>
      </c>
      <c r="Y278" s="731">
        <v>2</v>
      </c>
      <c r="Z278" s="603">
        <v>24</v>
      </c>
      <c r="AA278" s="731">
        <v>1</v>
      </c>
      <c r="AB278" s="603">
        <v>16</v>
      </c>
      <c r="AC278" s="731">
        <v>60</v>
      </c>
      <c r="AD278" s="731">
        <v>1</v>
      </c>
      <c r="AE278" s="604">
        <v>138.6</v>
      </c>
      <c r="AF278" s="601">
        <f t="shared" si="12"/>
        <v>2572.6</v>
      </c>
      <c r="AG278" s="601">
        <f t="shared" si="13"/>
        <v>128.63</v>
      </c>
      <c r="AH278" s="601">
        <f t="shared" si="14"/>
        <v>2701.23</v>
      </c>
      <c r="AI278" s="985">
        <v>236347</v>
      </c>
      <c r="AJ278" s="815" t="s">
        <v>754</v>
      </c>
    </row>
    <row r="279" spans="1:64" s="371" customFormat="1">
      <c r="A279" s="962">
        <v>42284</v>
      </c>
      <c r="B279" s="732" t="s">
        <v>649</v>
      </c>
      <c r="C279" s="599">
        <v>1</v>
      </c>
      <c r="D279" s="600">
        <v>1400</v>
      </c>
      <c r="E279" s="599"/>
      <c r="F279" s="600">
        <v>132</v>
      </c>
      <c r="G279" s="731"/>
      <c r="H279" s="601">
        <v>3150</v>
      </c>
      <c r="I279" s="731"/>
      <c r="J279" s="601">
        <v>0</v>
      </c>
      <c r="K279" s="731"/>
      <c r="L279" s="601">
        <v>2100</v>
      </c>
      <c r="M279" s="731"/>
      <c r="N279" s="601">
        <v>198</v>
      </c>
      <c r="O279" s="691"/>
      <c r="P279" s="688"/>
      <c r="Q279" s="767"/>
      <c r="R279" s="767"/>
      <c r="S279" s="767"/>
      <c r="T279" s="767"/>
      <c r="U279" s="731">
        <v>1</v>
      </c>
      <c r="V279" s="602">
        <v>60</v>
      </c>
      <c r="W279" s="731"/>
      <c r="X279" s="602">
        <v>150</v>
      </c>
      <c r="Y279" s="731"/>
      <c r="Z279" s="603">
        <v>24</v>
      </c>
      <c r="AA279" s="731"/>
      <c r="AB279" s="603">
        <v>16</v>
      </c>
      <c r="AC279" s="731"/>
      <c r="AD279" s="731">
        <v>1</v>
      </c>
      <c r="AE279" s="604">
        <v>135.44999999999999</v>
      </c>
      <c r="AF279" s="601">
        <f t="shared" si="12"/>
        <v>1595.45</v>
      </c>
      <c r="AG279" s="601">
        <f t="shared" si="13"/>
        <v>79.772500000000008</v>
      </c>
      <c r="AH279" s="601">
        <f t="shared" si="14"/>
        <v>1675.2225000000001</v>
      </c>
      <c r="AI279" s="985">
        <v>236347</v>
      </c>
      <c r="AJ279" s="1001"/>
    </row>
    <row r="280" spans="1:64" s="468" customFormat="1">
      <c r="A280" s="962">
        <v>42284</v>
      </c>
      <c r="B280" s="732" t="s">
        <v>650</v>
      </c>
      <c r="C280" s="599"/>
      <c r="D280" s="600">
        <v>1400</v>
      </c>
      <c r="E280" s="599"/>
      <c r="F280" s="600">
        <v>132</v>
      </c>
      <c r="G280" s="731"/>
      <c r="H280" s="601">
        <v>3150</v>
      </c>
      <c r="I280" s="731"/>
      <c r="J280" s="601">
        <v>0</v>
      </c>
      <c r="K280" s="731">
        <v>0.5</v>
      </c>
      <c r="L280" s="601">
        <v>2100</v>
      </c>
      <c r="M280" s="731"/>
      <c r="N280" s="601">
        <v>198</v>
      </c>
      <c r="O280" s="691"/>
      <c r="P280" s="688"/>
      <c r="Q280" s="767"/>
      <c r="R280" s="767"/>
      <c r="S280" s="767"/>
      <c r="T280" s="767"/>
      <c r="U280" s="731">
        <v>1</v>
      </c>
      <c r="V280" s="602">
        <v>60</v>
      </c>
      <c r="W280" s="731">
        <v>1</v>
      </c>
      <c r="X280" s="602">
        <v>150</v>
      </c>
      <c r="Y280" s="731"/>
      <c r="Z280" s="603">
        <v>24</v>
      </c>
      <c r="AA280" s="731">
        <v>4</v>
      </c>
      <c r="AB280" s="603">
        <v>16</v>
      </c>
      <c r="AC280" s="731"/>
      <c r="AD280" s="731">
        <v>1</v>
      </c>
      <c r="AE280" s="604">
        <v>138.6</v>
      </c>
      <c r="AF280" s="601">
        <f t="shared" si="12"/>
        <v>1462.6</v>
      </c>
      <c r="AG280" s="601">
        <f t="shared" si="13"/>
        <v>73.13</v>
      </c>
      <c r="AH280" s="601">
        <f t="shared" si="14"/>
        <v>1535.73</v>
      </c>
      <c r="AI280" s="985">
        <v>236347</v>
      </c>
      <c r="AJ280" s="370"/>
      <c r="AK280" s="371"/>
      <c r="AL280" s="371"/>
      <c r="AM280" s="371"/>
      <c r="AN280" s="371"/>
      <c r="AO280" s="371"/>
      <c r="AP280" s="371"/>
      <c r="AQ280" s="371"/>
      <c r="AR280" s="371"/>
      <c r="AS280" s="371"/>
      <c r="AT280" s="371"/>
      <c r="AU280" s="371"/>
      <c r="AV280" s="371"/>
      <c r="AW280" s="371"/>
      <c r="AX280" s="371"/>
      <c r="AY280" s="371"/>
      <c r="AZ280" s="371"/>
      <c r="BA280" s="371"/>
      <c r="BB280" s="371"/>
      <c r="BC280" s="371"/>
      <c r="BD280" s="371"/>
      <c r="BE280" s="371"/>
      <c r="BF280" s="371"/>
      <c r="BG280" s="371"/>
      <c r="BH280" s="371"/>
      <c r="BI280" s="371"/>
      <c r="BJ280" s="371"/>
      <c r="BK280" s="371"/>
      <c r="BL280" s="371"/>
    </row>
    <row r="281" spans="1:64" s="468" customFormat="1">
      <c r="A281" s="1009">
        <v>42290</v>
      </c>
      <c r="B281" s="968" t="s">
        <v>658</v>
      </c>
      <c r="C281" s="969">
        <v>1</v>
      </c>
      <c r="D281" s="970">
        <v>1400</v>
      </c>
      <c r="E281" s="969"/>
      <c r="F281" s="970">
        <v>132</v>
      </c>
      <c r="G281" s="972"/>
      <c r="H281" s="971">
        <v>3150</v>
      </c>
      <c r="I281" s="972"/>
      <c r="J281" s="971">
        <v>0</v>
      </c>
      <c r="K281" s="972"/>
      <c r="L281" s="971">
        <v>2100</v>
      </c>
      <c r="M281" s="972"/>
      <c r="N281" s="971">
        <v>198</v>
      </c>
      <c r="O281" s="973"/>
      <c r="P281" s="974"/>
      <c r="Q281" s="975"/>
      <c r="R281" s="975"/>
      <c r="S281" s="975"/>
      <c r="T281" s="975"/>
      <c r="U281" s="972">
        <v>1</v>
      </c>
      <c r="V281" s="976">
        <v>60</v>
      </c>
      <c r="W281" s="972"/>
      <c r="X281" s="976">
        <v>150</v>
      </c>
      <c r="Y281" s="972"/>
      <c r="Z281" s="977">
        <v>24</v>
      </c>
      <c r="AA281" s="972"/>
      <c r="AB281" s="977">
        <v>16</v>
      </c>
      <c r="AC281" s="972"/>
      <c r="AD281" s="972">
        <v>1</v>
      </c>
      <c r="AE281" s="978">
        <v>135.44999999999999</v>
      </c>
      <c r="AF281" s="971">
        <f t="shared" si="12"/>
        <v>1595.45</v>
      </c>
      <c r="AG281" s="971">
        <f t="shared" si="13"/>
        <v>79.772500000000008</v>
      </c>
      <c r="AH281" s="971">
        <f t="shared" si="14"/>
        <v>1675.2225000000001</v>
      </c>
      <c r="AI281" s="990">
        <v>235529</v>
      </c>
      <c r="AJ281" s="467"/>
    </row>
    <row r="282" spans="1:64" s="468" customFormat="1">
      <c r="A282" s="1009">
        <v>42290</v>
      </c>
      <c r="B282" s="968" t="s">
        <v>659</v>
      </c>
      <c r="C282" s="969"/>
      <c r="D282" s="970">
        <v>1400</v>
      </c>
      <c r="E282" s="969"/>
      <c r="F282" s="970">
        <v>132</v>
      </c>
      <c r="G282" s="972"/>
      <c r="H282" s="971">
        <v>3150</v>
      </c>
      <c r="I282" s="972"/>
      <c r="J282" s="971">
        <v>0</v>
      </c>
      <c r="K282" s="972">
        <v>0.33333099999999999</v>
      </c>
      <c r="L282" s="971">
        <v>2100</v>
      </c>
      <c r="M282" s="972"/>
      <c r="N282" s="971">
        <v>198</v>
      </c>
      <c r="O282" s="973"/>
      <c r="P282" s="974"/>
      <c r="Q282" s="975"/>
      <c r="R282" s="975"/>
      <c r="S282" s="975"/>
      <c r="T282" s="975"/>
      <c r="U282" s="972">
        <v>1</v>
      </c>
      <c r="V282" s="976">
        <v>60</v>
      </c>
      <c r="W282" s="972">
        <v>1</v>
      </c>
      <c r="X282" s="976">
        <v>150</v>
      </c>
      <c r="Y282" s="972"/>
      <c r="Z282" s="977">
        <v>24</v>
      </c>
      <c r="AA282" s="972"/>
      <c r="AB282" s="977">
        <v>16</v>
      </c>
      <c r="AC282" s="972">
        <v>40</v>
      </c>
      <c r="AD282" s="972">
        <v>1</v>
      </c>
      <c r="AE282" s="978">
        <v>138.6</v>
      </c>
      <c r="AF282" s="971">
        <f t="shared" si="12"/>
        <v>1088.5951</v>
      </c>
      <c r="AG282" s="971">
        <f t="shared" si="13"/>
        <v>54.429755</v>
      </c>
      <c r="AH282" s="971">
        <f t="shared" si="14"/>
        <v>1143.0248550000001</v>
      </c>
      <c r="AI282" s="990">
        <v>235529</v>
      </c>
      <c r="AJ282" s="467"/>
    </row>
    <row r="283" spans="1:64" s="468" customFormat="1">
      <c r="A283" s="1009">
        <v>42291</v>
      </c>
      <c r="B283" s="968" t="s">
        <v>665</v>
      </c>
      <c r="C283" s="969"/>
      <c r="D283" s="970">
        <v>1400</v>
      </c>
      <c r="E283" s="969"/>
      <c r="F283" s="970">
        <v>132</v>
      </c>
      <c r="G283" s="972"/>
      <c r="H283" s="971">
        <v>3150</v>
      </c>
      <c r="I283" s="971"/>
      <c r="J283" s="971">
        <v>0</v>
      </c>
      <c r="K283" s="972">
        <v>1</v>
      </c>
      <c r="L283" s="971">
        <v>2100</v>
      </c>
      <c r="M283" s="972"/>
      <c r="N283" s="971">
        <v>198</v>
      </c>
      <c r="O283" s="973"/>
      <c r="P283" s="974"/>
      <c r="Q283" s="975"/>
      <c r="R283" s="975">
        <v>88.48</v>
      </c>
      <c r="S283" s="975"/>
      <c r="T283" s="975">
        <v>72.14</v>
      </c>
      <c r="U283" s="972">
        <v>1</v>
      </c>
      <c r="V283" s="976">
        <v>60</v>
      </c>
      <c r="W283" s="972">
        <v>1</v>
      </c>
      <c r="X283" s="976">
        <v>150</v>
      </c>
      <c r="Y283" s="972"/>
      <c r="Z283" s="977">
        <v>24</v>
      </c>
      <c r="AA283" s="972">
        <v>17</v>
      </c>
      <c r="AB283" s="977">
        <v>16</v>
      </c>
      <c r="AC283" s="972"/>
      <c r="AD283" s="972">
        <v>1</v>
      </c>
      <c r="AE283" s="978">
        <v>138.6</v>
      </c>
      <c r="AF283" s="971">
        <f t="shared" si="12"/>
        <v>2720.6</v>
      </c>
      <c r="AG283" s="971">
        <f t="shared" si="13"/>
        <v>136.03</v>
      </c>
      <c r="AH283" s="971">
        <f t="shared" si="14"/>
        <v>2856.63</v>
      </c>
      <c r="AI283" s="990">
        <v>235529</v>
      </c>
      <c r="AJ283" s="467"/>
    </row>
    <row r="284" spans="1:64" s="468" customFormat="1">
      <c r="A284" s="1009">
        <v>42291</v>
      </c>
      <c r="B284" s="968" t="s">
        <v>666</v>
      </c>
      <c r="C284" s="969"/>
      <c r="D284" s="970">
        <v>1400</v>
      </c>
      <c r="E284" s="969"/>
      <c r="F284" s="970">
        <v>132</v>
      </c>
      <c r="G284" s="972"/>
      <c r="H284" s="971">
        <v>3150</v>
      </c>
      <c r="I284" s="971"/>
      <c r="J284" s="971">
        <v>0</v>
      </c>
      <c r="K284" s="972"/>
      <c r="L284" s="971">
        <v>2100</v>
      </c>
      <c r="M284" s="972"/>
      <c r="N284" s="971">
        <v>198</v>
      </c>
      <c r="O284" s="973"/>
      <c r="P284" s="974"/>
      <c r="Q284" s="975">
        <v>8</v>
      </c>
      <c r="R284" s="975">
        <v>88.48</v>
      </c>
      <c r="S284" s="975">
        <v>8</v>
      </c>
      <c r="T284" s="975">
        <v>72.14</v>
      </c>
      <c r="U284" s="972"/>
      <c r="V284" s="976">
        <v>60</v>
      </c>
      <c r="W284" s="972"/>
      <c r="X284" s="976">
        <v>150</v>
      </c>
      <c r="Y284" s="972"/>
      <c r="Z284" s="977">
        <v>24</v>
      </c>
      <c r="AA284" s="972"/>
      <c r="AB284" s="977">
        <v>16</v>
      </c>
      <c r="AC284" s="972"/>
      <c r="AD284" s="972"/>
      <c r="AE284" s="978"/>
      <c r="AF284" s="971">
        <f t="shared" si="12"/>
        <v>1284.96</v>
      </c>
      <c r="AG284" s="971">
        <f t="shared" si="13"/>
        <v>64.248000000000005</v>
      </c>
      <c r="AH284" s="971">
        <f t="shared" si="14"/>
        <v>1349.2080000000001</v>
      </c>
      <c r="AI284" s="990">
        <v>235529</v>
      </c>
      <c r="AJ284" s="467"/>
    </row>
    <row r="285" spans="1:64" s="468" customFormat="1">
      <c r="A285" s="1009">
        <v>42292</v>
      </c>
      <c r="B285" s="968" t="s">
        <v>667</v>
      </c>
      <c r="C285" s="969">
        <v>1</v>
      </c>
      <c r="D285" s="970">
        <v>1400</v>
      </c>
      <c r="E285" s="969"/>
      <c r="F285" s="970">
        <v>132</v>
      </c>
      <c r="G285" s="972"/>
      <c r="H285" s="971">
        <v>3150</v>
      </c>
      <c r="I285" s="971"/>
      <c r="J285" s="971">
        <v>0</v>
      </c>
      <c r="K285" s="972"/>
      <c r="L285" s="971">
        <v>2100</v>
      </c>
      <c r="M285" s="972"/>
      <c r="N285" s="971">
        <v>198</v>
      </c>
      <c r="O285" s="973"/>
      <c r="P285" s="974">
        <v>2275</v>
      </c>
      <c r="Q285" s="975"/>
      <c r="R285" s="975">
        <v>88.48</v>
      </c>
      <c r="S285" s="975"/>
      <c r="T285" s="975">
        <v>72.14</v>
      </c>
      <c r="U285" s="972">
        <v>1</v>
      </c>
      <c r="V285" s="976">
        <v>60</v>
      </c>
      <c r="W285" s="972"/>
      <c r="X285" s="976">
        <v>150</v>
      </c>
      <c r="Y285" s="972"/>
      <c r="Z285" s="977">
        <v>24</v>
      </c>
      <c r="AA285" s="972"/>
      <c r="AB285" s="977">
        <v>16</v>
      </c>
      <c r="AC285" s="972"/>
      <c r="AD285" s="972">
        <v>1</v>
      </c>
      <c r="AE285" s="978">
        <v>135.44999999999999</v>
      </c>
      <c r="AF285" s="971">
        <f t="shared" si="12"/>
        <v>1595.45</v>
      </c>
      <c r="AG285" s="971">
        <f t="shared" si="13"/>
        <v>79.772500000000008</v>
      </c>
      <c r="AH285" s="971">
        <f t="shared" si="14"/>
        <v>1675.2225000000001</v>
      </c>
      <c r="AI285" s="990">
        <v>235529</v>
      </c>
      <c r="AJ285" s="467"/>
    </row>
    <row r="286" spans="1:64" s="468" customFormat="1">
      <c r="A286" s="1009">
        <v>42292</v>
      </c>
      <c r="B286" s="968" t="s">
        <v>668</v>
      </c>
      <c r="C286" s="969"/>
      <c r="D286" s="970">
        <v>1400</v>
      </c>
      <c r="E286" s="969"/>
      <c r="F286" s="970">
        <v>132</v>
      </c>
      <c r="G286" s="972"/>
      <c r="H286" s="971">
        <v>3150</v>
      </c>
      <c r="I286" s="971"/>
      <c r="J286" s="971">
        <v>0</v>
      </c>
      <c r="K286" s="972"/>
      <c r="L286" s="971">
        <v>2100</v>
      </c>
      <c r="M286" s="972"/>
      <c r="N286" s="971">
        <v>198</v>
      </c>
      <c r="O286" s="973">
        <v>1</v>
      </c>
      <c r="P286" s="974">
        <v>2275</v>
      </c>
      <c r="Q286" s="975"/>
      <c r="R286" s="975">
        <v>88.48</v>
      </c>
      <c r="S286" s="975"/>
      <c r="T286" s="975">
        <v>72.14</v>
      </c>
      <c r="U286" s="972">
        <v>2</v>
      </c>
      <c r="V286" s="976">
        <v>60</v>
      </c>
      <c r="W286" s="972"/>
      <c r="X286" s="976">
        <v>150</v>
      </c>
      <c r="Y286" s="972"/>
      <c r="Z286" s="977">
        <v>24</v>
      </c>
      <c r="AA286" s="972">
        <v>14</v>
      </c>
      <c r="AB286" s="977">
        <v>16</v>
      </c>
      <c r="AC286" s="972"/>
      <c r="AD286" s="972">
        <v>1</v>
      </c>
      <c r="AE286" s="978">
        <v>247.8</v>
      </c>
      <c r="AF286" s="971">
        <f t="shared" si="12"/>
        <v>2866.8</v>
      </c>
      <c r="AG286" s="971">
        <f t="shared" si="13"/>
        <v>143.34</v>
      </c>
      <c r="AH286" s="971">
        <f t="shared" si="14"/>
        <v>3010.1400000000003</v>
      </c>
      <c r="AI286" s="990">
        <v>235529</v>
      </c>
      <c r="AJ286" s="467"/>
    </row>
    <row r="287" spans="1:64" s="468" customFormat="1">
      <c r="A287" s="1009">
        <v>42292</v>
      </c>
      <c r="B287" s="968" t="s">
        <v>671</v>
      </c>
      <c r="C287" s="969"/>
      <c r="D287" s="970">
        <v>1400</v>
      </c>
      <c r="E287" s="969"/>
      <c r="F287" s="970">
        <v>132</v>
      </c>
      <c r="G287" s="972"/>
      <c r="H287" s="971">
        <v>3150</v>
      </c>
      <c r="I287" s="971"/>
      <c r="J287" s="971">
        <v>0</v>
      </c>
      <c r="K287" s="972">
        <v>1</v>
      </c>
      <c r="L287" s="971">
        <v>2100</v>
      </c>
      <c r="M287" s="972"/>
      <c r="N287" s="971">
        <v>198</v>
      </c>
      <c r="O287" s="973"/>
      <c r="P287" s="974">
        <v>2275</v>
      </c>
      <c r="Q287" s="975"/>
      <c r="R287" s="975">
        <v>88.48</v>
      </c>
      <c r="S287" s="975"/>
      <c r="T287" s="975">
        <v>72.14</v>
      </c>
      <c r="U287" s="972">
        <v>1</v>
      </c>
      <c r="V287" s="976">
        <v>60</v>
      </c>
      <c r="W287" s="972">
        <v>1</v>
      </c>
      <c r="X287" s="976">
        <v>150</v>
      </c>
      <c r="Y287" s="972"/>
      <c r="Z287" s="977">
        <v>24</v>
      </c>
      <c r="AA287" s="972">
        <v>1</v>
      </c>
      <c r="AB287" s="977">
        <v>16</v>
      </c>
      <c r="AC287" s="972"/>
      <c r="AD287" s="972">
        <v>1</v>
      </c>
      <c r="AE287" s="978">
        <v>138.6</v>
      </c>
      <c r="AF287" s="971">
        <f t="shared" si="12"/>
        <v>2464.6</v>
      </c>
      <c r="AG287" s="971">
        <f t="shared" si="13"/>
        <v>123.23</v>
      </c>
      <c r="AH287" s="971">
        <f t="shared" si="14"/>
        <v>2587.83</v>
      </c>
      <c r="AI287" s="990">
        <v>235529</v>
      </c>
      <c r="AJ287" s="467"/>
    </row>
    <row r="288" spans="1:64" s="468" customFormat="1">
      <c r="A288" s="1009">
        <v>42293</v>
      </c>
      <c r="B288" s="968" t="s">
        <v>675</v>
      </c>
      <c r="C288" s="969"/>
      <c r="D288" s="970">
        <v>1400</v>
      </c>
      <c r="E288" s="969"/>
      <c r="F288" s="970">
        <v>132</v>
      </c>
      <c r="G288" s="972"/>
      <c r="H288" s="971">
        <v>3150</v>
      </c>
      <c r="I288" s="971"/>
      <c r="J288" s="971">
        <v>0</v>
      </c>
      <c r="K288" s="972"/>
      <c r="L288" s="971">
        <v>2100</v>
      </c>
      <c r="M288" s="972"/>
      <c r="N288" s="971">
        <v>198</v>
      </c>
      <c r="O288" s="973">
        <v>0.16667000000000001</v>
      </c>
      <c r="P288" s="974">
        <v>2275</v>
      </c>
      <c r="Q288" s="975"/>
      <c r="R288" s="975">
        <v>88.48</v>
      </c>
      <c r="S288" s="975"/>
      <c r="T288" s="975">
        <v>72.14</v>
      </c>
      <c r="U288" s="972"/>
      <c r="V288" s="976">
        <v>60</v>
      </c>
      <c r="W288" s="972"/>
      <c r="X288" s="976">
        <v>150</v>
      </c>
      <c r="Y288" s="972"/>
      <c r="Z288" s="977">
        <v>24</v>
      </c>
      <c r="AA288" s="972"/>
      <c r="AB288" s="977">
        <v>16</v>
      </c>
      <c r="AC288" s="972"/>
      <c r="AD288" s="972"/>
      <c r="AE288" s="978"/>
      <c r="AF288" s="971">
        <f t="shared" si="12"/>
        <v>379.17425000000003</v>
      </c>
      <c r="AG288" s="971">
        <f t="shared" si="13"/>
        <v>18.958712500000001</v>
      </c>
      <c r="AH288" s="971">
        <f t="shared" si="14"/>
        <v>398.13296250000002</v>
      </c>
      <c r="AI288" s="990">
        <v>235529</v>
      </c>
      <c r="AJ288" s="467"/>
    </row>
    <row r="289" spans="1:36" s="468" customFormat="1">
      <c r="A289" s="1009">
        <v>42293</v>
      </c>
      <c r="B289" s="968" t="s">
        <v>676</v>
      </c>
      <c r="C289" s="969"/>
      <c r="D289" s="970">
        <v>1400</v>
      </c>
      <c r="E289" s="969"/>
      <c r="F289" s="970">
        <v>132</v>
      </c>
      <c r="G289" s="972"/>
      <c r="H289" s="971">
        <v>3150</v>
      </c>
      <c r="I289" s="971"/>
      <c r="J289" s="971">
        <v>0</v>
      </c>
      <c r="K289" s="972">
        <v>1</v>
      </c>
      <c r="L289" s="971">
        <v>2100</v>
      </c>
      <c r="M289" s="972"/>
      <c r="N289" s="971">
        <v>198</v>
      </c>
      <c r="O289" s="973"/>
      <c r="P289" s="974">
        <v>2275</v>
      </c>
      <c r="Q289" s="975"/>
      <c r="R289" s="975">
        <v>88.48</v>
      </c>
      <c r="S289" s="975"/>
      <c r="T289" s="975">
        <v>72.14</v>
      </c>
      <c r="U289" s="972">
        <v>1</v>
      </c>
      <c r="V289" s="976">
        <v>60</v>
      </c>
      <c r="W289" s="972">
        <v>1</v>
      </c>
      <c r="X289" s="976">
        <v>150</v>
      </c>
      <c r="Y289" s="972">
        <v>7</v>
      </c>
      <c r="Z289" s="977">
        <v>24</v>
      </c>
      <c r="AA289" s="972"/>
      <c r="AB289" s="977">
        <v>16</v>
      </c>
      <c r="AC289" s="972"/>
      <c r="AD289" s="972">
        <v>1</v>
      </c>
      <c r="AE289" s="978">
        <v>138.6</v>
      </c>
      <c r="AF289" s="971">
        <f t="shared" si="12"/>
        <v>2616.6</v>
      </c>
      <c r="AG289" s="971">
        <f t="shared" si="13"/>
        <v>130.83000000000001</v>
      </c>
      <c r="AH289" s="971">
        <f t="shared" si="14"/>
        <v>2747.43</v>
      </c>
      <c r="AI289" s="990">
        <v>235529</v>
      </c>
      <c r="AJ289" s="467"/>
    </row>
    <row r="290" spans="1:36" s="468" customFormat="1">
      <c r="A290" s="1009">
        <v>42294</v>
      </c>
      <c r="B290" s="968" t="s">
        <v>681</v>
      </c>
      <c r="C290" s="969">
        <v>1</v>
      </c>
      <c r="D290" s="970">
        <v>1400</v>
      </c>
      <c r="E290" s="969"/>
      <c r="F290" s="970">
        <v>132</v>
      </c>
      <c r="G290" s="972"/>
      <c r="H290" s="971">
        <v>3150</v>
      </c>
      <c r="I290" s="971"/>
      <c r="J290" s="971">
        <v>0</v>
      </c>
      <c r="K290" s="972"/>
      <c r="L290" s="971">
        <v>2100</v>
      </c>
      <c r="M290" s="972"/>
      <c r="N290" s="971">
        <v>198</v>
      </c>
      <c r="O290" s="973"/>
      <c r="P290" s="974">
        <v>2275</v>
      </c>
      <c r="Q290" s="975"/>
      <c r="R290" s="975">
        <v>88.48</v>
      </c>
      <c r="S290" s="975"/>
      <c r="T290" s="975">
        <v>72.14</v>
      </c>
      <c r="U290" s="972">
        <v>1</v>
      </c>
      <c r="V290" s="976">
        <v>60</v>
      </c>
      <c r="W290" s="972"/>
      <c r="X290" s="976">
        <v>150</v>
      </c>
      <c r="Y290" s="972"/>
      <c r="Z290" s="977">
        <v>24</v>
      </c>
      <c r="AA290" s="972"/>
      <c r="AB290" s="977">
        <v>16</v>
      </c>
      <c r="AC290" s="972"/>
      <c r="AD290" s="972">
        <v>1</v>
      </c>
      <c r="AE290" s="978">
        <v>135.44999999999999</v>
      </c>
      <c r="AF290" s="971">
        <f t="shared" si="12"/>
        <v>1595.45</v>
      </c>
      <c r="AG290" s="971">
        <f t="shared" si="13"/>
        <v>79.772500000000008</v>
      </c>
      <c r="AH290" s="971">
        <f t="shared" si="14"/>
        <v>1675.2225000000001</v>
      </c>
      <c r="AI290" s="990">
        <v>235529</v>
      </c>
      <c r="AJ290" s="467"/>
    </row>
    <row r="291" spans="1:36" s="468" customFormat="1">
      <c r="A291" s="1009">
        <v>42294</v>
      </c>
      <c r="B291" s="968" t="s">
        <v>682</v>
      </c>
      <c r="C291" s="969"/>
      <c r="D291" s="970">
        <v>1400</v>
      </c>
      <c r="E291" s="969"/>
      <c r="F291" s="970">
        <v>132</v>
      </c>
      <c r="G291" s="972"/>
      <c r="H291" s="971">
        <v>3150</v>
      </c>
      <c r="I291" s="971"/>
      <c r="J291" s="971">
        <v>0</v>
      </c>
      <c r="K291" s="972"/>
      <c r="L291" s="971">
        <v>2100</v>
      </c>
      <c r="M291" s="972"/>
      <c r="N291" s="971">
        <v>198</v>
      </c>
      <c r="O291" s="973">
        <v>0.25</v>
      </c>
      <c r="P291" s="974">
        <v>2275</v>
      </c>
      <c r="Q291" s="975"/>
      <c r="R291" s="975">
        <v>88.48</v>
      </c>
      <c r="S291" s="975"/>
      <c r="T291" s="975">
        <v>72.14</v>
      </c>
      <c r="U291" s="972"/>
      <c r="V291" s="976">
        <v>60</v>
      </c>
      <c r="W291" s="972"/>
      <c r="X291" s="976">
        <v>150</v>
      </c>
      <c r="Y291" s="972"/>
      <c r="Z291" s="977">
        <v>24</v>
      </c>
      <c r="AA291" s="972"/>
      <c r="AB291" s="977">
        <v>16</v>
      </c>
      <c r="AC291" s="972"/>
      <c r="AD291" s="972"/>
      <c r="AE291" s="978"/>
      <c r="AF291" s="971">
        <f t="shared" si="12"/>
        <v>568.75</v>
      </c>
      <c r="AG291" s="971">
        <f t="shared" si="13"/>
        <v>28.4375</v>
      </c>
      <c r="AH291" s="971">
        <f t="shared" si="14"/>
        <v>597.1875</v>
      </c>
      <c r="AI291" s="990">
        <v>235529</v>
      </c>
      <c r="AJ291" s="467"/>
    </row>
    <row r="292" spans="1:36" s="468" customFormat="1">
      <c r="A292" s="1009">
        <v>42294</v>
      </c>
      <c r="B292" s="968" t="s">
        <v>683</v>
      </c>
      <c r="C292" s="969"/>
      <c r="D292" s="970">
        <v>1400</v>
      </c>
      <c r="E292" s="969"/>
      <c r="F292" s="970">
        <v>132</v>
      </c>
      <c r="G292" s="972"/>
      <c r="H292" s="971">
        <v>3150</v>
      </c>
      <c r="I292" s="971"/>
      <c r="J292" s="971">
        <v>0</v>
      </c>
      <c r="K292" s="972">
        <v>1</v>
      </c>
      <c r="L292" s="971">
        <v>2100</v>
      </c>
      <c r="M292" s="972">
        <v>0</v>
      </c>
      <c r="N292" s="971">
        <v>198</v>
      </c>
      <c r="O292" s="973"/>
      <c r="P292" s="974">
        <v>2275</v>
      </c>
      <c r="Q292" s="975"/>
      <c r="R292" s="975">
        <v>88.48</v>
      </c>
      <c r="S292" s="975"/>
      <c r="T292" s="975">
        <v>72.14</v>
      </c>
      <c r="U292" s="972">
        <v>1</v>
      </c>
      <c r="V292" s="976">
        <v>60</v>
      </c>
      <c r="W292" s="972">
        <v>1</v>
      </c>
      <c r="X292" s="976">
        <v>150</v>
      </c>
      <c r="Y292" s="972"/>
      <c r="Z292" s="977">
        <v>24</v>
      </c>
      <c r="AA292" s="972">
        <v>9</v>
      </c>
      <c r="AB292" s="977">
        <v>16</v>
      </c>
      <c r="AC292" s="972"/>
      <c r="AD292" s="972">
        <v>1</v>
      </c>
      <c r="AE292" s="978">
        <v>138.6</v>
      </c>
      <c r="AF292" s="971">
        <f t="shared" si="12"/>
        <v>2592.6</v>
      </c>
      <c r="AG292" s="971">
        <f t="shared" si="13"/>
        <v>129.63</v>
      </c>
      <c r="AH292" s="971">
        <f t="shared" si="14"/>
        <v>2722.23</v>
      </c>
      <c r="AI292" s="990">
        <v>235529</v>
      </c>
      <c r="AJ292" s="467"/>
    </row>
    <row r="293" spans="1:36" s="468" customFormat="1">
      <c r="A293" s="1009">
        <v>42295</v>
      </c>
      <c r="B293" s="979" t="s">
        <v>696</v>
      </c>
      <c r="C293" s="969">
        <v>1</v>
      </c>
      <c r="D293" s="970">
        <v>1750</v>
      </c>
      <c r="E293" s="969"/>
      <c r="F293" s="970">
        <v>132</v>
      </c>
      <c r="G293" s="972"/>
      <c r="H293" s="971">
        <v>3150</v>
      </c>
      <c r="I293" s="971"/>
      <c r="J293" s="971">
        <v>0</v>
      </c>
      <c r="K293" s="972"/>
      <c r="L293" s="971">
        <v>2100</v>
      </c>
      <c r="M293" s="972"/>
      <c r="N293" s="971">
        <v>198</v>
      </c>
      <c r="O293" s="973"/>
      <c r="P293" s="974">
        <v>2275</v>
      </c>
      <c r="Q293" s="975"/>
      <c r="R293" s="975">
        <v>88.48</v>
      </c>
      <c r="S293" s="975"/>
      <c r="T293" s="975">
        <v>72.14</v>
      </c>
      <c r="U293" s="972">
        <v>1</v>
      </c>
      <c r="V293" s="976">
        <v>60</v>
      </c>
      <c r="W293" s="972"/>
      <c r="X293" s="976">
        <v>150</v>
      </c>
      <c r="Y293" s="972"/>
      <c r="Z293" s="977">
        <v>24</v>
      </c>
      <c r="AA293" s="972"/>
      <c r="AB293" s="977">
        <v>16</v>
      </c>
      <c r="AC293" s="972"/>
      <c r="AD293" s="972">
        <v>1</v>
      </c>
      <c r="AE293" s="978">
        <v>135.44999999999999</v>
      </c>
      <c r="AF293" s="971">
        <f t="shared" si="12"/>
        <v>1945.45</v>
      </c>
      <c r="AG293" s="971">
        <f t="shared" si="13"/>
        <v>97.272500000000008</v>
      </c>
      <c r="AH293" s="971">
        <f t="shared" si="14"/>
        <v>2042.7225000000001</v>
      </c>
      <c r="AI293" s="990">
        <v>235529</v>
      </c>
      <c r="AJ293" s="467"/>
    </row>
    <row r="294" spans="1:36" s="468" customFormat="1">
      <c r="A294" s="1009">
        <v>42295</v>
      </c>
      <c r="B294" s="968" t="s">
        <v>684</v>
      </c>
      <c r="C294" s="969"/>
      <c r="D294" s="970">
        <v>1400</v>
      </c>
      <c r="E294" s="969"/>
      <c r="F294" s="970">
        <v>132</v>
      </c>
      <c r="G294" s="972"/>
      <c r="H294" s="971">
        <v>3150</v>
      </c>
      <c r="I294" s="971"/>
      <c r="J294" s="971">
        <v>0</v>
      </c>
      <c r="K294" s="972">
        <v>0.5</v>
      </c>
      <c r="L294" s="971">
        <v>2650</v>
      </c>
      <c r="M294" s="972"/>
      <c r="N294" s="971">
        <v>198</v>
      </c>
      <c r="O294" s="973"/>
      <c r="P294" s="974">
        <v>2275</v>
      </c>
      <c r="Q294" s="975"/>
      <c r="R294" s="975">
        <v>88.48</v>
      </c>
      <c r="S294" s="975"/>
      <c r="T294" s="975">
        <v>72.14</v>
      </c>
      <c r="U294" s="972">
        <v>1</v>
      </c>
      <c r="V294" s="976">
        <v>60</v>
      </c>
      <c r="W294" s="972">
        <v>1</v>
      </c>
      <c r="X294" s="976">
        <v>150</v>
      </c>
      <c r="Y294" s="972"/>
      <c r="Z294" s="977">
        <v>24</v>
      </c>
      <c r="AA294" s="972">
        <v>7</v>
      </c>
      <c r="AB294" s="977">
        <v>16</v>
      </c>
      <c r="AC294" s="972"/>
      <c r="AD294" s="972">
        <v>1</v>
      </c>
      <c r="AE294" s="978">
        <v>138.6</v>
      </c>
      <c r="AF294" s="971">
        <f t="shared" si="12"/>
        <v>1785.6</v>
      </c>
      <c r="AG294" s="971">
        <f t="shared" si="13"/>
        <v>89.28</v>
      </c>
      <c r="AH294" s="971">
        <f t="shared" si="14"/>
        <v>1874.8799999999999</v>
      </c>
      <c r="AI294" s="990">
        <v>235529</v>
      </c>
      <c r="AJ294" s="467"/>
    </row>
    <row r="295" spans="1:36" s="468" customFormat="1">
      <c r="A295" s="1009">
        <v>42296</v>
      </c>
      <c r="B295" s="968" t="s">
        <v>685</v>
      </c>
      <c r="C295" s="969"/>
      <c r="D295" s="970">
        <v>1400</v>
      </c>
      <c r="E295" s="969"/>
      <c r="F295" s="970">
        <v>132</v>
      </c>
      <c r="G295" s="972"/>
      <c r="H295" s="971">
        <v>3150</v>
      </c>
      <c r="I295" s="971"/>
      <c r="J295" s="971">
        <v>0</v>
      </c>
      <c r="K295" s="972">
        <v>0.5</v>
      </c>
      <c r="L295" s="971">
        <v>2100</v>
      </c>
      <c r="M295" s="972"/>
      <c r="N295" s="971">
        <v>198</v>
      </c>
      <c r="O295" s="973"/>
      <c r="P295" s="974">
        <v>2275</v>
      </c>
      <c r="Q295" s="975"/>
      <c r="R295" s="975">
        <v>88.48</v>
      </c>
      <c r="S295" s="975"/>
      <c r="T295" s="975">
        <v>72.14</v>
      </c>
      <c r="U295" s="972">
        <v>1</v>
      </c>
      <c r="V295" s="976">
        <v>60</v>
      </c>
      <c r="W295" s="972">
        <v>1</v>
      </c>
      <c r="X295" s="976">
        <v>150</v>
      </c>
      <c r="Y295" s="972"/>
      <c r="Z295" s="977">
        <v>24</v>
      </c>
      <c r="AA295" s="972">
        <v>6</v>
      </c>
      <c r="AB295" s="977">
        <v>16</v>
      </c>
      <c r="AC295" s="972"/>
      <c r="AD295" s="972">
        <v>1</v>
      </c>
      <c r="AE295" s="978">
        <v>138.6</v>
      </c>
      <c r="AF295" s="971">
        <f t="shared" si="12"/>
        <v>1494.6</v>
      </c>
      <c r="AG295" s="971">
        <f t="shared" si="13"/>
        <v>74.73</v>
      </c>
      <c r="AH295" s="971">
        <f t="shared" si="14"/>
        <v>1569.33</v>
      </c>
      <c r="AI295" s="990">
        <v>235529</v>
      </c>
      <c r="AJ295" s="467"/>
    </row>
    <row r="296" spans="1:36" s="468" customFormat="1">
      <c r="A296" s="1009">
        <v>42297</v>
      </c>
      <c r="B296" s="968" t="s">
        <v>692</v>
      </c>
      <c r="C296" s="969"/>
      <c r="D296" s="970">
        <v>1400</v>
      </c>
      <c r="E296" s="969"/>
      <c r="F296" s="970">
        <v>132</v>
      </c>
      <c r="G296" s="972"/>
      <c r="H296" s="971">
        <v>3150</v>
      </c>
      <c r="I296" s="971"/>
      <c r="J296" s="971">
        <v>0</v>
      </c>
      <c r="K296" s="972">
        <v>0.66666499999999995</v>
      </c>
      <c r="L296" s="971">
        <v>2100</v>
      </c>
      <c r="M296" s="972"/>
      <c r="N296" s="971">
        <v>198</v>
      </c>
      <c r="O296" s="973"/>
      <c r="P296" s="974">
        <v>2275</v>
      </c>
      <c r="Q296" s="975"/>
      <c r="R296" s="975">
        <v>88.48</v>
      </c>
      <c r="S296" s="975"/>
      <c r="T296" s="975">
        <v>72.14</v>
      </c>
      <c r="U296" s="972">
        <v>1</v>
      </c>
      <c r="V296" s="976">
        <v>60</v>
      </c>
      <c r="W296" s="972">
        <v>1</v>
      </c>
      <c r="X296" s="976">
        <v>150</v>
      </c>
      <c r="Y296" s="972"/>
      <c r="Z296" s="977">
        <v>24</v>
      </c>
      <c r="AA296" s="972">
        <v>3</v>
      </c>
      <c r="AB296" s="977">
        <v>16</v>
      </c>
      <c r="AC296" s="972"/>
      <c r="AD296" s="972">
        <v>1</v>
      </c>
      <c r="AE296" s="978">
        <v>138.6</v>
      </c>
      <c r="AF296" s="971">
        <f t="shared" si="12"/>
        <v>1796.5964999999999</v>
      </c>
      <c r="AG296" s="971">
        <f t="shared" si="13"/>
        <v>89.829825</v>
      </c>
      <c r="AH296" s="971">
        <f t="shared" si="14"/>
        <v>1886.4263249999999</v>
      </c>
      <c r="AI296" s="990">
        <v>235529</v>
      </c>
      <c r="AJ296" s="467"/>
    </row>
    <row r="297" spans="1:36" s="468" customFormat="1">
      <c r="A297" s="1009">
        <v>42298</v>
      </c>
      <c r="B297" s="968" t="s">
        <v>702</v>
      </c>
      <c r="C297" s="969">
        <v>1</v>
      </c>
      <c r="D297" s="970">
        <v>1400</v>
      </c>
      <c r="E297" s="969"/>
      <c r="F297" s="970">
        <v>132</v>
      </c>
      <c r="G297" s="972"/>
      <c r="H297" s="971">
        <v>3150</v>
      </c>
      <c r="I297" s="971"/>
      <c r="J297" s="971">
        <v>0</v>
      </c>
      <c r="K297" s="972"/>
      <c r="L297" s="971">
        <v>2100</v>
      </c>
      <c r="M297" s="972"/>
      <c r="N297" s="971">
        <v>198</v>
      </c>
      <c r="O297" s="973"/>
      <c r="P297" s="974">
        <v>2275</v>
      </c>
      <c r="Q297" s="975"/>
      <c r="R297" s="975">
        <v>88.48</v>
      </c>
      <c r="S297" s="975"/>
      <c r="T297" s="975">
        <v>72.14</v>
      </c>
      <c r="U297" s="972">
        <v>1</v>
      </c>
      <c r="V297" s="976">
        <v>60</v>
      </c>
      <c r="W297" s="972"/>
      <c r="X297" s="976">
        <v>150</v>
      </c>
      <c r="Y297" s="972"/>
      <c r="Z297" s="977">
        <v>24</v>
      </c>
      <c r="AA297" s="972"/>
      <c r="AB297" s="977">
        <v>16</v>
      </c>
      <c r="AC297" s="972"/>
      <c r="AD297" s="972">
        <v>1</v>
      </c>
      <c r="AE297" s="978">
        <v>135.44999999999999</v>
      </c>
      <c r="AF297" s="971">
        <f t="shared" si="12"/>
        <v>1595.45</v>
      </c>
      <c r="AG297" s="971">
        <f t="shared" si="13"/>
        <v>79.772500000000008</v>
      </c>
      <c r="AH297" s="971">
        <f t="shared" si="14"/>
        <v>1675.2225000000001</v>
      </c>
      <c r="AI297" s="990">
        <v>235529</v>
      </c>
      <c r="AJ297" s="467"/>
    </row>
    <row r="298" spans="1:36" s="468" customFormat="1">
      <c r="A298" s="1009">
        <v>42298</v>
      </c>
      <c r="B298" s="968" t="s">
        <v>703</v>
      </c>
      <c r="C298" s="969"/>
      <c r="D298" s="970">
        <v>1400</v>
      </c>
      <c r="E298" s="969"/>
      <c r="F298" s="970">
        <v>132</v>
      </c>
      <c r="G298" s="972"/>
      <c r="H298" s="971">
        <v>3150</v>
      </c>
      <c r="I298" s="971"/>
      <c r="J298" s="971">
        <v>0</v>
      </c>
      <c r="K298" s="972">
        <v>0</v>
      </c>
      <c r="L298" s="971">
        <v>2100</v>
      </c>
      <c r="M298" s="972"/>
      <c r="N298" s="971">
        <v>198</v>
      </c>
      <c r="O298" s="973">
        <v>1</v>
      </c>
      <c r="P298" s="974">
        <v>2275</v>
      </c>
      <c r="Q298" s="975"/>
      <c r="R298" s="975">
        <v>88.48</v>
      </c>
      <c r="S298" s="975"/>
      <c r="T298" s="975">
        <v>72.14</v>
      </c>
      <c r="U298" s="972">
        <v>2</v>
      </c>
      <c r="V298" s="976">
        <v>60</v>
      </c>
      <c r="W298" s="972"/>
      <c r="X298" s="976">
        <v>150</v>
      </c>
      <c r="Y298" s="972"/>
      <c r="Z298" s="977">
        <v>24</v>
      </c>
      <c r="AA298" s="972">
        <v>13</v>
      </c>
      <c r="AB298" s="977">
        <v>16</v>
      </c>
      <c r="AC298" s="972"/>
      <c r="AD298" s="972">
        <v>1</v>
      </c>
      <c r="AE298" s="978">
        <v>247.8</v>
      </c>
      <c r="AF298" s="971">
        <f t="shared" si="12"/>
        <v>2850.8</v>
      </c>
      <c r="AG298" s="971">
        <f t="shared" si="13"/>
        <v>142.54000000000002</v>
      </c>
      <c r="AH298" s="971">
        <f t="shared" si="14"/>
        <v>2993.34</v>
      </c>
      <c r="AI298" s="990">
        <v>235529</v>
      </c>
      <c r="AJ298" s="467"/>
    </row>
    <row r="299" spans="1:36" s="468" customFormat="1">
      <c r="A299" s="1009">
        <v>42298</v>
      </c>
      <c r="B299" s="968" t="s">
        <v>704</v>
      </c>
      <c r="C299" s="969"/>
      <c r="D299" s="970">
        <v>1400</v>
      </c>
      <c r="E299" s="969"/>
      <c r="F299" s="970">
        <v>132</v>
      </c>
      <c r="G299" s="972"/>
      <c r="H299" s="971">
        <v>3150</v>
      </c>
      <c r="I299" s="971"/>
      <c r="J299" s="971">
        <v>0</v>
      </c>
      <c r="K299" s="972">
        <v>1</v>
      </c>
      <c r="L299" s="971">
        <v>2100</v>
      </c>
      <c r="M299" s="972"/>
      <c r="N299" s="971">
        <v>198</v>
      </c>
      <c r="O299" s="973"/>
      <c r="P299" s="974">
        <v>2275</v>
      </c>
      <c r="Q299" s="975"/>
      <c r="R299" s="975">
        <v>88.48</v>
      </c>
      <c r="S299" s="975"/>
      <c r="T299" s="975">
        <v>72.14</v>
      </c>
      <c r="U299" s="972">
        <v>1</v>
      </c>
      <c r="V299" s="976">
        <v>60</v>
      </c>
      <c r="W299" s="972">
        <v>1</v>
      </c>
      <c r="X299" s="976">
        <v>150</v>
      </c>
      <c r="Y299" s="972">
        <v>2</v>
      </c>
      <c r="Z299" s="977">
        <v>24</v>
      </c>
      <c r="AA299" s="972">
        <v>5</v>
      </c>
      <c r="AB299" s="977">
        <v>16</v>
      </c>
      <c r="AC299" s="972"/>
      <c r="AD299" s="972">
        <v>1</v>
      </c>
      <c r="AE299" s="978">
        <v>138.6</v>
      </c>
      <c r="AF299" s="971">
        <f t="shared" si="12"/>
        <v>2576.6</v>
      </c>
      <c r="AG299" s="971">
        <f t="shared" si="13"/>
        <v>128.83000000000001</v>
      </c>
      <c r="AH299" s="971">
        <f t="shared" si="14"/>
        <v>2705.43</v>
      </c>
      <c r="AI299" s="990">
        <v>235529</v>
      </c>
      <c r="AJ299" s="467"/>
    </row>
    <row r="300" spans="1:36" s="468" customFormat="1">
      <c r="A300" s="1009">
        <v>42299</v>
      </c>
      <c r="B300" s="968" t="s">
        <v>705</v>
      </c>
      <c r="C300" s="969">
        <v>1</v>
      </c>
      <c r="D300" s="970">
        <v>1400</v>
      </c>
      <c r="E300" s="969"/>
      <c r="F300" s="970">
        <v>132</v>
      </c>
      <c r="G300" s="972"/>
      <c r="H300" s="971">
        <v>3150</v>
      </c>
      <c r="I300" s="971"/>
      <c r="J300" s="971">
        <v>0</v>
      </c>
      <c r="K300" s="972"/>
      <c r="L300" s="971">
        <v>2100</v>
      </c>
      <c r="M300" s="972"/>
      <c r="N300" s="971">
        <v>198</v>
      </c>
      <c r="O300" s="973"/>
      <c r="P300" s="974">
        <v>2275</v>
      </c>
      <c r="Q300" s="975"/>
      <c r="R300" s="975">
        <v>88.48</v>
      </c>
      <c r="S300" s="975"/>
      <c r="T300" s="975">
        <v>72.14</v>
      </c>
      <c r="U300" s="972">
        <v>1</v>
      </c>
      <c r="V300" s="976">
        <v>60</v>
      </c>
      <c r="W300" s="972"/>
      <c r="X300" s="976">
        <v>150</v>
      </c>
      <c r="Y300" s="972"/>
      <c r="Z300" s="977">
        <v>24</v>
      </c>
      <c r="AA300" s="972"/>
      <c r="AB300" s="977">
        <v>16</v>
      </c>
      <c r="AC300" s="972"/>
      <c r="AD300" s="972">
        <v>1</v>
      </c>
      <c r="AE300" s="978">
        <v>135.44999999999999</v>
      </c>
      <c r="AF300" s="971">
        <f t="shared" si="12"/>
        <v>1595.45</v>
      </c>
      <c r="AG300" s="971">
        <f t="shared" si="13"/>
        <v>79.772500000000008</v>
      </c>
      <c r="AH300" s="971">
        <f t="shared" si="14"/>
        <v>1675.2225000000001</v>
      </c>
      <c r="AI300" s="990">
        <v>235529</v>
      </c>
      <c r="AJ300" s="467"/>
    </row>
    <row r="301" spans="1:36" s="468" customFormat="1">
      <c r="A301" s="1009">
        <v>42299</v>
      </c>
      <c r="B301" s="968" t="s">
        <v>706</v>
      </c>
      <c r="C301" s="969"/>
      <c r="D301" s="970">
        <v>1400</v>
      </c>
      <c r="E301" s="969"/>
      <c r="F301" s="970">
        <v>132</v>
      </c>
      <c r="G301" s="972"/>
      <c r="H301" s="971">
        <v>3150</v>
      </c>
      <c r="I301" s="971"/>
      <c r="J301" s="971">
        <v>0</v>
      </c>
      <c r="K301" s="972"/>
      <c r="L301" s="971">
        <v>2100</v>
      </c>
      <c r="M301" s="972"/>
      <c r="N301" s="971">
        <v>198</v>
      </c>
      <c r="O301" s="973">
        <v>1</v>
      </c>
      <c r="P301" s="974">
        <v>2275</v>
      </c>
      <c r="Q301" s="975"/>
      <c r="R301" s="975">
        <v>88.48</v>
      </c>
      <c r="S301" s="975"/>
      <c r="T301" s="975">
        <v>72.14</v>
      </c>
      <c r="U301" s="972">
        <v>2</v>
      </c>
      <c r="V301" s="976">
        <v>60</v>
      </c>
      <c r="W301" s="972"/>
      <c r="X301" s="976">
        <v>150</v>
      </c>
      <c r="Y301" s="972"/>
      <c r="Z301" s="977">
        <v>24</v>
      </c>
      <c r="AA301" s="972">
        <v>14</v>
      </c>
      <c r="AB301" s="977">
        <v>16</v>
      </c>
      <c r="AC301" s="972"/>
      <c r="AD301" s="972">
        <v>1</v>
      </c>
      <c r="AE301" s="978">
        <v>247.8</v>
      </c>
      <c r="AF301" s="971">
        <f t="shared" si="12"/>
        <v>2866.8</v>
      </c>
      <c r="AG301" s="971">
        <f t="shared" si="13"/>
        <v>143.34</v>
      </c>
      <c r="AH301" s="971">
        <f t="shared" si="14"/>
        <v>3010.1400000000003</v>
      </c>
      <c r="AI301" s="990">
        <v>235529</v>
      </c>
      <c r="AJ301" s="467"/>
    </row>
    <row r="302" spans="1:36" s="468" customFormat="1">
      <c r="A302" s="1009">
        <v>42299</v>
      </c>
      <c r="B302" s="968" t="s">
        <v>707</v>
      </c>
      <c r="C302" s="969"/>
      <c r="D302" s="970">
        <v>1400</v>
      </c>
      <c r="E302" s="969"/>
      <c r="F302" s="970">
        <v>132</v>
      </c>
      <c r="G302" s="972"/>
      <c r="H302" s="971">
        <v>3150</v>
      </c>
      <c r="I302" s="971"/>
      <c r="J302" s="971">
        <v>0</v>
      </c>
      <c r="K302" s="972">
        <v>1</v>
      </c>
      <c r="L302" s="971">
        <v>2100</v>
      </c>
      <c r="M302" s="972"/>
      <c r="N302" s="971">
        <v>198</v>
      </c>
      <c r="O302" s="973"/>
      <c r="P302" s="974">
        <v>2275</v>
      </c>
      <c r="Q302" s="975"/>
      <c r="R302" s="975">
        <v>88.48</v>
      </c>
      <c r="S302" s="975"/>
      <c r="T302" s="975">
        <v>72.14</v>
      </c>
      <c r="U302" s="972">
        <v>1</v>
      </c>
      <c r="V302" s="976">
        <v>60</v>
      </c>
      <c r="W302" s="972">
        <v>1</v>
      </c>
      <c r="X302" s="976">
        <v>150</v>
      </c>
      <c r="Y302" s="972"/>
      <c r="Z302" s="977">
        <v>24</v>
      </c>
      <c r="AA302" s="972">
        <v>4</v>
      </c>
      <c r="AB302" s="977">
        <v>16</v>
      </c>
      <c r="AC302" s="972"/>
      <c r="AD302" s="972">
        <v>1</v>
      </c>
      <c r="AE302" s="978">
        <v>138.6</v>
      </c>
      <c r="AF302" s="971">
        <f t="shared" si="12"/>
        <v>2512.6</v>
      </c>
      <c r="AG302" s="971">
        <f t="shared" si="13"/>
        <v>125.63</v>
      </c>
      <c r="AH302" s="971">
        <f t="shared" si="14"/>
        <v>2638.23</v>
      </c>
      <c r="AI302" s="990">
        <v>235529</v>
      </c>
      <c r="AJ302" s="467"/>
    </row>
    <row r="303" spans="1:36" s="468" customFormat="1">
      <c r="A303" s="1009">
        <v>42300</v>
      </c>
      <c r="B303" s="968" t="s">
        <v>709</v>
      </c>
      <c r="C303" s="969">
        <v>1</v>
      </c>
      <c r="D303" s="970">
        <v>1400</v>
      </c>
      <c r="E303" s="969"/>
      <c r="F303" s="970">
        <v>132</v>
      </c>
      <c r="G303" s="972"/>
      <c r="H303" s="971">
        <v>3150</v>
      </c>
      <c r="I303" s="971"/>
      <c r="J303" s="971">
        <v>0</v>
      </c>
      <c r="K303" s="972"/>
      <c r="L303" s="971">
        <v>2100</v>
      </c>
      <c r="M303" s="972"/>
      <c r="N303" s="971">
        <v>198</v>
      </c>
      <c r="O303" s="973"/>
      <c r="P303" s="974">
        <v>2275</v>
      </c>
      <c r="Q303" s="975"/>
      <c r="R303" s="975">
        <v>88.48</v>
      </c>
      <c r="S303" s="975"/>
      <c r="T303" s="975">
        <v>72.14</v>
      </c>
      <c r="U303" s="972">
        <v>1</v>
      </c>
      <c r="V303" s="976">
        <v>60</v>
      </c>
      <c r="W303" s="972"/>
      <c r="X303" s="976">
        <v>150</v>
      </c>
      <c r="Y303" s="972"/>
      <c r="Z303" s="977">
        <v>24</v>
      </c>
      <c r="AA303" s="972"/>
      <c r="AB303" s="977">
        <v>16</v>
      </c>
      <c r="AC303" s="972"/>
      <c r="AD303" s="972">
        <v>1</v>
      </c>
      <c r="AE303" s="978">
        <v>135.44999999999999</v>
      </c>
      <c r="AF303" s="971">
        <f t="shared" si="12"/>
        <v>1595.45</v>
      </c>
      <c r="AG303" s="971">
        <f t="shared" si="13"/>
        <v>79.772500000000008</v>
      </c>
      <c r="AH303" s="971">
        <f t="shared" si="14"/>
        <v>1675.2225000000001</v>
      </c>
      <c r="AI303" s="990">
        <v>235529</v>
      </c>
      <c r="AJ303" s="467"/>
    </row>
    <row r="304" spans="1:36" s="468" customFormat="1">
      <c r="A304" s="1009">
        <v>42300</v>
      </c>
      <c r="B304" s="968" t="s">
        <v>710</v>
      </c>
      <c r="C304" s="969"/>
      <c r="D304" s="970">
        <v>1400</v>
      </c>
      <c r="E304" s="969"/>
      <c r="F304" s="970">
        <v>132</v>
      </c>
      <c r="G304" s="972"/>
      <c r="H304" s="971">
        <v>3150</v>
      </c>
      <c r="I304" s="971"/>
      <c r="J304" s="971">
        <v>0</v>
      </c>
      <c r="K304" s="972"/>
      <c r="L304" s="971">
        <v>2100</v>
      </c>
      <c r="M304" s="972"/>
      <c r="N304" s="971">
        <v>198</v>
      </c>
      <c r="O304" s="973">
        <v>1</v>
      </c>
      <c r="P304" s="974">
        <v>2275</v>
      </c>
      <c r="Q304" s="975"/>
      <c r="R304" s="975">
        <v>88.48</v>
      </c>
      <c r="S304" s="975"/>
      <c r="T304" s="975">
        <v>72.14</v>
      </c>
      <c r="U304" s="972">
        <v>2</v>
      </c>
      <c r="V304" s="976">
        <v>60</v>
      </c>
      <c r="W304" s="972"/>
      <c r="X304" s="976">
        <v>150</v>
      </c>
      <c r="Y304" s="972"/>
      <c r="Z304" s="977">
        <v>24</v>
      </c>
      <c r="AA304" s="972">
        <v>3</v>
      </c>
      <c r="AB304" s="977">
        <v>16</v>
      </c>
      <c r="AC304" s="972"/>
      <c r="AD304" s="972">
        <v>1</v>
      </c>
      <c r="AE304" s="978">
        <v>247.8</v>
      </c>
      <c r="AF304" s="971">
        <f t="shared" si="12"/>
        <v>2690.8</v>
      </c>
      <c r="AG304" s="971">
        <f t="shared" si="13"/>
        <v>134.54000000000002</v>
      </c>
      <c r="AH304" s="971">
        <f t="shared" si="14"/>
        <v>2825.34</v>
      </c>
      <c r="AI304" s="990">
        <v>235529</v>
      </c>
      <c r="AJ304" s="467"/>
    </row>
    <row r="305" spans="1:36" s="468" customFormat="1">
      <c r="A305" s="1009">
        <v>42300</v>
      </c>
      <c r="B305" s="968" t="s">
        <v>711</v>
      </c>
      <c r="C305" s="969"/>
      <c r="D305" s="970">
        <v>1400</v>
      </c>
      <c r="E305" s="969"/>
      <c r="F305" s="970">
        <v>132</v>
      </c>
      <c r="G305" s="972"/>
      <c r="H305" s="971">
        <v>3150</v>
      </c>
      <c r="I305" s="971"/>
      <c r="J305" s="971">
        <v>0</v>
      </c>
      <c r="K305" s="972">
        <v>1</v>
      </c>
      <c r="L305" s="971">
        <v>2100</v>
      </c>
      <c r="M305" s="972"/>
      <c r="N305" s="971">
        <v>198</v>
      </c>
      <c r="O305" s="973"/>
      <c r="P305" s="974">
        <v>2275</v>
      </c>
      <c r="Q305" s="975"/>
      <c r="R305" s="975">
        <v>88.48</v>
      </c>
      <c r="S305" s="975"/>
      <c r="T305" s="975">
        <v>72.14</v>
      </c>
      <c r="U305" s="972">
        <v>1</v>
      </c>
      <c r="V305" s="976">
        <v>60</v>
      </c>
      <c r="W305" s="972">
        <v>1</v>
      </c>
      <c r="X305" s="976">
        <v>150</v>
      </c>
      <c r="Y305" s="972"/>
      <c r="Z305" s="977">
        <v>24</v>
      </c>
      <c r="AA305" s="972">
        <v>2</v>
      </c>
      <c r="AB305" s="977">
        <v>16</v>
      </c>
      <c r="AC305" s="972"/>
      <c r="AD305" s="972">
        <v>1</v>
      </c>
      <c r="AE305" s="978">
        <v>138.6</v>
      </c>
      <c r="AF305" s="971">
        <f t="shared" si="12"/>
        <v>2480.6</v>
      </c>
      <c r="AG305" s="971">
        <f t="shared" si="13"/>
        <v>124.03</v>
      </c>
      <c r="AH305" s="971">
        <f t="shared" si="14"/>
        <v>2604.63</v>
      </c>
      <c r="AI305" s="990">
        <v>235529</v>
      </c>
      <c r="AJ305" s="467"/>
    </row>
    <row r="306" spans="1:36" s="468" customFormat="1">
      <c r="A306" s="1009">
        <v>42301</v>
      </c>
      <c r="B306" s="968" t="s">
        <v>713</v>
      </c>
      <c r="C306" s="969">
        <v>1</v>
      </c>
      <c r="D306" s="970">
        <v>1400</v>
      </c>
      <c r="E306" s="969"/>
      <c r="F306" s="970">
        <v>132</v>
      </c>
      <c r="G306" s="972"/>
      <c r="H306" s="971">
        <v>3150</v>
      </c>
      <c r="I306" s="971"/>
      <c r="J306" s="971">
        <v>0</v>
      </c>
      <c r="K306" s="972"/>
      <c r="L306" s="971">
        <v>2100</v>
      </c>
      <c r="M306" s="972"/>
      <c r="N306" s="971">
        <v>198</v>
      </c>
      <c r="O306" s="973"/>
      <c r="P306" s="974">
        <v>2275</v>
      </c>
      <c r="Q306" s="975"/>
      <c r="R306" s="975">
        <v>88.48</v>
      </c>
      <c r="S306" s="975"/>
      <c r="T306" s="975">
        <v>72.14</v>
      </c>
      <c r="U306" s="972">
        <v>1</v>
      </c>
      <c r="V306" s="976">
        <v>60</v>
      </c>
      <c r="W306" s="972"/>
      <c r="X306" s="976">
        <v>150</v>
      </c>
      <c r="Y306" s="972"/>
      <c r="Z306" s="977">
        <v>24</v>
      </c>
      <c r="AA306" s="972"/>
      <c r="AB306" s="977">
        <v>16</v>
      </c>
      <c r="AC306" s="972"/>
      <c r="AD306" s="972">
        <v>1</v>
      </c>
      <c r="AE306" s="978">
        <v>135.44999999999999</v>
      </c>
      <c r="AF306" s="971">
        <f t="shared" si="12"/>
        <v>1595.45</v>
      </c>
      <c r="AG306" s="971">
        <f t="shared" si="13"/>
        <v>79.772500000000008</v>
      </c>
      <c r="AH306" s="971">
        <f t="shared" si="14"/>
        <v>1675.2225000000001</v>
      </c>
      <c r="AI306" s="990">
        <v>235529</v>
      </c>
      <c r="AJ306" s="467"/>
    </row>
    <row r="307" spans="1:36" s="468" customFormat="1">
      <c r="A307" s="1009">
        <v>42301</v>
      </c>
      <c r="B307" s="968" t="s">
        <v>714</v>
      </c>
      <c r="C307" s="969"/>
      <c r="D307" s="970">
        <v>1400</v>
      </c>
      <c r="E307" s="969"/>
      <c r="F307" s="970">
        <v>132</v>
      </c>
      <c r="G307" s="972"/>
      <c r="H307" s="971">
        <v>3150</v>
      </c>
      <c r="I307" s="971"/>
      <c r="J307" s="971">
        <v>0</v>
      </c>
      <c r="K307" s="972">
        <v>1</v>
      </c>
      <c r="L307" s="971">
        <v>2100</v>
      </c>
      <c r="M307" s="972"/>
      <c r="N307" s="971">
        <v>198</v>
      </c>
      <c r="O307" s="973"/>
      <c r="P307" s="974">
        <v>2275</v>
      </c>
      <c r="Q307" s="975"/>
      <c r="R307" s="975">
        <v>88.48</v>
      </c>
      <c r="S307" s="975"/>
      <c r="T307" s="975">
        <v>72.14</v>
      </c>
      <c r="U307" s="972">
        <v>1</v>
      </c>
      <c r="V307" s="976">
        <v>60</v>
      </c>
      <c r="W307" s="972">
        <v>1</v>
      </c>
      <c r="X307" s="976">
        <v>150</v>
      </c>
      <c r="Y307" s="972"/>
      <c r="Z307" s="977">
        <v>24</v>
      </c>
      <c r="AA307" s="972">
        <v>3</v>
      </c>
      <c r="AB307" s="977">
        <v>16</v>
      </c>
      <c r="AC307" s="972"/>
      <c r="AD307" s="972">
        <v>1</v>
      </c>
      <c r="AE307" s="978">
        <v>138.6</v>
      </c>
      <c r="AF307" s="971">
        <f t="shared" si="12"/>
        <v>2496.6</v>
      </c>
      <c r="AG307" s="971">
        <f t="shared" si="13"/>
        <v>124.83</v>
      </c>
      <c r="AH307" s="971">
        <f t="shared" si="14"/>
        <v>2621.4299999999998</v>
      </c>
      <c r="AI307" s="990">
        <v>235529</v>
      </c>
      <c r="AJ307" s="981" t="s">
        <v>939</v>
      </c>
    </row>
    <row r="308" spans="1:36" s="468" customFormat="1">
      <c r="A308" s="1009">
        <v>42301</v>
      </c>
      <c r="B308" s="968" t="s">
        <v>715</v>
      </c>
      <c r="C308" s="969"/>
      <c r="D308" s="970">
        <v>1400</v>
      </c>
      <c r="E308" s="969"/>
      <c r="F308" s="970">
        <v>132</v>
      </c>
      <c r="G308" s="972"/>
      <c r="H308" s="971">
        <v>3150</v>
      </c>
      <c r="I308" s="971"/>
      <c r="J308" s="971">
        <v>0</v>
      </c>
      <c r="K308" s="972"/>
      <c r="L308" s="971">
        <v>2100</v>
      </c>
      <c r="M308" s="972"/>
      <c r="N308" s="971">
        <v>198</v>
      </c>
      <c r="O308" s="973">
        <v>1</v>
      </c>
      <c r="P308" s="974">
        <v>2275</v>
      </c>
      <c r="Q308" s="975"/>
      <c r="R308" s="975">
        <v>88.48</v>
      </c>
      <c r="S308" s="975"/>
      <c r="T308" s="975">
        <v>72.14</v>
      </c>
      <c r="U308" s="972">
        <v>2</v>
      </c>
      <c r="V308" s="976">
        <v>60</v>
      </c>
      <c r="W308" s="972"/>
      <c r="X308" s="976">
        <v>150</v>
      </c>
      <c r="Y308" s="972"/>
      <c r="Z308" s="977">
        <v>24</v>
      </c>
      <c r="AA308" s="972">
        <v>3</v>
      </c>
      <c r="AB308" s="977">
        <v>16</v>
      </c>
      <c r="AC308" s="972"/>
      <c r="AD308" s="972">
        <v>1</v>
      </c>
      <c r="AE308" s="978">
        <v>247.8</v>
      </c>
      <c r="AF308" s="971">
        <f t="shared" si="12"/>
        <v>2690.8</v>
      </c>
      <c r="AG308" s="971">
        <f t="shared" si="13"/>
        <v>134.54000000000002</v>
      </c>
      <c r="AH308" s="971">
        <f t="shared" si="14"/>
        <v>2825.34</v>
      </c>
      <c r="AI308" s="990">
        <v>235529</v>
      </c>
      <c r="AJ308" s="980"/>
    </row>
    <row r="309" spans="1:36" s="468" customFormat="1">
      <c r="A309" s="1009">
        <v>42302</v>
      </c>
      <c r="B309" s="968" t="s">
        <v>716</v>
      </c>
      <c r="C309" s="969">
        <v>1</v>
      </c>
      <c r="D309" s="970">
        <v>1750</v>
      </c>
      <c r="E309" s="969"/>
      <c r="F309" s="970">
        <v>132</v>
      </c>
      <c r="G309" s="972"/>
      <c r="H309" s="971">
        <v>3150</v>
      </c>
      <c r="I309" s="971"/>
      <c r="J309" s="971">
        <v>0</v>
      </c>
      <c r="K309" s="972"/>
      <c r="L309" s="971">
        <v>2100</v>
      </c>
      <c r="M309" s="972"/>
      <c r="N309" s="971">
        <v>198</v>
      </c>
      <c r="O309" s="973"/>
      <c r="P309" s="974">
        <v>2275</v>
      </c>
      <c r="Q309" s="975"/>
      <c r="R309" s="975">
        <v>88.48</v>
      </c>
      <c r="S309" s="975"/>
      <c r="T309" s="975">
        <v>72.14</v>
      </c>
      <c r="U309" s="972">
        <v>1</v>
      </c>
      <c r="V309" s="976">
        <v>60</v>
      </c>
      <c r="W309" s="972"/>
      <c r="X309" s="976">
        <v>150</v>
      </c>
      <c r="Y309" s="972"/>
      <c r="Z309" s="977">
        <v>24</v>
      </c>
      <c r="AA309" s="972"/>
      <c r="AB309" s="977">
        <v>16</v>
      </c>
      <c r="AC309" s="972"/>
      <c r="AD309" s="972">
        <v>1</v>
      </c>
      <c r="AE309" s="978">
        <v>135.44999999999999</v>
      </c>
      <c r="AF309" s="971">
        <f t="shared" si="12"/>
        <v>1945.45</v>
      </c>
      <c r="AG309" s="971">
        <f t="shared" si="13"/>
        <v>97.272500000000008</v>
      </c>
      <c r="AH309" s="971">
        <f t="shared" si="14"/>
        <v>2042.7225000000001</v>
      </c>
      <c r="AI309" s="990">
        <v>235529</v>
      </c>
      <c r="AJ309" s="467"/>
    </row>
    <row r="310" spans="1:36" s="468" customFormat="1">
      <c r="A310" s="1009">
        <v>42302</v>
      </c>
      <c r="B310" s="968" t="s">
        <v>717</v>
      </c>
      <c r="C310" s="969"/>
      <c r="D310" s="970">
        <v>1400</v>
      </c>
      <c r="E310" s="969"/>
      <c r="F310" s="970">
        <v>132</v>
      </c>
      <c r="G310" s="972"/>
      <c r="H310" s="971">
        <v>3150</v>
      </c>
      <c r="I310" s="971"/>
      <c r="J310" s="971">
        <v>0</v>
      </c>
      <c r="K310" s="972">
        <v>1</v>
      </c>
      <c r="L310" s="971">
        <v>2650</v>
      </c>
      <c r="M310" s="972"/>
      <c r="N310" s="971">
        <v>198</v>
      </c>
      <c r="O310" s="973"/>
      <c r="P310" s="974">
        <v>2275</v>
      </c>
      <c r="Q310" s="975"/>
      <c r="R310" s="975">
        <v>88.48</v>
      </c>
      <c r="S310" s="975"/>
      <c r="T310" s="975">
        <v>72.14</v>
      </c>
      <c r="U310" s="972">
        <v>1</v>
      </c>
      <c r="V310" s="976">
        <v>60</v>
      </c>
      <c r="W310" s="972">
        <v>1</v>
      </c>
      <c r="X310" s="976">
        <v>150</v>
      </c>
      <c r="Y310" s="972"/>
      <c r="Z310" s="977">
        <v>24</v>
      </c>
      <c r="AA310" s="972">
        <v>1</v>
      </c>
      <c r="AB310" s="977">
        <v>16</v>
      </c>
      <c r="AC310" s="972"/>
      <c r="AD310" s="972">
        <v>1</v>
      </c>
      <c r="AE310" s="978">
        <v>138.6</v>
      </c>
      <c r="AF310" s="971">
        <f t="shared" si="12"/>
        <v>3014.6</v>
      </c>
      <c r="AG310" s="971">
        <f t="shared" si="13"/>
        <v>150.72999999999999</v>
      </c>
      <c r="AH310" s="971">
        <f t="shared" si="14"/>
        <v>3165.33</v>
      </c>
      <c r="AI310" s="990">
        <v>235529</v>
      </c>
      <c r="AJ310" s="467"/>
    </row>
    <row r="311" spans="1:36" s="468" customFormat="1">
      <c r="A311" s="1009">
        <v>42302</v>
      </c>
      <c r="B311" s="968" t="s">
        <v>718</v>
      </c>
      <c r="C311" s="969"/>
      <c r="D311" s="970">
        <v>1400</v>
      </c>
      <c r="E311" s="969"/>
      <c r="F311" s="970">
        <v>132</v>
      </c>
      <c r="G311" s="972"/>
      <c r="H311" s="971">
        <v>3150</v>
      </c>
      <c r="I311" s="971"/>
      <c r="J311" s="971">
        <v>0</v>
      </c>
      <c r="K311" s="972"/>
      <c r="L311" s="971">
        <v>2650</v>
      </c>
      <c r="M311" s="972"/>
      <c r="N311" s="971">
        <v>198</v>
      </c>
      <c r="O311" s="973">
        <v>1</v>
      </c>
      <c r="P311" s="974">
        <v>2852</v>
      </c>
      <c r="Q311" s="975"/>
      <c r="R311" s="975">
        <v>88.48</v>
      </c>
      <c r="S311" s="975"/>
      <c r="T311" s="975">
        <v>72.14</v>
      </c>
      <c r="U311" s="972">
        <v>2</v>
      </c>
      <c r="V311" s="976">
        <v>60</v>
      </c>
      <c r="W311" s="972"/>
      <c r="X311" s="976">
        <v>150</v>
      </c>
      <c r="Y311" s="972"/>
      <c r="Z311" s="977">
        <v>24</v>
      </c>
      <c r="AA311" s="972">
        <v>6</v>
      </c>
      <c r="AB311" s="977">
        <v>16</v>
      </c>
      <c r="AC311" s="972"/>
      <c r="AD311" s="972">
        <v>1</v>
      </c>
      <c r="AE311" s="978">
        <v>247.8</v>
      </c>
      <c r="AF311" s="971">
        <f t="shared" si="12"/>
        <v>3315.8</v>
      </c>
      <c r="AG311" s="971">
        <f t="shared" si="13"/>
        <v>165.79000000000002</v>
      </c>
      <c r="AH311" s="971">
        <f t="shared" si="14"/>
        <v>3481.59</v>
      </c>
      <c r="AI311" s="990">
        <v>235529</v>
      </c>
      <c r="AJ311" s="467"/>
    </row>
    <row r="312" spans="1:36" s="468" customFormat="1">
      <c r="A312" s="1009">
        <v>42303</v>
      </c>
      <c r="B312" s="968" t="s">
        <v>724</v>
      </c>
      <c r="C312" s="969"/>
      <c r="D312" s="970">
        <v>1400</v>
      </c>
      <c r="E312" s="969"/>
      <c r="F312" s="970">
        <v>132</v>
      </c>
      <c r="G312" s="972"/>
      <c r="H312" s="971">
        <v>3150</v>
      </c>
      <c r="I312" s="971"/>
      <c r="J312" s="971">
        <v>0</v>
      </c>
      <c r="K312" s="972"/>
      <c r="L312" s="971">
        <v>2100</v>
      </c>
      <c r="M312" s="972"/>
      <c r="N312" s="971">
        <v>198</v>
      </c>
      <c r="O312" s="973">
        <v>1</v>
      </c>
      <c r="P312" s="974">
        <v>2275</v>
      </c>
      <c r="Q312" s="975"/>
      <c r="R312" s="975">
        <v>88.48</v>
      </c>
      <c r="S312" s="975"/>
      <c r="T312" s="975">
        <v>72.14</v>
      </c>
      <c r="U312" s="972">
        <v>2</v>
      </c>
      <c r="V312" s="976">
        <v>60</v>
      </c>
      <c r="W312" s="972"/>
      <c r="X312" s="976">
        <v>150</v>
      </c>
      <c r="Y312" s="972"/>
      <c r="Z312" s="977">
        <v>24</v>
      </c>
      <c r="AA312" s="972">
        <v>9</v>
      </c>
      <c r="AB312" s="977">
        <v>16</v>
      </c>
      <c r="AC312" s="972"/>
      <c r="AD312" s="972">
        <v>1</v>
      </c>
      <c r="AE312" s="978">
        <v>247.8</v>
      </c>
      <c r="AF312" s="971">
        <f t="shared" si="12"/>
        <v>2786.8</v>
      </c>
      <c r="AG312" s="971">
        <f t="shared" si="13"/>
        <v>139.34</v>
      </c>
      <c r="AH312" s="971">
        <f t="shared" si="14"/>
        <v>2926.1400000000003</v>
      </c>
      <c r="AI312" s="990">
        <v>235529</v>
      </c>
      <c r="AJ312" s="467"/>
    </row>
    <row r="313" spans="1:36" s="468" customFormat="1">
      <c r="A313" s="1009">
        <v>42304</v>
      </c>
      <c r="B313" s="968" t="s">
        <v>744</v>
      </c>
      <c r="C313" s="969"/>
      <c r="D313" s="970">
        <v>1400</v>
      </c>
      <c r="E313" s="969"/>
      <c r="F313" s="970">
        <v>132</v>
      </c>
      <c r="G313" s="972"/>
      <c r="H313" s="971">
        <v>3150</v>
      </c>
      <c r="I313" s="971"/>
      <c r="J313" s="971">
        <v>0</v>
      </c>
      <c r="K313" s="972"/>
      <c r="L313" s="971">
        <v>2100</v>
      </c>
      <c r="M313" s="972"/>
      <c r="N313" s="971">
        <v>198</v>
      </c>
      <c r="O313" s="973">
        <v>0.75</v>
      </c>
      <c r="P313" s="974">
        <v>2275</v>
      </c>
      <c r="Q313" s="975"/>
      <c r="R313" s="975">
        <v>88.48</v>
      </c>
      <c r="S313" s="975"/>
      <c r="T313" s="975">
        <v>72.14</v>
      </c>
      <c r="U313" s="972">
        <v>2</v>
      </c>
      <c r="V313" s="976">
        <v>60</v>
      </c>
      <c r="W313" s="972"/>
      <c r="X313" s="976">
        <v>150</v>
      </c>
      <c r="Y313" s="972"/>
      <c r="Z313" s="977">
        <v>24</v>
      </c>
      <c r="AA313" s="972">
        <v>6</v>
      </c>
      <c r="AB313" s="977">
        <v>16</v>
      </c>
      <c r="AC313" s="972"/>
      <c r="AD313" s="972">
        <v>1</v>
      </c>
      <c r="AE313" s="978">
        <v>247.8</v>
      </c>
      <c r="AF313" s="971">
        <f t="shared" si="12"/>
        <v>2170.0500000000002</v>
      </c>
      <c r="AG313" s="971">
        <f t="shared" si="13"/>
        <v>108.50250000000001</v>
      </c>
      <c r="AH313" s="971">
        <f t="shared" si="14"/>
        <v>2278.5525000000002</v>
      </c>
      <c r="AI313" s="990">
        <v>235529</v>
      </c>
      <c r="AJ313" s="467"/>
    </row>
    <row r="314" spans="1:36" s="468" customFormat="1">
      <c r="A314" s="1009">
        <v>42304</v>
      </c>
      <c r="B314" s="968" t="s">
        <v>728</v>
      </c>
      <c r="C314" s="969"/>
      <c r="D314" s="970">
        <v>1400</v>
      </c>
      <c r="E314" s="969"/>
      <c r="F314" s="970">
        <v>132</v>
      </c>
      <c r="G314" s="972"/>
      <c r="H314" s="971">
        <v>3150</v>
      </c>
      <c r="I314" s="971"/>
      <c r="J314" s="971">
        <v>0</v>
      </c>
      <c r="K314" s="972">
        <v>0.5</v>
      </c>
      <c r="L314" s="971">
        <v>2100</v>
      </c>
      <c r="M314" s="972">
        <v>1</v>
      </c>
      <c r="N314" s="971">
        <v>198</v>
      </c>
      <c r="O314" s="973"/>
      <c r="P314" s="974">
        <v>2275</v>
      </c>
      <c r="Q314" s="975"/>
      <c r="R314" s="975">
        <v>88.48</v>
      </c>
      <c r="S314" s="975"/>
      <c r="T314" s="975">
        <v>72.14</v>
      </c>
      <c r="U314" s="972">
        <v>1</v>
      </c>
      <c r="V314" s="976">
        <v>60</v>
      </c>
      <c r="W314" s="972">
        <v>1</v>
      </c>
      <c r="X314" s="976">
        <v>150</v>
      </c>
      <c r="Y314" s="972">
        <v>2</v>
      </c>
      <c r="Z314" s="977">
        <v>24</v>
      </c>
      <c r="AA314" s="972">
        <v>2</v>
      </c>
      <c r="AB314" s="977">
        <v>16</v>
      </c>
      <c r="AC314" s="972"/>
      <c r="AD314" s="972">
        <v>1</v>
      </c>
      <c r="AE314" s="978">
        <v>138.6</v>
      </c>
      <c r="AF314" s="971">
        <f t="shared" si="12"/>
        <v>1676.6</v>
      </c>
      <c r="AG314" s="971">
        <f t="shared" si="13"/>
        <v>83.83</v>
      </c>
      <c r="AH314" s="971">
        <f t="shared" si="14"/>
        <v>1760.4299999999998</v>
      </c>
      <c r="AI314" s="990">
        <v>235529</v>
      </c>
      <c r="AJ314" s="467"/>
    </row>
    <row r="315" spans="1:36" s="468" customFormat="1">
      <c r="A315" s="1009">
        <v>42304</v>
      </c>
      <c r="B315" s="968" t="s">
        <v>745</v>
      </c>
      <c r="C315" s="969">
        <v>1</v>
      </c>
      <c r="D315" s="970">
        <v>1400</v>
      </c>
      <c r="E315" s="969"/>
      <c r="F315" s="970">
        <v>132</v>
      </c>
      <c r="G315" s="972"/>
      <c r="H315" s="971">
        <v>3150</v>
      </c>
      <c r="I315" s="971"/>
      <c r="J315" s="971">
        <v>0</v>
      </c>
      <c r="K315" s="972"/>
      <c r="L315" s="971">
        <v>2100</v>
      </c>
      <c r="M315" s="972"/>
      <c r="N315" s="971">
        <v>198</v>
      </c>
      <c r="O315" s="973"/>
      <c r="P315" s="974">
        <v>2275</v>
      </c>
      <c r="Q315" s="975"/>
      <c r="R315" s="975">
        <v>88.48</v>
      </c>
      <c r="S315" s="975"/>
      <c r="T315" s="975">
        <v>72.14</v>
      </c>
      <c r="U315" s="972">
        <v>1</v>
      </c>
      <c r="V315" s="976">
        <v>60</v>
      </c>
      <c r="W315" s="972"/>
      <c r="X315" s="976">
        <v>150</v>
      </c>
      <c r="Y315" s="972"/>
      <c r="Z315" s="977">
        <v>24</v>
      </c>
      <c r="AA315" s="972"/>
      <c r="AB315" s="977">
        <v>16</v>
      </c>
      <c r="AC315" s="972"/>
      <c r="AD315" s="972">
        <v>1</v>
      </c>
      <c r="AE315" s="978">
        <v>135.44999999999999</v>
      </c>
      <c r="AF315" s="971">
        <f t="shared" si="12"/>
        <v>1595.45</v>
      </c>
      <c r="AG315" s="971">
        <f t="shared" si="13"/>
        <v>79.772500000000008</v>
      </c>
      <c r="AH315" s="971">
        <f t="shared" si="14"/>
        <v>1675.2225000000001</v>
      </c>
      <c r="AI315" s="990">
        <v>235529</v>
      </c>
      <c r="AJ315" s="467"/>
    </row>
    <row r="316" spans="1:36" s="468" customFormat="1">
      <c r="A316" s="1009">
        <v>42305</v>
      </c>
      <c r="B316" s="968" t="s">
        <v>746</v>
      </c>
      <c r="C316" s="969"/>
      <c r="D316" s="970">
        <v>1400</v>
      </c>
      <c r="E316" s="969"/>
      <c r="F316" s="970">
        <v>132</v>
      </c>
      <c r="G316" s="972"/>
      <c r="H316" s="971">
        <v>3150</v>
      </c>
      <c r="I316" s="971"/>
      <c r="J316" s="971">
        <v>0</v>
      </c>
      <c r="K316" s="972">
        <v>0.83333330000000005</v>
      </c>
      <c r="L316" s="971">
        <v>2100</v>
      </c>
      <c r="M316" s="972"/>
      <c r="N316" s="971">
        <v>198</v>
      </c>
      <c r="O316" s="973"/>
      <c r="P316" s="974">
        <v>2275</v>
      </c>
      <c r="Q316" s="975"/>
      <c r="R316" s="975">
        <v>88.48</v>
      </c>
      <c r="S316" s="975"/>
      <c r="T316" s="975">
        <v>72.14</v>
      </c>
      <c r="U316" s="972">
        <v>1</v>
      </c>
      <c r="V316" s="976">
        <v>60</v>
      </c>
      <c r="W316" s="972">
        <v>1</v>
      </c>
      <c r="X316" s="976">
        <v>150</v>
      </c>
      <c r="Y316" s="972"/>
      <c r="Z316" s="977">
        <v>24</v>
      </c>
      <c r="AA316" s="972">
        <v>2</v>
      </c>
      <c r="AB316" s="977">
        <v>16</v>
      </c>
      <c r="AC316" s="972">
        <v>12</v>
      </c>
      <c r="AD316" s="972">
        <v>1</v>
      </c>
      <c r="AE316" s="978">
        <v>138.6</v>
      </c>
      <c r="AF316" s="971">
        <f t="shared" si="12"/>
        <v>2142.5999300000003</v>
      </c>
      <c r="AG316" s="971">
        <f t="shared" si="13"/>
        <v>107.12999650000002</v>
      </c>
      <c r="AH316" s="971">
        <f t="shared" si="14"/>
        <v>2249.7299265000001</v>
      </c>
      <c r="AI316" s="990">
        <v>235529</v>
      </c>
      <c r="AJ316" s="467"/>
    </row>
    <row r="317" spans="1:36" s="468" customFormat="1">
      <c r="A317" s="1009">
        <v>42305</v>
      </c>
      <c r="B317" s="968" t="s">
        <v>747</v>
      </c>
      <c r="C317" s="969"/>
      <c r="D317" s="970">
        <v>1400</v>
      </c>
      <c r="E317" s="969"/>
      <c r="F317" s="970">
        <v>132</v>
      </c>
      <c r="G317" s="972"/>
      <c r="H317" s="971">
        <v>3150</v>
      </c>
      <c r="I317" s="971"/>
      <c r="J317" s="971">
        <v>0</v>
      </c>
      <c r="K317" s="972"/>
      <c r="L317" s="971">
        <v>2100</v>
      </c>
      <c r="M317" s="972"/>
      <c r="N317" s="971">
        <v>198</v>
      </c>
      <c r="O317" s="973">
        <v>0.5</v>
      </c>
      <c r="P317" s="974">
        <v>2275</v>
      </c>
      <c r="Q317" s="975"/>
      <c r="R317" s="975">
        <v>88.48</v>
      </c>
      <c r="S317" s="975"/>
      <c r="T317" s="975">
        <v>72.14</v>
      </c>
      <c r="U317" s="972">
        <v>2</v>
      </c>
      <c r="V317" s="976">
        <v>60</v>
      </c>
      <c r="W317" s="972"/>
      <c r="X317" s="976">
        <v>150</v>
      </c>
      <c r="Y317" s="972"/>
      <c r="Z317" s="977">
        <v>24</v>
      </c>
      <c r="AA317" s="972">
        <v>7</v>
      </c>
      <c r="AB317" s="977">
        <v>16</v>
      </c>
      <c r="AC317" s="972"/>
      <c r="AD317" s="972">
        <v>1</v>
      </c>
      <c r="AE317" s="978">
        <v>247.8</v>
      </c>
      <c r="AF317" s="971">
        <f t="shared" si="12"/>
        <v>1617.3</v>
      </c>
      <c r="AG317" s="971">
        <f t="shared" si="13"/>
        <v>80.865000000000009</v>
      </c>
      <c r="AH317" s="971">
        <f t="shared" si="14"/>
        <v>1698.165</v>
      </c>
      <c r="AI317" s="990">
        <v>235529</v>
      </c>
      <c r="AJ317" s="467"/>
    </row>
    <row r="318" spans="1:36" s="468" customFormat="1">
      <c r="A318" s="1009">
        <v>42306</v>
      </c>
      <c r="B318" s="968" t="s">
        <v>752</v>
      </c>
      <c r="C318" s="969"/>
      <c r="D318" s="970">
        <v>1400</v>
      </c>
      <c r="E318" s="969"/>
      <c r="F318" s="970">
        <v>132</v>
      </c>
      <c r="G318" s="972"/>
      <c r="H318" s="971">
        <v>3150</v>
      </c>
      <c r="I318" s="971"/>
      <c r="J318" s="971">
        <v>0</v>
      </c>
      <c r="K318" s="972">
        <v>1</v>
      </c>
      <c r="L318" s="971">
        <v>2100</v>
      </c>
      <c r="M318" s="972">
        <v>1</v>
      </c>
      <c r="N318" s="971">
        <v>198</v>
      </c>
      <c r="O318" s="973"/>
      <c r="P318" s="974">
        <v>2275</v>
      </c>
      <c r="Q318" s="975"/>
      <c r="R318" s="975">
        <v>88.48</v>
      </c>
      <c r="S318" s="975"/>
      <c r="T318" s="975">
        <v>72.14</v>
      </c>
      <c r="U318" s="972">
        <v>1</v>
      </c>
      <c r="V318" s="976">
        <v>60</v>
      </c>
      <c r="W318" s="972">
        <v>1</v>
      </c>
      <c r="X318" s="976">
        <v>150</v>
      </c>
      <c r="Y318" s="972">
        <v>5</v>
      </c>
      <c r="Z318" s="977">
        <v>24</v>
      </c>
      <c r="AA318" s="972">
        <v>5</v>
      </c>
      <c r="AB318" s="977">
        <v>16</v>
      </c>
      <c r="AC318" s="972">
        <v>6</v>
      </c>
      <c r="AD318" s="972">
        <v>1</v>
      </c>
      <c r="AE318" s="978">
        <v>138.6</v>
      </c>
      <c r="AF318" s="971">
        <f t="shared" si="12"/>
        <v>2852.6</v>
      </c>
      <c r="AG318" s="971">
        <f t="shared" si="13"/>
        <v>142.63</v>
      </c>
      <c r="AH318" s="971">
        <f t="shared" si="14"/>
        <v>2995.23</v>
      </c>
      <c r="AI318" s="990">
        <v>235529</v>
      </c>
      <c r="AJ318" s="467"/>
    </row>
    <row r="319" spans="1:36" s="468" customFormat="1">
      <c r="A319" s="1009">
        <v>42306</v>
      </c>
      <c r="B319" s="968" t="s">
        <v>753</v>
      </c>
      <c r="C319" s="969"/>
      <c r="D319" s="970">
        <v>1400</v>
      </c>
      <c r="E319" s="969"/>
      <c r="F319" s="970">
        <v>132</v>
      </c>
      <c r="G319" s="972"/>
      <c r="H319" s="971">
        <v>3150</v>
      </c>
      <c r="I319" s="971"/>
      <c r="J319" s="971">
        <v>0</v>
      </c>
      <c r="K319" s="972"/>
      <c r="L319" s="971">
        <v>2100</v>
      </c>
      <c r="M319" s="972"/>
      <c r="N319" s="971">
        <v>198</v>
      </c>
      <c r="O319" s="973">
        <v>0.91666599999999998</v>
      </c>
      <c r="P319" s="974">
        <v>2275</v>
      </c>
      <c r="Q319" s="975"/>
      <c r="R319" s="975">
        <v>88.48</v>
      </c>
      <c r="S319" s="975"/>
      <c r="T319" s="975">
        <v>72.14</v>
      </c>
      <c r="U319" s="972">
        <v>2</v>
      </c>
      <c r="V319" s="976">
        <v>60</v>
      </c>
      <c r="W319" s="972"/>
      <c r="X319" s="976">
        <v>150</v>
      </c>
      <c r="Y319" s="972"/>
      <c r="Z319" s="977">
        <v>24</v>
      </c>
      <c r="AA319" s="972">
        <v>7</v>
      </c>
      <c r="AB319" s="977">
        <v>16</v>
      </c>
      <c r="AC319" s="972"/>
      <c r="AD319" s="972">
        <v>1</v>
      </c>
      <c r="AE319" s="978">
        <v>247.8</v>
      </c>
      <c r="AF319" s="971">
        <f t="shared" si="12"/>
        <v>2565.21515</v>
      </c>
      <c r="AG319" s="971">
        <f t="shared" si="13"/>
        <v>128.26075750000001</v>
      </c>
      <c r="AH319" s="971">
        <f t="shared" si="14"/>
        <v>2693.4759075000002</v>
      </c>
      <c r="AI319" s="990">
        <v>235529</v>
      </c>
      <c r="AJ319" s="467"/>
    </row>
    <row r="320" spans="1:36" s="468" customFormat="1">
      <c r="A320" s="1009">
        <v>42306</v>
      </c>
      <c r="B320" s="968" t="s">
        <v>833</v>
      </c>
      <c r="C320" s="969">
        <v>1</v>
      </c>
      <c r="D320" s="970">
        <v>1400</v>
      </c>
      <c r="E320" s="969"/>
      <c r="F320" s="970">
        <v>132</v>
      </c>
      <c r="G320" s="972"/>
      <c r="H320" s="971">
        <v>3150</v>
      </c>
      <c r="I320" s="971"/>
      <c r="J320" s="971">
        <v>0</v>
      </c>
      <c r="K320" s="972"/>
      <c r="L320" s="971">
        <v>2100</v>
      </c>
      <c r="M320" s="972"/>
      <c r="N320" s="971">
        <v>198</v>
      </c>
      <c r="O320" s="973"/>
      <c r="P320" s="974">
        <v>2275</v>
      </c>
      <c r="Q320" s="975"/>
      <c r="R320" s="975">
        <v>88.48</v>
      </c>
      <c r="S320" s="975"/>
      <c r="T320" s="975">
        <v>72.14</v>
      </c>
      <c r="U320" s="972">
        <v>1</v>
      </c>
      <c r="V320" s="976">
        <v>60</v>
      </c>
      <c r="W320" s="972"/>
      <c r="X320" s="976">
        <v>150</v>
      </c>
      <c r="Y320" s="972"/>
      <c r="Z320" s="977">
        <v>24</v>
      </c>
      <c r="AA320" s="972"/>
      <c r="AB320" s="977">
        <v>16</v>
      </c>
      <c r="AC320" s="972"/>
      <c r="AD320" s="972">
        <v>1</v>
      </c>
      <c r="AE320" s="978">
        <v>135.44999999999999</v>
      </c>
      <c r="AF320" s="971">
        <f t="shared" si="12"/>
        <v>1595.45</v>
      </c>
      <c r="AG320" s="971">
        <f t="shared" si="13"/>
        <v>79.772500000000008</v>
      </c>
      <c r="AH320" s="971">
        <f t="shared" si="14"/>
        <v>1675.2225000000001</v>
      </c>
      <c r="AI320" s="990">
        <v>235529</v>
      </c>
      <c r="AJ320" s="467"/>
    </row>
    <row r="321" spans="1:64" s="468" customFormat="1">
      <c r="A321" s="1009">
        <v>42307</v>
      </c>
      <c r="B321" s="968" t="s">
        <v>757</v>
      </c>
      <c r="C321" s="969">
        <v>1</v>
      </c>
      <c r="D321" s="970">
        <v>1400</v>
      </c>
      <c r="E321" s="969"/>
      <c r="F321" s="970">
        <v>132</v>
      </c>
      <c r="G321" s="972"/>
      <c r="H321" s="971">
        <v>3150</v>
      </c>
      <c r="I321" s="971"/>
      <c r="J321" s="971">
        <v>0</v>
      </c>
      <c r="K321" s="972"/>
      <c r="L321" s="971">
        <v>2100</v>
      </c>
      <c r="M321" s="972"/>
      <c r="N321" s="971">
        <v>198</v>
      </c>
      <c r="O321" s="973"/>
      <c r="P321" s="974">
        <v>2275</v>
      </c>
      <c r="Q321" s="975"/>
      <c r="R321" s="975">
        <v>88.48</v>
      </c>
      <c r="S321" s="975"/>
      <c r="T321" s="975">
        <v>72.14</v>
      </c>
      <c r="U321" s="972">
        <v>1</v>
      </c>
      <c r="V321" s="976">
        <v>60</v>
      </c>
      <c r="W321" s="972"/>
      <c r="X321" s="976">
        <v>150</v>
      </c>
      <c r="Y321" s="972"/>
      <c r="Z321" s="977">
        <v>24</v>
      </c>
      <c r="AA321" s="972"/>
      <c r="AB321" s="977">
        <v>16</v>
      </c>
      <c r="AC321" s="972"/>
      <c r="AD321" s="972">
        <v>1</v>
      </c>
      <c r="AE321" s="978">
        <v>135.44999999999999</v>
      </c>
      <c r="AF321" s="971">
        <f t="shared" si="12"/>
        <v>1595.45</v>
      </c>
      <c r="AG321" s="971">
        <f t="shared" si="13"/>
        <v>79.772500000000008</v>
      </c>
      <c r="AH321" s="971">
        <f t="shared" si="14"/>
        <v>1675.2225000000001</v>
      </c>
      <c r="AI321" s="990">
        <v>235529</v>
      </c>
      <c r="AJ321" s="467"/>
    </row>
    <row r="322" spans="1:64" s="468" customFormat="1">
      <c r="A322" s="1009">
        <v>42307</v>
      </c>
      <c r="B322" s="968" t="s">
        <v>758</v>
      </c>
      <c r="C322" s="969"/>
      <c r="D322" s="970">
        <v>1400</v>
      </c>
      <c r="E322" s="969"/>
      <c r="F322" s="970">
        <v>132</v>
      </c>
      <c r="G322" s="972"/>
      <c r="H322" s="971">
        <v>3150</v>
      </c>
      <c r="I322" s="971"/>
      <c r="J322" s="971">
        <v>0</v>
      </c>
      <c r="K322" s="972"/>
      <c r="L322" s="971">
        <v>2100</v>
      </c>
      <c r="M322" s="972">
        <v>1</v>
      </c>
      <c r="N322" s="971">
        <v>205</v>
      </c>
      <c r="O322" s="973">
        <v>1</v>
      </c>
      <c r="P322" s="974">
        <v>2275</v>
      </c>
      <c r="Q322" s="975"/>
      <c r="R322" s="975">
        <v>88.48</v>
      </c>
      <c r="S322" s="975"/>
      <c r="T322" s="975">
        <v>72.14</v>
      </c>
      <c r="U322" s="972">
        <v>2</v>
      </c>
      <c r="V322" s="976">
        <v>60</v>
      </c>
      <c r="W322" s="972"/>
      <c r="X322" s="976">
        <v>150</v>
      </c>
      <c r="Y322" s="972"/>
      <c r="Z322" s="977">
        <v>24</v>
      </c>
      <c r="AA322" s="972">
        <v>6</v>
      </c>
      <c r="AB322" s="977">
        <v>16</v>
      </c>
      <c r="AC322" s="972"/>
      <c r="AD322" s="972">
        <v>1</v>
      </c>
      <c r="AE322" s="978">
        <v>247.8</v>
      </c>
      <c r="AF322" s="971">
        <f t="shared" si="12"/>
        <v>2943.8</v>
      </c>
      <c r="AG322" s="971">
        <f t="shared" si="13"/>
        <v>147.19000000000003</v>
      </c>
      <c r="AH322" s="971">
        <f t="shared" si="14"/>
        <v>3090.9900000000002</v>
      </c>
      <c r="AI322" s="990">
        <v>235529</v>
      </c>
      <c r="AJ322" s="467"/>
    </row>
    <row r="323" spans="1:64" s="468" customFormat="1">
      <c r="A323" s="1009">
        <v>42307</v>
      </c>
      <c r="B323" s="968" t="s">
        <v>759</v>
      </c>
      <c r="C323" s="969"/>
      <c r="D323" s="970">
        <v>1400</v>
      </c>
      <c r="E323" s="969"/>
      <c r="F323" s="970">
        <v>132</v>
      </c>
      <c r="G323" s="972"/>
      <c r="H323" s="971">
        <v>3150</v>
      </c>
      <c r="I323" s="971"/>
      <c r="J323" s="971">
        <v>0</v>
      </c>
      <c r="K323" s="972">
        <v>1</v>
      </c>
      <c r="L323" s="971">
        <v>2100</v>
      </c>
      <c r="M323" s="972"/>
      <c r="N323" s="971">
        <v>198</v>
      </c>
      <c r="O323" s="973"/>
      <c r="P323" s="974">
        <v>2275</v>
      </c>
      <c r="Q323" s="975"/>
      <c r="R323" s="975">
        <v>88.48</v>
      </c>
      <c r="S323" s="975"/>
      <c r="T323" s="975">
        <v>72.14</v>
      </c>
      <c r="U323" s="972">
        <v>1</v>
      </c>
      <c r="V323" s="976">
        <v>60</v>
      </c>
      <c r="W323" s="972">
        <v>1</v>
      </c>
      <c r="X323" s="976">
        <v>150</v>
      </c>
      <c r="Y323" s="972">
        <v>4</v>
      </c>
      <c r="Z323" s="977">
        <v>24</v>
      </c>
      <c r="AA323" s="972">
        <v>2</v>
      </c>
      <c r="AB323" s="977">
        <v>16</v>
      </c>
      <c r="AC323" s="972"/>
      <c r="AD323" s="972">
        <v>1</v>
      </c>
      <c r="AE323" s="978">
        <v>138.6</v>
      </c>
      <c r="AF323" s="971">
        <f t="shared" si="12"/>
        <v>2576.6</v>
      </c>
      <c r="AG323" s="971">
        <f t="shared" si="13"/>
        <v>128.83000000000001</v>
      </c>
      <c r="AH323" s="971">
        <f t="shared" si="14"/>
        <v>2705.43</v>
      </c>
      <c r="AI323" s="990">
        <v>235529</v>
      </c>
      <c r="AJ323" s="467"/>
    </row>
    <row r="324" spans="1:64" s="192" customFormat="1">
      <c r="A324" s="1009">
        <v>42308</v>
      </c>
      <c r="B324" s="968" t="s">
        <v>760</v>
      </c>
      <c r="C324" s="969"/>
      <c r="D324" s="970">
        <v>1400</v>
      </c>
      <c r="E324" s="969"/>
      <c r="F324" s="970">
        <v>132</v>
      </c>
      <c r="G324" s="972"/>
      <c r="H324" s="971">
        <v>3150</v>
      </c>
      <c r="I324" s="971"/>
      <c r="J324" s="971">
        <v>0</v>
      </c>
      <c r="K324" s="972">
        <v>0.5</v>
      </c>
      <c r="L324" s="971">
        <v>2100</v>
      </c>
      <c r="M324" s="972"/>
      <c r="N324" s="971">
        <v>198</v>
      </c>
      <c r="O324" s="973"/>
      <c r="P324" s="974">
        <v>2275</v>
      </c>
      <c r="Q324" s="975"/>
      <c r="R324" s="975">
        <v>88.48</v>
      </c>
      <c r="S324" s="975"/>
      <c r="T324" s="975">
        <v>72.14</v>
      </c>
      <c r="U324" s="972"/>
      <c r="V324" s="976">
        <v>60</v>
      </c>
      <c r="W324" s="972"/>
      <c r="X324" s="976">
        <v>150</v>
      </c>
      <c r="Y324" s="972"/>
      <c r="Z324" s="977">
        <v>24</v>
      </c>
      <c r="AA324" s="972">
        <v>2</v>
      </c>
      <c r="AB324" s="977">
        <v>16</v>
      </c>
      <c r="AC324" s="972">
        <v>12</v>
      </c>
      <c r="AD324" s="972"/>
      <c r="AE324" s="978"/>
      <c r="AF324" s="971">
        <f t="shared" si="12"/>
        <v>1094</v>
      </c>
      <c r="AG324" s="971">
        <f t="shared" si="13"/>
        <v>54.7</v>
      </c>
      <c r="AH324" s="971">
        <f t="shared" si="14"/>
        <v>1148.7</v>
      </c>
      <c r="AI324" s="990">
        <v>235529</v>
      </c>
      <c r="AJ324" s="467"/>
      <c r="AK324" s="468"/>
      <c r="AL324" s="468"/>
      <c r="AM324" s="468"/>
      <c r="AN324" s="468"/>
      <c r="AO324" s="468"/>
      <c r="AP324" s="468"/>
      <c r="AQ324" s="468"/>
      <c r="AR324" s="468"/>
      <c r="AS324" s="468"/>
      <c r="AT324" s="468"/>
      <c r="AU324" s="468"/>
      <c r="AV324" s="468"/>
      <c r="AW324" s="468"/>
      <c r="AX324" s="468"/>
      <c r="AY324" s="468"/>
      <c r="AZ324" s="468"/>
      <c r="BA324" s="468"/>
      <c r="BB324" s="468"/>
      <c r="BC324" s="468"/>
      <c r="BD324" s="468"/>
      <c r="BE324" s="468"/>
      <c r="BF324" s="468"/>
      <c r="BG324" s="468"/>
      <c r="BH324" s="468"/>
      <c r="BI324" s="468"/>
      <c r="BJ324" s="468"/>
      <c r="BK324" s="468"/>
      <c r="BL324" s="468"/>
    </row>
    <row r="325" spans="1:64" s="192" customFormat="1">
      <c r="A325" s="720">
        <v>42310</v>
      </c>
      <c r="B325" s="1017" t="s">
        <v>772</v>
      </c>
      <c r="C325" s="722"/>
      <c r="D325" s="723">
        <v>1400</v>
      </c>
      <c r="E325" s="722"/>
      <c r="F325" s="723">
        <v>132</v>
      </c>
      <c r="G325" s="725"/>
      <c r="H325" s="724">
        <v>3150</v>
      </c>
      <c r="I325" s="724"/>
      <c r="J325" s="724">
        <v>0</v>
      </c>
      <c r="K325" s="725">
        <v>0.5</v>
      </c>
      <c r="L325" s="724">
        <v>2100</v>
      </c>
      <c r="M325" s="725"/>
      <c r="N325" s="724">
        <v>198</v>
      </c>
      <c r="O325" s="1018"/>
      <c r="P325" s="726">
        <v>2275</v>
      </c>
      <c r="Q325" s="766"/>
      <c r="R325" s="766">
        <v>88.48</v>
      </c>
      <c r="S325" s="766"/>
      <c r="T325" s="766">
        <v>72.14</v>
      </c>
      <c r="U325" s="725"/>
      <c r="V325" s="727">
        <v>60</v>
      </c>
      <c r="W325" s="725"/>
      <c r="X325" s="727">
        <v>150</v>
      </c>
      <c r="Y325" s="725">
        <v>1</v>
      </c>
      <c r="Z325" s="728">
        <v>24</v>
      </c>
      <c r="AA325" s="725"/>
      <c r="AB325" s="728">
        <v>16</v>
      </c>
      <c r="AC325" s="725"/>
      <c r="AD325" s="725"/>
      <c r="AE325" s="1019"/>
      <c r="AF325" s="724">
        <f t="shared" ref="AF325:AF335" si="15">(C325*D325)+(Y325*Z325)+(O325*P325)+(Q325*R325)+(S325*T325)+(AA325*AB325)+(E325*F325)+(G325*H325)+(I325*J325)+(K325*L325)+(M325*N325)+(AD325*AE325)+(U325*V325)+(W325*X325)+AC325</f>
        <v>1074</v>
      </c>
      <c r="AG325" s="724">
        <f t="shared" ref="AG325:AG335" si="16">(AF325*5%)</f>
        <v>53.7</v>
      </c>
      <c r="AH325" s="724">
        <f t="shared" ref="AH325:AH335" si="17">SUM(AF325+AG325)</f>
        <v>1127.7</v>
      </c>
      <c r="AI325" s="984">
        <v>236395</v>
      </c>
      <c r="AJ325" s="194"/>
    </row>
    <row r="326" spans="1:64" s="192" customFormat="1">
      <c r="A326" s="720">
        <v>42310</v>
      </c>
      <c r="B326" s="1017" t="s">
        <v>773</v>
      </c>
      <c r="C326" s="722"/>
      <c r="D326" s="723">
        <v>1400</v>
      </c>
      <c r="E326" s="722"/>
      <c r="F326" s="723">
        <v>132</v>
      </c>
      <c r="G326" s="725"/>
      <c r="H326" s="724">
        <v>3150</v>
      </c>
      <c r="I326" s="724"/>
      <c r="J326" s="724">
        <v>0</v>
      </c>
      <c r="K326" s="725"/>
      <c r="L326" s="724">
        <v>2100</v>
      </c>
      <c r="M326" s="725"/>
      <c r="N326" s="724">
        <v>198</v>
      </c>
      <c r="O326" s="1018"/>
      <c r="P326" s="726">
        <v>2275</v>
      </c>
      <c r="Q326" s="766">
        <v>6</v>
      </c>
      <c r="R326" s="766">
        <v>88.48</v>
      </c>
      <c r="S326" s="766">
        <v>6</v>
      </c>
      <c r="T326" s="766">
        <v>72.14</v>
      </c>
      <c r="U326" s="725"/>
      <c r="V326" s="727">
        <v>60</v>
      </c>
      <c r="W326" s="725"/>
      <c r="X326" s="727">
        <v>150</v>
      </c>
      <c r="Y326" s="725"/>
      <c r="Z326" s="728">
        <v>24</v>
      </c>
      <c r="AA326" s="725"/>
      <c r="AB326" s="728">
        <v>16</v>
      </c>
      <c r="AC326" s="725"/>
      <c r="AD326" s="725"/>
      <c r="AE326" s="1019"/>
      <c r="AF326" s="724">
        <f t="shared" si="15"/>
        <v>963.72</v>
      </c>
      <c r="AG326" s="724">
        <f t="shared" si="16"/>
        <v>48.186000000000007</v>
      </c>
      <c r="AH326" s="724">
        <f t="shared" si="17"/>
        <v>1011.9060000000001</v>
      </c>
      <c r="AI326" s="984">
        <v>236395</v>
      </c>
      <c r="AJ326" s="194"/>
    </row>
    <row r="327" spans="1:64" s="192" customFormat="1">
      <c r="A327" s="720">
        <v>42311</v>
      </c>
      <c r="B327" s="1017" t="s">
        <v>779</v>
      </c>
      <c r="C327" s="722"/>
      <c r="D327" s="723">
        <v>1400</v>
      </c>
      <c r="E327" s="722"/>
      <c r="F327" s="723">
        <v>132</v>
      </c>
      <c r="G327" s="725"/>
      <c r="H327" s="724">
        <v>3150</v>
      </c>
      <c r="I327" s="724"/>
      <c r="J327" s="724">
        <v>0</v>
      </c>
      <c r="K327" s="725">
        <v>1</v>
      </c>
      <c r="L327" s="724">
        <v>2100</v>
      </c>
      <c r="M327" s="725"/>
      <c r="N327" s="724">
        <v>198</v>
      </c>
      <c r="O327" s="1018"/>
      <c r="P327" s="726">
        <v>2275</v>
      </c>
      <c r="Q327" s="766"/>
      <c r="R327" s="766">
        <v>88.48</v>
      </c>
      <c r="S327" s="766"/>
      <c r="T327" s="766">
        <v>72.14</v>
      </c>
      <c r="U327" s="725">
        <v>1</v>
      </c>
      <c r="V327" s="727">
        <v>60</v>
      </c>
      <c r="W327" s="725">
        <v>1</v>
      </c>
      <c r="X327" s="727">
        <v>150</v>
      </c>
      <c r="Y327" s="725">
        <v>4</v>
      </c>
      <c r="Z327" s="728">
        <v>24</v>
      </c>
      <c r="AA327" s="725">
        <v>2</v>
      </c>
      <c r="AB327" s="728">
        <v>16</v>
      </c>
      <c r="AC327" s="725"/>
      <c r="AD327" s="725">
        <v>1</v>
      </c>
      <c r="AE327" s="1019">
        <v>138.6</v>
      </c>
      <c r="AF327" s="724">
        <f t="shared" si="15"/>
        <v>2576.6</v>
      </c>
      <c r="AG327" s="724">
        <f t="shared" si="16"/>
        <v>128.83000000000001</v>
      </c>
      <c r="AH327" s="724">
        <f t="shared" si="17"/>
        <v>2705.43</v>
      </c>
      <c r="AI327" s="984">
        <v>236395</v>
      </c>
      <c r="AJ327" s="194"/>
    </row>
    <row r="328" spans="1:64" s="192" customFormat="1">
      <c r="A328" s="720">
        <v>42311</v>
      </c>
      <c r="B328" s="1017" t="s">
        <v>779</v>
      </c>
      <c r="C328" s="722"/>
      <c r="D328" s="723">
        <v>1400</v>
      </c>
      <c r="E328" s="722"/>
      <c r="F328" s="723">
        <v>132</v>
      </c>
      <c r="G328" s="725"/>
      <c r="H328" s="724">
        <v>3150</v>
      </c>
      <c r="I328" s="724"/>
      <c r="J328" s="724">
        <v>0</v>
      </c>
      <c r="K328" s="725"/>
      <c r="L328" s="724">
        <v>2100</v>
      </c>
      <c r="M328" s="725">
        <v>2</v>
      </c>
      <c r="N328" s="724">
        <v>198</v>
      </c>
      <c r="O328" s="1018"/>
      <c r="P328" s="726">
        <v>2275</v>
      </c>
      <c r="Q328" s="766"/>
      <c r="R328" s="766">
        <v>88.48</v>
      </c>
      <c r="S328" s="766"/>
      <c r="T328" s="766">
        <v>72.14</v>
      </c>
      <c r="U328" s="725"/>
      <c r="V328" s="727">
        <v>60</v>
      </c>
      <c r="W328" s="725"/>
      <c r="X328" s="727">
        <v>150</v>
      </c>
      <c r="Y328" s="725"/>
      <c r="Z328" s="728">
        <v>24</v>
      </c>
      <c r="AA328" s="725">
        <v>2</v>
      </c>
      <c r="AB328" s="728">
        <v>16</v>
      </c>
      <c r="AC328" s="725"/>
      <c r="AD328" s="725"/>
      <c r="AE328" s="1019"/>
      <c r="AF328" s="724">
        <f t="shared" si="15"/>
        <v>428</v>
      </c>
      <c r="AG328" s="724">
        <f t="shared" si="16"/>
        <v>21.400000000000002</v>
      </c>
      <c r="AH328" s="724">
        <f t="shared" si="17"/>
        <v>449.4</v>
      </c>
      <c r="AI328" s="984">
        <v>236395</v>
      </c>
      <c r="AJ328" s="194"/>
    </row>
    <row r="329" spans="1:64" s="192" customFormat="1">
      <c r="A329" s="720">
        <v>42312</v>
      </c>
      <c r="B329" s="1017" t="s">
        <v>782</v>
      </c>
      <c r="C329" s="722"/>
      <c r="D329" s="723">
        <v>1400</v>
      </c>
      <c r="E329" s="722"/>
      <c r="F329" s="723">
        <v>132</v>
      </c>
      <c r="G329" s="725"/>
      <c r="H329" s="724">
        <v>3150</v>
      </c>
      <c r="I329" s="724"/>
      <c r="J329" s="724">
        <v>0</v>
      </c>
      <c r="K329" s="725">
        <v>0.5</v>
      </c>
      <c r="L329" s="724">
        <v>2100</v>
      </c>
      <c r="M329" s="725"/>
      <c r="N329" s="724">
        <v>198</v>
      </c>
      <c r="O329" s="1018"/>
      <c r="P329" s="726">
        <v>2275</v>
      </c>
      <c r="Q329" s="766"/>
      <c r="R329" s="766">
        <v>88.48</v>
      </c>
      <c r="S329" s="766"/>
      <c r="T329" s="766">
        <v>72.14</v>
      </c>
      <c r="U329" s="725"/>
      <c r="V329" s="727">
        <v>60</v>
      </c>
      <c r="W329" s="725"/>
      <c r="X329" s="727">
        <v>150</v>
      </c>
      <c r="Y329" s="725">
        <v>1</v>
      </c>
      <c r="Z329" s="728">
        <v>24</v>
      </c>
      <c r="AA329" s="725">
        <v>3</v>
      </c>
      <c r="AB329" s="728">
        <v>16</v>
      </c>
      <c r="AC329" s="725">
        <v>44</v>
      </c>
      <c r="AD329" s="725"/>
      <c r="AE329" s="1019"/>
      <c r="AF329" s="724">
        <f t="shared" si="15"/>
        <v>1166</v>
      </c>
      <c r="AG329" s="724">
        <f t="shared" si="16"/>
        <v>58.300000000000004</v>
      </c>
      <c r="AH329" s="724">
        <f t="shared" si="17"/>
        <v>1224.3</v>
      </c>
      <c r="AI329" s="984">
        <v>236395</v>
      </c>
      <c r="AJ329" s="1020" t="s">
        <v>945</v>
      </c>
    </row>
    <row r="330" spans="1:64" s="192" customFormat="1">
      <c r="A330" s="720">
        <v>42313</v>
      </c>
      <c r="B330" s="1017" t="s">
        <v>784</v>
      </c>
      <c r="C330" s="722"/>
      <c r="D330" s="723">
        <v>1400</v>
      </c>
      <c r="E330" s="722"/>
      <c r="F330" s="723">
        <v>132</v>
      </c>
      <c r="G330" s="725"/>
      <c r="H330" s="724">
        <v>3150</v>
      </c>
      <c r="I330" s="724"/>
      <c r="J330" s="724">
        <v>0</v>
      </c>
      <c r="K330" s="725">
        <v>0.25</v>
      </c>
      <c r="L330" s="724">
        <v>2100</v>
      </c>
      <c r="M330" s="725"/>
      <c r="N330" s="724">
        <v>198</v>
      </c>
      <c r="O330" s="1018"/>
      <c r="P330" s="726">
        <v>2275</v>
      </c>
      <c r="Q330" s="766"/>
      <c r="R330" s="766">
        <v>88.48</v>
      </c>
      <c r="S330" s="766"/>
      <c r="T330" s="766">
        <v>72.14</v>
      </c>
      <c r="U330" s="725"/>
      <c r="V330" s="727">
        <v>60</v>
      </c>
      <c r="W330" s="725"/>
      <c r="X330" s="727">
        <v>150</v>
      </c>
      <c r="Y330" s="725"/>
      <c r="Z330" s="728">
        <v>24</v>
      </c>
      <c r="AA330" s="725"/>
      <c r="AB330" s="728">
        <v>16</v>
      </c>
      <c r="AC330" s="725">
        <v>6</v>
      </c>
      <c r="AD330" s="725"/>
      <c r="AE330" s="1019"/>
      <c r="AF330" s="724">
        <f t="shared" si="15"/>
        <v>531</v>
      </c>
      <c r="AG330" s="724">
        <f t="shared" si="16"/>
        <v>26.55</v>
      </c>
      <c r="AH330" s="724">
        <f t="shared" si="17"/>
        <v>557.54999999999995</v>
      </c>
      <c r="AI330" s="984">
        <v>236395</v>
      </c>
      <c r="AJ330" s="840"/>
    </row>
    <row r="331" spans="1:64" s="192" customFormat="1">
      <c r="A331" s="720">
        <v>42314</v>
      </c>
      <c r="B331" s="1017" t="s">
        <v>789</v>
      </c>
      <c r="C331" s="722"/>
      <c r="D331" s="723">
        <v>1400</v>
      </c>
      <c r="E331" s="722"/>
      <c r="F331" s="723">
        <v>132</v>
      </c>
      <c r="G331" s="725"/>
      <c r="H331" s="724">
        <v>3150</v>
      </c>
      <c r="I331" s="724"/>
      <c r="J331" s="724">
        <v>0</v>
      </c>
      <c r="K331" s="725">
        <v>0.5</v>
      </c>
      <c r="L331" s="724">
        <v>2100</v>
      </c>
      <c r="M331" s="725"/>
      <c r="N331" s="724">
        <v>198</v>
      </c>
      <c r="O331" s="1018"/>
      <c r="P331" s="726">
        <v>2275</v>
      </c>
      <c r="Q331" s="766"/>
      <c r="R331" s="766">
        <v>88.48</v>
      </c>
      <c r="S331" s="766"/>
      <c r="T331" s="766">
        <v>72.14</v>
      </c>
      <c r="U331" s="725">
        <v>1</v>
      </c>
      <c r="V331" s="727">
        <v>60</v>
      </c>
      <c r="W331" s="725">
        <v>1</v>
      </c>
      <c r="X331" s="727">
        <v>150</v>
      </c>
      <c r="Y331" s="725"/>
      <c r="Z331" s="728">
        <v>24</v>
      </c>
      <c r="AA331" s="725"/>
      <c r="AB331" s="728">
        <v>16</v>
      </c>
      <c r="AC331" s="725">
        <v>42</v>
      </c>
      <c r="AD331" s="725">
        <v>1</v>
      </c>
      <c r="AE331" s="1019">
        <v>138.6</v>
      </c>
      <c r="AF331" s="724">
        <f t="shared" si="15"/>
        <v>1440.6</v>
      </c>
      <c r="AG331" s="724">
        <f t="shared" si="16"/>
        <v>72.03</v>
      </c>
      <c r="AH331" s="724">
        <f t="shared" si="17"/>
        <v>1512.6299999999999</v>
      </c>
      <c r="AI331" s="984">
        <v>236395</v>
      </c>
      <c r="AJ331" s="194"/>
    </row>
    <row r="332" spans="1:64" s="192" customFormat="1">
      <c r="A332" s="720">
        <v>42317</v>
      </c>
      <c r="B332" s="1017" t="s">
        <v>805</v>
      </c>
      <c r="C332" s="722"/>
      <c r="D332" s="723">
        <v>1400</v>
      </c>
      <c r="E332" s="722"/>
      <c r="F332" s="723">
        <v>132</v>
      </c>
      <c r="G332" s="725"/>
      <c r="H332" s="724">
        <v>3150</v>
      </c>
      <c r="I332" s="724"/>
      <c r="J332" s="724">
        <v>0</v>
      </c>
      <c r="K332" s="725">
        <v>1</v>
      </c>
      <c r="L332" s="724">
        <v>2100</v>
      </c>
      <c r="M332" s="725"/>
      <c r="N332" s="724">
        <v>198</v>
      </c>
      <c r="O332" s="1018"/>
      <c r="P332" s="726">
        <v>2275</v>
      </c>
      <c r="Q332" s="766"/>
      <c r="R332" s="766">
        <v>88.48</v>
      </c>
      <c r="S332" s="766"/>
      <c r="T332" s="766">
        <v>72.14</v>
      </c>
      <c r="U332" s="725">
        <v>1</v>
      </c>
      <c r="V332" s="727">
        <v>60</v>
      </c>
      <c r="W332" s="725">
        <v>1</v>
      </c>
      <c r="X332" s="727">
        <v>150</v>
      </c>
      <c r="Y332" s="725"/>
      <c r="Z332" s="728">
        <v>24</v>
      </c>
      <c r="AA332" s="725">
        <v>2</v>
      </c>
      <c r="AB332" s="728">
        <v>16</v>
      </c>
      <c r="AC332" s="725"/>
      <c r="AD332" s="725">
        <v>1</v>
      </c>
      <c r="AE332" s="1019">
        <v>135.44999999999999</v>
      </c>
      <c r="AF332" s="724">
        <f t="shared" si="15"/>
        <v>2477.4499999999998</v>
      </c>
      <c r="AG332" s="724">
        <f t="shared" si="16"/>
        <v>123.8725</v>
      </c>
      <c r="AH332" s="724">
        <f t="shared" si="17"/>
        <v>2601.3224999999998</v>
      </c>
      <c r="AI332" s="984">
        <v>236395</v>
      </c>
      <c r="AJ332" s="194"/>
    </row>
    <row r="333" spans="1:64" s="192" customFormat="1">
      <c r="A333" s="720">
        <v>42317</v>
      </c>
      <c r="B333" s="1017" t="s">
        <v>806</v>
      </c>
      <c r="C333" s="722"/>
      <c r="D333" s="723">
        <v>1400</v>
      </c>
      <c r="E333" s="722"/>
      <c r="F333" s="723">
        <v>132</v>
      </c>
      <c r="G333" s="725"/>
      <c r="H333" s="724">
        <v>3150</v>
      </c>
      <c r="I333" s="724"/>
      <c r="J333" s="724">
        <v>0</v>
      </c>
      <c r="K333" s="725">
        <v>1</v>
      </c>
      <c r="L333" s="724">
        <v>2100</v>
      </c>
      <c r="M333" s="725"/>
      <c r="N333" s="724">
        <v>198</v>
      </c>
      <c r="O333" s="1018"/>
      <c r="P333" s="726">
        <v>2275</v>
      </c>
      <c r="Q333" s="766"/>
      <c r="R333" s="766">
        <v>88.48</v>
      </c>
      <c r="S333" s="766"/>
      <c r="T333" s="766">
        <v>72.14</v>
      </c>
      <c r="U333" s="725">
        <v>1</v>
      </c>
      <c r="V333" s="727">
        <v>60</v>
      </c>
      <c r="W333" s="725">
        <v>1</v>
      </c>
      <c r="X333" s="727">
        <v>150</v>
      </c>
      <c r="Y333" s="725">
        <v>1</v>
      </c>
      <c r="Z333" s="728">
        <v>24</v>
      </c>
      <c r="AA333" s="725">
        <v>2</v>
      </c>
      <c r="AB333" s="728">
        <v>16</v>
      </c>
      <c r="AC333" s="725"/>
      <c r="AD333" s="725">
        <v>1</v>
      </c>
      <c r="AE333" s="1019">
        <v>138.6</v>
      </c>
      <c r="AF333" s="724">
        <f t="shared" si="15"/>
        <v>2504.6</v>
      </c>
      <c r="AG333" s="724">
        <f t="shared" si="16"/>
        <v>125.23</v>
      </c>
      <c r="AH333" s="724">
        <f t="shared" si="17"/>
        <v>2629.83</v>
      </c>
      <c r="AI333" s="984">
        <v>236395</v>
      </c>
      <c r="AJ333" s="194"/>
    </row>
    <row r="334" spans="1:64" s="192" customFormat="1">
      <c r="A334" s="720">
        <v>42318</v>
      </c>
      <c r="B334" s="1017" t="s">
        <v>808</v>
      </c>
      <c r="C334" s="722">
        <v>1</v>
      </c>
      <c r="D334" s="723">
        <v>1400</v>
      </c>
      <c r="E334" s="722"/>
      <c r="F334" s="723">
        <v>132</v>
      </c>
      <c r="G334" s="725"/>
      <c r="H334" s="724">
        <v>3150</v>
      </c>
      <c r="I334" s="724"/>
      <c r="J334" s="724">
        <v>0</v>
      </c>
      <c r="K334" s="725"/>
      <c r="L334" s="724">
        <v>2100</v>
      </c>
      <c r="M334" s="725"/>
      <c r="N334" s="724">
        <v>198</v>
      </c>
      <c r="O334" s="1018"/>
      <c r="P334" s="726">
        <v>2275</v>
      </c>
      <c r="Q334" s="766"/>
      <c r="R334" s="766">
        <v>88.48</v>
      </c>
      <c r="S334" s="766"/>
      <c r="T334" s="766">
        <v>72.14</v>
      </c>
      <c r="U334" s="725">
        <v>1</v>
      </c>
      <c r="V334" s="727">
        <v>60</v>
      </c>
      <c r="W334" s="725"/>
      <c r="X334" s="727">
        <v>150</v>
      </c>
      <c r="Y334" s="725"/>
      <c r="Z334" s="728">
        <v>24</v>
      </c>
      <c r="AA334" s="725"/>
      <c r="AB334" s="728">
        <v>16</v>
      </c>
      <c r="AC334" s="725"/>
      <c r="AD334" s="725">
        <v>1</v>
      </c>
      <c r="AE334" s="1019">
        <v>135.44999999999999</v>
      </c>
      <c r="AF334" s="724">
        <f t="shared" si="15"/>
        <v>1595.45</v>
      </c>
      <c r="AG334" s="724">
        <f t="shared" si="16"/>
        <v>79.772500000000008</v>
      </c>
      <c r="AH334" s="724">
        <f t="shared" si="17"/>
        <v>1675.2225000000001</v>
      </c>
      <c r="AI334" s="984">
        <v>236395</v>
      </c>
      <c r="AJ334" s="194"/>
    </row>
    <row r="335" spans="1:64" s="192" customFormat="1">
      <c r="A335" s="720">
        <v>42318</v>
      </c>
      <c r="B335" s="1017" t="s">
        <v>809</v>
      </c>
      <c r="C335" s="722"/>
      <c r="D335" s="723">
        <v>1400</v>
      </c>
      <c r="E335" s="722"/>
      <c r="F335" s="723">
        <v>132</v>
      </c>
      <c r="G335" s="725"/>
      <c r="H335" s="724">
        <v>3150</v>
      </c>
      <c r="I335" s="724"/>
      <c r="J335" s="724">
        <v>0</v>
      </c>
      <c r="K335" s="725">
        <v>0.67</v>
      </c>
      <c r="L335" s="724">
        <v>2100</v>
      </c>
      <c r="M335" s="725"/>
      <c r="N335" s="724">
        <v>198</v>
      </c>
      <c r="O335" s="1018"/>
      <c r="P335" s="726">
        <v>2275</v>
      </c>
      <c r="Q335" s="766"/>
      <c r="R335" s="766">
        <v>88.48</v>
      </c>
      <c r="S335" s="766"/>
      <c r="T335" s="766">
        <v>72.14</v>
      </c>
      <c r="U335" s="725">
        <v>1</v>
      </c>
      <c r="V335" s="727">
        <v>60</v>
      </c>
      <c r="W335" s="725">
        <v>1</v>
      </c>
      <c r="X335" s="727">
        <v>150</v>
      </c>
      <c r="Y335" s="725">
        <v>1</v>
      </c>
      <c r="Z335" s="728">
        <v>24</v>
      </c>
      <c r="AA335" s="725">
        <v>2</v>
      </c>
      <c r="AB335" s="728">
        <v>16</v>
      </c>
      <c r="AC335" s="725"/>
      <c r="AD335" s="725">
        <v>1</v>
      </c>
      <c r="AE335" s="1019">
        <v>138.6</v>
      </c>
      <c r="AF335" s="724">
        <f t="shared" si="15"/>
        <v>1811.6</v>
      </c>
      <c r="AG335" s="724">
        <f t="shared" si="16"/>
        <v>90.58</v>
      </c>
      <c r="AH335" s="724">
        <f t="shared" si="17"/>
        <v>1902.1799999999998</v>
      </c>
      <c r="AI335" s="984">
        <v>236395</v>
      </c>
      <c r="AJ335" s="194"/>
    </row>
    <row r="336" spans="1:64">
      <c r="A336" s="720">
        <v>42319</v>
      </c>
      <c r="B336" s="1017" t="s">
        <v>811</v>
      </c>
      <c r="C336" s="722">
        <v>1</v>
      </c>
      <c r="D336" s="723">
        <v>1750</v>
      </c>
      <c r="E336" s="722"/>
      <c r="F336" s="723">
        <v>132</v>
      </c>
      <c r="G336" s="725"/>
      <c r="H336" s="724">
        <v>3150</v>
      </c>
      <c r="I336" s="724"/>
      <c r="J336" s="724">
        <v>0</v>
      </c>
      <c r="K336" s="725"/>
      <c r="L336" s="724">
        <v>2100</v>
      </c>
      <c r="M336" s="725"/>
      <c r="N336" s="724">
        <v>198</v>
      </c>
      <c r="O336" s="1018"/>
      <c r="P336" s="726">
        <v>2275</v>
      </c>
      <c r="Q336" s="766"/>
      <c r="R336" s="766">
        <v>88.48</v>
      </c>
      <c r="S336" s="766"/>
      <c r="T336" s="766">
        <v>72.14</v>
      </c>
      <c r="U336" s="725">
        <v>1</v>
      </c>
      <c r="V336" s="727">
        <v>60</v>
      </c>
      <c r="W336" s="725"/>
      <c r="X336" s="727">
        <v>150</v>
      </c>
      <c r="Y336" s="725"/>
      <c r="Z336" s="728">
        <v>24</v>
      </c>
      <c r="AA336" s="725"/>
      <c r="AB336" s="728">
        <v>16</v>
      </c>
      <c r="AC336" s="725"/>
      <c r="AD336" s="725">
        <v>1</v>
      </c>
      <c r="AE336" s="1019">
        <v>135.44999999999999</v>
      </c>
      <c r="AF336" s="724">
        <f>(C336*D336)+(Y336*Z336)+(O336*P336)+(Q336*R336)+(S336*T336)+(AA336*AB336)+(E336*F336)+(G336*H336)+(I336*J336)+(K336*L336)+(M336*N336)+(AD336*AE336)+(U336*V336)+(W336*X336)+AC336</f>
        <v>1945.45</v>
      </c>
      <c r="AG336" s="724">
        <f t="shared" ref="AG336:AG346" si="18">(AF336*5%)</f>
        <v>97.272500000000008</v>
      </c>
      <c r="AH336" s="724">
        <f>SUM(AF336+AG336)</f>
        <v>2042.7225000000001</v>
      </c>
      <c r="AI336" s="984">
        <v>236395</v>
      </c>
      <c r="AJ336" s="194"/>
      <c r="AK336" s="192"/>
      <c r="AL336" s="192"/>
      <c r="AM336" s="192"/>
      <c r="AN336" s="192"/>
      <c r="AO336" s="192"/>
      <c r="AP336" s="192"/>
      <c r="AQ336" s="192"/>
      <c r="AR336" s="192"/>
      <c r="AS336" s="192"/>
      <c r="AT336" s="192"/>
      <c r="AU336" s="192"/>
      <c r="AV336" s="192"/>
      <c r="AW336" s="192"/>
      <c r="AX336" s="192"/>
      <c r="AY336" s="192"/>
      <c r="AZ336" s="192"/>
      <c r="BA336" s="192"/>
      <c r="BB336" s="192"/>
      <c r="BC336" s="192"/>
      <c r="BD336" s="192"/>
      <c r="BE336" s="192"/>
      <c r="BF336" s="192"/>
      <c r="BG336" s="192"/>
      <c r="BH336" s="192"/>
      <c r="BI336" s="192"/>
      <c r="BJ336" s="192"/>
      <c r="BK336" s="192"/>
      <c r="BL336" s="192"/>
    </row>
    <row r="337" spans="1:35">
      <c r="A337" s="590">
        <v>42346</v>
      </c>
      <c r="B337" s="591" t="s">
        <v>987</v>
      </c>
      <c r="C337" s="582"/>
      <c r="D337" s="583">
        <v>1400</v>
      </c>
      <c r="E337" s="582"/>
      <c r="F337" s="583">
        <v>132</v>
      </c>
      <c r="G337" s="586">
        <v>1</v>
      </c>
      <c r="H337" s="585">
        <v>3150</v>
      </c>
      <c r="I337" s="585"/>
      <c r="J337" s="585">
        <v>0</v>
      </c>
      <c r="K337" s="586"/>
      <c r="L337" s="585">
        <v>2100</v>
      </c>
      <c r="M337" s="586"/>
      <c r="N337" s="585">
        <v>198</v>
      </c>
      <c r="O337" s="733"/>
      <c r="P337" s="592">
        <v>2275</v>
      </c>
      <c r="Q337" s="765"/>
      <c r="R337" s="765">
        <v>88.48</v>
      </c>
      <c r="S337" s="765"/>
      <c r="T337" s="765">
        <v>72.14</v>
      </c>
      <c r="U337" s="586"/>
      <c r="V337" s="587">
        <v>60</v>
      </c>
      <c r="W337" s="586">
        <v>3</v>
      </c>
      <c r="X337" s="587">
        <v>150</v>
      </c>
      <c r="Y337" s="586">
        <v>1</v>
      </c>
      <c r="Z337" s="588">
        <v>24</v>
      </c>
      <c r="AA337" s="586"/>
      <c r="AB337" s="588">
        <v>16</v>
      </c>
      <c r="AC337" s="586">
        <v>4</v>
      </c>
      <c r="AD337" s="586"/>
      <c r="AE337" s="589"/>
      <c r="AF337" s="734">
        <f t="shared" ref="AF337:AF346" si="19">(C337*D337)+(Y337*Z337)+(O337*P337)+(Q337*R337)+(S337*T337)+(AA337*AB337)+(E337*F337)+(G337*H337)+(I337*J337)+(K337*L337)+(M337*N337)+(AD337*AE337)+(U337*V337)+(W337*X337)+AC337</f>
        <v>3628</v>
      </c>
      <c r="AG337" s="585">
        <f t="shared" si="18"/>
        <v>181.4</v>
      </c>
      <c r="AH337" s="585">
        <f t="shared" ref="AH337:AH346" si="20">SUM(AF337+AG337)</f>
        <v>3809.4</v>
      </c>
      <c r="AI337" s="991">
        <v>237756</v>
      </c>
    </row>
    <row r="338" spans="1:35">
      <c r="A338" s="590">
        <v>42352</v>
      </c>
      <c r="B338" s="591" t="s">
        <v>992</v>
      </c>
      <c r="C338" s="582"/>
      <c r="D338" s="583">
        <v>1400</v>
      </c>
      <c r="E338" s="582"/>
      <c r="F338" s="583">
        <v>132</v>
      </c>
      <c r="G338" s="586"/>
      <c r="H338" s="585">
        <v>3150</v>
      </c>
      <c r="I338" s="585"/>
      <c r="J338" s="585">
        <v>0</v>
      </c>
      <c r="K338" s="586"/>
      <c r="L338" s="585">
        <v>2100</v>
      </c>
      <c r="M338" s="586"/>
      <c r="N338" s="585">
        <v>198</v>
      </c>
      <c r="O338" s="733"/>
      <c r="P338" s="592">
        <v>2275</v>
      </c>
      <c r="Q338" s="765"/>
      <c r="R338" s="765">
        <v>88.48</v>
      </c>
      <c r="S338" s="765"/>
      <c r="T338" s="765">
        <v>72.14</v>
      </c>
      <c r="U338" s="586"/>
      <c r="V338" s="587">
        <v>60</v>
      </c>
      <c r="W338" s="586"/>
      <c r="X338" s="587">
        <v>150</v>
      </c>
      <c r="Y338" s="586"/>
      <c r="Z338" s="588">
        <v>24</v>
      </c>
      <c r="AA338" s="586"/>
      <c r="AB338" s="588">
        <v>16</v>
      </c>
      <c r="AC338" s="586"/>
      <c r="AD338" s="586"/>
      <c r="AE338" s="589"/>
      <c r="AF338" s="734">
        <v>-1283.05</v>
      </c>
      <c r="AG338" s="585">
        <f t="shared" si="18"/>
        <v>-64.152500000000003</v>
      </c>
      <c r="AH338" s="585">
        <f t="shared" si="20"/>
        <v>-1347.2024999999999</v>
      </c>
      <c r="AI338" s="991">
        <v>237756</v>
      </c>
    </row>
    <row r="339" spans="1:35">
      <c r="A339" s="590"/>
      <c r="B339" s="591"/>
      <c r="C339" s="582"/>
      <c r="D339" s="583">
        <v>1400</v>
      </c>
      <c r="E339" s="582"/>
      <c r="F339" s="583">
        <v>132</v>
      </c>
      <c r="G339" s="586"/>
      <c r="H339" s="585">
        <v>3150</v>
      </c>
      <c r="I339" s="585"/>
      <c r="J339" s="585">
        <v>0</v>
      </c>
      <c r="K339" s="586"/>
      <c r="L339" s="585">
        <v>2100</v>
      </c>
      <c r="M339" s="586"/>
      <c r="N339" s="585">
        <v>198</v>
      </c>
      <c r="O339" s="733"/>
      <c r="P339" s="592">
        <v>2275</v>
      </c>
      <c r="Q339" s="765"/>
      <c r="R339" s="765">
        <v>88.48</v>
      </c>
      <c r="S339" s="765"/>
      <c r="T339" s="765">
        <v>72.14</v>
      </c>
      <c r="U339" s="586"/>
      <c r="V339" s="587">
        <v>60</v>
      </c>
      <c r="W339" s="586"/>
      <c r="X339" s="587">
        <v>150</v>
      </c>
      <c r="Y339" s="586"/>
      <c r="Z339" s="588">
        <v>24</v>
      </c>
      <c r="AA339" s="586"/>
      <c r="AB339" s="588">
        <v>16</v>
      </c>
      <c r="AC339" s="586"/>
      <c r="AD339" s="586"/>
      <c r="AE339" s="589"/>
      <c r="AF339" s="734">
        <f t="shared" si="19"/>
        <v>0</v>
      </c>
      <c r="AG339" s="585">
        <f t="shared" si="18"/>
        <v>0</v>
      </c>
      <c r="AH339" s="585">
        <f t="shared" si="20"/>
        <v>0</v>
      </c>
      <c r="AI339" s="991"/>
    </row>
    <row r="340" spans="1:35">
      <c r="A340" s="590"/>
      <c r="B340" s="591"/>
      <c r="C340" s="582"/>
      <c r="D340" s="583">
        <v>1400</v>
      </c>
      <c r="E340" s="582"/>
      <c r="F340" s="583">
        <v>132</v>
      </c>
      <c r="G340" s="586"/>
      <c r="H340" s="585">
        <v>3150</v>
      </c>
      <c r="I340" s="585"/>
      <c r="J340" s="585">
        <v>0</v>
      </c>
      <c r="K340" s="586"/>
      <c r="L340" s="585">
        <v>2100</v>
      </c>
      <c r="M340" s="586"/>
      <c r="N340" s="585">
        <v>198</v>
      </c>
      <c r="O340" s="733"/>
      <c r="P340" s="592">
        <v>2275</v>
      </c>
      <c r="Q340" s="765"/>
      <c r="R340" s="765">
        <v>88.48</v>
      </c>
      <c r="S340" s="765"/>
      <c r="T340" s="765">
        <v>72.14</v>
      </c>
      <c r="U340" s="586"/>
      <c r="V340" s="587">
        <v>60</v>
      </c>
      <c r="W340" s="586"/>
      <c r="X340" s="587">
        <v>150</v>
      </c>
      <c r="Y340" s="586"/>
      <c r="Z340" s="588">
        <v>24</v>
      </c>
      <c r="AA340" s="586"/>
      <c r="AB340" s="588">
        <v>16</v>
      </c>
      <c r="AC340" s="586"/>
      <c r="AD340" s="586"/>
      <c r="AE340" s="589"/>
      <c r="AF340" s="734">
        <f t="shared" si="19"/>
        <v>0</v>
      </c>
      <c r="AG340" s="585">
        <f t="shared" si="18"/>
        <v>0</v>
      </c>
      <c r="AH340" s="585">
        <f t="shared" si="20"/>
        <v>0</v>
      </c>
      <c r="AI340" s="991"/>
    </row>
    <row r="341" spans="1:35">
      <c r="A341" s="590"/>
      <c r="B341" s="591"/>
      <c r="C341" s="582"/>
      <c r="D341" s="583">
        <v>1400</v>
      </c>
      <c r="E341" s="582"/>
      <c r="F341" s="583">
        <v>132</v>
      </c>
      <c r="G341" s="586"/>
      <c r="H341" s="585">
        <v>3150</v>
      </c>
      <c r="I341" s="585"/>
      <c r="J341" s="585">
        <v>0</v>
      </c>
      <c r="K341" s="586"/>
      <c r="L341" s="585">
        <v>2100</v>
      </c>
      <c r="M341" s="586"/>
      <c r="N341" s="585">
        <v>198</v>
      </c>
      <c r="O341" s="733"/>
      <c r="P341" s="592">
        <v>2275</v>
      </c>
      <c r="Q341" s="765"/>
      <c r="R341" s="765">
        <v>88.48</v>
      </c>
      <c r="S341" s="765"/>
      <c r="T341" s="765">
        <v>72.14</v>
      </c>
      <c r="U341" s="586"/>
      <c r="V341" s="587">
        <v>60</v>
      </c>
      <c r="W341" s="586"/>
      <c r="X341" s="587">
        <v>150</v>
      </c>
      <c r="Y341" s="586"/>
      <c r="Z341" s="588">
        <v>24</v>
      </c>
      <c r="AA341" s="586"/>
      <c r="AB341" s="588">
        <v>16</v>
      </c>
      <c r="AC341" s="586"/>
      <c r="AD341" s="586"/>
      <c r="AE341" s="589"/>
      <c r="AF341" s="734">
        <f t="shared" si="19"/>
        <v>0</v>
      </c>
      <c r="AG341" s="585">
        <f t="shared" si="18"/>
        <v>0</v>
      </c>
      <c r="AH341" s="585">
        <f t="shared" si="20"/>
        <v>0</v>
      </c>
      <c r="AI341" s="991"/>
    </row>
    <row r="342" spans="1:35">
      <c r="A342" s="590"/>
      <c r="B342" s="591"/>
      <c r="C342" s="582"/>
      <c r="D342" s="583">
        <v>1400</v>
      </c>
      <c r="E342" s="582"/>
      <c r="F342" s="583">
        <v>132</v>
      </c>
      <c r="G342" s="586"/>
      <c r="H342" s="585">
        <v>3150</v>
      </c>
      <c r="I342" s="585"/>
      <c r="J342" s="585">
        <v>0</v>
      </c>
      <c r="K342" s="586"/>
      <c r="L342" s="585">
        <v>2100</v>
      </c>
      <c r="M342" s="586"/>
      <c r="N342" s="585">
        <v>198</v>
      </c>
      <c r="O342" s="733"/>
      <c r="P342" s="592">
        <v>2275</v>
      </c>
      <c r="Q342" s="765"/>
      <c r="R342" s="765">
        <v>88.48</v>
      </c>
      <c r="S342" s="765"/>
      <c r="T342" s="765">
        <v>72.14</v>
      </c>
      <c r="U342" s="586"/>
      <c r="V342" s="587">
        <v>60</v>
      </c>
      <c r="W342" s="586"/>
      <c r="X342" s="587">
        <v>150</v>
      </c>
      <c r="Y342" s="586"/>
      <c r="Z342" s="588">
        <v>24</v>
      </c>
      <c r="AA342" s="586"/>
      <c r="AB342" s="588">
        <v>16</v>
      </c>
      <c r="AC342" s="586"/>
      <c r="AD342" s="586"/>
      <c r="AE342" s="589"/>
      <c r="AF342" s="734">
        <f t="shared" si="19"/>
        <v>0</v>
      </c>
      <c r="AG342" s="585">
        <f t="shared" si="18"/>
        <v>0</v>
      </c>
      <c r="AH342" s="585">
        <f t="shared" si="20"/>
        <v>0</v>
      </c>
      <c r="AI342" s="991"/>
    </row>
    <row r="343" spans="1:35">
      <c r="A343" s="590"/>
      <c r="B343" s="591"/>
      <c r="C343" s="582"/>
      <c r="D343" s="583">
        <v>1400</v>
      </c>
      <c r="E343" s="582"/>
      <c r="F343" s="583">
        <v>132</v>
      </c>
      <c r="G343" s="586"/>
      <c r="H343" s="585">
        <v>3150</v>
      </c>
      <c r="I343" s="585"/>
      <c r="J343" s="585">
        <v>0</v>
      </c>
      <c r="K343" s="586"/>
      <c r="L343" s="585">
        <v>2100</v>
      </c>
      <c r="M343" s="586"/>
      <c r="N343" s="585">
        <v>198</v>
      </c>
      <c r="O343" s="733"/>
      <c r="P343" s="592">
        <v>2275</v>
      </c>
      <c r="Q343" s="765"/>
      <c r="R343" s="765">
        <v>88.48</v>
      </c>
      <c r="S343" s="765"/>
      <c r="T343" s="765">
        <v>72.14</v>
      </c>
      <c r="U343" s="586"/>
      <c r="V343" s="587">
        <v>60</v>
      </c>
      <c r="W343" s="586"/>
      <c r="X343" s="587">
        <v>150</v>
      </c>
      <c r="Y343" s="586"/>
      <c r="Z343" s="588">
        <v>24</v>
      </c>
      <c r="AA343" s="586"/>
      <c r="AB343" s="588">
        <v>16</v>
      </c>
      <c r="AC343" s="586"/>
      <c r="AD343" s="586"/>
      <c r="AE343" s="589"/>
      <c r="AF343" s="734">
        <f t="shared" si="19"/>
        <v>0</v>
      </c>
      <c r="AG343" s="585">
        <f t="shared" si="18"/>
        <v>0</v>
      </c>
      <c r="AH343" s="585">
        <f t="shared" si="20"/>
        <v>0</v>
      </c>
      <c r="AI343" s="991"/>
    </row>
    <row r="344" spans="1:35">
      <c r="A344" s="590"/>
      <c r="B344" s="591"/>
      <c r="C344" s="582"/>
      <c r="D344" s="583">
        <v>1400</v>
      </c>
      <c r="E344" s="582"/>
      <c r="F344" s="583">
        <v>132</v>
      </c>
      <c r="G344" s="586"/>
      <c r="H344" s="585">
        <v>3150</v>
      </c>
      <c r="I344" s="585"/>
      <c r="J344" s="585">
        <v>0</v>
      </c>
      <c r="K344" s="586"/>
      <c r="L344" s="585">
        <v>2100</v>
      </c>
      <c r="M344" s="586"/>
      <c r="N344" s="585">
        <v>198</v>
      </c>
      <c r="O344" s="733"/>
      <c r="P344" s="592">
        <v>2275</v>
      </c>
      <c r="Q344" s="765"/>
      <c r="R344" s="765">
        <v>88.48</v>
      </c>
      <c r="S344" s="765"/>
      <c r="T344" s="765">
        <v>72.14</v>
      </c>
      <c r="U344" s="586"/>
      <c r="V344" s="587">
        <v>60</v>
      </c>
      <c r="W344" s="586"/>
      <c r="X344" s="587">
        <v>150</v>
      </c>
      <c r="Y344" s="586"/>
      <c r="Z344" s="588">
        <v>24</v>
      </c>
      <c r="AA344" s="586"/>
      <c r="AB344" s="588">
        <v>16</v>
      </c>
      <c r="AC344" s="586"/>
      <c r="AD344" s="586"/>
      <c r="AE344" s="589"/>
      <c r="AF344" s="734">
        <f t="shared" si="19"/>
        <v>0</v>
      </c>
      <c r="AG344" s="585">
        <f t="shared" si="18"/>
        <v>0</v>
      </c>
      <c r="AH344" s="585">
        <f t="shared" si="20"/>
        <v>0</v>
      </c>
      <c r="AI344" s="991"/>
    </row>
    <row r="345" spans="1:35">
      <c r="A345" s="590"/>
      <c r="B345" s="591"/>
      <c r="C345" s="582"/>
      <c r="D345" s="583">
        <v>1400</v>
      </c>
      <c r="E345" s="582"/>
      <c r="F345" s="583">
        <v>132</v>
      </c>
      <c r="G345" s="586"/>
      <c r="H345" s="585">
        <v>3150</v>
      </c>
      <c r="I345" s="585"/>
      <c r="J345" s="585">
        <v>0</v>
      </c>
      <c r="K345" s="586"/>
      <c r="L345" s="585">
        <v>2100</v>
      </c>
      <c r="M345" s="586"/>
      <c r="N345" s="585">
        <v>198</v>
      </c>
      <c r="O345" s="733"/>
      <c r="P345" s="592">
        <v>2275</v>
      </c>
      <c r="Q345" s="765"/>
      <c r="R345" s="765">
        <v>88.48</v>
      </c>
      <c r="S345" s="765"/>
      <c r="T345" s="765">
        <v>72.14</v>
      </c>
      <c r="U345" s="586"/>
      <c r="V345" s="587">
        <v>60</v>
      </c>
      <c r="W345" s="586"/>
      <c r="X345" s="587">
        <v>150</v>
      </c>
      <c r="Y345" s="586"/>
      <c r="Z345" s="588">
        <v>24</v>
      </c>
      <c r="AA345" s="586"/>
      <c r="AB345" s="588">
        <v>16</v>
      </c>
      <c r="AC345" s="586"/>
      <c r="AD345" s="586"/>
      <c r="AE345" s="589"/>
      <c r="AF345" s="734">
        <f t="shared" si="19"/>
        <v>0</v>
      </c>
      <c r="AG345" s="585">
        <f t="shared" si="18"/>
        <v>0</v>
      </c>
      <c r="AH345" s="585">
        <f t="shared" si="20"/>
        <v>0</v>
      </c>
      <c r="AI345" s="991"/>
    </row>
    <row r="346" spans="1:35">
      <c r="A346" s="590"/>
      <c r="B346" s="591"/>
      <c r="C346" s="582"/>
      <c r="D346" s="583">
        <v>1400</v>
      </c>
      <c r="E346" s="582"/>
      <c r="F346" s="583">
        <v>132</v>
      </c>
      <c r="G346" s="586"/>
      <c r="H346" s="585">
        <v>3150</v>
      </c>
      <c r="I346" s="585"/>
      <c r="J346" s="585">
        <v>0</v>
      </c>
      <c r="K346" s="586"/>
      <c r="L346" s="585">
        <v>2100</v>
      </c>
      <c r="M346" s="586"/>
      <c r="N346" s="585">
        <v>198</v>
      </c>
      <c r="O346" s="733"/>
      <c r="P346" s="592">
        <v>2275</v>
      </c>
      <c r="Q346" s="765"/>
      <c r="R346" s="765">
        <v>88.48</v>
      </c>
      <c r="S346" s="765"/>
      <c r="T346" s="765">
        <v>72.14</v>
      </c>
      <c r="U346" s="586"/>
      <c r="V346" s="587">
        <v>60</v>
      </c>
      <c r="W346" s="586"/>
      <c r="X346" s="587">
        <v>150</v>
      </c>
      <c r="Y346" s="586"/>
      <c r="Z346" s="588">
        <v>24</v>
      </c>
      <c r="AA346" s="586"/>
      <c r="AB346" s="588">
        <v>16</v>
      </c>
      <c r="AC346" s="586"/>
      <c r="AD346" s="586"/>
      <c r="AE346" s="589"/>
      <c r="AF346" s="734">
        <f t="shared" si="19"/>
        <v>0</v>
      </c>
      <c r="AG346" s="585">
        <f t="shared" si="18"/>
        <v>0</v>
      </c>
      <c r="AH346" s="585">
        <f t="shared" si="20"/>
        <v>0</v>
      </c>
      <c r="AI346" s="991"/>
    </row>
    <row r="347" spans="1:35">
      <c r="A347" s="590"/>
      <c r="B347" s="591"/>
      <c r="C347" s="582"/>
      <c r="D347" s="583">
        <v>1400</v>
      </c>
      <c r="E347" s="582"/>
      <c r="F347" s="583">
        <v>132</v>
      </c>
      <c r="G347" s="586"/>
      <c r="H347" s="585">
        <v>3150</v>
      </c>
      <c r="I347" s="585"/>
      <c r="J347" s="585">
        <v>0</v>
      </c>
      <c r="K347" s="586"/>
      <c r="L347" s="585">
        <v>2100</v>
      </c>
      <c r="M347" s="586"/>
      <c r="N347" s="585">
        <v>198</v>
      </c>
      <c r="O347" s="733"/>
      <c r="P347" s="592">
        <v>2275</v>
      </c>
      <c r="Q347" s="765"/>
      <c r="R347" s="765">
        <v>88.48</v>
      </c>
      <c r="S347" s="765"/>
      <c r="T347" s="765">
        <v>72.14</v>
      </c>
      <c r="U347" s="586"/>
      <c r="V347" s="587">
        <v>60</v>
      </c>
      <c r="W347" s="586"/>
      <c r="X347" s="587">
        <v>150</v>
      </c>
      <c r="Y347" s="586"/>
      <c r="Z347" s="588">
        <v>24</v>
      </c>
      <c r="AA347" s="586"/>
      <c r="AB347" s="588">
        <v>16</v>
      </c>
      <c r="AC347" s="586"/>
      <c r="AD347" s="586"/>
      <c r="AE347" s="589"/>
      <c r="AF347" s="734">
        <f t="shared" ref="AF347:AF410" si="21">(C347*D347)+(Y347*Z347)+(O347*P347)+(Q347*R347)+(S347*T347)+(AA347*AB347)+(E347*F347)+(G347*H347)+(I347*J347)+(K347*L347)+(M347*N347)+(AD347*AE347)+(U347*V347)+(W347*X347)+AC347</f>
        <v>0</v>
      </c>
      <c r="AG347" s="585">
        <f t="shared" ref="AG347:AG410" si="22">(AF347*5%)</f>
        <v>0</v>
      </c>
      <c r="AH347" s="585">
        <f t="shared" ref="AH347:AH410" si="23">SUM(AF347+AG347)</f>
        <v>0</v>
      </c>
      <c r="AI347" s="991"/>
    </row>
    <row r="348" spans="1:35">
      <c r="A348" s="590"/>
      <c r="B348" s="591"/>
      <c r="C348" s="582"/>
      <c r="D348" s="583">
        <v>1400</v>
      </c>
      <c r="E348" s="582"/>
      <c r="F348" s="583">
        <v>132</v>
      </c>
      <c r="G348" s="586"/>
      <c r="H348" s="585">
        <v>3150</v>
      </c>
      <c r="I348" s="585"/>
      <c r="J348" s="585">
        <v>0</v>
      </c>
      <c r="K348" s="586"/>
      <c r="L348" s="585">
        <v>2100</v>
      </c>
      <c r="M348" s="586"/>
      <c r="N348" s="585">
        <v>198</v>
      </c>
      <c r="O348" s="733"/>
      <c r="P348" s="592">
        <v>2275</v>
      </c>
      <c r="Q348" s="765"/>
      <c r="R348" s="765">
        <v>88.48</v>
      </c>
      <c r="S348" s="765"/>
      <c r="T348" s="765">
        <v>72.14</v>
      </c>
      <c r="U348" s="586"/>
      <c r="V348" s="587">
        <v>60</v>
      </c>
      <c r="W348" s="586"/>
      <c r="X348" s="587">
        <v>150</v>
      </c>
      <c r="Y348" s="586"/>
      <c r="Z348" s="588">
        <v>24</v>
      </c>
      <c r="AA348" s="586"/>
      <c r="AB348" s="588">
        <v>16</v>
      </c>
      <c r="AC348" s="586"/>
      <c r="AD348" s="586"/>
      <c r="AE348" s="589"/>
      <c r="AF348" s="734">
        <f t="shared" si="21"/>
        <v>0</v>
      </c>
      <c r="AG348" s="585">
        <f t="shared" si="22"/>
        <v>0</v>
      </c>
      <c r="AH348" s="585">
        <f t="shared" si="23"/>
        <v>0</v>
      </c>
      <c r="AI348" s="991"/>
    </row>
    <row r="349" spans="1:35">
      <c r="A349" s="590"/>
      <c r="B349" s="591"/>
      <c r="C349" s="582"/>
      <c r="D349" s="583">
        <v>1400</v>
      </c>
      <c r="E349" s="582"/>
      <c r="F349" s="583">
        <v>132</v>
      </c>
      <c r="G349" s="586"/>
      <c r="H349" s="585">
        <v>3150</v>
      </c>
      <c r="I349" s="585"/>
      <c r="J349" s="585">
        <v>0</v>
      </c>
      <c r="K349" s="586"/>
      <c r="L349" s="585">
        <v>2100</v>
      </c>
      <c r="M349" s="586"/>
      <c r="N349" s="585">
        <v>198</v>
      </c>
      <c r="O349" s="733"/>
      <c r="P349" s="592">
        <v>2275</v>
      </c>
      <c r="Q349" s="765"/>
      <c r="R349" s="765">
        <v>88.48</v>
      </c>
      <c r="S349" s="765"/>
      <c r="T349" s="765">
        <v>72.14</v>
      </c>
      <c r="U349" s="586"/>
      <c r="V349" s="587">
        <v>60</v>
      </c>
      <c r="W349" s="586"/>
      <c r="X349" s="587">
        <v>150</v>
      </c>
      <c r="Y349" s="586"/>
      <c r="Z349" s="588">
        <v>24</v>
      </c>
      <c r="AA349" s="586"/>
      <c r="AB349" s="588">
        <v>16</v>
      </c>
      <c r="AC349" s="586"/>
      <c r="AD349" s="586"/>
      <c r="AE349" s="589"/>
      <c r="AF349" s="734">
        <f t="shared" si="21"/>
        <v>0</v>
      </c>
      <c r="AG349" s="585">
        <f t="shared" si="22"/>
        <v>0</v>
      </c>
      <c r="AH349" s="585">
        <f t="shared" si="23"/>
        <v>0</v>
      </c>
      <c r="AI349" s="991"/>
    </row>
    <row r="350" spans="1:35">
      <c r="A350" s="590"/>
      <c r="B350" s="591"/>
      <c r="C350" s="582"/>
      <c r="D350" s="583">
        <v>1400</v>
      </c>
      <c r="E350" s="582"/>
      <c r="F350" s="583">
        <v>132</v>
      </c>
      <c r="G350" s="586"/>
      <c r="H350" s="585">
        <v>3150</v>
      </c>
      <c r="I350" s="585"/>
      <c r="J350" s="585">
        <v>0</v>
      </c>
      <c r="K350" s="586"/>
      <c r="L350" s="585">
        <v>2100</v>
      </c>
      <c r="M350" s="586"/>
      <c r="N350" s="585">
        <v>198</v>
      </c>
      <c r="O350" s="733"/>
      <c r="P350" s="592">
        <v>2275</v>
      </c>
      <c r="Q350" s="765"/>
      <c r="R350" s="765">
        <v>88.48</v>
      </c>
      <c r="S350" s="765"/>
      <c r="T350" s="765">
        <v>72.14</v>
      </c>
      <c r="U350" s="586"/>
      <c r="V350" s="587">
        <v>60</v>
      </c>
      <c r="W350" s="586"/>
      <c r="X350" s="587">
        <v>150</v>
      </c>
      <c r="Y350" s="586"/>
      <c r="Z350" s="588">
        <v>24</v>
      </c>
      <c r="AA350" s="586"/>
      <c r="AB350" s="588">
        <v>16</v>
      </c>
      <c r="AC350" s="586"/>
      <c r="AD350" s="586"/>
      <c r="AE350" s="589"/>
      <c r="AF350" s="734">
        <f t="shared" si="21"/>
        <v>0</v>
      </c>
      <c r="AG350" s="585">
        <f t="shared" si="22"/>
        <v>0</v>
      </c>
      <c r="AH350" s="585">
        <f t="shared" si="23"/>
        <v>0</v>
      </c>
      <c r="AI350" s="991"/>
    </row>
    <row r="351" spans="1:35">
      <c r="A351" s="590"/>
      <c r="B351" s="591"/>
      <c r="C351" s="582"/>
      <c r="D351" s="583">
        <v>1400</v>
      </c>
      <c r="E351" s="582"/>
      <c r="F351" s="583">
        <v>132</v>
      </c>
      <c r="G351" s="586"/>
      <c r="H351" s="585">
        <v>3150</v>
      </c>
      <c r="I351" s="585"/>
      <c r="J351" s="585">
        <v>0</v>
      </c>
      <c r="K351" s="586"/>
      <c r="L351" s="585">
        <v>2100</v>
      </c>
      <c r="M351" s="586"/>
      <c r="N351" s="585">
        <v>198</v>
      </c>
      <c r="O351" s="733"/>
      <c r="P351" s="592">
        <v>2275</v>
      </c>
      <c r="Q351" s="765"/>
      <c r="R351" s="765">
        <v>88.48</v>
      </c>
      <c r="S351" s="765"/>
      <c r="T351" s="765">
        <v>72.14</v>
      </c>
      <c r="U351" s="586"/>
      <c r="V351" s="587">
        <v>60</v>
      </c>
      <c r="W351" s="586"/>
      <c r="X351" s="587">
        <v>150</v>
      </c>
      <c r="Y351" s="586"/>
      <c r="Z351" s="588">
        <v>24</v>
      </c>
      <c r="AA351" s="586"/>
      <c r="AB351" s="588">
        <v>16</v>
      </c>
      <c r="AC351" s="586"/>
      <c r="AD351" s="586"/>
      <c r="AE351" s="589"/>
      <c r="AF351" s="734">
        <f t="shared" si="21"/>
        <v>0</v>
      </c>
      <c r="AG351" s="585">
        <f t="shared" si="22"/>
        <v>0</v>
      </c>
      <c r="AH351" s="585">
        <f t="shared" si="23"/>
        <v>0</v>
      </c>
      <c r="AI351" s="991"/>
    </row>
    <row r="352" spans="1:35">
      <c r="A352" s="590"/>
      <c r="B352" s="591"/>
      <c r="C352" s="582"/>
      <c r="D352" s="583">
        <v>1400</v>
      </c>
      <c r="E352" s="582"/>
      <c r="F352" s="583">
        <v>132</v>
      </c>
      <c r="G352" s="586"/>
      <c r="H352" s="585">
        <v>3150</v>
      </c>
      <c r="I352" s="585"/>
      <c r="J352" s="585">
        <v>0</v>
      </c>
      <c r="K352" s="586"/>
      <c r="L352" s="585">
        <v>2100</v>
      </c>
      <c r="M352" s="586"/>
      <c r="N352" s="585">
        <v>198</v>
      </c>
      <c r="O352" s="733"/>
      <c r="P352" s="592">
        <v>2275</v>
      </c>
      <c r="Q352" s="765"/>
      <c r="R352" s="765">
        <v>88.48</v>
      </c>
      <c r="S352" s="765"/>
      <c r="T352" s="765">
        <v>72.14</v>
      </c>
      <c r="U352" s="586"/>
      <c r="V352" s="587">
        <v>60</v>
      </c>
      <c r="W352" s="586"/>
      <c r="X352" s="587">
        <v>150</v>
      </c>
      <c r="Y352" s="586"/>
      <c r="Z352" s="588">
        <v>24</v>
      </c>
      <c r="AA352" s="586"/>
      <c r="AB352" s="588">
        <v>16</v>
      </c>
      <c r="AC352" s="586"/>
      <c r="AD352" s="586"/>
      <c r="AE352" s="589"/>
      <c r="AF352" s="734">
        <f t="shared" si="21"/>
        <v>0</v>
      </c>
      <c r="AG352" s="585">
        <f t="shared" si="22"/>
        <v>0</v>
      </c>
      <c r="AH352" s="585">
        <f t="shared" si="23"/>
        <v>0</v>
      </c>
      <c r="AI352" s="991"/>
    </row>
    <row r="353" spans="1:35">
      <c r="A353" s="590"/>
      <c r="B353" s="591"/>
      <c r="C353" s="582"/>
      <c r="D353" s="583">
        <v>1400</v>
      </c>
      <c r="E353" s="582"/>
      <c r="F353" s="583">
        <v>132</v>
      </c>
      <c r="G353" s="586"/>
      <c r="H353" s="585">
        <v>3150</v>
      </c>
      <c r="I353" s="585"/>
      <c r="J353" s="585">
        <v>0</v>
      </c>
      <c r="K353" s="586"/>
      <c r="L353" s="585">
        <v>2100</v>
      </c>
      <c r="M353" s="586"/>
      <c r="N353" s="585">
        <v>198</v>
      </c>
      <c r="O353" s="733"/>
      <c r="P353" s="592">
        <v>2275</v>
      </c>
      <c r="Q353" s="765"/>
      <c r="R353" s="765">
        <v>88.48</v>
      </c>
      <c r="S353" s="765"/>
      <c r="T353" s="765">
        <v>72.14</v>
      </c>
      <c r="U353" s="586"/>
      <c r="V353" s="587">
        <v>60</v>
      </c>
      <c r="W353" s="586"/>
      <c r="X353" s="587">
        <v>150</v>
      </c>
      <c r="Y353" s="586"/>
      <c r="Z353" s="588">
        <v>24</v>
      </c>
      <c r="AA353" s="586"/>
      <c r="AB353" s="588">
        <v>16</v>
      </c>
      <c r="AC353" s="586"/>
      <c r="AD353" s="586"/>
      <c r="AE353" s="589"/>
      <c r="AF353" s="734">
        <f t="shared" si="21"/>
        <v>0</v>
      </c>
      <c r="AG353" s="585">
        <f t="shared" si="22"/>
        <v>0</v>
      </c>
      <c r="AH353" s="585">
        <f t="shared" si="23"/>
        <v>0</v>
      </c>
      <c r="AI353" s="991"/>
    </row>
    <row r="354" spans="1:35">
      <c r="A354" s="590"/>
      <c r="B354" s="591"/>
      <c r="C354" s="582"/>
      <c r="D354" s="583">
        <v>1400</v>
      </c>
      <c r="E354" s="582"/>
      <c r="F354" s="583">
        <v>132</v>
      </c>
      <c r="G354" s="586"/>
      <c r="H354" s="585">
        <v>3150</v>
      </c>
      <c r="I354" s="585"/>
      <c r="J354" s="585">
        <v>0</v>
      </c>
      <c r="K354" s="586"/>
      <c r="L354" s="585">
        <v>2100</v>
      </c>
      <c r="M354" s="586"/>
      <c r="N354" s="585">
        <v>198</v>
      </c>
      <c r="O354" s="733"/>
      <c r="P354" s="592">
        <v>2275</v>
      </c>
      <c r="Q354" s="765"/>
      <c r="R354" s="765">
        <v>88.48</v>
      </c>
      <c r="S354" s="765"/>
      <c r="T354" s="765">
        <v>72.14</v>
      </c>
      <c r="U354" s="586"/>
      <c r="V354" s="587">
        <v>60</v>
      </c>
      <c r="W354" s="586"/>
      <c r="X354" s="587">
        <v>150</v>
      </c>
      <c r="Y354" s="586"/>
      <c r="Z354" s="588">
        <v>24</v>
      </c>
      <c r="AA354" s="586"/>
      <c r="AB354" s="588">
        <v>16</v>
      </c>
      <c r="AC354" s="586"/>
      <c r="AD354" s="586"/>
      <c r="AE354" s="589"/>
      <c r="AF354" s="734">
        <f t="shared" si="21"/>
        <v>0</v>
      </c>
      <c r="AG354" s="585">
        <f t="shared" si="22"/>
        <v>0</v>
      </c>
      <c r="AH354" s="585">
        <f t="shared" si="23"/>
        <v>0</v>
      </c>
      <c r="AI354" s="991"/>
    </row>
    <row r="355" spans="1:35">
      <c r="A355" s="590"/>
      <c r="B355" s="591"/>
      <c r="C355" s="582"/>
      <c r="D355" s="583">
        <v>1400</v>
      </c>
      <c r="E355" s="582"/>
      <c r="F355" s="583">
        <v>132</v>
      </c>
      <c r="G355" s="586"/>
      <c r="H355" s="585">
        <v>3150</v>
      </c>
      <c r="I355" s="585"/>
      <c r="J355" s="585">
        <v>0</v>
      </c>
      <c r="K355" s="586"/>
      <c r="L355" s="585">
        <v>2100</v>
      </c>
      <c r="M355" s="586"/>
      <c r="N355" s="585">
        <v>198</v>
      </c>
      <c r="O355" s="733"/>
      <c r="P355" s="592">
        <v>2275</v>
      </c>
      <c r="Q355" s="765"/>
      <c r="R355" s="765">
        <v>88.48</v>
      </c>
      <c r="S355" s="765"/>
      <c r="T355" s="765">
        <v>72.14</v>
      </c>
      <c r="U355" s="586"/>
      <c r="V355" s="587">
        <v>60</v>
      </c>
      <c r="W355" s="586"/>
      <c r="X355" s="587">
        <v>150</v>
      </c>
      <c r="Y355" s="586"/>
      <c r="Z355" s="588">
        <v>24</v>
      </c>
      <c r="AA355" s="586"/>
      <c r="AB355" s="588">
        <v>16</v>
      </c>
      <c r="AC355" s="586"/>
      <c r="AD355" s="586"/>
      <c r="AE355" s="589"/>
      <c r="AF355" s="734">
        <f t="shared" si="21"/>
        <v>0</v>
      </c>
      <c r="AG355" s="585">
        <f t="shared" si="22"/>
        <v>0</v>
      </c>
      <c r="AH355" s="585">
        <f t="shared" si="23"/>
        <v>0</v>
      </c>
      <c r="AI355" s="991"/>
    </row>
    <row r="356" spans="1:35">
      <c r="A356" s="590"/>
      <c r="B356" s="591"/>
      <c r="C356" s="582"/>
      <c r="D356" s="583">
        <v>1400</v>
      </c>
      <c r="E356" s="582"/>
      <c r="F356" s="583">
        <v>132</v>
      </c>
      <c r="G356" s="586"/>
      <c r="H356" s="585">
        <v>3150</v>
      </c>
      <c r="I356" s="585"/>
      <c r="J356" s="585">
        <v>0</v>
      </c>
      <c r="K356" s="586"/>
      <c r="L356" s="585">
        <v>2100</v>
      </c>
      <c r="M356" s="586"/>
      <c r="N356" s="585">
        <v>198</v>
      </c>
      <c r="O356" s="733"/>
      <c r="P356" s="592">
        <v>2275</v>
      </c>
      <c r="Q356" s="765"/>
      <c r="R356" s="765">
        <v>88.48</v>
      </c>
      <c r="S356" s="765"/>
      <c r="T356" s="765">
        <v>72.14</v>
      </c>
      <c r="U356" s="586"/>
      <c r="V356" s="587">
        <v>60</v>
      </c>
      <c r="W356" s="586"/>
      <c r="X356" s="587">
        <v>150</v>
      </c>
      <c r="Y356" s="586"/>
      <c r="Z356" s="588">
        <v>24</v>
      </c>
      <c r="AA356" s="586"/>
      <c r="AB356" s="588">
        <v>16</v>
      </c>
      <c r="AC356" s="586"/>
      <c r="AD356" s="586"/>
      <c r="AE356" s="589"/>
      <c r="AF356" s="734">
        <f t="shared" si="21"/>
        <v>0</v>
      </c>
      <c r="AG356" s="585">
        <f t="shared" si="22"/>
        <v>0</v>
      </c>
      <c r="AH356" s="585">
        <f t="shared" si="23"/>
        <v>0</v>
      </c>
      <c r="AI356" s="991"/>
    </row>
    <row r="357" spans="1:35">
      <c r="A357" s="590"/>
      <c r="B357" s="591"/>
      <c r="C357" s="582"/>
      <c r="D357" s="583">
        <v>1400</v>
      </c>
      <c r="E357" s="582"/>
      <c r="F357" s="583">
        <v>132</v>
      </c>
      <c r="G357" s="586"/>
      <c r="H357" s="585">
        <v>3150</v>
      </c>
      <c r="I357" s="585"/>
      <c r="J357" s="585">
        <v>0</v>
      </c>
      <c r="K357" s="586"/>
      <c r="L357" s="585">
        <v>2100</v>
      </c>
      <c r="M357" s="586"/>
      <c r="N357" s="585">
        <v>198</v>
      </c>
      <c r="O357" s="733"/>
      <c r="P357" s="592">
        <v>2275</v>
      </c>
      <c r="Q357" s="765"/>
      <c r="R357" s="765">
        <v>88.48</v>
      </c>
      <c r="S357" s="765"/>
      <c r="T357" s="765">
        <v>72.14</v>
      </c>
      <c r="U357" s="586"/>
      <c r="V357" s="587">
        <v>60</v>
      </c>
      <c r="W357" s="586"/>
      <c r="X357" s="587">
        <v>150</v>
      </c>
      <c r="Y357" s="586"/>
      <c r="Z357" s="588">
        <v>24</v>
      </c>
      <c r="AA357" s="586"/>
      <c r="AB357" s="588">
        <v>16</v>
      </c>
      <c r="AC357" s="586"/>
      <c r="AD357" s="586"/>
      <c r="AE357" s="589"/>
      <c r="AF357" s="734">
        <f t="shared" si="21"/>
        <v>0</v>
      </c>
      <c r="AG357" s="585">
        <f t="shared" si="22"/>
        <v>0</v>
      </c>
      <c r="AH357" s="585">
        <f t="shared" si="23"/>
        <v>0</v>
      </c>
      <c r="AI357" s="991"/>
    </row>
    <row r="358" spans="1:35">
      <c r="A358" s="590"/>
      <c r="B358" s="591"/>
      <c r="C358" s="582"/>
      <c r="D358" s="583">
        <v>1400</v>
      </c>
      <c r="E358" s="582"/>
      <c r="F358" s="583">
        <v>132</v>
      </c>
      <c r="G358" s="586"/>
      <c r="H358" s="585">
        <v>3150</v>
      </c>
      <c r="I358" s="585"/>
      <c r="J358" s="585">
        <v>0</v>
      </c>
      <c r="K358" s="586"/>
      <c r="L358" s="585">
        <v>2100</v>
      </c>
      <c r="M358" s="586"/>
      <c r="N358" s="585">
        <v>198</v>
      </c>
      <c r="O358" s="733"/>
      <c r="P358" s="592">
        <v>2275</v>
      </c>
      <c r="Q358" s="765"/>
      <c r="R358" s="765">
        <v>88.48</v>
      </c>
      <c r="S358" s="765"/>
      <c r="T358" s="765">
        <v>72.14</v>
      </c>
      <c r="U358" s="586"/>
      <c r="V358" s="587">
        <v>60</v>
      </c>
      <c r="W358" s="586"/>
      <c r="X358" s="587">
        <v>150</v>
      </c>
      <c r="Y358" s="586"/>
      <c r="Z358" s="588">
        <v>24</v>
      </c>
      <c r="AA358" s="586"/>
      <c r="AB358" s="588">
        <v>16</v>
      </c>
      <c r="AC358" s="586"/>
      <c r="AD358" s="586"/>
      <c r="AE358" s="589"/>
      <c r="AF358" s="734">
        <f t="shared" si="21"/>
        <v>0</v>
      </c>
      <c r="AG358" s="585">
        <f t="shared" si="22"/>
        <v>0</v>
      </c>
      <c r="AH358" s="585">
        <f t="shared" si="23"/>
        <v>0</v>
      </c>
      <c r="AI358" s="991"/>
    </row>
    <row r="359" spans="1:35">
      <c r="A359" s="590"/>
      <c r="B359" s="591"/>
      <c r="C359" s="582"/>
      <c r="D359" s="583">
        <v>1400</v>
      </c>
      <c r="E359" s="582"/>
      <c r="F359" s="583">
        <v>132</v>
      </c>
      <c r="G359" s="586"/>
      <c r="H359" s="585">
        <v>3150</v>
      </c>
      <c r="I359" s="585"/>
      <c r="J359" s="585">
        <v>0</v>
      </c>
      <c r="K359" s="586"/>
      <c r="L359" s="585">
        <v>2100</v>
      </c>
      <c r="M359" s="586"/>
      <c r="N359" s="585">
        <v>198</v>
      </c>
      <c r="O359" s="733"/>
      <c r="P359" s="592">
        <v>2275</v>
      </c>
      <c r="Q359" s="765"/>
      <c r="R359" s="765">
        <v>88.48</v>
      </c>
      <c r="S359" s="765"/>
      <c r="T359" s="765">
        <v>72.14</v>
      </c>
      <c r="U359" s="586"/>
      <c r="V359" s="587">
        <v>60</v>
      </c>
      <c r="W359" s="586"/>
      <c r="X359" s="587">
        <v>150</v>
      </c>
      <c r="Y359" s="586"/>
      <c r="Z359" s="588">
        <v>24</v>
      </c>
      <c r="AA359" s="586"/>
      <c r="AB359" s="588">
        <v>16</v>
      </c>
      <c r="AC359" s="586"/>
      <c r="AD359" s="586"/>
      <c r="AE359" s="589"/>
      <c r="AF359" s="734">
        <f t="shared" si="21"/>
        <v>0</v>
      </c>
      <c r="AG359" s="585">
        <f t="shared" si="22"/>
        <v>0</v>
      </c>
      <c r="AH359" s="585">
        <f t="shared" si="23"/>
        <v>0</v>
      </c>
      <c r="AI359" s="991"/>
    </row>
    <row r="360" spans="1:35">
      <c r="A360" s="590"/>
      <c r="B360" s="591"/>
      <c r="C360" s="582"/>
      <c r="D360" s="583">
        <v>1400</v>
      </c>
      <c r="E360" s="582"/>
      <c r="F360" s="583">
        <v>132</v>
      </c>
      <c r="G360" s="586"/>
      <c r="H360" s="585">
        <v>3150</v>
      </c>
      <c r="I360" s="585"/>
      <c r="J360" s="585">
        <v>0</v>
      </c>
      <c r="K360" s="586"/>
      <c r="L360" s="585">
        <v>2100</v>
      </c>
      <c r="M360" s="586"/>
      <c r="N360" s="585">
        <v>198</v>
      </c>
      <c r="O360" s="733"/>
      <c r="P360" s="592">
        <v>2275</v>
      </c>
      <c r="Q360" s="765"/>
      <c r="R360" s="765">
        <v>88.48</v>
      </c>
      <c r="S360" s="765"/>
      <c r="T360" s="765">
        <v>72.14</v>
      </c>
      <c r="U360" s="586"/>
      <c r="V360" s="587">
        <v>60</v>
      </c>
      <c r="W360" s="586"/>
      <c r="X360" s="587">
        <v>150</v>
      </c>
      <c r="Y360" s="586"/>
      <c r="Z360" s="588">
        <v>24</v>
      </c>
      <c r="AA360" s="586"/>
      <c r="AB360" s="588">
        <v>16</v>
      </c>
      <c r="AC360" s="586"/>
      <c r="AD360" s="586"/>
      <c r="AE360" s="589"/>
      <c r="AF360" s="734">
        <f t="shared" si="21"/>
        <v>0</v>
      </c>
      <c r="AG360" s="585">
        <f t="shared" si="22"/>
        <v>0</v>
      </c>
      <c r="AH360" s="585">
        <f t="shared" si="23"/>
        <v>0</v>
      </c>
      <c r="AI360" s="991"/>
    </row>
    <row r="361" spans="1:35">
      <c r="A361" s="590"/>
      <c r="B361" s="591"/>
      <c r="C361" s="582"/>
      <c r="D361" s="583">
        <v>1400</v>
      </c>
      <c r="E361" s="582"/>
      <c r="F361" s="583">
        <v>132</v>
      </c>
      <c r="G361" s="586"/>
      <c r="H361" s="585">
        <v>3150</v>
      </c>
      <c r="I361" s="585"/>
      <c r="J361" s="585">
        <v>0</v>
      </c>
      <c r="K361" s="586"/>
      <c r="L361" s="585">
        <v>2100</v>
      </c>
      <c r="M361" s="586"/>
      <c r="N361" s="585">
        <v>198</v>
      </c>
      <c r="O361" s="733"/>
      <c r="P361" s="592">
        <v>2275</v>
      </c>
      <c r="Q361" s="765"/>
      <c r="R361" s="765">
        <v>88.48</v>
      </c>
      <c r="S361" s="765"/>
      <c r="T361" s="765">
        <v>72.14</v>
      </c>
      <c r="U361" s="586"/>
      <c r="V361" s="587">
        <v>60</v>
      </c>
      <c r="W361" s="586"/>
      <c r="X361" s="587">
        <v>150</v>
      </c>
      <c r="Y361" s="586"/>
      <c r="Z361" s="588">
        <v>24</v>
      </c>
      <c r="AA361" s="586"/>
      <c r="AB361" s="588">
        <v>16</v>
      </c>
      <c r="AC361" s="586"/>
      <c r="AD361" s="586"/>
      <c r="AE361" s="589"/>
      <c r="AF361" s="734">
        <f t="shared" si="21"/>
        <v>0</v>
      </c>
      <c r="AG361" s="585">
        <f t="shared" si="22"/>
        <v>0</v>
      </c>
      <c r="AH361" s="585">
        <f t="shared" si="23"/>
        <v>0</v>
      </c>
      <c r="AI361" s="991"/>
    </row>
    <row r="362" spans="1:35">
      <c r="A362" s="590"/>
      <c r="B362" s="591"/>
      <c r="C362" s="582"/>
      <c r="D362" s="583">
        <v>1400</v>
      </c>
      <c r="E362" s="582"/>
      <c r="F362" s="583">
        <v>132</v>
      </c>
      <c r="G362" s="586"/>
      <c r="H362" s="585">
        <v>3150</v>
      </c>
      <c r="I362" s="585"/>
      <c r="J362" s="585">
        <v>0</v>
      </c>
      <c r="K362" s="586"/>
      <c r="L362" s="585">
        <v>2100</v>
      </c>
      <c r="M362" s="586"/>
      <c r="N362" s="585">
        <v>198</v>
      </c>
      <c r="O362" s="733"/>
      <c r="P362" s="592">
        <v>2275</v>
      </c>
      <c r="Q362" s="765"/>
      <c r="R362" s="765">
        <v>88.48</v>
      </c>
      <c r="S362" s="765"/>
      <c r="T362" s="765">
        <v>72.14</v>
      </c>
      <c r="U362" s="586"/>
      <c r="V362" s="587">
        <v>60</v>
      </c>
      <c r="W362" s="586"/>
      <c r="X362" s="587">
        <v>150</v>
      </c>
      <c r="Y362" s="586"/>
      <c r="Z362" s="588">
        <v>24</v>
      </c>
      <c r="AA362" s="586"/>
      <c r="AB362" s="588">
        <v>16</v>
      </c>
      <c r="AC362" s="586"/>
      <c r="AD362" s="586"/>
      <c r="AE362" s="589"/>
      <c r="AF362" s="734">
        <f t="shared" si="21"/>
        <v>0</v>
      </c>
      <c r="AG362" s="585">
        <f t="shared" si="22"/>
        <v>0</v>
      </c>
      <c r="AH362" s="585">
        <f t="shared" si="23"/>
        <v>0</v>
      </c>
      <c r="AI362" s="991"/>
    </row>
    <row r="363" spans="1:35">
      <c r="A363" s="590"/>
      <c r="B363" s="591"/>
      <c r="C363" s="582"/>
      <c r="D363" s="583">
        <v>1400</v>
      </c>
      <c r="E363" s="582"/>
      <c r="F363" s="583">
        <v>132</v>
      </c>
      <c r="G363" s="586"/>
      <c r="H363" s="585">
        <v>3150</v>
      </c>
      <c r="I363" s="585"/>
      <c r="J363" s="585">
        <v>0</v>
      </c>
      <c r="K363" s="586"/>
      <c r="L363" s="585">
        <v>2100</v>
      </c>
      <c r="M363" s="586"/>
      <c r="N363" s="585">
        <v>198</v>
      </c>
      <c r="O363" s="733"/>
      <c r="P363" s="592">
        <v>2275</v>
      </c>
      <c r="Q363" s="765"/>
      <c r="R363" s="765">
        <v>88.48</v>
      </c>
      <c r="S363" s="765"/>
      <c r="T363" s="765">
        <v>72.14</v>
      </c>
      <c r="U363" s="586"/>
      <c r="V363" s="587">
        <v>60</v>
      </c>
      <c r="W363" s="586"/>
      <c r="X363" s="587">
        <v>150</v>
      </c>
      <c r="Y363" s="586"/>
      <c r="Z363" s="588">
        <v>24</v>
      </c>
      <c r="AA363" s="586"/>
      <c r="AB363" s="588">
        <v>16</v>
      </c>
      <c r="AC363" s="586"/>
      <c r="AD363" s="586"/>
      <c r="AE363" s="589"/>
      <c r="AF363" s="734">
        <f t="shared" si="21"/>
        <v>0</v>
      </c>
      <c r="AG363" s="585">
        <f t="shared" si="22"/>
        <v>0</v>
      </c>
      <c r="AH363" s="585">
        <f t="shared" si="23"/>
        <v>0</v>
      </c>
      <c r="AI363" s="991"/>
    </row>
    <row r="364" spans="1:35">
      <c r="A364" s="590"/>
      <c r="B364" s="591"/>
      <c r="C364" s="582"/>
      <c r="D364" s="583">
        <v>1400</v>
      </c>
      <c r="E364" s="582"/>
      <c r="F364" s="583">
        <v>132</v>
      </c>
      <c r="G364" s="586"/>
      <c r="H364" s="585">
        <v>3150</v>
      </c>
      <c r="I364" s="585"/>
      <c r="J364" s="585">
        <v>0</v>
      </c>
      <c r="K364" s="586"/>
      <c r="L364" s="585">
        <v>2100</v>
      </c>
      <c r="M364" s="586"/>
      <c r="N364" s="585">
        <v>198</v>
      </c>
      <c r="O364" s="733"/>
      <c r="P364" s="592">
        <v>2275</v>
      </c>
      <c r="Q364" s="765"/>
      <c r="R364" s="765">
        <v>88.48</v>
      </c>
      <c r="S364" s="765"/>
      <c r="T364" s="765">
        <v>72.14</v>
      </c>
      <c r="U364" s="586"/>
      <c r="V364" s="587">
        <v>60</v>
      </c>
      <c r="W364" s="586"/>
      <c r="X364" s="587">
        <v>150</v>
      </c>
      <c r="Y364" s="586"/>
      <c r="Z364" s="588">
        <v>24</v>
      </c>
      <c r="AA364" s="586"/>
      <c r="AB364" s="588">
        <v>16</v>
      </c>
      <c r="AC364" s="586"/>
      <c r="AD364" s="586"/>
      <c r="AE364" s="589"/>
      <c r="AF364" s="734">
        <f t="shared" si="21"/>
        <v>0</v>
      </c>
      <c r="AG364" s="585">
        <f t="shared" si="22"/>
        <v>0</v>
      </c>
      <c r="AH364" s="585">
        <f t="shared" si="23"/>
        <v>0</v>
      </c>
      <c r="AI364" s="991"/>
    </row>
    <row r="365" spans="1:35">
      <c r="A365" s="590"/>
      <c r="B365" s="591"/>
      <c r="C365" s="582"/>
      <c r="D365" s="583">
        <v>1400</v>
      </c>
      <c r="E365" s="582"/>
      <c r="F365" s="583">
        <v>132</v>
      </c>
      <c r="G365" s="586"/>
      <c r="H365" s="585">
        <v>3150</v>
      </c>
      <c r="I365" s="585"/>
      <c r="J365" s="585">
        <v>0</v>
      </c>
      <c r="K365" s="586"/>
      <c r="L365" s="585">
        <v>2100</v>
      </c>
      <c r="M365" s="586"/>
      <c r="N365" s="585">
        <v>198</v>
      </c>
      <c r="O365" s="733"/>
      <c r="P365" s="592">
        <v>2275</v>
      </c>
      <c r="Q365" s="765"/>
      <c r="R365" s="765">
        <v>88.48</v>
      </c>
      <c r="S365" s="765"/>
      <c r="T365" s="765">
        <v>72.14</v>
      </c>
      <c r="U365" s="586"/>
      <c r="V365" s="587">
        <v>60</v>
      </c>
      <c r="W365" s="586"/>
      <c r="X365" s="587">
        <v>150</v>
      </c>
      <c r="Y365" s="586"/>
      <c r="Z365" s="588">
        <v>24</v>
      </c>
      <c r="AA365" s="586"/>
      <c r="AB365" s="588">
        <v>16</v>
      </c>
      <c r="AC365" s="586"/>
      <c r="AD365" s="586"/>
      <c r="AE365" s="589"/>
      <c r="AF365" s="734">
        <f t="shared" si="21"/>
        <v>0</v>
      </c>
      <c r="AG365" s="585">
        <f t="shared" si="22"/>
        <v>0</v>
      </c>
      <c r="AH365" s="585">
        <f t="shared" si="23"/>
        <v>0</v>
      </c>
      <c r="AI365" s="991"/>
    </row>
    <row r="366" spans="1:35">
      <c r="A366" s="590"/>
      <c r="B366" s="591"/>
      <c r="C366" s="582"/>
      <c r="D366" s="583">
        <v>1400</v>
      </c>
      <c r="E366" s="582"/>
      <c r="F366" s="583">
        <v>132</v>
      </c>
      <c r="G366" s="586"/>
      <c r="H366" s="585">
        <v>3150</v>
      </c>
      <c r="I366" s="585"/>
      <c r="J366" s="585">
        <v>0</v>
      </c>
      <c r="K366" s="586"/>
      <c r="L366" s="585">
        <v>2100</v>
      </c>
      <c r="M366" s="586"/>
      <c r="N366" s="585">
        <v>198</v>
      </c>
      <c r="O366" s="733"/>
      <c r="P366" s="592">
        <v>2275</v>
      </c>
      <c r="Q366" s="765"/>
      <c r="R366" s="765">
        <v>88.48</v>
      </c>
      <c r="S366" s="765"/>
      <c r="T366" s="765">
        <v>72.14</v>
      </c>
      <c r="U366" s="586"/>
      <c r="V366" s="587">
        <v>60</v>
      </c>
      <c r="W366" s="586"/>
      <c r="X366" s="587">
        <v>150</v>
      </c>
      <c r="Y366" s="586"/>
      <c r="Z366" s="588">
        <v>24</v>
      </c>
      <c r="AA366" s="586"/>
      <c r="AB366" s="588">
        <v>16</v>
      </c>
      <c r="AC366" s="586"/>
      <c r="AD366" s="586"/>
      <c r="AE366" s="589"/>
      <c r="AF366" s="734">
        <f t="shared" si="21"/>
        <v>0</v>
      </c>
      <c r="AG366" s="585">
        <f t="shared" si="22"/>
        <v>0</v>
      </c>
      <c r="AH366" s="585">
        <f t="shared" si="23"/>
        <v>0</v>
      </c>
      <c r="AI366" s="991"/>
    </row>
    <row r="367" spans="1:35">
      <c r="A367" s="590"/>
      <c r="B367" s="591"/>
      <c r="C367" s="582"/>
      <c r="D367" s="583">
        <v>1400</v>
      </c>
      <c r="E367" s="582"/>
      <c r="F367" s="583">
        <v>132</v>
      </c>
      <c r="G367" s="586"/>
      <c r="H367" s="585">
        <v>3150</v>
      </c>
      <c r="I367" s="585"/>
      <c r="J367" s="585">
        <v>0</v>
      </c>
      <c r="K367" s="586"/>
      <c r="L367" s="585">
        <v>2100</v>
      </c>
      <c r="M367" s="586"/>
      <c r="N367" s="585">
        <v>198</v>
      </c>
      <c r="O367" s="733"/>
      <c r="P367" s="592">
        <v>2275</v>
      </c>
      <c r="Q367" s="765"/>
      <c r="R367" s="765">
        <v>88.48</v>
      </c>
      <c r="S367" s="765"/>
      <c r="T367" s="765">
        <v>72.14</v>
      </c>
      <c r="U367" s="586"/>
      <c r="V367" s="587">
        <v>60</v>
      </c>
      <c r="W367" s="586"/>
      <c r="X367" s="587">
        <v>150</v>
      </c>
      <c r="Y367" s="586"/>
      <c r="Z367" s="588">
        <v>24</v>
      </c>
      <c r="AA367" s="586"/>
      <c r="AB367" s="588">
        <v>16</v>
      </c>
      <c r="AC367" s="586"/>
      <c r="AD367" s="586"/>
      <c r="AE367" s="589"/>
      <c r="AF367" s="734">
        <f t="shared" si="21"/>
        <v>0</v>
      </c>
      <c r="AG367" s="585">
        <f t="shared" si="22"/>
        <v>0</v>
      </c>
      <c r="AH367" s="585">
        <f t="shared" si="23"/>
        <v>0</v>
      </c>
      <c r="AI367" s="991"/>
    </row>
    <row r="368" spans="1:35">
      <c r="A368" s="590"/>
      <c r="B368" s="591"/>
      <c r="C368" s="582"/>
      <c r="D368" s="583">
        <v>1400</v>
      </c>
      <c r="E368" s="582"/>
      <c r="F368" s="583">
        <v>132</v>
      </c>
      <c r="G368" s="586"/>
      <c r="H368" s="585">
        <v>3150</v>
      </c>
      <c r="I368" s="585"/>
      <c r="J368" s="585">
        <v>0</v>
      </c>
      <c r="K368" s="586"/>
      <c r="L368" s="585">
        <v>2100</v>
      </c>
      <c r="M368" s="586"/>
      <c r="N368" s="585">
        <v>198</v>
      </c>
      <c r="O368" s="733"/>
      <c r="P368" s="592">
        <v>2275</v>
      </c>
      <c r="Q368" s="765"/>
      <c r="R368" s="765">
        <v>88.48</v>
      </c>
      <c r="S368" s="765"/>
      <c r="T368" s="765">
        <v>72.14</v>
      </c>
      <c r="U368" s="586"/>
      <c r="V368" s="587">
        <v>60</v>
      </c>
      <c r="W368" s="586"/>
      <c r="X368" s="587">
        <v>150</v>
      </c>
      <c r="Y368" s="586"/>
      <c r="Z368" s="588">
        <v>24</v>
      </c>
      <c r="AA368" s="586"/>
      <c r="AB368" s="588">
        <v>16</v>
      </c>
      <c r="AC368" s="586"/>
      <c r="AD368" s="586"/>
      <c r="AE368" s="589"/>
      <c r="AF368" s="734">
        <f t="shared" si="21"/>
        <v>0</v>
      </c>
      <c r="AG368" s="585">
        <f t="shared" si="22"/>
        <v>0</v>
      </c>
      <c r="AH368" s="585">
        <f t="shared" si="23"/>
        <v>0</v>
      </c>
      <c r="AI368" s="991"/>
    </row>
    <row r="369" spans="1:35">
      <c r="A369" s="590"/>
      <c r="B369" s="591"/>
      <c r="C369" s="582"/>
      <c r="D369" s="583">
        <v>1400</v>
      </c>
      <c r="E369" s="582"/>
      <c r="F369" s="583">
        <v>132</v>
      </c>
      <c r="G369" s="586"/>
      <c r="H369" s="585">
        <v>3150</v>
      </c>
      <c r="I369" s="585"/>
      <c r="J369" s="585">
        <v>0</v>
      </c>
      <c r="K369" s="586"/>
      <c r="L369" s="585">
        <v>2100</v>
      </c>
      <c r="M369" s="586"/>
      <c r="N369" s="585">
        <v>198</v>
      </c>
      <c r="O369" s="733"/>
      <c r="P369" s="592">
        <v>2275</v>
      </c>
      <c r="Q369" s="765"/>
      <c r="R369" s="765">
        <v>88.48</v>
      </c>
      <c r="S369" s="765"/>
      <c r="T369" s="765">
        <v>72.14</v>
      </c>
      <c r="U369" s="586"/>
      <c r="V369" s="587">
        <v>60</v>
      </c>
      <c r="W369" s="586"/>
      <c r="X369" s="587">
        <v>150</v>
      </c>
      <c r="Y369" s="586"/>
      <c r="Z369" s="588">
        <v>24</v>
      </c>
      <c r="AA369" s="586"/>
      <c r="AB369" s="588">
        <v>16</v>
      </c>
      <c r="AC369" s="586"/>
      <c r="AD369" s="586"/>
      <c r="AE369" s="589"/>
      <c r="AF369" s="734">
        <f t="shared" si="21"/>
        <v>0</v>
      </c>
      <c r="AG369" s="585">
        <f t="shared" si="22"/>
        <v>0</v>
      </c>
      <c r="AH369" s="585">
        <f t="shared" si="23"/>
        <v>0</v>
      </c>
      <c r="AI369" s="991"/>
    </row>
    <row r="370" spans="1:35">
      <c r="A370" s="590"/>
      <c r="B370" s="591"/>
      <c r="C370" s="582"/>
      <c r="D370" s="583">
        <v>1400</v>
      </c>
      <c r="E370" s="582"/>
      <c r="F370" s="583">
        <v>132</v>
      </c>
      <c r="G370" s="586"/>
      <c r="H370" s="585">
        <v>3150</v>
      </c>
      <c r="I370" s="585"/>
      <c r="J370" s="585">
        <v>0</v>
      </c>
      <c r="K370" s="586"/>
      <c r="L370" s="585">
        <v>2100</v>
      </c>
      <c r="M370" s="586"/>
      <c r="N370" s="585">
        <v>198</v>
      </c>
      <c r="O370" s="733"/>
      <c r="P370" s="592">
        <v>2275</v>
      </c>
      <c r="Q370" s="765"/>
      <c r="R370" s="765">
        <v>88.48</v>
      </c>
      <c r="S370" s="765"/>
      <c r="T370" s="765">
        <v>72.14</v>
      </c>
      <c r="U370" s="586"/>
      <c r="V370" s="587">
        <v>60</v>
      </c>
      <c r="W370" s="586"/>
      <c r="X370" s="587">
        <v>150</v>
      </c>
      <c r="Y370" s="586"/>
      <c r="Z370" s="588">
        <v>24</v>
      </c>
      <c r="AA370" s="586"/>
      <c r="AB370" s="588">
        <v>16</v>
      </c>
      <c r="AC370" s="586"/>
      <c r="AD370" s="586"/>
      <c r="AE370" s="589"/>
      <c r="AF370" s="734">
        <f t="shared" si="21"/>
        <v>0</v>
      </c>
      <c r="AG370" s="585">
        <f t="shared" si="22"/>
        <v>0</v>
      </c>
      <c r="AH370" s="585">
        <f t="shared" si="23"/>
        <v>0</v>
      </c>
      <c r="AI370" s="991"/>
    </row>
    <row r="371" spans="1:35">
      <c r="A371" s="590"/>
      <c r="B371" s="591"/>
      <c r="C371" s="582"/>
      <c r="D371" s="583">
        <v>1400</v>
      </c>
      <c r="E371" s="582"/>
      <c r="F371" s="583">
        <v>132</v>
      </c>
      <c r="G371" s="586"/>
      <c r="H371" s="585">
        <v>3150</v>
      </c>
      <c r="I371" s="585"/>
      <c r="J371" s="585">
        <v>0</v>
      </c>
      <c r="K371" s="586"/>
      <c r="L371" s="585">
        <v>2100</v>
      </c>
      <c r="M371" s="586"/>
      <c r="N371" s="585">
        <v>198</v>
      </c>
      <c r="O371" s="733"/>
      <c r="P371" s="592">
        <v>2275</v>
      </c>
      <c r="Q371" s="765"/>
      <c r="R371" s="765">
        <v>88.48</v>
      </c>
      <c r="S371" s="765"/>
      <c r="T371" s="765">
        <v>72.14</v>
      </c>
      <c r="U371" s="586"/>
      <c r="V371" s="587">
        <v>60</v>
      </c>
      <c r="W371" s="586"/>
      <c r="X371" s="587">
        <v>150</v>
      </c>
      <c r="Y371" s="586"/>
      <c r="Z371" s="588">
        <v>24</v>
      </c>
      <c r="AA371" s="586"/>
      <c r="AB371" s="588">
        <v>16</v>
      </c>
      <c r="AC371" s="586"/>
      <c r="AD371" s="586"/>
      <c r="AE371" s="589"/>
      <c r="AF371" s="734">
        <f t="shared" si="21"/>
        <v>0</v>
      </c>
      <c r="AG371" s="585">
        <f t="shared" si="22"/>
        <v>0</v>
      </c>
      <c r="AH371" s="585">
        <f t="shared" si="23"/>
        <v>0</v>
      </c>
      <c r="AI371" s="991"/>
    </row>
    <row r="372" spans="1:35">
      <c r="A372" s="590"/>
      <c r="B372" s="591"/>
      <c r="C372" s="582"/>
      <c r="D372" s="583">
        <v>1400</v>
      </c>
      <c r="E372" s="582"/>
      <c r="F372" s="583">
        <v>132</v>
      </c>
      <c r="G372" s="586"/>
      <c r="H372" s="585">
        <v>3150</v>
      </c>
      <c r="I372" s="585"/>
      <c r="J372" s="585">
        <v>0</v>
      </c>
      <c r="K372" s="586"/>
      <c r="L372" s="585">
        <v>2100</v>
      </c>
      <c r="M372" s="586"/>
      <c r="N372" s="585">
        <v>198</v>
      </c>
      <c r="O372" s="733"/>
      <c r="P372" s="592">
        <v>2275</v>
      </c>
      <c r="Q372" s="765"/>
      <c r="R372" s="765">
        <v>88.48</v>
      </c>
      <c r="S372" s="765"/>
      <c r="T372" s="765">
        <v>72.14</v>
      </c>
      <c r="U372" s="586"/>
      <c r="V372" s="587">
        <v>60</v>
      </c>
      <c r="W372" s="586"/>
      <c r="X372" s="587">
        <v>150</v>
      </c>
      <c r="Y372" s="586"/>
      <c r="Z372" s="588">
        <v>24</v>
      </c>
      <c r="AA372" s="586"/>
      <c r="AB372" s="588">
        <v>16</v>
      </c>
      <c r="AC372" s="586"/>
      <c r="AD372" s="586"/>
      <c r="AE372" s="589"/>
      <c r="AF372" s="734">
        <f t="shared" si="21"/>
        <v>0</v>
      </c>
      <c r="AG372" s="585">
        <f t="shared" si="22"/>
        <v>0</v>
      </c>
      <c r="AH372" s="585">
        <f t="shared" si="23"/>
        <v>0</v>
      </c>
      <c r="AI372" s="991"/>
    </row>
    <row r="373" spans="1:35">
      <c r="A373" s="590"/>
      <c r="B373" s="591"/>
      <c r="C373" s="582"/>
      <c r="D373" s="583">
        <v>1400</v>
      </c>
      <c r="E373" s="582"/>
      <c r="F373" s="583">
        <v>132</v>
      </c>
      <c r="G373" s="586"/>
      <c r="H373" s="585">
        <v>3150</v>
      </c>
      <c r="I373" s="585"/>
      <c r="J373" s="585">
        <v>0</v>
      </c>
      <c r="K373" s="586"/>
      <c r="L373" s="585">
        <v>2100</v>
      </c>
      <c r="M373" s="586"/>
      <c r="N373" s="585">
        <v>198</v>
      </c>
      <c r="O373" s="733"/>
      <c r="P373" s="592">
        <v>2275</v>
      </c>
      <c r="Q373" s="765"/>
      <c r="R373" s="765">
        <v>88.48</v>
      </c>
      <c r="S373" s="765"/>
      <c r="T373" s="765">
        <v>72.14</v>
      </c>
      <c r="U373" s="586"/>
      <c r="V373" s="587">
        <v>60</v>
      </c>
      <c r="W373" s="586"/>
      <c r="X373" s="587">
        <v>150</v>
      </c>
      <c r="Y373" s="586"/>
      <c r="Z373" s="588">
        <v>24</v>
      </c>
      <c r="AA373" s="586"/>
      <c r="AB373" s="588">
        <v>16</v>
      </c>
      <c r="AC373" s="586"/>
      <c r="AD373" s="586"/>
      <c r="AE373" s="589"/>
      <c r="AF373" s="734">
        <f t="shared" si="21"/>
        <v>0</v>
      </c>
      <c r="AG373" s="585">
        <f t="shared" si="22"/>
        <v>0</v>
      </c>
      <c r="AH373" s="585">
        <f t="shared" si="23"/>
        <v>0</v>
      </c>
      <c r="AI373" s="991"/>
    </row>
    <row r="374" spans="1:35">
      <c r="A374" s="590"/>
      <c r="B374" s="591"/>
      <c r="C374" s="582"/>
      <c r="D374" s="583">
        <v>1400</v>
      </c>
      <c r="E374" s="582"/>
      <c r="F374" s="583">
        <v>132</v>
      </c>
      <c r="G374" s="586"/>
      <c r="H374" s="585">
        <v>3150</v>
      </c>
      <c r="I374" s="585"/>
      <c r="J374" s="585">
        <v>0</v>
      </c>
      <c r="K374" s="586"/>
      <c r="L374" s="585">
        <v>2100</v>
      </c>
      <c r="M374" s="586"/>
      <c r="N374" s="585">
        <v>198</v>
      </c>
      <c r="O374" s="733"/>
      <c r="P374" s="592">
        <v>2275</v>
      </c>
      <c r="Q374" s="765"/>
      <c r="R374" s="765">
        <v>88.48</v>
      </c>
      <c r="S374" s="765"/>
      <c r="T374" s="765">
        <v>72.14</v>
      </c>
      <c r="U374" s="586"/>
      <c r="V374" s="587">
        <v>60</v>
      </c>
      <c r="W374" s="586"/>
      <c r="X374" s="587">
        <v>150</v>
      </c>
      <c r="Y374" s="586"/>
      <c r="Z374" s="588">
        <v>24</v>
      </c>
      <c r="AA374" s="586"/>
      <c r="AB374" s="588">
        <v>16</v>
      </c>
      <c r="AC374" s="586"/>
      <c r="AD374" s="586"/>
      <c r="AE374" s="589"/>
      <c r="AF374" s="734">
        <f t="shared" si="21"/>
        <v>0</v>
      </c>
      <c r="AG374" s="585">
        <f t="shared" si="22"/>
        <v>0</v>
      </c>
      <c r="AH374" s="585">
        <f t="shared" si="23"/>
        <v>0</v>
      </c>
      <c r="AI374" s="991"/>
    </row>
    <row r="375" spans="1:35">
      <c r="A375" s="590"/>
      <c r="B375" s="591"/>
      <c r="C375" s="582"/>
      <c r="D375" s="583">
        <v>1400</v>
      </c>
      <c r="E375" s="582"/>
      <c r="F375" s="583">
        <v>132</v>
      </c>
      <c r="G375" s="586"/>
      <c r="H375" s="585">
        <v>3150</v>
      </c>
      <c r="I375" s="585"/>
      <c r="J375" s="585">
        <v>0</v>
      </c>
      <c r="K375" s="586"/>
      <c r="L375" s="585">
        <v>2100</v>
      </c>
      <c r="M375" s="586"/>
      <c r="N375" s="585">
        <v>198</v>
      </c>
      <c r="O375" s="733"/>
      <c r="P375" s="592">
        <v>2275</v>
      </c>
      <c r="Q375" s="765"/>
      <c r="R375" s="765">
        <v>88.48</v>
      </c>
      <c r="S375" s="765"/>
      <c r="T375" s="765">
        <v>72.14</v>
      </c>
      <c r="U375" s="586"/>
      <c r="V375" s="587">
        <v>60</v>
      </c>
      <c r="W375" s="586"/>
      <c r="X375" s="587">
        <v>150</v>
      </c>
      <c r="Y375" s="586"/>
      <c r="Z375" s="588">
        <v>24</v>
      </c>
      <c r="AA375" s="586"/>
      <c r="AB375" s="588">
        <v>16</v>
      </c>
      <c r="AC375" s="586"/>
      <c r="AD375" s="586"/>
      <c r="AE375" s="589"/>
      <c r="AF375" s="734">
        <f t="shared" si="21"/>
        <v>0</v>
      </c>
      <c r="AG375" s="585">
        <f t="shared" si="22"/>
        <v>0</v>
      </c>
      <c r="AH375" s="585">
        <f t="shared" si="23"/>
        <v>0</v>
      </c>
      <c r="AI375" s="991"/>
    </row>
    <row r="376" spans="1:35">
      <c r="A376" s="590"/>
      <c r="B376" s="591"/>
      <c r="C376" s="582"/>
      <c r="D376" s="583">
        <v>1400</v>
      </c>
      <c r="E376" s="582"/>
      <c r="F376" s="583">
        <v>132</v>
      </c>
      <c r="G376" s="586"/>
      <c r="H376" s="585">
        <v>3150</v>
      </c>
      <c r="I376" s="585"/>
      <c r="J376" s="585">
        <v>0</v>
      </c>
      <c r="K376" s="586"/>
      <c r="L376" s="585">
        <v>2100</v>
      </c>
      <c r="M376" s="586"/>
      <c r="N376" s="585">
        <v>198</v>
      </c>
      <c r="O376" s="733"/>
      <c r="P376" s="592">
        <v>2275</v>
      </c>
      <c r="Q376" s="765"/>
      <c r="R376" s="765">
        <v>88.48</v>
      </c>
      <c r="S376" s="765"/>
      <c r="T376" s="765">
        <v>72.14</v>
      </c>
      <c r="U376" s="586"/>
      <c r="V376" s="587">
        <v>60</v>
      </c>
      <c r="W376" s="586"/>
      <c r="X376" s="587">
        <v>150</v>
      </c>
      <c r="Y376" s="586"/>
      <c r="Z376" s="588">
        <v>24</v>
      </c>
      <c r="AA376" s="586"/>
      <c r="AB376" s="588">
        <v>16</v>
      </c>
      <c r="AC376" s="586"/>
      <c r="AD376" s="586"/>
      <c r="AE376" s="589"/>
      <c r="AF376" s="734">
        <f t="shared" si="21"/>
        <v>0</v>
      </c>
      <c r="AG376" s="585">
        <f t="shared" si="22"/>
        <v>0</v>
      </c>
      <c r="AH376" s="585">
        <f t="shared" si="23"/>
        <v>0</v>
      </c>
      <c r="AI376" s="991"/>
    </row>
    <row r="377" spans="1:35">
      <c r="A377" s="590"/>
      <c r="B377" s="591"/>
      <c r="C377" s="582"/>
      <c r="D377" s="583">
        <v>1400</v>
      </c>
      <c r="E377" s="582"/>
      <c r="F377" s="583">
        <v>132</v>
      </c>
      <c r="G377" s="586"/>
      <c r="H377" s="585">
        <v>3150</v>
      </c>
      <c r="I377" s="585"/>
      <c r="J377" s="585">
        <v>0</v>
      </c>
      <c r="K377" s="586"/>
      <c r="L377" s="585">
        <v>2100</v>
      </c>
      <c r="M377" s="586"/>
      <c r="N377" s="585">
        <v>198</v>
      </c>
      <c r="O377" s="733"/>
      <c r="P377" s="592">
        <v>2275</v>
      </c>
      <c r="Q377" s="765"/>
      <c r="R377" s="765">
        <v>88.48</v>
      </c>
      <c r="S377" s="765"/>
      <c r="T377" s="765">
        <v>72.14</v>
      </c>
      <c r="U377" s="586"/>
      <c r="V377" s="587">
        <v>60</v>
      </c>
      <c r="W377" s="586"/>
      <c r="X377" s="587">
        <v>150</v>
      </c>
      <c r="Y377" s="586"/>
      <c r="Z377" s="588">
        <v>24</v>
      </c>
      <c r="AA377" s="586"/>
      <c r="AB377" s="588">
        <v>16</v>
      </c>
      <c r="AC377" s="586"/>
      <c r="AD377" s="586"/>
      <c r="AE377" s="589"/>
      <c r="AF377" s="734">
        <f t="shared" si="21"/>
        <v>0</v>
      </c>
      <c r="AG377" s="585">
        <f t="shared" si="22"/>
        <v>0</v>
      </c>
      <c r="AH377" s="585">
        <f t="shared" si="23"/>
        <v>0</v>
      </c>
      <c r="AI377" s="991"/>
    </row>
    <row r="378" spans="1:35">
      <c r="A378" s="590"/>
      <c r="B378" s="591"/>
      <c r="C378" s="582"/>
      <c r="D378" s="583">
        <v>1400</v>
      </c>
      <c r="E378" s="582"/>
      <c r="F378" s="583">
        <v>132</v>
      </c>
      <c r="G378" s="586"/>
      <c r="H378" s="585">
        <v>3150</v>
      </c>
      <c r="I378" s="585"/>
      <c r="J378" s="585">
        <v>0</v>
      </c>
      <c r="K378" s="586"/>
      <c r="L378" s="585">
        <v>2100</v>
      </c>
      <c r="M378" s="586"/>
      <c r="N378" s="585">
        <v>198</v>
      </c>
      <c r="O378" s="733"/>
      <c r="P378" s="592">
        <v>2275</v>
      </c>
      <c r="Q378" s="765"/>
      <c r="R378" s="765">
        <v>88.48</v>
      </c>
      <c r="S378" s="765"/>
      <c r="T378" s="765">
        <v>72.14</v>
      </c>
      <c r="U378" s="586"/>
      <c r="V378" s="587">
        <v>60</v>
      </c>
      <c r="W378" s="586"/>
      <c r="X378" s="587">
        <v>150</v>
      </c>
      <c r="Y378" s="586"/>
      <c r="Z378" s="588">
        <v>24</v>
      </c>
      <c r="AA378" s="586"/>
      <c r="AB378" s="588">
        <v>16</v>
      </c>
      <c r="AC378" s="586"/>
      <c r="AD378" s="586"/>
      <c r="AE378" s="589"/>
      <c r="AF378" s="734">
        <f t="shared" si="21"/>
        <v>0</v>
      </c>
      <c r="AG378" s="585">
        <f t="shared" si="22"/>
        <v>0</v>
      </c>
      <c r="AH378" s="585">
        <f t="shared" si="23"/>
        <v>0</v>
      </c>
      <c r="AI378" s="991"/>
    </row>
    <row r="379" spans="1:35">
      <c r="A379" s="590"/>
      <c r="B379" s="591"/>
      <c r="C379" s="582"/>
      <c r="D379" s="583">
        <v>1400</v>
      </c>
      <c r="E379" s="582"/>
      <c r="F379" s="583">
        <v>132</v>
      </c>
      <c r="G379" s="586"/>
      <c r="H379" s="585">
        <v>3150</v>
      </c>
      <c r="I379" s="585"/>
      <c r="J379" s="585">
        <v>0</v>
      </c>
      <c r="K379" s="586"/>
      <c r="L379" s="585">
        <v>2100</v>
      </c>
      <c r="M379" s="586"/>
      <c r="N379" s="585">
        <v>198</v>
      </c>
      <c r="O379" s="733"/>
      <c r="P379" s="592">
        <v>2275</v>
      </c>
      <c r="Q379" s="765"/>
      <c r="R379" s="765">
        <v>88.48</v>
      </c>
      <c r="S379" s="765"/>
      <c r="T379" s="765">
        <v>72.14</v>
      </c>
      <c r="U379" s="586"/>
      <c r="V379" s="587">
        <v>60</v>
      </c>
      <c r="W379" s="586"/>
      <c r="X379" s="587">
        <v>150</v>
      </c>
      <c r="Y379" s="586"/>
      <c r="Z379" s="588">
        <v>24</v>
      </c>
      <c r="AA379" s="586"/>
      <c r="AB379" s="588">
        <v>16</v>
      </c>
      <c r="AC379" s="586"/>
      <c r="AD379" s="586"/>
      <c r="AE379" s="589"/>
      <c r="AF379" s="734">
        <f t="shared" si="21"/>
        <v>0</v>
      </c>
      <c r="AG379" s="585">
        <f t="shared" si="22"/>
        <v>0</v>
      </c>
      <c r="AH379" s="585">
        <f t="shared" si="23"/>
        <v>0</v>
      </c>
      <c r="AI379" s="991"/>
    </row>
    <row r="380" spans="1:35">
      <c r="A380" s="590"/>
      <c r="B380" s="591"/>
      <c r="C380" s="582"/>
      <c r="D380" s="583">
        <v>1400</v>
      </c>
      <c r="E380" s="582"/>
      <c r="F380" s="583">
        <v>132</v>
      </c>
      <c r="G380" s="586"/>
      <c r="H380" s="585">
        <v>3150</v>
      </c>
      <c r="I380" s="585"/>
      <c r="J380" s="585">
        <v>0</v>
      </c>
      <c r="K380" s="586"/>
      <c r="L380" s="585">
        <v>2100</v>
      </c>
      <c r="M380" s="586"/>
      <c r="N380" s="585">
        <v>198</v>
      </c>
      <c r="O380" s="733"/>
      <c r="P380" s="592">
        <v>2275</v>
      </c>
      <c r="Q380" s="765"/>
      <c r="R380" s="765">
        <v>88.48</v>
      </c>
      <c r="S380" s="765"/>
      <c r="T380" s="765">
        <v>72.14</v>
      </c>
      <c r="U380" s="586"/>
      <c r="V380" s="587">
        <v>60</v>
      </c>
      <c r="W380" s="586"/>
      <c r="X380" s="587">
        <v>150</v>
      </c>
      <c r="Y380" s="586"/>
      <c r="Z380" s="588">
        <v>24</v>
      </c>
      <c r="AA380" s="586"/>
      <c r="AB380" s="588">
        <v>16</v>
      </c>
      <c r="AC380" s="586"/>
      <c r="AD380" s="586"/>
      <c r="AE380" s="589"/>
      <c r="AF380" s="734">
        <f t="shared" si="21"/>
        <v>0</v>
      </c>
      <c r="AG380" s="585">
        <f t="shared" si="22"/>
        <v>0</v>
      </c>
      <c r="AH380" s="585">
        <f t="shared" si="23"/>
        <v>0</v>
      </c>
      <c r="AI380" s="991"/>
    </row>
    <row r="381" spans="1:35">
      <c r="A381" s="590"/>
      <c r="B381" s="591"/>
      <c r="C381" s="582"/>
      <c r="D381" s="583">
        <v>1400</v>
      </c>
      <c r="E381" s="582"/>
      <c r="F381" s="583">
        <v>132</v>
      </c>
      <c r="G381" s="586"/>
      <c r="H381" s="585">
        <v>3150</v>
      </c>
      <c r="I381" s="585"/>
      <c r="J381" s="585">
        <v>0</v>
      </c>
      <c r="K381" s="586"/>
      <c r="L381" s="585">
        <v>2100</v>
      </c>
      <c r="M381" s="586"/>
      <c r="N381" s="585">
        <v>198</v>
      </c>
      <c r="O381" s="733"/>
      <c r="P381" s="592">
        <v>2275</v>
      </c>
      <c r="Q381" s="765"/>
      <c r="R381" s="765">
        <v>88.48</v>
      </c>
      <c r="S381" s="765"/>
      <c r="T381" s="765">
        <v>72.14</v>
      </c>
      <c r="U381" s="586"/>
      <c r="V381" s="587">
        <v>60</v>
      </c>
      <c r="W381" s="586"/>
      <c r="X381" s="587">
        <v>150</v>
      </c>
      <c r="Y381" s="586"/>
      <c r="Z381" s="588">
        <v>24</v>
      </c>
      <c r="AA381" s="586"/>
      <c r="AB381" s="588">
        <v>16</v>
      </c>
      <c r="AC381" s="586"/>
      <c r="AD381" s="586"/>
      <c r="AE381" s="589"/>
      <c r="AF381" s="734">
        <f t="shared" si="21"/>
        <v>0</v>
      </c>
      <c r="AG381" s="585">
        <f t="shared" si="22"/>
        <v>0</v>
      </c>
      <c r="AH381" s="585">
        <f t="shared" si="23"/>
        <v>0</v>
      </c>
      <c r="AI381" s="991"/>
    </row>
    <row r="382" spans="1:35">
      <c r="A382" s="590"/>
      <c r="B382" s="591"/>
      <c r="C382" s="582"/>
      <c r="D382" s="583">
        <v>1400</v>
      </c>
      <c r="E382" s="582"/>
      <c r="F382" s="583">
        <v>132</v>
      </c>
      <c r="G382" s="586"/>
      <c r="H382" s="585">
        <v>3150</v>
      </c>
      <c r="I382" s="585"/>
      <c r="J382" s="585">
        <v>0</v>
      </c>
      <c r="K382" s="586"/>
      <c r="L382" s="585">
        <v>2100</v>
      </c>
      <c r="M382" s="586"/>
      <c r="N382" s="585">
        <v>198</v>
      </c>
      <c r="O382" s="733"/>
      <c r="P382" s="592">
        <v>2275</v>
      </c>
      <c r="Q382" s="765"/>
      <c r="R382" s="765">
        <v>88.48</v>
      </c>
      <c r="S382" s="765"/>
      <c r="T382" s="765">
        <v>72.14</v>
      </c>
      <c r="U382" s="586"/>
      <c r="V382" s="587">
        <v>60</v>
      </c>
      <c r="W382" s="586"/>
      <c r="X382" s="587">
        <v>150</v>
      </c>
      <c r="Y382" s="586"/>
      <c r="Z382" s="588">
        <v>24</v>
      </c>
      <c r="AA382" s="586"/>
      <c r="AB382" s="588">
        <v>16</v>
      </c>
      <c r="AC382" s="586"/>
      <c r="AD382" s="586"/>
      <c r="AE382" s="589"/>
      <c r="AF382" s="734">
        <f t="shared" si="21"/>
        <v>0</v>
      </c>
      <c r="AG382" s="585">
        <f t="shared" si="22"/>
        <v>0</v>
      </c>
      <c r="AH382" s="585">
        <f t="shared" si="23"/>
        <v>0</v>
      </c>
      <c r="AI382" s="991"/>
    </row>
    <row r="383" spans="1:35">
      <c r="A383" s="590"/>
      <c r="B383" s="591"/>
      <c r="C383" s="582"/>
      <c r="D383" s="583">
        <v>1400</v>
      </c>
      <c r="E383" s="582"/>
      <c r="F383" s="583">
        <v>132</v>
      </c>
      <c r="G383" s="586"/>
      <c r="H383" s="585">
        <v>3150</v>
      </c>
      <c r="I383" s="585"/>
      <c r="J383" s="585">
        <v>0</v>
      </c>
      <c r="K383" s="586"/>
      <c r="L383" s="585">
        <v>2100</v>
      </c>
      <c r="M383" s="586"/>
      <c r="N383" s="585">
        <v>198</v>
      </c>
      <c r="O383" s="733"/>
      <c r="P383" s="592">
        <v>2275</v>
      </c>
      <c r="Q383" s="765"/>
      <c r="R383" s="765">
        <v>88.48</v>
      </c>
      <c r="S383" s="765"/>
      <c r="T383" s="765">
        <v>72.14</v>
      </c>
      <c r="U383" s="586"/>
      <c r="V383" s="587">
        <v>60</v>
      </c>
      <c r="W383" s="586"/>
      <c r="X383" s="587">
        <v>150</v>
      </c>
      <c r="Y383" s="586"/>
      <c r="Z383" s="588">
        <v>24</v>
      </c>
      <c r="AA383" s="586"/>
      <c r="AB383" s="588">
        <v>16</v>
      </c>
      <c r="AC383" s="586"/>
      <c r="AD383" s="586"/>
      <c r="AE383" s="589"/>
      <c r="AF383" s="734">
        <f t="shared" si="21"/>
        <v>0</v>
      </c>
      <c r="AG383" s="585">
        <f t="shared" si="22"/>
        <v>0</v>
      </c>
      <c r="AH383" s="585">
        <f t="shared" si="23"/>
        <v>0</v>
      </c>
      <c r="AI383" s="991"/>
    </row>
    <row r="384" spans="1:35">
      <c r="A384" s="590"/>
      <c r="B384" s="591"/>
      <c r="C384" s="582"/>
      <c r="D384" s="583">
        <v>1400</v>
      </c>
      <c r="E384" s="582"/>
      <c r="F384" s="583">
        <v>132</v>
      </c>
      <c r="G384" s="586"/>
      <c r="H384" s="585">
        <v>3150</v>
      </c>
      <c r="I384" s="585"/>
      <c r="J384" s="585">
        <v>0</v>
      </c>
      <c r="K384" s="586"/>
      <c r="L384" s="585">
        <v>2100</v>
      </c>
      <c r="M384" s="586"/>
      <c r="N384" s="585">
        <v>198</v>
      </c>
      <c r="O384" s="733"/>
      <c r="P384" s="592">
        <v>2275</v>
      </c>
      <c r="Q384" s="765"/>
      <c r="R384" s="765">
        <v>88.48</v>
      </c>
      <c r="S384" s="765"/>
      <c r="T384" s="765">
        <v>72.14</v>
      </c>
      <c r="U384" s="586"/>
      <c r="V384" s="587">
        <v>60</v>
      </c>
      <c r="W384" s="586"/>
      <c r="X384" s="587">
        <v>150</v>
      </c>
      <c r="Y384" s="586"/>
      <c r="Z384" s="588">
        <v>24</v>
      </c>
      <c r="AA384" s="586"/>
      <c r="AB384" s="588">
        <v>16</v>
      </c>
      <c r="AC384" s="586"/>
      <c r="AD384" s="586"/>
      <c r="AE384" s="589"/>
      <c r="AF384" s="734">
        <f t="shared" si="21"/>
        <v>0</v>
      </c>
      <c r="AG384" s="585">
        <f t="shared" si="22"/>
        <v>0</v>
      </c>
      <c r="AH384" s="585">
        <f t="shared" si="23"/>
        <v>0</v>
      </c>
      <c r="AI384" s="991"/>
    </row>
    <row r="385" spans="1:35">
      <c r="A385" s="590"/>
      <c r="B385" s="591"/>
      <c r="C385" s="582"/>
      <c r="D385" s="583">
        <v>1400</v>
      </c>
      <c r="E385" s="582"/>
      <c r="F385" s="583">
        <v>132</v>
      </c>
      <c r="G385" s="586"/>
      <c r="H385" s="585">
        <v>3150</v>
      </c>
      <c r="I385" s="585"/>
      <c r="J385" s="585">
        <v>0</v>
      </c>
      <c r="K385" s="586"/>
      <c r="L385" s="585">
        <v>2100</v>
      </c>
      <c r="M385" s="586"/>
      <c r="N385" s="585">
        <v>198</v>
      </c>
      <c r="O385" s="733"/>
      <c r="P385" s="592">
        <v>2275</v>
      </c>
      <c r="Q385" s="765"/>
      <c r="R385" s="765">
        <v>88.48</v>
      </c>
      <c r="S385" s="765"/>
      <c r="T385" s="765">
        <v>72.14</v>
      </c>
      <c r="U385" s="586"/>
      <c r="V385" s="587">
        <v>60</v>
      </c>
      <c r="W385" s="586"/>
      <c r="X385" s="587">
        <v>150</v>
      </c>
      <c r="Y385" s="586"/>
      <c r="Z385" s="588">
        <v>24</v>
      </c>
      <c r="AA385" s="586"/>
      <c r="AB385" s="588">
        <v>16</v>
      </c>
      <c r="AC385" s="586"/>
      <c r="AD385" s="586"/>
      <c r="AE385" s="589"/>
      <c r="AF385" s="734">
        <f t="shared" si="21"/>
        <v>0</v>
      </c>
      <c r="AG385" s="585">
        <f t="shared" si="22"/>
        <v>0</v>
      </c>
      <c r="AH385" s="585">
        <f t="shared" si="23"/>
        <v>0</v>
      </c>
      <c r="AI385" s="991"/>
    </row>
    <row r="386" spans="1:35">
      <c r="A386" s="590"/>
      <c r="B386" s="591"/>
      <c r="C386" s="582"/>
      <c r="D386" s="583">
        <v>1400</v>
      </c>
      <c r="E386" s="582"/>
      <c r="F386" s="583">
        <v>132</v>
      </c>
      <c r="G386" s="586"/>
      <c r="H386" s="585">
        <v>3150</v>
      </c>
      <c r="I386" s="585"/>
      <c r="J386" s="585">
        <v>0</v>
      </c>
      <c r="K386" s="586"/>
      <c r="L386" s="585">
        <v>2100</v>
      </c>
      <c r="M386" s="586"/>
      <c r="N386" s="585">
        <v>198</v>
      </c>
      <c r="O386" s="733"/>
      <c r="P386" s="592">
        <v>2275</v>
      </c>
      <c r="Q386" s="765"/>
      <c r="R386" s="765">
        <v>88.48</v>
      </c>
      <c r="S386" s="765"/>
      <c r="T386" s="765">
        <v>72.14</v>
      </c>
      <c r="U386" s="586"/>
      <c r="V386" s="587">
        <v>60</v>
      </c>
      <c r="W386" s="586"/>
      <c r="X386" s="587">
        <v>150</v>
      </c>
      <c r="Y386" s="586"/>
      <c r="Z386" s="588">
        <v>24</v>
      </c>
      <c r="AA386" s="586"/>
      <c r="AB386" s="588">
        <v>16</v>
      </c>
      <c r="AC386" s="586"/>
      <c r="AD386" s="586"/>
      <c r="AE386" s="589"/>
      <c r="AF386" s="734">
        <f t="shared" si="21"/>
        <v>0</v>
      </c>
      <c r="AG386" s="585">
        <f t="shared" si="22"/>
        <v>0</v>
      </c>
      <c r="AH386" s="585">
        <f t="shared" si="23"/>
        <v>0</v>
      </c>
      <c r="AI386" s="991"/>
    </row>
    <row r="387" spans="1:35">
      <c r="A387" s="590"/>
      <c r="B387" s="591"/>
      <c r="C387" s="582"/>
      <c r="D387" s="583">
        <v>1400</v>
      </c>
      <c r="E387" s="582"/>
      <c r="F387" s="583">
        <v>132</v>
      </c>
      <c r="G387" s="586"/>
      <c r="H387" s="585">
        <v>3150</v>
      </c>
      <c r="I387" s="585"/>
      <c r="J387" s="585">
        <v>0</v>
      </c>
      <c r="K387" s="586"/>
      <c r="L387" s="585">
        <v>2100</v>
      </c>
      <c r="M387" s="586"/>
      <c r="N387" s="585">
        <v>198</v>
      </c>
      <c r="O387" s="733"/>
      <c r="P387" s="592">
        <v>2275</v>
      </c>
      <c r="Q387" s="765"/>
      <c r="R387" s="765">
        <v>88.48</v>
      </c>
      <c r="S387" s="765"/>
      <c r="T387" s="765">
        <v>72.14</v>
      </c>
      <c r="U387" s="586"/>
      <c r="V387" s="587">
        <v>60</v>
      </c>
      <c r="W387" s="586"/>
      <c r="X387" s="587">
        <v>150</v>
      </c>
      <c r="Y387" s="586"/>
      <c r="Z387" s="588">
        <v>24</v>
      </c>
      <c r="AA387" s="586"/>
      <c r="AB387" s="588">
        <v>16</v>
      </c>
      <c r="AC387" s="586"/>
      <c r="AD387" s="586"/>
      <c r="AE387" s="589"/>
      <c r="AF387" s="734">
        <f t="shared" si="21"/>
        <v>0</v>
      </c>
      <c r="AG387" s="585">
        <f t="shared" si="22"/>
        <v>0</v>
      </c>
      <c r="AH387" s="585">
        <f t="shared" si="23"/>
        <v>0</v>
      </c>
      <c r="AI387" s="991"/>
    </row>
    <row r="388" spans="1:35">
      <c r="A388" s="590"/>
      <c r="B388" s="591"/>
      <c r="C388" s="582"/>
      <c r="D388" s="583">
        <v>1400</v>
      </c>
      <c r="E388" s="582"/>
      <c r="F388" s="583">
        <v>132</v>
      </c>
      <c r="G388" s="586"/>
      <c r="H388" s="585">
        <v>3150</v>
      </c>
      <c r="I388" s="585"/>
      <c r="J388" s="585">
        <v>0</v>
      </c>
      <c r="K388" s="586"/>
      <c r="L388" s="585">
        <v>2100</v>
      </c>
      <c r="M388" s="586"/>
      <c r="N388" s="585">
        <v>198</v>
      </c>
      <c r="O388" s="733"/>
      <c r="P388" s="592">
        <v>2275</v>
      </c>
      <c r="Q388" s="765"/>
      <c r="R388" s="765">
        <v>88.48</v>
      </c>
      <c r="S388" s="765"/>
      <c r="T388" s="765">
        <v>72.14</v>
      </c>
      <c r="U388" s="586"/>
      <c r="V388" s="587">
        <v>60</v>
      </c>
      <c r="W388" s="586"/>
      <c r="X388" s="587">
        <v>150</v>
      </c>
      <c r="Y388" s="586"/>
      <c r="Z388" s="588">
        <v>24</v>
      </c>
      <c r="AA388" s="586"/>
      <c r="AB388" s="588">
        <v>16</v>
      </c>
      <c r="AC388" s="586"/>
      <c r="AD388" s="586"/>
      <c r="AE388" s="589"/>
      <c r="AF388" s="734">
        <f t="shared" si="21"/>
        <v>0</v>
      </c>
      <c r="AG388" s="585">
        <f t="shared" si="22"/>
        <v>0</v>
      </c>
      <c r="AH388" s="585">
        <f t="shared" si="23"/>
        <v>0</v>
      </c>
      <c r="AI388" s="991"/>
    </row>
    <row r="389" spans="1:35">
      <c r="A389" s="590"/>
      <c r="B389" s="591"/>
      <c r="C389" s="582"/>
      <c r="D389" s="583">
        <v>1400</v>
      </c>
      <c r="E389" s="582"/>
      <c r="F389" s="583">
        <v>132</v>
      </c>
      <c r="G389" s="586"/>
      <c r="H389" s="585">
        <v>3150</v>
      </c>
      <c r="I389" s="585"/>
      <c r="J389" s="585">
        <v>0</v>
      </c>
      <c r="K389" s="586"/>
      <c r="L389" s="585">
        <v>2100</v>
      </c>
      <c r="M389" s="586"/>
      <c r="N389" s="585">
        <v>198</v>
      </c>
      <c r="O389" s="733"/>
      <c r="P389" s="592">
        <v>2275</v>
      </c>
      <c r="Q389" s="765"/>
      <c r="R389" s="765">
        <v>88.48</v>
      </c>
      <c r="S389" s="765"/>
      <c r="T389" s="765">
        <v>72.14</v>
      </c>
      <c r="U389" s="586"/>
      <c r="V389" s="587">
        <v>60</v>
      </c>
      <c r="W389" s="586"/>
      <c r="X389" s="587">
        <v>150</v>
      </c>
      <c r="Y389" s="586"/>
      <c r="Z389" s="588">
        <v>24</v>
      </c>
      <c r="AA389" s="586"/>
      <c r="AB389" s="588">
        <v>16</v>
      </c>
      <c r="AC389" s="586"/>
      <c r="AD389" s="586"/>
      <c r="AE389" s="589"/>
      <c r="AF389" s="734">
        <f t="shared" si="21"/>
        <v>0</v>
      </c>
      <c r="AG389" s="585">
        <f t="shared" si="22"/>
        <v>0</v>
      </c>
      <c r="AH389" s="585">
        <f t="shared" si="23"/>
        <v>0</v>
      </c>
      <c r="AI389" s="991"/>
    </row>
    <row r="390" spans="1:35">
      <c r="A390" s="590"/>
      <c r="B390" s="591"/>
      <c r="C390" s="582"/>
      <c r="D390" s="583">
        <v>1400</v>
      </c>
      <c r="E390" s="582"/>
      <c r="F390" s="583">
        <v>132</v>
      </c>
      <c r="G390" s="586"/>
      <c r="H390" s="585">
        <v>3150</v>
      </c>
      <c r="I390" s="585"/>
      <c r="J390" s="585">
        <v>0</v>
      </c>
      <c r="K390" s="586"/>
      <c r="L390" s="585">
        <v>2100</v>
      </c>
      <c r="M390" s="586"/>
      <c r="N390" s="585">
        <v>198</v>
      </c>
      <c r="O390" s="733"/>
      <c r="P390" s="592">
        <v>2275</v>
      </c>
      <c r="Q390" s="765"/>
      <c r="R390" s="765">
        <v>88.48</v>
      </c>
      <c r="S390" s="765"/>
      <c r="T390" s="765">
        <v>72.14</v>
      </c>
      <c r="U390" s="586"/>
      <c r="V390" s="587">
        <v>60</v>
      </c>
      <c r="W390" s="586"/>
      <c r="X390" s="587">
        <v>150</v>
      </c>
      <c r="Y390" s="586"/>
      <c r="Z390" s="588">
        <v>24</v>
      </c>
      <c r="AA390" s="586"/>
      <c r="AB390" s="588">
        <v>16</v>
      </c>
      <c r="AC390" s="586"/>
      <c r="AD390" s="586"/>
      <c r="AE390" s="589"/>
      <c r="AF390" s="734">
        <f t="shared" si="21"/>
        <v>0</v>
      </c>
      <c r="AG390" s="585">
        <f t="shared" si="22"/>
        <v>0</v>
      </c>
      <c r="AH390" s="585">
        <f t="shared" si="23"/>
        <v>0</v>
      </c>
      <c r="AI390" s="991"/>
    </row>
    <row r="391" spans="1:35">
      <c r="A391" s="590"/>
      <c r="B391" s="591"/>
      <c r="C391" s="582"/>
      <c r="D391" s="583">
        <v>1400</v>
      </c>
      <c r="E391" s="582"/>
      <c r="F391" s="583">
        <v>132</v>
      </c>
      <c r="G391" s="586"/>
      <c r="H391" s="585">
        <v>3150</v>
      </c>
      <c r="I391" s="585"/>
      <c r="J391" s="585">
        <v>0</v>
      </c>
      <c r="K391" s="586"/>
      <c r="L391" s="585">
        <v>2100</v>
      </c>
      <c r="M391" s="586"/>
      <c r="N391" s="585">
        <v>198</v>
      </c>
      <c r="O391" s="733"/>
      <c r="P391" s="592">
        <v>2275</v>
      </c>
      <c r="Q391" s="765"/>
      <c r="R391" s="765">
        <v>88.48</v>
      </c>
      <c r="S391" s="765"/>
      <c r="T391" s="765">
        <v>72.14</v>
      </c>
      <c r="U391" s="586"/>
      <c r="V391" s="587">
        <v>60</v>
      </c>
      <c r="W391" s="586"/>
      <c r="X391" s="587">
        <v>150</v>
      </c>
      <c r="Y391" s="586"/>
      <c r="Z391" s="588">
        <v>24</v>
      </c>
      <c r="AA391" s="586"/>
      <c r="AB391" s="588">
        <v>16</v>
      </c>
      <c r="AC391" s="586"/>
      <c r="AD391" s="586"/>
      <c r="AE391" s="589"/>
      <c r="AF391" s="734">
        <f t="shared" si="21"/>
        <v>0</v>
      </c>
      <c r="AG391" s="585">
        <f t="shared" si="22"/>
        <v>0</v>
      </c>
      <c r="AH391" s="585">
        <f t="shared" si="23"/>
        <v>0</v>
      </c>
      <c r="AI391" s="991"/>
    </row>
    <row r="392" spans="1:35">
      <c r="A392" s="590"/>
      <c r="B392" s="591"/>
      <c r="C392" s="582"/>
      <c r="D392" s="583">
        <v>1400</v>
      </c>
      <c r="E392" s="582"/>
      <c r="F392" s="583">
        <v>132</v>
      </c>
      <c r="G392" s="586"/>
      <c r="H392" s="585">
        <v>3150</v>
      </c>
      <c r="I392" s="585"/>
      <c r="J392" s="585">
        <v>0</v>
      </c>
      <c r="K392" s="586"/>
      <c r="L392" s="585">
        <v>2100</v>
      </c>
      <c r="M392" s="586"/>
      <c r="N392" s="585">
        <v>198</v>
      </c>
      <c r="O392" s="733"/>
      <c r="P392" s="592">
        <v>2275</v>
      </c>
      <c r="Q392" s="765"/>
      <c r="R392" s="765">
        <v>88.48</v>
      </c>
      <c r="S392" s="765"/>
      <c r="T392" s="765">
        <v>72.14</v>
      </c>
      <c r="U392" s="586"/>
      <c r="V392" s="587">
        <v>60</v>
      </c>
      <c r="W392" s="586"/>
      <c r="X392" s="587">
        <v>150</v>
      </c>
      <c r="Y392" s="586"/>
      <c r="Z392" s="588">
        <v>24</v>
      </c>
      <c r="AA392" s="586"/>
      <c r="AB392" s="588">
        <v>16</v>
      </c>
      <c r="AC392" s="586"/>
      <c r="AD392" s="586"/>
      <c r="AE392" s="589"/>
      <c r="AF392" s="734">
        <f t="shared" si="21"/>
        <v>0</v>
      </c>
      <c r="AG392" s="585">
        <f t="shared" si="22"/>
        <v>0</v>
      </c>
      <c r="AH392" s="585">
        <f t="shared" si="23"/>
        <v>0</v>
      </c>
      <c r="AI392" s="991"/>
    </row>
    <row r="393" spans="1:35">
      <c r="A393" s="590"/>
      <c r="B393" s="591"/>
      <c r="C393" s="582"/>
      <c r="D393" s="583">
        <v>1400</v>
      </c>
      <c r="E393" s="582"/>
      <c r="F393" s="583">
        <v>132</v>
      </c>
      <c r="G393" s="586"/>
      <c r="H393" s="585">
        <v>3150</v>
      </c>
      <c r="I393" s="585"/>
      <c r="J393" s="585">
        <v>0</v>
      </c>
      <c r="K393" s="586"/>
      <c r="L393" s="585">
        <v>2100</v>
      </c>
      <c r="M393" s="586"/>
      <c r="N393" s="585">
        <v>198</v>
      </c>
      <c r="O393" s="733"/>
      <c r="P393" s="592">
        <v>2275</v>
      </c>
      <c r="Q393" s="765"/>
      <c r="R393" s="765">
        <v>88.48</v>
      </c>
      <c r="S393" s="765"/>
      <c r="T393" s="765">
        <v>72.14</v>
      </c>
      <c r="U393" s="586"/>
      <c r="V393" s="587">
        <v>60</v>
      </c>
      <c r="W393" s="586"/>
      <c r="X393" s="587">
        <v>150</v>
      </c>
      <c r="Y393" s="586"/>
      <c r="Z393" s="588">
        <v>24</v>
      </c>
      <c r="AA393" s="586"/>
      <c r="AB393" s="588">
        <v>16</v>
      </c>
      <c r="AC393" s="586"/>
      <c r="AD393" s="586"/>
      <c r="AE393" s="589"/>
      <c r="AF393" s="734">
        <f t="shared" si="21"/>
        <v>0</v>
      </c>
      <c r="AG393" s="585">
        <f t="shared" si="22"/>
        <v>0</v>
      </c>
      <c r="AH393" s="585">
        <f t="shared" si="23"/>
        <v>0</v>
      </c>
      <c r="AI393" s="991"/>
    </row>
    <row r="394" spans="1:35">
      <c r="A394" s="590"/>
      <c r="B394" s="591"/>
      <c r="C394" s="582"/>
      <c r="D394" s="583">
        <v>1400</v>
      </c>
      <c r="E394" s="582"/>
      <c r="F394" s="583">
        <v>132</v>
      </c>
      <c r="G394" s="586"/>
      <c r="H394" s="585">
        <v>3150</v>
      </c>
      <c r="I394" s="585"/>
      <c r="J394" s="585">
        <v>0</v>
      </c>
      <c r="K394" s="586"/>
      <c r="L394" s="585">
        <v>2100</v>
      </c>
      <c r="M394" s="586"/>
      <c r="N394" s="585">
        <v>198</v>
      </c>
      <c r="O394" s="733"/>
      <c r="P394" s="592">
        <v>2275</v>
      </c>
      <c r="Q394" s="765"/>
      <c r="R394" s="765">
        <v>88.48</v>
      </c>
      <c r="S394" s="765"/>
      <c r="T394" s="765">
        <v>72.14</v>
      </c>
      <c r="U394" s="586"/>
      <c r="V394" s="587">
        <v>60</v>
      </c>
      <c r="W394" s="586"/>
      <c r="X394" s="587">
        <v>150</v>
      </c>
      <c r="Y394" s="586"/>
      <c r="Z394" s="588">
        <v>24</v>
      </c>
      <c r="AA394" s="586"/>
      <c r="AB394" s="588">
        <v>16</v>
      </c>
      <c r="AC394" s="586"/>
      <c r="AD394" s="586"/>
      <c r="AE394" s="589"/>
      <c r="AF394" s="734">
        <f t="shared" si="21"/>
        <v>0</v>
      </c>
      <c r="AG394" s="585">
        <f t="shared" si="22"/>
        <v>0</v>
      </c>
      <c r="AH394" s="585">
        <f t="shared" si="23"/>
        <v>0</v>
      </c>
      <c r="AI394" s="991"/>
    </row>
    <row r="395" spans="1:35">
      <c r="A395" s="590"/>
      <c r="B395" s="591"/>
      <c r="C395" s="582"/>
      <c r="D395" s="583">
        <v>1400</v>
      </c>
      <c r="E395" s="582"/>
      <c r="F395" s="583">
        <v>132</v>
      </c>
      <c r="G395" s="586"/>
      <c r="H395" s="585">
        <v>3150</v>
      </c>
      <c r="I395" s="585"/>
      <c r="J395" s="585">
        <v>0</v>
      </c>
      <c r="K395" s="586"/>
      <c r="L395" s="585">
        <v>2100</v>
      </c>
      <c r="M395" s="586"/>
      <c r="N395" s="585">
        <v>198</v>
      </c>
      <c r="O395" s="733"/>
      <c r="P395" s="592">
        <v>2275</v>
      </c>
      <c r="Q395" s="765"/>
      <c r="R395" s="765">
        <v>88.48</v>
      </c>
      <c r="S395" s="765"/>
      <c r="T395" s="765">
        <v>72.14</v>
      </c>
      <c r="U395" s="586"/>
      <c r="V395" s="587">
        <v>60</v>
      </c>
      <c r="W395" s="586"/>
      <c r="X395" s="587">
        <v>150</v>
      </c>
      <c r="Y395" s="586"/>
      <c r="Z395" s="588">
        <v>24</v>
      </c>
      <c r="AA395" s="586"/>
      <c r="AB395" s="588">
        <v>16</v>
      </c>
      <c r="AC395" s="586"/>
      <c r="AD395" s="586"/>
      <c r="AE395" s="589"/>
      <c r="AF395" s="734">
        <f t="shared" si="21"/>
        <v>0</v>
      </c>
      <c r="AG395" s="585">
        <f t="shared" si="22"/>
        <v>0</v>
      </c>
      <c r="AH395" s="585">
        <f t="shared" si="23"/>
        <v>0</v>
      </c>
      <c r="AI395" s="991"/>
    </row>
    <row r="396" spans="1:35">
      <c r="A396" s="590"/>
      <c r="B396" s="591"/>
      <c r="C396" s="582"/>
      <c r="D396" s="583">
        <v>1400</v>
      </c>
      <c r="E396" s="582"/>
      <c r="F396" s="583">
        <v>132</v>
      </c>
      <c r="G396" s="586"/>
      <c r="H396" s="585">
        <v>3150</v>
      </c>
      <c r="I396" s="585"/>
      <c r="J396" s="585">
        <v>0</v>
      </c>
      <c r="K396" s="586"/>
      <c r="L396" s="585">
        <v>2100</v>
      </c>
      <c r="M396" s="586"/>
      <c r="N396" s="585">
        <v>198</v>
      </c>
      <c r="O396" s="733"/>
      <c r="P396" s="592">
        <v>2275</v>
      </c>
      <c r="Q396" s="765"/>
      <c r="R396" s="765">
        <v>88.48</v>
      </c>
      <c r="S396" s="765"/>
      <c r="T396" s="765">
        <v>72.14</v>
      </c>
      <c r="U396" s="586"/>
      <c r="V396" s="587">
        <v>60</v>
      </c>
      <c r="W396" s="586"/>
      <c r="X396" s="587">
        <v>150</v>
      </c>
      <c r="Y396" s="586"/>
      <c r="Z396" s="588">
        <v>24</v>
      </c>
      <c r="AA396" s="586"/>
      <c r="AB396" s="588">
        <v>16</v>
      </c>
      <c r="AC396" s="586"/>
      <c r="AD396" s="586"/>
      <c r="AE396" s="589"/>
      <c r="AF396" s="734">
        <f t="shared" si="21"/>
        <v>0</v>
      </c>
      <c r="AG396" s="585">
        <f t="shared" si="22"/>
        <v>0</v>
      </c>
      <c r="AH396" s="585">
        <f t="shared" si="23"/>
        <v>0</v>
      </c>
      <c r="AI396" s="991"/>
    </row>
    <row r="397" spans="1:35">
      <c r="A397" s="590"/>
      <c r="B397" s="591"/>
      <c r="C397" s="582"/>
      <c r="D397" s="583">
        <v>1400</v>
      </c>
      <c r="E397" s="582"/>
      <c r="F397" s="583">
        <v>132</v>
      </c>
      <c r="G397" s="586"/>
      <c r="H397" s="585">
        <v>3150</v>
      </c>
      <c r="I397" s="585"/>
      <c r="J397" s="585">
        <v>0</v>
      </c>
      <c r="K397" s="586"/>
      <c r="L397" s="585">
        <v>2100</v>
      </c>
      <c r="M397" s="586"/>
      <c r="N397" s="585">
        <v>198</v>
      </c>
      <c r="O397" s="733"/>
      <c r="P397" s="592">
        <v>2275</v>
      </c>
      <c r="Q397" s="765"/>
      <c r="R397" s="765">
        <v>88.48</v>
      </c>
      <c r="S397" s="765"/>
      <c r="T397" s="765">
        <v>72.14</v>
      </c>
      <c r="U397" s="586"/>
      <c r="V397" s="587">
        <v>60</v>
      </c>
      <c r="W397" s="586"/>
      <c r="X397" s="587">
        <v>150</v>
      </c>
      <c r="Y397" s="586"/>
      <c r="Z397" s="588">
        <v>24</v>
      </c>
      <c r="AA397" s="586"/>
      <c r="AB397" s="588">
        <v>16</v>
      </c>
      <c r="AC397" s="586"/>
      <c r="AD397" s="586"/>
      <c r="AE397" s="589"/>
      <c r="AF397" s="734">
        <f t="shared" si="21"/>
        <v>0</v>
      </c>
      <c r="AG397" s="585">
        <f t="shared" si="22"/>
        <v>0</v>
      </c>
      <c r="AH397" s="585">
        <f t="shared" si="23"/>
        <v>0</v>
      </c>
      <c r="AI397" s="991"/>
    </row>
    <row r="398" spans="1:35">
      <c r="A398" s="590"/>
      <c r="B398" s="591"/>
      <c r="C398" s="582"/>
      <c r="D398" s="583">
        <v>1400</v>
      </c>
      <c r="E398" s="582"/>
      <c r="F398" s="583">
        <v>132</v>
      </c>
      <c r="G398" s="586"/>
      <c r="H398" s="585">
        <v>3150</v>
      </c>
      <c r="I398" s="585"/>
      <c r="J398" s="585">
        <v>0</v>
      </c>
      <c r="K398" s="586"/>
      <c r="L398" s="585">
        <v>2100</v>
      </c>
      <c r="M398" s="586"/>
      <c r="N398" s="585">
        <v>198</v>
      </c>
      <c r="O398" s="733"/>
      <c r="P398" s="592">
        <v>2275</v>
      </c>
      <c r="Q398" s="765"/>
      <c r="R398" s="765">
        <v>88.48</v>
      </c>
      <c r="S398" s="765"/>
      <c r="T398" s="765">
        <v>72.14</v>
      </c>
      <c r="U398" s="586"/>
      <c r="V398" s="587">
        <v>60</v>
      </c>
      <c r="W398" s="586"/>
      <c r="X398" s="587">
        <v>150</v>
      </c>
      <c r="Y398" s="586"/>
      <c r="Z398" s="588">
        <v>24</v>
      </c>
      <c r="AA398" s="586"/>
      <c r="AB398" s="588">
        <v>16</v>
      </c>
      <c r="AC398" s="586"/>
      <c r="AD398" s="586"/>
      <c r="AE398" s="589"/>
      <c r="AF398" s="734">
        <f t="shared" si="21"/>
        <v>0</v>
      </c>
      <c r="AG398" s="585">
        <f t="shared" si="22"/>
        <v>0</v>
      </c>
      <c r="AH398" s="585">
        <f t="shared" si="23"/>
        <v>0</v>
      </c>
      <c r="AI398" s="991"/>
    </row>
    <row r="399" spans="1:35">
      <c r="A399" s="590"/>
      <c r="B399" s="591"/>
      <c r="C399" s="582"/>
      <c r="D399" s="583">
        <v>1400</v>
      </c>
      <c r="E399" s="582"/>
      <c r="F399" s="583">
        <v>132</v>
      </c>
      <c r="G399" s="586"/>
      <c r="H399" s="585">
        <v>3150</v>
      </c>
      <c r="I399" s="585"/>
      <c r="J399" s="585">
        <v>0</v>
      </c>
      <c r="K399" s="586"/>
      <c r="L399" s="585">
        <v>2100</v>
      </c>
      <c r="M399" s="586"/>
      <c r="N399" s="585">
        <v>198</v>
      </c>
      <c r="O399" s="733"/>
      <c r="P399" s="592">
        <v>2275</v>
      </c>
      <c r="Q399" s="765"/>
      <c r="R399" s="765">
        <v>88.48</v>
      </c>
      <c r="S399" s="765"/>
      <c r="T399" s="765">
        <v>72.14</v>
      </c>
      <c r="U399" s="586"/>
      <c r="V399" s="587">
        <v>60</v>
      </c>
      <c r="W399" s="586"/>
      <c r="X399" s="587">
        <v>150</v>
      </c>
      <c r="Y399" s="586"/>
      <c r="Z399" s="588">
        <v>24</v>
      </c>
      <c r="AA399" s="586"/>
      <c r="AB399" s="588">
        <v>16</v>
      </c>
      <c r="AC399" s="586"/>
      <c r="AD399" s="586"/>
      <c r="AE399" s="589"/>
      <c r="AF399" s="734">
        <f t="shared" si="21"/>
        <v>0</v>
      </c>
      <c r="AG399" s="585">
        <f t="shared" si="22"/>
        <v>0</v>
      </c>
      <c r="AH399" s="585">
        <f t="shared" si="23"/>
        <v>0</v>
      </c>
      <c r="AI399" s="991"/>
    </row>
    <row r="400" spans="1:35">
      <c r="A400" s="590"/>
      <c r="B400" s="591"/>
      <c r="C400" s="582"/>
      <c r="D400" s="583">
        <v>1400</v>
      </c>
      <c r="E400" s="582"/>
      <c r="F400" s="583">
        <v>132</v>
      </c>
      <c r="G400" s="586"/>
      <c r="H400" s="585">
        <v>3150</v>
      </c>
      <c r="I400" s="585"/>
      <c r="J400" s="585">
        <v>0</v>
      </c>
      <c r="K400" s="586"/>
      <c r="L400" s="585">
        <v>2100</v>
      </c>
      <c r="M400" s="586"/>
      <c r="N400" s="585">
        <v>198</v>
      </c>
      <c r="O400" s="733"/>
      <c r="P400" s="592">
        <v>2275</v>
      </c>
      <c r="Q400" s="765"/>
      <c r="R400" s="765">
        <v>88.48</v>
      </c>
      <c r="S400" s="765"/>
      <c r="T400" s="765">
        <v>72.14</v>
      </c>
      <c r="U400" s="586"/>
      <c r="V400" s="587">
        <v>60</v>
      </c>
      <c r="W400" s="586"/>
      <c r="X400" s="587">
        <v>150</v>
      </c>
      <c r="Y400" s="586"/>
      <c r="Z400" s="588">
        <v>24</v>
      </c>
      <c r="AA400" s="586"/>
      <c r="AB400" s="588">
        <v>16</v>
      </c>
      <c r="AC400" s="586"/>
      <c r="AD400" s="586"/>
      <c r="AE400" s="589"/>
      <c r="AF400" s="734">
        <f t="shared" si="21"/>
        <v>0</v>
      </c>
      <c r="AG400" s="585">
        <f t="shared" si="22"/>
        <v>0</v>
      </c>
      <c r="AH400" s="585">
        <f t="shared" si="23"/>
        <v>0</v>
      </c>
      <c r="AI400" s="991"/>
    </row>
    <row r="401" spans="1:35">
      <c r="A401" s="590"/>
      <c r="B401" s="591"/>
      <c r="C401" s="582"/>
      <c r="D401" s="583">
        <v>1400</v>
      </c>
      <c r="E401" s="582"/>
      <c r="F401" s="583">
        <v>132</v>
      </c>
      <c r="G401" s="586"/>
      <c r="H401" s="585">
        <v>3150</v>
      </c>
      <c r="I401" s="585"/>
      <c r="J401" s="585">
        <v>0</v>
      </c>
      <c r="K401" s="586"/>
      <c r="L401" s="585">
        <v>2100</v>
      </c>
      <c r="M401" s="586"/>
      <c r="N401" s="585">
        <v>198</v>
      </c>
      <c r="O401" s="733"/>
      <c r="P401" s="592">
        <v>2275</v>
      </c>
      <c r="Q401" s="765"/>
      <c r="R401" s="765">
        <v>88.48</v>
      </c>
      <c r="S401" s="765"/>
      <c r="T401" s="765">
        <v>72.14</v>
      </c>
      <c r="U401" s="586"/>
      <c r="V401" s="587">
        <v>60</v>
      </c>
      <c r="W401" s="586"/>
      <c r="X401" s="587">
        <v>150</v>
      </c>
      <c r="Y401" s="586"/>
      <c r="Z401" s="588">
        <v>24</v>
      </c>
      <c r="AA401" s="586"/>
      <c r="AB401" s="588">
        <v>16</v>
      </c>
      <c r="AC401" s="586"/>
      <c r="AD401" s="586"/>
      <c r="AE401" s="589"/>
      <c r="AF401" s="734">
        <f t="shared" si="21"/>
        <v>0</v>
      </c>
      <c r="AG401" s="585">
        <f t="shared" si="22"/>
        <v>0</v>
      </c>
      <c r="AH401" s="585">
        <f t="shared" si="23"/>
        <v>0</v>
      </c>
      <c r="AI401" s="991"/>
    </row>
    <row r="402" spans="1:35">
      <c r="A402" s="590"/>
      <c r="B402" s="591"/>
      <c r="C402" s="582"/>
      <c r="D402" s="583">
        <v>1400</v>
      </c>
      <c r="E402" s="582"/>
      <c r="F402" s="583">
        <v>132</v>
      </c>
      <c r="G402" s="586"/>
      <c r="H402" s="585">
        <v>3150</v>
      </c>
      <c r="I402" s="585"/>
      <c r="J402" s="585">
        <v>0</v>
      </c>
      <c r="K402" s="586"/>
      <c r="L402" s="585">
        <v>2100</v>
      </c>
      <c r="M402" s="586"/>
      <c r="N402" s="585">
        <v>198</v>
      </c>
      <c r="O402" s="733"/>
      <c r="P402" s="592">
        <v>2275</v>
      </c>
      <c r="Q402" s="765"/>
      <c r="R402" s="765">
        <v>88.48</v>
      </c>
      <c r="S402" s="765"/>
      <c r="T402" s="765">
        <v>72.14</v>
      </c>
      <c r="U402" s="586"/>
      <c r="V402" s="587">
        <v>60</v>
      </c>
      <c r="W402" s="586"/>
      <c r="X402" s="587">
        <v>150</v>
      </c>
      <c r="Y402" s="586"/>
      <c r="Z402" s="588">
        <v>24</v>
      </c>
      <c r="AA402" s="586"/>
      <c r="AB402" s="588">
        <v>16</v>
      </c>
      <c r="AC402" s="586"/>
      <c r="AD402" s="586"/>
      <c r="AE402" s="589"/>
      <c r="AF402" s="734">
        <f t="shared" si="21"/>
        <v>0</v>
      </c>
      <c r="AG402" s="585">
        <f t="shared" si="22"/>
        <v>0</v>
      </c>
      <c r="AH402" s="585">
        <f t="shared" si="23"/>
        <v>0</v>
      </c>
      <c r="AI402" s="991"/>
    </row>
    <row r="403" spans="1:35">
      <c r="A403" s="590"/>
      <c r="B403" s="591"/>
      <c r="C403" s="582"/>
      <c r="D403" s="583">
        <v>1400</v>
      </c>
      <c r="E403" s="582"/>
      <c r="F403" s="583">
        <v>132</v>
      </c>
      <c r="G403" s="586"/>
      <c r="H403" s="585">
        <v>3150</v>
      </c>
      <c r="I403" s="585"/>
      <c r="J403" s="585">
        <v>0</v>
      </c>
      <c r="K403" s="586"/>
      <c r="L403" s="585">
        <v>2100</v>
      </c>
      <c r="M403" s="586"/>
      <c r="N403" s="585">
        <v>198</v>
      </c>
      <c r="O403" s="733"/>
      <c r="P403" s="592">
        <v>2275</v>
      </c>
      <c r="Q403" s="765"/>
      <c r="R403" s="765">
        <v>88.48</v>
      </c>
      <c r="S403" s="765"/>
      <c r="T403" s="765">
        <v>72.14</v>
      </c>
      <c r="U403" s="586"/>
      <c r="V403" s="587">
        <v>60</v>
      </c>
      <c r="W403" s="586"/>
      <c r="X403" s="587">
        <v>150</v>
      </c>
      <c r="Y403" s="586"/>
      <c r="Z403" s="588">
        <v>24</v>
      </c>
      <c r="AA403" s="586"/>
      <c r="AB403" s="588">
        <v>16</v>
      </c>
      <c r="AC403" s="586"/>
      <c r="AD403" s="586"/>
      <c r="AE403" s="589"/>
      <c r="AF403" s="734">
        <f t="shared" si="21"/>
        <v>0</v>
      </c>
      <c r="AG403" s="585">
        <f t="shared" si="22"/>
        <v>0</v>
      </c>
      <c r="AH403" s="585">
        <f t="shared" si="23"/>
        <v>0</v>
      </c>
      <c r="AI403" s="991"/>
    </row>
    <row r="404" spans="1:35">
      <c r="A404" s="590"/>
      <c r="B404" s="591"/>
      <c r="C404" s="582"/>
      <c r="D404" s="583">
        <v>1400</v>
      </c>
      <c r="E404" s="582"/>
      <c r="F404" s="583">
        <v>132</v>
      </c>
      <c r="G404" s="586"/>
      <c r="H404" s="585">
        <v>3150</v>
      </c>
      <c r="I404" s="585"/>
      <c r="J404" s="585">
        <v>0</v>
      </c>
      <c r="K404" s="586"/>
      <c r="L404" s="585">
        <v>2100</v>
      </c>
      <c r="M404" s="586"/>
      <c r="N404" s="585">
        <v>198</v>
      </c>
      <c r="O404" s="733"/>
      <c r="P404" s="592">
        <v>2275</v>
      </c>
      <c r="Q404" s="765"/>
      <c r="R404" s="765">
        <v>88.48</v>
      </c>
      <c r="S404" s="765"/>
      <c r="T404" s="765">
        <v>72.14</v>
      </c>
      <c r="U404" s="586"/>
      <c r="V404" s="587">
        <v>60</v>
      </c>
      <c r="W404" s="586"/>
      <c r="X404" s="587">
        <v>150</v>
      </c>
      <c r="Y404" s="586"/>
      <c r="Z404" s="588">
        <v>24</v>
      </c>
      <c r="AA404" s="586"/>
      <c r="AB404" s="588">
        <v>16</v>
      </c>
      <c r="AC404" s="586"/>
      <c r="AD404" s="586"/>
      <c r="AE404" s="589"/>
      <c r="AF404" s="734">
        <f t="shared" si="21"/>
        <v>0</v>
      </c>
      <c r="AG404" s="585">
        <f t="shared" si="22"/>
        <v>0</v>
      </c>
      <c r="AH404" s="585">
        <f t="shared" si="23"/>
        <v>0</v>
      </c>
      <c r="AI404" s="991"/>
    </row>
    <row r="405" spans="1:35">
      <c r="A405" s="590"/>
      <c r="B405" s="591"/>
      <c r="C405" s="582"/>
      <c r="D405" s="583">
        <v>1400</v>
      </c>
      <c r="E405" s="582"/>
      <c r="F405" s="583">
        <v>132</v>
      </c>
      <c r="G405" s="586"/>
      <c r="H405" s="585">
        <v>3150</v>
      </c>
      <c r="I405" s="585"/>
      <c r="J405" s="585">
        <v>0</v>
      </c>
      <c r="K405" s="586"/>
      <c r="L405" s="585">
        <v>2100</v>
      </c>
      <c r="M405" s="586"/>
      <c r="N405" s="585">
        <v>198</v>
      </c>
      <c r="O405" s="733"/>
      <c r="P405" s="592">
        <v>2275</v>
      </c>
      <c r="Q405" s="765"/>
      <c r="R405" s="765">
        <v>88.48</v>
      </c>
      <c r="S405" s="765"/>
      <c r="T405" s="765">
        <v>72.14</v>
      </c>
      <c r="U405" s="586"/>
      <c r="V405" s="587">
        <v>60</v>
      </c>
      <c r="W405" s="586"/>
      <c r="X405" s="587">
        <v>150</v>
      </c>
      <c r="Y405" s="586"/>
      <c r="Z405" s="588">
        <v>24</v>
      </c>
      <c r="AA405" s="586"/>
      <c r="AB405" s="588">
        <v>16</v>
      </c>
      <c r="AC405" s="586"/>
      <c r="AD405" s="586"/>
      <c r="AE405" s="589"/>
      <c r="AF405" s="734">
        <f t="shared" si="21"/>
        <v>0</v>
      </c>
      <c r="AG405" s="585">
        <f t="shared" si="22"/>
        <v>0</v>
      </c>
      <c r="AH405" s="585">
        <f t="shared" si="23"/>
        <v>0</v>
      </c>
      <c r="AI405" s="991"/>
    </row>
    <row r="406" spans="1:35">
      <c r="A406" s="590"/>
      <c r="B406" s="591"/>
      <c r="C406" s="582"/>
      <c r="D406" s="583">
        <v>1400</v>
      </c>
      <c r="E406" s="582"/>
      <c r="F406" s="583">
        <v>132</v>
      </c>
      <c r="G406" s="586"/>
      <c r="H406" s="585">
        <v>3150</v>
      </c>
      <c r="I406" s="585"/>
      <c r="J406" s="585">
        <v>0</v>
      </c>
      <c r="K406" s="586"/>
      <c r="L406" s="585">
        <v>2100</v>
      </c>
      <c r="M406" s="586"/>
      <c r="N406" s="585">
        <v>198</v>
      </c>
      <c r="O406" s="733"/>
      <c r="P406" s="592">
        <v>2275</v>
      </c>
      <c r="Q406" s="765"/>
      <c r="R406" s="765">
        <v>88.48</v>
      </c>
      <c r="S406" s="765"/>
      <c r="T406" s="765">
        <v>72.14</v>
      </c>
      <c r="U406" s="586"/>
      <c r="V406" s="587">
        <v>60</v>
      </c>
      <c r="W406" s="586"/>
      <c r="X406" s="587">
        <v>150</v>
      </c>
      <c r="Y406" s="586"/>
      <c r="Z406" s="588">
        <v>24</v>
      </c>
      <c r="AA406" s="586"/>
      <c r="AB406" s="588">
        <v>16</v>
      </c>
      <c r="AC406" s="586"/>
      <c r="AD406" s="586"/>
      <c r="AE406" s="589"/>
      <c r="AF406" s="734">
        <f t="shared" si="21"/>
        <v>0</v>
      </c>
      <c r="AG406" s="585">
        <f t="shared" si="22"/>
        <v>0</v>
      </c>
      <c r="AH406" s="585">
        <f t="shared" si="23"/>
        <v>0</v>
      </c>
      <c r="AI406" s="991"/>
    </row>
    <row r="407" spans="1:35">
      <c r="A407" s="590"/>
      <c r="B407" s="591"/>
      <c r="C407" s="582"/>
      <c r="D407" s="583">
        <v>1400</v>
      </c>
      <c r="E407" s="582"/>
      <c r="F407" s="583">
        <v>132</v>
      </c>
      <c r="G407" s="586"/>
      <c r="H407" s="585">
        <v>3150</v>
      </c>
      <c r="I407" s="585"/>
      <c r="J407" s="585">
        <v>0</v>
      </c>
      <c r="K407" s="586"/>
      <c r="L407" s="585">
        <v>2100</v>
      </c>
      <c r="M407" s="586"/>
      <c r="N407" s="585">
        <v>198</v>
      </c>
      <c r="O407" s="733"/>
      <c r="P407" s="592">
        <v>2275</v>
      </c>
      <c r="Q407" s="765"/>
      <c r="R407" s="765">
        <v>88.48</v>
      </c>
      <c r="S407" s="765"/>
      <c r="T407" s="765">
        <v>72.14</v>
      </c>
      <c r="U407" s="586"/>
      <c r="V407" s="587">
        <v>60</v>
      </c>
      <c r="W407" s="586"/>
      <c r="X407" s="587">
        <v>150</v>
      </c>
      <c r="Y407" s="586"/>
      <c r="Z407" s="588">
        <v>24</v>
      </c>
      <c r="AA407" s="586"/>
      <c r="AB407" s="588">
        <v>16</v>
      </c>
      <c r="AC407" s="586"/>
      <c r="AD407" s="586"/>
      <c r="AE407" s="589"/>
      <c r="AF407" s="734">
        <f t="shared" si="21"/>
        <v>0</v>
      </c>
      <c r="AG407" s="585">
        <f t="shared" si="22"/>
        <v>0</v>
      </c>
      <c r="AH407" s="585">
        <f t="shared" si="23"/>
        <v>0</v>
      </c>
      <c r="AI407" s="991"/>
    </row>
    <row r="408" spans="1:35">
      <c r="A408" s="590"/>
      <c r="B408" s="591"/>
      <c r="C408" s="582"/>
      <c r="D408" s="583">
        <v>1400</v>
      </c>
      <c r="E408" s="582"/>
      <c r="F408" s="583">
        <v>132</v>
      </c>
      <c r="G408" s="586"/>
      <c r="H408" s="585">
        <v>3150</v>
      </c>
      <c r="I408" s="585"/>
      <c r="J408" s="585">
        <v>0</v>
      </c>
      <c r="K408" s="586"/>
      <c r="L408" s="585">
        <v>2100</v>
      </c>
      <c r="M408" s="586"/>
      <c r="N408" s="585">
        <v>198</v>
      </c>
      <c r="O408" s="733"/>
      <c r="P408" s="592">
        <v>2275</v>
      </c>
      <c r="Q408" s="765"/>
      <c r="R408" s="765">
        <v>88.48</v>
      </c>
      <c r="S408" s="765"/>
      <c r="T408" s="765">
        <v>72.14</v>
      </c>
      <c r="U408" s="586"/>
      <c r="V408" s="587">
        <v>60</v>
      </c>
      <c r="W408" s="586"/>
      <c r="X408" s="587">
        <v>150</v>
      </c>
      <c r="Y408" s="586"/>
      <c r="Z408" s="588">
        <v>24</v>
      </c>
      <c r="AA408" s="586"/>
      <c r="AB408" s="588">
        <v>16</v>
      </c>
      <c r="AC408" s="586"/>
      <c r="AD408" s="586"/>
      <c r="AE408" s="589"/>
      <c r="AF408" s="734">
        <f t="shared" si="21"/>
        <v>0</v>
      </c>
      <c r="AG408" s="585">
        <f t="shared" si="22"/>
        <v>0</v>
      </c>
      <c r="AH408" s="585">
        <f t="shared" si="23"/>
        <v>0</v>
      </c>
      <c r="AI408" s="991"/>
    </row>
    <row r="409" spans="1:35">
      <c r="A409" s="590"/>
      <c r="B409" s="591"/>
      <c r="C409" s="582"/>
      <c r="D409" s="583">
        <v>1400</v>
      </c>
      <c r="E409" s="582"/>
      <c r="F409" s="583">
        <v>132</v>
      </c>
      <c r="G409" s="586"/>
      <c r="H409" s="585">
        <v>3150</v>
      </c>
      <c r="I409" s="585"/>
      <c r="J409" s="585">
        <v>0</v>
      </c>
      <c r="K409" s="586"/>
      <c r="L409" s="585">
        <v>2100</v>
      </c>
      <c r="M409" s="586"/>
      <c r="N409" s="585">
        <v>198</v>
      </c>
      <c r="O409" s="733"/>
      <c r="P409" s="592">
        <v>2275</v>
      </c>
      <c r="Q409" s="765"/>
      <c r="R409" s="765">
        <v>88.48</v>
      </c>
      <c r="S409" s="765"/>
      <c r="T409" s="765">
        <v>72.14</v>
      </c>
      <c r="U409" s="586"/>
      <c r="V409" s="587">
        <v>60</v>
      </c>
      <c r="W409" s="586"/>
      <c r="X409" s="587">
        <v>150</v>
      </c>
      <c r="Y409" s="586"/>
      <c r="Z409" s="588">
        <v>24</v>
      </c>
      <c r="AA409" s="586"/>
      <c r="AB409" s="588">
        <v>16</v>
      </c>
      <c r="AC409" s="586"/>
      <c r="AD409" s="586"/>
      <c r="AE409" s="589"/>
      <c r="AF409" s="734">
        <f t="shared" si="21"/>
        <v>0</v>
      </c>
      <c r="AG409" s="585">
        <f t="shared" si="22"/>
        <v>0</v>
      </c>
      <c r="AH409" s="585">
        <f t="shared" si="23"/>
        <v>0</v>
      </c>
      <c r="AI409" s="991"/>
    </row>
    <row r="410" spans="1:35">
      <c r="A410" s="590"/>
      <c r="B410" s="591"/>
      <c r="C410" s="582"/>
      <c r="D410" s="583">
        <v>1400</v>
      </c>
      <c r="E410" s="582"/>
      <c r="F410" s="583">
        <v>132</v>
      </c>
      <c r="G410" s="586"/>
      <c r="H410" s="585">
        <v>3150</v>
      </c>
      <c r="I410" s="585"/>
      <c r="J410" s="585">
        <v>0</v>
      </c>
      <c r="K410" s="586"/>
      <c r="L410" s="585">
        <v>2100</v>
      </c>
      <c r="M410" s="586"/>
      <c r="N410" s="585">
        <v>198</v>
      </c>
      <c r="O410" s="733"/>
      <c r="P410" s="592">
        <v>2275</v>
      </c>
      <c r="Q410" s="765"/>
      <c r="R410" s="765">
        <v>88.48</v>
      </c>
      <c r="S410" s="765"/>
      <c r="T410" s="765">
        <v>72.14</v>
      </c>
      <c r="U410" s="586"/>
      <c r="V410" s="587">
        <v>60</v>
      </c>
      <c r="W410" s="586"/>
      <c r="X410" s="587">
        <v>150</v>
      </c>
      <c r="Y410" s="586"/>
      <c r="Z410" s="588">
        <v>24</v>
      </c>
      <c r="AA410" s="586"/>
      <c r="AB410" s="588">
        <v>16</v>
      </c>
      <c r="AC410" s="586"/>
      <c r="AD410" s="586"/>
      <c r="AE410" s="589"/>
      <c r="AF410" s="734">
        <f t="shared" si="21"/>
        <v>0</v>
      </c>
      <c r="AG410" s="585">
        <f t="shared" si="22"/>
        <v>0</v>
      </c>
      <c r="AH410" s="585">
        <f t="shared" si="23"/>
        <v>0</v>
      </c>
      <c r="AI410" s="991"/>
    </row>
    <row r="411" spans="1:35">
      <c r="A411" s="590"/>
      <c r="B411" s="591"/>
      <c r="C411" s="582"/>
      <c r="D411" s="583">
        <v>1400</v>
      </c>
      <c r="E411" s="582"/>
      <c r="F411" s="583">
        <v>132</v>
      </c>
      <c r="G411" s="586"/>
      <c r="H411" s="585">
        <v>3150</v>
      </c>
      <c r="I411" s="585"/>
      <c r="J411" s="585">
        <v>0</v>
      </c>
      <c r="K411" s="586"/>
      <c r="L411" s="585">
        <v>2100</v>
      </c>
      <c r="M411" s="586"/>
      <c r="N411" s="585">
        <v>198</v>
      </c>
      <c r="O411" s="733"/>
      <c r="P411" s="592">
        <v>2275</v>
      </c>
      <c r="Q411" s="765"/>
      <c r="R411" s="765">
        <v>88.48</v>
      </c>
      <c r="S411" s="765"/>
      <c r="T411" s="765">
        <v>72.14</v>
      </c>
      <c r="U411" s="586"/>
      <c r="V411" s="587">
        <v>60</v>
      </c>
      <c r="W411" s="586"/>
      <c r="X411" s="587">
        <v>150</v>
      </c>
      <c r="Y411" s="586"/>
      <c r="Z411" s="588">
        <v>24</v>
      </c>
      <c r="AA411" s="586"/>
      <c r="AB411" s="588">
        <v>16</v>
      </c>
      <c r="AC411" s="586"/>
      <c r="AD411" s="586"/>
      <c r="AE411" s="589"/>
      <c r="AF411" s="734">
        <f t="shared" ref="AF411:AF440" si="24">(C411*D411)+(Y411*Z411)+(O411*P411)+(Q411*R411)+(S411*T411)+(AA411*AB411)+(E411*F411)+(G411*H411)+(I411*J411)+(K411*L411)+(M411*N411)+(AD411*AE411)+(U411*V411)+(W411*X411)+AC411</f>
        <v>0</v>
      </c>
      <c r="AG411" s="585">
        <f t="shared" ref="AG411:AG440" si="25">(AF411*5%)</f>
        <v>0</v>
      </c>
      <c r="AH411" s="585">
        <f t="shared" ref="AH411:AH440" si="26">SUM(AF411+AG411)</f>
        <v>0</v>
      </c>
      <c r="AI411" s="991"/>
    </row>
    <row r="412" spans="1:35">
      <c r="A412" s="590"/>
      <c r="B412" s="591"/>
      <c r="C412" s="582"/>
      <c r="D412" s="583">
        <v>1400</v>
      </c>
      <c r="E412" s="582"/>
      <c r="F412" s="583">
        <v>132</v>
      </c>
      <c r="G412" s="586"/>
      <c r="H412" s="585">
        <v>3150</v>
      </c>
      <c r="I412" s="585"/>
      <c r="J412" s="585">
        <v>0</v>
      </c>
      <c r="K412" s="586"/>
      <c r="L412" s="585">
        <v>2100</v>
      </c>
      <c r="M412" s="586"/>
      <c r="N412" s="585">
        <v>198</v>
      </c>
      <c r="O412" s="733"/>
      <c r="P412" s="592">
        <v>2275</v>
      </c>
      <c r="Q412" s="765"/>
      <c r="R412" s="765">
        <v>88.48</v>
      </c>
      <c r="S412" s="765"/>
      <c r="T412" s="765">
        <v>72.14</v>
      </c>
      <c r="U412" s="586"/>
      <c r="V412" s="587">
        <v>60</v>
      </c>
      <c r="W412" s="586"/>
      <c r="X412" s="587">
        <v>150</v>
      </c>
      <c r="Y412" s="586"/>
      <c r="Z412" s="588">
        <v>24</v>
      </c>
      <c r="AA412" s="586"/>
      <c r="AB412" s="588">
        <v>16</v>
      </c>
      <c r="AC412" s="586"/>
      <c r="AD412" s="586"/>
      <c r="AE412" s="589"/>
      <c r="AF412" s="734">
        <f t="shared" si="24"/>
        <v>0</v>
      </c>
      <c r="AG412" s="585">
        <f t="shared" si="25"/>
        <v>0</v>
      </c>
      <c r="AH412" s="585">
        <f t="shared" si="26"/>
        <v>0</v>
      </c>
      <c r="AI412" s="991"/>
    </row>
    <row r="413" spans="1:35">
      <c r="A413" s="590"/>
      <c r="B413" s="591"/>
      <c r="C413" s="582"/>
      <c r="D413" s="583">
        <v>1400</v>
      </c>
      <c r="E413" s="582"/>
      <c r="F413" s="583">
        <v>132</v>
      </c>
      <c r="G413" s="586"/>
      <c r="H413" s="585">
        <v>3150</v>
      </c>
      <c r="I413" s="585"/>
      <c r="J413" s="585">
        <v>0</v>
      </c>
      <c r="K413" s="586"/>
      <c r="L413" s="585">
        <v>2100</v>
      </c>
      <c r="M413" s="586"/>
      <c r="N413" s="585">
        <v>198</v>
      </c>
      <c r="O413" s="733"/>
      <c r="P413" s="592">
        <v>2275</v>
      </c>
      <c r="Q413" s="765"/>
      <c r="R413" s="765">
        <v>88.48</v>
      </c>
      <c r="S413" s="765"/>
      <c r="T413" s="765">
        <v>72.14</v>
      </c>
      <c r="U413" s="586"/>
      <c r="V413" s="587">
        <v>60</v>
      </c>
      <c r="W413" s="586"/>
      <c r="X413" s="587">
        <v>150</v>
      </c>
      <c r="Y413" s="586"/>
      <c r="Z413" s="588">
        <v>24</v>
      </c>
      <c r="AA413" s="586"/>
      <c r="AB413" s="588">
        <v>16</v>
      </c>
      <c r="AC413" s="586"/>
      <c r="AD413" s="586"/>
      <c r="AE413" s="589"/>
      <c r="AF413" s="734">
        <f t="shared" si="24"/>
        <v>0</v>
      </c>
      <c r="AG413" s="585">
        <f t="shared" si="25"/>
        <v>0</v>
      </c>
      <c r="AH413" s="585">
        <f t="shared" si="26"/>
        <v>0</v>
      </c>
      <c r="AI413" s="991"/>
    </row>
    <row r="414" spans="1:35">
      <c r="A414" s="590"/>
      <c r="B414" s="591"/>
      <c r="C414" s="582"/>
      <c r="D414" s="583">
        <v>1400</v>
      </c>
      <c r="E414" s="582"/>
      <c r="F414" s="583">
        <v>132</v>
      </c>
      <c r="G414" s="586"/>
      <c r="H414" s="585">
        <v>3150</v>
      </c>
      <c r="I414" s="585"/>
      <c r="J414" s="585">
        <v>0</v>
      </c>
      <c r="K414" s="586"/>
      <c r="L414" s="585">
        <v>2100</v>
      </c>
      <c r="M414" s="586"/>
      <c r="N414" s="585">
        <v>198</v>
      </c>
      <c r="O414" s="733"/>
      <c r="P414" s="592">
        <v>2275</v>
      </c>
      <c r="Q414" s="765"/>
      <c r="R414" s="765">
        <v>88.48</v>
      </c>
      <c r="S414" s="765"/>
      <c r="T414" s="765">
        <v>72.14</v>
      </c>
      <c r="U414" s="586"/>
      <c r="V414" s="587">
        <v>60</v>
      </c>
      <c r="W414" s="586"/>
      <c r="X414" s="587">
        <v>150</v>
      </c>
      <c r="Y414" s="586"/>
      <c r="Z414" s="588">
        <v>24</v>
      </c>
      <c r="AA414" s="586"/>
      <c r="AB414" s="588">
        <v>16</v>
      </c>
      <c r="AC414" s="586"/>
      <c r="AD414" s="586"/>
      <c r="AE414" s="589"/>
      <c r="AF414" s="734">
        <f t="shared" si="24"/>
        <v>0</v>
      </c>
      <c r="AG414" s="585">
        <f t="shared" si="25"/>
        <v>0</v>
      </c>
      <c r="AH414" s="585">
        <f t="shared" si="26"/>
        <v>0</v>
      </c>
      <c r="AI414" s="991"/>
    </row>
    <row r="415" spans="1:35">
      <c r="A415" s="590"/>
      <c r="B415" s="591"/>
      <c r="C415" s="582"/>
      <c r="D415" s="583">
        <v>1400</v>
      </c>
      <c r="E415" s="582"/>
      <c r="F415" s="583">
        <v>132</v>
      </c>
      <c r="G415" s="586"/>
      <c r="H415" s="585">
        <v>3150</v>
      </c>
      <c r="I415" s="585"/>
      <c r="J415" s="585">
        <v>0</v>
      </c>
      <c r="K415" s="586"/>
      <c r="L415" s="585">
        <v>2100</v>
      </c>
      <c r="M415" s="586"/>
      <c r="N415" s="585">
        <v>198</v>
      </c>
      <c r="O415" s="733"/>
      <c r="P415" s="592">
        <v>2275</v>
      </c>
      <c r="Q415" s="765"/>
      <c r="R415" s="765">
        <v>88.48</v>
      </c>
      <c r="S415" s="765"/>
      <c r="T415" s="765">
        <v>72.14</v>
      </c>
      <c r="U415" s="586"/>
      <c r="V415" s="587">
        <v>60</v>
      </c>
      <c r="W415" s="586"/>
      <c r="X415" s="587">
        <v>150</v>
      </c>
      <c r="Y415" s="586"/>
      <c r="Z415" s="588">
        <v>24</v>
      </c>
      <c r="AA415" s="586"/>
      <c r="AB415" s="588">
        <v>16</v>
      </c>
      <c r="AC415" s="586"/>
      <c r="AD415" s="586"/>
      <c r="AE415" s="589"/>
      <c r="AF415" s="734">
        <f t="shared" si="24"/>
        <v>0</v>
      </c>
      <c r="AG415" s="585">
        <f t="shared" si="25"/>
        <v>0</v>
      </c>
      <c r="AH415" s="585">
        <f t="shared" si="26"/>
        <v>0</v>
      </c>
      <c r="AI415" s="991"/>
    </row>
    <row r="416" spans="1:35">
      <c r="A416" s="590"/>
      <c r="B416" s="591"/>
      <c r="C416" s="582"/>
      <c r="D416" s="583">
        <v>1400</v>
      </c>
      <c r="E416" s="582"/>
      <c r="F416" s="583">
        <v>132</v>
      </c>
      <c r="G416" s="586"/>
      <c r="H416" s="585">
        <v>3150</v>
      </c>
      <c r="I416" s="585"/>
      <c r="J416" s="585">
        <v>0</v>
      </c>
      <c r="K416" s="586"/>
      <c r="L416" s="585">
        <v>2100</v>
      </c>
      <c r="M416" s="586"/>
      <c r="N416" s="585">
        <v>198</v>
      </c>
      <c r="O416" s="733"/>
      <c r="P416" s="592">
        <v>2275</v>
      </c>
      <c r="Q416" s="765"/>
      <c r="R416" s="765">
        <v>88.48</v>
      </c>
      <c r="S416" s="765"/>
      <c r="T416" s="765">
        <v>72.14</v>
      </c>
      <c r="U416" s="586"/>
      <c r="V416" s="587">
        <v>60</v>
      </c>
      <c r="W416" s="586"/>
      <c r="X416" s="587">
        <v>150</v>
      </c>
      <c r="Y416" s="586"/>
      <c r="Z416" s="588">
        <v>24</v>
      </c>
      <c r="AA416" s="586"/>
      <c r="AB416" s="588">
        <v>16</v>
      </c>
      <c r="AC416" s="586"/>
      <c r="AD416" s="586"/>
      <c r="AE416" s="589"/>
      <c r="AF416" s="734">
        <f t="shared" si="24"/>
        <v>0</v>
      </c>
      <c r="AG416" s="585">
        <f t="shared" si="25"/>
        <v>0</v>
      </c>
      <c r="AH416" s="585">
        <f t="shared" si="26"/>
        <v>0</v>
      </c>
      <c r="AI416" s="991"/>
    </row>
    <row r="417" spans="1:35">
      <c r="A417" s="590"/>
      <c r="B417" s="591"/>
      <c r="C417" s="582"/>
      <c r="D417" s="583">
        <v>1400</v>
      </c>
      <c r="E417" s="582"/>
      <c r="F417" s="583">
        <v>132</v>
      </c>
      <c r="G417" s="586"/>
      <c r="H417" s="585">
        <v>3150</v>
      </c>
      <c r="I417" s="585"/>
      <c r="J417" s="585">
        <v>0</v>
      </c>
      <c r="K417" s="586"/>
      <c r="L417" s="585">
        <v>2100</v>
      </c>
      <c r="M417" s="586"/>
      <c r="N417" s="585">
        <v>198</v>
      </c>
      <c r="O417" s="733"/>
      <c r="P417" s="592">
        <v>2275</v>
      </c>
      <c r="Q417" s="765"/>
      <c r="R417" s="765">
        <v>88.48</v>
      </c>
      <c r="S417" s="765"/>
      <c r="T417" s="765">
        <v>72.14</v>
      </c>
      <c r="U417" s="586"/>
      <c r="V417" s="587">
        <v>60</v>
      </c>
      <c r="W417" s="586"/>
      <c r="X417" s="587">
        <v>150</v>
      </c>
      <c r="Y417" s="586"/>
      <c r="Z417" s="588">
        <v>24</v>
      </c>
      <c r="AA417" s="586"/>
      <c r="AB417" s="588">
        <v>16</v>
      </c>
      <c r="AC417" s="586"/>
      <c r="AD417" s="586"/>
      <c r="AE417" s="589"/>
      <c r="AF417" s="734">
        <f t="shared" si="24"/>
        <v>0</v>
      </c>
      <c r="AG417" s="585">
        <f t="shared" si="25"/>
        <v>0</v>
      </c>
      <c r="AH417" s="585">
        <f t="shared" si="26"/>
        <v>0</v>
      </c>
      <c r="AI417" s="991"/>
    </row>
    <row r="418" spans="1:35">
      <c r="A418" s="590"/>
      <c r="B418" s="591"/>
      <c r="C418" s="582"/>
      <c r="D418" s="583">
        <v>1400</v>
      </c>
      <c r="E418" s="582"/>
      <c r="F418" s="583">
        <v>132</v>
      </c>
      <c r="G418" s="586"/>
      <c r="H418" s="585">
        <v>3150</v>
      </c>
      <c r="I418" s="585"/>
      <c r="J418" s="585">
        <v>0</v>
      </c>
      <c r="K418" s="586"/>
      <c r="L418" s="585">
        <v>2100</v>
      </c>
      <c r="M418" s="586"/>
      <c r="N418" s="585">
        <v>198</v>
      </c>
      <c r="O418" s="733"/>
      <c r="P418" s="592">
        <v>2275</v>
      </c>
      <c r="Q418" s="765"/>
      <c r="R418" s="765">
        <v>88.48</v>
      </c>
      <c r="S418" s="765"/>
      <c r="T418" s="765">
        <v>72.14</v>
      </c>
      <c r="U418" s="586"/>
      <c r="V418" s="587">
        <v>60</v>
      </c>
      <c r="W418" s="586"/>
      <c r="X418" s="587">
        <v>150</v>
      </c>
      <c r="Y418" s="586"/>
      <c r="Z418" s="588">
        <v>24</v>
      </c>
      <c r="AA418" s="586"/>
      <c r="AB418" s="588">
        <v>16</v>
      </c>
      <c r="AC418" s="586"/>
      <c r="AD418" s="586"/>
      <c r="AE418" s="589"/>
      <c r="AF418" s="734">
        <f t="shared" si="24"/>
        <v>0</v>
      </c>
      <c r="AG418" s="585">
        <f t="shared" si="25"/>
        <v>0</v>
      </c>
      <c r="AH418" s="585">
        <f t="shared" si="26"/>
        <v>0</v>
      </c>
      <c r="AI418" s="991"/>
    </row>
    <row r="419" spans="1:35">
      <c r="A419" s="590"/>
      <c r="B419" s="591"/>
      <c r="C419" s="582"/>
      <c r="D419" s="583">
        <v>1400</v>
      </c>
      <c r="E419" s="582"/>
      <c r="F419" s="583">
        <v>132</v>
      </c>
      <c r="G419" s="586"/>
      <c r="H419" s="585">
        <v>3150</v>
      </c>
      <c r="I419" s="585"/>
      <c r="J419" s="585">
        <v>0</v>
      </c>
      <c r="K419" s="586"/>
      <c r="L419" s="585">
        <v>2100</v>
      </c>
      <c r="M419" s="586"/>
      <c r="N419" s="585">
        <v>198</v>
      </c>
      <c r="O419" s="733"/>
      <c r="P419" s="592">
        <v>2275</v>
      </c>
      <c r="Q419" s="765"/>
      <c r="R419" s="765">
        <v>88.48</v>
      </c>
      <c r="S419" s="765"/>
      <c r="T419" s="765">
        <v>72.14</v>
      </c>
      <c r="U419" s="586"/>
      <c r="V419" s="587">
        <v>60</v>
      </c>
      <c r="W419" s="586"/>
      <c r="X419" s="587">
        <v>150</v>
      </c>
      <c r="Y419" s="586"/>
      <c r="Z419" s="588">
        <v>24</v>
      </c>
      <c r="AA419" s="586"/>
      <c r="AB419" s="588">
        <v>16</v>
      </c>
      <c r="AC419" s="586"/>
      <c r="AD419" s="586"/>
      <c r="AE419" s="589"/>
      <c r="AF419" s="734">
        <f t="shared" si="24"/>
        <v>0</v>
      </c>
      <c r="AG419" s="585">
        <f t="shared" si="25"/>
        <v>0</v>
      </c>
      <c r="AH419" s="585">
        <f t="shared" si="26"/>
        <v>0</v>
      </c>
      <c r="AI419" s="991"/>
    </row>
    <row r="420" spans="1:35">
      <c r="A420" s="590"/>
      <c r="B420" s="591"/>
      <c r="C420" s="582"/>
      <c r="D420" s="583">
        <v>1400</v>
      </c>
      <c r="E420" s="582"/>
      <c r="F420" s="583">
        <v>132</v>
      </c>
      <c r="G420" s="586"/>
      <c r="H420" s="585">
        <v>3150</v>
      </c>
      <c r="I420" s="585"/>
      <c r="J420" s="585">
        <v>0</v>
      </c>
      <c r="K420" s="586"/>
      <c r="L420" s="585">
        <v>2100</v>
      </c>
      <c r="M420" s="586"/>
      <c r="N420" s="585">
        <v>198</v>
      </c>
      <c r="O420" s="733"/>
      <c r="P420" s="592">
        <v>2275</v>
      </c>
      <c r="Q420" s="765"/>
      <c r="R420" s="765">
        <v>88.48</v>
      </c>
      <c r="S420" s="765"/>
      <c r="T420" s="765">
        <v>72.14</v>
      </c>
      <c r="U420" s="586"/>
      <c r="V420" s="587">
        <v>60</v>
      </c>
      <c r="W420" s="586"/>
      <c r="X420" s="587">
        <v>150</v>
      </c>
      <c r="Y420" s="586"/>
      <c r="Z420" s="588">
        <v>24</v>
      </c>
      <c r="AA420" s="586"/>
      <c r="AB420" s="588">
        <v>16</v>
      </c>
      <c r="AC420" s="586"/>
      <c r="AD420" s="586"/>
      <c r="AE420" s="589"/>
      <c r="AF420" s="734">
        <f t="shared" si="24"/>
        <v>0</v>
      </c>
      <c r="AG420" s="585">
        <f t="shared" si="25"/>
        <v>0</v>
      </c>
      <c r="AH420" s="585">
        <f t="shared" si="26"/>
        <v>0</v>
      </c>
      <c r="AI420" s="991"/>
    </row>
    <row r="421" spans="1:35">
      <c r="A421" s="590"/>
      <c r="B421" s="591"/>
      <c r="C421" s="582"/>
      <c r="D421" s="583">
        <v>1400</v>
      </c>
      <c r="E421" s="582"/>
      <c r="F421" s="583">
        <v>132</v>
      </c>
      <c r="G421" s="586"/>
      <c r="H421" s="585">
        <v>3150</v>
      </c>
      <c r="I421" s="585"/>
      <c r="J421" s="585">
        <v>0</v>
      </c>
      <c r="K421" s="586"/>
      <c r="L421" s="585">
        <v>2100</v>
      </c>
      <c r="M421" s="586"/>
      <c r="N421" s="585">
        <v>198</v>
      </c>
      <c r="O421" s="733"/>
      <c r="P421" s="592">
        <v>2275</v>
      </c>
      <c r="Q421" s="765"/>
      <c r="R421" s="765">
        <v>88.48</v>
      </c>
      <c r="S421" s="765"/>
      <c r="T421" s="765">
        <v>72.14</v>
      </c>
      <c r="U421" s="586"/>
      <c r="V421" s="587">
        <v>60</v>
      </c>
      <c r="W421" s="586"/>
      <c r="X421" s="587">
        <v>150</v>
      </c>
      <c r="Y421" s="586"/>
      <c r="Z421" s="588">
        <v>24</v>
      </c>
      <c r="AA421" s="586"/>
      <c r="AB421" s="588">
        <v>16</v>
      </c>
      <c r="AC421" s="586"/>
      <c r="AD421" s="586"/>
      <c r="AE421" s="589"/>
      <c r="AF421" s="734">
        <f t="shared" si="24"/>
        <v>0</v>
      </c>
      <c r="AG421" s="585">
        <f t="shared" si="25"/>
        <v>0</v>
      </c>
      <c r="AH421" s="585">
        <f t="shared" si="26"/>
        <v>0</v>
      </c>
      <c r="AI421" s="991"/>
    </row>
    <row r="422" spans="1:35">
      <c r="A422" s="590"/>
      <c r="B422" s="591"/>
      <c r="C422" s="582"/>
      <c r="D422" s="583">
        <v>1400</v>
      </c>
      <c r="E422" s="582"/>
      <c r="F422" s="583">
        <v>132</v>
      </c>
      <c r="G422" s="586"/>
      <c r="H422" s="585">
        <v>3150</v>
      </c>
      <c r="I422" s="585"/>
      <c r="J422" s="585">
        <v>0</v>
      </c>
      <c r="K422" s="586"/>
      <c r="L422" s="585">
        <v>2100</v>
      </c>
      <c r="M422" s="586"/>
      <c r="N422" s="585">
        <v>198</v>
      </c>
      <c r="O422" s="733"/>
      <c r="P422" s="592">
        <v>2275</v>
      </c>
      <c r="Q422" s="765"/>
      <c r="R422" s="765">
        <v>88.48</v>
      </c>
      <c r="S422" s="765"/>
      <c r="T422" s="765">
        <v>72.14</v>
      </c>
      <c r="U422" s="586"/>
      <c r="V422" s="587">
        <v>60</v>
      </c>
      <c r="W422" s="586"/>
      <c r="X422" s="587">
        <v>150</v>
      </c>
      <c r="Y422" s="586"/>
      <c r="Z422" s="588">
        <v>24</v>
      </c>
      <c r="AA422" s="586"/>
      <c r="AB422" s="588">
        <v>16</v>
      </c>
      <c r="AC422" s="586"/>
      <c r="AD422" s="586"/>
      <c r="AE422" s="589"/>
      <c r="AF422" s="734">
        <f t="shared" si="24"/>
        <v>0</v>
      </c>
      <c r="AG422" s="585">
        <f t="shared" si="25"/>
        <v>0</v>
      </c>
      <c r="AH422" s="585">
        <f t="shared" si="26"/>
        <v>0</v>
      </c>
      <c r="AI422" s="991"/>
    </row>
    <row r="423" spans="1:35">
      <c r="A423" s="590"/>
      <c r="B423" s="591"/>
      <c r="C423" s="582"/>
      <c r="D423" s="583">
        <v>1400</v>
      </c>
      <c r="E423" s="582"/>
      <c r="F423" s="583">
        <v>132</v>
      </c>
      <c r="G423" s="586"/>
      <c r="H423" s="585">
        <v>3150</v>
      </c>
      <c r="I423" s="585"/>
      <c r="J423" s="585">
        <v>0</v>
      </c>
      <c r="K423" s="586"/>
      <c r="L423" s="585">
        <v>2100</v>
      </c>
      <c r="M423" s="586"/>
      <c r="N423" s="585">
        <v>198</v>
      </c>
      <c r="O423" s="733"/>
      <c r="P423" s="592">
        <v>2275</v>
      </c>
      <c r="Q423" s="765"/>
      <c r="R423" s="765">
        <v>88.48</v>
      </c>
      <c r="S423" s="765"/>
      <c r="T423" s="765">
        <v>72.14</v>
      </c>
      <c r="U423" s="586"/>
      <c r="V423" s="587">
        <v>60</v>
      </c>
      <c r="W423" s="586"/>
      <c r="X423" s="587">
        <v>150</v>
      </c>
      <c r="Y423" s="586"/>
      <c r="Z423" s="588">
        <v>24</v>
      </c>
      <c r="AA423" s="586"/>
      <c r="AB423" s="588">
        <v>16</v>
      </c>
      <c r="AC423" s="586"/>
      <c r="AD423" s="586"/>
      <c r="AE423" s="589"/>
      <c r="AF423" s="734">
        <f t="shared" si="24"/>
        <v>0</v>
      </c>
      <c r="AG423" s="585">
        <f t="shared" si="25"/>
        <v>0</v>
      </c>
      <c r="AH423" s="585">
        <f t="shared" si="26"/>
        <v>0</v>
      </c>
      <c r="AI423" s="991"/>
    </row>
    <row r="424" spans="1:35">
      <c r="A424" s="590"/>
      <c r="B424" s="591"/>
      <c r="C424" s="582"/>
      <c r="D424" s="583">
        <v>1400</v>
      </c>
      <c r="E424" s="582"/>
      <c r="F424" s="583">
        <v>132</v>
      </c>
      <c r="G424" s="586"/>
      <c r="H424" s="585">
        <v>3150</v>
      </c>
      <c r="I424" s="585"/>
      <c r="J424" s="585">
        <v>0</v>
      </c>
      <c r="K424" s="586"/>
      <c r="L424" s="585">
        <v>2100</v>
      </c>
      <c r="M424" s="586"/>
      <c r="N424" s="585">
        <v>198</v>
      </c>
      <c r="O424" s="733"/>
      <c r="P424" s="592">
        <v>2275</v>
      </c>
      <c r="Q424" s="765"/>
      <c r="R424" s="765">
        <v>88.48</v>
      </c>
      <c r="S424" s="765"/>
      <c r="T424" s="765">
        <v>72.14</v>
      </c>
      <c r="U424" s="586"/>
      <c r="V424" s="587">
        <v>60</v>
      </c>
      <c r="W424" s="586"/>
      <c r="X424" s="587">
        <v>150</v>
      </c>
      <c r="Y424" s="586"/>
      <c r="Z424" s="588">
        <v>24</v>
      </c>
      <c r="AA424" s="586"/>
      <c r="AB424" s="588">
        <v>16</v>
      </c>
      <c r="AC424" s="586"/>
      <c r="AD424" s="586"/>
      <c r="AE424" s="589"/>
      <c r="AF424" s="734">
        <f t="shared" si="24"/>
        <v>0</v>
      </c>
      <c r="AG424" s="585">
        <f t="shared" si="25"/>
        <v>0</v>
      </c>
      <c r="AH424" s="585">
        <f t="shared" si="26"/>
        <v>0</v>
      </c>
      <c r="AI424" s="991"/>
    </row>
    <row r="425" spans="1:35">
      <c r="A425" s="590"/>
      <c r="B425" s="591"/>
      <c r="C425" s="582"/>
      <c r="D425" s="583">
        <v>1400</v>
      </c>
      <c r="E425" s="582"/>
      <c r="F425" s="583">
        <v>132</v>
      </c>
      <c r="G425" s="586"/>
      <c r="H425" s="585">
        <v>3150</v>
      </c>
      <c r="I425" s="585"/>
      <c r="J425" s="585">
        <v>0</v>
      </c>
      <c r="K425" s="586"/>
      <c r="L425" s="585">
        <v>2100</v>
      </c>
      <c r="M425" s="586"/>
      <c r="N425" s="585">
        <v>198</v>
      </c>
      <c r="O425" s="733"/>
      <c r="P425" s="592">
        <v>2275</v>
      </c>
      <c r="Q425" s="765"/>
      <c r="R425" s="765">
        <v>88.48</v>
      </c>
      <c r="S425" s="765"/>
      <c r="T425" s="765">
        <v>72.14</v>
      </c>
      <c r="U425" s="586"/>
      <c r="V425" s="587">
        <v>60</v>
      </c>
      <c r="W425" s="586"/>
      <c r="X425" s="587">
        <v>150</v>
      </c>
      <c r="Y425" s="586"/>
      <c r="Z425" s="588">
        <v>24</v>
      </c>
      <c r="AA425" s="586"/>
      <c r="AB425" s="588">
        <v>16</v>
      </c>
      <c r="AC425" s="586"/>
      <c r="AD425" s="586"/>
      <c r="AE425" s="589"/>
      <c r="AF425" s="734">
        <f t="shared" si="24"/>
        <v>0</v>
      </c>
      <c r="AG425" s="585">
        <f t="shared" si="25"/>
        <v>0</v>
      </c>
      <c r="AH425" s="585">
        <f t="shared" si="26"/>
        <v>0</v>
      </c>
      <c r="AI425" s="991"/>
    </row>
    <row r="426" spans="1:35">
      <c r="A426" s="590"/>
      <c r="B426" s="591"/>
      <c r="C426" s="582"/>
      <c r="D426" s="583">
        <v>1400</v>
      </c>
      <c r="E426" s="582"/>
      <c r="F426" s="583">
        <v>132</v>
      </c>
      <c r="G426" s="586"/>
      <c r="H426" s="585">
        <v>3150</v>
      </c>
      <c r="I426" s="585"/>
      <c r="J426" s="585">
        <v>0</v>
      </c>
      <c r="K426" s="586"/>
      <c r="L426" s="585">
        <v>2100</v>
      </c>
      <c r="M426" s="586"/>
      <c r="N426" s="585">
        <v>198</v>
      </c>
      <c r="O426" s="733"/>
      <c r="P426" s="592">
        <v>2275</v>
      </c>
      <c r="Q426" s="765"/>
      <c r="R426" s="765">
        <v>88.48</v>
      </c>
      <c r="S426" s="765"/>
      <c r="T426" s="765">
        <v>72.14</v>
      </c>
      <c r="U426" s="586"/>
      <c r="V426" s="587">
        <v>60</v>
      </c>
      <c r="W426" s="586"/>
      <c r="X426" s="587">
        <v>150</v>
      </c>
      <c r="Y426" s="586"/>
      <c r="Z426" s="588">
        <v>24</v>
      </c>
      <c r="AA426" s="586"/>
      <c r="AB426" s="588">
        <v>16</v>
      </c>
      <c r="AC426" s="586"/>
      <c r="AD426" s="586"/>
      <c r="AE426" s="589"/>
      <c r="AF426" s="734">
        <f t="shared" si="24"/>
        <v>0</v>
      </c>
      <c r="AG426" s="585">
        <f t="shared" si="25"/>
        <v>0</v>
      </c>
      <c r="AH426" s="585">
        <f t="shared" si="26"/>
        <v>0</v>
      </c>
      <c r="AI426" s="991"/>
    </row>
    <row r="427" spans="1:35">
      <c r="A427" s="590"/>
      <c r="B427" s="591"/>
      <c r="C427" s="582"/>
      <c r="D427" s="583">
        <v>1400</v>
      </c>
      <c r="E427" s="582"/>
      <c r="F427" s="583">
        <v>132</v>
      </c>
      <c r="G427" s="586"/>
      <c r="H427" s="585">
        <v>3150</v>
      </c>
      <c r="I427" s="585"/>
      <c r="J427" s="585">
        <v>0</v>
      </c>
      <c r="K427" s="586"/>
      <c r="L427" s="585">
        <v>2100</v>
      </c>
      <c r="M427" s="586"/>
      <c r="N427" s="585">
        <v>198</v>
      </c>
      <c r="O427" s="733"/>
      <c r="P427" s="592">
        <v>2275</v>
      </c>
      <c r="Q427" s="765"/>
      <c r="R427" s="765">
        <v>88.48</v>
      </c>
      <c r="S427" s="765"/>
      <c r="T427" s="765">
        <v>72.14</v>
      </c>
      <c r="U427" s="586"/>
      <c r="V427" s="587">
        <v>60</v>
      </c>
      <c r="W427" s="586"/>
      <c r="X427" s="587">
        <v>150</v>
      </c>
      <c r="Y427" s="586"/>
      <c r="Z427" s="588">
        <v>24</v>
      </c>
      <c r="AA427" s="586"/>
      <c r="AB427" s="588">
        <v>16</v>
      </c>
      <c r="AC427" s="586"/>
      <c r="AD427" s="586"/>
      <c r="AE427" s="589"/>
      <c r="AF427" s="734">
        <f t="shared" si="24"/>
        <v>0</v>
      </c>
      <c r="AG427" s="585">
        <f t="shared" si="25"/>
        <v>0</v>
      </c>
      <c r="AH427" s="585">
        <f t="shared" si="26"/>
        <v>0</v>
      </c>
      <c r="AI427" s="991"/>
    </row>
    <row r="428" spans="1:35">
      <c r="A428" s="590"/>
      <c r="B428" s="591"/>
      <c r="C428" s="582"/>
      <c r="D428" s="583">
        <v>1400</v>
      </c>
      <c r="E428" s="582"/>
      <c r="F428" s="583">
        <v>132</v>
      </c>
      <c r="G428" s="586"/>
      <c r="H428" s="585">
        <v>3150</v>
      </c>
      <c r="I428" s="585"/>
      <c r="J428" s="585">
        <v>0</v>
      </c>
      <c r="K428" s="586"/>
      <c r="L428" s="585">
        <v>2100</v>
      </c>
      <c r="M428" s="586"/>
      <c r="N428" s="585">
        <v>198</v>
      </c>
      <c r="O428" s="733"/>
      <c r="P428" s="592">
        <v>2275</v>
      </c>
      <c r="Q428" s="765"/>
      <c r="R428" s="765">
        <v>88.48</v>
      </c>
      <c r="S428" s="765"/>
      <c r="T428" s="765">
        <v>72.14</v>
      </c>
      <c r="U428" s="586"/>
      <c r="V428" s="587">
        <v>60</v>
      </c>
      <c r="W428" s="586"/>
      <c r="X428" s="587">
        <v>150</v>
      </c>
      <c r="Y428" s="586"/>
      <c r="Z428" s="588">
        <v>24</v>
      </c>
      <c r="AA428" s="586"/>
      <c r="AB428" s="588">
        <v>16</v>
      </c>
      <c r="AC428" s="586"/>
      <c r="AD428" s="586"/>
      <c r="AE428" s="589"/>
      <c r="AF428" s="734">
        <f t="shared" si="24"/>
        <v>0</v>
      </c>
      <c r="AG428" s="585">
        <f t="shared" si="25"/>
        <v>0</v>
      </c>
      <c r="AH428" s="585">
        <f t="shared" si="26"/>
        <v>0</v>
      </c>
      <c r="AI428" s="991"/>
    </row>
    <row r="429" spans="1:35">
      <c r="A429" s="590"/>
      <c r="B429" s="591"/>
      <c r="C429" s="582"/>
      <c r="D429" s="583">
        <v>1400</v>
      </c>
      <c r="E429" s="582"/>
      <c r="F429" s="583">
        <v>132</v>
      </c>
      <c r="G429" s="586"/>
      <c r="H429" s="585">
        <v>3150</v>
      </c>
      <c r="I429" s="585"/>
      <c r="J429" s="585">
        <v>0</v>
      </c>
      <c r="K429" s="586"/>
      <c r="L429" s="585">
        <v>2100</v>
      </c>
      <c r="M429" s="586"/>
      <c r="N429" s="585">
        <v>198</v>
      </c>
      <c r="O429" s="733"/>
      <c r="P429" s="592">
        <v>2275</v>
      </c>
      <c r="Q429" s="765"/>
      <c r="R429" s="765">
        <v>88.48</v>
      </c>
      <c r="S429" s="765"/>
      <c r="T429" s="765">
        <v>72.14</v>
      </c>
      <c r="U429" s="586"/>
      <c r="V429" s="587">
        <v>60</v>
      </c>
      <c r="W429" s="586"/>
      <c r="X429" s="587">
        <v>150</v>
      </c>
      <c r="Y429" s="586"/>
      <c r="Z429" s="588">
        <v>24</v>
      </c>
      <c r="AA429" s="586"/>
      <c r="AB429" s="588">
        <v>16</v>
      </c>
      <c r="AC429" s="586"/>
      <c r="AD429" s="586"/>
      <c r="AE429" s="589"/>
      <c r="AF429" s="734">
        <f t="shared" si="24"/>
        <v>0</v>
      </c>
      <c r="AG429" s="585">
        <f t="shared" si="25"/>
        <v>0</v>
      </c>
      <c r="AH429" s="585">
        <f t="shared" si="26"/>
        <v>0</v>
      </c>
      <c r="AI429" s="991"/>
    </row>
    <row r="430" spans="1:35">
      <c r="A430" s="590"/>
      <c r="B430" s="591"/>
      <c r="C430" s="582"/>
      <c r="D430" s="583">
        <v>1400</v>
      </c>
      <c r="E430" s="582"/>
      <c r="F430" s="583">
        <v>132</v>
      </c>
      <c r="G430" s="586"/>
      <c r="H430" s="585">
        <v>3150</v>
      </c>
      <c r="I430" s="585"/>
      <c r="J430" s="585">
        <v>0</v>
      </c>
      <c r="K430" s="586"/>
      <c r="L430" s="585">
        <v>2100</v>
      </c>
      <c r="M430" s="586"/>
      <c r="N430" s="585">
        <v>198</v>
      </c>
      <c r="O430" s="733"/>
      <c r="P430" s="592">
        <v>2275</v>
      </c>
      <c r="Q430" s="765"/>
      <c r="R430" s="765">
        <v>88.48</v>
      </c>
      <c r="S430" s="765"/>
      <c r="T430" s="765">
        <v>72.14</v>
      </c>
      <c r="U430" s="586"/>
      <c r="V430" s="587">
        <v>60</v>
      </c>
      <c r="W430" s="586"/>
      <c r="X430" s="587">
        <v>150</v>
      </c>
      <c r="Y430" s="586"/>
      <c r="Z430" s="588">
        <v>24</v>
      </c>
      <c r="AA430" s="586"/>
      <c r="AB430" s="588">
        <v>16</v>
      </c>
      <c r="AC430" s="586"/>
      <c r="AD430" s="586"/>
      <c r="AE430" s="589"/>
      <c r="AF430" s="734">
        <f t="shared" si="24"/>
        <v>0</v>
      </c>
      <c r="AG430" s="585">
        <f t="shared" si="25"/>
        <v>0</v>
      </c>
      <c r="AH430" s="585">
        <f t="shared" si="26"/>
        <v>0</v>
      </c>
      <c r="AI430" s="991"/>
    </row>
    <row r="431" spans="1:35">
      <c r="A431" s="590"/>
      <c r="B431" s="591"/>
      <c r="C431" s="582"/>
      <c r="D431" s="583">
        <v>1400</v>
      </c>
      <c r="E431" s="582"/>
      <c r="F431" s="583">
        <v>132</v>
      </c>
      <c r="G431" s="586"/>
      <c r="H431" s="585">
        <v>3150</v>
      </c>
      <c r="I431" s="585"/>
      <c r="J431" s="585">
        <v>0</v>
      </c>
      <c r="K431" s="586"/>
      <c r="L431" s="585">
        <v>2100</v>
      </c>
      <c r="M431" s="586"/>
      <c r="N431" s="585">
        <v>198</v>
      </c>
      <c r="O431" s="733"/>
      <c r="P431" s="592">
        <v>2275</v>
      </c>
      <c r="Q431" s="765"/>
      <c r="R431" s="765">
        <v>88.48</v>
      </c>
      <c r="S431" s="765"/>
      <c r="T431" s="765">
        <v>72.14</v>
      </c>
      <c r="U431" s="586"/>
      <c r="V431" s="587">
        <v>60</v>
      </c>
      <c r="W431" s="586"/>
      <c r="X431" s="587">
        <v>150</v>
      </c>
      <c r="Y431" s="586"/>
      <c r="Z431" s="588">
        <v>24</v>
      </c>
      <c r="AA431" s="586"/>
      <c r="AB431" s="588">
        <v>16</v>
      </c>
      <c r="AC431" s="586"/>
      <c r="AD431" s="586"/>
      <c r="AE431" s="589"/>
      <c r="AF431" s="734">
        <f t="shared" si="24"/>
        <v>0</v>
      </c>
      <c r="AG431" s="585">
        <f t="shared" si="25"/>
        <v>0</v>
      </c>
      <c r="AH431" s="585">
        <f t="shared" si="26"/>
        <v>0</v>
      </c>
      <c r="AI431" s="991"/>
    </row>
    <row r="432" spans="1:35">
      <c r="A432" s="590"/>
      <c r="B432" s="591"/>
      <c r="C432" s="582"/>
      <c r="D432" s="583">
        <v>1400</v>
      </c>
      <c r="E432" s="582"/>
      <c r="F432" s="583">
        <v>132</v>
      </c>
      <c r="G432" s="586"/>
      <c r="H432" s="585">
        <v>3150</v>
      </c>
      <c r="I432" s="585"/>
      <c r="J432" s="585">
        <v>0</v>
      </c>
      <c r="K432" s="586"/>
      <c r="L432" s="585">
        <v>2100</v>
      </c>
      <c r="M432" s="586"/>
      <c r="N432" s="585">
        <v>198</v>
      </c>
      <c r="O432" s="733"/>
      <c r="P432" s="592">
        <v>2275</v>
      </c>
      <c r="Q432" s="765"/>
      <c r="R432" s="765">
        <v>88.48</v>
      </c>
      <c r="S432" s="765"/>
      <c r="T432" s="765">
        <v>72.14</v>
      </c>
      <c r="U432" s="586"/>
      <c r="V432" s="587">
        <v>60</v>
      </c>
      <c r="W432" s="586"/>
      <c r="X432" s="587">
        <v>150</v>
      </c>
      <c r="Y432" s="586"/>
      <c r="Z432" s="588">
        <v>24</v>
      </c>
      <c r="AA432" s="586"/>
      <c r="AB432" s="588">
        <v>16</v>
      </c>
      <c r="AC432" s="586"/>
      <c r="AD432" s="586"/>
      <c r="AE432" s="589"/>
      <c r="AF432" s="734">
        <f t="shared" si="24"/>
        <v>0</v>
      </c>
      <c r="AG432" s="585">
        <f t="shared" si="25"/>
        <v>0</v>
      </c>
      <c r="AH432" s="585">
        <f t="shared" si="26"/>
        <v>0</v>
      </c>
      <c r="AI432" s="991"/>
    </row>
    <row r="433" spans="1:35">
      <c r="A433" s="590"/>
      <c r="B433" s="591"/>
      <c r="C433" s="582"/>
      <c r="D433" s="583">
        <v>1400</v>
      </c>
      <c r="E433" s="582"/>
      <c r="F433" s="583">
        <v>132</v>
      </c>
      <c r="G433" s="586"/>
      <c r="H433" s="585">
        <v>3150</v>
      </c>
      <c r="I433" s="585"/>
      <c r="J433" s="585">
        <v>0</v>
      </c>
      <c r="K433" s="586"/>
      <c r="L433" s="585">
        <v>2100</v>
      </c>
      <c r="M433" s="586"/>
      <c r="N433" s="585">
        <v>198</v>
      </c>
      <c r="O433" s="733"/>
      <c r="P433" s="592">
        <v>2275</v>
      </c>
      <c r="Q433" s="765"/>
      <c r="R433" s="765">
        <v>88.48</v>
      </c>
      <c r="S433" s="765"/>
      <c r="T433" s="765">
        <v>72.14</v>
      </c>
      <c r="U433" s="586"/>
      <c r="V433" s="587">
        <v>60</v>
      </c>
      <c r="W433" s="586"/>
      <c r="X433" s="587">
        <v>150</v>
      </c>
      <c r="Y433" s="586"/>
      <c r="Z433" s="588">
        <v>24</v>
      </c>
      <c r="AA433" s="586"/>
      <c r="AB433" s="588">
        <v>16</v>
      </c>
      <c r="AC433" s="586"/>
      <c r="AD433" s="586"/>
      <c r="AE433" s="589"/>
      <c r="AF433" s="734">
        <f t="shared" si="24"/>
        <v>0</v>
      </c>
      <c r="AG433" s="585">
        <f t="shared" si="25"/>
        <v>0</v>
      </c>
      <c r="AH433" s="585">
        <f t="shared" si="26"/>
        <v>0</v>
      </c>
      <c r="AI433" s="991"/>
    </row>
    <row r="434" spans="1:35">
      <c r="A434" s="590"/>
      <c r="B434" s="591"/>
      <c r="C434" s="582"/>
      <c r="D434" s="583">
        <v>1400</v>
      </c>
      <c r="E434" s="582"/>
      <c r="F434" s="583">
        <v>132</v>
      </c>
      <c r="G434" s="586"/>
      <c r="H434" s="585">
        <v>3150</v>
      </c>
      <c r="I434" s="585"/>
      <c r="J434" s="585">
        <v>0</v>
      </c>
      <c r="K434" s="586"/>
      <c r="L434" s="585">
        <v>2100</v>
      </c>
      <c r="M434" s="586"/>
      <c r="N434" s="585">
        <v>198</v>
      </c>
      <c r="O434" s="733"/>
      <c r="P434" s="592">
        <v>2275</v>
      </c>
      <c r="Q434" s="765"/>
      <c r="R434" s="765">
        <v>88.48</v>
      </c>
      <c r="S434" s="765"/>
      <c r="T434" s="765">
        <v>72.14</v>
      </c>
      <c r="U434" s="586"/>
      <c r="V434" s="587">
        <v>60</v>
      </c>
      <c r="W434" s="586"/>
      <c r="X434" s="587">
        <v>150</v>
      </c>
      <c r="Y434" s="586"/>
      <c r="Z434" s="588">
        <v>24</v>
      </c>
      <c r="AA434" s="586"/>
      <c r="AB434" s="588">
        <v>16</v>
      </c>
      <c r="AC434" s="586"/>
      <c r="AD434" s="586"/>
      <c r="AE434" s="589"/>
      <c r="AF434" s="734">
        <f t="shared" si="24"/>
        <v>0</v>
      </c>
      <c r="AG434" s="585">
        <f t="shared" si="25"/>
        <v>0</v>
      </c>
      <c r="AH434" s="585">
        <f t="shared" si="26"/>
        <v>0</v>
      </c>
      <c r="AI434" s="991"/>
    </row>
    <row r="435" spans="1:35">
      <c r="A435" s="590"/>
      <c r="B435" s="591"/>
      <c r="C435" s="582"/>
      <c r="D435" s="583">
        <v>1400</v>
      </c>
      <c r="E435" s="582"/>
      <c r="F435" s="583">
        <v>132</v>
      </c>
      <c r="G435" s="586"/>
      <c r="H435" s="585">
        <v>3150</v>
      </c>
      <c r="I435" s="585"/>
      <c r="J435" s="585">
        <v>0</v>
      </c>
      <c r="K435" s="586"/>
      <c r="L435" s="585">
        <v>2100</v>
      </c>
      <c r="M435" s="586"/>
      <c r="N435" s="585">
        <v>198</v>
      </c>
      <c r="O435" s="733"/>
      <c r="P435" s="592">
        <v>2275</v>
      </c>
      <c r="Q435" s="765"/>
      <c r="R435" s="765">
        <v>88.48</v>
      </c>
      <c r="S435" s="765"/>
      <c r="T435" s="765">
        <v>72.14</v>
      </c>
      <c r="U435" s="586"/>
      <c r="V435" s="587">
        <v>60</v>
      </c>
      <c r="W435" s="586"/>
      <c r="X435" s="587">
        <v>150</v>
      </c>
      <c r="Y435" s="586"/>
      <c r="Z435" s="588">
        <v>24</v>
      </c>
      <c r="AA435" s="586"/>
      <c r="AB435" s="588">
        <v>16</v>
      </c>
      <c r="AC435" s="586"/>
      <c r="AD435" s="586"/>
      <c r="AE435" s="589"/>
      <c r="AF435" s="734">
        <f t="shared" si="24"/>
        <v>0</v>
      </c>
      <c r="AG435" s="585">
        <f t="shared" si="25"/>
        <v>0</v>
      </c>
      <c r="AH435" s="585">
        <f t="shared" si="26"/>
        <v>0</v>
      </c>
      <c r="AI435" s="991"/>
    </row>
    <row r="436" spans="1:35">
      <c r="A436" s="590"/>
      <c r="B436" s="591"/>
      <c r="C436" s="582"/>
      <c r="D436" s="583">
        <v>1400</v>
      </c>
      <c r="E436" s="582"/>
      <c r="F436" s="583">
        <v>132</v>
      </c>
      <c r="G436" s="586"/>
      <c r="H436" s="585">
        <v>3150</v>
      </c>
      <c r="I436" s="585"/>
      <c r="J436" s="585">
        <v>0</v>
      </c>
      <c r="K436" s="586"/>
      <c r="L436" s="585">
        <v>2100</v>
      </c>
      <c r="M436" s="586"/>
      <c r="N436" s="585">
        <v>198</v>
      </c>
      <c r="O436" s="733"/>
      <c r="P436" s="592">
        <v>2275</v>
      </c>
      <c r="Q436" s="765"/>
      <c r="R436" s="765">
        <v>88.48</v>
      </c>
      <c r="S436" s="765"/>
      <c r="T436" s="765">
        <v>72.14</v>
      </c>
      <c r="U436" s="586"/>
      <c r="V436" s="587">
        <v>60</v>
      </c>
      <c r="W436" s="586"/>
      <c r="X436" s="587">
        <v>150</v>
      </c>
      <c r="Y436" s="586"/>
      <c r="Z436" s="588">
        <v>24</v>
      </c>
      <c r="AA436" s="586"/>
      <c r="AB436" s="588">
        <v>16</v>
      </c>
      <c r="AC436" s="586"/>
      <c r="AD436" s="586"/>
      <c r="AE436" s="589"/>
      <c r="AF436" s="734">
        <f t="shared" si="24"/>
        <v>0</v>
      </c>
      <c r="AG436" s="585">
        <f t="shared" si="25"/>
        <v>0</v>
      </c>
      <c r="AH436" s="585">
        <f t="shared" si="26"/>
        <v>0</v>
      </c>
      <c r="AI436" s="991"/>
    </row>
    <row r="437" spans="1:35">
      <c r="A437" s="590"/>
      <c r="B437" s="591"/>
      <c r="C437" s="582"/>
      <c r="D437" s="583">
        <v>1400</v>
      </c>
      <c r="E437" s="582"/>
      <c r="F437" s="583">
        <v>132</v>
      </c>
      <c r="G437" s="586"/>
      <c r="H437" s="585">
        <v>3150</v>
      </c>
      <c r="I437" s="585"/>
      <c r="J437" s="585">
        <v>0</v>
      </c>
      <c r="K437" s="586"/>
      <c r="L437" s="585">
        <v>2100</v>
      </c>
      <c r="M437" s="586"/>
      <c r="N437" s="585">
        <v>198</v>
      </c>
      <c r="O437" s="733"/>
      <c r="P437" s="592">
        <v>2275</v>
      </c>
      <c r="Q437" s="765"/>
      <c r="R437" s="765"/>
      <c r="S437" s="765"/>
      <c r="T437" s="765">
        <v>72.14</v>
      </c>
      <c r="U437" s="586"/>
      <c r="V437" s="587">
        <v>60</v>
      </c>
      <c r="W437" s="586"/>
      <c r="X437" s="587">
        <v>150</v>
      </c>
      <c r="Y437" s="586"/>
      <c r="Z437" s="588">
        <v>24</v>
      </c>
      <c r="AA437" s="586"/>
      <c r="AB437" s="588">
        <v>16</v>
      </c>
      <c r="AC437" s="586"/>
      <c r="AD437" s="586"/>
      <c r="AE437" s="589"/>
      <c r="AF437" s="734">
        <f t="shared" si="24"/>
        <v>0</v>
      </c>
      <c r="AG437" s="585">
        <f t="shared" si="25"/>
        <v>0</v>
      </c>
      <c r="AH437" s="585">
        <f t="shared" si="26"/>
        <v>0</v>
      </c>
      <c r="AI437" s="991"/>
    </row>
    <row r="438" spans="1:35">
      <c r="A438" s="590"/>
      <c r="B438" s="591"/>
      <c r="C438" s="582"/>
      <c r="D438" s="583">
        <v>1400</v>
      </c>
      <c r="E438" s="582"/>
      <c r="F438" s="583">
        <v>132</v>
      </c>
      <c r="G438" s="586"/>
      <c r="H438" s="585">
        <v>3150</v>
      </c>
      <c r="I438" s="585"/>
      <c r="J438" s="585">
        <v>0</v>
      </c>
      <c r="K438" s="586"/>
      <c r="L438" s="585">
        <v>2100</v>
      </c>
      <c r="M438" s="586"/>
      <c r="N438" s="585">
        <v>198</v>
      </c>
      <c r="O438" s="733"/>
      <c r="P438" s="592">
        <v>2275</v>
      </c>
      <c r="Q438" s="765"/>
      <c r="R438" s="765"/>
      <c r="S438" s="765"/>
      <c r="T438" s="765">
        <v>72.14</v>
      </c>
      <c r="U438" s="586"/>
      <c r="V438" s="587">
        <v>60</v>
      </c>
      <c r="W438" s="586"/>
      <c r="X438" s="587">
        <v>150</v>
      </c>
      <c r="Y438" s="586"/>
      <c r="Z438" s="588">
        <v>24</v>
      </c>
      <c r="AA438" s="586"/>
      <c r="AB438" s="588">
        <v>16</v>
      </c>
      <c r="AC438" s="586"/>
      <c r="AD438" s="586"/>
      <c r="AE438" s="589"/>
      <c r="AF438" s="734">
        <f t="shared" si="24"/>
        <v>0</v>
      </c>
      <c r="AG438" s="585">
        <f t="shared" si="25"/>
        <v>0</v>
      </c>
      <c r="AH438" s="585">
        <f t="shared" si="26"/>
        <v>0</v>
      </c>
      <c r="AI438" s="991"/>
    </row>
    <row r="439" spans="1:35">
      <c r="A439" s="590"/>
      <c r="B439" s="591"/>
      <c r="C439" s="582"/>
      <c r="D439" s="583">
        <v>1400</v>
      </c>
      <c r="E439" s="582"/>
      <c r="F439" s="583">
        <v>132</v>
      </c>
      <c r="G439" s="586"/>
      <c r="H439" s="585">
        <v>3150</v>
      </c>
      <c r="I439" s="585"/>
      <c r="J439" s="585">
        <v>0</v>
      </c>
      <c r="K439" s="586"/>
      <c r="L439" s="585">
        <v>2100</v>
      </c>
      <c r="M439" s="586"/>
      <c r="N439" s="585">
        <v>198</v>
      </c>
      <c r="O439" s="733"/>
      <c r="P439" s="592">
        <v>2275</v>
      </c>
      <c r="Q439" s="765"/>
      <c r="R439" s="765"/>
      <c r="S439" s="765"/>
      <c r="T439" s="765"/>
      <c r="U439" s="586"/>
      <c r="V439" s="587">
        <v>60</v>
      </c>
      <c r="W439" s="586"/>
      <c r="X439" s="587">
        <v>150</v>
      </c>
      <c r="Y439" s="586"/>
      <c r="Z439" s="588">
        <v>24</v>
      </c>
      <c r="AA439" s="586"/>
      <c r="AB439" s="588">
        <v>16</v>
      </c>
      <c r="AC439" s="586"/>
      <c r="AD439" s="586"/>
      <c r="AE439" s="589"/>
      <c r="AF439" s="734">
        <f t="shared" si="24"/>
        <v>0</v>
      </c>
      <c r="AG439" s="585">
        <f t="shared" si="25"/>
        <v>0</v>
      </c>
      <c r="AH439" s="585">
        <f t="shared" si="26"/>
        <v>0</v>
      </c>
      <c r="AI439" s="991"/>
    </row>
    <row r="440" spans="1:35">
      <c r="A440" s="590"/>
      <c r="B440" s="591"/>
      <c r="C440" s="582"/>
      <c r="D440" s="583">
        <v>1400</v>
      </c>
      <c r="E440" s="582"/>
      <c r="F440" s="583">
        <v>132</v>
      </c>
      <c r="G440" s="586"/>
      <c r="H440" s="585">
        <v>3150</v>
      </c>
      <c r="I440" s="585"/>
      <c r="J440" s="585">
        <v>0</v>
      </c>
      <c r="K440" s="586"/>
      <c r="L440" s="585">
        <v>2100</v>
      </c>
      <c r="M440" s="586"/>
      <c r="N440" s="585">
        <v>198</v>
      </c>
      <c r="O440" s="733"/>
      <c r="P440" s="592">
        <v>2275</v>
      </c>
      <c r="Q440" s="765"/>
      <c r="R440" s="765"/>
      <c r="S440" s="765"/>
      <c r="T440" s="765"/>
      <c r="U440" s="586"/>
      <c r="V440" s="587">
        <v>60</v>
      </c>
      <c r="W440" s="586"/>
      <c r="X440" s="587">
        <v>150</v>
      </c>
      <c r="Y440" s="586"/>
      <c r="Z440" s="588">
        <v>24</v>
      </c>
      <c r="AA440" s="586"/>
      <c r="AB440" s="588">
        <v>16</v>
      </c>
      <c r="AC440" s="586"/>
      <c r="AD440" s="586"/>
      <c r="AE440" s="589"/>
      <c r="AF440" s="734">
        <f t="shared" si="24"/>
        <v>0</v>
      </c>
      <c r="AG440" s="585">
        <f t="shared" si="25"/>
        <v>0</v>
      </c>
      <c r="AH440" s="585">
        <f t="shared" si="26"/>
        <v>0</v>
      </c>
      <c r="AI440" s="991"/>
    </row>
    <row r="441" spans="1:35">
      <c r="A441" s="467"/>
      <c r="AF441" s="585"/>
    </row>
    <row r="444" spans="1:35">
      <c r="Y444" s="964"/>
    </row>
  </sheetData>
  <autoFilter ref="A3:AJ439">
    <sortState ref="A4:BJ440">
      <sortCondition ref="A3:A440"/>
    </sortState>
  </autoFilter>
  <phoneticPr fontId="3" type="noConversion"/>
  <pageMargins left="0.7" right="0.7" top="0.75" bottom="0.75" header="0.3" footer="0.3"/>
  <pageSetup orientation="portrait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0"/>
  </sheetPr>
  <dimension ref="A1:AI81"/>
  <sheetViews>
    <sheetView topLeftCell="K1" workbookViewId="0">
      <pane ySplit="6" topLeftCell="A7" activePane="bottomLeft" state="frozen"/>
      <selection activeCell="K94" sqref="K94"/>
      <selection pane="bottomLeft" activeCell="A2" sqref="A2"/>
    </sheetView>
  </sheetViews>
  <sheetFormatPr baseColWidth="10" defaultColWidth="8.83203125" defaultRowHeight="12" x14ac:dyDescent="0"/>
  <cols>
    <col min="1" max="1" width="9.5" style="336" bestFit="1" customWidth="1"/>
    <col min="2" max="2" width="17.6640625" style="336" bestFit="1" customWidth="1"/>
    <col min="3" max="3" width="12.33203125" style="336" bestFit="1" customWidth="1"/>
    <col min="4" max="4" width="12.33203125" style="341" customWidth="1"/>
    <col min="5" max="5" width="11.6640625" style="336" bestFit="1" customWidth="1"/>
    <col min="6" max="6" width="13" style="336" bestFit="1" customWidth="1"/>
    <col min="7" max="7" width="13.33203125" style="336" bestFit="1" customWidth="1"/>
    <col min="8" max="8" width="13.1640625" style="336" bestFit="1" customWidth="1"/>
    <col min="9" max="9" width="12.83203125" style="25" bestFit="1" customWidth="1"/>
    <col min="10" max="10" width="13.1640625" style="25" customWidth="1"/>
    <col min="11" max="11" width="14.5" style="25" bestFit="1" customWidth="1"/>
    <col min="12" max="12" width="13.6640625" style="25" customWidth="1"/>
    <col min="13" max="13" width="12.6640625" style="25" customWidth="1"/>
    <col min="14" max="14" width="11.1640625" style="25" customWidth="1"/>
    <col min="15" max="15" width="12.1640625" style="25" customWidth="1"/>
    <col min="16" max="16" width="16.6640625" style="25" customWidth="1"/>
    <col min="17" max="17" width="11.5" style="25" customWidth="1"/>
    <col min="18" max="18" width="10.5" style="25" customWidth="1"/>
    <col min="19" max="19" width="9.1640625" style="25" hidden="1" customWidth="1"/>
    <col min="20" max="20" width="9.83203125" style="25" hidden="1" customWidth="1"/>
    <col min="21" max="21" width="10" style="25" hidden="1" customWidth="1"/>
    <col min="22" max="22" width="10.33203125" style="25" hidden="1" customWidth="1"/>
    <col min="23" max="23" width="10" style="25" hidden="1" customWidth="1"/>
    <col min="24" max="24" width="13.5" style="25" hidden="1" customWidth="1"/>
    <col min="25" max="26" width="12" style="25" hidden="1" customWidth="1"/>
    <col min="27" max="27" width="10.6640625" style="25" hidden="1" customWidth="1"/>
    <col min="28" max="28" width="13" style="336" bestFit="1" customWidth="1"/>
    <col min="29" max="29" width="9.83203125" style="336" bestFit="1" customWidth="1"/>
    <col min="30" max="30" width="12" style="336" bestFit="1" customWidth="1"/>
    <col min="31" max="31" width="13.5" style="336" bestFit="1" customWidth="1"/>
    <col min="32" max="32" width="17.1640625" style="336" bestFit="1" customWidth="1"/>
  </cols>
  <sheetData>
    <row r="1" spans="1:32">
      <c r="A1" s="24"/>
      <c r="B1" s="24"/>
      <c r="C1" s="24"/>
      <c r="D1" s="24"/>
      <c r="E1" s="24"/>
      <c r="F1" s="24"/>
      <c r="G1" s="24"/>
      <c r="H1" s="30"/>
      <c r="AB1" s="25"/>
      <c r="AC1" s="25"/>
      <c r="AD1" s="25"/>
      <c r="AE1" s="25"/>
    </row>
    <row r="2" spans="1:32">
      <c r="A2" s="100" t="s">
        <v>1107</v>
      </c>
      <c r="B2" s="116"/>
      <c r="C2" s="116"/>
      <c r="D2" s="116"/>
      <c r="E2" s="116"/>
      <c r="F2" s="116"/>
      <c r="G2" s="116"/>
      <c r="H2" s="30"/>
      <c r="AB2" s="25"/>
      <c r="AC2" s="25"/>
      <c r="AD2" s="25"/>
      <c r="AE2" s="25"/>
    </row>
    <row r="3" spans="1:32">
      <c r="A3" s="24"/>
      <c r="B3" s="24"/>
      <c r="C3" s="24"/>
      <c r="D3" s="24"/>
      <c r="E3" s="24"/>
      <c r="F3" s="24"/>
      <c r="G3" s="24"/>
      <c r="H3" s="30"/>
      <c r="AB3" s="25"/>
      <c r="AC3" s="25"/>
      <c r="AD3" s="25"/>
      <c r="AE3" s="25"/>
    </row>
    <row r="4" spans="1:32" ht="51.75" customHeight="1">
      <c r="A4" s="36" t="s">
        <v>0</v>
      </c>
      <c r="B4" s="36" t="s">
        <v>147</v>
      </c>
      <c r="C4" s="36"/>
      <c r="D4" s="770"/>
      <c r="E4" s="36" t="s">
        <v>372</v>
      </c>
      <c r="F4" s="1167"/>
      <c r="G4" s="36" t="s">
        <v>373</v>
      </c>
      <c r="H4" s="41" t="s">
        <v>428</v>
      </c>
      <c r="I4" s="41" t="s">
        <v>430</v>
      </c>
      <c r="J4" s="41" t="s">
        <v>150</v>
      </c>
      <c r="K4" s="40" t="s">
        <v>429</v>
      </c>
      <c r="L4" s="40" t="s">
        <v>730</v>
      </c>
      <c r="M4" s="40" t="s">
        <v>731</v>
      </c>
      <c r="N4" s="40" t="s">
        <v>732</v>
      </c>
      <c r="O4" s="363" t="s">
        <v>733</v>
      </c>
      <c r="P4" s="363" t="s">
        <v>838</v>
      </c>
      <c r="Q4" s="363" t="s">
        <v>1014</v>
      </c>
      <c r="R4" s="363" t="s">
        <v>1015</v>
      </c>
      <c r="S4" s="40"/>
      <c r="T4" s="40" t="s">
        <v>150</v>
      </c>
      <c r="U4" s="40" t="s">
        <v>26</v>
      </c>
      <c r="V4" s="40" t="s">
        <v>161</v>
      </c>
      <c r="W4" s="40" t="s">
        <v>26</v>
      </c>
      <c r="X4" s="40" t="s">
        <v>165</v>
      </c>
      <c r="Y4" s="40" t="s">
        <v>163</v>
      </c>
      <c r="Z4" s="40" t="s">
        <v>164</v>
      </c>
      <c r="AA4" s="40" t="s">
        <v>157</v>
      </c>
      <c r="AB4" s="40" t="s">
        <v>13</v>
      </c>
      <c r="AC4" s="40" t="s">
        <v>14</v>
      </c>
      <c r="AD4" s="40" t="s">
        <v>9</v>
      </c>
      <c r="AE4" s="40" t="s">
        <v>15</v>
      </c>
      <c r="AF4" s="55" t="s">
        <v>16</v>
      </c>
    </row>
    <row r="5" spans="1:32" s="2" customFormat="1">
      <c r="A5" s="393"/>
      <c r="B5" s="394"/>
      <c r="C5" s="395" t="s">
        <v>371</v>
      </c>
      <c r="D5" s="771" t="s">
        <v>695</v>
      </c>
      <c r="E5" s="395" t="s">
        <v>371</v>
      </c>
      <c r="F5" s="395" t="s">
        <v>371</v>
      </c>
      <c r="G5" s="396" t="s">
        <v>374</v>
      </c>
      <c r="H5" s="397"/>
      <c r="I5" s="398"/>
      <c r="J5" s="397"/>
      <c r="K5" s="398"/>
      <c r="L5" s="399"/>
      <c r="M5" s="398"/>
      <c r="N5" s="399"/>
      <c r="O5" s="400"/>
      <c r="P5" s="400"/>
      <c r="Q5" s="400"/>
      <c r="R5" s="400"/>
      <c r="S5" s="398"/>
      <c r="T5" s="263"/>
      <c r="U5" s="265"/>
      <c r="V5" s="263"/>
      <c r="W5" s="265"/>
      <c r="X5" s="263"/>
      <c r="Y5" s="263"/>
      <c r="Z5" s="263"/>
      <c r="AA5" s="263"/>
      <c r="AB5" s="398"/>
      <c r="AC5" s="398"/>
      <c r="AD5" s="398"/>
      <c r="AE5" s="397"/>
      <c r="AF5" s="296">
        <f>SUM(AB7:AB86)</f>
        <v>247659.15000000005</v>
      </c>
    </row>
    <row r="6" spans="1:32" s="2" customFormat="1">
      <c r="A6" s="393" t="s">
        <v>370</v>
      </c>
      <c r="B6" s="394"/>
      <c r="C6" s="401">
        <v>1260</v>
      </c>
      <c r="D6" s="772">
        <v>90</v>
      </c>
      <c r="E6" s="401">
        <v>324</v>
      </c>
      <c r="F6" s="401">
        <v>150</v>
      </c>
      <c r="G6" s="401">
        <v>461.6</v>
      </c>
      <c r="H6" s="402">
        <v>1</v>
      </c>
      <c r="I6" s="403">
        <v>1</v>
      </c>
      <c r="J6" s="402">
        <v>25</v>
      </c>
      <c r="K6" s="403">
        <v>90</v>
      </c>
      <c r="L6" s="403">
        <v>210</v>
      </c>
      <c r="M6" s="403">
        <v>75</v>
      </c>
      <c r="N6" s="403">
        <v>90</v>
      </c>
      <c r="O6" s="404">
        <v>115</v>
      </c>
      <c r="P6" s="404">
        <v>80</v>
      </c>
      <c r="Q6" s="404">
        <v>60</v>
      </c>
      <c r="R6" s="404">
        <v>1</v>
      </c>
      <c r="S6" s="403"/>
      <c r="T6" s="263"/>
      <c r="U6" s="265"/>
      <c r="V6" s="263"/>
      <c r="W6" s="265"/>
      <c r="X6" s="263"/>
      <c r="Y6" s="263"/>
      <c r="Z6" s="263"/>
      <c r="AA6" s="263"/>
      <c r="AB6" s="398"/>
      <c r="AC6" s="398"/>
      <c r="AD6" s="398"/>
      <c r="AE6" s="397"/>
      <c r="AF6" s="299"/>
    </row>
    <row r="7" spans="1:32" s="559" customFormat="1">
      <c r="A7" s="695">
        <v>42231</v>
      </c>
      <c r="B7" s="697">
        <v>15076</v>
      </c>
      <c r="C7" s="697">
        <v>1</v>
      </c>
      <c r="D7" s="1010"/>
      <c r="E7" s="697">
        <v>1</v>
      </c>
      <c r="F7" s="697"/>
      <c r="G7" s="697"/>
      <c r="H7" s="699"/>
      <c r="I7" s="700"/>
      <c r="J7" s="699"/>
      <c r="K7" s="700"/>
      <c r="L7" s="701"/>
      <c r="M7" s="700"/>
      <c r="N7" s="701"/>
      <c r="O7" s="875"/>
      <c r="P7" s="875"/>
      <c r="Q7" s="875"/>
      <c r="R7" s="875"/>
      <c r="S7" s="700"/>
      <c r="T7" s="701"/>
      <c r="U7" s="700"/>
      <c r="V7" s="701"/>
      <c r="W7" s="700"/>
      <c r="X7" s="701"/>
      <c r="Y7" s="701"/>
      <c r="Z7" s="701"/>
      <c r="AA7" s="701"/>
      <c r="AB7" s="700">
        <f>SUM(C7*$C$6+E7*$E$6+F7*$F$6+G7*$G$6+H7*$H$6+I7*$I$6+J7*$J$6+K7*$K$6+L7*$L$6+M7*$M$6+N7*$N$6+O7*$O$6+P7*$P$6+Q7*$Q$6+R7*$R$6+S7*$S$6+T7*$T$6+U7*$U$6+V7*$V$6+W7*$W$6+X7*$X$6+Y7*$Y$6+Z7*$Z$6+AA7*$AA$6+$D$6*D7)</f>
        <v>1584</v>
      </c>
      <c r="AC7" s="700">
        <f t="shared" ref="AC7:AC39" si="0">AB7*5%</f>
        <v>79.2</v>
      </c>
      <c r="AD7" s="700">
        <f t="shared" ref="AD7:AD39" si="1">AB7+AC7</f>
        <v>1663.2</v>
      </c>
      <c r="AE7" s="699">
        <v>348497</v>
      </c>
      <c r="AF7" s="832"/>
    </row>
    <row r="8" spans="1:32" s="559" customFormat="1">
      <c r="A8" s="695">
        <v>42238</v>
      </c>
      <c r="B8" s="919">
        <v>15080</v>
      </c>
      <c r="C8" s="697">
        <v>1</v>
      </c>
      <c r="D8" s="1010"/>
      <c r="E8" s="697">
        <v>1</v>
      </c>
      <c r="F8" s="919">
        <v>1</v>
      </c>
      <c r="G8" s="697">
        <v>2</v>
      </c>
      <c r="H8" s="699"/>
      <c r="I8" s="700"/>
      <c r="J8" s="699"/>
      <c r="K8" s="700"/>
      <c r="L8" s="701"/>
      <c r="M8" s="700"/>
      <c r="N8" s="701"/>
      <c r="O8" s="875"/>
      <c r="P8" s="875"/>
      <c r="Q8" s="875"/>
      <c r="R8" s="875"/>
      <c r="S8" s="700"/>
      <c r="T8" s="701"/>
      <c r="U8" s="700"/>
      <c r="V8" s="701"/>
      <c r="W8" s="700"/>
      <c r="X8" s="701"/>
      <c r="Y8" s="701"/>
      <c r="Z8" s="701"/>
      <c r="AA8" s="701"/>
      <c r="AB8" s="700">
        <f t="shared" ref="AB8:AB62" si="2">SUM(C8*$C$6+E8*$E$6+F8*$F$6+G8*$G$6+H8*$H$6+I8*$I$6+J8*$J$6+K8*$K$6+L8*$L$6+M8*$M$6+N8*$N$6+O8*$O$6+P8*$P$6+Q8*$Q$6+R8*$R$6+S8*$S$6+T8*$T$6+U8*$U$6+V8*$V$6+W8*$W$6+X8*$X$6+Y8*$Y$6+Z8*$Z$6+AA8*$AA$6+$D$6*D8)</f>
        <v>2657.2</v>
      </c>
      <c r="AC8" s="700">
        <f t="shared" si="0"/>
        <v>132.85999999999999</v>
      </c>
      <c r="AD8" s="700">
        <f t="shared" si="1"/>
        <v>2790.06</v>
      </c>
      <c r="AE8" s="699">
        <v>348497</v>
      </c>
      <c r="AF8" s="626"/>
    </row>
    <row r="9" spans="1:32" s="559" customFormat="1">
      <c r="A9" s="695">
        <v>42240</v>
      </c>
      <c r="B9" s="919">
        <v>15082</v>
      </c>
      <c r="C9" s="697">
        <v>1</v>
      </c>
      <c r="D9" s="1010"/>
      <c r="E9" s="697">
        <v>1</v>
      </c>
      <c r="F9" s="919">
        <v>1</v>
      </c>
      <c r="G9" s="697">
        <v>2</v>
      </c>
      <c r="H9" s="699"/>
      <c r="I9" s="700"/>
      <c r="J9" s="699"/>
      <c r="K9" s="700"/>
      <c r="L9" s="701"/>
      <c r="M9" s="700"/>
      <c r="N9" s="701"/>
      <c r="O9" s="875"/>
      <c r="P9" s="875"/>
      <c r="Q9" s="875"/>
      <c r="R9" s="875"/>
      <c r="S9" s="700"/>
      <c r="T9" s="701"/>
      <c r="U9" s="700"/>
      <c r="V9" s="701"/>
      <c r="W9" s="700"/>
      <c r="X9" s="701"/>
      <c r="Y9" s="701"/>
      <c r="Z9" s="701"/>
      <c r="AA9" s="701"/>
      <c r="AB9" s="700">
        <f t="shared" si="2"/>
        <v>2657.2</v>
      </c>
      <c r="AC9" s="700">
        <f t="shared" si="0"/>
        <v>132.85999999999999</v>
      </c>
      <c r="AD9" s="700">
        <f t="shared" si="1"/>
        <v>2790.06</v>
      </c>
      <c r="AE9" s="699">
        <v>348497</v>
      </c>
      <c r="AF9" s="626"/>
    </row>
    <row r="10" spans="1:32" s="559" customFormat="1">
      <c r="A10" s="695">
        <v>42241</v>
      </c>
      <c r="B10" s="919">
        <v>15081</v>
      </c>
      <c r="C10" s="697">
        <v>1</v>
      </c>
      <c r="D10" s="1010"/>
      <c r="E10" s="697">
        <v>1</v>
      </c>
      <c r="F10" s="919">
        <v>1</v>
      </c>
      <c r="G10" s="697">
        <v>2</v>
      </c>
      <c r="H10" s="699"/>
      <c r="I10" s="700"/>
      <c r="J10" s="699"/>
      <c r="K10" s="700"/>
      <c r="L10" s="701"/>
      <c r="M10" s="700"/>
      <c r="N10" s="701"/>
      <c r="O10" s="875"/>
      <c r="P10" s="875"/>
      <c r="Q10" s="875"/>
      <c r="R10" s="875"/>
      <c r="S10" s="700"/>
      <c r="T10" s="700"/>
      <c r="U10" s="700"/>
      <c r="V10" s="701"/>
      <c r="W10" s="700"/>
      <c r="X10" s="701"/>
      <c r="Y10" s="701"/>
      <c r="Z10" s="701"/>
      <c r="AA10" s="701"/>
      <c r="AB10" s="700">
        <f t="shared" si="2"/>
        <v>2657.2</v>
      </c>
      <c r="AC10" s="700">
        <f t="shared" si="0"/>
        <v>132.85999999999999</v>
      </c>
      <c r="AD10" s="700">
        <f t="shared" si="1"/>
        <v>2790.06</v>
      </c>
      <c r="AE10" s="699">
        <v>348497</v>
      </c>
      <c r="AF10" s="626"/>
    </row>
    <row r="11" spans="1:32" s="559" customFormat="1">
      <c r="A11" s="695">
        <v>42242</v>
      </c>
      <c r="B11" s="919">
        <v>15083</v>
      </c>
      <c r="C11" s="697">
        <v>1</v>
      </c>
      <c r="D11" s="1010"/>
      <c r="E11" s="697">
        <v>1</v>
      </c>
      <c r="F11" s="919">
        <v>1</v>
      </c>
      <c r="G11" s="697">
        <v>2</v>
      </c>
      <c r="H11" s="699"/>
      <c r="I11" s="700"/>
      <c r="J11" s="699"/>
      <c r="K11" s="700"/>
      <c r="L11" s="701"/>
      <c r="M11" s="700"/>
      <c r="N11" s="701"/>
      <c r="O11" s="875"/>
      <c r="P11" s="875"/>
      <c r="Q11" s="875"/>
      <c r="R11" s="875"/>
      <c r="S11" s="700"/>
      <c r="T11" s="700"/>
      <c r="U11" s="700"/>
      <c r="V11" s="701"/>
      <c r="W11" s="700"/>
      <c r="X11" s="701"/>
      <c r="Y11" s="701"/>
      <c r="Z11" s="701"/>
      <c r="AA11" s="701"/>
      <c r="AB11" s="700">
        <f t="shared" si="2"/>
        <v>2657.2</v>
      </c>
      <c r="AC11" s="700">
        <f t="shared" si="0"/>
        <v>132.85999999999999</v>
      </c>
      <c r="AD11" s="700">
        <f t="shared" si="1"/>
        <v>2790.06</v>
      </c>
      <c r="AE11" s="699">
        <v>348497</v>
      </c>
      <c r="AF11" s="626"/>
    </row>
    <row r="12" spans="1:32" s="559" customFormat="1">
      <c r="A12" s="695">
        <v>42243</v>
      </c>
      <c r="B12" s="919">
        <v>15084</v>
      </c>
      <c r="C12" s="697">
        <v>1</v>
      </c>
      <c r="D12" s="1010"/>
      <c r="E12" s="697">
        <v>1</v>
      </c>
      <c r="F12" s="919">
        <v>1</v>
      </c>
      <c r="G12" s="697">
        <v>0</v>
      </c>
      <c r="H12" s="699"/>
      <c r="I12" s="700"/>
      <c r="J12" s="699"/>
      <c r="K12" s="700"/>
      <c r="L12" s="701"/>
      <c r="M12" s="701"/>
      <c r="N12" s="701"/>
      <c r="O12" s="875"/>
      <c r="P12" s="875"/>
      <c r="Q12" s="875"/>
      <c r="R12" s="875"/>
      <c r="S12" s="700"/>
      <c r="T12" s="700"/>
      <c r="U12" s="700"/>
      <c r="V12" s="701"/>
      <c r="W12" s="700"/>
      <c r="X12" s="701"/>
      <c r="Y12" s="701"/>
      <c r="Z12" s="701"/>
      <c r="AA12" s="701"/>
      <c r="AB12" s="700">
        <f t="shared" si="2"/>
        <v>1734</v>
      </c>
      <c r="AC12" s="700">
        <f t="shared" si="0"/>
        <v>86.7</v>
      </c>
      <c r="AD12" s="700">
        <f t="shared" si="1"/>
        <v>1820.7</v>
      </c>
      <c r="AE12" s="699">
        <v>348497</v>
      </c>
      <c r="AF12" s="626"/>
    </row>
    <row r="13" spans="1:32" s="559" customFormat="1">
      <c r="A13" s="695">
        <v>42244</v>
      </c>
      <c r="B13" s="919">
        <v>15085</v>
      </c>
      <c r="C13" s="697">
        <v>1</v>
      </c>
      <c r="D13" s="1010"/>
      <c r="E13" s="697">
        <v>1</v>
      </c>
      <c r="F13" s="919">
        <v>1</v>
      </c>
      <c r="G13" s="697">
        <v>0</v>
      </c>
      <c r="H13" s="699"/>
      <c r="I13" s="700"/>
      <c r="J13" s="699"/>
      <c r="K13" s="700"/>
      <c r="L13" s="701"/>
      <c r="M13" s="701"/>
      <c r="N13" s="701"/>
      <c r="O13" s="875"/>
      <c r="P13" s="875"/>
      <c r="Q13" s="875"/>
      <c r="R13" s="875"/>
      <c r="S13" s="700"/>
      <c r="T13" s="700"/>
      <c r="U13" s="700"/>
      <c r="V13" s="701"/>
      <c r="W13" s="700"/>
      <c r="X13" s="701"/>
      <c r="Y13" s="701"/>
      <c r="Z13" s="701"/>
      <c r="AA13" s="701"/>
      <c r="AB13" s="700">
        <f t="shared" si="2"/>
        <v>1734</v>
      </c>
      <c r="AC13" s="700">
        <f t="shared" si="0"/>
        <v>86.7</v>
      </c>
      <c r="AD13" s="700">
        <f t="shared" si="1"/>
        <v>1820.7</v>
      </c>
      <c r="AE13" s="699">
        <v>348497</v>
      </c>
      <c r="AF13" s="626"/>
    </row>
    <row r="14" spans="1:32" s="559" customFormat="1">
      <c r="A14" s="695">
        <v>42245</v>
      </c>
      <c r="B14" s="919">
        <v>15087</v>
      </c>
      <c r="C14" s="697">
        <v>1</v>
      </c>
      <c r="D14" s="1010"/>
      <c r="E14" s="697">
        <v>1</v>
      </c>
      <c r="F14" s="919">
        <v>1</v>
      </c>
      <c r="G14" s="697">
        <v>0</v>
      </c>
      <c r="H14" s="699">
        <v>923.2</v>
      </c>
      <c r="I14" s="700"/>
      <c r="J14" s="699"/>
      <c r="K14" s="700"/>
      <c r="L14" s="701"/>
      <c r="M14" s="701"/>
      <c r="N14" s="701"/>
      <c r="O14" s="875"/>
      <c r="P14" s="875"/>
      <c r="Q14" s="875"/>
      <c r="R14" s="875"/>
      <c r="S14" s="700"/>
      <c r="T14" s="700"/>
      <c r="U14" s="700"/>
      <c r="V14" s="701"/>
      <c r="W14" s="700"/>
      <c r="X14" s="701"/>
      <c r="Y14" s="701"/>
      <c r="Z14" s="701"/>
      <c r="AA14" s="701"/>
      <c r="AB14" s="700">
        <f t="shared" si="2"/>
        <v>2657.2</v>
      </c>
      <c r="AC14" s="700">
        <f t="shared" si="0"/>
        <v>132.85999999999999</v>
      </c>
      <c r="AD14" s="700">
        <f t="shared" si="1"/>
        <v>2790.06</v>
      </c>
      <c r="AE14" s="699">
        <v>348497</v>
      </c>
      <c r="AF14" s="626"/>
    </row>
    <row r="15" spans="1:32" s="559" customFormat="1">
      <c r="A15" s="695">
        <v>42248</v>
      </c>
      <c r="B15" s="919">
        <v>15089</v>
      </c>
      <c r="C15" s="697">
        <v>1</v>
      </c>
      <c r="D15" s="1010"/>
      <c r="E15" s="697">
        <v>1</v>
      </c>
      <c r="F15" s="919">
        <v>1</v>
      </c>
      <c r="G15" s="697">
        <v>0</v>
      </c>
      <c r="H15" s="699">
        <v>923.2</v>
      </c>
      <c r="I15" s="700"/>
      <c r="J15" s="699"/>
      <c r="K15" s="700"/>
      <c r="L15" s="701"/>
      <c r="M15" s="701"/>
      <c r="N15" s="701"/>
      <c r="O15" s="875"/>
      <c r="P15" s="875"/>
      <c r="Q15" s="875"/>
      <c r="R15" s="875"/>
      <c r="S15" s="700"/>
      <c r="T15" s="700"/>
      <c r="U15" s="700"/>
      <c r="V15" s="701"/>
      <c r="W15" s="700"/>
      <c r="X15" s="701"/>
      <c r="Y15" s="701"/>
      <c r="Z15" s="701"/>
      <c r="AA15" s="701"/>
      <c r="AB15" s="700">
        <f t="shared" si="2"/>
        <v>2657.2</v>
      </c>
      <c r="AC15" s="700">
        <f t="shared" si="0"/>
        <v>132.85999999999999</v>
      </c>
      <c r="AD15" s="700">
        <f t="shared" si="1"/>
        <v>2790.06</v>
      </c>
      <c r="AE15" s="699">
        <v>348497</v>
      </c>
      <c r="AF15" s="626"/>
    </row>
    <row r="16" spans="1:32" s="559" customFormat="1">
      <c r="A16" s="695">
        <v>42247</v>
      </c>
      <c r="B16" s="919">
        <v>15090</v>
      </c>
      <c r="C16" s="697">
        <v>1</v>
      </c>
      <c r="D16" s="1010"/>
      <c r="E16" s="697">
        <v>1</v>
      </c>
      <c r="F16" s="919">
        <v>1</v>
      </c>
      <c r="G16" s="697">
        <v>0</v>
      </c>
      <c r="H16" s="699">
        <v>1888.69</v>
      </c>
      <c r="I16" s="701"/>
      <c r="J16" s="699"/>
      <c r="K16" s="700"/>
      <c r="L16" s="701"/>
      <c r="M16" s="701"/>
      <c r="N16" s="701"/>
      <c r="O16" s="875"/>
      <c r="P16" s="875"/>
      <c r="Q16" s="875"/>
      <c r="R16" s="875"/>
      <c r="S16" s="700"/>
      <c r="T16" s="700"/>
      <c r="U16" s="700"/>
      <c r="V16" s="701"/>
      <c r="W16" s="700"/>
      <c r="X16" s="701"/>
      <c r="Y16" s="701"/>
      <c r="Z16" s="701"/>
      <c r="AA16" s="701"/>
      <c r="AB16" s="700">
        <f t="shared" si="2"/>
        <v>3622.69</v>
      </c>
      <c r="AC16" s="700">
        <f t="shared" si="0"/>
        <v>181.1345</v>
      </c>
      <c r="AD16" s="700">
        <f t="shared" si="1"/>
        <v>3803.8245000000002</v>
      </c>
      <c r="AE16" s="699">
        <v>348497</v>
      </c>
      <c r="AF16" s="626"/>
    </row>
    <row r="17" spans="1:35" s="559" customFormat="1">
      <c r="A17" s="695">
        <v>42249</v>
      </c>
      <c r="B17" s="919">
        <v>15093</v>
      </c>
      <c r="C17" s="697">
        <v>0</v>
      </c>
      <c r="D17" s="1010"/>
      <c r="E17" s="697">
        <v>0</v>
      </c>
      <c r="F17" s="919">
        <v>0</v>
      </c>
      <c r="G17" s="697">
        <v>0</v>
      </c>
      <c r="H17" s="1011"/>
      <c r="I17" s="700">
        <v>650</v>
      </c>
      <c r="J17" s="699"/>
      <c r="K17" s="701">
        <v>11</v>
      </c>
      <c r="L17" s="701"/>
      <c r="M17" s="701"/>
      <c r="N17" s="701"/>
      <c r="O17" s="875"/>
      <c r="P17" s="875"/>
      <c r="Q17" s="875"/>
      <c r="R17" s="875"/>
      <c r="S17" s="700"/>
      <c r="T17" s="700"/>
      <c r="U17" s="700"/>
      <c r="V17" s="701"/>
      <c r="W17" s="700"/>
      <c r="X17" s="701"/>
      <c r="Y17" s="701"/>
      <c r="Z17" s="701"/>
      <c r="AA17" s="701"/>
      <c r="AB17" s="700">
        <f t="shared" si="2"/>
        <v>1640</v>
      </c>
      <c r="AC17" s="700">
        <f t="shared" si="0"/>
        <v>82</v>
      </c>
      <c r="AD17" s="700">
        <f t="shared" si="1"/>
        <v>1722</v>
      </c>
      <c r="AE17" s="699">
        <v>348497</v>
      </c>
      <c r="AF17" s="626"/>
      <c r="AI17" s="838"/>
    </row>
    <row r="18" spans="1:35" s="559" customFormat="1">
      <c r="A18" s="695">
        <v>42258</v>
      </c>
      <c r="B18" s="919">
        <v>15095</v>
      </c>
      <c r="C18" s="697">
        <v>1</v>
      </c>
      <c r="D18" s="1010"/>
      <c r="E18" s="697">
        <v>1</v>
      </c>
      <c r="F18" s="919">
        <v>1</v>
      </c>
      <c r="G18" s="918"/>
      <c r="H18" s="1011">
        <v>4464.8999999999996</v>
      </c>
      <c r="I18" s="700"/>
      <c r="J18" s="701"/>
      <c r="K18" s="700"/>
      <c r="L18" s="701"/>
      <c r="M18" s="701"/>
      <c r="N18" s="701"/>
      <c r="O18" s="875"/>
      <c r="P18" s="875"/>
      <c r="Q18" s="875"/>
      <c r="R18" s="875"/>
      <c r="S18" s="700"/>
      <c r="T18" s="700"/>
      <c r="U18" s="700"/>
      <c r="V18" s="700"/>
      <c r="W18" s="700"/>
      <c r="X18" s="700"/>
      <c r="Y18" s="700"/>
      <c r="Z18" s="700"/>
      <c r="AA18" s="700"/>
      <c r="AB18" s="700">
        <f t="shared" si="2"/>
        <v>6198.9</v>
      </c>
      <c r="AC18" s="700">
        <f t="shared" si="0"/>
        <v>309.94499999999999</v>
      </c>
      <c r="AD18" s="700">
        <f t="shared" si="1"/>
        <v>6508.8449999999993</v>
      </c>
      <c r="AE18" s="699">
        <v>348497</v>
      </c>
      <c r="AF18" s="626"/>
    </row>
    <row r="19" spans="1:35" s="559" customFormat="1">
      <c r="A19" s="695">
        <v>42259</v>
      </c>
      <c r="B19" s="919">
        <v>15096</v>
      </c>
      <c r="C19" s="697">
        <v>1</v>
      </c>
      <c r="D19" s="1010"/>
      <c r="E19" s="697">
        <v>1</v>
      </c>
      <c r="F19" s="919">
        <v>1</v>
      </c>
      <c r="G19" s="918"/>
      <c r="H19" s="1011">
        <v>1198.8</v>
      </c>
      <c r="I19" s="700"/>
      <c r="J19" s="701"/>
      <c r="K19" s="700"/>
      <c r="L19" s="701"/>
      <c r="M19" s="701"/>
      <c r="N19" s="701"/>
      <c r="O19" s="875"/>
      <c r="P19" s="875"/>
      <c r="Q19" s="875"/>
      <c r="R19" s="875"/>
      <c r="S19" s="700"/>
      <c r="T19" s="700"/>
      <c r="U19" s="700"/>
      <c r="V19" s="700"/>
      <c r="W19" s="700"/>
      <c r="X19" s="700"/>
      <c r="Y19" s="700"/>
      <c r="Z19" s="700"/>
      <c r="AA19" s="700"/>
      <c r="AB19" s="700">
        <f t="shared" si="2"/>
        <v>2932.8</v>
      </c>
      <c r="AC19" s="700">
        <f t="shared" si="0"/>
        <v>146.64000000000001</v>
      </c>
      <c r="AD19" s="700">
        <f t="shared" si="1"/>
        <v>3079.44</v>
      </c>
      <c r="AE19" s="699">
        <v>348497</v>
      </c>
      <c r="AF19" s="626"/>
    </row>
    <row r="20" spans="1:35" s="559" customFormat="1">
      <c r="A20" s="695">
        <v>42261</v>
      </c>
      <c r="B20" s="697">
        <v>15097</v>
      </c>
      <c r="C20" s="697">
        <v>1</v>
      </c>
      <c r="D20" s="1010"/>
      <c r="E20" s="697">
        <v>1</v>
      </c>
      <c r="F20" s="919">
        <v>1</v>
      </c>
      <c r="G20" s="918"/>
      <c r="H20" s="1011">
        <v>2191.3000000000002</v>
      </c>
      <c r="I20" s="700"/>
      <c r="J20" s="699"/>
      <c r="K20" s="700"/>
      <c r="L20" s="701"/>
      <c r="M20" s="701"/>
      <c r="N20" s="701"/>
      <c r="O20" s="875"/>
      <c r="P20" s="875"/>
      <c r="Q20" s="875"/>
      <c r="R20" s="875"/>
      <c r="S20" s="700"/>
      <c r="T20" s="700"/>
      <c r="U20" s="700"/>
      <c r="V20" s="700"/>
      <c r="W20" s="700"/>
      <c r="X20" s="700"/>
      <c r="Y20" s="700"/>
      <c r="Z20" s="700"/>
      <c r="AA20" s="700"/>
      <c r="AB20" s="700">
        <f t="shared" si="2"/>
        <v>3925.3</v>
      </c>
      <c r="AC20" s="700">
        <f t="shared" si="0"/>
        <v>196.26500000000001</v>
      </c>
      <c r="AD20" s="700">
        <f t="shared" si="1"/>
        <v>4121.5650000000005</v>
      </c>
      <c r="AE20" s="699">
        <v>348497</v>
      </c>
      <c r="AF20" s="626"/>
    </row>
    <row r="21" spans="1:35" s="559" customFormat="1">
      <c r="A21" s="695">
        <v>42265</v>
      </c>
      <c r="B21" s="697">
        <v>15098</v>
      </c>
      <c r="C21" s="697">
        <v>1</v>
      </c>
      <c r="D21" s="1010"/>
      <c r="E21" s="697">
        <v>1</v>
      </c>
      <c r="F21" s="697">
        <v>1</v>
      </c>
      <c r="G21" s="918"/>
      <c r="H21" s="1011">
        <v>923.2</v>
      </c>
      <c r="I21" s="700"/>
      <c r="J21" s="699"/>
      <c r="K21" s="700"/>
      <c r="L21" s="701"/>
      <c r="M21" s="701"/>
      <c r="N21" s="701"/>
      <c r="O21" s="875"/>
      <c r="P21" s="875"/>
      <c r="Q21" s="875"/>
      <c r="R21" s="875"/>
      <c r="S21" s="700"/>
      <c r="T21" s="700"/>
      <c r="U21" s="700"/>
      <c r="V21" s="700"/>
      <c r="W21" s="700"/>
      <c r="X21" s="700"/>
      <c r="Y21" s="700"/>
      <c r="Z21" s="700"/>
      <c r="AA21" s="700"/>
      <c r="AB21" s="700">
        <f t="shared" si="2"/>
        <v>2657.2</v>
      </c>
      <c r="AC21" s="700">
        <f t="shared" si="0"/>
        <v>132.85999999999999</v>
      </c>
      <c r="AD21" s="700">
        <f t="shared" si="1"/>
        <v>2790.06</v>
      </c>
      <c r="AE21" s="699">
        <v>348497</v>
      </c>
      <c r="AF21" s="626"/>
    </row>
    <row r="22" spans="1:35" s="559" customFormat="1">
      <c r="A22" s="695">
        <v>42266</v>
      </c>
      <c r="B22" s="697">
        <v>15099</v>
      </c>
      <c r="C22" s="697">
        <v>1</v>
      </c>
      <c r="D22" s="1010"/>
      <c r="E22" s="697">
        <v>1</v>
      </c>
      <c r="F22" s="697">
        <v>1</v>
      </c>
      <c r="G22" s="918"/>
      <c r="H22" s="1011">
        <v>468.9</v>
      </c>
      <c r="I22" s="700"/>
      <c r="J22" s="699"/>
      <c r="K22" s="700"/>
      <c r="L22" s="701"/>
      <c r="M22" s="701"/>
      <c r="N22" s="701"/>
      <c r="O22" s="875"/>
      <c r="P22" s="875"/>
      <c r="Q22" s="875"/>
      <c r="R22" s="875"/>
      <c r="S22" s="700"/>
      <c r="T22" s="700"/>
      <c r="U22" s="700"/>
      <c r="V22" s="700"/>
      <c r="W22" s="700"/>
      <c r="X22" s="700"/>
      <c r="Y22" s="700"/>
      <c r="Z22" s="700"/>
      <c r="AA22" s="700"/>
      <c r="AB22" s="700">
        <f t="shared" si="2"/>
        <v>2202.9</v>
      </c>
      <c r="AC22" s="700">
        <f t="shared" si="0"/>
        <v>110.14500000000001</v>
      </c>
      <c r="AD22" s="700">
        <f t="shared" si="1"/>
        <v>2313.0450000000001</v>
      </c>
      <c r="AE22" s="699">
        <v>348497</v>
      </c>
      <c r="AF22" s="626"/>
    </row>
    <row r="23" spans="1:35" s="559" customFormat="1">
      <c r="A23" s="695">
        <v>42268</v>
      </c>
      <c r="B23" s="697">
        <v>10503</v>
      </c>
      <c r="C23" s="697">
        <v>1</v>
      </c>
      <c r="D23" s="1010"/>
      <c r="E23" s="697">
        <v>1</v>
      </c>
      <c r="F23" s="697">
        <v>0</v>
      </c>
      <c r="G23" s="918"/>
      <c r="H23" s="699">
        <v>143.75</v>
      </c>
      <c r="I23" s="700"/>
      <c r="J23" s="699"/>
      <c r="K23" s="700"/>
      <c r="L23" s="701"/>
      <c r="M23" s="701"/>
      <c r="N23" s="701"/>
      <c r="O23" s="875"/>
      <c r="P23" s="875"/>
      <c r="Q23" s="875"/>
      <c r="R23" s="875"/>
      <c r="S23" s="700"/>
      <c r="T23" s="700"/>
      <c r="U23" s="700"/>
      <c r="V23" s="700"/>
      <c r="W23" s="700"/>
      <c r="X23" s="700"/>
      <c r="Y23" s="700"/>
      <c r="Z23" s="700"/>
      <c r="AA23" s="700"/>
      <c r="AB23" s="700">
        <f t="shared" si="2"/>
        <v>1727.75</v>
      </c>
      <c r="AC23" s="700">
        <f t="shared" si="0"/>
        <v>86.387500000000003</v>
      </c>
      <c r="AD23" s="700">
        <f t="shared" si="1"/>
        <v>1814.1375</v>
      </c>
      <c r="AE23" s="699">
        <v>348497</v>
      </c>
      <c r="AF23" s="626"/>
    </row>
    <row r="24" spans="1:35" s="559" customFormat="1">
      <c r="A24" s="695">
        <v>42269</v>
      </c>
      <c r="B24" s="697">
        <v>10504</v>
      </c>
      <c r="C24" s="697">
        <v>1</v>
      </c>
      <c r="D24" s="1010"/>
      <c r="E24" s="697">
        <v>1</v>
      </c>
      <c r="F24" s="697">
        <v>0</v>
      </c>
      <c r="G24" s="918"/>
      <c r="H24" s="699">
        <v>1154.23</v>
      </c>
      <c r="I24" s="700"/>
      <c r="J24" s="699"/>
      <c r="K24" s="700"/>
      <c r="L24" s="701"/>
      <c r="M24" s="701"/>
      <c r="N24" s="701"/>
      <c r="O24" s="875"/>
      <c r="P24" s="875"/>
      <c r="Q24" s="875"/>
      <c r="R24" s="875"/>
      <c r="S24" s="700"/>
      <c r="T24" s="700"/>
      <c r="U24" s="700"/>
      <c r="V24" s="700"/>
      <c r="W24" s="700"/>
      <c r="X24" s="700"/>
      <c r="Y24" s="700"/>
      <c r="Z24" s="700"/>
      <c r="AA24" s="700"/>
      <c r="AB24" s="700">
        <f t="shared" si="2"/>
        <v>2738.23</v>
      </c>
      <c r="AC24" s="700">
        <f t="shared" si="0"/>
        <v>136.91150000000002</v>
      </c>
      <c r="AD24" s="700">
        <f t="shared" si="1"/>
        <v>2875.1415000000002</v>
      </c>
      <c r="AE24" s="699">
        <v>348497</v>
      </c>
      <c r="AF24" s="626"/>
    </row>
    <row r="25" spans="1:35" s="559" customFormat="1">
      <c r="A25" s="695">
        <v>42270</v>
      </c>
      <c r="B25" s="697">
        <v>10505</v>
      </c>
      <c r="C25" s="697">
        <v>1</v>
      </c>
      <c r="D25" s="1010">
        <v>13.5</v>
      </c>
      <c r="E25" s="697">
        <v>2</v>
      </c>
      <c r="F25" s="697">
        <v>0</v>
      </c>
      <c r="G25" s="918"/>
      <c r="H25" s="699">
        <v>2494.65</v>
      </c>
      <c r="I25" s="700"/>
      <c r="J25" s="699"/>
      <c r="K25" s="701"/>
      <c r="L25" s="701"/>
      <c r="M25" s="701"/>
      <c r="N25" s="701"/>
      <c r="O25" s="875"/>
      <c r="P25" s="875"/>
      <c r="Q25" s="875"/>
      <c r="R25" s="875"/>
      <c r="S25" s="700"/>
      <c r="T25" s="700"/>
      <c r="U25" s="700"/>
      <c r="V25" s="700"/>
      <c r="W25" s="700"/>
      <c r="X25" s="700"/>
      <c r="Y25" s="700"/>
      <c r="Z25" s="700"/>
      <c r="AA25" s="700"/>
      <c r="AB25" s="700">
        <f t="shared" si="2"/>
        <v>5617.65</v>
      </c>
      <c r="AC25" s="700">
        <f t="shared" si="0"/>
        <v>280.88249999999999</v>
      </c>
      <c r="AD25" s="700">
        <f t="shared" si="1"/>
        <v>5898.5324999999993</v>
      </c>
      <c r="AE25" s="699">
        <v>348497</v>
      </c>
      <c r="AF25" s="626"/>
    </row>
    <row r="26" spans="1:35" s="559" customFormat="1" ht="12" customHeight="1">
      <c r="A26" s="695">
        <v>42269</v>
      </c>
      <c r="B26" s="697">
        <v>10509</v>
      </c>
      <c r="C26" s="697">
        <v>0</v>
      </c>
      <c r="D26" s="1010">
        <v>15.5</v>
      </c>
      <c r="E26" s="697">
        <v>1</v>
      </c>
      <c r="F26" s="697">
        <v>0</v>
      </c>
      <c r="G26" s="918"/>
      <c r="H26" s="699"/>
      <c r="I26" s="700"/>
      <c r="J26" s="699"/>
      <c r="K26" s="701"/>
      <c r="L26" s="701"/>
      <c r="M26" s="701"/>
      <c r="N26" s="701"/>
      <c r="O26" s="875"/>
      <c r="P26" s="875"/>
      <c r="Q26" s="875"/>
      <c r="R26" s="875"/>
      <c r="S26" s="700"/>
      <c r="T26" s="700"/>
      <c r="U26" s="700"/>
      <c r="V26" s="700"/>
      <c r="W26" s="700"/>
      <c r="X26" s="700"/>
      <c r="Y26" s="700"/>
      <c r="Z26" s="700"/>
      <c r="AA26" s="700"/>
      <c r="AB26" s="700">
        <f t="shared" si="2"/>
        <v>1719</v>
      </c>
      <c r="AC26" s="700">
        <f t="shared" si="0"/>
        <v>85.95</v>
      </c>
      <c r="AD26" s="700">
        <f t="shared" si="1"/>
        <v>1804.95</v>
      </c>
      <c r="AE26" s="699">
        <v>348497</v>
      </c>
      <c r="AF26" s="626"/>
    </row>
    <row r="27" spans="1:35" s="559" customFormat="1">
      <c r="A27" s="695">
        <v>42271</v>
      </c>
      <c r="B27" s="697">
        <v>10506</v>
      </c>
      <c r="C27" s="888">
        <v>1</v>
      </c>
      <c r="D27" s="1010">
        <v>11</v>
      </c>
      <c r="E27" s="697">
        <v>1</v>
      </c>
      <c r="F27" s="697">
        <v>0</v>
      </c>
      <c r="G27" s="918"/>
      <c r="H27" s="889"/>
      <c r="I27" s="700">
        <v>2681.54</v>
      </c>
      <c r="J27" s="889">
        <v>24.5</v>
      </c>
      <c r="K27" s="701"/>
      <c r="L27" s="890"/>
      <c r="M27" s="701"/>
      <c r="N27" s="890"/>
      <c r="O27" s="875"/>
      <c r="P27" s="875"/>
      <c r="Q27" s="875"/>
      <c r="R27" s="875"/>
      <c r="S27" s="700"/>
      <c r="T27" s="700"/>
      <c r="U27" s="700"/>
      <c r="V27" s="700"/>
      <c r="W27" s="700"/>
      <c r="X27" s="700"/>
      <c r="Y27" s="700"/>
      <c r="Z27" s="700"/>
      <c r="AA27" s="700"/>
      <c r="AB27" s="700">
        <f t="shared" si="2"/>
        <v>5868.04</v>
      </c>
      <c r="AC27" s="700">
        <f t="shared" si="0"/>
        <v>293.40199999999999</v>
      </c>
      <c r="AD27" s="700">
        <f t="shared" si="1"/>
        <v>6161.442</v>
      </c>
      <c r="AE27" s="699">
        <v>348497</v>
      </c>
      <c r="AF27" s="626"/>
    </row>
    <row r="28" spans="1:35" s="559" customFormat="1">
      <c r="A28" s="695">
        <v>42272</v>
      </c>
      <c r="B28" s="919">
        <v>10507</v>
      </c>
      <c r="C28" s="697">
        <v>1</v>
      </c>
      <c r="D28" s="1010">
        <v>11.5</v>
      </c>
      <c r="E28" s="697">
        <v>1</v>
      </c>
      <c r="F28" s="697">
        <v>0</v>
      </c>
      <c r="G28" s="918"/>
      <c r="H28" s="699"/>
      <c r="I28" s="700">
        <v>509.76</v>
      </c>
      <c r="J28" s="699">
        <v>11.5</v>
      </c>
      <c r="K28" s="701"/>
      <c r="L28" s="701"/>
      <c r="M28" s="701"/>
      <c r="N28" s="701"/>
      <c r="O28" s="875"/>
      <c r="P28" s="875"/>
      <c r="Q28" s="875"/>
      <c r="R28" s="875"/>
      <c r="S28" s="700"/>
      <c r="T28" s="700"/>
      <c r="U28" s="700"/>
      <c r="V28" s="700"/>
      <c r="W28" s="700"/>
      <c r="X28" s="700"/>
      <c r="Y28" s="700"/>
      <c r="Z28" s="700"/>
      <c r="AA28" s="700"/>
      <c r="AB28" s="700">
        <f t="shared" si="2"/>
        <v>3416.26</v>
      </c>
      <c r="AC28" s="700">
        <f t="shared" si="0"/>
        <v>170.81300000000002</v>
      </c>
      <c r="AD28" s="700">
        <f t="shared" si="1"/>
        <v>3587.0730000000003</v>
      </c>
      <c r="AE28" s="699">
        <v>348497</v>
      </c>
      <c r="AF28" s="626"/>
    </row>
    <row r="29" spans="1:35" s="559" customFormat="1">
      <c r="A29" s="1012">
        <v>42274</v>
      </c>
      <c r="B29" s="1013">
        <v>10510</v>
      </c>
      <c r="C29" s="1010"/>
      <c r="D29" s="1010"/>
      <c r="E29" s="1010"/>
      <c r="F29" s="1010"/>
      <c r="G29" s="1014"/>
      <c r="H29" s="1015"/>
      <c r="I29" s="764"/>
      <c r="J29" s="1015">
        <v>10</v>
      </c>
      <c r="K29" s="1016"/>
      <c r="L29" s="1016"/>
      <c r="M29" s="1016"/>
      <c r="N29" s="1016"/>
      <c r="O29" s="1016"/>
      <c r="P29" s="1016"/>
      <c r="Q29" s="1016"/>
      <c r="R29" s="1016"/>
      <c r="S29" s="764"/>
      <c r="T29" s="764"/>
      <c r="U29" s="764"/>
      <c r="V29" s="764"/>
      <c r="W29" s="764"/>
      <c r="X29" s="764"/>
      <c r="Y29" s="764"/>
      <c r="Z29" s="764"/>
      <c r="AA29" s="764"/>
      <c r="AB29" s="700">
        <f t="shared" si="2"/>
        <v>250</v>
      </c>
      <c r="AC29" s="700">
        <f>AB29*5%</f>
        <v>12.5</v>
      </c>
      <c r="AD29" s="700">
        <f>AB29+AC29</f>
        <v>262.5</v>
      </c>
      <c r="AE29" s="699">
        <v>348497</v>
      </c>
      <c r="AF29" s="626"/>
    </row>
    <row r="30" spans="1:35" s="559" customFormat="1">
      <c r="A30" s="695">
        <v>42275</v>
      </c>
      <c r="B30" s="919">
        <v>10511</v>
      </c>
      <c r="C30" s="697">
        <v>1</v>
      </c>
      <c r="D30" s="1010">
        <v>11</v>
      </c>
      <c r="E30" s="697">
        <v>1</v>
      </c>
      <c r="F30" s="697">
        <v>0</v>
      </c>
      <c r="G30" s="918"/>
      <c r="H30" s="699"/>
      <c r="I30" s="700">
        <v>2766.48</v>
      </c>
      <c r="J30" s="699">
        <v>11</v>
      </c>
      <c r="K30" s="701"/>
      <c r="L30" s="701"/>
      <c r="M30" s="701"/>
      <c r="N30" s="701"/>
      <c r="O30" s="875"/>
      <c r="P30" s="875"/>
      <c r="Q30" s="875"/>
      <c r="R30" s="875"/>
      <c r="S30" s="700"/>
      <c r="T30" s="700"/>
      <c r="U30" s="700"/>
      <c r="V30" s="700"/>
      <c r="W30" s="700"/>
      <c r="X30" s="700"/>
      <c r="Y30" s="700"/>
      <c r="Z30" s="700"/>
      <c r="AA30" s="700"/>
      <c r="AB30" s="700">
        <f t="shared" si="2"/>
        <v>5615.48</v>
      </c>
      <c r="AC30" s="700">
        <f t="shared" si="0"/>
        <v>280.774</v>
      </c>
      <c r="AD30" s="700">
        <f t="shared" si="1"/>
        <v>5896.2539999999999</v>
      </c>
      <c r="AE30" s="699">
        <v>348497</v>
      </c>
      <c r="AF30" s="626"/>
    </row>
    <row r="31" spans="1:35" s="559" customFormat="1">
      <c r="A31" s="695">
        <v>42276</v>
      </c>
      <c r="B31" s="919">
        <v>10512</v>
      </c>
      <c r="C31" s="697">
        <v>1</v>
      </c>
      <c r="D31" s="1010">
        <v>13.5</v>
      </c>
      <c r="E31" s="697">
        <v>1</v>
      </c>
      <c r="F31" s="697">
        <v>0</v>
      </c>
      <c r="G31" s="918"/>
      <c r="H31" s="699"/>
      <c r="I31" s="700">
        <v>401.18</v>
      </c>
      <c r="J31" s="699">
        <v>13.5</v>
      </c>
      <c r="K31" s="701"/>
      <c r="L31" s="701"/>
      <c r="M31" s="701"/>
      <c r="N31" s="701"/>
      <c r="O31" s="875"/>
      <c r="P31" s="875"/>
      <c r="Q31" s="875"/>
      <c r="R31" s="875"/>
      <c r="S31" s="700"/>
      <c r="T31" s="700"/>
      <c r="U31" s="700"/>
      <c r="V31" s="700"/>
      <c r="W31" s="700"/>
      <c r="X31" s="700"/>
      <c r="Y31" s="700"/>
      <c r="Z31" s="700"/>
      <c r="AA31" s="700"/>
      <c r="AB31" s="700">
        <f t="shared" si="2"/>
        <v>3537.6800000000003</v>
      </c>
      <c r="AC31" s="700">
        <f t="shared" si="0"/>
        <v>176.88400000000001</v>
      </c>
      <c r="AD31" s="700">
        <f t="shared" si="1"/>
        <v>3714.5640000000003</v>
      </c>
      <c r="AE31" s="699">
        <v>348497</v>
      </c>
      <c r="AF31" s="626"/>
    </row>
    <row r="32" spans="1:35" s="559" customFormat="1">
      <c r="A32" s="695">
        <v>42277</v>
      </c>
      <c r="B32" s="919">
        <v>10513</v>
      </c>
      <c r="C32" s="697">
        <v>1</v>
      </c>
      <c r="D32" s="1010">
        <v>11.5</v>
      </c>
      <c r="E32" s="697">
        <v>1</v>
      </c>
      <c r="F32" s="697">
        <v>0</v>
      </c>
      <c r="G32" s="918"/>
      <c r="H32" s="699"/>
      <c r="I32" s="700">
        <v>401.18</v>
      </c>
      <c r="J32" s="699">
        <v>11.5</v>
      </c>
      <c r="K32" s="701"/>
      <c r="L32" s="701"/>
      <c r="M32" s="701"/>
      <c r="N32" s="701"/>
      <c r="O32" s="875"/>
      <c r="P32" s="875"/>
      <c r="Q32" s="875"/>
      <c r="R32" s="875"/>
      <c r="S32" s="700"/>
      <c r="T32" s="700"/>
      <c r="U32" s="700"/>
      <c r="V32" s="700"/>
      <c r="W32" s="700"/>
      <c r="X32" s="700"/>
      <c r="Y32" s="700"/>
      <c r="Z32" s="700"/>
      <c r="AA32" s="700"/>
      <c r="AB32" s="700">
        <f t="shared" si="2"/>
        <v>3307.6800000000003</v>
      </c>
      <c r="AC32" s="700">
        <f t="shared" si="0"/>
        <v>165.38400000000001</v>
      </c>
      <c r="AD32" s="700">
        <f t="shared" si="1"/>
        <v>3473.0640000000003</v>
      </c>
      <c r="AE32" s="699">
        <v>348497</v>
      </c>
      <c r="AF32" s="626"/>
    </row>
    <row r="33" spans="1:33" s="559" customFormat="1">
      <c r="A33" s="817">
        <v>42278</v>
      </c>
      <c r="B33" s="919">
        <v>10514</v>
      </c>
      <c r="C33" s="697">
        <v>1</v>
      </c>
      <c r="D33" s="1010">
        <v>11</v>
      </c>
      <c r="E33" s="697">
        <v>1</v>
      </c>
      <c r="F33" s="697">
        <v>0</v>
      </c>
      <c r="G33" s="918"/>
      <c r="H33" s="699"/>
      <c r="I33" s="700">
        <v>375</v>
      </c>
      <c r="J33" s="699">
        <v>11</v>
      </c>
      <c r="K33" s="701"/>
      <c r="L33" s="701"/>
      <c r="M33" s="701"/>
      <c r="N33" s="701"/>
      <c r="O33" s="875"/>
      <c r="P33" s="875"/>
      <c r="Q33" s="875"/>
      <c r="R33" s="875"/>
      <c r="S33" s="700"/>
      <c r="T33" s="700"/>
      <c r="U33" s="700"/>
      <c r="V33" s="700"/>
      <c r="W33" s="700"/>
      <c r="X33" s="700"/>
      <c r="Y33" s="700"/>
      <c r="Z33" s="700"/>
      <c r="AA33" s="700"/>
      <c r="AB33" s="700">
        <f t="shared" si="2"/>
        <v>3224</v>
      </c>
      <c r="AC33" s="700">
        <f t="shared" si="0"/>
        <v>161.20000000000002</v>
      </c>
      <c r="AD33" s="700">
        <f t="shared" si="1"/>
        <v>3385.2</v>
      </c>
      <c r="AE33" s="699">
        <v>348497</v>
      </c>
      <c r="AF33" s="626"/>
    </row>
    <row r="34" spans="1:33" s="192" customFormat="1">
      <c r="A34" s="197">
        <v>42273</v>
      </c>
      <c r="B34" s="501">
        <v>10508</v>
      </c>
      <c r="C34" s="499">
        <v>1</v>
      </c>
      <c r="D34" s="794"/>
      <c r="E34" s="499">
        <v>1</v>
      </c>
      <c r="F34" s="501">
        <v>1</v>
      </c>
      <c r="G34" s="500"/>
      <c r="H34" s="187"/>
      <c r="I34" s="188">
        <v>1334.7</v>
      </c>
      <c r="J34" s="187">
        <v>11</v>
      </c>
      <c r="K34" s="186">
        <v>11</v>
      </c>
      <c r="L34" s="186"/>
      <c r="M34" s="186"/>
      <c r="N34" s="186"/>
      <c r="O34" s="795"/>
      <c r="P34" s="795"/>
      <c r="Q34" s="795"/>
      <c r="R34" s="795"/>
      <c r="S34" s="188"/>
      <c r="T34" s="188"/>
      <c r="U34" s="188"/>
      <c r="V34" s="188"/>
      <c r="W34" s="188"/>
      <c r="X34" s="188"/>
      <c r="Y34" s="188"/>
      <c r="Z34" s="188"/>
      <c r="AA34" s="188"/>
      <c r="AB34" s="188">
        <f t="shared" si="2"/>
        <v>4333.7</v>
      </c>
      <c r="AC34" s="188">
        <f t="shared" si="0"/>
        <v>216.685</v>
      </c>
      <c r="AD34" s="188">
        <f t="shared" si="1"/>
        <v>4550.3850000000002</v>
      </c>
      <c r="AE34" s="187">
        <v>349399</v>
      </c>
      <c r="AF34" s="194"/>
    </row>
    <row r="35" spans="1:33" s="192" customFormat="1">
      <c r="A35" s="197">
        <v>42279</v>
      </c>
      <c r="B35" s="501">
        <v>10515</v>
      </c>
      <c r="C35" s="499">
        <v>1</v>
      </c>
      <c r="D35" s="794"/>
      <c r="E35" s="499">
        <v>2</v>
      </c>
      <c r="F35" s="501"/>
      <c r="G35" s="500"/>
      <c r="H35" s="187"/>
      <c r="I35" s="188"/>
      <c r="J35" s="187">
        <v>12</v>
      </c>
      <c r="K35" s="186">
        <v>12</v>
      </c>
      <c r="L35" s="186"/>
      <c r="M35" s="186"/>
      <c r="N35" s="186"/>
      <c r="O35" s="795"/>
      <c r="P35" s="795"/>
      <c r="Q35" s="795"/>
      <c r="R35" s="795"/>
      <c r="S35" s="188"/>
      <c r="T35" s="188"/>
      <c r="U35" s="188"/>
      <c r="V35" s="188"/>
      <c r="W35" s="188"/>
      <c r="X35" s="188"/>
      <c r="Y35" s="188"/>
      <c r="Z35" s="188"/>
      <c r="AA35" s="188"/>
      <c r="AB35" s="188">
        <f t="shared" si="2"/>
        <v>3288</v>
      </c>
      <c r="AC35" s="188">
        <f t="shared" si="0"/>
        <v>164.4</v>
      </c>
      <c r="AD35" s="188">
        <f t="shared" si="1"/>
        <v>3452.4</v>
      </c>
      <c r="AE35" s="187">
        <v>349399</v>
      </c>
      <c r="AF35" s="194"/>
    </row>
    <row r="36" spans="1:33" s="192" customFormat="1">
      <c r="A36" s="197">
        <v>42280</v>
      </c>
      <c r="B36" s="501">
        <v>10516</v>
      </c>
      <c r="C36" s="499">
        <v>1</v>
      </c>
      <c r="D36" s="794"/>
      <c r="E36" s="499">
        <v>1</v>
      </c>
      <c r="F36" s="501">
        <v>1</v>
      </c>
      <c r="G36" s="500"/>
      <c r="H36" s="187"/>
      <c r="I36" s="188">
        <v>923.2</v>
      </c>
      <c r="J36" s="187"/>
      <c r="K36" s="188"/>
      <c r="L36" s="186"/>
      <c r="M36" s="186"/>
      <c r="N36" s="186"/>
      <c r="O36" s="795"/>
      <c r="P36" s="795"/>
      <c r="Q36" s="795"/>
      <c r="R36" s="795"/>
      <c r="S36" s="188"/>
      <c r="T36" s="188"/>
      <c r="U36" s="188"/>
      <c r="V36" s="188"/>
      <c r="W36" s="188"/>
      <c r="X36" s="188"/>
      <c r="Y36" s="188"/>
      <c r="Z36" s="188"/>
      <c r="AA36" s="188"/>
      <c r="AB36" s="188">
        <f t="shared" si="2"/>
        <v>2657.2</v>
      </c>
      <c r="AC36" s="188">
        <f t="shared" si="0"/>
        <v>132.85999999999999</v>
      </c>
      <c r="AD36" s="188">
        <f t="shared" si="1"/>
        <v>2790.06</v>
      </c>
      <c r="AE36" s="187">
        <v>349399</v>
      </c>
      <c r="AF36" s="194"/>
    </row>
    <row r="37" spans="1:33" s="192" customFormat="1">
      <c r="A37" s="197">
        <v>42282</v>
      </c>
      <c r="B37" s="501">
        <v>10517</v>
      </c>
      <c r="C37" s="499">
        <v>1</v>
      </c>
      <c r="D37" s="794"/>
      <c r="E37" s="499">
        <v>1</v>
      </c>
      <c r="F37" s="501">
        <v>1</v>
      </c>
      <c r="G37" s="500"/>
      <c r="H37" s="187"/>
      <c r="I37" s="188">
        <v>1776.8</v>
      </c>
      <c r="J37" s="187"/>
      <c r="K37" s="188"/>
      <c r="L37" s="186"/>
      <c r="M37" s="186"/>
      <c r="N37" s="186"/>
      <c r="O37" s="795"/>
      <c r="P37" s="795"/>
      <c r="Q37" s="795"/>
      <c r="R37" s="795"/>
      <c r="S37" s="188"/>
      <c r="T37" s="188"/>
      <c r="U37" s="188"/>
      <c r="V37" s="188"/>
      <c r="W37" s="188"/>
      <c r="X37" s="188"/>
      <c r="Y37" s="188"/>
      <c r="Z37" s="188"/>
      <c r="AA37" s="188"/>
      <c r="AB37" s="188">
        <f t="shared" si="2"/>
        <v>3510.8</v>
      </c>
      <c r="AC37" s="188">
        <f t="shared" si="0"/>
        <v>175.54000000000002</v>
      </c>
      <c r="AD37" s="188">
        <f t="shared" si="1"/>
        <v>3686.34</v>
      </c>
      <c r="AE37" s="187">
        <v>349399</v>
      </c>
      <c r="AF37" s="194"/>
    </row>
    <row r="38" spans="1:33" s="192" customFormat="1">
      <c r="A38" s="197">
        <v>42283</v>
      </c>
      <c r="B38" s="501">
        <v>10519</v>
      </c>
      <c r="C38" s="499">
        <v>1</v>
      </c>
      <c r="D38" s="794"/>
      <c r="E38" s="499">
        <v>1</v>
      </c>
      <c r="F38" s="501">
        <v>0</v>
      </c>
      <c r="G38" s="500"/>
      <c r="H38" s="187"/>
      <c r="I38" s="188">
        <v>1929.44</v>
      </c>
      <c r="J38" s="187"/>
      <c r="K38" s="188"/>
      <c r="L38" s="186"/>
      <c r="M38" s="186"/>
      <c r="N38" s="186"/>
      <c r="O38" s="795"/>
      <c r="P38" s="795"/>
      <c r="Q38" s="795"/>
      <c r="R38" s="795"/>
      <c r="S38" s="188"/>
      <c r="T38" s="188"/>
      <c r="U38" s="188"/>
      <c r="V38" s="188"/>
      <c r="W38" s="188"/>
      <c r="X38" s="188"/>
      <c r="Y38" s="188"/>
      <c r="Z38" s="188"/>
      <c r="AA38" s="188"/>
      <c r="AB38" s="188">
        <f t="shared" si="2"/>
        <v>3513.44</v>
      </c>
      <c r="AC38" s="188">
        <f t="shared" si="0"/>
        <v>175.67200000000003</v>
      </c>
      <c r="AD38" s="188">
        <f t="shared" si="1"/>
        <v>3689.1120000000001</v>
      </c>
      <c r="AE38" s="187">
        <v>349399</v>
      </c>
      <c r="AF38" s="194"/>
    </row>
    <row r="39" spans="1:33" s="192" customFormat="1">
      <c r="A39" s="197">
        <v>42284</v>
      </c>
      <c r="B39" s="501">
        <v>10520</v>
      </c>
      <c r="C39" s="499">
        <v>1</v>
      </c>
      <c r="D39" s="794"/>
      <c r="E39" s="499">
        <v>1</v>
      </c>
      <c r="F39" s="501">
        <v>0</v>
      </c>
      <c r="G39" s="500"/>
      <c r="H39" s="187"/>
      <c r="I39" s="188">
        <v>5525</v>
      </c>
      <c r="J39" s="187"/>
      <c r="K39" s="188"/>
      <c r="L39" s="186"/>
      <c r="M39" s="186"/>
      <c r="N39" s="186"/>
      <c r="O39" s="795"/>
      <c r="P39" s="795"/>
      <c r="Q39" s="795"/>
      <c r="R39" s="795"/>
      <c r="S39" s="188"/>
      <c r="T39" s="188"/>
      <c r="U39" s="188"/>
      <c r="V39" s="188"/>
      <c r="W39" s="188"/>
      <c r="X39" s="188"/>
      <c r="Y39" s="188"/>
      <c r="Z39" s="188"/>
      <c r="AA39" s="188"/>
      <c r="AB39" s="188">
        <f t="shared" si="2"/>
        <v>7109</v>
      </c>
      <c r="AC39" s="188">
        <f t="shared" si="0"/>
        <v>355.45000000000005</v>
      </c>
      <c r="AD39" s="188">
        <f t="shared" si="1"/>
        <v>7464.45</v>
      </c>
      <c r="AE39" s="187">
        <v>349399</v>
      </c>
      <c r="AF39" s="798"/>
      <c r="AG39" s="799"/>
    </row>
    <row r="40" spans="1:33" s="192" customFormat="1">
      <c r="A40" s="197">
        <v>42291</v>
      </c>
      <c r="B40" s="501">
        <v>110393</v>
      </c>
      <c r="C40" s="499">
        <v>1</v>
      </c>
      <c r="D40" s="794"/>
      <c r="E40" s="499">
        <v>1</v>
      </c>
      <c r="F40" s="501"/>
      <c r="G40" s="500"/>
      <c r="H40" s="187">
        <v>5647.67</v>
      </c>
      <c r="I40" s="188"/>
      <c r="J40" s="187"/>
      <c r="K40" s="188"/>
      <c r="L40" s="186"/>
      <c r="M40" s="186"/>
      <c r="N40" s="186"/>
      <c r="O40" s="795"/>
      <c r="P40" s="795"/>
      <c r="Q40" s="795"/>
      <c r="R40" s="795"/>
      <c r="S40" s="188"/>
      <c r="T40" s="188"/>
      <c r="U40" s="188"/>
      <c r="V40" s="188"/>
      <c r="W40" s="188"/>
      <c r="X40" s="188"/>
      <c r="Y40" s="188"/>
      <c r="Z40" s="188"/>
      <c r="AA40" s="188"/>
      <c r="AB40" s="188">
        <f t="shared" si="2"/>
        <v>7231.67</v>
      </c>
      <c r="AC40" s="188">
        <f t="shared" ref="AC40:AC58" si="3">AB40*5%</f>
        <v>361.58350000000002</v>
      </c>
      <c r="AD40" s="188">
        <f t="shared" ref="AD40:AD58" si="4">AB40+AC40</f>
        <v>7593.2534999999998</v>
      </c>
      <c r="AE40" s="187">
        <v>349399</v>
      </c>
      <c r="AF40" s="194"/>
    </row>
    <row r="41" spans="1:33" s="192" customFormat="1">
      <c r="A41" s="197">
        <v>42292</v>
      </c>
      <c r="B41" s="501">
        <v>110394</v>
      </c>
      <c r="C41" s="499">
        <v>1</v>
      </c>
      <c r="D41" s="794"/>
      <c r="E41" s="499">
        <v>1</v>
      </c>
      <c r="F41" s="501"/>
      <c r="G41" s="500"/>
      <c r="H41" s="187">
        <v>5525</v>
      </c>
      <c r="I41" s="188"/>
      <c r="J41" s="187"/>
      <c r="K41" s="188"/>
      <c r="L41" s="186"/>
      <c r="M41" s="186"/>
      <c r="N41" s="186"/>
      <c r="O41" s="795"/>
      <c r="P41" s="795"/>
      <c r="Q41" s="795"/>
      <c r="R41" s="795"/>
      <c r="S41" s="188"/>
      <c r="T41" s="188"/>
      <c r="U41" s="188"/>
      <c r="V41" s="188"/>
      <c r="W41" s="188"/>
      <c r="X41" s="188"/>
      <c r="Y41" s="188"/>
      <c r="Z41" s="188"/>
      <c r="AA41" s="188"/>
      <c r="AB41" s="188">
        <f t="shared" si="2"/>
        <v>7109</v>
      </c>
      <c r="AC41" s="188">
        <f t="shared" si="3"/>
        <v>355.45000000000005</v>
      </c>
      <c r="AD41" s="188">
        <f t="shared" si="4"/>
        <v>7464.45</v>
      </c>
      <c r="AE41" s="187">
        <v>349399</v>
      </c>
      <c r="AF41" s="194"/>
    </row>
    <row r="42" spans="1:33" s="192" customFormat="1">
      <c r="A42" s="197">
        <v>42293</v>
      </c>
      <c r="B42" s="501">
        <v>110395</v>
      </c>
      <c r="C42" s="501">
        <v>1</v>
      </c>
      <c r="D42" s="825"/>
      <c r="E42" s="501">
        <v>1</v>
      </c>
      <c r="F42" s="197"/>
      <c r="G42" s="197"/>
      <c r="H42" s="199">
        <v>2762.5</v>
      </c>
      <c r="I42" s="188"/>
      <c r="J42" s="195"/>
      <c r="K42" s="188"/>
      <c r="L42" s="186"/>
      <c r="M42" s="186"/>
      <c r="N42" s="187"/>
      <c r="O42" s="821"/>
      <c r="P42" s="822"/>
      <c r="Q42" s="822"/>
      <c r="R42" s="822"/>
      <c r="S42" s="188"/>
      <c r="T42" s="188"/>
      <c r="U42" s="188"/>
      <c r="V42" s="188"/>
      <c r="W42" s="188"/>
      <c r="X42" s="188"/>
      <c r="Y42" s="188"/>
      <c r="Z42" s="188"/>
      <c r="AA42" s="188"/>
      <c r="AB42" s="188">
        <f t="shared" si="2"/>
        <v>4346.5</v>
      </c>
      <c r="AC42" s="188">
        <f t="shared" si="3"/>
        <v>217.32500000000002</v>
      </c>
      <c r="AD42" s="188">
        <f t="shared" si="4"/>
        <v>4563.8249999999998</v>
      </c>
      <c r="AE42" s="187">
        <v>349399</v>
      </c>
      <c r="AF42" s="194"/>
    </row>
    <row r="43" spans="1:33" s="192" customFormat="1">
      <c r="A43" s="197">
        <v>42299</v>
      </c>
      <c r="B43" s="501">
        <v>110396</v>
      </c>
      <c r="C43" s="501">
        <v>1</v>
      </c>
      <c r="D43" s="797">
        <v>15.5</v>
      </c>
      <c r="E43" s="501">
        <v>2</v>
      </c>
      <c r="F43" s="501">
        <v>1</v>
      </c>
      <c r="G43" s="501"/>
      <c r="H43" s="501">
        <v>2346.96</v>
      </c>
      <c r="I43" s="186"/>
      <c r="J43" s="187">
        <v>12</v>
      </c>
      <c r="K43" s="186"/>
      <c r="L43" s="186"/>
      <c r="M43" s="186"/>
      <c r="N43" s="187"/>
      <c r="O43" s="821"/>
      <c r="P43" s="822"/>
      <c r="Q43" s="822"/>
      <c r="R43" s="822"/>
      <c r="S43" s="188"/>
      <c r="T43" s="188"/>
      <c r="U43" s="188"/>
      <c r="V43" s="188"/>
      <c r="W43" s="188"/>
      <c r="X43" s="188"/>
      <c r="Y43" s="188"/>
      <c r="Z43" s="188"/>
      <c r="AA43" s="188"/>
      <c r="AB43" s="188">
        <f t="shared" si="2"/>
        <v>6099.96</v>
      </c>
      <c r="AC43" s="188">
        <f t="shared" si="3"/>
        <v>304.99799999999999</v>
      </c>
      <c r="AD43" s="188">
        <f t="shared" si="4"/>
        <v>6404.9579999999996</v>
      </c>
      <c r="AE43" s="187">
        <v>349399</v>
      </c>
      <c r="AF43" s="194"/>
    </row>
    <row r="44" spans="1:33" s="192" customFormat="1">
      <c r="A44" s="197">
        <v>42300</v>
      </c>
      <c r="B44" s="501">
        <v>110397</v>
      </c>
      <c r="C44" s="501">
        <v>1</v>
      </c>
      <c r="D44" s="797">
        <v>13</v>
      </c>
      <c r="E44" s="501">
        <v>1</v>
      </c>
      <c r="F44" s="501"/>
      <c r="G44" s="501"/>
      <c r="H44" s="501">
        <v>1378.58</v>
      </c>
      <c r="I44" s="186"/>
      <c r="J44" s="186">
        <v>13</v>
      </c>
      <c r="K44" s="186"/>
      <c r="L44" s="186"/>
      <c r="M44" s="186"/>
      <c r="N44" s="186"/>
      <c r="O44" s="795"/>
      <c r="P44" s="824"/>
      <c r="Q44" s="824"/>
      <c r="R44" s="824"/>
      <c r="S44" s="188"/>
      <c r="T44" s="188"/>
      <c r="U44" s="188"/>
      <c r="V44" s="188"/>
      <c r="W44" s="188"/>
      <c r="X44" s="188"/>
      <c r="Y44" s="188"/>
      <c r="Z44" s="188"/>
      <c r="AA44" s="188"/>
      <c r="AB44" s="188">
        <f t="shared" si="2"/>
        <v>4457.58</v>
      </c>
      <c r="AC44" s="188">
        <f t="shared" si="3"/>
        <v>222.87900000000002</v>
      </c>
      <c r="AD44" s="188">
        <f t="shared" si="4"/>
        <v>4680.4589999999998</v>
      </c>
      <c r="AE44" s="187">
        <v>349399</v>
      </c>
      <c r="AF44" s="194"/>
    </row>
    <row r="45" spans="1:33" s="192" customFormat="1">
      <c r="A45" s="197">
        <v>42301</v>
      </c>
      <c r="B45" s="501">
        <v>10521</v>
      </c>
      <c r="C45" s="501">
        <v>1</v>
      </c>
      <c r="D45" s="797">
        <v>12</v>
      </c>
      <c r="E45" s="501">
        <v>1</v>
      </c>
      <c r="F45" s="501"/>
      <c r="G45" s="501"/>
      <c r="H45" s="501">
        <v>998.43</v>
      </c>
      <c r="I45" s="186"/>
      <c r="J45" s="187">
        <v>12</v>
      </c>
      <c r="K45" s="186"/>
      <c r="L45" s="186"/>
      <c r="M45" s="186"/>
      <c r="N45" s="187"/>
      <c r="O45" s="821"/>
      <c r="P45" s="822"/>
      <c r="Q45" s="822"/>
      <c r="R45" s="822"/>
      <c r="S45" s="188"/>
      <c r="T45" s="188"/>
      <c r="U45" s="188"/>
      <c r="V45" s="188"/>
      <c r="W45" s="188"/>
      <c r="X45" s="188"/>
      <c r="Y45" s="188"/>
      <c r="Z45" s="188"/>
      <c r="AA45" s="188"/>
      <c r="AB45" s="188">
        <f t="shared" si="2"/>
        <v>3962.43</v>
      </c>
      <c r="AC45" s="188">
        <f t="shared" si="3"/>
        <v>198.1215</v>
      </c>
      <c r="AD45" s="188">
        <f t="shared" si="4"/>
        <v>4160.5514999999996</v>
      </c>
      <c r="AE45" s="187">
        <v>349399</v>
      </c>
      <c r="AF45" s="194"/>
    </row>
    <row r="46" spans="1:33" s="192" customFormat="1">
      <c r="A46" s="202">
        <v>42302</v>
      </c>
      <c r="B46" s="499">
        <v>10522</v>
      </c>
      <c r="C46" s="499">
        <v>1</v>
      </c>
      <c r="D46" s="794">
        <v>12</v>
      </c>
      <c r="E46" s="499">
        <v>1</v>
      </c>
      <c r="F46" s="499"/>
      <c r="G46" s="499"/>
      <c r="H46" s="501">
        <v>1864.88</v>
      </c>
      <c r="I46" s="186"/>
      <c r="J46" s="187">
        <v>12</v>
      </c>
      <c r="K46" s="186"/>
      <c r="L46" s="186"/>
      <c r="M46" s="186"/>
      <c r="N46" s="187"/>
      <c r="O46" s="821"/>
      <c r="P46" s="822"/>
      <c r="Q46" s="822"/>
      <c r="R46" s="822"/>
      <c r="S46" s="188"/>
      <c r="T46" s="188"/>
      <c r="U46" s="188"/>
      <c r="V46" s="188"/>
      <c r="W46" s="188"/>
      <c r="X46" s="188"/>
      <c r="Y46" s="188"/>
      <c r="Z46" s="188"/>
      <c r="AA46" s="188"/>
      <c r="AB46" s="188">
        <f t="shared" si="2"/>
        <v>4828.88</v>
      </c>
      <c r="AC46" s="188">
        <f t="shared" si="3"/>
        <v>241.44400000000002</v>
      </c>
      <c r="AD46" s="188">
        <f t="shared" si="4"/>
        <v>5070.3240000000005</v>
      </c>
      <c r="AE46" s="187">
        <v>349399</v>
      </c>
      <c r="AF46" s="194"/>
    </row>
    <row r="47" spans="1:33" s="192" customFormat="1">
      <c r="A47" s="197">
        <v>42303</v>
      </c>
      <c r="B47" s="501">
        <v>10523</v>
      </c>
      <c r="C47" s="501">
        <v>1</v>
      </c>
      <c r="D47" s="797">
        <v>12</v>
      </c>
      <c r="E47" s="501">
        <v>1</v>
      </c>
      <c r="F47" s="501"/>
      <c r="G47" s="501"/>
      <c r="H47" s="501">
        <v>1792.38</v>
      </c>
      <c r="I47" s="186"/>
      <c r="J47" s="187">
        <v>12</v>
      </c>
      <c r="K47" s="186"/>
      <c r="L47" s="186"/>
      <c r="M47" s="186"/>
      <c r="N47" s="187"/>
      <c r="O47" s="821"/>
      <c r="P47" s="822"/>
      <c r="Q47" s="822"/>
      <c r="R47" s="822"/>
      <c r="S47" s="188"/>
      <c r="T47" s="188"/>
      <c r="U47" s="188"/>
      <c r="V47" s="188"/>
      <c r="W47" s="188"/>
      <c r="X47" s="188"/>
      <c r="Y47" s="188"/>
      <c r="Z47" s="188"/>
      <c r="AA47" s="188"/>
      <c r="AB47" s="188">
        <f t="shared" si="2"/>
        <v>4756.38</v>
      </c>
      <c r="AC47" s="188">
        <f t="shared" si="3"/>
        <v>237.81900000000002</v>
      </c>
      <c r="AD47" s="188">
        <f t="shared" si="4"/>
        <v>4994.1990000000005</v>
      </c>
      <c r="AE47" s="187">
        <v>349399</v>
      </c>
      <c r="AF47" s="194"/>
    </row>
    <row r="48" spans="1:33" s="192" customFormat="1">
      <c r="A48" s="197">
        <v>42304</v>
      </c>
      <c r="B48" s="501">
        <v>10525</v>
      </c>
      <c r="C48" s="501">
        <v>1</v>
      </c>
      <c r="D48" s="797">
        <v>11</v>
      </c>
      <c r="E48" s="501">
        <v>2</v>
      </c>
      <c r="F48" s="501"/>
      <c r="G48" s="501"/>
      <c r="H48" s="501">
        <v>917.24</v>
      </c>
      <c r="I48" s="186"/>
      <c r="J48" s="187">
        <v>11</v>
      </c>
      <c r="K48" s="186"/>
      <c r="L48" s="186"/>
      <c r="M48" s="186"/>
      <c r="N48" s="187"/>
      <c r="O48" s="821"/>
      <c r="P48" s="822"/>
      <c r="Q48" s="822"/>
      <c r="R48" s="822"/>
      <c r="S48" s="188"/>
      <c r="T48" s="188"/>
      <c r="U48" s="188"/>
      <c r="V48" s="188"/>
      <c r="W48" s="188"/>
      <c r="X48" s="188"/>
      <c r="Y48" s="188"/>
      <c r="Z48" s="188"/>
      <c r="AA48" s="188"/>
      <c r="AB48" s="188">
        <f t="shared" si="2"/>
        <v>4090.24</v>
      </c>
      <c r="AC48" s="188">
        <f t="shared" si="3"/>
        <v>204.512</v>
      </c>
      <c r="AD48" s="188">
        <f t="shared" si="4"/>
        <v>4294.7519999999995</v>
      </c>
      <c r="AE48" s="187">
        <v>349399</v>
      </c>
      <c r="AF48" s="194"/>
    </row>
    <row r="49" spans="1:32" s="192" customFormat="1">
      <c r="A49" s="197">
        <v>42231</v>
      </c>
      <c r="B49" s="820" t="s">
        <v>729</v>
      </c>
      <c r="C49" s="501"/>
      <c r="D49" s="797"/>
      <c r="E49" s="501"/>
      <c r="F49" s="501"/>
      <c r="G49" s="501"/>
      <c r="H49" s="501"/>
      <c r="I49" s="186"/>
      <c r="J49" s="187"/>
      <c r="K49" s="186"/>
      <c r="L49" s="186">
        <v>6.5</v>
      </c>
      <c r="M49" s="186">
        <v>6</v>
      </c>
      <c r="N49" s="187">
        <v>9</v>
      </c>
      <c r="O49" s="821">
        <v>1</v>
      </c>
      <c r="P49" s="822"/>
      <c r="Q49" s="822"/>
      <c r="R49" s="822"/>
      <c r="S49" s="188"/>
      <c r="T49" s="188"/>
      <c r="U49" s="188"/>
      <c r="V49" s="188"/>
      <c r="W49" s="188"/>
      <c r="X49" s="188"/>
      <c r="Y49" s="188"/>
      <c r="Z49" s="188"/>
      <c r="AA49" s="188"/>
      <c r="AB49" s="188">
        <f t="shared" si="2"/>
        <v>2740</v>
      </c>
      <c r="AC49" s="188">
        <f t="shared" si="3"/>
        <v>137</v>
      </c>
      <c r="AD49" s="188">
        <f t="shared" si="4"/>
        <v>2877</v>
      </c>
      <c r="AE49" s="187">
        <v>349399</v>
      </c>
      <c r="AF49" s="194"/>
    </row>
    <row r="50" spans="1:32" s="192" customFormat="1">
      <c r="A50" s="197">
        <v>42238</v>
      </c>
      <c r="B50" s="823" t="s">
        <v>734</v>
      </c>
      <c r="C50" s="501"/>
      <c r="D50" s="797"/>
      <c r="E50" s="501"/>
      <c r="F50" s="501"/>
      <c r="G50" s="501"/>
      <c r="H50" s="501"/>
      <c r="I50" s="186"/>
      <c r="J50" s="187"/>
      <c r="K50" s="186"/>
      <c r="L50" s="186">
        <v>20</v>
      </c>
      <c r="M50" s="186">
        <v>1</v>
      </c>
      <c r="N50" s="187">
        <v>23.5</v>
      </c>
      <c r="O50" s="821">
        <v>0.5</v>
      </c>
      <c r="P50" s="822"/>
      <c r="Q50" s="822"/>
      <c r="R50" s="822"/>
      <c r="S50" s="188"/>
      <c r="T50" s="188"/>
      <c r="U50" s="188"/>
      <c r="V50" s="188"/>
      <c r="W50" s="188"/>
      <c r="X50" s="188"/>
      <c r="Y50" s="188"/>
      <c r="Z50" s="188"/>
      <c r="AA50" s="188"/>
      <c r="AB50" s="188">
        <f t="shared" si="2"/>
        <v>6447.5</v>
      </c>
      <c r="AC50" s="188">
        <f t="shared" si="3"/>
        <v>322.375</v>
      </c>
      <c r="AD50" s="188">
        <f t="shared" si="4"/>
        <v>6769.875</v>
      </c>
      <c r="AE50" s="187">
        <v>349399</v>
      </c>
      <c r="AF50" s="194"/>
    </row>
    <row r="51" spans="1:32" s="192" customFormat="1">
      <c r="A51" s="197">
        <v>42245</v>
      </c>
      <c r="B51" s="823" t="s">
        <v>735</v>
      </c>
      <c r="C51" s="501"/>
      <c r="D51" s="797"/>
      <c r="E51" s="501"/>
      <c r="F51" s="501"/>
      <c r="G51" s="501"/>
      <c r="H51" s="501"/>
      <c r="I51" s="186"/>
      <c r="J51" s="186"/>
      <c r="K51" s="186"/>
      <c r="L51" s="186">
        <v>5.5</v>
      </c>
      <c r="M51" s="186"/>
      <c r="N51" s="186"/>
      <c r="O51" s="795">
        <v>0.5</v>
      </c>
      <c r="P51" s="824"/>
      <c r="Q51" s="824"/>
      <c r="R51" s="824"/>
      <c r="S51" s="188"/>
      <c r="T51" s="188"/>
      <c r="U51" s="188"/>
      <c r="V51" s="188"/>
      <c r="W51" s="188"/>
      <c r="X51" s="188"/>
      <c r="Y51" s="188"/>
      <c r="Z51" s="188"/>
      <c r="AA51" s="188"/>
      <c r="AB51" s="188">
        <f t="shared" si="2"/>
        <v>1212.5</v>
      </c>
      <c r="AC51" s="188">
        <f t="shared" si="3"/>
        <v>60.625</v>
      </c>
      <c r="AD51" s="188">
        <f t="shared" si="4"/>
        <v>1273.125</v>
      </c>
      <c r="AE51" s="187">
        <v>349399</v>
      </c>
      <c r="AF51" s="194"/>
    </row>
    <row r="52" spans="1:32" s="192" customFormat="1">
      <c r="A52" s="197">
        <v>42252</v>
      </c>
      <c r="B52" s="823" t="s">
        <v>736</v>
      </c>
      <c r="C52" s="501"/>
      <c r="D52" s="797"/>
      <c r="E52" s="501"/>
      <c r="F52" s="501"/>
      <c r="G52" s="501"/>
      <c r="H52" s="501"/>
      <c r="I52" s="186"/>
      <c r="J52" s="187"/>
      <c r="K52" s="186"/>
      <c r="L52" s="186">
        <v>16</v>
      </c>
      <c r="M52" s="186"/>
      <c r="N52" s="187">
        <v>7</v>
      </c>
      <c r="O52" s="821">
        <v>1.5</v>
      </c>
      <c r="P52" s="822"/>
      <c r="Q52" s="822"/>
      <c r="R52" s="822"/>
      <c r="S52" s="188"/>
      <c r="T52" s="188"/>
      <c r="U52" s="188"/>
      <c r="V52" s="188"/>
      <c r="W52" s="188"/>
      <c r="X52" s="188"/>
      <c r="Y52" s="188"/>
      <c r="Z52" s="188"/>
      <c r="AA52" s="188"/>
      <c r="AB52" s="188">
        <f t="shared" si="2"/>
        <v>4162.5</v>
      </c>
      <c r="AC52" s="188">
        <f t="shared" si="3"/>
        <v>208.125</v>
      </c>
      <c r="AD52" s="188">
        <f t="shared" si="4"/>
        <v>4370.625</v>
      </c>
      <c r="AE52" s="187">
        <v>349399</v>
      </c>
      <c r="AF52" s="194"/>
    </row>
    <row r="53" spans="1:32" s="192" customFormat="1">
      <c r="A53" s="197">
        <v>42259</v>
      </c>
      <c r="B53" s="823" t="s">
        <v>737</v>
      </c>
      <c r="C53" s="501"/>
      <c r="D53" s="797"/>
      <c r="E53" s="501"/>
      <c r="F53" s="501"/>
      <c r="G53" s="501"/>
      <c r="H53" s="501"/>
      <c r="I53" s="186"/>
      <c r="J53" s="186"/>
      <c r="K53" s="186"/>
      <c r="L53" s="186">
        <v>3</v>
      </c>
      <c r="M53" s="186"/>
      <c r="N53" s="186">
        <v>33.5</v>
      </c>
      <c r="O53" s="795"/>
      <c r="P53" s="824"/>
      <c r="Q53" s="824"/>
      <c r="R53" s="824"/>
      <c r="S53" s="188"/>
      <c r="T53" s="188"/>
      <c r="U53" s="188"/>
      <c r="V53" s="188"/>
      <c r="W53" s="188"/>
      <c r="X53" s="188"/>
      <c r="Y53" s="188"/>
      <c r="Z53" s="188"/>
      <c r="AA53" s="188"/>
      <c r="AB53" s="188">
        <f t="shared" si="2"/>
        <v>3645</v>
      </c>
      <c r="AC53" s="188">
        <f t="shared" si="3"/>
        <v>182.25</v>
      </c>
      <c r="AD53" s="188">
        <f t="shared" si="4"/>
        <v>3827.25</v>
      </c>
      <c r="AE53" s="187">
        <v>349399</v>
      </c>
      <c r="AF53" s="194"/>
    </row>
    <row r="54" spans="1:32" s="192" customFormat="1">
      <c r="A54" s="197">
        <v>42273</v>
      </c>
      <c r="B54" s="823" t="s">
        <v>738</v>
      </c>
      <c r="C54" s="501"/>
      <c r="D54" s="797"/>
      <c r="E54" s="501"/>
      <c r="F54" s="501"/>
      <c r="G54" s="501"/>
      <c r="H54" s="501"/>
      <c r="I54" s="186"/>
      <c r="J54" s="186"/>
      <c r="K54" s="186"/>
      <c r="L54" s="186">
        <v>5</v>
      </c>
      <c r="M54" s="186"/>
      <c r="N54" s="186">
        <v>11</v>
      </c>
      <c r="O54" s="795"/>
      <c r="P54" s="824"/>
      <c r="Q54" s="824"/>
      <c r="R54" s="824"/>
      <c r="S54" s="188"/>
      <c r="T54" s="188"/>
      <c r="U54" s="188"/>
      <c r="V54" s="188"/>
      <c r="W54" s="188"/>
      <c r="X54" s="188"/>
      <c r="Y54" s="188"/>
      <c r="Z54" s="188"/>
      <c r="AA54" s="188"/>
      <c r="AB54" s="188">
        <f t="shared" si="2"/>
        <v>2040</v>
      </c>
      <c r="AC54" s="188">
        <f t="shared" si="3"/>
        <v>102</v>
      </c>
      <c r="AD54" s="188">
        <f t="shared" si="4"/>
        <v>2142</v>
      </c>
      <c r="AE54" s="187">
        <v>349399</v>
      </c>
      <c r="AF54" s="194"/>
    </row>
    <row r="55" spans="1:32" s="192" customFormat="1">
      <c r="A55" s="197">
        <v>42266</v>
      </c>
      <c r="B55" s="823" t="s">
        <v>739</v>
      </c>
      <c r="C55" s="501"/>
      <c r="D55" s="797"/>
      <c r="E55" s="501"/>
      <c r="F55" s="501"/>
      <c r="G55" s="501"/>
      <c r="H55" s="501"/>
      <c r="I55" s="186"/>
      <c r="J55" s="187"/>
      <c r="K55" s="186"/>
      <c r="L55" s="186">
        <v>3</v>
      </c>
      <c r="M55" s="186"/>
      <c r="N55" s="187">
        <v>6</v>
      </c>
      <c r="O55" s="821"/>
      <c r="P55" s="822"/>
      <c r="Q55" s="822"/>
      <c r="R55" s="822"/>
      <c r="S55" s="188"/>
      <c r="T55" s="188"/>
      <c r="U55" s="188"/>
      <c r="V55" s="188"/>
      <c r="W55" s="188"/>
      <c r="X55" s="188"/>
      <c r="Y55" s="188"/>
      <c r="Z55" s="188"/>
      <c r="AA55" s="188"/>
      <c r="AB55" s="188">
        <f t="shared" si="2"/>
        <v>1170</v>
      </c>
      <c r="AC55" s="188">
        <f t="shared" si="3"/>
        <v>58.5</v>
      </c>
      <c r="AD55" s="188">
        <f t="shared" si="4"/>
        <v>1228.5</v>
      </c>
      <c r="AE55" s="187">
        <v>349399</v>
      </c>
      <c r="AF55" s="194"/>
    </row>
    <row r="56" spans="1:32" s="192" customFormat="1">
      <c r="A56" s="202">
        <v>42280</v>
      </c>
      <c r="B56" s="823" t="s">
        <v>740</v>
      </c>
      <c r="C56" s="499"/>
      <c r="D56" s="794"/>
      <c r="E56" s="499"/>
      <c r="F56" s="499"/>
      <c r="G56" s="499"/>
      <c r="H56" s="501"/>
      <c r="I56" s="186"/>
      <c r="J56" s="187"/>
      <c r="K56" s="186"/>
      <c r="L56" s="186">
        <v>5</v>
      </c>
      <c r="M56" s="186"/>
      <c r="N56" s="187">
        <v>10</v>
      </c>
      <c r="O56" s="821">
        <v>1</v>
      </c>
      <c r="P56" s="822"/>
      <c r="Q56" s="822"/>
      <c r="R56" s="822"/>
      <c r="S56" s="188"/>
      <c r="T56" s="188"/>
      <c r="U56" s="188"/>
      <c r="V56" s="188"/>
      <c r="W56" s="188"/>
      <c r="X56" s="188"/>
      <c r="Y56" s="188"/>
      <c r="Z56" s="188"/>
      <c r="AA56" s="188"/>
      <c r="AB56" s="188">
        <f t="shared" si="2"/>
        <v>2065</v>
      </c>
      <c r="AC56" s="188">
        <f t="shared" si="3"/>
        <v>103.25</v>
      </c>
      <c r="AD56" s="188">
        <f t="shared" si="4"/>
        <v>2168.25</v>
      </c>
      <c r="AE56" s="187">
        <v>349399</v>
      </c>
      <c r="AF56" s="194"/>
    </row>
    <row r="57" spans="1:32" s="192" customFormat="1">
      <c r="A57" s="202">
        <v>42287</v>
      </c>
      <c r="B57" s="823" t="s">
        <v>741</v>
      </c>
      <c r="C57" s="501"/>
      <c r="D57" s="797"/>
      <c r="E57" s="501"/>
      <c r="F57" s="501"/>
      <c r="G57" s="501"/>
      <c r="H57" s="501"/>
      <c r="I57" s="186"/>
      <c r="J57" s="187"/>
      <c r="K57" s="186"/>
      <c r="L57" s="186">
        <v>7</v>
      </c>
      <c r="M57" s="186"/>
      <c r="N57" s="187">
        <v>16</v>
      </c>
      <c r="O57" s="821">
        <v>2</v>
      </c>
      <c r="P57" s="822"/>
      <c r="Q57" s="822"/>
      <c r="R57" s="822"/>
      <c r="S57" s="188"/>
      <c r="T57" s="188"/>
      <c r="U57" s="188"/>
      <c r="V57" s="188"/>
      <c r="W57" s="188"/>
      <c r="X57" s="188"/>
      <c r="Y57" s="188"/>
      <c r="Z57" s="188"/>
      <c r="AA57" s="188"/>
      <c r="AB57" s="188">
        <f t="shared" si="2"/>
        <v>3140</v>
      </c>
      <c r="AC57" s="188">
        <f t="shared" si="3"/>
        <v>157</v>
      </c>
      <c r="AD57" s="188">
        <f t="shared" si="4"/>
        <v>3297</v>
      </c>
      <c r="AE57" s="187">
        <v>349399</v>
      </c>
      <c r="AF57" s="194"/>
    </row>
    <row r="58" spans="1:32" s="192" customFormat="1">
      <c r="A58" s="197">
        <v>42294</v>
      </c>
      <c r="B58" s="823" t="s">
        <v>742</v>
      </c>
      <c r="C58" s="501"/>
      <c r="D58" s="797"/>
      <c r="E58" s="501"/>
      <c r="F58" s="501"/>
      <c r="G58" s="501"/>
      <c r="H58" s="501"/>
      <c r="I58" s="186"/>
      <c r="J58" s="187"/>
      <c r="K58" s="186"/>
      <c r="L58" s="186">
        <v>3.5</v>
      </c>
      <c r="M58" s="186"/>
      <c r="N58" s="187">
        <v>8</v>
      </c>
      <c r="O58" s="821">
        <v>2</v>
      </c>
      <c r="P58" s="822"/>
      <c r="Q58" s="822"/>
      <c r="R58" s="822"/>
      <c r="S58" s="188"/>
      <c r="T58" s="188"/>
      <c r="U58" s="188"/>
      <c r="V58" s="188"/>
      <c r="W58" s="188"/>
      <c r="X58" s="188"/>
      <c r="Y58" s="188"/>
      <c r="Z58" s="188"/>
      <c r="AA58" s="188"/>
      <c r="AB58" s="188">
        <f t="shared" si="2"/>
        <v>1685</v>
      </c>
      <c r="AC58" s="188">
        <f t="shared" si="3"/>
        <v>84.25</v>
      </c>
      <c r="AD58" s="188">
        <f t="shared" si="4"/>
        <v>1769.25</v>
      </c>
      <c r="AE58" s="187">
        <v>349399</v>
      </c>
      <c r="AF58" s="194"/>
    </row>
    <row r="59" spans="1:32" s="192" customFormat="1">
      <c r="A59" s="197">
        <v>42301</v>
      </c>
      <c r="B59" s="823" t="s">
        <v>743</v>
      </c>
      <c r="C59" s="501"/>
      <c r="D59" s="797"/>
      <c r="E59" s="501"/>
      <c r="F59" s="501"/>
      <c r="G59" s="501"/>
      <c r="H59" s="501"/>
      <c r="I59" s="186"/>
      <c r="J59" s="187"/>
      <c r="K59" s="186"/>
      <c r="L59" s="186">
        <v>3</v>
      </c>
      <c r="M59" s="186"/>
      <c r="N59" s="187">
        <v>22</v>
      </c>
      <c r="O59" s="821"/>
      <c r="P59" s="822"/>
      <c r="Q59" s="822"/>
      <c r="R59" s="822"/>
      <c r="S59" s="188"/>
      <c r="T59" s="188"/>
      <c r="U59" s="188"/>
      <c r="V59" s="188"/>
      <c r="W59" s="188"/>
      <c r="X59" s="188"/>
      <c r="Y59" s="188"/>
      <c r="Z59" s="188"/>
      <c r="AA59" s="188"/>
      <c r="AB59" s="188">
        <f t="shared" si="2"/>
        <v>2610</v>
      </c>
      <c r="AC59" s="188">
        <f t="shared" ref="AC59:AC64" si="5">AB59*5%</f>
        <v>130.5</v>
      </c>
      <c r="AD59" s="188">
        <f t="shared" ref="AD59:AD64" si="6">AB59+AC59</f>
        <v>2740.5</v>
      </c>
      <c r="AE59" s="187">
        <v>349399</v>
      </c>
      <c r="AF59" s="194"/>
    </row>
    <row r="60" spans="1:32">
      <c r="A60" s="63">
        <v>42311</v>
      </c>
      <c r="B60" s="222" t="s">
        <v>735</v>
      </c>
      <c r="C60" s="153"/>
      <c r="D60" s="800"/>
      <c r="E60" s="153"/>
      <c r="F60" s="153"/>
      <c r="G60" s="153"/>
      <c r="H60" s="153"/>
      <c r="I60" s="31"/>
      <c r="J60" s="35"/>
      <c r="K60" s="31"/>
      <c r="L60" s="31"/>
      <c r="M60" s="31"/>
      <c r="N60" s="31"/>
      <c r="O60" s="392"/>
      <c r="P60" s="364"/>
      <c r="Q60" s="364"/>
      <c r="R60" s="364"/>
      <c r="S60" s="27"/>
      <c r="T60" s="27"/>
      <c r="U60" s="27"/>
      <c r="V60" s="27"/>
      <c r="W60" s="27"/>
      <c r="X60" s="27"/>
      <c r="Y60" s="27"/>
      <c r="Z60" s="27"/>
      <c r="AA60" s="27"/>
      <c r="AB60" s="265" t="s">
        <v>785</v>
      </c>
      <c r="AC60" s="27" t="e">
        <f t="shared" si="5"/>
        <v>#VALUE!</v>
      </c>
      <c r="AD60" s="27" t="e">
        <f t="shared" si="6"/>
        <v>#VALUE!</v>
      </c>
      <c r="AE60" s="64"/>
    </row>
    <row r="61" spans="1:32">
      <c r="A61" s="63">
        <v>42312</v>
      </c>
      <c r="B61" s="222" t="s">
        <v>736</v>
      </c>
      <c r="C61" s="153"/>
      <c r="D61" s="800"/>
      <c r="E61" s="153"/>
      <c r="F61" s="153"/>
      <c r="G61" s="153"/>
      <c r="H61" s="153"/>
      <c r="I61" s="31"/>
      <c r="J61" s="35"/>
      <c r="K61" s="31"/>
      <c r="L61" s="31"/>
      <c r="M61" s="31"/>
      <c r="N61" s="31"/>
      <c r="O61" s="392"/>
      <c r="P61" s="364"/>
      <c r="Q61" s="364"/>
      <c r="R61" s="364"/>
      <c r="S61" s="27"/>
      <c r="T61" s="27"/>
      <c r="U61" s="27"/>
      <c r="V61" s="27"/>
      <c r="W61" s="27"/>
      <c r="X61" s="27"/>
      <c r="Y61" s="27"/>
      <c r="Z61" s="27"/>
      <c r="AA61" s="27"/>
      <c r="AB61" s="265" t="s">
        <v>785</v>
      </c>
      <c r="AC61" s="27" t="e">
        <f t="shared" si="5"/>
        <v>#VALUE!</v>
      </c>
      <c r="AD61" s="27" t="e">
        <f t="shared" si="6"/>
        <v>#VALUE!</v>
      </c>
      <c r="AE61" s="64"/>
    </row>
    <row r="62" spans="1:32">
      <c r="A62" s="63">
        <v>42311</v>
      </c>
      <c r="B62" s="866" t="s">
        <v>786</v>
      </c>
      <c r="C62" s="153"/>
      <c r="D62" s="800">
        <v>9</v>
      </c>
      <c r="E62" s="153">
        <v>1</v>
      </c>
      <c r="F62" s="153"/>
      <c r="G62" s="153"/>
      <c r="H62" s="153"/>
      <c r="I62" s="31"/>
      <c r="J62" s="35"/>
      <c r="K62" s="31"/>
      <c r="L62" s="31"/>
      <c r="M62" s="31"/>
      <c r="N62" s="31"/>
      <c r="O62" s="392"/>
      <c r="P62" s="364"/>
      <c r="Q62" s="364"/>
      <c r="R62" s="364"/>
      <c r="S62" s="27"/>
      <c r="T62" s="27"/>
      <c r="U62" s="27"/>
      <c r="V62" s="27"/>
      <c r="W62" s="27"/>
      <c r="X62" s="27"/>
      <c r="Y62" s="27"/>
      <c r="Z62" s="27"/>
      <c r="AA62" s="27"/>
      <c r="AB62" s="265">
        <f t="shared" si="2"/>
        <v>1134</v>
      </c>
      <c r="AC62" s="27">
        <f t="shared" si="5"/>
        <v>56.7</v>
      </c>
      <c r="AD62" s="27">
        <f t="shared" si="6"/>
        <v>1190.7</v>
      </c>
      <c r="AE62" s="64"/>
    </row>
    <row r="63" spans="1:32">
      <c r="A63" s="63">
        <v>42312</v>
      </c>
      <c r="B63" s="866" t="s">
        <v>787</v>
      </c>
      <c r="C63" s="153"/>
      <c r="D63" s="800">
        <v>24.5</v>
      </c>
      <c r="E63" s="153">
        <v>2</v>
      </c>
      <c r="F63" s="153"/>
      <c r="G63" s="153"/>
      <c r="H63" s="153"/>
      <c r="I63" s="31">
        <v>320</v>
      </c>
      <c r="J63" s="35">
        <v>21.5</v>
      </c>
      <c r="K63" s="31"/>
      <c r="L63" s="31"/>
      <c r="M63" s="31"/>
      <c r="N63" s="31"/>
      <c r="O63" s="392"/>
      <c r="P63" s="364"/>
      <c r="Q63" s="364"/>
      <c r="R63" s="364"/>
      <c r="S63" s="27"/>
      <c r="T63" s="27"/>
      <c r="U63" s="27"/>
      <c r="V63" s="27"/>
      <c r="W63" s="27"/>
      <c r="X63" s="27"/>
      <c r="Y63" s="27"/>
      <c r="Z63" s="27"/>
      <c r="AA63" s="27"/>
      <c r="AB63" s="265">
        <f>SUM(C63*$C$6+E63*$E$6+F63*$F$6+G63*$G$6+H63*$H$6+I63*$I$6+J63*$J$6+K63*$K$6+L63*$L$6+M63*$M$6+N63*$N$6+O63*$O$6+P63*$P$6+Q63*$Q$6+R63*$R$6+S63*$S$6+T63*$T$6+U63*$U$6+V63*$V$6+W63*$W$6+X63*$X$6+Y63*$Y$6+Z63*$Z$6+AA63*$AA$6+$D$6*D63)</f>
        <v>3710.5</v>
      </c>
      <c r="AC63" s="27">
        <f t="shared" si="5"/>
        <v>185.52500000000001</v>
      </c>
      <c r="AD63" s="27">
        <f t="shared" si="6"/>
        <v>3896.0250000000001</v>
      </c>
      <c r="AE63" s="64"/>
      <c r="AF63" s="341"/>
    </row>
    <row r="64" spans="1:32">
      <c r="A64" s="63">
        <v>42318</v>
      </c>
      <c r="B64" s="866">
        <v>427</v>
      </c>
      <c r="C64" s="153"/>
      <c r="D64" s="800">
        <v>12</v>
      </c>
      <c r="E64" s="153">
        <v>1</v>
      </c>
      <c r="F64" s="153">
        <v>1</v>
      </c>
      <c r="G64" s="153"/>
      <c r="H64" s="153">
        <f>461.6+75</f>
        <v>536.6</v>
      </c>
      <c r="I64" s="31"/>
      <c r="J64" s="35"/>
      <c r="K64" s="31"/>
      <c r="L64" s="31"/>
      <c r="M64" s="31"/>
      <c r="N64" s="31"/>
      <c r="O64" s="392"/>
      <c r="P64" s="364"/>
      <c r="Q64" s="364"/>
      <c r="R64" s="364"/>
      <c r="S64" s="27"/>
      <c r="T64" s="27"/>
      <c r="U64" s="27"/>
      <c r="V64" s="27"/>
      <c r="W64" s="27"/>
      <c r="X64" s="27"/>
      <c r="Y64" s="27"/>
      <c r="Z64" s="27"/>
      <c r="AA64" s="27"/>
      <c r="AB64" s="265">
        <f>SUM(C64*$C$6+E64*$E$6+F64*$F$6+G64*$G$6+H64*$H$6+I64*$I$6+J64*$J$6+K64*$K$6+L64*$L$6+M64*$M$6+N64*$N$6+O64*$O$6+P64*$P$6+Q64*$Q$6+R64*$R$6+S64*$S$6+T64*$T$6+U64*$U$6+V64*$V$6+W64*$W$6+X64*$X$6+Y64*$Y$6+Z64*$Z$6+AA64*$AA$6+$D$6*D64)</f>
        <v>2090.6</v>
      </c>
      <c r="AC64" s="27">
        <f t="shared" si="5"/>
        <v>104.53</v>
      </c>
      <c r="AD64" s="27">
        <f t="shared" si="6"/>
        <v>2195.13</v>
      </c>
      <c r="AE64" s="64"/>
      <c r="AF64" s="341"/>
    </row>
    <row r="65" spans="1:32">
      <c r="A65" s="63">
        <v>42330</v>
      </c>
      <c r="B65" s="866">
        <v>100805</v>
      </c>
      <c r="C65" s="153"/>
      <c r="D65" s="800"/>
      <c r="E65" s="153"/>
      <c r="F65" s="153"/>
      <c r="G65" s="153"/>
      <c r="H65" s="153"/>
      <c r="I65" s="31">
        <v>270</v>
      </c>
      <c r="J65" s="35">
        <v>20</v>
      </c>
      <c r="K65" s="31"/>
      <c r="L65" s="31"/>
      <c r="M65" s="31"/>
      <c r="N65" s="31">
        <v>15</v>
      </c>
      <c r="O65" s="392"/>
      <c r="P65" s="364">
        <v>5</v>
      </c>
      <c r="Q65" s="364"/>
      <c r="R65" s="364"/>
      <c r="S65" s="27"/>
      <c r="T65" s="27"/>
      <c r="U65" s="27"/>
      <c r="V65" s="27"/>
      <c r="W65" s="27"/>
      <c r="X65" s="27"/>
      <c r="Y65" s="27"/>
      <c r="Z65" s="27"/>
      <c r="AA65" s="27"/>
      <c r="AB65" s="265">
        <f>SUM(C65*$C$6+E65*$E$6+F65*$F$6+G65*$G$6+H65*$H$6+I65*$I$6+J65*$J$6+K65*$K$6+L65*$L$6+M65*$M$6+N65*$N$6+O65*$O$6+P65*$P$6+Q65*$Q$6+R65*$R$6+S65*$S$6+T65*$T$6+U65*$U$6+V65*$V$6+W65*$W$6+X65*$X$6+Y65*$Y$6+Z65*$Z$6+AA65*$AA$6+$D$6*D65)</f>
        <v>2520</v>
      </c>
      <c r="AC65" s="27">
        <f t="shared" ref="AC65:AC81" si="7">AB65*5%</f>
        <v>126</v>
      </c>
      <c r="AD65" s="27">
        <f t="shared" ref="AD65:AD81" si="8">AB65+AC65</f>
        <v>2646</v>
      </c>
      <c r="AE65" s="64"/>
      <c r="AF65" s="341"/>
    </row>
    <row r="66" spans="1:32">
      <c r="A66" s="67">
        <v>42341</v>
      </c>
      <c r="B66" s="866">
        <v>100808</v>
      </c>
      <c r="C66" s="153"/>
      <c r="D66" s="800">
        <v>3</v>
      </c>
      <c r="E66" s="153"/>
      <c r="F66" s="153"/>
      <c r="G66" s="153"/>
      <c r="H66" s="153">
        <v>95.42</v>
      </c>
      <c r="I66" s="31"/>
      <c r="J66" s="35">
        <v>3</v>
      </c>
      <c r="K66" s="31"/>
      <c r="L66" s="31"/>
      <c r="M66" s="31"/>
      <c r="N66" s="31"/>
      <c r="O66" s="392"/>
      <c r="P66" s="364"/>
      <c r="Q66" s="364"/>
      <c r="R66" s="364"/>
      <c r="S66" s="27"/>
      <c r="T66" s="27"/>
      <c r="U66" s="27"/>
      <c r="V66" s="27"/>
      <c r="W66" s="27"/>
      <c r="X66" s="27"/>
      <c r="Y66" s="27"/>
      <c r="Z66" s="27"/>
      <c r="AA66" s="27"/>
      <c r="AB66" s="265">
        <f t="shared" ref="AB66:AB81" si="9">SUM(C66*$C$6+E66*$E$6+F66*$F$6+G66*$G$6+H66*$H$6+I66*$I$6+J66*$J$6+K66*$K$6+L66*$L$6+M66*$M$6+N66*$N$6+O66*$O$6+P66*$P$6+Q66*$Q$6+R66*$R$6+S66*$S$6+T66*$T$6+U66*$U$6+V66*$V$6+W66*$W$6+X66*$X$6+Y66*$Y$6+Z66*$Z$6+AA66*$AA$6+$D$6*D66)</f>
        <v>440.42</v>
      </c>
      <c r="AC66" s="27">
        <f t="shared" si="7"/>
        <v>22.021000000000001</v>
      </c>
      <c r="AD66" s="27">
        <f t="shared" si="8"/>
        <v>462.44100000000003</v>
      </c>
      <c r="AE66" s="64"/>
      <c r="AF66" s="341"/>
    </row>
    <row r="67" spans="1:32">
      <c r="A67" s="63">
        <v>42347</v>
      </c>
      <c r="B67" s="866">
        <v>408</v>
      </c>
      <c r="C67" s="153"/>
      <c r="D67" s="800"/>
      <c r="E67" s="153"/>
      <c r="F67" s="153"/>
      <c r="G67" s="153"/>
      <c r="H67" s="153"/>
      <c r="I67" s="31">
        <v>175.5</v>
      </c>
      <c r="J67" s="35">
        <v>11</v>
      </c>
      <c r="K67" s="31"/>
      <c r="L67" s="31"/>
      <c r="M67" s="31"/>
      <c r="N67" s="31">
        <v>6.5</v>
      </c>
      <c r="O67" s="392"/>
      <c r="P67" s="364"/>
      <c r="Q67" s="364">
        <v>4.5</v>
      </c>
      <c r="R67" s="364"/>
      <c r="S67" s="27"/>
      <c r="T67" s="27"/>
      <c r="U67" s="27"/>
      <c r="V67" s="27"/>
      <c r="W67" s="27"/>
      <c r="X67" s="27"/>
      <c r="Y67" s="27"/>
      <c r="Z67" s="27"/>
      <c r="AA67" s="27"/>
      <c r="AB67" s="265">
        <f t="shared" si="9"/>
        <v>1305.5</v>
      </c>
      <c r="AC67" s="27">
        <f t="shared" si="7"/>
        <v>65.275000000000006</v>
      </c>
      <c r="AD67" s="27">
        <f t="shared" si="8"/>
        <v>1370.7750000000001</v>
      </c>
      <c r="AE67" s="64"/>
      <c r="AF67" s="341"/>
    </row>
    <row r="68" spans="1:32">
      <c r="A68" s="1130">
        <v>42344</v>
      </c>
      <c r="B68" s="866">
        <v>100824</v>
      </c>
      <c r="C68" s="153"/>
      <c r="D68" s="800"/>
      <c r="E68" s="153"/>
      <c r="F68" s="153"/>
      <c r="G68" s="153"/>
      <c r="H68" s="153"/>
      <c r="I68" s="31">
        <v>1704</v>
      </c>
      <c r="J68" s="35">
        <v>18</v>
      </c>
      <c r="K68" s="31"/>
      <c r="L68" s="31"/>
      <c r="M68" s="31"/>
      <c r="N68" s="31">
        <v>12</v>
      </c>
      <c r="O68" s="392"/>
      <c r="P68" s="364"/>
      <c r="Q68" s="364">
        <v>6</v>
      </c>
      <c r="R68" s="364"/>
      <c r="S68" s="27"/>
      <c r="T68" s="27"/>
      <c r="U68" s="27"/>
      <c r="V68" s="27"/>
      <c r="W68" s="27"/>
      <c r="X68" s="27"/>
      <c r="Y68" s="27"/>
      <c r="Z68" s="27"/>
      <c r="AA68" s="27"/>
      <c r="AB68" s="265">
        <f t="shared" si="9"/>
        <v>3594</v>
      </c>
      <c r="AC68" s="27">
        <f t="shared" si="7"/>
        <v>179.70000000000002</v>
      </c>
      <c r="AD68" s="27">
        <f t="shared" si="8"/>
        <v>3773.7</v>
      </c>
      <c r="AE68" s="64"/>
      <c r="AF68" s="341"/>
    </row>
    <row r="69" spans="1:32">
      <c r="A69" s="63">
        <v>42344</v>
      </c>
      <c r="B69" s="866">
        <v>100825</v>
      </c>
      <c r="C69" s="153"/>
      <c r="D69" s="800"/>
      <c r="E69" s="153"/>
      <c r="F69" s="153"/>
      <c r="G69" s="153"/>
      <c r="H69" s="153">
        <v>1893.94</v>
      </c>
      <c r="I69" s="31"/>
      <c r="J69" s="35"/>
      <c r="K69" s="31"/>
      <c r="L69" s="31"/>
      <c r="M69" s="31"/>
      <c r="N69" s="31"/>
      <c r="O69" s="392"/>
      <c r="P69" s="364"/>
      <c r="Q69" s="364"/>
      <c r="R69" s="364"/>
      <c r="S69" s="27"/>
      <c r="T69" s="27"/>
      <c r="U69" s="27"/>
      <c r="V69" s="27"/>
      <c r="W69" s="27"/>
      <c r="X69" s="27"/>
      <c r="Y69" s="27"/>
      <c r="Z69" s="27"/>
      <c r="AA69" s="27"/>
      <c r="AB69" s="265">
        <f t="shared" si="9"/>
        <v>1893.94</v>
      </c>
      <c r="AC69" s="27">
        <f t="shared" si="7"/>
        <v>94.697000000000003</v>
      </c>
      <c r="AD69" s="27">
        <f t="shared" si="8"/>
        <v>1988.6370000000002</v>
      </c>
      <c r="AE69" s="64"/>
      <c r="AF69" s="341"/>
    </row>
    <row r="70" spans="1:32">
      <c r="A70" s="63">
        <v>42715</v>
      </c>
      <c r="B70" s="866">
        <v>412</v>
      </c>
      <c r="C70" s="153"/>
      <c r="D70" s="800"/>
      <c r="E70" s="153"/>
      <c r="F70" s="153"/>
      <c r="G70" s="153"/>
      <c r="H70" s="153"/>
      <c r="I70" s="31">
        <v>2698.5</v>
      </c>
      <c r="J70" s="35">
        <v>21</v>
      </c>
      <c r="K70" s="31"/>
      <c r="L70" s="31"/>
      <c r="M70" s="31"/>
      <c r="N70" s="31">
        <v>10.5</v>
      </c>
      <c r="O70" s="392"/>
      <c r="P70" s="364"/>
      <c r="Q70" s="364">
        <v>10.5</v>
      </c>
      <c r="R70" s="1093">
        <v>6361.92</v>
      </c>
      <c r="S70" s="27"/>
      <c r="T70" s="27"/>
      <c r="U70" s="27"/>
      <c r="V70" s="27"/>
      <c r="W70" s="27"/>
      <c r="X70" s="27"/>
      <c r="Y70" s="27"/>
      <c r="Z70" s="27"/>
      <c r="AA70" s="27"/>
      <c r="AB70" s="265">
        <f t="shared" si="9"/>
        <v>11160.42</v>
      </c>
      <c r="AC70" s="27">
        <f t="shared" si="7"/>
        <v>558.02100000000007</v>
      </c>
      <c r="AD70" s="27">
        <f t="shared" si="8"/>
        <v>11718.441000000001</v>
      </c>
      <c r="AE70" s="64"/>
      <c r="AF70" s="341"/>
    </row>
    <row r="71" spans="1:32">
      <c r="A71" s="63">
        <v>42716</v>
      </c>
      <c r="B71" s="866">
        <v>413</v>
      </c>
      <c r="C71" s="153"/>
      <c r="D71" s="800"/>
      <c r="E71" s="153"/>
      <c r="F71" s="153"/>
      <c r="G71" s="153"/>
      <c r="H71" s="153"/>
      <c r="I71" s="520">
        <v>2982</v>
      </c>
      <c r="J71" s="35">
        <v>31.5</v>
      </c>
      <c r="K71" s="31"/>
      <c r="L71" s="31"/>
      <c r="M71" s="31"/>
      <c r="N71" s="31">
        <v>21</v>
      </c>
      <c r="O71" s="392"/>
      <c r="P71" s="364"/>
      <c r="Q71" s="364">
        <v>10.5</v>
      </c>
      <c r="R71" s="1093">
        <v>8234</v>
      </c>
      <c r="S71" s="27"/>
      <c r="T71" s="27"/>
      <c r="U71" s="27"/>
      <c r="V71" s="27"/>
      <c r="W71" s="27"/>
      <c r="X71" s="27"/>
      <c r="Y71" s="27"/>
      <c r="Z71" s="27"/>
      <c r="AA71" s="27"/>
      <c r="AB71" s="265">
        <f t="shared" si="9"/>
        <v>14523.5</v>
      </c>
      <c r="AC71" s="27">
        <f t="shared" si="7"/>
        <v>726.17500000000007</v>
      </c>
      <c r="AD71" s="27">
        <f t="shared" si="8"/>
        <v>15249.674999999999</v>
      </c>
      <c r="AE71" s="64"/>
      <c r="AF71" s="341"/>
    </row>
    <row r="72" spans="1:32">
      <c r="A72" s="63">
        <v>42717</v>
      </c>
      <c r="B72" s="866">
        <v>414</v>
      </c>
      <c r="C72" s="153"/>
      <c r="D72" s="800"/>
      <c r="E72" s="153"/>
      <c r="F72" s="153"/>
      <c r="G72" s="153"/>
      <c r="H72" s="153"/>
      <c r="I72" s="31">
        <v>2982</v>
      </c>
      <c r="J72" s="35">
        <v>31.5</v>
      </c>
      <c r="K72" s="31"/>
      <c r="L72" s="31"/>
      <c r="M72" s="31"/>
      <c r="N72" s="31">
        <v>21</v>
      </c>
      <c r="O72" s="392"/>
      <c r="P72" s="364"/>
      <c r="Q72" s="364">
        <v>10.5</v>
      </c>
      <c r="R72" s="1093">
        <v>4939.25</v>
      </c>
      <c r="S72" s="27"/>
      <c r="T72" s="27"/>
      <c r="U72" s="27"/>
      <c r="V72" s="27"/>
      <c r="W72" s="27"/>
      <c r="X72" s="27"/>
      <c r="Y72" s="27"/>
      <c r="Z72" s="27"/>
      <c r="AA72" s="27"/>
      <c r="AB72" s="265">
        <f t="shared" si="9"/>
        <v>11228.75</v>
      </c>
      <c r="AC72" s="27">
        <f t="shared" si="7"/>
        <v>561.4375</v>
      </c>
      <c r="AD72" s="27">
        <f t="shared" si="8"/>
        <v>11790.1875</v>
      </c>
      <c r="AE72" s="64"/>
      <c r="AF72" s="341"/>
    </row>
    <row r="73" spans="1:32">
      <c r="A73" s="63">
        <v>42718</v>
      </c>
      <c r="B73" s="866">
        <v>420</v>
      </c>
      <c r="C73" s="153"/>
      <c r="D73" s="800"/>
      <c r="E73" s="153"/>
      <c r="F73" s="153"/>
      <c r="G73" s="153"/>
      <c r="H73" s="153"/>
      <c r="I73" s="31">
        <v>2272</v>
      </c>
      <c r="J73" s="35">
        <v>24</v>
      </c>
      <c r="K73" s="31"/>
      <c r="L73" s="31"/>
      <c r="M73" s="31"/>
      <c r="N73" s="31">
        <v>16</v>
      </c>
      <c r="O73" s="392"/>
      <c r="P73" s="364"/>
      <c r="Q73" s="364">
        <v>8</v>
      </c>
      <c r="R73" s="364"/>
      <c r="S73" s="27"/>
      <c r="T73" s="27"/>
      <c r="U73" s="27"/>
      <c r="V73" s="27"/>
      <c r="W73" s="27"/>
      <c r="X73" s="27"/>
      <c r="Y73" s="27"/>
      <c r="Z73" s="27"/>
      <c r="AA73" s="27"/>
      <c r="AB73" s="265">
        <f t="shared" si="9"/>
        <v>4792</v>
      </c>
      <c r="AC73" s="27">
        <f t="shared" si="7"/>
        <v>239.60000000000002</v>
      </c>
      <c r="AD73" s="27">
        <f t="shared" si="8"/>
        <v>5031.6000000000004</v>
      </c>
      <c r="AE73" s="64"/>
      <c r="AF73" s="341"/>
    </row>
    <row r="74" spans="1:32">
      <c r="A74" s="63">
        <v>42722</v>
      </c>
      <c r="B74" s="866">
        <v>419</v>
      </c>
      <c r="C74" s="153"/>
      <c r="D74" s="800"/>
      <c r="E74" s="153"/>
      <c r="F74" s="153"/>
      <c r="G74" s="153"/>
      <c r="H74" s="153">
        <v>5856.48</v>
      </c>
      <c r="I74" s="31"/>
      <c r="J74" s="35"/>
      <c r="K74" s="31"/>
      <c r="L74" s="31"/>
      <c r="M74" s="31"/>
      <c r="N74" s="31"/>
      <c r="O74" s="392"/>
      <c r="P74" s="364"/>
      <c r="Q74" s="364"/>
      <c r="R74" s="364"/>
      <c r="S74" s="27"/>
      <c r="T74" s="27"/>
      <c r="U74" s="27"/>
      <c r="V74" s="27"/>
      <c r="W74" s="27"/>
      <c r="X74" s="27"/>
      <c r="Y74" s="27"/>
      <c r="Z74" s="27"/>
      <c r="AA74" s="27"/>
      <c r="AB74" s="265">
        <f t="shared" si="9"/>
        <v>5856.48</v>
      </c>
      <c r="AC74" s="27">
        <f t="shared" si="7"/>
        <v>292.82400000000001</v>
      </c>
      <c r="AD74" s="27">
        <f t="shared" si="8"/>
        <v>6149.3039999999992</v>
      </c>
      <c r="AE74" s="64"/>
      <c r="AF74" s="341"/>
    </row>
    <row r="75" spans="1:32">
      <c r="A75" s="63"/>
      <c r="B75" s="866"/>
      <c r="C75" s="153"/>
      <c r="D75" s="800"/>
      <c r="E75" s="153"/>
      <c r="F75" s="153"/>
      <c r="G75" s="153"/>
      <c r="H75" s="153"/>
      <c r="I75" s="31"/>
      <c r="J75" s="35"/>
      <c r="K75" s="31"/>
      <c r="L75" s="31"/>
      <c r="M75" s="31"/>
      <c r="N75" s="31"/>
      <c r="O75" s="392"/>
      <c r="P75" s="364"/>
      <c r="Q75" s="364"/>
      <c r="R75" s="364"/>
      <c r="S75" s="27"/>
      <c r="T75" s="27"/>
      <c r="U75" s="27"/>
      <c r="V75" s="27"/>
      <c r="W75" s="27"/>
      <c r="X75" s="27"/>
      <c r="Y75" s="27"/>
      <c r="Z75" s="27"/>
      <c r="AA75" s="27"/>
      <c r="AB75" s="265">
        <f t="shared" si="9"/>
        <v>0</v>
      </c>
      <c r="AC75" s="27">
        <f t="shared" si="7"/>
        <v>0</v>
      </c>
      <c r="AD75" s="27">
        <f t="shared" si="8"/>
        <v>0</v>
      </c>
      <c r="AE75" s="64"/>
      <c r="AF75" s="341"/>
    </row>
    <row r="76" spans="1:32">
      <c r="A76" s="63"/>
      <c r="B76" s="866"/>
      <c r="C76" s="153"/>
      <c r="D76" s="800"/>
      <c r="E76" s="153"/>
      <c r="F76" s="153"/>
      <c r="G76" s="153"/>
      <c r="H76" s="153"/>
      <c r="I76" s="31"/>
      <c r="J76" s="35"/>
      <c r="K76" s="31"/>
      <c r="L76" s="31"/>
      <c r="M76" s="31"/>
      <c r="N76" s="31"/>
      <c r="O76" s="392"/>
      <c r="P76" s="364"/>
      <c r="Q76" s="364"/>
      <c r="R76" s="364"/>
      <c r="S76" s="27"/>
      <c r="T76" s="27"/>
      <c r="U76" s="27"/>
      <c r="V76" s="27"/>
      <c r="W76" s="27"/>
      <c r="X76" s="27"/>
      <c r="Y76" s="27"/>
      <c r="Z76" s="27"/>
      <c r="AA76" s="27"/>
      <c r="AB76" s="265">
        <f t="shared" si="9"/>
        <v>0</v>
      </c>
      <c r="AC76" s="27">
        <f t="shared" si="7"/>
        <v>0</v>
      </c>
      <c r="AD76" s="27">
        <f t="shared" si="8"/>
        <v>0</v>
      </c>
      <c r="AE76" s="64"/>
      <c r="AF76" s="341"/>
    </row>
    <row r="77" spans="1:32">
      <c r="A77" s="63"/>
      <c r="B77" s="866"/>
      <c r="C77" s="153"/>
      <c r="D77" s="800"/>
      <c r="E77" s="153"/>
      <c r="F77" s="153"/>
      <c r="G77" s="153"/>
      <c r="H77" s="153"/>
      <c r="I77" s="31"/>
      <c r="J77" s="35"/>
      <c r="K77" s="31"/>
      <c r="L77" s="31"/>
      <c r="M77" s="31"/>
      <c r="N77" s="31"/>
      <c r="O77" s="392"/>
      <c r="P77" s="364"/>
      <c r="Q77" s="364"/>
      <c r="R77" s="364"/>
      <c r="S77" s="27"/>
      <c r="T77" s="27"/>
      <c r="U77" s="27"/>
      <c r="V77" s="27"/>
      <c r="W77" s="27"/>
      <c r="X77" s="27"/>
      <c r="Y77" s="27"/>
      <c r="Z77" s="27"/>
      <c r="AA77" s="27"/>
      <c r="AB77" s="265">
        <f t="shared" si="9"/>
        <v>0</v>
      </c>
      <c r="AC77" s="27">
        <f t="shared" si="7"/>
        <v>0</v>
      </c>
      <c r="AD77" s="27">
        <f t="shared" si="8"/>
        <v>0</v>
      </c>
      <c r="AE77" s="64"/>
      <c r="AF77" s="341"/>
    </row>
    <row r="78" spans="1:32">
      <c r="A78" s="63"/>
      <c r="B78" s="866"/>
      <c r="C78" s="153"/>
      <c r="D78" s="800"/>
      <c r="E78" s="153"/>
      <c r="F78" s="153"/>
      <c r="G78" s="153"/>
      <c r="H78" s="153"/>
      <c r="I78" s="31"/>
      <c r="J78" s="35"/>
      <c r="K78" s="31"/>
      <c r="L78" s="31"/>
      <c r="M78" s="31"/>
      <c r="N78" s="31"/>
      <c r="O78" s="392"/>
      <c r="P78" s="364"/>
      <c r="Q78" s="364"/>
      <c r="R78" s="364"/>
      <c r="S78" s="27"/>
      <c r="T78" s="27"/>
      <c r="U78" s="27"/>
      <c r="V78" s="27"/>
      <c r="W78" s="27"/>
      <c r="X78" s="27"/>
      <c r="Y78" s="27"/>
      <c r="Z78" s="27"/>
      <c r="AA78" s="27"/>
      <c r="AB78" s="265">
        <f t="shared" si="9"/>
        <v>0</v>
      </c>
      <c r="AC78" s="27">
        <f t="shared" si="7"/>
        <v>0</v>
      </c>
      <c r="AD78" s="27">
        <f t="shared" si="8"/>
        <v>0</v>
      </c>
      <c r="AE78" s="64"/>
      <c r="AF78" s="341"/>
    </row>
    <row r="79" spans="1:32">
      <c r="A79" s="63"/>
      <c r="B79" s="866"/>
      <c r="C79" s="153"/>
      <c r="D79" s="800"/>
      <c r="E79" s="153"/>
      <c r="F79" s="153"/>
      <c r="G79" s="153"/>
      <c r="H79" s="153"/>
      <c r="I79" s="31"/>
      <c r="J79" s="35"/>
      <c r="K79" s="31"/>
      <c r="L79" s="31"/>
      <c r="M79" s="31"/>
      <c r="N79" s="31"/>
      <c r="O79" s="392"/>
      <c r="P79" s="364"/>
      <c r="Q79" s="364"/>
      <c r="R79" s="364"/>
      <c r="S79" s="27"/>
      <c r="T79" s="27"/>
      <c r="U79" s="27"/>
      <c r="V79" s="27"/>
      <c r="W79" s="27"/>
      <c r="X79" s="27"/>
      <c r="Y79" s="27"/>
      <c r="Z79" s="27"/>
      <c r="AA79" s="27"/>
      <c r="AB79" s="265">
        <f t="shared" si="9"/>
        <v>0</v>
      </c>
      <c r="AC79" s="27">
        <f t="shared" si="7"/>
        <v>0</v>
      </c>
      <c r="AD79" s="27">
        <f t="shared" si="8"/>
        <v>0</v>
      </c>
      <c r="AE79" s="64"/>
      <c r="AF79" s="341"/>
    </row>
    <row r="80" spans="1:32">
      <c r="A80" s="63"/>
      <c r="B80" s="866"/>
      <c r="C80" s="153"/>
      <c r="D80" s="800"/>
      <c r="E80" s="153"/>
      <c r="F80" s="153"/>
      <c r="G80" s="153"/>
      <c r="H80" s="153"/>
      <c r="I80" s="31"/>
      <c r="J80" s="35"/>
      <c r="K80" s="31"/>
      <c r="L80" s="31"/>
      <c r="M80" s="31"/>
      <c r="N80" s="31"/>
      <c r="O80" s="392"/>
      <c r="P80" s="364"/>
      <c r="Q80" s="364"/>
      <c r="R80" s="364"/>
      <c r="S80" s="27"/>
      <c r="T80" s="27"/>
      <c r="U80" s="27"/>
      <c r="V80" s="27"/>
      <c r="W80" s="27"/>
      <c r="X80" s="27"/>
      <c r="Y80" s="27"/>
      <c r="Z80" s="27"/>
      <c r="AA80" s="27"/>
      <c r="AB80" s="265">
        <f t="shared" si="9"/>
        <v>0</v>
      </c>
      <c r="AC80" s="27">
        <f t="shared" si="7"/>
        <v>0</v>
      </c>
      <c r="AD80" s="27">
        <f t="shared" si="8"/>
        <v>0</v>
      </c>
      <c r="AE80" s="64"/>
      <c r="AF80" s="341"/>
    </row>
    <row r="81" spans="1:32">
      <c r="A81" s="63"/>
      <c r="B81" s="866"/>
      <c r="C81" s="153"/>
      <c r="D81" s="800"/>
      <c r="E81" s="153"/>
      <c r="F81" s="153"/>
      <c r="G81" s="153"/>
      <c r="H81" s="153"/>
      <c r="I81" s="31"/>
      <c r="J81" s="35"/>
      <c r="K81" s="31"/>
      <c r="L81" s="31"/>
      <c r="M81" s="31"/>
      <c r="N81" s="31"/>
      <c r="O81" s="392"/>
      <c r="P81" s="364"/>
      <c r="Q81" s="364"/>
      <c r="R81" s="364"/>
      <c r="S81" s="27"/>
      <c r="T81" s="27"/>
      <c r="U81" s="27"/>
      <c r="V81" s="27"/>
      <c r="W81" s="27"/>
      <c r="X81" s="27"/>
      <c r="Y81" s="27"/>
      <c r="Z81" s="27"/>
      <c r="AA81" s="27"/>
      <c r="AB81" s="265">
        <f t="shared" si="9"/>
        <v>0</v>
      </c>
      <c r="AC81" s="27">
        <f t="shared" si="7"/>
        <v>0</v>
      </c>
      <c r="AD81" s="27">
        <f t="shared" si="8"/>
        <v>0</v>
      </c>
      <c r="AE81" s="64"/>
      <c r="AF81" s="341"/>
    </row>
  </sheetData>
  <autoFilter ref="A4:AF4"/>
  <phoneticPr fontId="3" type="noConversion"/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0"/>
  </sheetPr>
  <dimension ref="A1:AB41"/>
  <sheetViews>
    <sheetView workbookViewId="0">
      <pane ySplit="6" topLeftCell="A7" activePane="bottomLeft" state="frozen"/>
      <selection activeCell="K94" sqref="K94"/>
      <selection pane="bottomLeft" activeCell="A2" sqref="A2"/>
    </sheetView>
  </sheetViews>
  <sheetFormatPr baseColWidth="10" defaultColWidth="8.83203125" defaultRowHeight="12" x14ac:dyDescent="0"/>
  <cols>
    <col min="1" max="1" width="9.5" style="341" bestFit="1" customWidth="1"/>
    <col min="2" max="2" width="17.6640625" style="341" bestFit="1" customWidth="1"/>
    <col min="3" max="3" width="12.33203125" style="341" bestFit="1" customWidth="1"/>
    <col min="4" max="4" width="12.33203125" style="341" customWidth="1"/>
    <col min="5" max="5" width="11.6640625" style="341" bestFit="1" customWidth="1"/>
    <col min="6" max="6" width="13" style="341" bestFit="1" customWidth="1"/>
    <col min="7" max="7" width="13.33203125" style="341" bestFit="1" customWidth="1"/>
    <col min="8" max="8" width="13.1640625" style="341" bestFit="1" customWidth="1"/>
    <col min="9" max="9" width="12.6640625" style="25" customWidth="1"/>
    <col min="10" max="10" width="11.1640625" style="25" customWidth="1"/>
    <col min="11" max="11" width="12.1640625" style="25" customWidth="1"/>
    <col min="12" max="15" width="9.1640625" style="25" hidden="1" customWidth="1"/>
    <col min="16" max="16" width="9.83203125" style="25" hidden="1" customWidth="1"/>
    <col min="17" max="17" width="10" style="25" hidden="1" customWidth="1"/>
    <col min="18" max="18" width="10.33203125" style="25" hidden="1" customWidth="1"/>
    <col min="19" max="19" width="10" style="25" hidden="1" customWidth="1"/>
    <col min="20" max="20" width="13.5" style="25" hidden="1" customWidth="1"/>
    <col min="21" max="22" width="12" style="25" hidden="1" customWidth="1"/>
    <col min="23" max="23" width="10.6640625" style="25" hidden="1" customWidth="1"/>
    <col min="24" max="24" width="13" style="341" bestFit="1" customWidth="1"/>
    <col min="25" max="25" width="9.83203125" style="341" bestFit="1" customWidth="1"/>
    <col min="26" max="26" width="12" style="341" bestFit="1" customWidth="1"/>
    <col min="27" max="27" width="13.5" style="341" bestFit="1" customWidth="1"/>
    <col min="28" max="28" width="17.1640625" style="341" bestFit="1" customWidth="1"/>
  </cols>
  <sheetData>
    <row r="1" spans="1:28">
      <c r="A1" s="24"/>
      <c r="B1" s="24"/>
      <c r="C1" s="24"/>
      <c r="D1" s="24"/>
      <c r="E1" s="24"/>
      <c r="F1" s="24"/>
      <c r="G1" s="24"/>
      <c r="H1" s="30"/>
      <c r="X1" s="25"/>
      <c r="Y1" s="25"/>
      <c r="Z1" s="25"/>
      <c r="AA1" s="25"/>
    </row>
    <row r="2" spans="1:28">
      <c r="A2" s="100" t="s">
        <v>1107</v>
      </c>
      <c r="B2" s="116"/>
      <c r="C2" s="116"/>
      <c r="D2" s="116"/>
      <c r="E2" s="116"/>
      <c r="F2" s="116"/>
      <c r="G2" s="116"/>
      <c r="H2" s="30"/>
      <c r="X2" s="25"/>
      <c r="Y2" s="25"/>
      <c r="Z2" s="25"/>
      <c r="AA2" s="25"/>
    </row>
    <row r="3" spans="1:28">
      <c r="A3" s="24"/>
      <c r="B3" s="24"/>
      <c r="C3" s="24"/>
      <c r="D3" s="24"/>
      <c r="E3" s="24"/>
      <c r="F3" s="24"/>
      <c r="G3" s="24"/>
      <c r="H3" s="30"/>
      <c r="X3" s="25"/>
      <c r="Y3" s="25"/>
      <c r="Z3" s="25"/>
      <c r="AA3" s="25"/>
    </row>
    <row r="4" spans="1:28" ht="51.75" customHeight="1">
      <c r="A4" s="36" t="s">
        <v>0</v>
      </c>
      <c r="B4" s="36" t="s">
        <v>147</v>
      </c>
      <c r="C4" s="36" t="s">
        <v>837</v>
      </c>
      <c r="D4" s="770" t="s">
        <v>837</v>
      </c>
      <c r="E4" s="36" t="s">
        <v>837</v>
      </c>
      <c r="F4" s="36" t="s">
        <v>838</v>
      </c>
      <c r="G4" s="36" t="s">
        <v>730</v>
      </c>
      <c r="H4" s="41"/>
      <c r="I4" s="40"/>
      <c r="J4" s="40"/>
      <c r="K4" s="363"/>
      <c r="L4" s="363"/>
      <c r="M4" s="363"/>
      <c r="N4" s="363"/>
      <c r="O4" s="40"/>
      <c r="P4" s="40" t="s">
        <v>150</v>
      </c>
      <c r="Q4" s="40" t="s">
        <v>26</v>
      </c>
      <c r="R4" s="40" t="s">
        <v>161</v>
      </c>
      <c r="S4" s="40" t="s">
        <v>26</v>
      </c>
      <c r="T4" s="40" t="s">
        <v>165</v>
      </c>
      <c r="U4" s="40" t="s">
        <v>163</v>
      </c>
      <c r="V4" s="40" t="s">
        <v>164</v>
      </c>
      <c r="W4" s="40" t="s">
        <v>157</v>
      </c>
      <c r="X4" s="40" t="s">
        <v>13</v>
      </c>
      <c r="Y4" s="40" t="s">
        <v>14</v>
      </c>
      <c r="Z4" s="40" t="s">
        <v>9</v>
      </c>
      <c r="AA4" s="40" t="s">
        <v>15</v>
      </c>
      <c r="AB4" s="55" t="s">
        <v>16</v>
      </c>
    </row>
    <row r="5" spans="1:28" s="2" customFormat="1">
      <c r="A5" s="393"/>
      <c r="B5" s="394"/>
      <c r="C5" s="395"/>
      <c r="D5" s="771"/>
      <c r="E5" s="395"/>
      <c r="F5" s="395"/>
      <c r="G5" s="396"/>
      <c r="H5" s="397"/>
      <c r="I5" s="398"/>
      <c r="J5" s="399"/>
      <c r="K5" s="400"/>
      <c r="L5" s="400"/>
      <c r="M5" s="400"/>
      <c r="N5" s="400"/>
      <c r="O5" s="398"/>
      <c r="P5" s="263"/>
      <c r="Q5" s="265"/>
      <c r="R5" s="263"/>
      <c r="S5" s="265"/>
      <c r="T5" s="263"/>
      <c r="U5" s="263"/>
      <c r="V5" s="263"/>
      <c r="W5" s="263"/>
      <c r="X5" s="398"/>
      <c r="Y5" s="398"/>
      <c r="Z5" s="398"/>
      <c r="AA5" s="397"/>
      <c r="AB5" s="296">
        <f>SUM(X7:X46)</f>
        <v>52915</v>
      </c>
    </row>
    <row r="6" spans="1:28" s="2" customFormat="1">
      <c r="A6" s="393" t="s">
        <v>370</v>
      </c>
      <c r="B6" s="394"/>
      <c r="C6" s="401">
        <v>90</v>
      </c>
      <c r="D6" s="772">
        <v>90</v>
      </c>
      <c r="E6" s="401">
        <v>90</v>
      </c>
      <c r="F6" s="401">
        <v>80</v>
      </c>
      <c r="G6" s="401"/>
      <c r="H6" s="402"/>
      <c r="I6" s="403"/>
      <c r="J6" s="403"/>
      <c r="K6" s="404"/>
      <c r="L6" s="404"/>
      <c r="M6" s="404"/>
      <c r="N6" s="404"/>
      <c r="O6" s="403"/>
      <c r="P6" s="263"/>
      <c r="Q6" s="265"/>
      <c r="R6" s="263"/>
      <c r="S6" s="265"/>
      <c r="T6" s="263"/>
      <c r="U6" s="263"/>
      <c r="V6" s="263"/>
      <c r="W6" s="263"/>
      <c r="X6" s="398"/>
      <c r="Y6" s="398"/>
      <c r="Z6" s="398"/>
      <c r="AA6" s="397"/>
      <c r="AB6" s="299"/>
    </row>
    <row r="7" spans="1:28" s="2" customFormat="1">
      <c r="A7" s="318">
        <v>42322</v>
      </c>
      <c r="B7" s="954">
        <v>100802</v>
      </c>
      <c r="C7" s="305">
        <v>12</v>
      </c>
      <c r="D7" s="955">
        <v>11</v>
      </c>
      <c r="E7" s="305">
        <v>11</v>
      </c>
      <c r="F7" s="305">
        <v>11</v>
      </c>
      <c r="G7" s="305">
        <v>12</v>
      </c>
      <c r="H7" s="305"/>
      <c r="I7" s="263"/>
      <c r="J7" s="266"/>
      <c r="K7" s="956"/>
      <c r="L7" s="957"/>
      <c r="M7" s="957"/>
      <c r="N7" s="957"/>
      <c r="O7" s="265"/>
      <c r="P7" s="265"/>
      <c r="Q7" s="265"/>
      <c r="R7" s="265"/>
      <c r="S7" s="265"/>
      <c r="T7" s="265"/>
      <c r="U7" s="265"/>
      <c r="V7" s="265"/>
      <c r="W7" s="265"/>
      <c r="X7" s="265">
        <f t="shared" ref="X7:X41" si="0">SUM(C7*$C$6+E7*$E$6+F7*$F$6+G7*$G$6+H7*$H$6+I7*$I$6+J7*$J$6+K7*$K$6+L7*$L$6+M7*$M$6+N7*$N$6+O7*$O$6+P7*$P$6+Q7*$Q$6+R7*$R$6+S7*$S$6+T7*$T$6+U7*$U$6+V7*$V$6+W7*$W$6+$D$6*D7)</f>
        <v>3940</v>
      </c>
      <c r="Y7" s="265">
        <f>X7*5%</f>
        <v>197</v>
      </c>
      <c r="Z7" s="265">
        <f>X7+Y7</f>
        <v>4137</v>
      </c>
      <c r="AA7" s="266" t="s">
        <v>944</v>
      </c>
      <c r="AB7" s="316"/>
    </row>
    <row r="8" spans="1:28" s="2" customFormat="1">
      <c r="A8" s="318">
        <v>42328</v>
      </c>
      <c r="B8" s="954">
        <v>100803</v>
      </c>
      <c r="C8" s="305">
        <v>11</v>
      </c>
      <c r="D8" s="955">
        <v>11</v>
      </c>
      <c r="E8" s="305">
        <v>11</v>
      </c>
      <c r="F8" s="305">
        <v>11</v>
      </c>
      <c r="G8" s="305"/>
      <c r="H8" s="305"/>
      <c r="I8" s="263"/>
      <c r="J8" s="263"/>
      <c r="K8" s="938"/>
      <c r="L8" s="939"/>
      <c r="M8" s="939"/>
      <c r="N8" s="939"/>
      <c r="O8" s="265"/>
      <c r="P8" s="265"/>
      <c r="Q8" s="265"/>
      <c r="R8" s="265"/>
      <c r="S8" s="265"/>
      <c r="T8" s="265"/>
      <c r="U8" s="265"/>
      <c r="V8" s="265"/>
      <c r="W8" s="265"/>
      <c r="X8" s="265">
        <f t="shared" si="0"/>
        <v>3850</v>
      </c>
      <c r="Y8" s="265">
        <f t="shared" ref="Y8:Y41" si="1">X8*5%</f>
        <v>192.5</v>
      </c>
      <c r="Z8" s="265">
        <f t="shared" ref="Z8:Z41" si="2">X8+Y8</f>
        <v>4042.5</v>
      </c>
      <c r="AA8" s="266" t="s">
        <v>944</v>
      </c>
      <c r="AB8" s="316"/>
    </row>
    <row r="9" spans="1:28" s="2" customFormat="1">
      <c r="A9" s="318">
        <v>42329</v>
      </c>
      <c r="B9" s="954">
        <v>100804</v>
      </c>
      <c r="C9" s="305">
        <v>12</v>
      </c>
      <c r="D9" s="955">
        <v>11</v>
      </c>
      <c r="E9" s="305">
        <v>11</v>
      </c>
      <c r="F9" s="305">
        <v>11</v>
      </c>
      <c r="G9" s="305"/>
      <c r="H9" s="305"/>
      <c r="I9" s="263"/>
      <c r="J9" s="266"/>
      <c r="K9" s="956"/>
      <c r="L9" s="957"/>
      <c r="M9" s="957"/>
      <c r="N9" s="957"/>
      <c r="O9" s="265"/>
      <c r="P9" s="265"/>
      <c r="Q9" s="265"/>
      <c r="R9" s="265"/>
      <c r="S9" s="265"/>
      <c r="T9" s="265"/>
      <c r="U9" s="265"/>
      <c r="V9" s="265"/>
      <c r="W9" s="265"/>
      <c r="X9" s="265">
        <f t="shared" si="0"/>
        <v>3940</v>
      </c>
      <c r="Y9" s="265">
        <f t="shared" si="1"/>
        <v>197</v>
      </c>
      <c r="Z9" s="265">
        <f t="shared" si="2"/>
        <v>4137</v>
      </c>
      <c r="AA9" s="266" t="s">
        <v>944</v>
      </c>
      <c r="AB9" s="316"/>
    </row>
    <row r="10" spans="1:28" s="2" customFormat="1">
      <c r="A10" s="318">
        <v>42330</v>
      </c>
      <c r="B10" s="954">
        <v>100806</v>
      </c>
      <c r="C10" s="305">
        <v>7</v>
      </c>
      <c r="D10" s="955">
        <v>6</v>
      </c>
      <c r="E10" s="305">
        <v>6</v>
      </c>
      <c r="F10" s="305">
        <v>6</v>
      </c>
      <c r="G10" s="305"/>
      <c r="H10" s="305"/>
      <c r="I10" s="263"/>
      <c r="J10" s="263"/>
      <c r="K10" s="938"/>
      <c r="L10" s="939"/>
      <c r="M10" s="939"/>
      <c r="N10" s="939"/>
      <c r="O10" s="265"/>
      <c r="P10" s="265"/>
      <c r="Q10" s="265"/>
      <c r="R10" s="265"/>
      <c r="S10" s="265"/>
      <c r="T10" s="265"/>
      <c r="U10" s="265"/>
      <c r="V10" s="265"/>
      <c r="W10" s="265"/>
      <c r="X10" s="265">
        <f t="shared" si="0"/>
        <v>2190</v>
      </c>
      <c r="Y10" s="265">
        <f t="shared" si="1"/>
        <v>109.5</v>
      </c>
      <c r="Z10" s="265">
        <f t="shared" si="2"/>
        <v>2299.5</v>
      </c>
      <c r="AA10" s="266" t="s">
        <v>944</v>
      </c>
      <c r="AB10" s="316"/>
    </row>
    <row r="11" spans="1:28" s="2" customFormat="1">
      <c r="A11" s="318">
        <v>42331</v>
      </c>
      <c r="B11" s="954">
        <v>100807</v>
      </c>
      <c r="C11" s="305">
        <v>11</v>
      </c>
      <c r="D11" s="955">
        <v>11</v>
      </c>
      <c r="E11" s="305">
        <v>12</v>
      </c>
      <c r="F11" s="305">
        <v>11</v>
      </c>
      <c r="G11" s="305"/>
      <c r="H11" s="305"/>
      <c r="I11" s="263"/>
      <c r="J11" s="263"/>
      <c r="K11" s="938"/>
      <c r="L11" s="939"/>
      <c r="M11" s="939"/>
      <c r="N11" s="939"/>
      <c r="O11" s="265"/>
      <c r="P11" s="265"/>
      <c r="Q11" s="265"/>
      <c r="R11" s="265"/>
      <c r="S11" s="265"/>
      <c r="T11" s="265"/>
      <c r="U11" s="265"/>
      <c r="V11" s="265"/>
      <c r="W11" s="265"/>
      <c r="X11" s="265">
        <f t="shared" si="0"/>
        <v>3940</v>
      </c>
      <c r="Y11" s="265">
        <f t="shared" si="1"/>
        <v>197</v>
      </c>
      <c r="Z11" s="265">
        <f t="shared" si="2"/>
        <v>4137</v>
      </c>
      <c r="AA11" s="266" t="s">
        <v>944</v>
      </c>
      <c r="AB11" s="316"/>
    </row>
    <row r="12" spans="1:28" s="2" customFormat="1">
      <c r="A12" s="318">
        <v>42332</v>
      </c>
      <c r="B12" s="954">
        <v>100809</v>
      </c>
      <c r="C12" s="305">
        <v>12</v>
      </c>
      <c r="D12" s="955">
        <v>11</v>
      </c>
      <c r="E12" s="305">
        <v>11</v>
      </c>
      <c r="F12" s="305">
        <v>11</v>
      </c>
      <c r="G12" s="305"/>
      <c r="H12" s="305"/>
      <c r="I12" s="263"/>
      <c r="J12" s="266"/>
      <c r="K12" s="956"/>
      <c r="L12" s="957"/>
      <c r="M12" s="957"/>
      <c r="N12" s="957"/>
      <c r="O12" s="265"/>
      <c r="P12" s="265"/>
      <c r="Q12" s="265"/>
      <c r="R12" s="265"/>
      <c r="S12" s="265"/>
      <c r="T12" s="265"/>
      <c r="U12" s="265"/>
      <c r="V12" s="265"/>
      <c r="W12" s="265"/>
      <c r="X12" s="265">
        <f t="shared" si="0"/>
        <v>3940</v>
      </c>
      <c r="Y12" s="265">
        <f t="shared" si="1"/>
        <v>197</v>
      </c>
      <c r="Z12" s="265">
        <f t="shared" si="2"/>
        <v>4137</v>
      </c>
      <c r="AA12" s="266" t="s">
        <v>944</v>
      </c>
      <c r="AB12" s="316"/>
    </row>
    <row r="13" spans="1:28" s="2" customFormat="1">
      <c r="A13" s="258">
        <v>42333</v>
      </c>
      <c r="B13" s="954">
        <v>100810</v>
      </c>
      <c r="C13" s="335">
        <v>11</v>
      </c>
      <c r="D13" s="958">
        <v>11</v>
      </c>
      <c r="E13" s="335">
        <v>11</v>
      </c>
      <c r="F13" s="335">
        <v>11</v>
      </c>
      <c r="G13" s="335"/>
      <c r="H13" s="305"/>
      <c r="I13" s="263"/>
      <c r="J13" s="266"/>
      <c r="K13" s="956"/>
      <c r="L13" s="957"/>
      <c r="M13" s="957"/>
      <c r="N13" s="957"/>
      <c r="O13" s="265"/>
      <c r="P13" s="265"/>
      <c r="Q13" s="265"/>
      <c r="R13" s="265"/>
      <c r="S13" s="265"/>
      <c r="T13" s="265"/>
      <c r="U13" s="265"/>
      <c r="V13" s="265"/>
      <c r="W13" s="265"/>
      <c r="X13" s="265">
        <f t="shared" si="0"/>
        <v>3850</v>
      </c>
      <c r="Y13" s="265">
        <f t="shared" si="1"/>
        <v>192.5</v>
      </c>
      <c r="Z13" s="265">
        <f t="shared" si="2"/>
        <v>4042.5</v>
      </c>
      <c r="AA13" s="266" t="s">
        <v>944</v>
      </c>
      <c r="AB13" s="316"/>
    </row>
    <row r="14" spans="1:28" s="2" customFormat="1">
      <c r="A14" s="258">
        <v>42334</v>
      </c>
      <c r="B14" s="954">
        <v>100811</v>
      </c>
      <c r="C14" s="305">
        <v>11</v>
      </c>
      <c r="D14" s="955">
        <v>11</v>
      </c>
      <c r="E14" s="305">
        <v>11</v>
      </c>
      <c r="F14" s="305">
        <v>11</v>
      </c>
      <c r="G14" s="305"/>
      <c r="H14" s="305"/>
      <c r="I14" s="263"/>
      <c r="J14" s="266"/>
      <c r="K14" s="956"/>
      <c r="L14" s="957"/>
      <c r="M14" s="957"/>
      <c r="N14" s="957"/>
      <c r="O14" s="265"/>
      <c r="P14" s="265"/>
      <c r="Q14" s="265"/>
      <c r="R14" s="265"/>
      <c r="S14" s="265"/>
      <c r="T14" s="265"/>
      <c r="U14" s="265"/>
      <c r="V14" s="265"/>
      <c r="W14" s="265"/>
      <c r="X14" s="265">
        <f t="shared" si="0"/>
        <v>3850</v>
      </c>
      <c r="Y14" s="265">
        <f t="shared" si="1"/>
        <v>192.5</v>
      </c>
      <c r="Z14" s="265">
        <f t="shared" si="2"/>
        <v>4042.5</v>
      </c>
      <c r="AA14" s="266" t="s">
        <v>944</v>
      </c>
      <c r="AB14" s="316"/>
    </row>
    <row r="15" spans="1:28" s="2" customFormat="1">
      <c r="A15" s="318">
        <v>42335</v>
      </c>
      <c r="B15" s="954">
        <v>100812</v>
      </c>
      <c r="C15" s="305">
        <v>11.5</v>
      </c>
      <c r="D15" s="955">
        <v>11.5</v>
      </c>
      <c r="E15" s="305">
        <v>11.5</v>
      </c>
      <c r="F15" s="305">
        <v>11.5</v>
      </c>
      <c r="G15" s="305"/>
      <c r="H15" s="305"/>
      <c r="I15" s="263"/>
      <c r="J15" s="266"/>
      <c r="K15" s="956"/>
      <c r="L15" s="957"/>
      <c r="M15" s="957"/>
      <c r="N15" s="957"/>
      <c r="O15" s="265"/>
      <c r="P15" s="265"/>
      <c r="Q15" s="265"/>
      <c r="R15" s="265"/>
      <c r="S15" s="265"/>
      <c r="T15" s="265"/>
      <c r="U15" s="265"/>
      <c r="V15" s="265"/>
      <c r="W15" s="265"/>
      <c r="X15" s="265">
        <f t="shared" si="0"/>
        <v>4025</v>
      </c>
      <c r="Y15" s="265">
        <f t="shared" si="1"/>
        <v>201.25</v>
      </c>
      <c r="Z15" s="265">
        <f t="shared" si="2"/>
        <v>4226.25</v>
      </c>
      <c r="AA15" s="266" t="s">
        <v>944</v>
      </c>
      <c r="AB15" s="316"/>
    </row>
    <row r="16" spans="1:28" s="2" customFormat="1">
      <c r="A16" s="318">
        <v>42336</v>
      </c>
      <c r="B16" s="954">
        <v>100813</v>
      </c>
      <c r="C16" s="305">
        <v>11</v>
      </c>
      <c r="D16" s="955">
        <v>11</v>
      </c>
      <c r="E16" s="305"/>
      <c r="F16" s="305">
        <v>11</v>
      </c>
      <c r="G16" s="305"/>
      <c r="H16" s="305"/>
      <c r="I16" s="263"/>
      <c r="J16" s="266"/>
      <c r="K16" s="956"/>
      <c r="L16" s="957"/>
      <c r="M16" s="957"/>
      <c r="N16" s="957"/>
      <c r="O16" s="265"/>
      <c r="P16" s="265"/>
      <c r="Q16" s="265"/>
      <c r="R16" s="265"/>
      <c r="S16" s="265"/>
      <c r="T16" s="265"/>
      <c r="U16" s="265"/>
      <c r="V16" s="265"/>
      <c r="W16" s="265"/>
      <c r="X16" s="265">
        <f t="shared" si="0"/>
        <v>2860</v>
      </c>
      <c r="Y16" s="265">
        <f t="shared" si="1"/>
        <v>143</v>
      </c>
      <c r="Z16" s="265">
        <f t="shared" si="2"/>
        <v>3003</v>
      </c>
      <c r="AA16" s="266" t="s">
        <v>944</v>
      </c>
      <c r="AB16" s="316"/>
    </row>
    <row r="17" spans="1:27" ht="12" customHeight="1">
      <c r="A17" s="63">
        <v>42338</v>
      </c>
      <c r="B17" s="866">
        <v>100814</v>
      </c>
      <c r="C17" s="153">
        <v>11</v>
      </c>
      <c r="D17" s="800">
        <v>11</v>
      </c>
      <c r="E17" s="153"/>
      <c r="F17" s="153">
        <v>11</v>
      </c>
      <c r="G17" s="153"/>
      <c r="H17" s="153"/>
      <c r="I17" s="31"/>
      <c r="J17" s="31"/>
      <c r="K17" s="392"/>
      <c r="L17" s="364"/>
      <c r="M17" s="364"/>
      <c r="N17" s="364"/>
      <c r="O17" s="27"/>
      <c r="P17" s="27"/>
      <c r="Q17" s="27"/>
      <c r="R17" s="27"/>
      <c r="S17" s="27"/>
      <c r="T17" s="27"/>
      <c r="U17" s="27"/>
      <c r="V17" s="27"/>
      <c r="W17" s="27"/>
      <c r="X17" s="265">
        <f t="shared" si="0"/>
        <v>2860</v>
      </c>
      <c r="Y17" s="265">
        <f t="shared" si="1"/>
        <v>143</v>
      </c>
      <c r="Z17" s="265">
        <f t="shared" si="2"/>
        <v>3003</v>
      </c>
      <c r="AA17" s="266" t="s">
        <v>944</v>
      </c>
    </row>
    <row r="18" spans="1:27" ht="12" customHeight="1">
      <c r="A18" s="1087"/>
      <c r="B18" s="1088"/>
      <c r="C18" s="1089"/>
      <c r="D18" s="1089"/>
      <c r="E18" s="1089"/>
      <c r="F18" s="1089"/>
      <c r="G18" s="1089"/>
      <c r="H18" s="1089"/>
      <c r="I18" s="1090"/>
      <c r="J18" s="1090"/>
      <c r="K18" s="1090"/>
      <c r="L18" s="1091"/>
      <c r="M18" s="1091"/>
      <c r="N18" s="1091"/>
      <c r="O18" s="1091"/>
      <c r="P18" s="1091"/>
      <c r="Q18" s="1091"/>
      <c r="R18" s="1091"/>
      <c r="S18" s="1091"/>
      <c r="T18" s="1091"/>
      <c r="U18" s="1091"/>
      <c r="V18" s="1091"/>
      <c r="W18" s="1091"/>
      <c r="X18" s="1055"/>
      <c r="Y18" s="1055"/>
      <c r="Z18" s="1055"/>
      <c r="AA18" s="1057"/>
    </row>
    <row r="19" spans="1:27" ht="12" customHeight="1">
      <c r="A19" s="1087"/>
      <c r="B19" s="1088"/>
      <c r="C19" s="1089"/>
      <c r="D19" s="1089"/>
      <c r="E19" s="1089"/>
      <c r="F19" s="1089"/>
      <c r="G19" s="1089"/>
      <c r="H19" s="1089"/>
      <c r="I19" s="1090"/>
      <c r="J19" s="1090"/>
      <c r="K19" s="1090"/>
      <c r="L19" s="1091"/>
      <c r="M19" s="1091"/>
      <c r="N19" s="1091"/>
      <c r="O19" s="1091"/>
      <c r="P19" s="1091"/>
      <c r="Q19" s="1091"/>
      <c r="R19" s="1091"/>
      <c r="S19" s="1091"/>
      <c r="T19" s="1091"/>
      <c r="U19" s="1091"/>
      <c r="V19" s="1091"/>
      <c r="W19" s="1091"/>
      <c r="X19" s="1055"/>
      <c r="Y19" s="1055"/>
      <c r="Z19" s="1055"/>
      <c r="AA19" s="1057"/>
    </row>
    <row r="20" spans="1:27" ht="12" customHeight="1">
      <c r="A20" s="1092"/>
      <c r="B20" s="1088"/>
      <c r="C20" s="1089"/>
      <c r="D20" s="1089"/>
      <c r="E20" s="1089"/>
      <c r="F20" s="1089"/>
      <c r="G20" s="1089"/>
      <c r="H20" s="1089"/>
      <c r="I20" s="1090"/>
      <c r="J20" s="1090"/>
      <c r="K20" s="1090"/>
      <c r="L20" s="1091"/>
      <c r="M20" s="1091"/>
      <c r="N20" s="1091"/>
      <c r="O20" s="1091"/>
      <c r="P20" s="1091"/>
      <c r="Q20" s="1091"/>
      <c r="R20" s="1091"/>
      <c r="S20" s="1091"/>
      <c r="T20" s="1091"/>
      <c r="U20" s="1091"/>
      <c r="V20" s="1091"/>
      <c r="W20" s="1091"/>
      <c r="X20" s="1055"/>
      <c r="Y20" s="1055"/>
      <c r="Z20" s="1055"/>
      <c r="AA20" s="1057"/>
    </row>
    <row r="21" spans="1:27" ht="12" customHeight="1">
      <c r="A21" s="1087"/>
      <c r="B21" s="1088"/>
      <c r="C21" s="1089"/>
      <c r="D21" s="1089"/>
      <c r="E21" s="1089"/>
      <c r="F21" s="1089"/>
      <c r="G21" s="1089"/>
      <c r="H21" s="1089"/>
      <c r="I21" s="1090"/>
      <c r="J21" s="1090"/>
      <c r="K21" s="1090"/>
      <c r="L21" s="1091"/>
      <c r="M21" s="1091"/>
      <c r="N21" s="1091"/>
      <c r="O21" s="1091"/>
      <c r="P21" s="1091"/>
      <c r="Q21" s="1091"/>
      <c r="R21" s="1091"/>
      <c r="S21" s="1091"/>
      <c r="T21" s="1091"/>
      <c r="U21" s="1091"/>
      <c r="V21" s="1091"/>
      <c r="W21" s="1091"/>
      <c r="X21" s="1055"/>
      <c r="Y21" s="1055"/>
      <c r="Z21" s="1055"/>
      <c r="AA21" s="1057"/>
    </row>
    <row r="22" spans="1:27" ht="12" customHeight="1">
      <c r="A22" s="1087"/>
      <c r="B22" s="1088"/>
      <c r="C22" s="1089"/>
      <c r="D22" s="1089"/>
      <c r="E22" s="1089"/>
      <c r="F22" s="1089"/>
      <c r="G22" s="1089"/>
      <c r="H22" s="1089"/>
      <c r="I22" s="1090"/>
      <c r="J22" s="1090"/>
      <c r="K22" s="1090"/>
      <c r="L22" s="1091"/>
      <c r="M22" s="1091"/>
      <c r="N22" s="1091"/>
      <c r="O22" s="1091"/>
      <c r="P22" s="1091"/>
      <c r="Q22" s="1091"/>
      <c r="R22" s="1091"/>
      <c r="S22" s="1091"/>
      <c r="T22" s="1091"/>
      <c r="U22" s="1091"/>
      <c r="V22" s="1091"/>
      <c r="W22" s="1091"/>
      <c r="X22" s="1055"/>
      <c r="Y22" s="1055"/>
      <c r="Z22" s="1055"/>
      <c r="AA22" s="1057"/>
    </row>
    <row r="23" spans="1:27" ht="12" customHeight="1">
      <c r="A23" s="1087"/>
      <c r="B23" s="1088"/>
      <c r="C23" s="1089"/>
      <c r="D23" s="1089"/>
      <c r="E23" s="1089"/>
      <c r="F23" s="1089"/>
      <c r="G23" s="1089"/>
      <c r="H23" s="1089"/>
      <c r="I23" s="1090"/>
      <c r="J23" s="1090"/>
      <c r="K23" s="1090"/>
      <c r="L23" s="1091"/>
      <c r="M23" s="1091"/>
      <c r="N23" s="1091"/>
      <c r="O23" s="1091"/>
      <c r="P23" s="1091"/>
      <c r="Q23" s="1091"/>
      <c r="R23" s="1091"/>
      <c r="S23" s="1091"/>
      <c r="T23" s="1091"/>
      <c r="U23" s="1091"/>
      <c r="V23" s="1091"/>
      <c r="W23" s="1091"/>
      <c r="X23" s="1055"/>
      <c r="Y23" s="1055"/>
      <c r="Z23" s="1055"/>
      <c r="AA23" s="1057"/>
    </row>
    <row r="24" spans="1:27">
      <c r="A24" s="63">
        <v>42719</v>
      </c>
      <c r="B24" s="866">
        <v>415</v>
      </c>
      <c r="C24" s="153">
        <v>8</v>
      </c>
      <c r="D24" s="800">
        <v>8</v>
      </c>
      <c r="E24" s="153"/>
      <c r="F24" s="153">
        <v>8</v>
      </c>
      <c r="G24" s="153"/>
      <c r="H24" s="153"/>
      <c r="I24" s="31"/>
      <c r="J24" s="31"/>
      <c r="K24" s="392"/>
      <c r="L24" s="364"/>
      <c r="M24" s="364"/>
      <c r="N24" s="364"/>
      <c r="O24" s="27"/>
      <c r="P24" s="27"/>
      <c r="Q24" s="27"/>
      <c r="R24" s="27"/>
      <c r="S24" s="27"/>
      <c r="T24" s="27"/>
      <c r="U24" s="27"/>
      <c r="V24" s="27"/>
      <c r="W24" s="27"/>
      <c r="X24" s="265">
        <f t="shared" si="0"/>
        <v>2080</v>
      </c>
      <c r="Y24" s="265">
        <f t="shared" si="1"/>
        <v>104</v>
      </c>
      <c r="Z24" s="265">
        <f t="shared" si="2"/>
        <v>2184</v>
      </c>
      <c r="AA24" s="266" t="s">
        <v>944</v>
      </c>
    </row>
    <row r="25" spans="1:27">
      <c r="A25" s="63">
        <v>42720</v>
      </c>
      <c r="B25" s="866">
        <v>416</v>
      </c>
      <c r="C25" s="153">
        <v>10</v>
      </c>
      <c r="D25" s="800">
        <v>11</v>
      </c>
      <c r="E25" s="153"/>
      <c r="F25" s="153">
        <v>11</v>
      </c>
      <c r="G25" s="153"/>
      <c r="H25" s="153"/>
      <c r="I25" s="31"/>
      <c r="J25" s="31"/>
      <c r="K25" s="392"/>
      <c r="L25" s="364"/>
      <c r="M25" s="364"/>
      <c r="N25" s="364"/>
      <c r="O25" s="27"/>
      <c r="P25" s="27"/>
      <c r="Q25" s="27"/>
      <c r="R25" s="27"/>
      <c r="S25" s="27"/>
      <c r="T25" s="27"/>
      <c r="U25" s="27"/>
      <c r="V25" s="27"/>
      <c r="W25" s="27"/>
      <c r="X25" s="265">
        <f t="shared" si="0"/>
        <v>2770</v>
      </c>
      <c r="Y25" s="265">
        <f t="shared" si="1"/>
        <v>138.5</v>
      </c>
      <c r="Z25" s="265">
        <f t="shared" si="2"/>
        <v>2908.5</v>
      </c>
      <c r="AA25" s="266" t="s">
        <v>944</v>
      </c>
    </row>
    <row r="26" spans="1:27">
      <c r="A26" s="63">
        <v>42721</v>
      </c>
      <c r="B26" s="866">
        <v>417</v>
      </c>
      <c r="C26" s="153">
        <v>10</v>
      </c>
      <c r="D26" s="800">
        <v>10</v>
      </c>
      <c r="E26" s="153"/>
      <c r="F26" s="153"/>
      <c r="G26" s="153"/>
      <c r="H26" s="153"/>
      <c r="I26" s="31"/>
      <c r="J26" s="31"/>
      <c r="K26" s="392"/>
      <c r="L26" s="364"/>
      <c r="M26" s="364"/>
      <c r="N26" s="364"/>
      <c r="O26" s="27"/>
      <c r="P26" s="27"/>
      <c r="Q26" s="27"/>
      <c r="R26" s="27"/>
      <c r="S26" s="27"/>
      <c r="T26" s="27"/>
      <c r="U26" s="27"/>
      <c r="V26" s="27"/>
      <c r="W26" s="27"/>
      <c r="X26" s="265">
        <f t="shared" si="0"/>
        <v>1800</v>
      </c>
      <c r="Y26" s="265">
        <f t="shared" si="1"/>
        <v>90</v>
      </c>
      <c r="Z26" s="265">
        <f t="shared" si="2"/>
        <v>1890</v>
      </c>
      <c r="AA26" s="266" t="s">
        <v>944</v>
      </c>
    </row>
    <row r="27" spans="1:27">
      <c r="A27" s="63">
        <v>42722</v>
      </c>
      <c r="B27" s="866">
        <v>418</v>
      </c>
      <c r="C27" s="153">
        <v>10</v>
      </c>
      <c r="D27" s="800">
        <v>10</v>
      </c>
      <c r="E27" s="153"/>
      <c r="F27" s="153"/>
      <c r="G27" s="153"/>
      <c r="H27" s="153"/>
      <c r="I27" s="31"/>
      <c r="J27" s="31"/>
      <c r="K27" s="392"/>
      <c r="L27" s="364"/>
      <c r="M27" s="364"/>
      <c r="N27" s="364"/>
      <c r="O27" s="27"/>
      <c r="P27" s="27"/>
      <c r="Q27" s="27"/>
      <c r="R27" s="27"/>
      <c r="S27" s="27"/>
      <c r="T27" s="27"/>
      <c r="U27" s="27"/>
      <c r="V27" s="27"/>
      <c r="W27" s="27"/>
      <c r="X27" s="265">
        <f t="shared" si="0"/>
        <v>1800</v>
      </c>
      <c r="Y27" s="265">
        <f t="shared" si="1"/>
        <v>90</v>
      </c>
      <c r="Z27" s="265">
        <f t="shared" si="2"/>
        <v>1890</v>
      </c>
      <c r="AA27" s="266" t="s">
        <v>944</v>
      </c>
    </row>
    <row r="28" spans="1:27">
      <c r="A28" s="63">
        <v>42723</v>
      </c>
      <c r="B28" s="866">
        <v>421</v>
      </c>
      <c r="C28" s="153">
        <v>10</v>
      </c>
      <c r="D28" s="800">
        <v>10</v>
      </c>
      <c r="E28" s="153"/>
      <c r="F28" s="153"/>
      <c r="G28" s="153"/>
      <c r="H28" s="153"/>
      <c r="I28" s="31"/>
      <c r="J28" s="31"/>
      <c r="K28" s="392"/>
      <c r="L28" s="364"/>
      <c r="M28" s="364"/>
      <c r="N28" s="364"/>
      <c r="O28" s="27"/>
      <c r="P28" s="27"/>
      <c r="Q28" s="27"/>
      <c r="R28" s="27"/>
      <c r="S28" s="27"/>
      <c r="T28" s="27"/>
      <c r="U28" s="27"/>
      <c r="V28" s="27"/>
      <c r="W28" s="27"/>
      <c r="X28" s="265">
        <f t="shared" si="0"/>
        <v>1800</v>
      </c>
      <c r="Y28" s="265">
        <f t="shared" si="1"/>
        <v>90</v>
      </c>
      <c r="Z28" s="265">
        <f t="shared" si="2"/>
        <v>1890</v>
      </c>
      <c r="AA28" s="266" t="s">
        <v>944</v>
      </c>
    </row>
    <row r="29" spans="1:27">
      <c r="A29" s="63">
        <v>42724</v>
      </c>
      <c r="B29" s="866">
        <v>422</v>
      </c>
      <c r="C29" s="153">
        <v>10</v>
      </c>
      <c r="D29" s="800">
        <v>10</v>
      </c>
      <c r="E29" s="153"/>
      <c r="F29" s="153"/>
      <c r="G29" s="153"/>
      <c r="H29" s="153"/>
      <c r="I29" s="31"/>
      <c r="J29" s="31"/>
      <c r="K29" s="392"/>
      <c r="L29" s="364"/>
      <c r="M29" s="364"/>
      <c r="N29" s="364"/>
      <c r="O29" s="27"/>
      <c r="P29" s="27"/>
      <c r="Q29" s="27"/>
      <c r="R29" s="27"/>
      <c r="S29" s="27"/>
      <c r="T29" s="27"/>
      <c r="U29" s="27"/>
      <c r="V29" s="27"/>
      <c r="W29" s="27"/>
      <c r="X29" s="265">
        <f t="shared" si="0"/>
        <v>1800</v>
      </c>
      <c r="Y29" s="265">
        <f t="shared" si="1"/>
        <v>90</v>
      </c>
      <c r="Z29" s="265">
        <f t="shared" si="2"/>
        <v>1890</v>
      </c>
      <c r="AA29" s="266" t="s">
        <v>944</v>
      </c>
    </row>
    <row r="30" spans="1:27">
      <c r="A30" s="63">
        <v>42725</v>
      </c>
      <c r="B30" s="866">
        <v>423</v>
      </c>
      <c r="C30" s="153">
        <v>9</v>
      </c>
      <c r="D30" s="800">
        <v>9</v>
      </c>
      <c r="E30" s="153"/>
      <c r="F30" s="153"/>
      <c r="G30" s="153"/>
      <c r="H30" s="153"/>
      <c r="I30" s="31"/>
      <c r="J30" s="31"/>
      <c r="K30" s="392"/>
      <c r="L30" s="364"/>
      <c r="M30" s="364"/>
      <c r="N30" s="364"/>
      <c r="O30" s="27"/>
      <c r="P30" s="27"/>
      <c r="Q30" s="27"/>
      <c r="R30" s="27"/>
      <c r="S30" s="27"/>
      <c r="T30" s="27"/>
      <c r="U30" s="27"/>
      <c r="V30" s="27"/>
      <c r="W30" s="27"/>
      <c r="X30" s="265">
        <f t="shared" si="0"/>
        <v>1620</v>
      </c>
      <c r="Y30" s="265">
        <f t="shared" si="1"/>
        <v>81</v>
      </c>
      <c r="Z30" s="265">
        <f t="shared" si="2"/>
        <v>1701</v>
      </c>
      <c r="AA30" s="266" t="s">
        <v>944</v>
      </c>
    </row>
    <row r="31" spans="1:27">
      <c r="A31" s="63"/>
      <c r="B31" s="866"/>
      <c r="C31" s="153"/>
      <c r="D31" s="800"/>
      <c r="E31" s="153"/>
      <c r="F31" s="153"/>
      <c r="G31" s="153"/>
      <c r="H31" s="153"/>
      <c r="I31" s="31"/>
      <c r="J31" s="31"/>
      <c r="K31" s="392"/>
      <c r="L31" s="364"/>
      <c r="M31" s="364"/>
      <c r="N31" s="364"/>
      <c r="O31" s="27"/>
      <c r="P31" s="27"/>
      <c r="Q31" s="27"/>
      <c r="R31" s="27"/>
      <c r="S31" s="27"/>
      <c r="T31" s="27"/>
      <c r="U31" s="27"/>
      <c r="V31" s="27"/>
      <c r="W31" s="27"/>
      <c r="X31" s="265">
        <f t="shared" si="0"/>
        <v>0</v>
      </c>
      <c r="Y31" s="265">
        <f t="shared" si="1"/>
        <v>0</v>
      </c>
      <c r="Z31" s="265">
        <f t="shared" si="2"/>
        <v>0</v>
      </c>
      <c r="AA31" s="266" t="s">
        <v>944</v>
      </c>
    </row>
    <row r="32" spans="1:27">
      <c r="A32" s="63"/>
      <c r="B32" s="866"/>
      <c r="C32" s="153"/>
      <c r="D32" s="800"/>
      <c r="E32" s="153"/>
      <c r="F32" s="153"/>
      <c r="G32" s="153"/>
      <c r="H32" s="153"/>
      <c r="I32" s="31"/>
      <c r="J32" s="31"/>
      <c r="K32" s="392"/>
      <c r="L32" s="364"/>
      <c r="M32" s="364"/>
      <c r="N32" s="364"/>
      <c r="O32" s="27"/>
      <c r="P32" s="27"/>
      <c r="Q32" s="27"/>
      <c r="R32" s="27"/>
      <c r="S32" s="27"/>
      <c r="T32" s="27"/>
      <c r="U32" s="27"/>
      <c r="V32" s="27"/>
      <c r="W32" s="27"/>
      <c r="X32" s="265">
        <f t="shared" si="0"/>
        <v>0</v>
      </c>
      <c r="Y32" s="265">
        <f t="shared" si="1"/>
        <v>0</v>
      </c>
      <c r="Z32" s="265">
        <f t="shared" si="2"/>
        <v>0</v>
      </c>
      <c r="AA32" s="266" t="s">
        <v>944</v>
      </c>
    </row>
    <row r="33" spans="1:27">
      <c r="A33" s="63"/>
      <c r="B33" s="866"/>
      <c r="C33" s="153"/>
      <c r="D33" s="800"/>
      <c r="E33" s="153"/>
      <c r="F33" s="153"/>
      <c r="G33" s="153"/>
      <c r="H33" s="153"/>
      <c r="I33" s="31"/>
      <c r="J33" s="31"/>
      <c r="K33" s="392"/>
      <c r="L33" s="364"/>
      <c r="M33" s="364"/>
      <c r="N33" s="364"/>
      <c r="O33" s="27"/>
      <c r="P33" s="27"/>
      <c r="Q33" s="27"/>
      <c r="R33" s="27"/>
      <c r="S33" s="27"/>
      <c r="T33" s="27"/>
      <c r="U33" s="27"/>
      <c r="V33" s="27"/>
      <c r="W33" s="27"/>
      <c r="X33" s="265">
        <f t="shared" si="0"/>
        <v>0</v>
      </c>
      <c r="Y33" s="265">
        <f t="shared" si="1"/>
        <v>0</v>
      </c>
      <c r="Z33" s="265">
        <f t="shared" si="2"/>
        <v>0</v>
      </c>
      <c r="AA33" s="266" t="s">
        <v>944</v>
      </c>
    </row>
    <row r="34" spans="1:27">
      <c r="A34" s="63"/>
      <c r="B34" s="866"/>
      <c r="C34" s="153"/>
      <c r="D34" s="800"/>
      <c r="E34" s="153"/>
      <c r="F34" s="153"/>
      <c r="G34" s="153"/>
      <c r="H34" s="153"/>
      <c r="I34" s="31"/>
      <c r="J34" s="31"/>
      <c r="K34" s="392"/>
      <c r="L34" s="364"/>
      <c r="M34" s="364"/>
      <c r="N34" s="364"/>
      <c r="O34" s="27"/>
      <c r="P34" s="27"/>
      <c r="Q34" s="27"/>
      <c r="R34" s="27"/>
      <c r="S34" s="27"/>
      <c r="T34" s="27"/>
      <c r="U34" s="27"/>
      <c r="V34" s="27"/>
      <c r="W34" s="27"/>
      <c r="X34" s="265">
        <f t="shared" si="0"/>
        <v>0</v>
      </c>
      <c r="Y34" s="265">
        <f t="shared" si="1"/>
        <v>0</v>
      </c>
      <c r="Z34" s="265">
        <f t="shared" si="2"/>
        <v>0</v>
      </c>
      <c r="AA34" s="266" t="s">
        <v>944</v>
      </c>
    </row>
    <row r="35" spans="1:27">
      <c r="A35" s="63"/>
      <c r="B35" s="866"/>
      <c r="C35" s="153"/>
      <c r="D35" s="800"/>
      <c r="E35" s="153"/>
      <c r="F35" s="153"/>
      <c r="G35" s="153"/>
      <c r="H35" s="153"/>
      <c r="I35" s="31"/>
      <c r="J35" s="31"/>
      <c r="K35" s="392"/>
      <c r="L35" s="364"/>
      <c r="M35" s="364"/>
      <c r="N35" s="364"/>
      <c r="O35" s="27"/>
      <c r="P35" s="27"/>
      <c r="Q35" s="27"/>
      <c r="R35" s="27"/>
      <c r="S35" s="27"/>
      <c r="T35" s="27"/>
      <c r="U35" s="27"/>
      <c r="V35" s="27"/>
      <c r="W35" s="27"/>
      <c r="X35" s="265">
        <f t="shared" si="0"/>
        <v>0</v>
      </c>
      <c r="Y35" s="265">
        <f t="shared" si="1"/>
        <v>0</v>
      </c>
      <c r="Z35" s="265">
        <f t="shared" si="2"/>
        <v>0</v>
      </c>
      <c r="AA35" s="266" t="s">
        <v>944</v>
      </c>
    </row>
    <row r="36" spans="1:27">
      <c r="A36" s="63"/>
      <c r="B36" s="866"/>
      <c r="C36" s="153"/>
      <c r="D36" s="800"/>
      <c r="E36" s="153"/>
      <c r="F36" s="153"/>
      <c r="G36" s="153"/>
      <c r="H36" s="153"/>
      <c r="I36" s="31"/>
      <c r="J36" s="31"/>
      <c r="K36" s="392"/>
      <c r="L36" s="364"/>
      <c r="M36" s="364"/>
      <c r="N36" s="364"/>
      <c r="O36" s="27"/>
      <c r="P36" s="27"/>
      <c r="Q36" s="27"/>
      <c r="R36" s="27"/>
      <c r="S36" s="27"/>
      <c r="T36" s="27"/>
      <c r="U36" s="27"/>
      <c r="V36" s="27"/>
      <c r="W36" s="27"/>
      <c r="X36" s="265">
        <f t="shared" si="0"/>
        <v>0</v>
      </c>
      <c r="Y36" s="265">
        <f t="shared" si="1"/>
        <v>0</v>
      </c>
      <c r="Z36" s="265">
        <f t="shared" si="2"/>
        <v>0</v>
      </c>
      <c r="AA36" s="266" t="s">
        <v>944</v>
      </c>
    </row>
    <row r="37" spans="1:27">
      <c r="A37" s="63"/>
      <c r="B37" s="866"/>
      <c r="C37" s="153"/>
      <c r="D37" s="800"/>
      <c r="E37" s="153"/>
      <c r="F37" s="153"/>
      <c r="G37" s="153"/>
      <c r="H37" s="153"/>
      <c r="I37" s="31"/>
      <c r="J37" s="31"/>
      <c r="K37" s="392"/>
      <c r="L37" s="364"/>
      <c r="M37" s="364"/>
      <c r="N37" s="364"/>
      <c r="O37" s="27"/>
      <c r="P37" s="27"/>
      <c r="Q37" s="27"/>
      <c r="R37" s="27"/>
      <c r="S37" s="27"/>
      <c r="T37" s="27"/>
      <c r="U37" s="27"/>
      <c r="V37" s="27"/>
      <c r="W37" s="27"/>
      <c r="X37" s="265">
        <f t="shared" si="0"/>
        <v>0</v>
      </c>
      <c r="Y37" s="265">
        <f t="shared" si="1"/>
        <v>0</v>
      </c>
      <c r="Z37" s="265">
        <f t="shared" si="2"/>
        <v>0</v>
      </c>
      <c r="AA37" s="266" t="s">
        <v>944</v>
      </c>
    </row>
    <row r="38" spans="1:27">
      <c r="A38" s="63"/>
      <c r="B38" s="866"/>
      <c r="C38" s="153"/>
      <c r="D38" s="800"/>
      <c r="E38" s="153"/>
      <c r="F38" s="153"/>
      <c r="G38" s="153"/>
      <c r="H38" s="153"/>
      <c r="I38" s="31"/>
      <c r="J38" s="31"/>
      <c r="K38" s="392"/>
      <c r="L38" s="364"/>
      <c r="M38" s="364"/>
      <c r="N38" s="364"/>
      <c r="O38" s="27"/>
      <c r="P38" s="27"/>
      <c r="Q38" s="27"/>
      <c r="R38" s="27"/>
      <c r="S38" s="27"/>
      <c r="T38" s="27"/>
      <c r="U38" s="27"/>
      <c r="V38" s="27"/>
      <c r="W38" s="27"/>
      <c r="X38" s="265">
        <f t="shared" si="0"/>
        <v>0</v>
      </c>
      <c r="Y38" s="265">
        <f t="shared" si="1"/>
        <v>0</v>
      </c>
      <c r="Z38" s="265">
        <f t="shared" si="2"/>
        <v>0</v>
      </c>
      <c r="AA38" s="266" t="s">
        <v>944</v>
      </c>
    </row>
    <row r="39" spans="1:27">
      <c r="A39" s="63"/>
      <c r="B39" s="866"/>
      <c r="C39" s="153"/>
      <c r="D39" s="800"/>
      <c r="E39" s="153"/>
      <c r="F39" s="153"/>
      <c r="G39" s="153"/>
      <c r="H39" s="153"/>
      <c r="I39" s="31"/>
      <c r="J39" s="31"/>
      <c r="K39" s="392"/>
      <c r="L39" s="364"/>
      <c r="M39" s="364"/>
      <c r="N39" s="364"/>
      <c r="O39" s="27"/>
      <c r="P39" s="27"/>
      <c r="Q39" s="27"/>
      <c r="R39" s="27"/>
      <c r="S39" s="27"/>
      <c r="T39" s="27"/>
      <c r="U39" s="27"/>
      <c r="V39" s="27"/>
      <c r="W39" s="27"/>
      <c r="X39" s="265">
        <f t="shared" si="0"/>
        <v>0</v>
      </c>
      <c r="Y39" s="265">
        <f t="shared" si="1"/>
        <v>0</v>
      </c>
      <c r="Z39" s="265">
        <f t="shared" si="2"/>
        <v>0</v>
      </c>
      <c r="AA39" s="266" t="s">
        <v>944</v>
      </c>
    </row>
    <row r="40" spans="1:27">
      <c r="A40" s="63"/>
      <c r="B40" s="866"/>
      <c r="C40" s="153"/>
      <c r="D40" s="800"/>
      <c r="E40" s="153"/>
      <c r="F40" s="153"/>
      <c r="G40" s="153"/>
      <c r="H40" s="153"/>
      <c r="I40" s="31"/>
      <c r="J40" s="31"/>
      <c r="K40" s="392"/>
      <c r="L40" s="364"/>
      <c r="M40" s="364"/>
      <c r="N40" s="364"/>
      <c r="O40" s="27"/>
      <c r="P40" s="27"/>
      <c r="Q40" s="27"/>
      <c r="R40" s="27"/>
      <c r="S40" s="27"/>
      <c r="T40" s="27"/>
      <c r="U40" s="27"/>
      <c r="V40" s="27"/>
      <c r="W40" s="27"/>
      <c r="X40" s="265">
        <f t="shared" si="0"/>
        <v>0</v>
      </c>
      <c r="Y40" s="265">
        <f t="shared" si="1"/>
        <v>0</v>
      </c>
      <c r="Z40" s="265">
        <f t="shared" si="2"/>
        <v>0</v>
      </c>
      <c r="AA40" s="266" t="s">
        <v>944</v>
      </c>
    </row>
    <row r="41" spans="1:27">
      <c r="A41" s="63"/>
      <c r="B41" s="866"/>
      <c r="C41" s="153"/>
      <c r="D41" s="800"/>
      <c r="E41" s="153"/>
      <c r="F41" s="153"/>
      <c r="G41" s="153"/>
      <c r="H41" s="153"/>
      <c r="I41" s="31"/>
      <c r="J41" s="31"/>
      <c r="K41" s="392"/>
      <c r="L41" s="364"/>
      <c r="M41" s="364"/>
      <c r="N41" s="364"/>
      <c r="O41" s="27"/>
      <c r="P41" s="27"/>
      <c r="Q41" s="27"/>
      <c r="R41" s="27"/>
      <c r="S41" s="27"/>
      <c r="T41" s="27"/>
      <c r="U41" s="27"/>
      <c r="V41" s="27"/>
      <c r="W41" s="27"/>
      <c r="X41" s="265">
        <f t="shared" si="0"/>
        <v>0</v>
      </c>
      <c r="Y41" s="265">
        <f t="shared" si="1"/>
        <v>0</v>
      </c>
      <c r="Z41" s="265">
        <f t="shared" si="2"/>
        <v>0</v>
      </c>
      <c r="AA41" s="266" t="s">
        <v>944</v>
      </c>
    </row>
  </sheetData>
  <autoFilter ref="A4:AB4"/>
  <phoneticPr fontId="3" type="noConversion"/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 PAGE</vt:lpstr>
      <vt:lpstr>Arete Design Solutions</vt:lpstr>
      <vt:lpstr>Vendor #3</vt:lpstr>
      <vt:lpstr>Vendor #4</vt:lpstr>
      <vt:lpstr>Vendor #8</vt:lpstr>
      <vt:lpstr>Vendor #11</vt:lpstr>
      <vt:lpstr>Vendor #12</vt:lpstr>
      <vt:lpstr>Vendor #13</vt:lpstr>
      <vt:lpstr>Vendor #14</vt:lpstr>
      <vt:lpstr>Vendor #17</vt:lpstr>
      <vt:lpstr>Vendor #18</vt:lpstr>
      <vt:lpstr>Vendor #19</vt:lpstr>
      <vt:lpstr>Vendor #20</vt:lpstr>
      <vt:lpstr>Vendor #23</vt:lpstr>
      <vt:lpstr>Vendor #24</vt:lpstr>
      <vt:lpstr>Vendor #27</vt:lpstr>
      <vt:lpstr>Vendor #28</vt:lpstr>
    </vt:vector>
  </TitlesOfParts>
  <Company>Don Hiebert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Shelley Cook</dc:creator>
  <cp:lastModifiedBy>Corrine Barta</cp:lastModifiedBy>
  <cp:lastPrinted>2015-12-09T18:22:11Z</cp:lastPrinted>
  <dcterms:created xsi:type="dcterms:W3CDTF">2003-06-07T03:59:47Z</dcterms:created>
  <dcterms:modified xsi:type="dcterms:W3CDTF">2016-12-02T16:48:10Z</dcterms:modified>
</cp:coreProperties>
</file>