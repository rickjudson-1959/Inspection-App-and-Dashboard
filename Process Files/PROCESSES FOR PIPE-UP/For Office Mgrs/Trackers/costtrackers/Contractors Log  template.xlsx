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629"/>
  <workbookPr showInkAnnotation="0" codeName="ThisWorkbook" autoCompressPictures="0"/>
  <bookViews>
    <workbookView xWindow="0" yWindow="0" windowWidth="31920" windowHeight="15000" tabRatio="872" activeTab="9"/>
  </bookViews>
  <sheets>
    <sheet name="ALTUS" sheetId="120" r:id="rId1"/>
    <sheet name="Contractor" sheetId="112" r:id="rId2"/>
    <sheet name="HDD Inspec" sheetId="109" r:id="rId3"/>
    <sheet name="Xray Company" sheetId="108" r:id="rId4"/>
    <sheet name="Survey Company" sheetId="113" r:id="rId5"/>
    <sheet name=" McElhanney Spr 1" sheetId="88" state="hidden" r:id="rId6"/>
    <sheet name=" McElhanney Spr 4" sheetId="89" state="hidden" r:id="rId7"/>
    <sheet name="Davis Spr 1" sheetId="105" r:id="rId8"/>
    <sheet name="Davis Spr 4" sheetId="97" r:id="rId9"/>
    <sheet name="Sweeps Spr 1" sheetId="100" r:id="rId10"/>
    <sheet name="Aurora-Jeff Sp 1" sheetId="92" state="hidden" r:id="rId11"/>
    <sheet name="1687109 AB Spr 4" sheetId="94" state="hidden" r:id="rId12"/>
  </sheets>
  <definedNames>
    <definedName name="_xlnm.Print_Area" localSheetId="0">ALTUS!$A$1:$L$14</definedName>
    <definedName name="_xlnm.Print_Area" localSheetId="2">'HDD Inspec'!$A$1:$AT$12</definedName>
    <definedName name="_xlnm.Print_Area" localSheetId="4">'Survey Company'!$A$1:$L$55</definedName>
    <definedName name="_xlnm.Print_Area" localSheetId="3">'Xray Company'!$A$1:$AT$21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S91" i="109" l="1"/>
  <c r="AS92" i="109"/>
  <c r="AS90" i="109"/>
  <c r="AS89" i="109"/>
  <c r="K137" i="113"/>
  <c r="L137" i="113"/>
  <c r="K108" i="113"/>
  <c r="K123" i="113"/>
  <c r="K124" i="113"/>
  <c r="K115" i="113"/>
  <c r="K107" i="113"/>
  <c r="AS96" i="109"/>
  <c r="AS95" i="109"/>
  <c r="AS94" i="109"/>
  <c r="AS93" i="109"/>
  <c r="AS98" i="109"/>
  <c r="AS97" i="109"/>
  <c r="F43" i="112"/>
  <c r="F42" i="112"/>
  <c r="F41" i="112"/>
  <c r="F40" i="112"/>
  <c r="J15" i="105"/>
  <c r="K15" i="105"/>
  <c r="L15" i="105"/>
  <c r="J14" i="105"/>
  <c r="K14" i="105"/>
  <c r="L14" i="105"/>
  <c r="J16" i="105"/>
  <c r="K16" i="105"/>
  <c r="L16" i="105"/>
  <c r="M21" i="97"/>
  <c r="M22" i="97"/>
  <c r="M23" i="97"/>
  <c r="M24" i="97"/>
  <c r="L21" i="97"/>
  <c r="L22" i="97"/>
  <c r="L23" i="97"/>
  <c r="L24" i="97"/>
  <c r="K21" i="97"/>
  <c r="K22" i="97"/>
  <c r="K23" i="97"/>
  <c r="K24" i="97"/>
  <c r="K20" i="97"/>
  <c r="L20" i="97"/>
  <c r="M20" i="97"/>
  <c r="AS79" i="109"/>
  <c r="AS85" i="109"/>
  <c r="AS84" i="109"/>
  <c r="AS83" i="109"/>
  <c r="AS82" i="109"/>
  <c r="AS81" i="109"/>
  <c r="K121" i="113"/>
  <c r="K122" i="113"/>
  <c r="K125" i="113"/>
  <c r="K126" i="113"/>
  <c r="K127" i="113"/>
  <c r="K128" i="113"/>
  <c r="K129" i="113"/>
  <c r="K130" i="113"/>
  <c r="K131" i="113"/>
  <c r="K132" i="113"/>
  <c r="K133" i="113"/>
  <c r="K134" i="113"/>
  <c r="K135" i="113"/>
  <c r="K136" i="113"/>
  <c r="AS88" i="109"/>
  <c r="AS99" i="109"/>
  <c r="AS100" i="109"/>
  <c r="AS101" i="109"/>
  <c r="AS77" i="109"/>
  <c r="AS72" i="109"/>
  <c r="AS71" i="109"/>
  <c r="AS87" i="109"/>
  <c r="AS86" i="109"/>
  <c r="AS80" i="109"/>
  <c r="J13" i="105"/>
  <c r="K13" i="105"/>
  <c r="L13" i="105"/>
  <c r="K19" i="97"/>
  <c r="L19" i="97"/>
  <c r="M19" i="97"/>
  <c r="K114" i="113"/>
  <c r="K113" i="113"/>
  <c r="K112" i="113"/>
  <c r="K111" i="113"/>
  <c r="K110" i="113"/>
  <c r="AS78" i="109"/>
  <c r="AS76" i="109"/>
  <c r="AS75" i="109"/>
  <c r="K106" i="113"/>
  <c r="K103" i="113"/>
  <c r="K105" i="113"/>
  <c r="K116" i="113"/>
  <c r="K117" i="113"/>
  <c r="K118" i="113"/>
  <c r="K119" i="113"/>
  <c r="K120" i="113"/>
  <c r="K100" i="113"/>
  <c r="K7" i="113"/>
  <c r="K8" i="113"/>
  <c r="K9" i="113"/>
  <c r="K10" i="113"/>
  <c r="K11" i="113"/>
  <c r="K12" i="113"/>
  <c r="K13" i="113"/>
  <c r="K14" i="113"/>
  <c r="K15" i="113"/>
  <c r="K16" i="113"/>
  <c r="K17" i="113"/>
  <c r="K20" i="113"/>
  <c r="K21" i="113"/>
  <c r="K22" i="113"/>
  <c r="K23" i="113"/>
  <c r="K24" i="113"/>
  <c r="K25" i="113"/>
  <c r="K26" i="113"/>
  <c r="K27" i="113"/>
  <c r="K28" i="113"/>
  <c r="K29" i="113"/>
  <c r="K30" i="113"/>
  <c r="K31" i="113"/>
  <c r="K32" i="113"/>
  <c r="K33" i="113"/>
  <c r="K34" i="113"/>
  <c r="K35" i="113"/>
  <c r="K36" i="113"/>
  <c r="K37" i="113"/>
  <c r="K38" i="113"/>
  <c r="K39" i="113"/>
  <c r="K40" i="113"/>
  <c r="K41" i="113"/>
  <c r="K42" i="113"/>
  <c r="K43" i="113"/>
  <c r="K44" i="113"/>
  <c r="K45" i="113"/>
  <c r="K46" i="113"/>
  <c r="K47" i="113"/>
  <c r="K48" i="113"/>
  <c r="K49" i="113"/>
  <c r="K50" i="113"/>
  <c r="K51" i="113"/>
  <c r="K52" i="113"/>
  <c r="K53" i="113"/>
  <c r="K54" i="113"/>
  <c r="K55" i="113"/>
  <c r="K56" i="113"/>
  <c r="K57" i="113"/>
  <c r="K58" i="113"/>
  <c r="K59" i="113"/>
  <c r="K60" i="113"/>
  <c r="K61" i="113"/>
  <c r="K62" i="113"/>
  <c r="K63" i="113"/>
  <c r="K64" i="113"/>
  <c r="K65" i="113"/>
  <c r="K66" i="113"/>
  <c r="K67" i="113"/>
  <c r="K68" i="113"/>
  <c r="K69" i="113"/>
  <c r="K70" i="113"/>
  <c r="K71" i="113"/>
  <c r="K72" i="113"/>
  <c r="K73" i="113"/>
  <c r="K74" i="113"/>
  <c r="K75" i="113"/>
  <c r="K76" i="113"/>
  <c r="K77" i="113"/>
  <c r="K78" i="113"/>
  <c r="K79" i="113"/>
  <c r="K80" i="113"/>
  <c r="K81" i="113"/>
  <c r="K82" i="113"/>
  <c r="K83" i="113"/>
  <c r="K84" i="113"/>
  <c r="K85" i="113"/>
  <c r="K86" i="113"/>
  <c r="K87" i="113"/>
  <c r="K88" i="113"/>
  <c r="K89" i="113"/>
  <c r="K90" i="113"/>
  <c r="K91" i="113"/>
  <c r="K92" i="113"/>
  <c r="K93" i="113"/>
  <c r="K94" i="113"/>
  <c r="K95" i="113"/>
  <c r="K96" i="113"/>
  <c r="K97" i="113"/>
  <c r="K98" i="113"/>
  <c r="K99" i="113"/>
  <c r="K109" i="113"/>
  <c r="AS73" i="109"/>
  <c r="AS74" i="109"/>
  <c r="AS102" i="109"/>
  <c r="AS103" i="109"/>
  <c r="AS9" i="109"/>
  <c r="AS69" i="109"/>
  <c r="AS68" i="109"/>
  <c r="AS67" i="109"/>
  <c r="AS65" i="109"/>
  <c r="K102" i="113"/>
  <c r="K104" i="113"/>
  <c r="AS61" i="109"/>
  <c r="AS60" i="109"/>
  <c r="AS59" i="109"/>
  <c r="AS57" i="109"/>
  <c r="AS56" i="109"/>
  <c r="AS55" i="109"/>
  <c r="AS54" i="109"/>
  <c r="AS53" i="109"/>
  <c r="AS52" i="109"/>
  <c r="AS51" i="109"/>
  <c r="AS50" i="109"/>
  <c r="J11" i="105"/>
  <c r="K11" i="105"/>
  <c r="L11" i="105"/>
  <c r="K18" i="97"/>
  <c r="L18" i="97"/>
  <c r="M18" i="97"/>
  <c r="K17" i="97"/>
  <c r="L17" i="97"/>
  <c r="M17" i="97"/>
  <c r="J12" i="105"/>
  <c r="K12" i="105"/>
  <c r="L12" i="105"/>
  <c r="AS28" i="109"/>
  <c r="AS37" i="109"/>
  <c r="AS8" i="109"/>
  <c r="AS29" i="109"/>
  <c r="AS30" i="109"/>
  <c r="AS31" i="109"/>
  <c r="AS32" i="109"/>
  <c r="AS33" i="109"/>
  <c r="AS34" i="109"/>
  <c r="AS35" i="109"/>
  <c r="AS36" i="109"/>
  <c r="AS10" i="109"/>
  <c r="AS11" i="109"/>
  <c r="AS12" i="109"/>
  <c r="AS13" i="109"/>
  <c r="AS14" i="109"/>
  <c r="AS15" i="109"/>
  <c r="AS16" i="109"/>
  <c r="AS17" i="109"/>
  <c r="AS18" i="109"/>
  <c r="AS20" i="109"/>
  <c r="AS21" i="109"/>
  <c r="AS22" i="109"/>
  <c r="AS23" i="109"/>
  <c r="AS24" i="109"/>
  <c r="AS25" i="109"/>
  <c r="AS26" i="109"/>
  <c r="AS27" i="109"/>
  <c r="AS38" i="109"/>
  <c r="AS40" i="109"/>
  <c r="AS41" i="109"/>
  <c r="AS42" i="109"/>
  <c r="AS43" i="109"/>
  <c r="AS44" i="109"/>
  <c r="AS45" i="109"/>
  <c r="AS46" i="109"/>
  <c r="AS47" i="109"/>
  <c r="AS48" i="109"/>
  <c r="AS58" i="109"/>
  <c r="AS62" i="109"/>
  <c r="AS63" i="109"/>
  <c r="AS64" i="109"/>
  <c r="AS108" i="109"/>
  <c r="AT108" i="109"/>
  <c r="L25" i="100"/>
  <c r="L24" i="100"/>
  <c r="L23" i="100"/>
  <c r="L27" i="100"/>
  <c r="L26" i="100"/>
  <c r="K15" i="120"/>
  <c r="K25" i="120"/>
  <c r="K26" i="120"/>
  <c r="K30" i="120"/>
  <c r="K29" i="120"/>
  <c r="K28" i="120"/>
  <c r="K27" i="120"/>
  <c r="K16" i="120"/>
  <c r="K17" i="120"/>
  <c r="K38" i="120"/>
  <c r="L39" i="120"/>
  <c r="K14" i="120"/>
  <c r="K13" i="120"/>
  <c r="K12" i="120"/>
  <c r="K11" i="120"/>
  <c r="K10" i="120"/>
  <c r="K9" i="120"/>
  <c r="K8" i="120"/>
  <c r="K39" i="120"/>
  <c r="K16" i="97"/>
  <c r="K15" i="97"/>
  <c r="L15" i="97"/>
  <c r="M15" i="97"/>
  <c r="L16" i="97"/>
  <c r="M16" i="97"/>
  <c r="F45" i="112"/>
  <c r="F44" i="112"/>
  <c r="F39" i="112"/>
  <c r="F38" i="112"/>
  <c r="AS58" i="108"/>
  <c r="AS59" i="108"/>
  <c r="AS60" i="108"/>
  <c r="AS61" i="108"/>
  <c r="AS62" i="108"/>
  <c r="AS63" i="108"/>
  <c r="AS64" i="108"/>
  <c r="AS57" i="108"/>
  <c r="F37" i="112"/>
  <c r="F36" i="112"/>
  <c r="F35" i="112"/>
  <c r="F34" i="112"/>
  <c r="F46" i="112"/>
  <c r="F33" i="112"/>
  <c r="F32" i="112"/>
  <c r="F48" i="112"/>
  <c r="F47" i="112"/>
  <c r="F29" i="112"/>
  <c r="F28" i="112"/>
  <c r="F27" i="112"/>
  <c r="F30" i="112"/>
  <c r="F26" i="112"/>
  <c r="F31" i="112"/>
  <c r="K14" i="97"/>
  <c r="K13" i="97"/>
  <c r="L13" i="97"/>
  <c r="L14" i="97"/>
  <c r="M14" i="97"/>
  <c r="M13" i="97"/>
  <c r="AT66" i="108"/>
  <c r="F23" i="112"/>
  <c r="F22" i="112"/>
  <c r="F21" i="112"/>
  <c r="F25" i="112"/>
  <c r="F24" i="112"/>
  <c r="AS23" i="108"/>
  <c r="AS41" i="108"/>
  <c r="AS43" i="108"/>
  <c r="AS9" i="108"/>
  <c r="AS8" i="108"/>
  <c r="AS10" i="108"/>
  <c r="AS11" i="108"/>
  <c r="AS12" i="108"/>
  <c r="AS13" i="108"/>
  <c r="AS15" i="108"/>
  <c r="AS16" i="108"/>
  <c r="AS17" i="108"/>
  <c r="AS18" i="108"/>
  <c r="AS19" i="108"/>
  <c r="AS20" i="108"/>
  <c r="AS22" i="108"/>
  <c r="AS24" i="108"/>
  <c r="AS25" i="108"/>
  <c r="AS26" i="108"/>
  <c r="AS27" i="108"/>
  <c r="AS28" i="108"/>
  <c r="AS29" i="108"/>
  <c r="AS30" i="108"/>
  <c r="AS31" i="108"/>
  <c r="AS32" i="108"/>
  <c r="AS33" i="108"/>
  <c r="AS34" i="108"/>
  <c r="AS35" i="108"/>
  <c r="AS36" i="108"/>
  <c r="AS37" i="108"/>
  <c r="AS38" i="108"/>
  <c r="AS39" i="108"/>
  <c r="AS40" i="108"/>
  <c r="AS42" i="108"/>
  <c r="AS44" i="108"/>
  <c r="AS45" i="108"/>
  <c r="AS46" i="108"/>
  <c r="AS47" i="108"/>
  <c r="AS48" i="108"/>
  <c r="AS49" i="108"/>
  <c r="AS50" i="108"/>
  <c r="AS51" i="108"/>
  <c r="AS52" i="108"/>
  <c r="AS53" i="108"/>
  <c r="AS54" i="108"/>
  <c r="AS55" i="108"/>
  <c r="AS56" i="108"/>
  <c r="I52" i="112"/>
  <c r="H52" i="112"/>
  <c r="G52" i="112"/>
  <c r="F8" i="112"/>
  <c r="F7" i="112"/>
  <c r="F9" i="112"/>
  <c r="F10" i="112"/>
  <c r="K12" i="97"/>
  <c r="K9" i="97"/>
  <c r="K10" i="97"/>
  <c r="K11" i="97"/>
  <c r="L12" i="97"/>
  <c r="M12" i="97"/>
  <c r="L11" i="97"/>
  <c r="M11" i="97"/>
  <c r="K101" i="113"/>
  <c r="K74" i="88"/>
  <c r="K73" i="88"/>
  <c r="K72" i="88"/>
  <c r="K75" i="88"/>
  <c r="K76" i="88"/>
  <c r="K77" i="88"/>
  <c r="K78" i="88"/>
  <c r="K79" i="88"/>
  <c r="K70" i="88"/>
  <c r="K71" i="88"/>
  <c r="L15" i="100"/>
  <c r="L16" i="100"/>
  <c r="F11" i="112"/>
  <c r="F12" i="112"/>
  <c r="F13" i="112"/>
  <c r="F14" i="112"/>
  <c r="F15" i="112"/>
  <c r="F16" i="112"/>
  <c r="F17" i="112"/>
  <c r="F18" i="112"/>
  <c r="F19" i="112"/>
  <c r="F20" i="112"/>
  <c r="F49" i="112"/>
  <c r="F50" i="112"/>
  <c r="Q60" i="89"/>
  <c r="Q59" i="89"/>
  <c r="Q58" i="89"/>
  <c r="Q57" i="89"/>
  <c r="Q56" i="89"/>
  <c r="Q58" i="88"/>
  <c r="Q57" i="88"/>
  <c r="Q56" i="88"/>
  <c r="Q55" i="88"/>
  <c r="Q54" i="88"/>
  <c r="Q53" i="88"/>
  <c r="Q52" i="88"/>
  <c r="Q51" i="88"/>
  <c r="Q37" i="88"/>
  <c r="Q38" i="88"/>
  <c r="Q39" i="88"/>
  <c r="Q40" i="88"/>
  <c r="Q41" i="88"/>
  <c r="Q42" i="88"/>
  <c r="Q43" i="88"/>
  <c r="Q44" i="88"/>
  <c r="Q45" i="88"/>
  <c r="Q46" i="88"/>
  <c r="Q47" i="88"/>
  <c r="Q48" i="88"/>
  <c r="Q49" i="88"/>
  <c r="Q50" i="88"/>
  <c r="Q59" i="88"/>
  <c r="L10" i="97"/>
  <c r="K8" i="97"/>
  <c r="G7" i="97"/>
  <c r="K7" i="97"/>
  <c r="K26" i="97"/>
  <c r="Q32" i="88"/>
  <c r="Q40" i="89"/>
  <c r="Q41" i="89"/>
  <c r="Q42" i="89"/>
  <c r="Q43" i="89"/>
  <c r="Q44" i="89"/>
  <c r="Q45" i="89"/>
  <c r="Q46" i="89"/>
  <c r="Q47" i="89"/>
  <c r="Q48" i="89"/>
  <c r="Q49" i="89"/>
  <c r="Q50" i="89"/>
  <c r="Q51" i="89"/>
  <c r="Q53" i="89"/>
  <c r="Q54" i="89"/>
  <c r="Q55" i="89"/>
  <c r="Q61" i="89"/>
  <c r="Q33" i="88"/>
  <c r="Q34" i="88"/>
  <c r="Q35" i="88"/>
  <c r="Q36" i="88"/>
  <c r="Q36" i="89"/>
  <c r="Q37" i="89"/>
  <c r="Q38" i="89"/>
  <c r="Q39" i="89"/>
  <c r="Q52" i="89"/>
  <c r="Q30" i="89"/>
  <c r="Q31" i="89"/>
  <c r="Q32" i="89"/>
  <c r="Q33" i="89"/>
  <c r="Q34" i="89"/>
  <c r="Q35" i="89"/>
  <c r="Q26" i="88"/>
  <c r="Q24" i="88"/>
  <c r="Q25" i="88"/>
  <c r="Q27" i="88"/>
  <c r="Q28" i="88"/>
  <c r="Q29" i="88"/>
  <c r="R61" i="88"/>
  <c r="Q23" i="88"/>
  <c r="Q30" i="88"/>
  <c r="Q31" i="88"/>
  <c r="G7" i="105"/>
  <c r="J7" i="105"/>
  <c r="K7" i="105"/>
  <c r="L7" i="105"/>
  <c r="J8" i="105"/>
  <c r="J9" i="105"/>
  <c r="J10" i="105"/>
  <c r="K10" i="105"/>
  <c r="K8" i="105"/>
  <c r="K9" i="105"/>
  <c r="J17" i="105"/>
  <c r="K17" i="105"/>
  <c r="J18" i="105"/>
  <c r="K18" i="105"/>
  <c r="K20" i="105"/>
  <c r="L9" i="105"/>
  <c r="L17" i="105"/>
  <c r="L18" i="105"/>
  <c r="L8" i="97"/>
  <c r="L9" i="97"/>
  <c r="L12" i="100"/>
  <c r="L13" i="100"/>
  <c r="L14" i="100"/>
  <c r="L7" i="100"/>
  <c r="L8" i="100"/>
  <c r="Q23" i="89"/>
  <c r="Q24" i="89"/>
  <c r="Q26" i="89"/>
  <c r="Q27" i="89"/>
  <c r="Q28" i="89"/>
  <c r="Q29" i="89"/>
  <c r="L8" i="92"/>
  <c r="M8" i="92"/>
  <c r="N8" i="92"/>
  <c r="O8" i="92"/>
  <c r="L9" i="92"/>
  <c r="M9" i="92"/>
  <c r="N9" i="92"/>
  <c r="O9" i="92"/>
  <c r="L10" i="92"/>
  <c r="M10" i="92"/>
  <c r="N10" i="92"/>
  <c r="O10" i="92"/>
  <c r="L11" i="92"/>
  <c r="M11" i="92"/>
  <c r="N11" i="92"/>
  <c r="O11" i="92"/>
  <c r="L12" i="92"/>
  <c r="M12" i="92"/>
  <c r="N12" i="92"/>
  <c r="O12" i="92"/>
  <c r="L13" i="92"/>
  <c r="M13" i="92"/>
  <c r="N13" i="92"/>
  <c r="O13" i="92"/>
  <c r="L14" i="92"/>
  <c r="M14" i="92"/>
  <c r="N14" i="92"/>
  <c r="O14" i="92"/>
  <c r="L7" i="92"/>
  <c r="M7" i="92"/>
  <c r="N7" i="92"/>
  <c r="O7" i="92"/>
  <c r="L9" i="100"/>
  <c r="L10" i="100"/>
  <c r="L11" i="100"/>
  <c r="L17" i="100"/>
  <c r="L18" i="100"/>
  <c r="L19" i="100"/>
  <c r="L20" i="100"/>
  <c r="L21" i="100"/>
  <c r="L22" i="100"/>
  <c r="L28" i="100"/>
  <c r="L29" i="100"/>
  <c r="L30" i="100"/>
  <c r="Q7" i="89"/>
  <c r="Q8" i="89"/>
  <c r="Q9" i="89"/>
  <c r="Q10" i="89"/>
  <c r="Q11" i="89"/>
  <c r="Q12" i="89"/>
  <c r="Q13" i="89"/>
  <c r="Q14" i="89"/>
  <c r="Q15" i="89"/>
  <c r="Q16" i="89"/>
  <c r="Q17" i="89"/>
  <c r="Q18" i="89"/>
  <c r="Q19" i="89"/>
  <c r="Q20" i="89"/>
  <c r="Q21" i="89"/>
  <c r="Q22" i="89"/>
  <c r="E25" i="89"/>
  <c r="Q25" i="89"/>
  <c r="N16" i="92"/>
  <c r="M13" i="94"/>
  <c r="M14" i="94"/>
  <c r="M15" i="94"/>
  <c r="M16" i="94"/>
  <c r="M17" i="94"/>
  <c r="M18" i="94"/>
  <c r="M19" i="94"/>
  <c r="M7" i="94"/>
  <c r="M8" i="94"/>
  <c r="M9" i="94"/>
  <c r="M10" i="94"/>
  <c r="M11" i="94"/>
  <c r="M12" i="94"/>
  <c r="N10" i="94"/>
  <c r="O10" i="94"/>
  <c r="N11" i="94"/>
  <c r="O11" i="94"/>
  <c r="N12" i="94"/>
  <c r="O12" i="94"/>
  <c r="N13" i="94"/>
  <c r="O13" i="94"/>
  <c r="N14" i="94"/>
  <c r="O14" i="94"/>
  <c r="N15" i="94"/>
  <c r="O15" i="94"/>
  <c r="N16" i="94"/>
  <c r="O16" i="94"/>
  <c r="N17" i="94"/>
  <c r="O17" i="94"/>
  <c r="N18" i="94"/>
  <c r="O18" i="94"/>
  <c r="N19" i="94"/>
  <c r="O19" i="94"/>
  <c r="L16" i="92"/>
  <c r="O16" i="92"/>
  <c r="M16" i="92"/>
  <c r="N9" i="94"/>
  <c r="O9" i="94"/>
  <c r="N8" i="94"/>
  <c r="O8" i="94"/>
  <c r="N7" i="94"/>
  <c r="O7" i="94"/>
  <c r="O21" i="94"/>
  <c r="N21" i="94"/>
  <c r="M21" i="94"/>
  <c r="Q19" i="88"/>
  <c r="Q18" i="88"/>
  <c r="Q17" i="88"/>
  <c r="Q7" i="88"/>
  <c r="Q8" i="88"/>
  <c r="Q9" i="88"/>
  <c r="Q10" i="88"/>
  <c r="Q11" i="88"/>
  <c r="Q12" i="88"/>
  <c r="Q13" i="88"/>
  <c r="Q14" i="88"/>
  <c r="Q15" i="88"/>
  <c r="Q16" i="88"/>
  <c r="Q20" i="88"/>
  <c r="Q21" i="88"/>
  <c r="Q22" i="88"/>
  <c r="L8" i="105"/>
  <c r="M8" i="97"/>
  <c r="R63" i="89"/>
  <c r="M9" i="97"/>
  <c r="L7" i="97"/>
  <c r="M7" i="97"/>
  <c r="M10" i="97"/>
  <c r="L26" i="97"/>
  <c r="Q63" i="89"/>
  <c r="Q61" i="88"/>
  <c r="M14" i="100"/>
  <c r="L10" i="105"/>
  <c r="L20" i="105"/>
  <c r="J20" i="105"/>
  <c r="M26" i="97"/>
  <c r="M11" i="100"/>
  <c r="L32" i="100"/>
  <c r="AS66" i="108"/>
  <c r="M32" i="100"/>
</calcChain>
</file>

<file path=xl/sharedStrings.xml><?xml version="1.0" encoding="utf-8"?>
<sst xmlns="http://schemas.openxmlformats.org/spreadsheetml/2006/main" count="913" uniqueCount="593">
  <si>
    <t>Date</t>
  </si>
  <si>
    <t>Field Supervisor</t>
  </si>
  <si>
    <t>ATV</t>
  </si>
  <si>
    <t>LOA</t>
  </si>
  <si>
    <t xml:space="preserve"> </t>
  </si>
  <si>
    <t>QA/QC</t>
  </si>
  <si>
    <t>Party Chief</t>
  </si>
  <si>
    <t>Survey Assistant</t>
  </si>
  <si>
    <t>Truck Hourly Rate</t>
  </si>
  <si>
    <t>AVT / Snowmobile</t>
  </si>
  <si>
    <t>Chainsaw</t>
  </si>
  <si>
    <t>Per Diem (man-day)</t>
  </si>
  <si>
    <t>Project Mgr</t>
  </si>
  <si>
    <t>Admin Assistant</t>
  </si>
  <si>
    <t xml:space="preserve">Rate: per hr unless noted </t>
  </si>
  <si>
    <t>Truck Mileage Rate      (per km)</t>
  </si>
  <si>
    <t>Meals Only     (per meal)</t>
  </si>
  <si>
    <t>Office Equip</t>
  </si>
  <si>
    <t>Survey Equip</t>
  </si>
  <si>
    <t>Statement Date</t>
  </si>
  <si>
    <t>Statement #</t>
  </si>
  <si>
    <t>Statement Total        (before GST)</t>
  </si>
  <si>
    <t xml:space="preserve">LEM Total </t>
  </si>
  <si>
    <t>Sum of LEMS</t>
  </si>
  <si>
    <t>Sum of Statements</t>
  </si>
  <si>
    <t>July 4-10, 2016</t>
  </si>
  <si>
    <t>July 11-17, 2016</t>
  </si>
  <si>
    <t>July 18-24, 2016</t>
  </si>
  <si>
    <t>July 25-31, 2016</t>
  </si>
  <si>
    <t>McElhanney - Spread 1</t>
  </si>
  <si>
    <t>McElhanney - Spread 4</t>
  </si>
  <si>
    <t>|</t>
  </si>
  <si>
    <t xml:space="preserve">Rate: per day unless noted </t>
  </si>
  <si>
    <t>Mileage</t>
  </si>
  <si>
    <t>Vehicle   per km</t>
  </si>
  <si>
    <t>Day Rate  12 hr day</t>
  </si>
  <si>
    <t>Day Rate 1/2 day</t>
  </si>
  <si>
    <t>O/T Extended Time</t>
  </si>
  <si>
    <t>Quad/Snow  per day</t>
  </si>
  <si>
    <t>Side by Side per day</t>
  </si>
  <si>
    <t>Argo per day</t>
  </si>
  <si>
    <t>Subsistence</t>
  </si>
  <si>
    <t>Specialized Equip</t>
  </si>
  <si>
    <t>Additional Equip</t>
  </si>
  <si>
    <t>Ticket Number</t>
  </si>
  <si>
    <t>Field Day Rate</t>
  </si>
  <si>
    <t>Office Day Rate</t>
  </si>
  <si>
    <t>Hotel (excl GST)</t>
  </si>
  <si>
    <t>Flight (excl GST)</t>
  </si>
  <si>
    <t>1687109 Alberta Ltd.</t>
  </si>
  <si>
    <t>Per Diem</t>
  </si>
  <si>
    <t>Camp Allowance</t>
  </si>
  <si>
    <t xml:space="preserve">Vehicle </t>
  </si>
  <si>
    <t>Electronics</t>
  </si>
  <si>
    <t>June 16 - 30, 2016</t>
  </si>
  <si>
    <t>Invoice #</t>
  </si>
  <si>
    <t>Invoice Date</t>
  </si>
  <si>
    <t>2016 - #14</t>
  </si>
  <si>
    <t>GST</t>
  </si>
  <si>
    <t>Invoice Total</t>
  </si>
  <si>
    <t>July 1-15, 2016</t>
  </si>
  <si>
    <t>2016 - #13</t>
  </si>
  <si>
    <t>June 1-30, 2016</t>
  </si>
  <si>
    <t>Office Day Rate (per hour)</t>
  </si>
  <si>
    <t>July 16-31, 2016</t>
  </si>
  <si>
    <t>2016 - #16</t>
  </si>
  <si>
    <t>Aug 1-7, 2016</t>
  </si>
  <si>
    <r>
      <t>PO# 4500089227</t>
    </r>
    <r>
      <rPr>
        <b/>
        <sz val="10"/>
        <color rgb="FFFF0000"/>
        <rFont val="Arial"/>
        <family val="2"/>
      </rPr>
      <t xml:space="preserve">  - Spread 4</t>
    </r>
  </si>
  <si>
    <t>Quad Snowmobile</t>
  </si>
  <si>
    <t>Subsistance</t>
  </si>
  <si>
    <t>Vehicle   includes 150 km's</t>
  </si>
  <si>
    <t>Mileage per km over 150</t>
  </si>
  <si>
    <t>Hotel         (non-GST Charges)</t>
  </si>
  <si>
    <t xml:space="preserve">Hotel </t>
  </si>
  <si>
    <t>Flight</t>
  </si>
  <si>
    <t>Flight (non GST Charges)</t>
  </si>
  <si>
    <t>LEM Total  (excl Non-GST Charges</t>
  </si>
  <si>
    <t>Total Non-GST Charges</t>
  </si>
  <si>
    <t>00004-16</t>
  </si>
  <si>
    <t>00004-9</t>
  </si>
  <si>
    <t>00004-10</t>
  </si>
  <si>
    <t>00004-11</t>
  </si>
  <si>
    <t>00004-13</t>
  </si>
  <si>
    <t>00004-14</t>
  </si>
  <si>
    <t>00004-15</t>
  </si>
  <si>
    <t>00004-8</t>
  </si>
  <si>
    <t>00004-12</t>
  </si>
  <si>
    <t>00004-17</t>
  </si>
  <si>
    <t>Aug 1-15, 2016</t>
  </si>
  <si>
    <t>2016 - #17</t>
  </si>
  <si>
    <t>Ticket</t>
  </si>
  <si>
    <t>E3018</t>
  </si>
  <si>
    <t>E7406</t>
  </si>
  <si>
    <t>00004-19</t>
  </si>
  <si>
    <t>Available PO $</t>
  </si>
  <si>
    <t xml:space="preserve">PO Value  </t>
  </si>
  <si>
    <r>
      <t>PO# 4500089228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- Spread 1</t>
    </r>
  </si>
  <si>
    <t>2016-10</t>
  </si>
  <si>
    <t>00004-18 Rev 1</t>
  </si>
  <si>
    <t>Aug 8-14, 2016</t>
  </si>
  <si>
    <t>00004-20</t>
  </si>
  <si>
    <t>00004-21</t>
  </si>
  <si>
    <t>00004-22</t>
  </si>
  <si>
    <r>
      <t>PO# 4500066895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AFE# M14129     Statement # ? Aug 11-16, 2016  </t>
    </r>
    <r>
      <rPr>
        <b/>
        <sz val="10"/>
        <color rgb="FF222222"/>
        <rFont val="Arial"/>
        <family val="2"/>
      </rPr>
      <t>Spread 4</t>
    </r>
  </si>
  <si>
    <r>
      <t>PO# 4500066895</t>
    </r>
    <r>
      <rPr>
        <b/>
        <sz val="10"/>
        <rFont val="Arial"/>
        <family val="2"/>
      </rPr>
      <t xml:space="preserve"> AFE# M14129 Stateme</t>
    </r>
    <r>
      <rPr>
        <b/>
        <sz val="10"/>
        <color rgb="FF222222"/>
        <rFont val="Arial"/>
        <family val="2"/>
      </rPr>
      <t>nt</t>
    </r>
    <r>
      <rPr>
        <b/>
        <sz val="10"/>
        <color rgb="FFFF0000"/>
        <rFont val="Arial"/>
        <family val="2"/>
      </rPr>
      <t xml:space="preserve"> # ? July 4-31, 2016  </t>
    </r>
    <r>
      <rPr>
        <b/>
        <sz val="10"/>
        <color rgb="FF222222"/>
        <rFont val="Arial"/>
        <family val="2"/>
      </rPr>
      <t>Spread 1</t>
    </r>
  </si>
  <si>
    <t>0004-23</t>
  </si>
  <si>
    <t>00001-14</t>
  </si>
  <si>
    <t>00001-15</t>
  </si>
  <si>
    <t>00001-16</t>
  </si>
  <si>
    <t>00001-10</t>
  </si>
  <si>
    <t>00001-09</t>
  </si>
  <si>
    <t>00001-08</t>
  </si>
  <si>
    <t>00001-07</t>
  </si>
  <si>
    <t>00001-06</t>
  </si>
  <si>
    <t>00001-05</t>
  </si>
  <si>
    <t>00001-04</t>
  </si>
  <si>
    <t>00001-03</t>
  </si>
  <si>
    <t>00001-02</t>
  </si>
  <si>
    <t>00001-01</t>
  </si>
  <si>
    <t>00001-11</t>
  </si>
  <si>
    <t>00001-12</t>
  </si>
  <si>
    <t>00001-13</t>
  </si>
  <si>
    <t>Signed/returned Aug 19, 2016</t>
  </si>
  <si>
    <t>1608-338</t>
  </si>
  <si>
    <t>1608-324</t>
  </si>
  <si>
    <t>1608-210</t>
  </si>
  <si>
    <t>1608-191</t>
  </si>
  <si>
    <t>1608-292</t>
  </si>
  <si>
    <t>1608-083</t>
  </si>
  <si>
    <t>Aug 15 - 19, 2016</t>
  </si>
  <si>
    <t>WR-SPR1-001</t>
  </si>
  <si>
    <t>Name</t>
  </si>
  <si>
    <t>Sum of Invoices</t>
  </si>
  <si>
    <t>Aurora Energy Services Ltd. (Jeff Martin)</t>
  </si>
  <si>
    <t>Found out Aug 25, Kevin Evans is handing Environmental Inspector Invoices going forward</t>
  </si>
  <si>
    <t>Supervisor</t>
  </si>
  <si>
    <t>ONLY ESTIMATES TO DATE</t>
  </si>
  <si>
    <t>Personnel</t>
  </si>
  <si>
    <t>Communcation</t>
  </si>
  <si>
    <t>ESTIMATES ONLY TO DATE</t>
  </si>
  <si>
    <t>Clerk</t>
  </si>
  <si>
    <t>Standby</t>
  </si>
  <si>
    <t>Aug 16-31</t>
  </si>
  <si>
    <t>E7407</t>
  </si>
  <si>
    <t>E4730</t>
  </si>
  <si>
    <t>1608-246</t>
  </si>
  <si>
    <t>1608-126</t>
  </si>
  <si>
    <t>E3019</t>
  </si>
  <si>
    <t>Signed/returned Sept 1, 2016</t>
  </si>
  <si>
    <t>Misc</t>
  </si>
  <si>
    <t>Aug 16 - 31, 2016</t>
  </si>
  <si>
    <t>E9775</t>
  </si>
  <si>
    <t>Devris-Campbell</t>
  </si>
  <si>
    <t>OT Hours</t>
  </si>
  <si>
    <t>Mob</t>
  </si>
  <si>
    <t>Demob</t>
  </si>
  <si>
    <t>Four man Mainline 16"</t>
  </si>
  <si>
    <t>Four Man Mainline - 24"</t>
  </si>
  <si>
    <t>Three Man Poorboy 16" &amp; 24"</t>
  </si>
  <si>
    <t>Two Man X-Ray Tie-in Unit #1</t>
  </si>
  <si>
    <t>Two Man X-Ray Tie-in Unit #2</t>
  </si>
  <si>
    <t>Two Man Gamma Tie In Unit #3</t>
  </si>
  <si>
    <t>Weld Film- 16"</t>
  </si>
  <si>
    <t>Weld Film- 24"</t>
  </si>
  <si>
    <t>DPR number</t>
  </si>
  <si>
    <t>F2N4-08162016</t>
  </si>
  <si>
    <t>F2N4-08172016</t>
  </si>
  <si>
    <t>F2N4-08192016</t>
  </si>
  <si>
    <t>F2N4-08202016</t>
  </si>
  <si>
    <t>F2N4-08212016</t>
  </si>
  <si>
    <t>F2N4-08222016</t>
  </si>
  <si>
    <t>F2N4-08232016</t>
  </si>
  <si>
    <t>F2N4-08312016</t>
  </si>
  <si>
    <t>F2N4-08302016</t>
  </si>
  <si>
    <t>F2N4-09012016</t>
  </si>
  <si>
    <t>F2N4-09022016</t>
  </si>
  <si>
    <t>Sunday</t>
  </si>
  <si>
    <t>WR-SPR1-002</t>
  </si>
  <si>
    <t>Aug 20 - Sept 2, 2016</t>
  </si>
  <si>
    <t>F2N4-09032016</t>
  </si>
  <si>
    <t>F2N4-09042016</t>
  </si>
  <si>
    <t>F2N4-09052016</t>
  </si>
  <si>
    <t>F2N4-09062016</t>
  </si>
  <si>
    <t>F2N4-09072016</t>
  </si>
  <si>
    <t>F2N4-09082016</t>
  </si>
  <si>
    <t>Konschuj/Neves</t>
  </si>
  <si>
    <t>F2N4-08242016</t>
  </si>
  <si>
    <t>F2N4-08252016</t>
  </si>
  <si>
    <t>F2N4-0826016</t>
  </si>
  <si>
    <t>F2N4-08272016</t>
  </si>
  <si>
    <t>F2N4-08282016</t>
  </si>
  <si>
    <t>F2N4-08292016</t>
  </si>
  <si>
    <t>F2N4-09102016</t>
  </si>
  <si>
    <t xml:space="preserve"> Day Rate</t>
  </si>
  <si>
    <t xml:space="preserve">Truck </t>
  </si>
  <si>
    <t>Nelson/Vansanten</t>
  </si>
  <si>
    <t>F2N4-08152016</t>
  </si>
  <si>
    <t>F2N4-09112016</t>
  </si>
  <si>
    <t>F2N4-09122016</t>
  </si>
  <si>
    <t>1609-204</t>
  </si>
  <si>
    <t>1609-460</t>
  </si>
  <si>
    <t>Flagging Crew 2 person</t>
  </si>
  <si>
    <t>As-Built 2 Person</t>
  </si>
  <si>
    <t>CADD Operator</t>
  </si>
  <si>
    <t>Admin</t>
  </si>
  <si>
    <t>00004-01</t>
  </si>
  <si>
    <t>00004-02</t>
  </si>
  <si>
    <t>00004-03</t>
  </si>
  <si>
    <t>Flagging 1 Person</t>
  </si>
  <si>
    <t>VP Operations / Principal</t>
  </si>
  <si>
    <t>Senior HDD Design Engineer</t>
  </si>
  <si>
    <t>HDD Design Engineer</t>
  </si>
  <si>
    <t>Senior Project Manager</t>
  </si>
  <si>
    <t>Project Manager</t>
  </si>
  <si>
    <t>Engineer in Training</t>
  </si>
  <si>
    <t>Drafting Manager</t>
  </si>
  <si>
    <t>Drafting Technician</t>
  </si>
  <si>
    <t>Construction Manager</t>
  </si>
  <si>
    <t>Office Administrator</t>
  </si>
  <si>
    <t>Project Controls Administrator</t>
  </si>
  <si>
    <t>Document Controls Administrator</t>
  </si>
  <si>
    <t>HDD INSPECTOR (Night Shift)</t>
  </si>
  <si>
    <t>HDD INSPECTOR (24 hr shift)</t>
  </si>
  <si>
    <t>Kilometers (Min 100/day)</t>
  </si>
  <si>
    <t>Subsistence (camp/well site)</t>
  </si>
  <si>
    <t>Subsistence (Non Supplied Acc)</t>
  </si>
  <si>
    <t>Pipeline Inspector</t>
  </si>
  <si>
    <t>Field Engineer</t>
  </si>
  <si>
    <t>Field Office Manager/Project Co</t>
  </si>
  <si>
    <t>VP Engineering/ Principal</t>
  </si>
  <si>
    <t>Quads/Snowmobiles</t>
  </si>
  <si>
    <t>Side by Side UTV w/Trailer</t>
  </si>
  <si>
    <t>Trailer</t>
  </si>
  <si>
    <t>On site Office Trailer</t>
  </si>
  <si>
    <t>Wellsite Trailer</t>
  </si>
  <si>
    <t>Frac Trailer</t>
  </si>
  <si>
    <t>Light Tower</t>
  </si>
  <si>
    <t>Gas Monitor</t>
  </si>
  <si>
    <t>Satellite Phone</t>
  </si>
  <si>
    <t>Aug 14-20/16</t>
  </si>
  <si>
    <t>Aug 21-27/16</t>
  </si>
  <si>
    <t>Aug 28-S 3/16</t>
  </si>
  <si>
    <t>09-14-16</t>
  </si>
  <si>
    <t>1609-247</t>
  </si>
  <si>
    <t>CS-SPR1-001</t>
  </si>
  <si>
    <t>Sept 4-10/16</t>
  </si>
  <si>
    <t>F2N4-09132016</t>
  </si>
  <si>
    <t>F2N4-09092016</t>
  </si>
  <si>
    <t>F2N4-08182018</t>
  </si>
  <si>
    <t>00001-17</t>
  </si>
  <si>
    <t>00001-18</t>
  </si>
  <si>
    <t>00001-19</t>
  </si>
  <si>
    <t>00001-20</t>
  </si>
  <si>
    <t>00001-21</t>
  </si>
  <si>
    <t>00001-22</t>
  </si>
  <si>
    <t>00001-23</t>
  </si>
  <si>
    <t>00001-24</t>
  </si>
  <si>
    <t>00001-25</t>
  </si>
  <si>
    <t>00001-26</t>
  </si>
  <si>
    <t>00001-27</t>
  </si>
  <si>
    <t>00001-28</t>
  </si>
  <si>
    <t>ME - SPR1-001</t>
  </si>
  <si>
    <t>Invoice Total        (before GST)</t>
  </si>
  <si>
    <t>1609-447</t>
  </si>
  <si>
    <t>00001-29</t>
  </si>
  <si>
    <t>00001-30</t>
  </si>
  <si>
    <t>00001-31</t>
  </si>
  <si>
    <t>July 25 - 31</t>
  </si>
  <si>
    <t>Aug 15-21</t>
  </si>
  <si>
    <t>Aug 22-28</t>
  </si>
  <si>
    <t>00001-32</t>
  </si>
  <si>
    <t>00001-33</t>
  </si>
  <si>
    <t>00001-34</t>
  </si>
  <si>
    <t>00001-35</t>
  </si>
  <si>
    <t>00001-36</t>
  </si>
  <si>
    <t>00001-37</t>
  </si>
  <si>
    <t>00001-38</t>
  </si>
  <si>
    <t>00001-39</t>
  </si>
  <si>
    <t>00001-40</t>
  </si>
  <si>
    <t>Aug 29-Sep4</t>
  </si>
  <si>
    <t>Sept 5-11</t>
  </si>
  <si>
    <t>00001-41</t>
  </si>
  <si>
    <t>ME - SPR1-002</t>
  </si>
  <si>
    <t>Sept 1 - 15, 2016</t>
  </si>
  <si>
    <t>E3020</t>
  </si>
  <si>
    <t>E9776</t>
  </si>
  <si>
    <t>E7408</t>
  </si>
  <si>
    <t>1609-427</t>
  </si>
  <si>
    <t>Signed/Returned Sept 17, 2016</t>
  </si>
  <si>
    <t>1609-355</t>
  </si>
  <si>
    <t>WR-SPR1-003</t>
  </si>
  <si>
    <t>Sept 9 - Sept 15/16</t>
  </si>
  <si>
    <t>HDD INSPECTOR (Day Shift)</t>
  </si>
  <si>
    <t>1101C-01-001</t>
  </si>
  <si>
    <t>F2N4-09142016</t>
  </si>
  <si>
    <t>F2N4-09152016</t>
  </si>
  <si>
    <t>F2N4-09162016</t>
  </si>
  <si>
    <t>F2N4-09172016</t>
  </si>
  <si>
    <t>F2N4-09182016</t>
  </si>
  <si>
    <t>F2N4-09192016</t>
  </si>
  <si>
    <t>F2N4-09202016</t>
  </si>
  <si>
    <t>F2N4-09212016</t>
  </si>
  <si>
    <t>Grinde/Enns</t>
  </si>
  <si>
    <t>Deol/Finnson</t>
  </si>
  <si>
    <t>McCavour/VanSanten</t>
  </si>
  <si>
    <t>Day Off</t>
  </si>
  <si>
    <t>Timesheet/Invoice #</t>
  </si>
  <si>
    <t>SH-SPR4-001</t>
  </si>
  <si>
    <t>F2N4-09222016</t>
  </si>
  <si>
    <t>Sept 12-18</t>
  </si>
  <si>
    <t>00001-42</t>
  </si>
  <si>
    <t>00001-43</t>
  </si>
  <si>
    <t>00001-44</t>
  </si>
  <si>
    <t>00001-45</t>
  </si>
  <si>
    <t>00001-46</t>
  </si>
  <si>
    <t>00001-47</t>
  </si>
  <si>
    <t>00001-48</t>
  </si>
  <si>
    <t>00001-49</t>
  </si>
  <si>
    <t>ME SPR1-003</t>
  </si>
  <si>
    <t>Sept 23/16</t>
  </si>
  <si>
    <t>F2N4-09232016</t>
  </si>
  <si>
    <t>1609-429</t>
  </si>
  <si>
    <t>Seymour/Torok</t>
  </si>
  <si>
    <t>F2N4-09242016</t>
  </si>
  <si>
    <t>F2N4-09252016</t>
  </si>
  <si>
    <t>Sept 12-17/16</t>
  </si>
  <si>
    <t>CS-SPR1-002</t>
  </si>
  <si>
    <t>09-26-16</t>
  </si>
  <si>
    <t>Construction Supervisor</t>
  </si>
  <si>
    <t>F2N4-09262016</t>
  </si>
  <si>
    <t>1101C-01-002</t>
  </si>
  <si>
    <t>1101C-01-003</t>
  </si>
  <si>
    <t>1101C-01-004</t>
  </si>
  <si>
    <t>1101C-01-005</t>
  </si>
  <si>
    <t>1101C-01-006</t>
  </si>
  <si>
    <t>F2N4-09272016</t>
  </si>
  <si>
    <t>CS-SPR1-003</t>
  </si>
  <si>
    <t>09-28-16</t>
  </si>
  <si>
    <t>F2N4-09282016</t>
  </si>
  <si>
    <t>F2N4-09292016</t>
  </si>
  <si>
    <t>F2N4-09302016</t>
  </si>
  <si>
    <t>E3021</t>
  </si>
  <si>
    <t>E9777</t>
  </si>
  <si>
    <t>Sept 16 - 30, 2016</t>
  </si>
  <si>
    <t>E7409</t>
  </si>
  <si>
    <t>Signed/Returned Oct 1, 2016</t>
  </si>
  <si>
    <t>1, 2016</t>
  </si>
  <si>
    <t>Signed/Returned  Oct 1, 2016</t>
  </si>
  <si>
    <t>Signed/Returned Oct</t>
  </si>
  <si>
    <t>SH-SPR4-002</t>
  </si>
  <si>
    <t>WR-SPR1-004</t>
  </si>
  <si>
    <t>Sept 22- Sept 30, 2016</t>
  </si>
  <si>
    <t>SH-SPR4-003</t>
  </si>
  <si>
    <t>20160827-Spread 1</t>
  </si>
  <si>
    <t>20160924-Spread 1</t>
  </si>
  <si>
    <t>Other</t>
  </si>
  <si>
    <t>F2N4-10012016</t>
  </si>
  <si>
    <t>F2N4-10032016</t>
  </si>
  <si>
    <t>1101C-01-007</t>
  </si>
  <si>
    <t>1101C-01-008</t>
  </si>
  <si>
    <t>1101C-01-009</t>
  </si>
  <si>
    <t>1101C-01-010</t>
  </si>
  <si>
    <t>1101C-01-011</t>
  </si>
  <si>
    <t>1101C-01-012</t>
  </si>
  <si>
    <t>1101C-01-013</t>
  </si>
  <si>
    <t>CS-SPR1-004</t>
  </si>
  <si>
    <t>Sept 25-Oct 1</t>
  </si>
  <si>
    <t>20161001- Spread 1</t>
  </si>
  <si>
    <t>1101R-01-003</t>
  </si>
  <si>
    <t>1101C-01-014</t>
  </si>
  <si>
    <t>1101C-01-015</t>
  </si>
  <si>
    <t>1101C-01-016</t>
  </si>
  <si>
    <t>1101C-01-017</t>
  </si>
  <si>
    <t>1101C-01-018</t>
  </si>
  <si>
    <t>1101C-01-019</t>
  </si>
  <si>
    <t>1101C-01-020</t>
  </si>
  <si>
    <t>CS-SPR1-005</t>
  </si>
  <si>
    <t>F2N4-10042016</t>
  </si>
  <si>
    <t>F2N4-10052016</t>
  </si>
  <si>
    <t>F2N4-10062016</t>
  </si>
  <si>
    <t>F2N4-10072016</t>
  </si>
  <si>
    <t>SH-SPR4-004</t>
  </si>
  <si>
    <t>CS-SPR1-006</t>
  </si>
  <si>
    <t>HDD INSPECTION SPREAD 1</t>
  </si>
  <si>
    <t>Sept 19-25</t>
  </si>
  <si>
    <t>ME-SPR1-004</t>
  </si>
  <si>
    <t>00001-50</t>
  </si>
  <si>
    <t>00001-51</t>
  </si>
  <si>
    <t>00001-52</t>
  </si>
  <si>
    <t>00001-53</t>
  </si>
  <si>
    <t>00001-54</t>
  </si>
  <si>
    <t>00001-55</t>
  </si>
  <si>
    <t>00001-56</t>
  </si>
  <si>
    <t>00001-57</t>
  </si>
  <si>
    <t>00001-58</t>
  </si>
  <si>
    <t>00001-59</t>
  </si>
  <si>
    <t>00001-60</t>
  </si>
  <si>
    <t>00001-61</t>
  </si>
  <si>
    <t>00001-62</t>
  </si>
  <si>
    <t>00001-63</t>
  </si>
  <si>
    <t>00001-64</t>
  </si>
  <si>
    <t>00001-65</t>
  </si>
  <si>
    <t>00001-66</t>
  </si>
  <si>
    <t>9/26 - 10/2</t>
  </si>
  <si>
    <t>00001-67</t>
  </si>
  <si>
    <t>00001-68</t>
  </si>
  <si>
    <t>00001-69</t>
  </si>
  <si>
    <t>00001-70</t>
  </si>
  <si>
    <t>Oct 3-9</t>
  </si>
  <si>
    <t>ME-SPR1-005</t>
  </si>
  <si>
    <t>Oct 2-8, 2016</t>
  </si>
  <si>
    <t>20161008- Spread 1</t>
  </si>
  <si>
    <t>CS-SPR1-007</t>
  </si>
  <si>
    <t>Oct 1 - 15, 2016</t>
  </si>
  <si>
    <t>E7410</t>
  </si>
  <si>
    <t>Signed/Returned Oct 18,2016</t>
  </si>
  <si>
    <t>E3022</t>
  </si>
  <si>
    <t>E9778</t>
  </si>
  <si>
    <t>Signed/Returned Oct 18, 2016</t>
  </si>
  <si>
    <t>ME-SPR1-006</t>
  </si>
  <si>
    <t>1610-108</t>
  </si>
  <si>
    <t xml:space="preserve"> Change Order       4500060169-001</t>
  </si>
  <si>
    <t>Altus Geomatics</t>
  </si>
  <si>
    <t>Accomodation</t>
  </si>
  <si>
    <t>Truck</t>
  </si>
  <si>
    <t>Forest Tech  Hourly</t>
  </si>
  <si>
    <t>Scaler/ Inspector Assit</t>
  </si>
  <si>
    <t>Mandy Sandhu</t>
  </si>
  <si>
    <t>Sept 27-30</t>
  </si>
  <si>
    <t>M. Hirvinen</t>
  </si>
  <si>
    <t>M Sandhu</t>
  </si>
  <si>
    <t>KM's (min 150/day)</t>
  </si>
  <si>
    <t>Office Comm</t>
  </si>
  <si>
    <t>AG-SPR1-001</t>
  </si>
  <si>
    <t>Statement Total</t>
  </si>
  <si>
    <t>Oct 3-14</t>
  </si>
  <si>
    <t>M . Hirinen</t>
  </si>
  <si>
    <t>Chisholm/Hirinen</t>
  </si>
  <si>
    <t>Chisholm/Hibrant</t>
  </si>
  <si>
    <t>AG-SPR1-002</t>
  </si>
  <si>
    <t>1610-011</t>
  </si>
  <si>
    <t>Oct 8-15,2016</t>
  </si>
  <si>
    <t>1101R-01-001</t>
  </si>
  <si>
    <t>1101R-01-002</t>
  </si>
  <si>
    <t>1101R-01-004</t>
  </si>
  <si>
    <t>MOB Office Trailer</t>
  </si>
  <si>
    <t>1101C-01-021</t>
  </si>
  <si>
    <t>1101C-01-022</t>
  </si>
  <si>
    <t>1101C-01-023</t>
  </si>
  <si>
    <t>1101C-01-024</t>
  </si>
  <si>
    <t>1101C-01-025</t>
  </si>
  <si>
    <t>1101C-01-026</t>
  </si>
  <si>
    <t>1101C-01-027</t>
  </si>
  <si>
    <t>CS-SPR1-008</t>
  </si>
  <si>
    <t>Oct 10-16, 2016</t>
  </si>
  <si>
    <t>00001-71</t>
  </si>
  <si>
    <t>00001-72</t>
  </si>
  <si>
    <t>00001-73</t>
  </si>
  <si>
    <t>00001-74</t>
  </si>
  <si>
    <t>00001-75</t>
  </si>
  <si>
    <t>00001-76</t>
  </si>
  <si>
    <t>00001-77</t>
  </si>
  <si>
    <t>ME-SPR1-007</t>
  </si>
  <si>
    <t>00001-78</t>
  </si>
  <si>
    <t>00001-79</t>
  </si>
  <si>
    <t>00001-80</t>
  </si>
  <si>
    <t>Oct 17-24, 2016</t>
  </si>
  <si>
    <t>00001-81</t>
  </si>
  <si>
    <t>00001-82</t>
  </si>
  <si>
    <t>00001-83</t>
  </si>
  <si>
    <t>00001-84</t>
  </si>
  <si>
    <t>00001-85</t>
  </si>
  <si>
    <t>1610-346</t>
  </si>
  <si>
    <t>1610-242</t>
  </si>
  <si>
    <t>WR-SPR1-005</t>
  </si>
  <si>
    <t>Oct 18-21, 2016</t>
  </si>
  <si>
    <t>ME-SPR1-008</t>
  </si>
  <si>
    <t>Oct 16 - 31, 2016</t>
  </si>
  <si>
    <t>E3023</t>
  </si>
  <si>
    <t>E9779</t>
  </si>
  <si>
    <t>Signed/Returned Nov 1, 2016</t>
  </si>
  <si>
    <t>E7411</t>
  </si>
  <si>
    <t>1101R-01-005</t>
  </si>
  <si>
    <t>20161022 Spread 1</t>
  </si>
  <si>
    <t>1101C-01-028</t>
  </si>
  <si>
    <t>1101C-01-029</t>
  </si>
  <si>
    <t>1101C-01-030</t>
  </si>
  <si>
    <t>1101C-01-031</t>
  </si>
  <si>
    <t>1101C-01-032</t>
  </si>
  <si>
    <t>1101C-01-033</t>
  </si>
  <si>
    <t>1101C-01-034</t>
  </si>
  <si>
    <t>CS-SPR1-009</t>
  </si>
  <si>
    <t>Oct 24-30</t>
  </si>
  <si>
    <t>ME-SPR1-009</t>
  </si>
  <si>
    <t>1101C-01-035</t>
  </si>
  <si>
    <t>1101C-01-036</t>
  </si>
  <si>
    <t>1101C-01-037</t>
  </si>
  <si>
    <t>1101C-01-038</t>
  </si>
  <si>
    <t>1101C-01-039</t>
  </si>
  <si>
    <t>1101C-01-040</t>
  </si>
  <si>
    <t>1101C-01-041</t>
  </si>
  <si>
    <t>1101R01-006</t>
  </si>
  <si>
    <t>20161029- Spread 1</t>
  </si>
  <si>
    <t>CS-SPR1-010</t>
  </si>
  <si>
    <t>1101R01-007</t>
  </si>
  <si>
    <t>1101C-01-042</t>
  </si>
  <si>
    <t>1101C-01-043</t>
  </si>
  <si>
    <t>1101C-01-044</t>
  </si>
  <si>
    <t>1101C-01-045</t>
  </si>
  <si>
    <t>1101C-01-046</t>
  </si>
  <si>
    <t>1101C-01-047</t>
  </si>
  <si>
    <t>1101C-01-048</t>
  </si>
  <si>
    <t>TP161-1101C</t>
  </si>
  <si>
    <t>Nov 1 - 15, 2016</t>
  </si>
  <si>
    <t>E3024</t>
  </si>
  <si>
    <t>Signed/Returned Nov 17, 2016</t>
  </si>
  <si>
    <t>E7412</t>
  </si>
  <si>
    <t>20161105  Spread 1</t>
  </si>
  <si>
    <t>CS-SPR1-011</t>
  </si>
  <si>
    <t>1101C-01-049</t>
  </si>
  <si>
    <t>1101C-01-050</t>
  </si>
  <si>
    <t>1101C-01-051</t>
  </si>
  <si>
    <t>1101C-01-052</t>
  </si>
  <si>
    <t>1101C-01-053</t>
  </si>
  <si>
    <t>1101C-01-054</t>
  </si>
  <si>
    <t>1101C-01-055</t>
  </si>
  <si>
    <t>1101R-01-008</t>
  </si>
  <si>
    <t>20161112-Spread 1</t>
  </si>
  <si>
    <t>CS-SPR1-012</t>
  </si>
  <si>
    <t>00001-86</t>
  </si>
  <si>
    <t>00001-87</t>
  </si>
  <si>
    <t>00001-88</t>
  </si>
  <si>
    <t>00001-89</t>
  </si>
  <si>
    <t>00001-90</t>
  </si>
  <si>
    <t>00001-91</t>
  </si>
  <si>
    <t>00001-92</t>
  </si>
  <si>
    <t>00001-93</t>
  </si>
  <si>
    <t>00001-94</t>
  </si>
  <si>
    <t>Oct 31-Nov6</t>
  </si>
  <si>
    <t>00001-95</t>
  </si>
  <si>
    <t>00001-96</t>
  </si>
  <si>
    <t>00001-97</t>
  </si>
  <si>
    <t>00001-98</t>
  </si>
  <si>
    <t>00001-99</t>
  </si>
  <si>
    <t>00001-100</t>
  </si>
  <si>
    <t>00001-101</t>
  </si>
  <si>
    <t>00001-102</t>
  </si>
  <si>
    <t>00001-103</t>
  </si>
  <si>
    <t>00001-104</t>
  </si>
  <si>
    <t>00001-105</t>
  </si>
  <si>
    <t>00001-106</t>
  </si>
  <si>
    <t>00001-107</t>
  </si>
  <si>
    <t>00001-108</t>
  </si>
  <si>
    <t>00001-109</t>
  </si>
  <si>
    <t>Nov 7 - 13</t>
  </si>
  <si>
    <t>00001-110</t>
  </si>
  <si>
    <t>00001-111</t>
  </si>
  <si>
    <t>00001-112</t>
  </si>
  <si>
    <t>00001-113</t>
  </si>
  <si>
    <t>00001-114</t>
  </si>
  <si>
    <t>00001-115</t>
  </si>
  <si>
    <t>00001-116</t>
  </si>
  <si>
    <t>00001-117</t>
  </si>
  <si>
    <t>Nov 14 - 20</t>
  </si>
  <si>
    <t>ME-SPR1-010</t>
  </si>
  <si>
    <t>20161119-Spread 1</t>
  </si>
  <si>
    <t>1101C-01-56</t>
  </si>
  <si>
    <t>1101C-01-57</t>
  </si>
  <si>
    <t>1101C-01-58</t>
  </si>
  <si>
    <t>1101C-01-59</t>
  </si>
  <si>
    <t>1101C-01-60</t>
  </si>
  <si>
    <t>1101C-01-61</t>
  </si>
  <si>
    <t>1101C-01-62</t>
  </si>
  <si>
    <t>1101R-01-009</t>
  </si>
  <si>
    <t>CS-SPR1-013</t>
  </si>
  <si>
    <t>George Jones</t>
  </si>
  <si>
    <t>1562 ALBERTA LTD.</t>
  </si>
  <si>
    <t>Xray Company - Spread 4</t>
  </si>
  <si>
    <t>Survey company - Spread 1</t>
  </si>
  <si>
    <t>Davis Safety - (George Jones)</t>
  </si>
  <si>
    <t xml:space="preserve">PO# 4500092XXX  Spread 1 </t>
  </si>
  <si>
    <t>PO# 4500092XXX  Spread 4</t>
  </si>
  <si>
    <t>Tom Jones</t>
  </si>
  <si>
    <t>Max Factor</t>
  </si>
  <si>
    <t>Davis Safety - (Tom Jones, Max Factor)</t>
  </si>
  <si>
    <t>Sweep Company</t>
  </si>
  <si>
    <t>PO# 4500060XXX AFE# M14129  Statement # AG-SPR1-002  Oct 3 - Oct 14, 2016</t>
  </si>
  <si>
    <t xml:space="preserve">HDD Inspection Company </t>
  </si>
  <si>
    <r>
      <t>PO# 450009XXXX5</t>
    </r>
    <r>
      <rPr>
        <b/>
        <sz val="10"/>
        <rFont val="Arial"/>
        <family val="2"/>
      </rPr>
      <t xml:space="preserve"> AFE# M14129 Stateme</t>
    </r>
    <r>
      <rPr>
        <b/>
        <sz val="10"/>
        <color rgb="FF222222"/>
        <rFont val="Arial"/>
        <family val="2"/>
      </rPr>
      <t xml:space="preserve">nt </t>
    </r>
    <r>
      <rPr>
        <b/>
        <sz val="10"/>
        <color rgb="FFFF0000"/>
        <rFont val="Arial"/>
        <family val="2"/>
      </rPr>
      <t xml:space="preserve"> # HD-SPR1-013      Nov 13 to Nov 19, 2016  Spread 1</t>
    </r>
  </si>
  <si>
    <t>PO #4500093XX   AFE# M14129  Timesheet/Invoice  #   GJ SPR4 -00 Sept   ,2016</t>
  </si>
  <si>
    <r>
      <t>PO# 4500090XXX</t>
    </r>
    <r>
      <rPr>
        <b/>
        <sz val="10"/>
        <rFont val="Arial"/>
        <family val="2"/>
      </rPr>
      <t xml:space="preserve"> AFE# M14129 Stateme</t>
    </r>
    <r>
      <rPr>
        <b/>
        <sz val="10"/>
        <color rgb="FF222222"/>
        <rFont val="Arial"/>
        <family val="2"/>
      </rPr>
      <t xml:space="preserve">nt </t>
    </r>
    <r>
      <rPr>
        <b/>
        <sz val="10"/>
        <color rgb="FFFF0000"/>
        <rFont val="Arial"/>
        <family val="2"/>
      </rPr>
      <t xml:space="preserve"> # XR-SPR4-004  Sept 26 - Oct 7, 2016  Spread 4</t>
    </r>
  </si>
  <si>
    <t>PO# 4500066XXX AFE# M14129 Statement # SR - SPR1-010  Oct 31 - Nov 20 2016  Spread 1</t>
  </si>
  <si>
    <t>PO# 4500091XXX AFE# M14129    Statement # SC-SPR1-005  Oct 29, 2016  Spread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</si>
</sst>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&quot;$&quot;#,##0.00"/>
    <numFmt numFmtId="166" formatCode="&quot;$&quot;#,##0"/>
    <numFmt numFmtId="167" formatCode="0.00;[Red]0.00"/>
    <numFmt numFmtId="168" formatCode="0;[Red]0"/>
    <numFmt numFmtId="169" formatCode="&quot;$&quot;#,##0.00;[Red]&quot;$&quot;#,##0.00"/>
    <numFmt numFmtId="170" formatCode="[$-1009]d/mmm/yy;@"/>
    <numFmt numFmtId="171" formatCode="0.0;[Red]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sz val="8"/>
      <color rgb="FFFF000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35">
    <xf numFmtId="0" fontId="0" fillId="0" borderId="0" xfId="0"/>
    <xf numFmtId="0" fontId="1" fillId="0" borderId="0" xfId="0" applyFont="1"/>
    <xf numFmtId="0" fontId="1" fillId="4" borderId="6" xfId="2" applyFont="1" applyFill="1" applyBorder="1" applyAlignment="1">
      <alignment horizontal="center" vertical="center" wrapText="1"/>
    </xf>
    <xf numFmtId="0" fontId="1" fillId="0" borderId="0" xfId="2" applyFill="1"/>
    <xf numFmtId="0" fontId="1" fillId="3" borderId="0" xfId="2" applyFill="1"/>
    <xf numFmtId="0" fontId="6" fillId="4" borderId="6" xfId="2" applyFont="1" applyFill="1" applyBorder="1" applyAlignment="1">
      <alignment horizontal="center" vertical="center" wrapText="1"/>
    </xf>
    <xf numFmtId="44" fontId="1" fillId="6" borderId="6" xfId="2" applyNumberFormat="1" applyFont="1" applyFill="1" applyBorder="1" applyAlignment="1">
      <alignment horizontal="center"/>
    </xf>
    <xf numFmtId="0" fontId="1" fillId="0" borderId="6" xfId="2" applyFont="1" applyFill="1" applyBorder="1" applyAlignment="1">
      <alignment vertical="center"/>
    </xf>
    <xf numFmtId="166" fontId="0" fillId="0" borderId="0" xfId="0" applyNumberFormat="1" applyAlignment="1">
      <alignment horizontal="right"/>
    </xf>
    <xf numFmtId="0" fontId="1" fillId="4" borderId="6" xfId="2" applyFont="1" applyFill="1" applyBorder="1" applyAlignment="1">
      <alignment horizontal="center" vertical="center"/>
    </xf>
    <xf numFmtId="15" fontId="1" fillId="5" borderId="6" xfId="2" applyNumberFormat="1" applyFont="1" applyFill="1" applyBorder="1" applyAlignment="1">
      <alignment horizontal="center" vertical="center"/>
    </xf>
    <xf numFmtId="15" fontId="1" fillId="5" borderId="8" xfId="2" applyNumberFormat="1" applyFont="1" applyFill="1" applyBorder="1" applyAlignment="1">
      <alignment horizontal="center" vertical="center"/>
    </xf>
    <xf numFmtId="0" fontId="1" fillId="0" borderId="8" xfId="2" applyFont="1" applyFill="1" applyBorder="1" applyAlignment="1">
      <alignment vertical="center"/>
    </xf>
    <xf numFmtId="0" fontId="1" fillId="0" borderId="4" xfId="2" applyFill="1" applyBorder="1"/>
    <xf numFmtId="16" fontId="3" fillId="3" borderId="7" xfId="2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vertical="center"/>
    </xf>
    <xf numFmtId="43" fontId="3" fillId="3" borderId="1" xfId="2" applyNumberFormat="1" applyFont="1" applyFill="1" applyBorder="1" applyAlignment="1">
      <alignment horizontal="right" vertical="center" wrapText="1"/>
    </xf>
    <xf numFmtId="0" fontId="1" fillId="0" borderId="9" xfId="2" applyFill="1" applyBorder="1"/>
    <xf numFmtId="2" fontId="1" fillId="4" borderId="6" xfId="2" applyNumberFormat="1" applyFont="1" applyFill="1" applyBorder="1" applyAlignment="1">
      <alignment vertical="center" wrapText="1"/>
    </xf>
    <xf numFmtId="44" fontId="3" fillId="6" borderId="6" xfId="2" applyNumberFormat="1" applyFont="1" applyFill="1" applyBorder="1" applyAlignment="1">
      <alignment horizontal="center" wrapText="1"/>
    </xf>
    <xf numFmtId="0" fontId="1" fillId="0" borderId="9" xfId="2" applyFill="1" applyBorder="1" applyAlignment="1">
      <alignment horizontal="right"/>
    </xf>
    <xf numFmtId="166" fontId="1" fillId="7" borderId="1" xfId="2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7" fillId="0" borderId="0" xfId="0" applyFont="1"/>
    <xf numFmtId="4" fontId="1" fillId="0" borderId="6" xfId="2" applyNumberFormat="1" applyFont="1" applyFill="1" applyBorder="1" applyAlignment="1">
      <alignment horizontal="right" vertical="center" wrapText="1"/>
    </xf>
    <xf numFmtId="15" fontId="1" fillId="5" borderId="1" xfId="2" applyNumberFormat="1" applyFont="1" applyFill="1" applyBorder="1" applyAlignment="1">
      <alignment horizontal="center" vertical="center"/>
    </xf>
    <xf numFmtId="0" fontId="1" fillId="0" borderId="1" xfId="2" applyFont="1" applyFill="1" applyBorder="1" applyAlignment="1">
      <alignment vertical="center"/>
    </xf>
    <xf numFmtId="4" fontId="1" fillId="0" borderId="1" xfId="2" applyNumberFormat="1" applyFont="1" applyFill="1" applyBorder="1" applyAlignment="1">
      <alignment horizontal="right" vertical="center" wrapText="1"/>
    </xf>
    <xf numFmtId="4" fontId="1" fillId="0" borderId="8" xfId="2" applyNumberFormat="1" applyFont="1" applyFill="1" applyBorder="1" applyAlignment="1">
      <alignment horizontal="right" vertical="center" wrapText="1"/>
    </xf>
    <xf numFmtId="0" fontId="8" fillId="0" borderId="0" xfId="0" applyFont="1"/>
    <xf numFmtId="0" fontId="4" fillId="0" borderId="0" xfId="0" applyFont="1"/>
    <xf numFmtId="15" fontId="1" fillId="5" borderId="5" xfId="2" applyNumberFormat="1" applyFont="1" applyFill="1" applyBorder="1" applyAlignment="1">
      <alignment horizontal="center" vertical="center"/>
    </xf>
    <xf numFmtId="0" fontId="1" fillId="0" borderId="5" xfId="2" applyFont="1" applyFill="1" applyBorder="1" applyAlignment="1">
      <alignment vertical="center"/>
    </xf>
    <xf numFmtId="15" fontId="5" fillId="5" borderId="6" xfId="2" applyNumberFormat="1" applyFont="1" applyFill="1" applyBorder="1" applyAlignment="1">
      <alignment horizontal="center" vertical="center"/>
    </xf>
    <xf numFmtId="0" fontId="5" fillId="0" borderId="6" xfId="2" applyFont="1" applyFill="1" applyBorder="1" applyAlignment="1">
      <alignment vertical="center"/>
    </xf>
    <xf numFmtId="16" fontId="3" fillId="3" borderId="2" xfId="2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right"/>
    </xf>
    <xf numFmtId="4" fontId="1" fillId="0" borderId="6" xfId="2" applyNumberFormat="1" applyFont="1" applyFill="1" applyBorder="1" applyAlignment="1">
      <alignment vertical="center"/>
    </xf>
    <xf numFmtId="4" fontId="1" fillId="0" borderId="5" xfId="2" applyNumberFormat="1" applyFont="1" applyFill="1" applyBorder="1" applyAlignment="1">
      <alignment vertical="center"/>
    </xf>
    <xf numFmtId="0" fontId="1" fillId="0" borderId="0" xfId="2" quotePrefix="1" applyFill="1" applyAlignment="1">
      <alignment horizontal="right"/>
    </xf>
    <xf numFmtId="0" fontId="1" fillId="0" borderId="0" xfId="2" applyFill="1" applyAlignment="1">
      <alignment horizontal="right"/>
    </xf>
    <xf numFmtId="15" fontId="0" fillId="0" borderId="0" xfId="0" applyNumberFormat="1"/>
    <xf numFmtId="0" fontId="1" fillId="0" borderId="11" xfId="2" applyFill="1" applyBorder="1"/>
    <xf numFmtId="0" fontId="1" fillId="0" borderId="3" xfId="2" applyFill="1" applyBorder="1"/>
    <xf numFmtId="165" fontId="2" fillId="0" borderId="0" xfId="0" applyNumberFormat="1" applyFont="1" applyAlignment="1">
      <alignment horizontal="right"/>
    </xf>
    <xf numFmtId="4" fontId="1" fillId="2" borderId="3" xfId="2" applyNumberFormat="1" applyFill="1" applyBorder="1"/>
    <xf numFmtId="4" fontId="1" fillId="2" borderId="0" xfId="2" applyNumberFormat="1" applyFill="1" applyBorder="1"/>
    <xf numFmtId="2" fontId="1" fillId="4" borderId="6" xfId="2" applyNumberFormat="1" applyFont="1" applyFill="1" applyBorder="1" applyAlignment="1">
      <alignment horizontal="center" vertical="center" wrapText="1"/>
    </xf>
    <xf numFmtId="0" fontId="1" fillId="0" borderId="0" xfId="2" applyFill="1" applyBorder="1"/>
    <xf numFmtId="165" fontId="1" fillId="0" borderId="6" xfId="2" applyNumberFormat="1" applyFont="1" applyFill="1" applyBorder="1" applyAlignment="1">
      <alignment horizontal="right" vertical="center" wrapText="1"/>
    </xf>
    <xf numFmtId="165" fontId="1" fillId="2" borderId="3" xfId="2" applyNumberFormat="1" applyFill="1" applyBorder="1"/>
    <xf numFmtId="0" fontId="0" fillId="2" borderId="0" xfId="0" applyFill="1"/>
    <xf numFmtId="0" fontId="2" fillId="2" borderId="0" xfId="0" applyFont="1" applyFill="1" applyAlignment="1">
      <alignment horizontal="right"/>
    </xf>
    <xf numFmtId="0" fontId="2" fillId="8" borderId="0" xfId="0" applyFont="1" applyFill="1"/>
    <xf numFmtId="0" fontId="2" fillId="8" borderId="0" xfId="0" applyFont="1" applyFill="1" applyAlignment="1">
      <alignment horizontal="right"/>
    </xf>
    <xf numFmtId="166" fontId="2" fillId="8" borderId="0" xfId="0" applyNumberFormat="1" applyFont="1" applyFill="1"/>
    <xf numFmtId="166" fontId="1" fillId="2" borderId="0" xfId="0" applyNumberFormat="1" applyFont="1" applyFill="1" applyAlignment="1">
      <alignment horizontal="right"/>
    </xf>
    <xf numFmtId="4" fontId="1" fillId="2" borderId="0" xfId="2" applyNumberFormat="1" applyFont="1" applyFill="1" applyBorder="1"/>
    <xf numFmtId="1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0" fontId="1" fillId="0" borderId="0" xfId="2" applyFont="1" applyFill="1"/>
    <xf numFmtId="0" fontId="1" fillId="0" borderId="9" xfId="2" applyFont="1" applyFill="1" applyBorder="1" applyAlignment="1">
      <alignment horizontal="right"/>
    </xf>
    <xf numFmtId="0" fontId="1" fillId="0" borderId="9" xfId="0" applyFont="1" applyBorder="1"/>
    <xf numFmtId="15" fontId="1" fillId="5" borderId="4" xfId="2" applyNumberFormat="1" applyFont="1" applyFill="1" applyBorder="1" applyAlignment="1">
      <alignment horizontal="center" vertical="center"/>
    </xf>
    <xf numFmtId="0" fontId="1" fillId="0" borderId="4" xfId="2" applyFont="1" applyFill="1" applyBorder="1" applyAlignment="1">
      <alignment vertical="center"/>
    </xf>
    <xf numFmtId="0" fontId="5" fillId="0" borderId="1" xfId="2" applyFont="1" applyFill="1" applyBorder="1" applyAlignment="1">
      <alignment vertical="center"/>
    </xf>
    <xf numFmtId="4" fontId="5" fillId="0" borderId="1" xfId="2" applyNumberFormat="1" applyFont="1" applyFill="1" applyBorder="1" applyAlignment="1">
      <alignment horizontal="right" vertical="center" wrapText="1"/>
    </xf>
    <xf numFmtId="0" fontId="5" fillId="0" borderId="4" xfId="2" applyFont="1" applyFill="1" applyBorder="1"/>
    <xf numFmtId="0" fontId="5" fillId="0" borderId="0" xfId="2" applyFont="1" applyFill="1"/>
    <xf numFmtId="165" fontId="1" fillId="0" borderId="0" xfId="0" applyNumberFormat="1" applyFont="1" applyAlignment="1">
      <alignment horizontal="right"/>
    </xf>
    <xf numFmtId="4" fontId="5" fillId="0" borderId="6" xfId="2" applyNumberFormat="1" applyFont="1" applyFill="1" applyBorder="1" applyAlignment="1">
      <alignment horizontal="right" vertical="center" wrapText="1"/>
    </xf>
    <xf numFmtId="15" fontId="5" fillId="5" borderId="5" xfId="2" applyNumberFormat="1" applyFont="1" applyFill="1" applyBorder="1" applyAlignment="1">
      <alignment horizontal="center" vertical="center"/>
    </xf>
    <xf numFmtId="0" fontId="5" fillId="0" borderId="5" xfId="2" applyFont="1" applyFill="1" applyBorder="1" applyAlignment="1">
      <alignment vertical="center"/>
    </xf>
    <xf numFmtId="0" fontId="5" fillId="0" borderId="8" xfId="2" applyFont="1" applyFill="1" applyBorder="1" applyAlignment="1">
      <alignment vertical="center"/>
    </xf>
    <xf numFmtId="4" fontId="5" fillId="0" borderId="8" xfId="2" applyNumberFormat="1" applyFont="1" applyFill="1" applyBorder="1" applyAlignment="1">
      <alignment horizontal="right" vertical="center" wrapText="1"/>
    </xf>
    <xf numFmtId="4" fontId="1" fillId="2" borderId="3" xfId="2" applyNumberFormat="1" applyFont="1" applyFill="1" applyBorder="1"/>
    <xf numFmtId="15" fontId="5" fillId="5" borderId="4" xfId="2" applyNumberFormat="1" applyFont="1" applyFill="1" applyBorder="1" applyAlignment="1">
      <alignment horizontal="center" vertical="center"/>
    </xf>
    <xf numFmtId="0" fontId="5" fillId="0" borderId="4" xfId="2" applyFont="1" applyFill="1" applyBorder="1" applyAlignment="1">
      <alignment vertical="center"/>
    </xf>
    <xf numFmtId="0" fontId="1" fillId="0" borderId="0" xfId="2"/>
    <xf numFmtId="0" fontId="1" fillId="0" borderId="14" xfId="2" applyFont="1" applyFill="1" applyBorder="1" applyAlignment="1"/>
    <xf numFmtId="43" fontId="1" fillId="0" borderId="14" xfId="2" applyNumberFormat="1" applyFont="1" applyFill="1" applyBorder="1" applyAlignment="1"/>
    <xf numFmtId="0" fontId="1" fillId="4" borderId="15" xfId="2" applyFont="1" applyFill="1" applyBorder="1" applyAlignment="1">
      <alignment horizontal="center" vertical="center" textRotation="90"/>
    </xf>
    <xf numFmtId="0" fontId="1" fillId="4" borderId="0" xfId="2" applyFont="1" applyFill="1"/>
    <xf numFmtId="44" fontId="3" fillId="4" borderId="6" xfId="2" applyNumberFormat="1" applyFont="1" applyFill="1" applyBorder="1" applyAlignment="1">
      <alignment horizontal="center" textRotation="90"/>
    </xf>
    <xf numFmtId="44" fontId="3" fillId="10" borderId="6" xfId="2" applyNumberFormat="1" applyFont="1" applyFill="1" applyBorder="1" applyAlignment="1">
      <alignment horizontal="center" textRotation="90"/>
    </xf>
    <xf numFmtId="44" fontId="3" fillId="11" borderId="6" xfId="2" applyNumberFormat="1" applyFont="1" applyFill="1" applyBorder="1" applyAlignment="1">
      <alignment horizontal="center" textRotation="90"/>
    </xf>
    <xf numFmtId="44" fontId="3" fillId="9" borderId="6" xfId="2" applyNumberFormat="1" applyFont="1" applyFill="1" applyBorder="1" applyAlignment="1">
      <alignment horizontal="center" textRotation="90"/>
    </xf>
    <xf numFmtId="44" fontId="3" fillId="12" borderId="6" xfId="2" applyNumberFormat="1" applyFont="1" applyFill="1" applyBorder="1" applyAlignment="1">
      <alignment horizontal="center" textRotation="90"/>
    </xf>
    <xf numFmtId="44" fontId="3" fillId="13" borderId="6" xfId="2" applyNumberFormat="1" applyFont="1" applyFill="1" applyBorder="1" applyAlignment="1">
      <alignment horizontal="center" textRotation="90"/>
    </xf>
    <xf numFmtId="44" fontId="3" fillId="14" borderId="6" xfId="2" applyNumberFormat="1" applyFont="1" applyFill="1" applyBorder="1" applyAlignment="1">
      <alignment horizontal="center" textRotation="90"/>
    </xf>
    <xf numFmtId="44" fontId="3" fillId="15" borderId="6" xfId="2" applyNumberFormat="1" applyFont="1" applyFill="1" applyBorder="1" applyAlignment="1">
      <alignment horizontal="center" textRotation="90"/>
    </xf>
    <xf numFmtId="44" fontId="3" fillId="16" borderId="6" xfId="2" applyNumberFormat="1" applyFont="1" applyFill="1" applyBorder="1" applyAlignment="1">
      <alignment horizontal="center" textRotation="90"/>
    </xf>
    <xf numFmtId="44" fontId="1" fillId="2" borderId="0" xfId="2" applyNumberFormat="1" applyFill="1"/>
    <xf numFmtId="16" fontId="3" fillId="5" borderId="16" xfId="2" applyNumberFormat="1" applyFont="1" applyFill="1" applyBorder="1" applyAlignment="1">
      <alignment horizontal="center" vertical="center"/>
    </xf>
    <xf numFmtId="0" fontId="3" fillId="0" borderId="6" xfId="2" applyFont="1" applyFill="1" applyBorder="1" applyAlignment="1">
      <alignment vertical="center"/>
    </xf>
    <xf numFmtId="0" fontId="3" fillId="0" borderId="6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0" fontId="1" fillId="5" borderId="0" xfId="2" applyFont="1" applyFill="1"/>
    <xf numFmtId="0" fontId="1" fillId="4" borderId="17" xfId="2" applyFont="1" applyFill="1" applyBorder="1" applyAlignment="1">
      <alignment horizontal="center" vertical="center" textRotation="90"/>
    </xf>
    <xf numFmtId="16" fontId="3" fillId="5" borderId="17" xfId="2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9" xfId="2" applyFont="1" applyFill="1" applyBorder="1"/>
    <xf numFmtId="0" fontId="1" fillId="0" borderId="0" xfId="0" applyFont="1" applyBorder="1"/>
    <xf numFmtId="0" fontId="0" fillId="0" borderId="0" xfId="0" applyBorder="1"/>
    <xf numFmtId="0" fontId="3" fillId="0" borderId="0" xfId="0" applyFont="1"/>
    <xf numFmtId="167" fontId="0" fillId="0" borderId="0" xfId="0" applyNumberFormat="1"/>
    <xf numFmtId="167" fontId="1" fillId="4" borderId="6" xfId="2" applyNumberFormat="1" applyFont="1" applyFill="1" applyBorder="1" applyAlignment="1">
      <alignment horizontal="center" vertical="center" wrapText="1"/>
    </xf>
    <xf numFmtId="4" fontId="1" fillId="2" borderId="6" xfId="2" applyNumberFormat="1" applyFill="1" applyBorder="1"/>
    <xf numFmtId="0" fontId="0" fillId="0" borderId="6" xfId="0" applyBorder="1"/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" fontId="3" fillId="0" borderId="18" xfId="2" applyNumberFormat="1" applyFont="1" applyFill="1" applyBorder="1" applyAlignment="1">
      <alignment horizontal="center" vertical="center"/>
    </xf>
    <xf numFmtId="16" fontId="3" fillId="0" borderId="19" xfId="2" applyNumberFormat="1" applyFont="1" applyFill="1" applyBorder="1" applyAlignment="1">
      <alignment horizontal="center" vertical="center"/>
    </xf>
    <xf numFmtId="0" fontId="3" fillId="0" borderId="5" xfId="2" applyFont="1" applyFill="1" applyBorder="1" applyAlignment="1">
      <alignment vertical="center"/>
    </xf>
    <xf numFmtId="0" fontId="0" fillId="0" borderId="11" xfId="0" applyFill="1" applyBorder="1"/>
    <xf numFmtId="0" fontId="0" fillId="0" borderId="0" xfId="0" applyFill="1"/>
    <xf numFmtId="167" fontId="6" fillId="4" borderId="6" xfId="2" applyNumberFormat="1" applyFont="1" applyFill="1" applyBorder="1" applyAlignment="1">
      <alignment horizontal="center" vertical="center" wrapText="1"/>
    </xf>
    <xf numFmtId="167" fontId="1" fillId="4" borderId="6" xfId="2" applyNumberFormat="1" applyFont="1" applyFill="1" applyBorder="1" applyAlignment="1">
      <alignment vertical="center" wrapText="1"/>
    </xf>
    <xf numFmtId="0" fontId="0" fillId="0" borderId="1" xfId="0" applyBorder="1"/>
    <xf numFmtId="0" fontId="6" fillId="4" borderId="17" xfId="2" applyFont="1" applyFill="1" applyBorder="1" applyAlignment="1">
      <alignment vertical="center" wrapText="1"/>
    </xf>
    <xf numFmtId="0" fontId="6" fillId="4" borderId="6" xfId="2" applyFont="1" applyFill="1" applyBorder="1" applyAlignment="1">
      <alignment vertical="center" wrapText="1"/>
    </xf>
    <xf numFmtId="0" fontId="1" fillId="4" borderId="20" xfId="2" applyFont="1" applyFill="1" applyBorder="1" applyAlignment="1">
      <alignment horizontal="center" vertical="center" wrapText="1"/>
    </xf>
    <xf numFmtId="44" fontId="1" fillId="6" borderId="2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 vertical="center" wrapText="1"/>
    </xf>
    <xf numFmtId="2" fontId="1" fillId="0" borderId="0" xfId="2" applyNumberFormat="1" applyFont="1" applyFill="1" applyBorder="1" applyAlignment="1">
      <alignment vertical="center" wrapText="1"/>
    </xf>
    <xf numFmtId="0" fontId="1" fillId="0" borderId="0" xfId="2" applyFont="1" applyFill="1" applyBorder="1" applyAlignment="1">
      <alignment horizontal="center" vertical="center" wrapText="1"/>
    </xf>
    <xf numFmtId="44" fontId="1" fillId="0" borderId="0" xfId="2" applyNumberFormat="1" applyFont="1" applyFill="1" applyBorder="1" applyAlignment="1">
      <alignment horizontal="center"/>
    </xf>
    <xf numFmtId="166" fontId="1" fillId="0" borderId="0" xfId="2" applyNumberFormat="1" applyFont="1" applyFill="1" applyBorder="1" applyAlignment="1">
      <alignment horizontal="right" vertical="center" wrapText="1"/>
    </xf>
    <xf numFmtId="0" fontId="0" fillId="0" borderId="0" xfId="0" applyFill="1" applyBorder="1"/>
    <xf numFmtId="164" fontId="0" fillId="0" borderId="0" xfId="0" applyNumberFormat="1"/>
    <xf numFmtId="15" fontId="1" fillId="0" borderId="6" xfId="2" applyNumberFormat="1" applyFont="1" applyFill="1" applyBorder="1" applyAlignment="1">
      <alignment horizontal="center" vertical="center"/>
    </xf>
    <xf numFmtId="15" fontId="1" fillId="0" borderId="5" xfId="2" applyNumberFormat="1" applyFont="1" applyFill="1" applyBorder="1" applyAlignment="1">
      <alignment horizontal="center" vertical="center"/>
    </xf>
    <xf numFmtId="15" fontId="1" fillId="5" borderId="0" xfId="2" applyNumberFormat="1" applyFont="1" applyFill="1" applyBorder="1" applyAlignment="1">
      <alignment horizontal="center" vertical="center"/>
    </xf>
    <xf numFmtId="0" fontId="5" fillId="5" borderId="6" xfId="2" applyFont="1" applyFill="1" applyBorder="1" applyAlignment="1">
      <alignment vertical="center"/>
    </xf>
    <xf numFmtId="4" fontId="5" fillId="5" borderId="6" xfId="2" applyNumberFormat="1" applyFont="1" applyFill="1" applyBorder="1" applyAlignment="1">
      <alignment horizontal="right" vertical="center" wrapText="1"/>
    </xf>
    <xf numFmtId="0" fontId="0" fillId="5" borderId="0" xfId="0" applyFill="1"/>
    <xf numFmtId="0" fontId="2" fillId="17" borderId="6" xfId="2" applyFont="1" applyFill="1" applyBorder="1" applyAlignment="1">
      <alignment textRotation="90"/>
    </xf>
    <xf numFmtId="44" fontId="3" fillId="17" borderId="6" xfId="2" applyNumberFormat="1" applyFont="1" applyFill="1" applyBorder="1" applyAlignment="1">
      <alignment horizontal="center" textRotation="90"/>
    </xf>
    <xf numFmtId="0" fontId="2" fillId="18" borderId="6" xfId="2" applyFont="1" applyFill="1" applyBorder="1" applyAlignment="1">
      <alignment textRotation="90"/>
    </xf>
    <xf numFmtId="0" fontId="1" fillId="18" borderId="6" xfId="2" applyFont="1" applyFill="1" applyBorder="1" applyAlignment="1">
      <alignment textRotation="90"/>
    </xf>
    <xf numFmtId="0" fontId="1" fillId="18" borderId="6" xfId="2" applyFont="1" applyFill="1" applyBorder="1" applyAlignment="1">
      <alignment horizontal="center" vertical="center" textRotation="90" wrapText="1"/>
    </xf>
    <xf numFmtId="44" fontId="3" fillId="18" borderId="6" xfId="2" applyNumberFormat="1" applyFont="1" applyFill="1" applyBorder="1" applyAlignment="1">
      <alignment horizontal="center" textRotation="90"/>
    </xf>
    <xf numFmtId="43" fontId="1" fillId="0" borderId="6" xfId="2" applyNumberFormat="1" applyFill="1" applyBorder="1"/>
    <xf numFmtId="14" fontId="1" fillId="0" borderId="6" xfId="0" applyNumberFormat="1" applyFont="1" applyBorder="1"/>
    <xf numFmtId="0" fontId="1" fillId="0" borderId="6" xfId="0" applyFont="1" applyBorder="1"/>
    <xf numFmtId="44" fontId="1" fillId="0" borderId="0" xfId="2" applyNumberFormat="1" applyFill="1"/>
    <xf numFmtId="167" fontId="1" fillId="0" borderId="0" xfId="2" applyNumberFormat="1" applyFill="1"/>
    <xf numFmtId="168" fontId="0" fillId="0" borderId="0" xfId="0" applyNumberFormat="1"/>
    <xf numFmtId="168" fontId="1" fillId="0" borderId="0" xfId="2" applyNumberFormat="1" applyFill="1"/>
    <xf numFmtId="168" fontId="1" fillId="4" borderId="6" xfId="2" applyNumberFormat="1" applyFont="1" applyFill="1" applyBorder="1" applyAlignment="1">
      <alignment horizontal="center" vertical="center" wrapText="1"/>
    </xf>
    <xf numFmtId="168" fontId="1" fillId="2" borderId="0" xfId="2" applyNumberFormat="1" applyFill="1"/>
    <xf numFmtId="43" fontId="1" fillId="0" borderId="1" xfId="2" applyNumberFormat="1" applyFill="1" applyBorder="1"/>
    <xf numFmtId="168" fontId="0" fillId="0" borderId="0" xfId="0" applyNumberFormat="1" applyBorder="1"/>
    <xf numFmtId="168" fontId="1" fillId="0" borderId="14" xfId="0" applyNumberFormat="1" applyFont="1" applyBorder="1"/>
    <xf numFmtId="14" fontId="1" fillId="0" borderId="14" xfId="0" applyNumberFormat="1" applyFont="1" applyBorder="1"/>
    <xf numFmtId="164" fontId="0" fillId="0" borderId="6" xfId="0" applyNumberFormat="1" applyBorder="1"/>
    <xf numFmtId="169" fontId="0" fillId="0" borderId="0" xfId="0" applyNumberFormat="1"/>
    <xf numFmtId="169" fontId="1" fillId="4" borderId="6" xfId="2" applyNumberFormat="1" applyFont="1" applyFill="1" applyBorder="1" applyAlignment="1">
      <alignment horizontal="center" vertical="center" wrapText="1"/>
    </xf>
    <xf numFmtId="169" fontId="1" fillId="6" borderId="6" xfId="2" applyNumberFormat="1" applyFont="1" applyFill="1" applyBorder="1" applyAlignment="1">
      <alignment horizontal="center"/>
    </xf>
    <xf numFmtId="169" fontId="0" fillId="0" borderId="6" xfId="0" applyNumberFormat="1" applyBorder="1"/>
    <xf numFmtId="15" fontId="1" fillId="0" borderId="1" xfId="2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5" fontId="1" fillId="0" borderId="8" xfId="2" applyNumberFormat="1" applyFont="1" applyFill="1" applyBorder="1" applyAlignment="1">
      <alignment horizontal="center" vertical="center"/>
    </xf>
    <xf numFmtId="0" fontId="0" fillId="0" borderId="8" xfId="0" applyBorder="1"/>
    <xf numFmtId="164" fontId="0" fillId="0" borderId="8" xfId="0" applyNumberFormat="1" applyBorder="1"/>
    <xf numFmtId="169" fontId="1" fillId="0" borderId="0" xfId="0" applyNumberFormat="1" applyFont="1"/>
    <xf numFmtId="169" fontId="0" fillId="0" borderId="1" xfId="0" applyNumberFormat="1" applyBorder="1"/>
    <xf numFmtId="169" fontId="0" fillId="0" borderId="8" xfId="0" applyNumberFormat="1" applyBorder="1"/>
    <xf numFmtId="15" fontId="0" fillId="0" borderId="8" xfId="0" applyNumberFormat="1" applyBorder="1"/>
    <xf numFmtId="0" fontId="0" fillId="19" borderId="6" xfId="0" applyFill="1" applyBorder="1" applyAlignment="1">
      <alignment horizontal="center"/>
    </xf>
    <xf numFmtId="14" fontId="0" fillId="0" borderId="6" xfId="0" applyNumberFormat="1" applyBorder="1"/>
    <xf numFmtId="167" fontId="0" fillId="0" borderId="6" xfId="0" applyNumberFormat="1" applyBorder="1"/>
    <xf numFmtId="167" fontId="0" fillId="0" borderId="1" xfId="0" applyNumberFormat="1" applyBorder="1"/>
    <xf numFmtId="0" fontId="1" fillId="0" borderId="1" xfId="0" applyFont="1" applyBorder="1"/>
    <xf numFmtId="14" fontId="0" fillId="0" borderId="21" xfId="0" applyNumberFormat="1" applyBorder="1"/>
    <xf numFmtId="14" fontId="0" fillId="0" borderId="20" xfId="0" applyNumberFormat="1" applyBorder="1"/>
    <xf numFmtId="167" fontId="0" fillId="0" borderId="2" xfId="0" applyNumberFormat="1" applyBorder="1"/>
    <xf numFmtId="167" fontId="0" fillId="0" borderId="17" xfId="0" applyNumberFormat="1" applyBorder="1"/>
    <xf numFmtId="167" fontId="1" fillId="0" borderId="6" xfId="0" applyNumberFormat="1" applyFont="1" applyBorder="1"/>
    <xf numFmtId="167" fontId="1" fillId="0" borderId="1" xfId="0" applyNumberFormat="1" applyFont="1" applyBorder="1"/>
    <xf numFmtId="14" fontId="0" fillId="0" borderId="8" xfId="0" applyNumberFormat="1" applyBorder="1"/>
    <xf numFmtId="167" fontId="0" fillId="0" borderId="8" xfId="0" applyNumberFormat="1" applyBorder="1"/>
    <xf numFmtId="14" fontId="0" fillId="0" borderId="22" xfId="0" applyNumberFormat="1" applyBorder="1"/>
    <xf numFmtId="0" fontId="1" fillId="0" borderId="8" xfId="0" applyFont="1" applyBorder="1"/>
    <xf numFmtId="0" fontId="5" fillId="0" borderId="0" xfId="2" applyFont="1"/>
    <xf numFmtId="170" fontId="0" fillId="0" borderId="6" xfId="0" applyNumberFormat="1" applyBorder="1"/>
    <xf numFmtId="14" fontId="0" fillId="0" borderId="1" xfId="0" applyNumberFormat="1" applyBorder="1"/>
    <xf numFmtId="43" fontId="1" fillId="0" borderId="8" xfId="2" applyNumberFormat="1" applyFill="1" applyBorder="1"/>
    <xf numFmtId="44" fontId="1" fillId="2" borderId="23" xfId="2" applyNumberFormat="1" applyFill="1" applyBorder="1"/>
    <xf numFmtId="0" fontId="8" fillId="0" borderId="0" xfId="0" applyFont="1" applyBorder="1"/>
    <xf numFmtId="0" fontId="4" fillId="0" borderId="0" xfId="0" applyFont="1" applyBorder="1"/>
    <xf numFmtId="0" fontId="1" fillId="0" borderId="0" xfId="2" applyFont="1" applyFill="1" applyBorder="1" applyAlignment="1"/>
    <xf numFmtId="43" fontId="1" fillId="0" borderId="0" xfId="2" applyNumberFormat="1" applyFont="1" applyFill="1" applyBorder="1" applyAlignment="1"/>
    <xf numFmtId="0" fontId="0" fillId="19" borderId="6" xfId="0" applyFill="1" applyBorder="1" applyAlignment="1">
      <alignment horizontal="center" wrapText="1"/>
    </xf>
    <xf numFmtId="166" fontId="1" fillId="7" borderId="21" xfId="2" applyNumberFormat="1" applyFont="1" applyFill="1" applyBorder="1" applyAlignment="1">
      <alignment horizontal="right" vertical="center" wrapText="1"/>
    </xf>
    <xf numFmtId="169" fontId="1" fillId="0" borderId="3" xfId="2" applyNumberFormat="1" applyFill="1" applyBorder="1"/>
    <xf numFmtId="169" fontId="1" fillId="0" borderId="3" xfId="2" applyNumberFormat="1" applyBorder="1"/>
    <xf numFmtId="170" fontId="0" fillId="0" borderId="23" xfId="0" applyNumberFormat="1" applyBorder="1"/>
    <xf numFmtId="170" fontId="1" fillId="0" borderId="23" xfId="2" applyNumberFormat="1" applyFill="1" applyBorder="1"/>
    <xf numFmtId="170" fontId="1" fillId="2" borderId="23" xfId="2" applyNumberFormat="1" applyFill="1" applyBorder="1"/>
    <xf numFmtId="170" fontId="1" fillId="0" borderId="23" xfId="2" applyNumberFormat="1" applyBorder="1"/>
    <xf numFmtId="16" fontId="3" fillId="5" borderId="2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vertical="center"/>
    </xf>
    <xf numFmtId="0" fontId="3" fillId="0" borderId="1" xfId="2" applyFont="1" applyFill="1" applyBorder="1" applyAlignment="1">
      <alignment horizontal="right" vertical="center"/>
    </xf>
    <xf numFmtId="16" fontId="3" fillId="5" borderId="25" xfId="2" applyNumberFormat="1" applyFont="1" applyFill="1" applyBorder="1" applyAlignment="1">
      <alignment horizontal="center" vertical="center"/>
    </xf>
    <xf numFmtId="16" fontId="3" fillId="5" borderId="26" xfId="2" applyNumberFormat="1" applyFont="1" applyFill="1" applyBorder="1" applyAlignment="1">
      <alignment horizontal="center" vertical="center"/>
    </xf>
    <xf numFmtId="0" fontId="3" fillId="0" borderId="8" xfId="2" applyFont="1" applyFill="1" applyBorder="1" applyAlignment="1">
      <alignment vertical="center"/>
    </xf>
    <xf numFmtId="0" fontId="3" fillId="0" borderId="8" xfId="2" applyFont="1" applyFill="1" applyBorder="1" applyAlignment="1">
      <alignment horizontal="right" vertical="center"/>
    </xf>
    <xf numFmtId="170" fontId="1" fillId="0" borderId="24" xfId="2" applyNumberFormat="1" applyFill="1" applyBorder="1"/>
    <xf numFmtId="170" fontId="1" fillId="4" borderId="17" xfId="2" applyNumberFormat="1" applyFont="1" applyFill="1" applyBorder="1" applyAlignment="1">
      <alignment horizontal="center" vertical="center" wrapText="1"/>
    </xf>
    <xf numFmtId="0" fontId="1" fillId="0" borderId="23" xfId="2" applyFill="1" applyBorder="1"/>
    <xf numFmtId="0" fontId="5" fillId="0" borderId="23" xfId="2" applyFont="1" applyFill="1" applyBorder="1"/>
    <xf numFmtId="0" fontId="1" fillId="0" borderId="24" xfId="2" applyFont="1" applyFill="1" applyBorder="1"/>
    <xf numFmtId="0" fontId="5" fillId="0" borderId="4" xfId="2" applyFont="1" applyBorder="1"/>
    <xf numFmtId="0" fontId="1" fillId="0" borderId="4" xfId="2" applyBorder="1"/>
    <xf numFmtId="16" fontId="3" fillId="5" borderId="6" xfId="2" applyNumberFormat="1" applyFont="1" applyFill="1" applyBorder="1" applyAlignment="1">
      <alignment horizontal="center" vertical="center"/>
    </xf>
    <xf numFmtId="16" fontId="3" fillId="5" borderId="1" xfId="2" applyNumberFormat="1" applyFont="1" applyFill="1" applyBorder="1" applyAlignment="1">
      <alignment horizontal="center" vertical="center"/>
    </xf>
    <xf numFmtId="0" fontId="1" fillId="5" borderId="3" xfId="2" applyFont="1" applyFill="1" applyBorder="1"/>
    <xf numFmtId="169" fontId="0" fillId="0" borderId="0" xfId="0" applyNumberFormat="1" applyBorder="1"/>
    <xf numFmtId="169" fontId="1" fillId="0" borderId="0" xfId="2" applyNumberFormat="1" applyFill="1" applyBorder="1"/>
    <xf numFmtId="0" fontId="1" fillId="4" borderId="2" xfId="2" applyFont="1" applyFill="1" applyBorder="1" applyAlignment="1">
      <alignment horizontal="center" vertical="center" wrapText="1"/>
    </xf>
    <xf numFmtId="0" fontId="1" fillId="4" borderId="27" xfId="2" applyFont="1" applyFill="1" applyBorder="1" applyAlignment="1">
      <alignment horizontal="center" vertical="center" textRotation="90"/>
    </xf>
    <xf numFmtId="0" fontId="1" fillId="4" borderId="28" xfId="2" applyFont="1" applyFill="1" applyBorder="1" applyAlignment="1">
      <alignment horizontal="center" vertical="center" textRotation="90"/>
    </xf>
    <xf numFmtId="0" fontId="2" fillId="4" borderId="12" xfId="2" applyFont="1" applyFill="1" applyBorder="1" applyAlignment="1">
      <alignment textRotation="90"/>
    </xf>
    <xf numFmtId="0" fontId="1" fillId="4" borderId="12" xfId="2" applyFont="1" applyFill="1" applyBorder="1" applyAlignment="1">
      <alignment textRotation="90"/>
    </xf>
    <xf numFmtId="0" fontId="1" fillId="4" borderId="12" xfId="2" applyFont="1" applyFill="1" applyBorder="1" applyAlignment="1">
      <alignment textRotation="90" wrapText="1"/>
    </xf>
    <xf numFmtId="0" fontId="2" fillId="10" borderId="12" xfId="2" applyFont="1" applyFill="1" applyBorder="1" applyAlignment="1">
      <alignment textRotation="90" wrapText="1"/>
    </xf>
    <xf numFmtId="0" fontId="1" fillId="10" borderId="12" xfId="2" applyFont="1" applyFill="1" applyBorder="1" applyAlignment="1">
      <alignment textRotation="90"/>
    </xf>
    <xf numFmtId="0" fontId="1" fillId="10" borderId="12" xfId="2" applyFont="1" applyFill="1" applyBorder="1" applyAlignment="1">
      <alignment textRotation="90" wrapText="1"/>
    </xf>
    <xf numFmtId="0" fontId="2" fillId="11" borderId="12" xfId="2" applyFont="1" applyFill="1" applyBorder="1" applyAlignment="1">
      <alignment textRotation="90"/>
    </xf>
    <xf numFmtId="0" fontId="1" fillId="11" borderId="12" xfId="2" applyFont="1" applyFill="1" applyBorder="1" applyAlignment="1">
      <alignment textRotation="90"/>
    </xf>
    <xf numFmtId="0" fontId="2" fillId="9" borderId="12" xfId="2" applyFont="1" applyFill="1" applyBorder="1" applyAlignment="1">
      <alignment textRotation="90"/>
    </xf>
    <xf numFmtId="0" fontId="1" fillId="9" borderId="12" xfId="2" applyFont="1" applyFill="1" applyBorder="1" applyAlignment="1">
      <alignment textRotation="90"/>
    </xf>
    <xf numFmtId="0" fontId="2" fillId="12" borderId="12" xfId="2" applyFont="1" applyFill="1" applyBorder="1" applyAlignment="1">
      <alignment textRotation="90"/>
    </xf>
    <xf numFmtId="0" fontId="1" fillId="12" borderId="12" xfId="2" applyFont="1" applyFill="1" applyBorder="1" applyAlignment="1">
      <alignment textRotation="90"/>
    </xf>
    <xf numFmtId="0" fontId="2" fillId="13" borderId="12" xfId="2" applyFont="1" applyFill="1" applyBorder="1" applyAlignment="1">
      <alignment textRotation="90"/>
    </xf>
    <xf numFmtId="0" fontId="1" fillId="13" borderId="12" xfId="2" applyFont="1" applyFill="1" applyBorder="1" applyAlignment="1">
      <alignment textRotation="90"/>
    </xf>
    <xf numFmtId="0" fontId="2" fillId="14" borderId="12" xfId="2" applyFont="1" applyFill="1" applyBorder="1" applyAlignment="1">
      <alignment textRotation="90"/>
    </xf>
    <xf numFmtId="0" fontId="1" fillId="14" borderId="12" xfId="2" applyFont="1" applyFill="1" applyBorder="1" applyAlignment="1">
      <alignment textRotation="90"/>
    </xf>
    <xf numFmtId="0" fontId="2" fillId="15" borderId="12" xfId="2" applyFont="1" applyFill="1" applyBorder="1" applyAlignment="1">
      <alignment textRotation="90"/>
    </xf>
    <xf numFmtId="0" fontId="1" fillId="15" borderId="12" xfId="2" applyFont="1" applyFill="1" applyBorder="1" applyAlignment="1">
      <alignment textRotation="90"/>
    </xf>
    <xf numFmtId="0" fontId="1" fillId="16" borderId="12" xfId="2" applyFont="1" applyFill="1" applyBorder="1" applyAlignment="1">
      <alignment horizontal="center" vertical="center" textRotation="90" wrapText="1"/>
    </xf>
    <xf numFmtId="2" fontId="1" fillId="4" borderId="29" xfId="2" applyNumberFormat="1" applyFont="1" applyFill="1" applyBorder="1" applyAlignment="1">
      <alignment vertical="center" wrapText="1"/>
    </xf>
    <xf numFmtId="169" fontId="1" fillId="4" borderId="30" xfId="2" applyNumberFormat="1" applyFont="1" applyFill="1" applyBorder="1" applyAlignment="1">
      <alignment horizontal="center" vertical="center" wrapText="1"/>
    </xf>
    <xf numFmtId="0" fontId="1" fillId="4" borderId="16" xfId="2" applyFont="1" applyFill="1" applyBorder="1" applyAlignment="1">
      <alignment horizontal="center" vertical="center" textRotation="90"/>
    </xf>
    <xf numFmtId="169" fontId="1" fillId="2" borderId="31" xfId="2" applyNumberFormat="1" applyFill="1" applyBorder="1"/>
    <xf numFmtId="169" fontId="1" fillId="0" borderId="31" xfId="2" applyNumberFormat="1" applyFill="1" applyBorder="1"/>
    <xf numFmtId="169" fontId="5" fillId="0" borderId="31" xfId="2" applyNumberFormat="1" applyFont="1" applyFill="1" applyBorder="1"/>
    <xf numFmtId="169" fontId="1" fillId="0" borderId="32" xfId="2" applyNumberFormat="1" applyFill="1" applyBorder="1"/>
    <xf numFmtId="0" fontId="0" fillId="0" borderId="10" xfId="0" applyBorder="1"/>
    <xf numFmtId="168" fontId="1" fillId="0" borderId="9" xfId="0" applyNumberFormat="1" applyFont="1" applyBorder="1"/>
    <xf numFmtId="14" fontId="1" fillId="0" borderId="9" xfId="0" applyNumberFormat="1" applyFont="1" applyBorder="1"/>
    <xf numFmtId="0" fontId="0" fillId="0" borderId="33" xfId="0" applyBorder="1"/>
    <xf numFmtId="170" fontId="0" fillId="0" borderId="1" xfId="0" applyNumberFormat="1" applyBorder="1"/>
    <xf numFmtId="170" fontId="0" fillId="0" borderId="8" xfId="0" applyNumberFormat="1" applyBorder="1"/>
    <xf numFmtId="14" fontId="0" fillId="0" borderId="9" xfId="0" applyNumberFormat="1" applyBorder="1"/>
    <xf numFmtId="14" fontId="0" fillId="0" borderId="0" xfId="0" applyNumberFormat="1" applyBorder="1"/>
    <xf numFmtId="16" fontId="3" fillId="5" borderId="8" xfId="2" applyNumberFormat="1" applyFont="1" applyFill="1" applyBorder="1" applyAlignment="1">
      <alignment horizontal="center" vertical="center"/>
    </xf>
    <xf numFmtId="169" fontId="1" fillId="0" borderId="13" xfId="2" applyNumberFormat="1" applyFill="1" applyBorder="1"/>
    <xf numFmtId="0" fontId="0" fillId="0" borderId="9" xfId="0" applyBorder="1"/>
    <xf numFmtId="169" fontId="1" fillId="0" borderId="4" xfId="2" applyNumberFormat="1" applyFill="1" applyBorder="1"/>
    <xf numFmtId="169" fontId="1" fillId="0" borderId="4" xfId="2" applyNumberFormat="1" applyFont="1" applyFill="1" applyBorder="1"/>
    <xf numFmtId="169" fontId="1" fillId="0" borderId="10" xfId="2" applyNumberFormat="1" applyFill="1" applyBorder="1"/>
    <xf numFmtId="169" fontId="1" fillId="3" borderId="0" xfId="2" applyNumberFormat="1" applyFill="1"/>
    <xf numFmtId="169" fontId="2" fillId="0" borderId="0" xfId="0" applyNumberFormat="1" applyFont="1" applyAlignment="1">
      <alignment horizontal="right"/>
    </xf>
    <xf numFmtId="15" fontId="1" fillId="5" borderId="33" xfId="2" applyNumberFormat="1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vertical="center"/>
    </xf>
    <xf numFmtId="4" fontId="1" fillId="0" borderId="33" xfId="2" applyNumberFormat="1" applyFont="1" applyFill="1" applyBorder="1" applyAlignment="1">
      <alignment horizontal="right" vertical="center" wrapText="1"/>
    </xf>
    <xf numFmtId="0" fontId="1" fillId="0" borderId="34" xfId="2" applyFill="1" applyBorder="1"/>
    <xf numFmtId="169" fontId="1" fillId="0" borderId="10" xfId="2" applyNumberFormat="1" applyFont="1" applyFill="1" applyBorder="1"/>
    <xf numFmtId="169" fontId="5" fillId="0" borderId="4" xfId="2" applyNumberFormat="1" applyFont="1" applyFill="1" applyBorder="1"/>
    <xf numFmtId="169" fontId="1" fillId="0" borderId="33" xfId="2" applyNumberFormat="1" applyFill="1" applyBorder="1"/>
    <xf numFmtId="0" fontId="1" fillId="0" borderId="34" xfId="0" applyFont="1" applyBorder="1"/>
    <xf numFmtId="16" fontId="0" fillId="0" borderId="6" xfId="0" applyNumberFormat="1" applyBorder="1"/>
    <xf numFmtId="0" fontId="1" fillId="0" borderId="10" xfId="0" applyFont="1" applyBorder="1"/>
    <xf numFmtId="170" fontId="0" fillId="0" borderId="10" xfId="0" applyNumberFormat="1" applyBorder="1"/>
    <xf numFmtId="167" fontId="1" fillId="7" borderId="1" xfId="2" applyNumberFormat="1" applyFont="1" applyFill="1" applyBorder="1" applyAlignment="1">
      <alignment horizontal="right" vertical="center" wrapText="1"/>
    </xf>
    <xf numFmtId="167" fontId="1" fillId="0" borderId="6" xfId="2" applyNumberFormat="1" applyFill="1" applyBorder="1"/>
    <xf numFmtId="167" fontId="1" fillId="0" borderId="10" xfId="2" applyNumberFormat="1" applyFill="1" applyBorder="1"/>
    <xf numFmtId="167" fontId="1" fillId="0" borderId="33" xfId="2" applyNumberFormat="1" applyFill="1" applyBorder="1"/>
    <xf numFmtId="167" fontId="1" fillId="0" borderId="1" xfId="2" applyNumberFormat="1" applyFill="1" applyBorder="1"/>
    <xf numFmtId="167" fontId="1" fillId="0" borderId="8" xfId="2" applyNumberFormat="1" applyFill="1" applyBorder="1"/>
    <xf numFmtId="169" fontId="1" fillId="0" borderId="0" xfId="2" applyNumberFormat="1" applyFill="1"/>
    <xf numFmtId="169" fontId="1" fillId="2" borderId="0" xfId="2" applyNumberFormat="1" applyFill="1"/>
    <xf numFmtId="169" fontId="0" fillId="0" borderId="14" xfId="0" applyNumberFormat="1" applyBorder="1"/>
    <xf numFmtId="169" fontId="0" fillId="0" borderId="9" xfId="0" applyNumberFormat="1" applyBorder="1"/>
    <xf numFmtId="169" fontId="0" fillId="0" borderId="34" xfId="0" applyNumberFormat="1" applyBorder="1"/>
    <xf numFmtId="0" fontId="1" fillId="0" borderId="10" xfId="2" applyFill="1" applyBorder="1"/>
    <xf numFmtId="171" fontId="0" fillId="0" borderId="10" xfId="0" applyNumberFormat="1" applyBorder="1"/>
    <xf numFmtId="168" fontId="0" fillId="0" borderId="34" xfId="0" applyNumberFormat="1" applyBorder="1"/>
    <xf numFmtId="14" fontId="0" fillId="0" borderId="34" xfId="0" applyNumberFormat="1" applyBorder="1"/>
    <xf numFmtId="43" fontId="1" fillId="0" borderId="0" xfId="2" applyNumberFormat="1" applyFont="1"/>
    <xf numFmtId="171" fontId="0" fillId="0" borderId="6" xfId="0" applyNumberFormat="1" applyBorder="1"/>
    <xf numFmtId="171" fontId="0" fillId="0" borderId="1" xfId="0" applyNumberFormat="1" applyBorder="1"/>
    <xf numFmtId="0" fontId="1" fillId="0" borderId="6" xfId="2" applyFill="1" applyBorder="1"/>
    <xf numFmtId="0" fontId="5" fillId="0" borderId="6" xfId="2" applyFont="1" applyFill="1" applyBorder="1"/>
    <xf numFmtId="0" fontId="5" fillId="0" borderId="6" xfId="0" applyFont="1" applyBorder="1"/>
    <xf numFmtId="167" fontId="1" fillId="0" borderId="6" xfId="2" applyNumberFormat="1" applyFont="1" applyFill="1" applyBorder="1" applyAlignment="1">
      <alignment vertical="center"/>
    </xf>
    <xf numFmtId="167" fontId="1" fillId="0" borderId="1" xfId="2" applyNumberFormat="1" applyFont="1" applyFill="1" applyBorder="1" applyAlignment="1">
      <alignment horizontal="right" vertical="center" wrapText="1"/>
    </xf>
    <xf numFmtId="167" fontId="1" fillId="0" borderId="1" xfId="2" applyNumberFormat="1" applyFont="1" applyFill="1" applyBorder="1" applyAlignment="1">
      <alignment vertical="center"/>
    </xf>
    <xf numFmtId="167" fontId="1" fillId="0" borderId="8" xfId="2" applyNumberFormat="1" applyFont="1" applyFill="1" applyBorder="1" applyAlignment="1">
      <alignment vertical="center"/>
    </xf>
    <xf numFmtId="167" fontId="0" fillId="0" borderId="0" xfId="0" applyNumberFormat="1" applyAlignment="1">
      <alignment horizontal="right"/>
    </xf>
    <xf numFmtId="168" fontId="1" fillId="0" borderId="6" xfId="2" applyNumberFormat="1" applyFont="1" applyFill="1" applyBorder="1" applyAlignment="1">
      <alignment vertical="center"/>
    </xf>
    <xf numFmtId="168" fontId="1" fillId="0" borderId="1" xfId="2" applyNumberFormat="1" applyFont="1" applyFill="1" applyBorder="1" applyAlignment="1">
      <alignment vertical="center"/>
    </xf>
    <xf numFmtId="168" fontId="1" fillId="0" borderId="8" xfId="2" applyNumberFormat="1" applyFont="1" applyFill="1" applyBorder="1" applyAlignment="1">
      <alignment vertical="center"/>
    </xf>
    <xf numFmtId="0" fontId="1" fillId="0" borderId="1" xfId="2" applyFill="1" applyBorder="1"/>
    <xf numFmtId="15" fontId="0" fillId="0" borderId="1" xfId="0" applyNumberFormat="1" applyBorder="1"/>
    <xf numFmtId="167" fontId="1" fillId="0" borderId="8" xfId="2" applyNumberFormat="1" applyFont="1" applyFill="1" applyBorder="1" applyAlignment="1">
      <alignment horizontal="right" vertical="center" wrapText="1"/>
    </xf>
    <xf numFmtId="0" fontId="1" fillId="0" borderId="8" xfId="2" applyFill="1" applyBorder="1"/>
    <xf numFmtId="171" fontId="1" fillId="0" borderId="1" xfId="2" applyNumberFormat="1" applyFont="1" applyFill="1" applyBorder="1" applyAlignment="1">
      <alignment vertical="center"/>
    </xf>
    <xf numFmtId="171" fontId="1" fillId="0" borderId="6" xfId="2" applyNumberFormat="1" applyFont="1" applyFill="1" applyBorder="1" applyAlignment="1">
      <alignment vertical="center"/>
    </xf>
    <xf numFmtId="168" fontId="1" fillId="0" borderId="34" xfId="0" applyNumberFormat="1" applyFont="1" applyBorder="1"/>
    <xf numFmtId="0" fontId="2" fillId="18" borderId="6" xfId="2" applyFont="1" applyFill="1" applyBorder="1" applyAlignment="1">
      <alignment textRotation="90" wrapText="1"/>
    </xf>
    <xf numFmtId="168" fontId="0" fillId="0" borderId="9" xfId="0" applyNumberFormat="1" applyBorder="1"/>
    <xf numFmtId="14" fontId="0" fillId="0" borderId="4" xfId="0" applyNumberFormat="1" applyBorder="1"/>
    <xf numFmtId="0" fontId="1" fillId="0" borderId="4" xfId="0" applyFont="1" applyBorder="1"/>
    <xf numFmtId="0" fontId="0" fillId="0" borderId="4" xfId="0" applyBorder="1"/>
    <xf numFmtId="167" fontId="1" fillId="0" borderId="4" xfId="2" applyNumberFormat="1" applyFill="1" applyBorder="1"/>
    <xf numFmtId="168" fontId="1" fillId="0" borderId="0" xfId="0" applyNumberFormat="1" applyFont="1" applyBorder="1"/>
    <xf numFmtId="0" fontId="3" fillId="0" borderId="0" xfId="2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2" applyFont="1" applyFill="1" applyBorder="1" applyAlignment="1">
      <alignment horizontal="left"/>
    </xf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3" fillId="0" borderId="14" xfId="2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14" xfId="2" applyFont="1" applyFill="1" applyBorder="1" applyAlignment="1">
      <alignment horizontal="left"/>
    </xf>
    <xf numFmtId="0" fontId="0" fillId="0" borderId="14" xfId="0" applyBorder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/>
    <xf numFmtId="15" fontId="0" fillId="5" borderId="6" xfId="2" applyNumberFormat="1" applyFont="1" applyFill="1" applyBorder="1" applyAlignment="1">
      <alignment horizontal="center" vertical="center"/>
    </xf>
    <xf numFmtId="15" fontId="0" fillId="5" borderId="5" xfId="2" applyNumberFormat="1" applyFont="1" applyFill="1" applyBorder="1" applyAlignment="1">
      <alignment horizontal="center" vertical="center"/>
    </xf>
  </cellXfs>
  <cellStyles count="7"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66FFFF"/>
      <color rgb="FFFFFFFF"/>
      <color rgb="FFFFFF66"/>
      <color rgb="FFFFFF99"/>
      <color rgb="FFFFFFCC"/>
      <color rgb="FFD3E092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N39"/>
  <sheetViews>
    <sheetView workbookViewId="0">
      <selection activeCell="E23" sqref="E23"/>
    </sheetView>
  </sheetViews>
  <sheetFormatPr baseColWidth="10" defaultColWidth="8.83203125" defaultRowHeight="12" x14ac:dyDescent="0"/>
  <cols>
    <col min="1" max="1" width="13.5" customWidth="1"/>
    <col min="2" max="2" width="16" customWidth="1"/>
    <col min="3" max="4" width="10" customWidth="1"/>
    <col min="5" max="5" width="12.5" customWidth="1"/>
    <col min="6" max="7" width="10.5" customWidth="1"/>
    <col min="9" max="9" width="12.33203125" customWidth="1"/>
    <col min="10" max="10" width="13.5" customWidth="1"/>
    <col min="11" max="12" width="11.5" customWidth="1"/>
    <col min="13" max="13" width="12.83203125" customWidth="1"/>
    <col min="14" max="14" width="15.83203125" customWidth="1"/>
  </cols>
  <sheetData>
    <row r="1" spans="1:14" s="23" customFormat="1">
      <c r="A1" s="23" t="s">
        <v>586</v>
      </c>
    </row>
    <row r="3" spans="1:14">
      <c r="B3" s="325" t="s">
        <v>421</v>
      </c>
      <c r="C3" s="325"/>
      <c r="D3" s="325"/>
      <c r="E3" s="325"/>
      <c r="F3" s="325"/>
      <c r="G3" s="325"/>
      <c r="H3" s="325"/>
      <c r="I3" s="325"/>
    </row>
    <row r="4" spans="1:14">
      <c r="A4" s="31" t="s">
        <v>422</v>
      </c>
    </row>
    <row r="6" spans="1:14" ht="48.75" customHeight="1">
      <c r="A6" s="9" t="s">
        <v>0</v>
      </c>
      <c r="B6" s="2" t="s">
        <v>137</v>
      </c>
      <c r="C6" s="5" t="s">
        <v>425</v>
      </c>
      <c r="D6" s="5" t="s">
        <v>426</v>
      </c>
      <c r="E6" s="5" t="s">
        <v>213</v>
      </c>
      <c r="F6" s="5" t="s">
        <v>138</v>
      </c>
      <c r="G6" s="5" t="s">
        <v>432</v>
      </c>
      <c r="H6" s="5" t="s">
        <v>431</v>
      </c>
      <c r="I6" s="5" t="s">
        <v>424</v>
      </c>
      <c r="J6" s="5" t="s">
        <v>423</v>
      </c>
      <c r="K6" s="18" t="s">
        <v>22</v>
      </c>
      <c r="L6" s="48" t="s">
        <v>434</v>
      </c>
      <c r="M6" s="2" t="s">
        <v>20</v>
      </c>
      <c r="N6" s="2" t="s">
        <v>19</v>
      </c>
    </row>
    <row r="7" spans="1:14" ht="20">
      <c r="A7" s="19" t="s">
        <v>14</v>
      </c>
      <c r="B7" s="19"/>
      <c r="C7" s="6">
        <v>115</v>
      </c>
      <c r="D7" s="6">
        <v>945</v>
      </c>
      <c r="E7" s="6">
        <v>140</v>
      </c>
      <c r="F7" s="6">
        <v>58</v>
      </c>
      <c r="G7" s="6">
        <v>58</v>
      </c>
      <c r="H7" s="6">
        <v>1.05</v>
      </c>
      <c r="I7" s="6">
        <v>150</v>
      </c>
      <c r="J7" s="6" t="s">
        <v>4</v>
      </c>
      <c r="K7" s="21" t="s">
        <v>4</v>
      </c>
      <c r="L7" s="21"/>
      <c r="M7" s="296"/>
      <c r="N7" s="110"/>
    </row>
    <row r="8" spans="1:14">
      <c r="A8" s="10">
        <v>42640</v>
      </c>
      <c r="B8" s="10" t="s">
        <v>427</v>
      </c>
      <c r="C8" s="304"/>
      <c r="D8" s="304">
        <v>0.5</v>
      </c>
      <c r="E8" s="304"/>
      <c r="F8" s="304">
        <v>1</v>
      </c>
      <c r="G8" s="304"/>
      <c r="H8" s="304">
        <v>113</v>
      </c>
      <c r="I8" s="304">
        <v>1</v>
      </c>
      <c r="J8" s="299">
        <v>113.36</v>
      </c>
      <c r="K8" s="300">
        <f>C8*C7+D8*D7+E8*E7+F8*F7+H8*H7+I8*I7+J8</f>
        <v>912.51</v>
      </c>
      <c r="L8" s="300"/>
      <c r="M8" s="296"/>
      <c r="N8" s="110"/>
    </row>
    <row r="9" spans="1:14">
      <c r="A9" s="10">
        <v>42641</v>
      </c>
      <c r="B9" s="10" t="s">
        <v>427</v>
      </c>
      <c r="C9" s="304"/>
      <c r="D9" s="304">
        <v>1</v>
      </c>
      <c r="E9" s="304"/>
      <c r="F9" s="304">
        <v>1</v>
      </c>
      <c r="G9" s="304"/>
      <c r="H9" s="304"/>
      <c r="I9" s="304">
        <v>1</v>
      </c>
      <c r="J9" s="299">
        <v>113.36</v>
      </c>
      <c r="K9" s="300">
        <f>C9*C7+D9*D7+E9*E7+F9*F7+H9*H7+I9*I7+J9</f>
        <v>1266.3599999999999</v>
      </c>
      <c r="L9" s="300"/>
      <c r="M9" s="296"/>
      <c r="N9" s="110"/>
    </row>
    <row r="10" spans="1:14">
      <c r="A10" s="10">
        <v>42642</v>
      </c>
      <c r="B10" s="10" t="s">
        <v>427</v>
      </c>
      <c r="C10" s="304"/>
      <c r="D10" s="304">
        <v>1</v>
      </c>
      <c r="E10" s="304"/>
      <c r="F10" s="304">
        <v>1</v>
      </c>
      <c r="G10" s="304"/>
      <c r="H10" s="304"/>
      <c r="I10" s="304">
        <v>1</v>
      </c>
      <c r="J10" s="299">
        <v>113.36</v>
      </c>
      <c r="K10" s="300">
        <f>D10*D7+F10*F7+I10*I7+J10</f>
        <v>1266.3599999999999</v>
      </c>
      <c r="L10" s="300"/>
      <c r="M10" s="296"/>
      <c r="N10" s="110"/>
    </row>
    <row r="11" spans="1:14">
      <c r="A11" s="10">
        <v>42643</v>
      </c>
      <c r="B11" s="10" t="s">
        <v>427</v>
      </c>
      <c r="C11" s="304"/>
      <c r="D11" s="304">
        <v>1</v>
      </c>
      <c r="E11" s="304"/>
      <c r="F11" s="304">
        <v>1</v>
      </c>
      <c r="G11" s="304"/>
      <c r="H11" s="304">
        <v>230</v>
      </c>
      <c r="I11" s="304">
        <v>1</v>
      </c>
      <c r="J11" s="299">
        <v>113.36</v>
      </c>
      <c r="K11" s="300">
        <f>D11*D7+F11*F7+H11*H7+I11*I7+J11</f>
        <v>1507.86</v>
      </c>
      <c r="L11" s="300"/>
      <c r="M11" s="296"/>
      <c r="N11" s="110"/>
    </row>
    <row r="12" spans="1:14">
      <c r="A12" s="10" t="s">
        <v>428</v>
      </c>
      <c r="B12" s="10" t="s">
        <v>429</v>
      </c>
      <c r="C12" s="304"/>
      <c r="D12" s="304"/>
      <c r="E12" s="304">
        <v>9</v>
      </c>
      <c r="F12" s="304"/>
      <c r="G12" s="304"/>
      <c r="H12" s="304"/>
      <c r="I12" s="304"/>
      <c r="J12" s="299"/>
      <c r="K12" s="300">
        <f>E12*E7</f>
        <v>1260</v>
      </c>
      <c r="L12" s="300"/>
      <c r="M12" s="296"/>
      <c r="N12" s="110"/>
    </row>
    <row r="13" spans="1:14">
      <c r="A13" s="10" t="s">
        <v>428</v>
      </c>
      <c r="B13" s="10" t="s">
        <v>430</v>
      </c>
      <c r="C13" s="304">
        <v>3</v>
      </c>
      <c r="D13" s="304"/>
      <c r="E13" s="304"/>
      <c r="F13" s="304"/>
      <c r="G13" s="304"/>
      <c r="H13" s="304"/>
      <c r="I13" s="304"/>
      <c r="J13" s="299"/>
      <c r="K13" s="300">
        <f>C13*C7</f>
        <v>345</v>
      </c>
      <c r="L13" s="300"/>
      <c r="M13" s="296"/>
      <c r="N13" s="110"/>
    </row>
    <row r="14" spans="1:14" ht="13" thickBot="1">
      <c r="A14" s="11" t="s">
        <v>428</v>
      </c>
      <c r="B14" s="11" t="s">
        <v>429</v>
      </c>
      <c r="C14" s="306"/>
      <c r="D14" s="306"/>
      <c r="E14" s="306"/>
      <c r="F14" s="306"/>
      <c r="G14" s="306">
        <v>1.5</v>
      </c>
      <c r="H14" s="306"/>
      <c r="I14" s="306"/>
      <c r="J14" s="302"/>
      <c r="K14" s="309">
        <f>G14*G7</f>
        <v>87</v>
      </c>
      <c r="L14" s="309">
        <v>6645.09</v>
      </c>
      <c r="M14" s="310" t="s">
        <v>433</v>
      </c>
      <c r="N14" s="182">
        <v>42665</v>
      </c>
    </row>
    <row r="15" spans="1:14">
      <c r="A15" s="26">
        <v>42646</v>
      </c>
      <c r="B15" s="26" t="s">
        <v>427</v>
      </c>
      <c r="C15" s="305"/>
      <c r="D15" s="311">
        <v>0.5</v>
      </c>
      <c r="E15" s="305"/>
      <c r="F15" s="305">
        <v>1</v>
      </c>
      <c r="G15" s="305"/>
      <c r="H15" s="305">
        <v>113</v>
      </c>
      <c r="I15" s="305">
        <v>1</v>
      </c>
      <c r="J15" s="301">
        <v>113.36</v>
      </c>
      <c r="K15" s="300">
        <f>D15*D7+F7+I7+J15+H15*H7</f>
        <v>912.51</v>
      </c>
      <c r="L15" s="300"/>
      <c r="M15" s="307"/>
      <c r="N15" s="308"/>
    </row>
    <row r="16" spans="1:14">
      <c r="A16" s="26">
        <v>42647</v>
      </c>
      <c r="B16" s="26" t="s">
        <v>427</v>
      </c>
      <c r="C16" s="305"/>
      <c r="D16" s="305">
        <v>1</v>
      </c>
      <c r="E16" s="305"/>
      <c r="F16" s="305">
        <v>1</v>
      </c>
      <c r="G16" s="305"/>
      <c r="H16" s="305"/>
      <c r="I16" s="305">
        <v>1</v>
      </c>
      <c r="J16" s="301">
        <v>134.16</v>
      </c>
      <c r="K16" s="300">
        <f>D7+F7+I7+J16</f>
        <v>1287.1600000000001</v>
      </c>
      <c r="L16" s="300"/>
      <c r="M16" s="297"/>
      <c r="N16" s="298"/>
    </row>
    <row r="17" spans="1:14">
      <c r="A17" s="26">
        <v>42648</v>
      </c>
      <c r="B17" s="26" t="s">
        <v>427</v>
      </c>
      <c r="C17" s="304"/>
      <c r="D17" s="305">
        <v>1</v>
      </c>
      <c r="E17" s="304"/>
      <c r="F17" s="305">
        <v>1</v>
      </c>
      <c r="G17" s="304"/>
      <c r="H17" s="304"/>
      <c r="I17" s="305">
        <v>1</v>
      </c>
      <c r="J17" s="301">
        <v>134.16</v>
      </c>
      <c r="K17" s="300">
        <f>D7+F7+I7+J17</f>
        <v>1287.1600000000001</v>
      </c>
      <c r="L17" s="300"/>
      <c r="M17" s="296"/>
      <c r="N17" s="110"/>
    </row>
    <row r="18" spans="1:14">
      <c r="A18" s="26">
        <v>42649</v>
      </c>
      <c r="B18" s="26" t="s">
        <v>427</v>
      </c>
      <c r="C18" s="305"/>
      <c r="D18" s="305">
        <v>1</v>
      </c>
      <c r="E18" s="305"/>
      <c r="F18" s="305">
        <v>1</v>
      </c>
      <c r="G18" s="305"/>
      <c r="H18" s="305"/>
      <c r="I18" s="305">
        <v>1</v>
      </c>
      <c r="J18" s="301">
        <v>134.16</v>
      </c>
      <c r="K18" s="300">
        <v>1287.1600000000001</v>
      </c>
      <c r="L18" s="300"/>
      <c r="M18" s="297"/>
      <c r="N18" s="298"/>
    </row>
    <row r="19" spans="1:14">
      <c r="A19" s="26">
        <v>42650</v>
      </c>
      <c r="B19" s="26" t="s">
        <v>427</v>
      </c>
      <c r="C19" s="304"/>
      <c r="D19" s="305">
        <v>1</v>
      </c>
      <c r="E19" s="304"/>
      <c r="F19" s="305">
        <v>1</v>
      </c>
      <c r="G19" s="304"/>
      <c r="H19" s="304"/>
      <c r="I19" s="305">
        <v>1</v>
      </c>
      <c r="J19" s="301">
        <v>134.16</v>
      </c>
      <c r="K19" s="300">
        <v>1287.1600000000001</v>
      </c>
      <c r="L19" s="300"/>
      <c r="M19" s="296"/>
      <c r="N19" s="110"/>
    </row>
    <row r="20" spans="1:14">
      <c r="A20" s="26">
        <v>42651</v>
      </c>
      <c r="B20" s="26" t="s">
        <v>427</v>
      </c>
      <c r="C20" s="305"/>
      <c r="D20" s="305">
        <v>1</v>
      </c>
      <c r="E20" s="305"/>
      <c r="F20" s="305">
        <v>1</v>
      </c>
      <c r="G20" s="305"/>
      <c r="H20" s="305">
        <v>10</v>
      </c>
      <c r="I20" s="305">
        <v>1</v>
      </c>
      <c r="J20" s="301">
        <v>134.16</v>
      </c>
      <c r="K20" s="300">
        <v>1297.6600000000001</v>
      </c>
      <c r="L20" s="300"/>
      <c r="M20" s="297"/>
      <c r="N20" s="298"/>
    </row>
    <row r="21" spans="1:14">
      <c r="A21" s="26">
        <v>42652</v>
      </c>
      <c r="B21" s="26" t="s">
        <v>427</v>
      </c>
      <c r="C21" s="304"/>
      <c r="D21" s="305">
        <v>1</v>
      </c>
      <c r="E21" s="304"/>
      <c r="F21" s="305">
        <v>1</v>
      </c>
      <c r="G21" s="304"/>
      <c r="H21" s="304"/>
      <c r="I21" s="305">
        <v>1</v>
      </c>
      <c r="J21" s="301">
        <v>134.16</v>
      </c>
      <c r="K21" s="300">
        <v>1287.1600000000001</v>
      </c>
      <c r="L21" s="300"/>
      <c r="M21" s="296"/>
      <c r="N21" s="110"/>
    </row>
    <row r="22" spans="1:14">
      <c r="A22" s="26">
        <v>42653</v>
      </c>
      <c r="B22" s="26" t="s">
        <v>427</v>
      </c>
      <c r="C22" s="305"/>
      <c r="D22" s="305"/>
      <c r="E22" s="305"/>
      <c r="F22" s="305"/>
      <c r="G22" s="305"/>
      <c r="H22" s="305"/>
      <c r="I22" s="305"/>
      <c r="J22" s="301">
        <v>134.16</v>
      </c>
      <c r="K22" s="300">
        <v>134.16</v>
      </c>
      <c r="L22" s="300"/>
      <c r="M22" s="297"/>
      <c r="N22" s="298"/>
    </row>
    <row r="23" spans="1:14">
      <c r="A23" s="26">
        <v>42654</v>
      </c>
      <c r="B23" s="26" t="s">
        <v>427</v>
      </c>
      <c r="C23" s="304"/>
      <c r="D23" s="305">
        <v>1</v>
      </c>
      <c r="E23" s="304"/>
      <c r="F23" s="305">
        <v>1</v>
      </c>
      <c r="G23" s="304"/>
      <c r="H23" s="304"/>
      <c r="I23" s="305">
        <v>1</v>
      </c>
      <c r="J23" s="301">
        <v>134.16</v>
      </c>
      <c r="K23" s="300">
        <v>1287.1600000000001</v>
      </c>
      <c r="L23" s="300"/>
      <c r="M23" s="296"/>
      <c r="N23" s="110"/>
    </row>
    <row r="24" spans="1:14">
      <c r="A24" s="26">
        <v>42655</v>
      </c>
      <c r="B24" s="26" t="s">
        <v>427</v>
      </c>
      <c r="C24" s="305"/>
      <c r="D24" s="305">
        <v>1</v>
      </c>
      <c r="E24" s="305"/>
      <c r="F24" s="305">
        <v>1</v>
      </c>
      <c r="G24" s="305"/>
      <c r="H24" s="305"/>
      <c r="I24" s="305">
        <v>1</v>
      </c>
      <c r="J24" s="301">
        <v>134.16</v>
      </c>
      <c r="K24" s="300">
        <v>1287.1600000000001</v>
      </c>
      <c r="L24" s="300"/>
      <c r="M24" s="297"/>
      <c r="N24" s="298"/>
    </row>
    <row r="25" spans="1:14">
      <c r="A25" s="26">
        <v>42656</v>
      </c>
      <c r="B25" s="26" t="s">
        <v>427</v>
      </c>
      <c r="C25" s="304"/>
      <c r="D25" s="311">
        <v>0.5</v>
      </c>
      <c r="E25" s="312"/>
      <c r="F25" s="305">
        <v>1</v>
      </c>
      <c r="G25" s="304"/>
      <c r="H25" s="304"/>
      <c r="I25" s="305">
        <v>1</v>
      </c>
      <c r="J25" s="301">
        <v>134.16</v>
      </c>
      <c r="K25" s="300">
        <f>D25*D7+F25*F7+I25*I7+J25</f>
        <v>814.66</v>
      </c>
      <c r="L25" s="300"/>
      <c r="M25" s="296"/>
      <c r="N25" s="110"/>
    </row>
    <row r="26" spans="1:14">
      <c r="A26" s="26">
        <v>42657</v>
      </c>
      <c r="B26" s="26" t="s">
        <v>427</v>
      </c>
      <c r="C26" s="305"/>
      <c r="D26" s="311">
        <v>0.5</v>
      </c>
      <c r="E26" s="311"/>
      <c r="F26" s="305">
        <v>1</v>
      </c>
      <c r="G26" s="305"/>
      <c r="H26" s="305">
        <v>113</v>
      </c>
      <c r="I26" s="305">
        <v>1</v>
      </c>
      <c r="J26" s="301"/>
      <c r="K26" s="300">
        <f>D26*D7+F26*F7+H26*H7+I26*I7</f>
        <v>799.15</v>
      </c>
      <c r="L26" s="300"/>
      <c r="M26" s="297"/>
      <c r="N26" s="298"/>
    </row>
    <row r="27" spans="1:14">
      <c r="A27" s="10" t="s">
        <v>435</v>
      </c>
      <c r="B27" s="10" t="s">
        <v>436</v>
      </c>
      <c r="C27" s="304"/>
      <c r="D27" s="304"/>
      <c r="E27" s="304">
        <v>3</v>
      </c>
      <c r="F27" s="304"/>
      <c r="G27" s="304"/>
      <c r="H27" s="304"/>
      <c r="I27" s="304"/>
      <c r="J27" s="299"/>
      <c r="K27" s="300">
        <f>E27*E7</f>
        <v>420</v>
      </c>
      <c r="L27" s="300"/>
      <c r="M27" s="296"/>
      <c r="N27" s="110"/>
    </row>
    <row r="28" spans="1:14">
      <c r="A28" s="10" t="s">
        <v>435</v>
      </c>
      <c r="B28" s="10" t="s">
        <v>437</v>
      </c>
      <c r="C28" s="299">
        <v>13.75</v>
      </c>
      <c r="D28" s="304"/>
      <c r="E28" s="304"/>
      <c r="F28" s="304"/>
      <c r="G28" s="304"/>
      <c r="H28" s="304"/>
      <c r="I28" s="304"/>
      <c r="J28" s="299"/>
      <c r="K28" s="300">
        <f>C28*C7</f>
        <v>1581.25</v>
      </c>
      <c r="L28" s="300"/>
      <c r="M28" s="296"/>
      <c r="N28" s="110"/>
    </row>
    <row r="29" spans="1:14">
      <c r="A29" s="10" t="s">
        <v>435</v>
      </c>
      <c r="B29" s="10" t="s">
        <v>438</v>
      </c>
      <c r="C29" s="312">
        <v>54.5</v>
      </c>
      <c r="D29" s="304"/>
      <c r="E29" s="304"/>
      <c r="F29" s="304"/>
      <c r="G29" s="304"/>
      <c r="H29" s="304"/>
      <c r="I29" s="304"/>
      <c r="J29" s="299"/>
      <c r="K29" s="300">
        <f>C29*C7</f>
        <v>6267.5</v>
      </c>
      <c r="L29" s="300"/>
      <c r="M29" s="296"/>
      <c r="N29" s="110"/>
    </row>
    <row r="30" spans="1:14" ht="13" thickBot="1">
      <c r="A30" s="11" t="s">
        <v>435</v>
      </c>
      <c r="B30" s="11"/>
      <c r="C30" s="306"/>
      <c r="D30" s="306"/>
      <c r="E30" s="306"/>
      <c r="F30" s="306">
        <v>9</v>
      </c>
      <c r="G30" s="306"/>
      <c r="H30" s="306"/>
      <c r="I30" s="306"/>
      <c r="J30" s="302"/>
      <c r="K30" s="309">
        <f>F30*F7</f>
        <v>522</v>
      </c>
      <c r="L30" s="309">
        <v>21759.01</v>
      </c>
      <c r="M30" s="310" t="s">
        <v>439</v>
      </c>
      <c r="N30" s="182">
        <v>42667</v>
      </c>
    </row>
    <row r="31" spans="1:14">
      <c r="A31" s="26"/>
      <c r="B31" s="26"/>
      <c r="C31" s="305"/>
      <c r="D31" s="305"/>
      <c r="E31" s="305"/>
      <c r="F31" s="305"/>
      <c r="G31" s="305"/>
      <c r="H31" s="305"/>
      <c r="I31" s="305"/>
      <c r="J31" s="301"/>
      <c r="K31" s="300">
        <v>0</v>
      </c>
      <c r="L31" s="300"/>
      <c r="M31" s="307"/>
      <c r="N31" s="120"/>
    </row>
    <row r="32" spans="1:14">
      <c r="A32" s="26"/>
      <c r="B32" s="26"/>
      <c r="C32" s="305"/>
      <c r="D32" s="305"/>
      <c r="E32" s="305"/>
      <c r="F32" s="305"/>
      <c r="G32" s="305"/>
      <c r="H32" s="305"/>
      <c r="I32" s="305"/>
      <c r="J32" s="301"/>
      <c r="K32" s="300">
        <v>0</v>
      </c>
      <c r="L32" s="300"/>
      <c r="M32" s="307"/>
      <c r="N32" s="120"/>
    </row>
    <row r="33" spans="1:14">
      <c r="A33" s="26"/>
      <c r="B33" s="26"/>
      <c r="C33" s="305"/>
      <c r="D33" s="305"/>
      <c r="E33" s="305"/>
      <c r="F33" s="305"/>
      <c r="G33" s="305"/>
      <c r="H33" s="305"/>
      <c r="I33" s="305"/>
      <c r="J33" s="301"/>
      <c r="K33" s="300">
        <v>0</v>
      </c>
      <c r="L33" s="300"/>
      <c r="M33" s="307"/>
      <c r="N33" s="120"/>
    </row>
    <row r="34" spans="1:14">
      <c r="A34" s="26"/>
      <c r="B34" s="26"/>
      <c r="C34" s="305"/>
      <c r="D34" s="305"/>
      <c r="E34" s="305"/>
      <c r="F34" s="305"/>
      <c r="G34" s="305"/>
      <c r="H34" s="305"/>
      <c r="I34" s="305"/>
      <c r="J34" s="301"/>
      <c r="K34" s="300">
        <v>0</v>
      </c>
      <c r="L34" s="300"/>
      <c r="M34" s="307"/>
      <c r="N34" s="120"/>
    </row>
    <row r="35" spans="1:14">
      <c r="A35" s="26"/>
      <c r="B35" s="26"/>
      <c r="C35" s="305"/>
      <c r="D35" s="305"/>
      <c r="E35" s="305"/>
      <c r="F35" s="305"/>
      <c r="G35" s="305"/>
      <c r="H35" s="305"/>
      <c r="I35" s="305"/>
      <c r="J35" s="301"/>
      <c r="K35" s="300">
        <v>0</v>
      </c>
      <c r="L35" s="300"/>
      <c r="M35" s="307"/>
      <c r="N35" s="120"/>
    </row>
    <row r="36" spans="1:14">
      <c r="A36" s="26"/>
      <c r="B36" s="26"/>
      <c r="C36" s="305"/>
      <c r="D36" s="305"/>
      <c r="E36" s="305"/>
      <c r="F36" s="305"/>
      <c r="G36" s="305"/>
      <c r="H36" s="305"/>
      <c r="I36" s="305"/>
      <c r="J36" s="301"/>
      <c r="K36" s="300">
        <v>0</v>
      </c>
      <c r="L36" s="300"/>
      <c r="M36" s="307"/>
      <c r="N36" s="120"/>
    </row>
    <row r="37" spans="1:14">
      <c r="A37" s="26"/>
      <c r="B37" s="26"/>
      <c r="C37" s="305"/>
      <c r="D37" s="305"/>
      <c r="E37" s="305"/>
      <c r="F37" s="305"/>
      <c r="G37" s="305"/>
      <c r="H37" s="305"/>
      <c r="I37" s="305"/>
      <c r="J37" s="301"/>
      <c r="K37" s="300">
        <v>0</v>
      </c>
      <c r="L37" s="300"/>
      <c r="M37" s="307"/>
      <c r="N37" s="120"/>
    </row>
    <row r="38" spans="1:14" ht="13" thickBot="1">
      <c r="A38" s="11"/>
      <c r="B38" s="11"/>
      <c r="C38" s="306"/>
      <c r="D38" s="306"/>
      <c r="E38" s="306"/>
      <c r="F38" s="306"/>
      <c r="G38" s="306"/>
      <c r="H38" s="306"/>
      <c r="I38" s="306"/>
      <c r="J38" s="302"/>
      <c r="K38" s="309">
        <f>D38*D23+F38*F23+G38*G23+H38*H23+J38</f>
        <v>0</v>
      </c>
      <c r="L38" s="309"/>
      <c r="M38" s="310"/>
      <c r="N38" s="310"/>
    </row>
    <row r="39" spans="1:14">
      <c r="A39" s="1" t="s">
        <v>4</v>
      </c>
      <c r="B39" s="1"/>
      <c r="C39" s="107"/>
      <c r="D39" s="107"/>
      <c r="E39" s="107"/>
      <c r="F39" s="107"/>
      <c r="G39" s="107"/>
      <c r="H39" s="107"/>
      <c r="I39" s="107"/>
      <c r="J39" s="107"/>
      <c r="K39" s="303">
        <f>SUM(K8:K38)</f>
        <v>28404.100000000002</v>
      </c>
      <c r="L39" s="303">
        <f>SUM(L14:L38)</f>
        <v>28404.1</v>
      </c>
      <c r="M39" s="23" t="s">
        <v>24</v>
      </c>
    </row>
  </sheetData>
  <mergeCells count="1">
    <mergeCell ref="B3:I3"/>
  </mergeCells>
  <pageMargins left="0.7" right="0.7" top="0.75" bottom="0.75" header="0.3" footer="0.3"/>
  <pageSetup scale="73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00FF"/>
  </sheetPr>
  <dimension ref="A1:K52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2" x14ac:dyDescent="0"/>
  <cols>
    <col min="1" max="1" width="10.1640625" bestFit="1" customWidth="1"/>
    <col min="2" max="2" width="18.5" customWidth="1"/>
    <col min="3" max="3" width="11.1640625" customWidth="1"/>
    <col min="4" max="6" width="8.83203125" style="107"/>
    <col min="7" max="7" width="15.1640625" style="107" customWidth="1"/>
    <col min="8" max="8" width="10.6640625" style="107" customWidth="1"/>
    <col min="9" max="9" width="11.5" style="107" customWidth="1"/>
    <col min="10" max="10" width="9.83203125" customWidth="1"/>
    <col min="11" max="11" width="13.33203125" customWidth="1"/>
  </cols>
  <sheetData>
    <row r="1" spans="1:11">
      <c r="A1" s="332" t="s">
        <v>589</v>
      </c>
    </row>
    <row r="3" spans="1:11">
      <c r="A3" s="23" t="s">
        <v>576</v>
      </c>
      <c r="B3" s="23"/>
    </row>
    <row r="6" spans="1:11" ht="24">
      <c r="A6" s="9" t="s">
        <v>0</v>
      </c>
      <c r="B6" s="2" t="s">
        <v>137</v>
      </c>
      <c r="C6" s="2" t="s">
        <v>90</v>
      </c>
      <c r="D6" s="118" t="s">
        <v>193</v>
      </c>
      <c r="E6" s="118" t="s">
        <v>194</v>
      </c>
      <c r="F6" s="119" t="s">
        <v>22</v>
      </c>
      <c r="G6" s="108" t="s">
        <v>262</v>
      </c>
      <c r="H6" s="108" t="s">
        <v>58</v>
      </c>
      <c r="I6" s="108" t="s">
        <v>59</v>
      </c>
      <c r="J6" s="195" t="s">
        <v>306</v>
      </c>
      <c r="K6" s="171" t="s">
        <v>0</v>
      </c>
    </row>
    <row r="7" spans="1:11">
      <c r="A7" s="172">
        <v>42615</v>
      </c>
      <c r="B7" s="110" t="s">
        <v>575</v>
      </c>
      <c r="C7" s="110">
        <v>549</v>
      </c>
      <c r="D7" s="173">
        <v>1250</v>
      </c>
      <c r="E7" s="173">
        <v>150</v>
      </c>
      <c r="F7" s="173">
        <f>D7+E7</f>
        <v>1400</v>
      </c>
      <c r="G7" s="173"/>
      <c r="H7" s="173"/>
      <c r="I7" s="173"/>
      <c r="J7" s="110"/>
      <c r="K7" s="110"/>
    </row>
    <row r="8" spans="1:11">
      <c r="A8" s="172">
        <v>42619</v>
      </c>
      <c r="B8" s="110" t="s">
        <v>575</v>
      </c>
      <c r="C8" s="110">
        <v>550</v>
      </c>
      <c r="D8" s="173">
        <v>1250</v>
      </c>
      <c r="E8" s="173">
        <v>150</v>
      </c>
      <c r="F8" s="173">
        <f t="shared" ref="F8:F50" si="0">D8+E8</f>
        <v>1400</v>
      </c>
      <c r="G8" s="173"/>
      <c r="H8" s="173"/>
      <c r="I8" s="173"/>
      <c r="J8" s="110"/>
      <c r="K8" s="110"/>
    </row>
    <row r="9" spans="1:11">
      <c r="A9" s="172">
        <v>42621</v>
      </c>
      <c r="B9" s="110" t="s">
        <v>575</v>
      </c>
      <c r="C9" s="110">
        <v>551</v>
      </c>
      <c r="D9" s="173">
        <v>1250</v>
      </c>
      <c r="E9" s="173">
        <v>150</v>
      </c>
      <c r="F9" s="173">
        <f t="shared" si="0"/>
        <v>1400</v>
      </c>
      <c r="G9" s="173"/>
      <c r="H9" s="173"/>
      <c r="I9" s="173"/>
      <c r="J9" s="110"/>
      <c r="K9" s="110"/>
    </row>
    <row r="10" spans="1:11">
      <c r="A10" s="172">
        <v>42622</v>
      </c>
      <c r="B10" s="110" t="s">
        <v>575</v>
      </c>
      <c r="C10" s="110">
        <v>552</v>
      </c>
      <c r="D10" s="173">
        <v>1250</v>
      </c>
      <c r="E10" s="173">
        <v>150</v>
      </c>
      <c r="F10" s="173">
        <f t="shared" si="0"/>
        <v>1400</v>
      </c>
      <c r="G10" s="173"/>
      <c r="H10" s="173"/>
      <c r="I10" s="173"/>
      <c r="J10" s="110"/>
      <c r="K10" s="110"/>
    </row>
    <row r="11" spans="1:11" s="105" customFormat="1" ht="13" thickBot="1">
      <c r="A11" s="182">
        <v>42623</v>
      </c>
      <c r="B11" s="165" t="s">
        <v>575</v>
      </c>
      <c r="C11" s="165">
        <v>553</v>
      </c>
      <c r="D11" s="183">
        <v>1250</v>
      </c>
      <c r="E11" s="183">
        <v>150</v>
      </c>
      <c r="F11" s="183">
        <f t="shared" si="0"/>
        <v>1400</v>
      </c>
      <c r="G11" s="183">
        <v>7000</v>
      </c>
      <c r="H11" s="183">
        <v>350</v>
      </c>
      <c r="I11" s="183">
        <v>7350</v>
      </c>
      <c r="J11" s="165">
        <v>140195</v>
      </c>
      <c r="K11" s="182">
        <v>42628</v>
      </c>
    </row>
    <row r="12" spans="1:11">
      <c r="A12" s="176">
        <v>42625</v>
      </c>
      <c r="B12" s="175" t="s">
        <v>575</v>
      </c>
      <c r="C12" s="175">
        <v>557</v>
      </c>
      <c r="D12" s="181">
        <v>1250</v>
      </c>
      <c r="E12" s="181">
        <v>150</v>
      </c>
      <c r="F12" s="178">
        <f t="shared" si="0"/>
        <v>1400</v>
      </c>
      <c r="G12" s="174"/>
      <c r="H12" s="174"/>
      <c r="I12" s="174"/>
      <c r="J12" s="120"/>
      <c r="K12" s="120"/>
    </row>
    <row r="13" spans="1:11">
      <c r="A13" s="177">
        <v>42626</v>
      </c>
      <c r="B13" s="146" t="s">
        <v>575</v>
      </c>
      <c r="C13" s="146">
        <v>558</v>
      </c>
      <c r="D13" s="180">
        <v>1250</v>
      </c>
      <c r="E13" s="180">
        <v>150</v>
      </c>
      <c r="F13" s="179">
        <f t="shared" si="0"/>
        <v>1400</v>
      </c>
      <c r="G13" s="173"/>
      <c r="H13" s="173"/>
      <c r="I13" s="173"/>
      <c r="J13" s="110"/>
      <c r="K13" s="110"/>
    </row>
    <row r="14" spans="1:11">
      <c r="A14" s="177">
        <v>42627</v>
      </c>
      <c r="B14" s="146" t="s">
        <v>575</v>
      </c>
      <c r="C14" s="146">
        <v>559</v>
      </c>
      <c r="D14" s="180">
        <v>1250</v>
      </c>
      <c r="E14" s="180">
        <v>150</v>
      </c>
      <c r="F14" s="179">
        <f t="shared" si="0"/>
        <v>1400</v>
      </c>
      <c r="G14" s="173"/>
      <c r="H14" s="173"/>
      <c r="I14" s="173"/>
      <c r="J14" s="110"/>
      <c r="K14" s="110"/>
    </row>
    <row r="15" spans="1:11">
      <c r="A15" s="177">
        <v>42628</v>
      </c>
      <c r="B15" s="146" t="s">
        <v>575</v>
      </c>
      <c r="C15" s="120">
        <v>560</v>
      </c>
      <c r="D15" s="174">
        <v>1250</v>
      </c>
      <c r="E15" s="174">
        <v>150</v>
      </c>
      <c r="F15" s="173">
        <f t="shared" si="0"/>
        <v>1400</v>
      </c>
      <c r="G15" s="173"/>
      <c r="H15" s="173"/>
      <c r="I15" s="173"/>
      <c r="J15" s="110"/>
      <c r="K15" s="110"/>
    </row>
    <row r="16" spans="1:11">
      <c r="A16" s="177">
        <v>42629</v>
      </c>
      <c r="B16" s="146" t="s">
        <v>575</v>
      </c>
      <c r="C16" s="110">
        <v>561</v>
      </c>
      <c r="D16" s="173">
        <v>1250</v>
      </c>
      <c r="E16" s="173">
        <v>150</v>
      </c>
      <c r="F16" s="173">
        <f t="shared" si="0"/>
        <v>1400</v>
      </c>
      <c r="G16" s="173"/>
      <c r="H16" s="173"/>
      <c r="I16" s="173"/>
      <c r="J16" s="110"/>
      <c r="K16" s="110"/>
    </row>
    <row r="17" spans="1:11" ht="13" thickBot="1">
      <c r="A17" s="184">
        <v>42630</v>
      </c>
      <c r="B17" s="185" t="s">
        <v>575</v>
      </c>
      <c r="C17" s="165">
        <v>562</v>
      </c>
      <c r="D17" s="183">
        <v>1250</v>
      </c>
      <c r="E17" s="183">
        <v>150</v>
      </c>
      <c r="F17" s="183">
        <f t="shared" si="0"/>
        <v>1400</v>
      </c>
      <c r="G17" s="183">
        <v>8400</v>
      </c>
      <c r="H17" s="183">
        <v>420</v>
      </c>
      <c r="I17" s="183">
        <v>8820</v>
      </c>
      <c r="J17" s="165">
        <v>140197</v>
      </c>
      <c r="K17" s="182">
        <v>42632</v>
      </c>
    </row>
    <row r="18" spans="1:11">
      <c r="A18" s="188">
        <v>42632</v>
      </c>
      <c r="B18" s="120" t="s">
        <v>575</v>
      </c>
      <c r="C18" s="120">
        <v>563</v>
      </c>
      <c r="D18" s="174">
        <v>1250</v>
      </c>
      <c r="E18" s="174">
        <v>150</v>
      </c>
      <c r="F18" s="174">
        <f t="shared" si="0"/>
        <v>1400</v>
      </c>
      <c r="G18" s="174"/>
      <c r="H18" s="174"/>
      <c r="I18" s="174"/>
      <c r="J18" s="120"/>
      <c r="K18" s="120"/>
    </row>
    <row r="19" spans="1:11">
      <c r="A19" s="172">
        <v>42633</v>
      </c>
      <c r="B19" s="110" t="s">
        <v>575</v>
      </c>
      <c r="C19" s="110">
        <v>564</v>
      </c>
      <c r="D19" s="173">
        <v>1250</v>
      </c>
      <c r="E19" s="173">
        <v>150</v>
      </c>
      <c r="F19" s="173">
        <f t="shared" si="0"/>
        <v>1400</v>
      </c>
      <c r="G19" s="173"/>
      <c r="H19" s="173"/>
      <c r="I19" s="173"/>
      <c r="J19" s="110"/>
      <c r="K19" s="110"/>
    </row>
    <row r="20" spans="1:11">
      <c r="A20" s="172">
        <v>42634</v>
      </c>
      <c r="B20" s="110" t="s">
        <v>575</v>
      </c>
      <c r="C20" s="110">
        <v>565</v>
      </c>
      <c r="D20" s="173">
        <v>1250</v>
      </c>
      <c r="E20" s="173">
        <v>150</v>
      </c>
      <c r="F20" s="173">
        <f t="shared" si="0"/>
        <v>1400</v>
      </c>
      <c r="G20" s="173"/>
      <c r="H20" s="173"/>
      <c r="I20" s="173"/>
      <c r="J20" s="110"/>
      <c r="K20" s="110"/>
    </row>
    <row r="21" spans="1:11">
      <c r="A21" s="172">
        <v>42635</v>
      </c>
      <c r="B21" s="110" t="s">
        <v>575</v>
      </c>
      <c r="C21" s="110">
        <v>566</v>
      </c>
      <c r="D21" s="173">
        <v>1250</v>
      </c>
      <c r="E21" s="173">
        <v>150</v>
      </c>
      <c r="F21" s="173">
        <f t="shared" si="0"/>
        <v>1400</v>
      </c>
      <c r="G21" s="173"/>
      <c r="H21" s="173"/>
      <c r="I21" s="173"/>
      <c r="J21" s="110"/>
      <c r="K21" s="110"/>
    </row>
    <row r="22" spans="1:11">
      <c r="A22" s="172">
        <v>42636</v>
      </c>
      <c r="B22" s="110" t="s">
        <v>575</v>
      </c>
      <c r="C22" s="110">
        <v>567</v>
      </c>
      <c r="D22" s="173">
        <v>1250</v>
      </c>
      <c r="E22" s="173">
        <v>150</v>
      </c>
      <c r="F22" s="173">
        <f t="shared" si="0"/>
        <v>1400</v>
      </c>
      <c r="G22" s="173"/>
      <c r="H22" s="173"/>
      <c r="I22" s="173"/>
      <c r="J22" s="110"/>
      <c r="K22" s="110"/>
    </row>
    <row r="23" spans="1:11" ht="13" thickBot="1">
      <c r="A23" s="182">
        <v>42637</v>
      </c>
      <c r="B23" s="165" t="s">
        <v>575</v>
      </c>
      <c r="C23" s="165">
        <v>568</v>
      </c>
      <c r="D23" s="183">
        <v>1250</v>
      </c>
      <c r="E23" s="183">
        <v>150</v>
      </c>
      <c r="F23" s="183">
        <f t="shared" ref="F23" si="1">D23+E23</f>
        <v>1400</v>
      </c>
      <c r="G23" s="183">
        <v>8400</v>
      </c>
      <c r="H23" s="183">
        <v>420</v>
      </c>
      <c r="I23" s="183">
        <v>8820</v>
      </c>
      <c r="J23" s="165">
        <v>14098</v>
      </c>
      <c r="K23" s="182">
        <v>42639</v>
      </c>
    </row>
    <row r="24" spans="1:11">
      <c r="A24" s="188">
        <v>42639</v>
      </c>
      <c r="B24" s="120" t="s">
        <v>575</v>
      </c>
      <c r="C24" s="120">
        <v>569</v>
      </c>
      <c r="D24" s="174">
        <v>1250</v>
      </c>
      <c r="E24" s="174">
        <v>150</v>
      </c>
      <c r="F24" s="174">
        <f t="shared" ref="F24:F48" si="2">D24+E24</f>
        <v>1400</v>
      </c>
      <c r="G24" s="174"/>
      <c r="H24" s="174"/>
      <c r="I24" s="174"/>
      <c r="J24" s="120"/>
      <c r="K24" s="120"/>
    </row>
    <row r="25" spans="1:11">
      <c r="A25" s="172">
        <v>42640</v>
      </c>
      <c r="B25" s="110" t="s">
        <v>575</v>
      </c>
      <c r="C25" s="110">
        <v>570</v>
      </c>
      <c r="D25" s="173">
        <v>1250</v>
      </c>
      <c r="E25" s="173">
        <v>150</v>
      </c>
      <c r="F25" s="173">
        <f t="shared" si="2"/>
        <v>1400</v>
      </c>
      <c r="G25" s="173"/>
      <c r="H25" s="173"/>
      <c r="I25" s="173"/>
      <c r="J25" s="110"/>
      <c r="K25" s="110"/>
    </row>
    <row r="26" spans="1:11">
      <c r="A26" s="172">
        <v>42641</v>
      </c>
      <c r="B26" s="110" t="s">
        <v>575</v>
      </c>
      <c r="C26" s="110">
        <v>571</v>
      </c>
      <c r="D26" s="173">
        <v>1250</v>
      </c>
      <c r="E26" s="173">
        <v>150</v>
      </c>
      <c r="F26" s="173">
        <f t="shared" ref="F26:F30" si="3">D26+E26</f>
        <v>1400</v>
      </c>
      <c r="G26" s="173"/>
      <c r="H26" s="173"/>
      <c r="I26" s="173"/>
      <c r="J26" s="110"/>
      <c r="K26" s="110"/>
    </row>
    <row r="27" spans="1:11">
      <c r="A27" s="172">
        <v>42642</v>
      </c>
      <c r="B27" s="110" t="s">
        <v>575</v>
      </c>
      <c r="C27" s="110">
        <v>572</v>
      </c>
      <c r="D27" s="173">
        <v>1250</v>
      </c>
      <c r="E27" s="173">
        <v>150</v>
      </c>
      <c r="F27" s="173">
        <f t="shared" ref="F27:F29" si="4">D27+E27</f>
        <v>1400</v>
      </c>
      <c r="G27" s="173"/>
      <c r="H27" s="173"/>
      <c r="I27" s="173"/>
      <c r="J27" s="110"/>
      <c r="K27" s="110"/>
    </row>
    <row r="28" spans="1:11">
      <c r="A28" s="172">
        <v>42643</v>
      </c>
      <c r="B28" s="110" t="s">
        <v>575</v>
      </c>
      <c r="C28" s="110">
        <v>573</v>
      </c>
      <c r="D28" s="173">
        <v>1250</v>
      </c>
      <c r="E28" s="173">
        <v>150</v>
      </c>
      <c r="F28" s="173">
        <f>D28+E28</f>
        <v>1400</v>
      </c>
      <c r="G28" s="173"/>
      <c r="H28" s="173"/>
      <c r="I28" s="173"/>
      <c r="J28" s="110"/>
      <c r="K28" s="110"/>
    </row>
    <row r="29" spans="1:11" ht="13" thickBot="1">
      <c r="A29" s="182">
        <v>42644</v>
      </c>
      <c r="B29" s="165" t="s">
        <v>575</v>
      </c>
      <c r="C29" s="165">
        <v>574</v>
      </c>
      <c r="D29" s="183">
        <v>625</v>
      </c>
      <c r="E29" s="183">
        <v>150</v>
      </c>
      <c r="F29" s="183">
        <f t="shared" si="4"/>
        <v>775</v>
      </c>
      <c r="G29" s="183">
        <v>7775</v>
      </c>
      <c r="H29" s="183">
        <v>388.75</v>
      </c>
      <c r="I29" s="183">
        <v>8163.75</v>
      </c>
      <c r="J29" s="165">
        <v>14099</v>
      </c>
      <c r="K29" s="182">
        <v>42646</v>
      </c>
    </row>
    <row r="30" spans="1:11">
      <c r="A30" s="188">
        <v>42646</v>
      </c>
      <c r="B30" s="120" t="s">
        <v>575</v>
      </c>
      <c r="C30" s="120">
        <v>575</v>
      </c>
      <c r="D30" s="174">
        <v>1250</v>
      </c>
      <c r="E30" s="174">
        <v>150</v>
      </c>
      <c r="F30" s="174">
        <f t="shared" si="3"/>
        <v>1400</v>
      </c>
      <c r="G30" s="174"/>
      <c r="H30" s="174"/>
      <c r="I30" s="174"/>
      <c r="J30" s="120"/>
      <c r="K30" s="120"/>
    </row>
    <row r="31" spans="1:11">
      <c r="A31" s="172">
        <v>42647</v>
      </c>
      <c r="B31" s="110" t="s">
        <v>575</v>
      </c>
      <c r="C31" s="110">
        <v>576</v>
      </c>
      <c r="D31" s="173">
        <v>1250</v>
      </c>
      <c r="E31" s="173">
        <v>150</v>
      </c>
      <c r="F31" s="173">
        <f t="shared" si="2"/>
        <v>1400</v>
      </c>
      <c r="G31" s="173"/>
      <c r="H31" s="173"/>
      <c r="I31" s="173"/>
      <c r="J31" s="110"/>
      <c r="K31" s="110"/>
    </row>
    <row r="32" spans="1:11" ht="13" thickBot="1">
      <c r="A32" s="182">
        <v>42648</v>
      </c>
      <c r="B32" s="165" t="s">
        <v>575</v>
      </c>
      <c r="C32" s="165">
        <v>577</v>
      </c>
      <c r="D32" s="183">
        <v>1250</v>
      </c>
      <c r="E32" s="183">
        <v>150</v>
      </c>
      <c r="F32" s="183">
        <f t="shared" ref="F32:F46" si="5">D32+E32</f>
        <v>1400</v>
      </c>
      <c r="G32" s="183">
        <v>4200</v>
      </c>
      <c r="H32" s="183">
        <v>210</v>
      </c>
      <c r="I32" s="183">
        <v>4410</v>
      </c>
      <c r="J32" s="165">
        <v>14020</v>
      </c>
      <c r="K32" s="182">
        <v>42655</v>
      </c>
    </row>
    <row r="33" spans="1:11">
      <c r="A33" s="188">
        <v>42654</v>
      </c>
      <c r="B33" s="120" t="s">
        <v>575</v>
      </c>
      <c r="C33" s="120">
        <v>578</v>
      </c>
      <c r="D33" s="174">
        <v>1250</v>
      </c>
      <c r="E33" s="174">
        <v>150</v>
      </c>
      <c r="F33" s="174">
        <f t="shared" si="5"/>
        <v>1400</v>
      </c>
      <c r="G33" s="174"/>
      <c r="H33" s="174"/>
      <c r="I33" s="174"/>
      <c r="J33" s="120"/>
      <c r="K33" s="120"/>
    </row>
    <row r="34" spans="1:11">
      <c r="A34" s="188">
        <v>42655</v>
      </c>
      <c r="B34" s="120" t="s">
        <v>575</v>
      </c>
      <c r="C34" s="120">
        <v>579</v>
      </c>
      <c r="D34" s="174">
        <v>1250</v>
      </c>
      <c r="E34" s="174">
        <v>150</v>
      </c>
      <c r="F34" s="173">
        <f t="shared" ref="F34:F45" si="6">D34+E34</f>
        <v>1400</v>
      </c>
      <c r="G34" s="173"/>
      <c r="H34" s="173"/>
      <c r="I34" s="173"/>
      <c r="J34" s="110"/>
      <c r="K34" s="110"/>
    </row>
    <row r="35" spans="1:11">
      <c r="A35" s="188">
        <v>42656</v>
      </c>
      <c r="B35" s="120" t="s">
        <v>575</v>
      </c>
      <c r="C35" s="120">
        <v>580</v>
      </c>
      <c r="D35" s="174">
        <v>1250</v>
      </c>
      <c r="E35" s="174">
        <v>150</v>
      </c>
      <c r="F35" s="173">
        <f t="shared" si="6"/>
        <v>1400</v>
      </c>
      <c r="G35" s="173"/>
      <c r="H35" s="173"/>
      <c r="I35" s="173"/>
      <c r="J35" s="110"/>
      <c r="K35" s="110"/>
    </row>
    <row r="36" spans="1:11">
      <c r="A36" s="188">
        <v>42657</v>
      </c>
      <c r="B36" s="120" t="s">
        <v>575</v>
      </c>
      <c r="C36" s="120">
        <v>581</v>
      </c>
      <c r="D36" s="174">
        <v>1250</v>
      </c>
      <c r="E36" s="174">
        <v>150</v>
      </c>
      <c r="F36" s="173">
        <f t="shared" si="6"/>
        <v>1400</v>
      </c>
      <c r="G36" s="173"/>
      <c r="H36" s="173"/>
      <c r="I36" s="173"/>
      <c r="J36" s="110"/>
      <c r="K36" s="110"/>
    </row>
    <row r="37" spans="1:11">
      <c r="A37" s="188">
        <v>42658</v>
      </c>
      <c r="B37" s="120" t="s">
        <v>575</v>
      </c>
      <c r="C37" s="120">
        <v>582</v>
      </c>
      <c r="D37" s="174">
        <v>1250</v>
      </c>
      <c r="E37" s="174">
        <v>150</v>
      </c>
      <c r="F37" s="173">
        <f t="shared" si="6"/>
        <v>1400</v>
      </c>
      <c r="G37" s="173"/>
      <c r="H37" s="173"/>
      <c r="I37" s="173"/>
      <c r="J37" s="110"/>
      <c r="K37" s="110"/>
    </row>
    <row r="38" spans="1:11" ht="13" thickBot="1">
      <c r="A38" s="182">
        <v>42659</v>
      </c>
      <c r="B38" s="165" t="s">
        <v>575</v>
      </c>
      <c r="C38" s="165">
        <v>583</v>
      </c>
      <c r="D38" s="183">
        <v>625</v>
      </c>
      <c r="E38" s="183">
        <v>150</v>
      </c>
      <c r="F38" s="183">
        <f t="shared" si="6"/>
        <v>775</v>
      </c>
      <c r="G38" s="183">
        <v>7775</v>
      </c>
      <c r="H38" s="183">
        <v>388.75</v>
      </c>
      <c r="I38" s="183">
        <v>8163.75</v>
      </c>
      <c r="J38" s="165">
        <v>140201</v>
      </c>
      <c r="K38" s="182">
        <v>42660</v>
      </c>
    </row>
    <row r="39" spans="1:11">
      <c r="A39" s="188">
        <v>42681</v>
      </c>
      <c r="B39" s="120" t="s">
        <v>575</v>
      </c>
      <c r="C39" s="120">
        <v>602</v>
      </c>
      <c r="D39" s="174">
        <v>625</v>
      </c>
      <c r="E39" s="174">
        <v>150</v>
      </c>
      <c r="F39" s="174">
        <f t="shared" si="6"/>
        <v>775</v>
      </c>
      <c r="G39" s="174"/>
      <c r="H39" s="174"/>
      <c r="I39" s="174"/>
      <c r="J39" s="120"/>
      <c r="K39" s="120"/>
    </row>
    <row r="40" spans="1:11">
      <c r="A40" s="172">
        <v>42697</v>
      </c>
      <c r="B40" s="120" t="s">
        <v>575</v>
      </c>
      <c r="C40" s="110">
        <v>603</v>
      </c>
      <c r="D40" s="173">
        <v>1250</v>
      </c>
      <c r="E40" s="173">
        <v>150</v>
      </c>
      <c r="F40" s="173">
        <f t="shared" ref="F40:F43" si="7">D40+E40</f>
        <v>1400</v>
      </c>
      <c r="G40" s="173"/>
      <c r="H40" s="173"/>
      <c r="I40" s="173"/>
      <c r="J40" s="110"/>
      <c r="K40" s="110"/>
    </row>
    <row r="41" spans="1:11">
      <c r="A41" s="172">
        <v>42698</v>
      </c>
      <c r="B41" s="120" t="s">
        <v>575</v>
      </c>
      <c r="C41" s="110">
        <v>604</v>
      </c>
      <c r="D41" s="173">
        <v>1250</v>
      </c>
      <c r="E41" s="173">
        <v>150</v>
      </c>
      <c r="F41" s="173">
        <f t="shared" si="7"/>
        <v>1400</v>
      </c>
      <c r="G41" s="173"/>
      <c r="H41" s="173"/>
      <c r="I41" s="173"/>
      <c r="J41" s="110"/>
      <c r="K41" s="110"/>
    </row>
    <row r="42" spans="1:11">
      <c r="A42" s="172">
        <v>42699</v>
      </c>
      <c r="B42" s="120" t="s">
        <v>575</v>
      </c>
      <c r="C42" s="110">
        <v>605</v>
      </c>
      <c r="D42" s="173">
        <v>1250</v>
      </c>
      <c r="E42" s="173">
        <v>150</v>
      </c>
      <c r="F42" s="173">
        <f t="shared" si="7"/>
        <v>1400</v>
      </c>
      <c r="G42" s="173"/>
      <c r="H42" s="173"/>
      <c r="I42" s="173"/>
      <c r="J42" s="110"/>
      <c r="K42" s="110"/>
    </row>
    <row r="43" spans="1:11" ht="13" thickBot="1">
      <c r="A43" s="182">
        <v>42700</v>
      </c>
      <c r="B43" s="165" t="s">
        <v>575</v>
      </c>
      <c r="C43" s="165">
        <v>606</v>
      </c>
      <c r="D43" s="183">
        <v>1250</v>
      </c>
      <c r="E43" s="183">
        <v>150</v>
      </c>
      <c r="F43" s="183">
        <f t="shared" si="7"/>
        <v>1400</v>
      </c>
      <c r="G43" s="183">
        <v>6375</v>
      </c>
      <c r="H43" s="183">
        <v>318.75</v>
      </c>
      <c r="I43" s="183">
        <v>6693.75</v>
      </c>
      <c r="J43" s="165">
        <v>140206</v>
      </c>
      <c r="K43" s="182">
        <v>42702</v>
      </c>
    </row>
    <row r="44" spans="1:11">
      <c r="A44" s="120"/>
      <c r="B44" s="120"/>
      <c r="C44" s="120"/>
      <c r="D44" s="174"/>
      <c r="E44" s="174"/>
      <c r="F44" s="174">
        <f t="shared" si="6"/>
        <v>0</v>
      </c>
      <c r="G44" s="174"/>
      <c r="H44" s="174"/>
      <c r="I44" s="174"/>
      <c r="J44" s="120"/>
      <c r="K44" s="120"/>
    </row>
    <row r="45" spans="1:11">
      <c r="A45" s="110"/>
      <c r="B45" s="110"/>
      <c r="C45" s="110"/>
      <c r="D45" s="173"/>
      <c r="E45" s="173"/>
      <c r="F45" s="173">
        <f t="shared" si="6"/>
        <v>0</v>
      </c>
      <c r="G45" s="173"/>
      <c r="H45" s="173"/>
      <c r="I45" s="173"/>
      <c r="J45" s="110"/>
      <c r="K45" s="110"/>
    </row>
    <row r="46" spans="1:11">
      <c r="A46" s="110"/>
      <c r="B46" s="110"/>
      <c r="C46" s="110"/>
      <c r="D46" s="173"/>
      <c r="E46" s="173"/>
      <c r="F46" s="173">
        <f t="shared" si="5"/>
        <v>0</v>
      </c>
      <c r="G46" s="173"/>
      <c r="H46" s="173"/>
      <c r="I46" s="173"/>
      <c r="J46" s="110"/>
      <c r="K46" s="110"/>
    </row>
    <row r="47" spans="1:11">
      <c r="A47" s="110"/>
      <c r="B47" s="110"/>
      <c r="C47" s="110"/>
      <c r="D47" s="173"/>
      <c r="E47" s="173"/>
      <c r="F47" s="173">
        <f t="shared" si="2"/>
        <v>0</v>
      </c>
      <c r="G47" s="173"/>
      <c r="H47" s="173"/>
      <c r="I47" s="173"/>
      <c r="J47" s="110"/>
      <c r="K47" s="110"/>
    </row>
    <row r="48" spans="1:11">
      <c r="A48" s="110"/>
      <c r="B48" s="110"/>
      <c r="C48" s="110"/>
      <c r="D48" s="173"/>
      <c r="E48" s="173"/>
      <c r="F48" s="173">
        <f t="shared" si="2"/>
        <v>0</v>
      </c>
      <c r="G48" s="173"/>
      <c r="H48" s="173"/>
      <c r="I48" s="173"/>
      <c r="J48" s="110"/>
      <c r="K48" s="110"/>
    </row>
    <row r="49" spans="1:11">
      <c r="A49" s="110"/>
      <c r="B49" s="110"/>
      <c r="C49" s="110"/>
      <c r="D49" s="173"/>
      <c r="E49" s="173"/>
      <c r="F49" s="173">
        <f t="shared" si="0"/>
        <v>0</v>
      </c>
      <c r="G49" s="173"/>
      <c r="H49" s="173"/>
      <c r="I49" s="173"/>
      <c r="J49" s="110"/>
      <c r="K49" s="110"/>
    </row>
    <row r="50" spans="1:11">
      <c r="A50" s="110"/>
      <c r="B50" s="110"/>
      <c r="C50" s="110"/>
      <c r="D50" s="173"/>
      <c r="E50" s="173"/>
      <c r="F50" s="173">
        <f t="shared" si="0"/>
        <v>0</v>
      </c>
      <c r="G50" s="173"/>
      <c r="H50" s="173"/>
      <c r="I50" s="173"/>
      <c r="J50" s="110"/>
      <c r="K50" s="110"/>
    </row>
    <row r="52" spans="1:11">
      <c r="G52" s="107">
        <f>SUM(G7:G51)</f>
        <v>49925</v>
      </c>
      <c r="H52" s="107">
        <f>SUM(H7:H51)</f>
        <v>2496.25</v>
      </c>
      <c r="I52" s="107">
        <f>SUM(I7:I51)</f>
        <v>52421.25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WSV108"/>
  <sheetViews>
    <sheetView workbookViewId="0">
      <pane ySplit="7" topLeftCell="A8" activePane="bottomLeft" state="frozen"/>
      <selection pane="bottomLeft" activeCell="P13" sqref="P13"/>
    </sheetView>
  </sheetViews>
  <sheetFormatPr baseColWidth="10" defaultColWidth="8.83203125" defaultRowHeight="12" x14ac:dyDescent="0"/>
  <cols>
    <col min="1" max="1" width="13.5" customWidth="1"/>
    <col min="2" max="2" width="17" customWidth="1"/>
    <col min="3" max="8" width="3.33203125" customWidth="1"/>
    <col min="9" max="9" width="3.83203125" customWidth="1"/>
    <col min="10" max="12" width="3.33203125" customWidth="1"/>
    <col min="13" max="13" width="4.5" customWidth="1"/>
    <col min="14" max="14" width="4.1640625" customWidth="1"/>
    <col min="15" max="15" width="3.33203125" customWidth="1"/>
    <col min="16" max="16" width="4.5" customWidth="1"/>
    <col min="17" max="17" width="3.5" customWidth="1"/>
    <col min="18" max="18" width="8.5" customWidth="1"/>
    <col min="19" max="26" width="3.33203125" customWidth="1"/>
    <col min="27" max="27" width="5.33203125" customWidth="1"/>
    <col min="28" max="36" width="3.33203125" customWidth="1"/>
    <col min="37" max="44" width="3.6640625" hidden="1" customWidth="1"/>
    <col min="45" max="45" width="10" style="107" customWidth="1"/>
    <col min="46" max="46" width="13.33203125" style="158" customWidth="1"/>
    <col min="47" max="47" width="12.1640625" style="149" customWidth="1"/>
    <col min="48" max="48" width="10.33203125" customWidth="1"/>
  </cols>
  <sheetData>
    <row r="1" spans="1:94 15808:16064">
      <c r="A1" s="30" t="s">
        <v>588</v>
      </c>
      <c r="B1" s="30"/>
      <c r="C1" s="30"/>
    </row>
    <row r="2" spans="1:94 15808:16064">
      <c r="A2" s="30" t="s">
        <v>4</v>
      </c>
      <c r="B2" s="30"/>
      <c r="C2" s="30"/>
      <c r="AC2" s="61"/>
    </row>
    <row r="3" spans="1:94 15808:16064">
      <c r="A3" s="31" t="s">
        <v>587</v>
      </c>
      <c r="B3" s="31"/>
      <c r="C3" s="31"/>
    </row>
    <row r="4" spans="1:94 15808:16064">
      <c r="A4" s="31"/>
      <c r="B4" s="31"/>
      <c r="C4" s="31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U4" s="325" t="s">
        <v>383</v>
      </c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106"/>
      <c r="AH4" s="106"/>
      <c r="AI4" s="106"/>
      <c r="AJ4" s="106"/>
      <c r="AL4" s="106"/>
      <c r="AM4" s="106"/>
      <c r="AN4" s="106"/>
    </row>
    <row r="5" spans="1:94 15808:16064" s="3" customFormat="1">
      <c r="A5" s="81"/>
      <c r="B5" s="81"/>
      <c r="C5" s="328"/>
      <c r="D5" s="328"/>
      <c r="E5" s="329"/>
      <c r="F5" s="329"/>
      <c r="G5" s="329"/>
      <c r="H5" s="328"/>
      <c r="I5" s="328"/>
      <c r="J5" s="329"/>
      <c r="K5" s="329"/>
      <c r="L5" s="329"/>
      <c r="M5" s="326" t="s">
        <v>4</v>
      </c>
      <c r="N5" s="327"/>
      <c r="O5" s="327"/>
      <c r="P5" s="327"/>
      <c r="Q5" s="327"/>
      <c r="R5" s="326" t="s">
        <v>4</v>
      </c>
      <c r="S5" s="327"/>
      <c r="T5" s="327"/>
      <c r="U5" s="327"/>
      <c r="V5" s="327"/>
      <c r="W5" s="326" t="s">
        <v>4</v>
      </c>
      <c r="X5" s="327"/>
      <c r="Y5" s="327"/>
      <c r="Z5" s="327"/>
      <c r="AA5" s="327"/>
      <c r="AB5" s="326"/>
      <c r="AC5" s="327"/>
      <c r="AD5" s="327"/>
      <c r="AE5" s="327"/>
      <c r="AF5" s="327"/>
      <c r="AG5" s="326"/>
      <c r="AH5" s="327"/>
      <c r="AI5" s="327"/>
      <c r="AJ5" s="327"/>
      <c r="AK5" s="327"/>
      <c r="AL5" s="327"/>
      <c r="AM5" s="327"/>
      <c r="AN5" s="327"/>
      <c r="AO5" s="327"/>
      <c r="AP5" s="327"/>
      <c r="AQ5" s="82"/>
      <c r="AR5" s="82"/>
      <c r="AS5" s="148"/>
      <c r="AT5" s="284"/>
      <c r="AU5" s="150"/>
    </row>
    <row r="6" spans="1:94 15808:16064" s="84" customFormat="1" ht="167.25" customHeight="1">
      <c r="A6" s="83" t="s">
        <v>4</v>
      </c>
      <c r="B6" s="100"/>
      <c r="C6" s="140" t="s">
        <v>229</v>
      </c>
      <c r="D6" s="140" t="s">
        <v>209</v>
      </c>
      <c r="E6" s="140" t="s">
        <v>210</v>
      </c>
      <c r="F6" s="140" t="s">
        <v>211</v>
      </c>
      <c r="G6" s="314" t="s">
        <v>212</v>
      </c>
      <c r="H6" s="314" t="s">
        <v>213</v>
      </c>
      <c r="I6" s="140" t="s">
        <v>214</v>
      </c>
      <c r="J6" s="140" t="s">
        <v>215</v>
      </c>
      <c r="K6" s="140" t="s">
        <v>216</v>
      </c>
      <c r="L6" s="314" t="s">
        <v>217</v>
      </c>
      <c r="M6" s="140" t="s">
        <v>218</v>
      </c>
      <c r="N6" s="140" t="s">
        <v>219</v>
      </c>
      <c r="O6" s="140" t="s">
        <v>220</v>
      </c>
      <c r="P6" s="140" t="s">
        <v>445</v>
      </c>
      <c r="Q6" s="140" t="s">
        <v>328</v>
      </c>
      <c r="R6" s="140" t="s">
        <v>355</v>
      </c>
      <c r="S6" s="140" t="s">
        <v>292</v>
      </c>
      <c r="T6" s="138" t="s">
        <v>221</v>
      </c>
      <c r="U6" s="138" t="s">
        <v>222</v>
      </c>
      <c r="V6" s="138" t="s">
        <v>228</v>
      </c>
      <c r="W6" s="138" t="s">
        <v>227</v>
      </c>
      <c r="X6" s="138" t="s">
        <v>226</v>
      </c>
      <c r="Y6" s="138" t="s">
        <v>225</v>
      </c>
      <c r="Z6" s="138" t="s">
        <v>224</v>
      </c>
      <c r="AA6" s="138" t="s">
        <v>223</v>
      </c>
      <c r="AB6" s="140" t="s">
        <v>230</v>
      </c>
      <c r="AC6" s="140" t="s">
        <v>231</v>
      </c>
      <c r="AD6" s="140" t="s">
        <v>232</v>
      </c>
      <c r="AE6" s="140" t="s">
        <v>233</v>
      </c>
      <c r="AF6" s="140" t="s">
        <v>234</v>
      </c>
      <c r="AG6" s="140" t="s">
        <v>235</v>
      </c>
      <c r="AH6" s="140" t="s">
        <v>236</v>
      </c>
      <c r="AI6" s="140" t="s">
        <v>237</v>
      </c>
      <c r="AJ6" s="140" t="s">
        <v>238</v>
      </c>
      <c r="AK6" s="141"/>
      <c r="AL6" s="140"/>
      <c r="AM6" s="141"/>
      <c r="AN6" s="141"/>
      <c r="AO6" s="141"/>
      <c r="AP6" s="141"/>
      <c r="AQ6" s="142"/>
      <c r="AR6" s="142"/>
      <c r="AS6" s="119" t="s">
        <v>22</v>
      </c>
      <c r="AT6" s="159" t="s">
        <v>21</v>
      </c>
      <c r="AU6" s="151" t="s">
        <v>20</v>
      </c>
      <c r="AV6" s="2" t="s">
        <v>19</v>
      </c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WIZ6" s="62"/>
      <c r="WJA6" s="62"/>
      <c r="WJB6" s="62"/>
      <c r="WJC6" s="62"/>
      <c r="WJD6" s="62"/>
      <c r="WJE6" s="62"/>
      <c r="WJF6" s="62"/>
      <c r="WJG6" s="62"/>
      <c r="WJH6" s="62"/>
      <c r="WJI6" s="62"/>
      <c r="WJJ6" s="62"/>
      <c r="WJK6" s="62"/>
      <c r="WJL6" s="62"/>
      <c r="WJM6" s="62"/>
      <c r="WJN6" s="62"/>
      <c r="WJO6" s="62"/>
      <c r="WJP6" s="62"/>
      <c r="WJQ6" s="62"/>
      <c r="WJR6" s="62"/>
      <c r="WJS6" s="62"/>
      <c r="WJT6" s="62"/>
      <c r="WJU6" s="62"/>
      <c r="WJV6" s="62"/>
      <c r="WJW6" s="62"/>
      <c r="WJX6" s="62"/>
      <c r="WJY6" s="62"/>
      <c r="WJZ6" s="62"/>
      <c r="WKA6" s="62"/>
      <c r="WKB6" s="62"/>
      <c r="WKC6" s="62"/>
      <c r="WKD6" s="62"/>
      <c r="WKE6" s="62"/>
      <c r="WKF6" s="62"/>
      <c r="WKG6" s="62"/>
      <c r="WKH6" s="62"/>
      <c r="WKI6" s="62"/>
      <c r="WKJ6" s="62"/>
      <c r="WKK6" s="62"/>
      <c r="WKL6" s="62"/>
      <c r="WKM6" s="62"/>
      <c r="WKN6" s="62"/>
      <c r="WKO6" s="62"/>
      <c r="WKP6" s="62"/>
      <c r="WKQ6" s="62"/>
      <c r="WKR6" s="62"/>
      <c r="WKS6" s="62"/>
      <c r="WKT6" s="62"/>
      <c r="WKU6" s="62"/>
      <c r="WKV6" s="62"/>
      <c r="WKW6" s="62"/>
      <c r="WKX6" s="62"/>
      <c r="WKY6" s="62"/>
      <c r="WKZ6" s="62"/>
      <c r="WLA6" s="62"/>
      <c r="WLB6" s="62"/>
      <c r="WLC6" s="62"/>
      <c r="WLD6" s="62"/>
      <c r="WLE6" s="62"/>
      <c r="WLF6" s="62"/>
      <c r="WLG6" s="62"/>
      <c r="WLH6" s="62"/>
      <c r="WLI6" s="62"/>
      <c r="WLJ6" s="62"/>
      <c r="WLK6" s="62"/>
      <c r="WLL6" s="62"/>
      <c r="WLM6" s="62"/>
      <c r="WLN6" s="62"/>
      <c r="WLO6" s="62"/>
      <c r="WLP6" s="62"/>
      <c r="WLQ6" s="62"/>
      <c r="WLR6" s="62"/>
      <c r="WLS6" s="62"/>
      <c r="WLT6" s="62"/>
      <c r="WLU6" s="62"/>
      <c r="WLV6" s="62"/>
      <c r="WLW6" s="62"/>
      <c r="WLX6" s="62"/>
      <c r="WLY6" s="62"/>
      <c r="WLZ6" s="62"/>
      <c r="WMA6" s="62"/>
      <c r="WMB6" s="62"/>
      <c r="WMC6" s="62"/>
      <c r="WMD6" s="62"/>
      <c r="WME6" s="62"/>
      <c r="WMF6" s="62"/>
      <c r="WMG6" s="62"/>
      <c r="WMH6" s="62"/>
      <c r="WMI6" s="62"/>
      <c r="WMJ6" s="62"/>
      <c r="WMK6" s="62"/>
      <c r="WML6" s="62"/>
      <c r="WMM6" s="62"/>
      <c r="WMN6" s="62"/>
      <c r="WMO6" s="62"/>
      <c r="WMP6" s="62"/>
      <c r="WMQ6" s="62"/>
      <c r="WMR6" s="62"/>
      <c r="WMS6" s="62"/>
      <c r="WMT6" s="62"/>
      <c r="WMU6" s="62"/>
      <c r="WMV6" s="62"/>
      <c r="WMW6" s="62"/>
      <c r="WMX6" s="62"/>
      <c r="WMY6" s="62"/>
      <c r="WMZ6" s="62"/>
      <c r="WNA6" s="62"/>
      <c r="WNB6" s="62"/>
      <c r="WNC6" s="62"/>
      <c r="WND6" s="62"/>
      <c r="WNE6" s="62"/>
      <c r="WNF6" s="62"/>
      <c r="WNG6" s="62"/>
      <c r="WNH6" s="62"/>
      <c r="WNI6" s="62"/>
      <c r="WNJ6" s="62"/>
      <c r="WNK6" s="62"/>
      <c r="WNL6" s="62"/>
      <c r="WNM6" s="62"/>
      <c r="WNN6" s="62"/>
      <c r="WNO6" s="62"/>
      <c r="WNP6" s="62"/>
      <c r="WNQ6" s="62"/>
      <c r="WNR6" s="62"/>
      <c r="WNS6" s="62"/>
      <c r="WNT6" s="62"/>
      <c r="WNU6" s="62"/>
      <c r="WNV6" s="62"/>
      <c r="WNW6" s="62"/>
      <c r="WNX6" s="62"/>
      <c r="WNY6" s="62"/>
      <c r="WNZ6" s="62"/>
      <c r="WOA6" s="62"/>
      <c r="WOB6" s="62"/>
      <c r="WOC6" s="62"/>
      <c r="WOD6" s="62"/>
      <c r="WOE6" s="62"/>
      <c r="WOF6" s="62"/>
      <c r="WOG6" s="62"/>
      <c r="WOH6" s="62"/>
      <c r="WOI6" s="62"/>
      <c r="WOJ6" s="62"/>
      <c r="WOK6" s="62"/>
      <c r="WOL6" s="62"/>
      <c r="WOM6" s="62"/>
      <c r="WON6" s="62"/>
      <c r="WOO6" s="62"/>
      <c r="WOP6" s="62"/>
      <c r="WOQ6" s="62"/>
      <c r="WOR6" s="62"/>
      <c r="WOS6" s="62"/>
      <c r="WOT6" s="62"/>
      <c r="WOU6" s="62"/>
      <c r="WOV6" s="62"/>
      <c r="WOW6" s="62"/>
      <c r="WOX6" s="62"/>
      <c r="WOY6" s="62"/>
      <c r="WOZ6" s="62"/>
      <c r="WPA6" s="62"/>
      <c r="WPB6" s="62"/>
      <c r="WPC6" s="62"/>
      <c r="WPD6" s="62"/>
      <c r="WPE6" s="62"/>
      <c r="WPF6" s="62"/>
      <c r="WPG6" s="62"/>
      <c r="WPH6" s="62"/>
      <c r="WPI6" s="62"/>
      <c r="WPJ6" s="62"/>
      <c r="WPK6" s="62"/>
      <c r="WPL6" s="62"/>
      <c r="WPM6" s="62"/>
      <c r="WPN6" s="62"/>
      <c r="WPO6" s="62"/>
      <c r="WPP6" s="62"/>
      <c r="WPQ6" s="62"/>
      <c r="WPR6" s="62"/>
      <c r="WPS6" s="62"/>
      <c r="WPT6" s="62"/>
      <c r="WPU6" s="62"/>
      <c r="WPV6" s="62"/>
      <c r="WPW6" s="62"/>
      <c r="WPX6" s="62"/>
      <c r="WPY6" s="62"/>
      <c r="WPZ6" s="62"/>
      <c r="WQA6" s="62"/>
      <c r="WQB6" s="62"/>
      <c r="WQC6" s="62"/>
      <c r="WQD6" s="62"/>
      <c r="WQE6" s="62"/>
      <c r="WQF6" s="62"/>
      <c r="WQG6" s="62"/>
      <c r="WQH6" s="62"/>
      <c r="WQI6" s="62"/>
      <c r="WQJ6" s="62"/>
      <c r="WQK6" s="62"/>
      <c r="WQL6" s="62"/>
      <c r="WQM6" s="62"/>
      <c r="WQN6" s="62"/>
      <c r="WQO6" s="62"/>
      <c r="WQP6" s="62"/>
      <c r="WQQ6" s="62"/>
      <c r="WQR6" s="62"/>
      <c r="WQS6" s="62"/>
      <c r="WQT6" s="62"/>
      <c r="WQU6" s="62"/>
      <c r="WQV6" s="62"/>
      <c r="WQW6" s="62"/>
      <c r="WQX6" s="62"/>
      <c r="WQY6" s="62"/>
      <c r="WQZ6" s="62"/>
      <c r="WRA6" s="62"/>
      <c r="WRB6" s="62"/>
      <c r="WRC6" s="62"/>
      <c r="WRD6" s="62"/>
      <c r="WRE6" s="62"/>
      <c r="WRF6" s="62"/>
      <c r="WRG6" s="62"/>
      <c r="WRH6" s="62"/>
      <c r="WRI6" s="62"/>
      <c r="WRJ6" s="62"/>
      <c r="WRK6" s="62"/>
      <c r="WRL6" s="62"/>
      <c r="WRM6" s="62"/>
      <c r="WRN6" s="62"/>
      <c r="WRO6" s="62"/>
      <c r="WRP6" s="62"/>
      <c r="WRQ6" s="62"/>
      <c r="WRR6" s="62"/>
      <c r="WRS6" s="62"/>
      <c r="WRT6" s="62"/>
      <c r="WRU6" s="62"/>
      <c r="WRV6" s="62"/>
      <c r="WRW6" s="62"/>
      <c r="WRX6" s="62"/>
      <c r="WRY6" s="62"/>
      <c r="WRZ6" s="62"/>
      <c r="WSA6" s="62"/>
      <c r="WSB6" s="62"/>
      <c r="WSC6" s="62"/>
      <c r="WSD6" s="62"/>
      <c r="WSE6" s="62"/>
      <c r="WSF6" s="62"/>
      <c r="WSG6" s="62"/>
      <c r="WSH6" s="62"/>
      <c r="WSI6" s="62"/>
      <c r="WSJ6" s="62"/>
      <c r="WSK6" s="62"/>
      <c r="WSL6" s="62"/>
      <c r="WSM6" s="62"/>
      <c r="WSN6" s="62"/>
      <c r="WSO6" s="62"/>
      <c r="WSP6" s="62"/>
      <c r="WSQ6" s="62"/>
      <c r="WSR6" s="62"/>
      <c r="WSS6" s="62"/>
      <c r="WST6" s="62"/>
      <c r="WSU6" s="62"/>
      <c r="WSV6" s="62"/>
    </row>
    <row r="7" spans="1:94 15808:16064" s="94" customFormat="1" ht="45" customHeight="1">
      <c r="A7" s="83" t="s">
        <v>0</v>
      </c>
      <c r="B7" s="100" t="s">
        <v>90</v>
      </c>
      <c r="C7" s="143">
        <v>175</v>
      </c>
      <c r="D7" s="143">
        <v>165</v>
      </c>
      <c r="E7" s="143">
        <v>165</v>
      </c>
      <c r="F7" s="143">
        <v>145</v>
      </c>
      <c r="G7" s="143">
        <v>155</v>
      </c>
      <c r="H7" s="143">
        <v>145</v>
      </c>
      <c r="I7" s="143">
        <v>120</v>
      </c>
      <c r="J7" s="143">
        <v>100</v>
      </c>
      <c r="K7" s="143">
        <v>85</v>
      </c>
      <c r="L7" s="143">
        <v>150</v>
      </c>
      <c r="M7" s="143">
        <v>45</v>
      </c>
      <c r="N7" s="143">
        <v>80</v>
      </c>
      <c r="O7" s="143">
        <v>80</v>
      </c>
      <c r="P7" s="143"/>
      <c r="Q7" s="143">
        <v>130</v>
      </c>
      <c r="R7" s="143"/>
      <c r="S7" s="143">
        <v>1195</v>
      </c>
      <c r="T7" s="139">
        <v>995</v>
      </c>
      <c r="U7" s="139">
        <v>1600</v>
      </c>
      <c r="V7" s="139">
        <v>1195</v>
      </c>
      <c r="W7" s="139">
        <v>1195</v>
      </c>
      <c r="X7" s="139">
        <v>1195</v>
      </c>
      <c r="Y7" s="139">
        <v>275</v>
      </c>
      <c r="Z7" s="139">
        <v>60</v>
      </c>
      <c r="AA7" s="139">
        <v>1</v>
      </c>
      <c r="AB7" s="143">
        <v>175</v>
      </c>
      <c r="AC7" s="143">
        <v>300</v>
      </c>
      <c r="AD7" s="143">
        <v>150</v>
      </c>
      <c r="AE7" s="143">
        <v>150</v>
      </c>
      <c r="AF7" s="143">
        <v>300</v>
      </c>
      <c r="AG7" s="143">
        <v>300</v>
      </c>
      <c r="AH7" s="143">
        <v>150</v>
      </c>
      <c r="AI7" s="143">
        <v>60</v>
      </c>
      <c r="AJ7" s="143">
        <v>60</v>
      </c>
      <c r="AK7" s="143"/>
      <c r="AL7" s="143"/>
      <c r="AM7" s="143"/>
      <c r="AN7" s="143"/>
      <c r="AO7" s="143"/>
      <c r="AP7" s="143"/>
      <c r="AQ7" s="143"/>
      <c r="AR7" s="143"/>
      <c r="AS7" s="278"/>
      <c r="AT7" s="285"/>
      <c r="AU7" s="152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WIZ7" s="147"/>
      <c r="WJA7" s="147"/>
      <c r="WJB7" s="147"/>
      <c r="WJC7" s="147"/>
      <c r="WJD7" s="147"/>
      <c r="WJE7" s="147"/>
      <c r="WJF7" s="147"/>
      <c r="WJG7" s="147"/>
      <c r="WJH7" s="147"/>
      <c r="WJI7" s="147"/>
      <c r="WJJ7" s="147"/>
      <c r="WJK7" s="147"/>
      <c r="WJL7" s="147"/>
      <c r="WJM7" s="147"/>
      <c r="WJN7" s="147"/>
      <c r="WJO7" s="147"/>
      <c r="WJP7" s="147"/>
      <c r="WJQ7" s="147"/>
      <c r="WJR7" s="147"/>
      <c r="WJS7" s="147"/>
      <c r="WJT7" s="147"/>
      <c r="WJU7" s="147"/>
      <c r="WJV7" s="147"/>
      <c r="WJW7" s="147"/>
      <c r="WJX7" s="147"/>
      <c r="WJY7" s="147"/>
      <c r="WJZ7" s="147"/>
      <c r="WKA7" s="147"/>
      <c r="WKB7" s="147"/>
      <c r="WKC7" s="147"/>
      <c r="WKD7" s="147"/>
      <c r="WKE7" s="147"/>
      <c r="WKF7" s="147"/>
      <c r="WKG7" s="147"/>
      <c r="WKH7" s="147"/>
      <c r="WKI7" s="147"/>
      <c r="WKJ7" s="147"/>
      <c r="WKK7" s="147"/>
      <c r="WKL7" s="147"/>
      <c r="WKM7" s="147"/>
      <c r="WKN7" s="147"/>
      <c r="WKO7" s="147"/>
      <c r="WKP7" s="147"/>
      <c r="WKQ7" s="147"/>
      <c r="WKR7" s="147"/>
      <c r="WKS7" s="147"/>
      <c r="WKT7" s="147"/>
      <c r="WKU7" s="147"/>
      <c r="WKV7" s="147"/>
      <c r="WKW7" s="147"/>
      <c r="WKX7" s="147"/>
      <c r="WKY7" s="147"/>
      <c r="WKZ7" s="147"/>
      <c r="WLA7" s="147"/>
      <c r="WLB7" s="147"/>
      <c r="WLC7" s="147"/>
      <c r="WLD7" s="147"/>
      <c r="WLE7" s="147"/>
      <c r="WLF7" s="147"/>
      <c r="WLG7" s="147"/>
      <c r="WLH7" s="147"/>
      <c r="WLI7" s="147"/>
      <c r="WLJ7" s="147"/>
      <c r="WLK7" s="147"/>
      <c r="WLL7" s="147"/>
      <c r="WLM7" s="147"/>
      <c r="WLN7" s="147"/>
      <c r="WLO7" s="147"/>
      <c r="WLP7" s="147"/>
      <c r="WLQ7" s="147"/>
      <c r="WLR7" s="147"/>
      <c r="WLS7" s="147"/>
      <c r="WLT7" s="147"/>
      <c r="WLU7" s="147"/>
      <c r="WLV7" s="147"/>
      <c r="WLW7" s="147"/>
      <c r="WLX7" s="147"/>
      <c r="WLY7" s="147"/>
      <c r="WLZ7" s="147"/>
      <c r="WMA7" s="147"/>
      <c r="WMB7" s="147"/>
      <c r="WMC7" s="147"/>
      <c r="WMD7" s="147"/>
      <c r="WME7" s="147"/>
      <c r="WMF7" s="147"/>
      <c r="WMG7" s="147"/>
      <c r="WMH7" s="147"/>
      <c r="WMI7" s="147"/>
      <c r="WMJ7" s="147"/>
      <c r="WMK7" s="147"/>
      <c r="WML7" s="147"/>
      <c r="WMM7" s="147"/>
      <c r="WMN7" s="147"/>
      <c r="WMO7" s="147"/>
      <c r="WMP7" s="147"/>
      <c r="WMQ7" s="147"/>
      <c r="WMR7" s="147"/>
      <c r="WMS7" s="147"/>
      <c r="WMT7" s="147"/>
      <c r="WMU7" s="147"/>
      <c r="WMV7" s="147"/>
      <c r="WMW7" s="147"/>
      <c r="WMX7" s="147"/>
      <c r="WMY7" s="147"/>
      <c r="WMZ7" s="147"/>
      <c r="WNA7" s="147"/>
      <c r="WNB7" s="147"/>
      <c r="WNC7" s="147"/>
      <c r="WND7" s="147"/>
      <c r="WNE7" s="147"/>
      <c r="WNF7" s="147"/>
      <c r="WNG7" s="147"/>
      <c r="WNH7" s="147"/>
      <c r="WNI7" s="147"/>
      <c r="WNJ7" s="147"/>
      <c r="WNK7" s="147"/>
      <c r="WNL7" s="147"/>
      <c r="WNM7" s="147"/>
      <c r="WNN7" s="147"/>
      <c r="WNO7" s="147"/>
      <c r="WNP7" s="147"/>
      <c r="WNQ7" s="147"/>
      <c r="WNR7" s="147"/>
      <c r="WNS7" s="147"/>
      <c r="WNT7" s="147"/>
      <c r="WNU7" s="147"/>
      <c r="WNV7" s="147"/>
      <c r="WNW7" s="147"/>
      <c r="WNX7" s="147"/>
      <c r="WNY7" s="147"/>
      <c r="WNZ7" s="147"/>
      <c r="WOA7" s="147"/>
      <c r="WOB7" s="147"/>
      <c r="WOC7" s="147"/>
      <c r="WOD7" s="147"/>
      <c r="WOE7" s="147"/>
      <c r="WOF7" s="147"/>
      <c r="WOG7" s="147"/>
      <c r="WOH7" s="147"/>
      <c r="WOI7" s="147"/>
      <c r="WOJ7" s="147"/>
      <c r="WOK7" s="147"/>
      <c r="WOL7" s="147"/>
      <c r="WOM7" s="147"/>
      <c r="WON7" s="147"/>
      <c r="WOO7" s="147"/>
      <c r="WOP7" s="147"/>
      <c r="WOQ7" s="147"/>
      <c r="WOR7" s="147"/>
      <c r="WOS7" s="147"/>
      <c r="WOT7" s="147"/>
      <c r="WOU7" s="147"/>
      <c r="WOV7" s="147"/>
      <c r="WOW7" s="147"/>
      <c r="WOX7" s="147"/>
      <c r="WOY7" s="147"/>
      <c r="WOZ7" s="147"/>
      <c r="WPA7" s="147"/>
      <c r="WPB7" s="147"/>
      <c r="WPC7" s="147"/>
      <c r="WPD7" s="147"/>
      <c r="WPE7" s="147"/>
      <c r="WPF7" s="147"/>
      <c r="WPG7" s="147"/>
      <c r="WPH7" s="147"/>
      <c r="WPI7" s="147"/>
      <c r="WPJ7" s="147"/>
      <c r="WPK7" s="147"/>
      <c r="WPL7" s="147"/>
      <c r="WPM7" s="147"/>
      <c r="WPN7" s="147"/>
      <c r="WPO7" s="147"/>
      <c r="WPP7" s="147"/>
      <c r="WPQ7" s="147"/>
      <c r="WPR7" s="147"/>
      <c r="WPS7" s="147"/>
      <c r="WPT7" s="147"/>
      <c r="WPU7" s="147"/>
      <c r="WPV7" s="147"/>
      <c r="WPW7" s="147"/>
      <c r="WPX7" s="147"/>
      <c r="WPY7" s="147"/>
      <c r="WPZ7" s="147"/>
      <c r="WQA7" s="147"/>
      <c r="WQB7" s="147"/>
      <c r="WQC7" s="147"/>
      <c r="WQD7" s="147"/>
      <c r="WQE7" s="147"/>
      <c r="WQF7" s="147"/>
      <c r="WQG7" s="147"/>
      <c r="WQH7" s="147"/>
      <c r="WQI7" s="147"/>
      <c r="WQJ7" s="147"/>
      <c r="WQK7" s="147"/>
      <c r="WQL7" s="147"/>
      <c r="WQM7" s="147"/>
      <c r="WQN7" s="147"/>
      <c r="WQO7" s="147"/>
      <c r="WQP7" s="147"/>
      <c r="WQQ7" s="147"/>
      <c r="WQR7" s="147"/>
      <c r="WQS7" s="147"/>
      <c r="WQT7" s="147"/>
      <c r="WQU7" s="147"/>
      <c r="WQV7" s="147"/>
      <c r="WQW7" s="147"/>
      <c r="WQX7" s="147"/>
      <c r="WQY7" s="147"/>
      <c r="WQZ7" s="147"/>
      <c r="WRA7" s="147"/>
      <c r="WRB7" s="147"/>
      <c r="WRC7" s="147"/>
      <c r="WRD7" s="147"/>
      <c r="WRE7" s="147"/>
      <c r="WRF7" s="147"/>
      <c r="WRG7" s="147"/>
      <c r="WRH7" s="147"/>
      <c r="WRI7" s="147"/>
      <c r="WRJ7" s="147"/>
      <c r="WRK7" s="147"/>
      <c r="WRL7" s="147"/>
      <c r="WRM7" s="147"/>
      <c r="WRN7" s="147"/>
      <c r="WRO7" s="147"/>
      <c r="WRP7" s="147"/>
      <c r="WRQ7" s="147"/>
      <c r="WRR7" s="147"/>
      <c r="WRS7" s="147"/>
      <c r="WRT7" s="147"/>
      <c r="WRU7" s="147"/>
      <c r="WRV7" s="147"/>
      <c r="WRW7" s="147"/>
      <c r="WRX7" s="147"/>
      <c r="WRY7" s="147"/>
      <c r="WRZ7" s="147"/>
      <c r="WSA7" s="147"/>
      <c r="WSB7" s="147"/>
      <c r="WSC7" s="147"/>
      <c r="WSD7" s="147"/>
      <c r="WSE7" s="147"/>
      <c r="WSF7" s="147"/>
      <c r="WSG7" s="147"/>
      <c r="WSH7" s="147"/>
      <c r="WSI7" s="147"/>
      <c r="WSJ7" s="147"/>
      <c r="WSK7" s="147"/>
      <c r="WSL7" s="147"/>
      <c r="WSM7" s="147"/>
      <c r="WSN7" s="147"/>
      <c r="WSO7" s="147"/>
      <c r="WSP7" s="147"/>
      <c r="WSQ7" s="147"/>
      <c r="WSR7" s="147"/>
      <c r="WSS7" s="147"/>
      <c r="WST7" s="147"/>
      <c r="WSU7" s="147"/>
      <c r="WSV7" s="147"/>
    </row>
    <row r="8" spans="1:94 15808:16064" ht="15.75" customHeight="1">
      <c r="A8" s="145" t="s">
        <v>239</v>
      </c>
      <c r="B8" s="110">
        <v>20160820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>
        <v>2</v>
      </c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279">
        <f t="shared" ref="AS8:AS18" si="0">SUM(C8*$C$7)+(D8*$D$7)+(E8*$E$7)+(F8*$F$7)+(G8*$G$7)+(H8*$H$7)+(I8*$I$7)+(J8*$J$7)+(K8*$K$7)+(L8*$L$7)+(M8*$M$7)+(N8*$N$7)+(O8*$O$7)+(P8*$P$7)+(Q8*$Q$7)+(R8*$R$7)+(S8*$S$7)+(T8*$T$7)+(U8*$U$7)+(V8*$V$7)+(W8*$W$7)+(X8*$X$7)+(Y8*$Y$7)+(Z8*$Z$7)+(AA8*$AA$7)+(AB8*$AB$7)+(AC8*$AC$7)+(AD8*$AD$7)+(AE8*$AE$7)+(AF8*$AF$7)+(AG8*$AG$7)+(AH8*$AH$7)+(AI8*$AI$7)+(AJ8*$AJ$7)+(AK8*$AK$7)+(AL8*$AL$7)+(AM8*$AM$7)+(AN8*$AN$7)+(AO8*$AO$7)+(AP8*$AP$7)+(AQ8*$AQ$7)+(AR8*$AR$7)</f>
        <v>160</v>
      </c>
      <c r="AT8" s="220"/>
      <c r="AU8" s="154"/>
      <c r="AV8" s="105"/>
    </row>
    <row r="9" spans="1:94 15808:16064" ht="15" customHeight="1">
      <c r="A9" s="146" t="s">
        <v>240</v>
      </c>
      <c r="B9" s="110">
        <v>20160827</v>
      </c>
      <c r="C9" s="110"/>
      <c r="D9" s="110"/>
      <c r="E9" s="110"/>
      <c r="F9" s="110"/>
      <c r="G9" s="110"/>
      <c r="H9" s="110"/>
      <c r="I9" s="110">
        <v>2</v>
      </c>
      <c r="J9" s="110"/>
      <c r="K9" s="110"/>
      <c r="L9" s="110">
        <v>4</v>
      </c>
      <c r="M9" s="110">
        <v>1</v>
      </c>
      <c r="N9" s="110"/>
      <c r="O9" s="110">
        <v>4</v>
      </c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279">
        <f t="shared" si="0"/>
        <v>1205</v>
      </c>
      <c r="AT9" s="220"/>
      <c r="AU9" s="154"/>
      <c r="AV9" s="105"/>
    </row>
    <row r="10" spans="1:94 15808:16064" ht="15" customHeight="1">
      <c r="A10" s="146" t="s">
        <v>241</v>
      </c>
      <c r="B10" s="110">
        <v>20160903</v>
      </c>
      <c r="C10" s="110"/>
      <c r="D10" s="110"/>
      <c r="E10" s="110"/>
      <c r="F10" s="110"/>
      <c r="G10" s="110"/>
      <c r="H10" s="110"/>
      <c r="I10" s="110">
        <v>4.5</v>
      </c>
      <c r="J10" s="110"/>
      <c r="K10" s="110"/>
      <c r="L10" s="110">
        <v>4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279">
        <f t="shared" si="0"/>
        <v>1140</v>
      </c>
      <c r="AT10" s="286"/>
      <c r="AU10" s="155"/>
      <c r="AV10" s="156"/>
    </row>
    <row r="11" spans="1:94 15808:16064" ht="15" customHeight="1" thickBot="1">
      <c r="A11" s="251" t="s">
        <v>245</v>
      </c>
      <c r="B11" s="251">
        <v>20160910</v>
      </c>
      <c r="C11" s="251"/>
      <c r="D11" s="251"/>
      <c r="E11" s="251"/>
      <c r="F11" s="251"/>
      <c r="G11" s="251"/>
      <c r="H11" s="251"/>
      <c r="I11" s="251">
        <v>8.5</v>
      </c>
      <c r="J11" s="251"/>
      <c r="K11" s="251"/>
      <c r="L11" s="251">
        <v>1</v>
      </c>
      <c r="M11" s="251">
        <v>1</v>
      </c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80">
        <f t="shared" si="0"/>
        <v>1215</v>
      </c>
      <c r="AT11" s="287">
        <v>3720</v>
      </c>
      <c r="AU11" s="252" t="s">
        <v>244</v>
      </c>
      <c r="AV11" s="253" t="s">
        <v>242</v>
      </c>
    </row>
    <row r="12" spans="1:94 15808:16064" ht="15" customHeight="1" thickBot="1">
      <c r="A12" s="254" t="s">
        <v>325</v>
      </c>
      <c r="B12" s="254">
        <v>20160917</v>
      </c>
      <c r="C12" s="254"/>
      <c r="D12" s="254"/>
      <c r="E12" s="254"/>
      <c r="F12" s="254"/>
      <c r="G12" s="254"/>
      <c r="H12" s="254"/>
      <c r="I12" s="254">
        <v>3</v>
      </c>
      <c r="J12" s="254"/>
      <c r="K12" s="254">
        <v>0.5</v>
      </c>
      <c r="L12" s="254">
        <v>9</v>
      </c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81">
        <f t="shared" si="0"/>
        <v>1752.5</v>
      </c>
      <c r="AT12" s="288">
        <v>1752.5</v>
      </c>
      <c r="AU12" s="252" t="s">
        <v>326</v>
      </c>
      <c r="AV12" s="253" t="s">
        <v>327</v>
      </c>
    </row>
    <row r="13" spans="1:94 15808:16064" ht="15" customHeight="1">
      <c r="A13" s="187">
        <v>42630</v>
      </c>
      <c r="B13" s="120" t="s">
        <v>293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>
        <v>1</v>
      </c>
      <c r="T13" s="120"/>
      <c r="U13" s="120"/>
      <c r="V13" s="120"/>
      <c r="W13" s="120"/>
      <c r="X13" s="120"/>
      <c r="Y13" s="120"/>
      <c r="Z13" s="120">
        <v>1</v>
      </c>
      <c r="AA13" s="120">
        <v>663</v>
      </c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282">
        <f t="shared" si="0"/>
        <v>1918</v>
      </c>
    </row>
    <row r="14" spans="1:94 15808:16064" ht="15" customHeight="1">
      <c r="A14" s="187">
        <v>42632</v>
      </c>
      <c r="B14" s="120" t="s">
        <v>330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>
        <v>1</v>
      </c>
      <c r="T14" s="110"/>
      <c r="U14" s="110"/>
      <c r="V14" s="110"/>
      <c r="W14" s="110"/>
      <c r="X14" s="110"/>
      <c r="Y14" s="110"/>
      <c r="Z14" s="110">
        <v>1</v>
      </c>
      <c r="AA14" s="110">
        <v>471</v>
      </c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279">
        <f t="shared" si="0"/>
        <v>1726</v>
      </c>
    </row>
    <row r="15" spans="1:94 15808:16064" ht="15" customHeight="1">
      <c r="A15" s="187">
        <v>42634</v>
      </c>
      <c r="B15" s="120" t="s">
        <v>331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>
        <v>1</v>
      </c>
      <c r="T15" s="110">
        <v>1</v>
      </c>
      <c r="U15" s="110"/>
      <c r="V15" s="110"/>
      <c r="W15" s="110"/>
      <c r="X15" s="110"/>
      <c r="Y15" s="110">
        <v>2</v>
      </c>
      <c r="Z15" s="110"/>
      <c r="AA15" s="110">
        <v>476</v>
      </c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279">
        <f t="shared" si="0"/>
        <v>3216</v>
      </c>
    </row>
    <row r="16" spans="1:94 15808:16064" ht="15" customHeight="1">
      <c r="A16" s="187">
        <v>42635</v>
      </c>
      <c r="B16" s="120" t="s">
        <v>332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>
        <v>1</v>
      </c>
      <c r="T16" s="110">
        <v>1</v>
      </c>
      <c r="U16" s="110"/>
      <c r="V16" s="110"/>
      <c r="W16" s="110"/>
      <c r="X16" s="110"/>
      <c r="Y16" s="110">
        <v>2</v>
      </c>
      <c r="Z16" s="110"/>
      <c r="AA16" s="110">
        <v>234</v>
      </c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279">
        <f t="shared" si="0"/>
        <v>2974</v>
      </c>
    </row>
    <row r="17" spans="1:48" ht="15" customHeight="1">
      <c r="A17" s="187">
        <v>42636</v>
      </c>
      <c r="B17" s="120" t="s">
        <v>333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>
        <v>1</v>
      </c>
      <c r="T17" s="110">
        <v>1</v>
      </c>
      <c r="U17" s="110"/>
      <c r="V17" s="110"/>
      <c r="W17" s="110"/>
      <c r="X17" s="110"/>
      <c r="Y17" s="110">
        <v>2</v>
      </c>
      <c r="Z17" s="110"/>
      <c r="AA17" s="110">
        <v>217</v>
      </c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279">
        <f t="shared" si="0"/>
        <v>2957</v>
      </c>
    </row>
    <row r="18" spans="1:48" ht="15" customHeight="1" thickBot="1">
      <c r="A18" s="256">
        <v>42637</v>
      </c>
      <c r="B18" s="251" t="s">
        <v>334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>
        <v>1</v>
      </c>
      <c r="T18" s="165">
        <v>1</v>
      </c>
      <c r="U18" s="165"/>
      <c r="V18" s="165"/>
      <c r="W18" s="165"/>
      <c r="X18" s="165"/>
      <c r="Y18" s="165">
        <v>2</v>
      </c>
      <c r="Z18" s="165"/>
      <c r="AA18" s="165">
        <v>211</v>
      </c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283">
        <f t="shared" si="0"/>
        <v>2951</v>
      </c>
      <c r="AT18" s="287">
        <v>15742</v>
      </c>
      <c r="AU18" s="252" t="s">
        <v>336</v>
      </c>
      <c r="AV18" s="257" t="s">
        <v>337</v>
      </c>
    </row>
    <row r="19" spans="1:48" ht="15" customHeight="1">
      <c r="A19" s="255">
        <v>42609</v>
      </c>
      <c r="B19" s="120" t="s">
        <v>353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>
        <v>1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282">
        <v>264.92</v>
      </c>
    </row>
    <row r="20" spans="1:48" ht="15" customHeight="1">
      <c r="A20" s="275">
        <v>42637</v>
      </c>
      <c r="B20" s="110" t="s">
        <v>354</v>
      </c>
      <c r="C20" s="110"/>
      <c r="D20" s="110"/>
      <c r="E20" s="110"/>
      <c r="F20" s="110"/>
      <c r="G20" s="110"/>
      <c r="H20" s="110"/>
      <c r="I20" s="110">
        <v>1</v>
      </c>
      <c r="J20" s="110"/>
      <c r="K20" s="110"/>
      <c r="L20" s="110">
        <v>9</v>
      </c>
      <c r="M20" s="110">
        <v>1</v>
      </c>
      <c r="N20" s="110">
        <v>1</v>
      </c>
      <c r="O20" s="110"/>
      <c r="P20" s="110"/>
      <c r="Q20" s="110">
        <v>2.5</v>
      </c>
      <c r="R20" s="110"/>
      <c r="S20" s="110"/>
      <c r="T20" s="110"/>
      <c r="U20" s="110"/>
      <c r="V20" s="110"/>
      <c r="W20" s="110"/>
      <c r="X20" s="110"/>
      <c r="Y20" s="110"/>
      <c r="Z20" s="110"/>
      <c r="AA20" s="110">
        <v>225</v>
      </c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279">
        <f t="shared" ref="AS20:AS38" si="1">SUM(C20*$C$7)+(D20*$D$7)+(E20*$E$7)+(F20*$F$7)+(G20*$G$7)+(H20*$H$7)+(I20*$I$7)+(J20*$J$7)+(K20*$K$7)+(L20*$L$7)+(M20*$M$7)+(N20*$N$7)+(O20*$O$7)+(P20*$P$7)+(Q20*$Q$7)+(R20*$R$7)+(S20*$S$7)+(T20*$T$7)+(U20*$U$7)+(V20*$V$7)+(W20*$W$7)+(X20*$X$7)+(Y20*$Y$7)+(Z20*$Z$7)+(AA20*$AA$7)+(AB20*$AB$7)+(AC20*$AC$7)+(AD20*$AD$7)+(AE20*$AE$7)+(AF20*$AF$7)+(AG20*$AG$7)+(AH20*$AH$7)+(AI20*$AI$7)+(AJ20*$AJ$7)+(AK20*$AK$7)+(AL20*$AL$7)+(AM20*$AM$7)+(AN20*$AN$7)+(AO20*$AO$7)+(AP20*$AP$7)+(AQ20*$AQ$7)+(AR20*$AR$7)</f>
        <v>2145</v>
      </c>
    </row>
    <row r="21" spans="1:48" ht="15" customHeight="1">
      <c r="A21" s="187">
        <v>42638</v>
      </c>
      <c r="B21" s="146" t="s">
        <v>358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>
        <v>1</v>
      </c>
      <c r="T21" s="110">
        <v>1</v>
      </c>
      <c r="U21" s="110"/>
      <c r="V21" s="110"/>
      <c r="W21" s="110"/>
      <c r="X21" s="110"/>
      <c r="Y21" s="110">
        <v>2</v>
      </c>
      <c r="Z21" s="110"/>
      <c r="AA21" s="110">
        <v>239</v>
      </c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279">
        <f t="shared" si="1"/>
        <v>2979</v>
      </c>
    </row>
    <row r="22" spans="1:48" ht="15" customHeight="1">
      <c r="A22" s="187">
        <v>42639</v>
      </c>
      <c r="B22" s="146" t="s">
        <v>359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>
        <v>1</v>
      </c>
      <c r="T22" s="110">
        <v>1</v>
      </c>
      <c r="U22" s="110"/>
      <c r="V22" s="110"/>
      <c r="W22" s="110"/>
      <c r="X22" s="110"/>
      <c r="Y22" s="110">
        <v>2</v>
      </c>
      <c r="Z22" s="110"/>
      <c r="AA22" s="110">
        <v>213</v>
      </c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279">
        <f t="shared" si="1"/>
        <v>2953</v>
      </c>
    </row>
    <row r="23" spans="1:48" ht="13.5" customHeight="1">
      <c r="A23" s="187">
        <v>42640</v>
      </c>
      <c r="B23" s="146" t="s">
        <v>360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>
        <v>1</v>
      </c>
      <c r="T23" s="110">
        <v>1</v>
      </c>
      <c r="U23" s="110"/>
      <c r="V23" s="110"/>
      <c r="W23" s="110"/>
      <c r="X23" s="110"/>
      <c r="Y23" s="110">
        <v>2</v>
      </c>
      <c r="Z23" s="110"/>
      <c r="AA23" s="110">
        <v>249</v>
      </c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279">
        <f t="shared" si="1"/>
        <v>2989</v>
      </c>
    </row>
    <row r="24" spans="1:48" ht="14.25" customHeight="1">
      <c r="A24" s="187">
        <v>42641</v>
      </c>
      <c r="B24" s="146" t="s">
        <v>361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>
        <v>1</v>
      </c>
      <c r="T24" s="110">
        <v>1</v>
      </c>
      <c r="U24" s="110"/>
      <c r="V24" s="110"/>
      <c r="W24" s="110"/>
      <c r="X24" s="110"/>
      <c r="Y24" s="110">
        <v>2</v>
      </c>
      <c r="Z24" s="110"/>
      <c r="AA24" s="110">
        <v>214</v>
      </c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279">
        <f t="shared" si="1"/>
        <v>2954</v>
      </c>
    </row>
    <row r="25" spans="1:48" ht="15" customHeight="1">
      <c r="A25" s="187">
        <v>42642</v>
      </c>
      <c r="B25" s="146" t="s">
        <v>362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>
        <v>1</v>
      </c>
      <c r="T25" s="110">
        <v>1</v>
      </c>
      <c r="U25" s="110"/>
      <c r="V25" s="110"/>
      <c r="W25" s="110"/>
      <c r="X25" s="110"/>
      <c r="Y25" s="110">
        <v>2</v>
      </c>
      <c r="Z25" s="110"/>
      <c r="AA25" s="110">
        <v>239</v>
      </c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279">
        <f t="shared" si="1"/>
        <v>2979</v>
      </c>
    </row>
    <row r="26" spans="1:48" ht="15.75" customHeight="1">
      <c r="A26" s="187">
        <v>42643</v>
      </c>
      <c r="B26" s="146" t="s">
        <v>363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>
        <v>1</v>
      </c>
      <c r="T26" s="110">
        <v>1</v>
      </c>
      <c r="U26" s="110"/>
      <c r="V26" s="110"/>
      <c r="W26" s="110"/>
      <c r="X26" s="110"/>
      <c r="Y26" s="110">
        <v>2</v>
      </c>
      <c r="Z26" s="110"/>
      <c r="AA26" s="110">
        <v>214</v>
      </c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279">
        <f t="shared" si="1"/>
        <v>2954</v>
      </c>
    </row>
    <row r="27" spans="1:48" ht="16.5" customHeight="1" thickBot="1">
      <c r="A27" s="277">
        <v>42644</v>
      </c>
      <c r="B27" s="185" t="s">
        <v>364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>
        <v>1</v>
      </c>
      <c r="T27" s="165">
        <v>1</v>
      </c>
      <c r="U27" s="165"/>
      <c r="V27" s="165"/>
      <c r="W27" s="165"/>
      <c r="X27" s="165"/>
      <c r="Y27" s="165">
        <v>2</v>
      </c>
      <c r="Z27" s="165"/>
      <c r="AA27" s="165">
        <v>242</v>
      </c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279">
        <f t="shared" si="1"/>
        <v>2982</v>
      </c>
      <c r="AT27" s="287">
        <v>23199.919999999998</v>
      </c>
      <c r="AU27" s="252" t="s">
        <v>365</v>
      </c>
      <c r="AV27" s="257">
        <v>42648</v>
      </c>
    </row>
    <row r="28" spans="1:48" ht="15" customHeight="1" thickBot="1">
      <c r="A28" s="251" t="s">
        <v>366</v>
      </c>
      <c r="B28" s="251" t="s">
        <v>367</v>
      </c>
      <c r="C28" s="251"/>
      <c r="D28" s="251"/>
      <c r="E28" s="251"/>
      <c r="F28" s="251"/>
      <c r="G28" s="251"/>
      <c r="H28" s="251"/>
      <c r="I28" s="251"/>
      <c r="J28" s="251"/>
      <c r="K28" s="251"/>
      <c r="L28" s="251">
        <v>7</v>
      </c>
      <c r="M28" s="251"/>
      <c r="N28" s="290">
        <v>0.5</v>
      </c>
      <c r="O28" s="251"/>
      <c r="P28" s="251"/>
      <c r="Q28" s="290">
        <v>6.5</v>
      </c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83">
        <f t="shared" si="1"/>
        <v>1935</v>
      </c>
      <c r="AT28" s="287">
        <v>1935</v>
      </c>
      <c r="AU28" s="252" t="s">
        <v>376</v>
      </c>
      <c r="AV28" s="257">
        <v>42656</v>
      </c>
    </row>
    <row r="29" spans="1:48" ht="15" customHeight="1">
      <c r="A29" s="188">
        <v>42651</v>
      </c>
      <c r="B29" s="120" t="s">
        <v>368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>
        <v>7</v>
      </c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282">
        <f t="shared" si="1"/>
        <v>1050</v>
      </c>
    </row>
    <row r="30" spans="1:48" ht="15" customHeight="1">
      <c r="A30" s="172">
        <v>42645</v>
      </c>
      <c r="B30" s="110" t="s">
        <v>369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>
        <v>1</v>
      </c>
      <c r="T30" s="110">
        <v>1</v>
      </c>
      <c r="U30" s="110"/>
      <c r="V30" s="110"/>
      <c r="W30" s="110"/>
      <c r="X30" s="110"/>
      <c r="Y30" s="110">
        <v>2</v>
      </c>
      <c r="Z30" s="110"/>
      <c r="AA30" s="110">
        <v>254</v>
      </c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279">
        <f t="shared" si="1"/>
        <v>2994</v>
      </c>
    </row>
    <row r="31" spans="1:48" ht="15" customHeight="1">
      <c r="A31" s="172">
        <v>42646</v>
      </c>
      <c r="B31" s="110" t="s">
        <v>370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>
        <v>1</v>
      </c>
      <c r="T31" s="110">
        <v>1</v>
      </c>
      <c r="U31" s="110"/>
      <c r="V31" s="110"/>
      <c r="W31" s="110"/>
      <c r="X31" s="110"/>
      <c r="Y31" s="110">
        <v>2</v>
      </c>
      <c r="Z31" s="110"/>
      <c r="AA31" s="110">
        <v>252</v>
      </c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279">
        <f t="shared" si="1"/>
        <v>2992</v>
      </c>
    </row>
    <row r="32" spans="1:48" ht="15" customHeight="1">
      <c r="A32" s="172">
        <v>42647</v>
      </c>
      <c r="B32" s="110" t="s">
        <v>371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>
        <v>1</v>
      </c>
      <c r="T32" s="110">
        <v>1</v>
      </c>
      <c r="U32" s="110"/>
      <c r="V32" s="110"/>
      <c r="W32" s="110"/>
      <c r="X32" s="110"/>
      <c r="Y32" s="110">
        <v>2</v>
      </c>
      <c r="Z32" s="110"/>
      <c r="AA32" s="110">
        <v>339</v>
      </c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279">
        <f t="shared" si="1"/>
        <v>3079</v>
      </c>
    </row>
    <row r="33" spans="1:48" ht="15" customHeight="1">
      <c r="A33" s="172">
        <v>42648</v>
      </c>
      <c r="B33" s="110" t="s">
        <v>372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>
        <v>1</v>
      </c>
      <c r="T33" s="110">
        <v>1</v>
      </c>
      <c r="U33" s="110"/>
      <c r="V33" s="110"/>
      <c r="W33" s="110"/>
      <c r="X33" s="110"/>
      <c r="Y33" s="110">
        <v>2</v>
      </c>
      <c r="Z33" s="110"/>
      <c r="AA33" s="110">
        <v>299</v>
      </c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279">
        <f t="shared" si="1"/>
        <v>3039</v>
      </c>
    </row>
    <row r="34" spans="1:48" ht="15" customHeight="1">
      <c r="A34" s="172">
        <v>42649</v>
      </c>
      <c r="B34" s="110" t="s">
        <v>373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>
        <v>1</v>
      </c>
      <c r="T34" s="110">
        <v>1</v>
      </c>
      <c r="U34" s="110"/>
      <c r="V34" s="110"/>
      <c r="W34" s="110"/>
      <c r="X34" s="110"/>
      <c r="Y34" s="110">
        <v>2</v>
      </c>
      <c r="Z34" s="110"/>
      <c r="AA34" s="110">
        <v>297</v>
      </c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279">
        <f t="shared" si="1"/>
        <v>3037</v>
      </c>
    </row>
    <row r="35" spans="1:48" ht="15" customHeight="1">
      <c r="A35" s="172">
        <v>42650</v>
      </c>
      <c r="B35" s="110" t="s">
        <v>374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>
        <v>1</v>
      </c>
      <c r="T35" s="110">
        <v>1</v>
      </c>
      <c r="U35" s="110"/>
      <c r="V35" s="110"/>
      <c r="W35" s="110"/>
      <c r="X35" s="110"/>
      <c r="Y35" s="110">
        <v>2</v>
      </c>
      <c r="Z35" s="110"/>
      <c r="AA35" s="110">
        <v>301</v>
      </c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279">
        <f t="shared" si="1"/>
        <v>3041</v>
      </c>
    </row>
    <row r="36" spans="1:48" ht="15" customHeight="1" thickBot="1">
      <c r="A36" s="182">
        <v>42651</v>
      </c>
      <c r="B36" s="165" t="s">
        <v>375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>
        <v>1</v>
      </c>
      <c r="T36" s="165">
        <v>1</v>
      </c>
      <c r="U36" s="165"/>
      <c r="V36" s="165"/>
      <c r="W36" s="165"/>
      <c r="X36" s="165"/>
      <c r="Y36" s="165">
        <v>2</v>
      </c>
      <c r="Z36" s="165"/>
      <c r="AA36" s="165">
        <v>255</v>
      </c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283">
        <f t="shared" si="1"/>
        <v>2995</v>
      </c>
      <c r="AT36" s="287">
        <v>22227</v>
      </c>
      <c r="AU36" s="252" t="s">
        <v>382</v>
      </c>
      <c r="AV36" s="257">
        <v>42656</v>
      </c>
    </row>
    <row r="37" spans="1:48" ht="15" customHeight="1" thickBot="1">
      <c r="A37" s="254" t="s">
        <v>410</v>
      </c>
      <c r="B37" s="254" t="s">
        <v>411</v>
      </c>
      <c r="C37" s="254"/>
      <c r="D37" s="254"/>
      <c r="E37" s="254"/>
      <c r="F37" s="254"/>
      <c r="G37" s="254"/>
      <c r="H37" s="254"/>
      <c r="I37" s="254">
        <v>1.5</v>
      </c>
      <c r="J37" s="254"/>
      <c r="K37" s="254"/>
      <c r="L37" s="254">
        <v>7</v>
      </c>
      <c r="M37" s="254">
        <v>0.5</v>
      </c>
      <c r="N37" s="254">
        <v>2</v>
      </c>
      <c r="O37" s="254"/>
      <c r="P37" s="254"/>
      <c r="Q37" s="254">
        <v>5</v>
      </c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81">
        <f t="shared" si="1"/>
        <v>2062.5</v>
      </c>
      <c r="AT37" s="288">
        <v>2062.5</v>
      </c>
      <c r="AU37" s="291" t="s">
        <v>412</v>
      </c>
      <c r="AV37" s="292">
        <v>42660</v>
      </c>
    </row>
    <row r="38" spans="1:48" ht="15" customHeight="1" thickBot="1">
      <c r="A38" s="175" t="s">
        <v>441</v>
      </c>
      <c r="B38" s="254" t="s">
        <v>411</v>
      </c>
      <c r="C38" s="120"/>
      <c r="D38" s="120"/>
      <c r="E38" s="120"/>
      <c r="F38" s="120"/>
      <c r="G38" s="120"/>
      <c r="H38" s="120"/>
      <c r="I38" s="120">
        <v>1</v>
      </c>
      <c r="J38" s="120"/>
      <c r="K38" s="120"/>
      <c r="L38" s="120">
        <v>6</v>
      </c>
      <c r="M38" s="295">
        <v>0.5</v>
      </c>
      <c r="N38" s="295">
        <v>1.5</v>
      </c>
      <c r="O38" s="120"/>
      <c r="P38" s="120"/>
      <c r="Q38" s="120">
        <v>3.5</v>
      </c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282">
        <f t="shared" si="1"/>
        <v>1617.5</v>
      </c>
    </row>
    <row r="39" spans="1:48" ht="15" customHeight="1">
      <c r="A39" s="172">
        <v>42637</v>
      </c>
      <c r="B39" s="175" t="s">
        <v>442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>
        <v>770</v>
      </c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>
        <v>2</v>
      </c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279">
        <v>1070</v>
      </c>
    </row>
    <row r="40" spans="1:48" ht="15" customHeight="1">
      <c r="A40" s="172">
        <v>42644</v>
      </c>
      <c r="B40" s="175" t="s">
        <v>443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>
        <v>7</v>
      </c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279">
        <f t="shared" ref="AS40:AS48" si="2">SUM(C40*$C$7)+(D40*$D$7)+(E40*$E$7)+(F40*$F$7)+(G40*$G$7)+(H40*$H$7)+(I40*$I$7)+(J40*$J$7)+(K40*$K$7)+(L40*$L$7)+(M40*$M$7)+(N40*$N$7)+(O40*$O$7)+(P40*$P$7)+(Q40*$Q$7)+(R40*$R$7)+(S40*$S$7)+(T40*$T$7)+(U40*$U$7)+(V40*$V$7)+(W40*$W$7)+(X40*$X$7)+(Y40*$Y$7)+(Z40*$Z$7)+(AA40*$AA$7)+(AB40*$AB$7)+(AC40*$AC$7)+(AD40*$AD$7)+(AE40*$AE$7)+(AF40*$AF$7)+(AG40*$AG$7)+(AH40*$AH$7)+(AI40*$AI$7)+(AJ40*$AJ$7)+(AK40*$AK$7)+(AL40*$AL$7)+(AM40*$AM$7)+(AN40*$AN$7)+(AO40*$AO$7)+(AP40*$AP$7)+(AQ40*$AQ$7)+(AR40*$AR$7)</f>
        <v>1050</v>
      </c>
    </row>
    <row r="41" spans="1:48" ht="15" customHeight="1">
      <c r="A41" s="172">
        <v>42658</v>
      </c>
      <c r="B41" s="175" t="s">
        <v>444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>
        <v>7</v>
      </c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279">
        <f t="shared" si="2"/>
        <v>1050</v>
      </c>
    </row>
    <row r="42" spans="1:48" ht="15" customHeight="1">
      <c r="A42" s="172">
        <v>42652</v>
      </c>
      <c r="B42" s="146" t="s">
        <v>446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>
        <v>1</v>
      </c>
      <c r="T42" s="110">
        <v>1</v>
      </c>
      <c r="U42" s="110"/>
      <c r="V42" s="110"/>
      <c r="W42" s="110"/>
      <c r="X42" s="110"/>
      <c r="Y42" s="110">
        <v>2</v>
      </c>
      <c r="Z42" s="110"/>
      <c r="AA42" s="110">
        <v>303</v>
      </c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279">
        <f t="shared" si="2"/>
        <v>3043</v>
      </c>
    </row>
    <row r="43" spans="1:48" ht="15" customHeight="1">
      <c r="A43" s="172">
        <v>42653</v>
      </c>
      <c r="B43" s="146" t="s">
        <v>447</v>
      </c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>
        <v>2</v>
      </c>
      <c r="T43" s="110">
        <v>1</v>
      </c>
      <c r="U43" s="110"/>
      <c r="V43" s="110"/>
      <c r="W43" s="110"/>
      <c r="X43" s="110"/>
      <c r="Y43" s="110">
        <v>3</v>
      </c>
      <c r="Z43" s="110"/>
      <c r="AA43" s="110">
        <v>774</v>
      </c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279">
        <f t="shared" si="2"/>
        <v>4984</v>
      </c>
    </row>
    <row r="44" spans="1:48" ht="15" customHeight="1">
      <c r="A44" s="172">
        <v>42654</v>
      </c>
      <c r="B44" s="146" t="s">
        <v>448</v>
      </c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>
        <v>1</v>
      </c>
      <c r="T44" s="110">
        <v>1</v>
      </c>
      <c r="U44" s="110">
        <v>1</v>
      </c>
      <c r="V44" s="110"/>
      <c r="W44" s="110"/>
      <c r="X44" s="110"/>
      <c r="Y44" s="110">
        <v>2</v>
      </c>
      <c r="Z44" s="110">
        <v>1</v>
      </c>
      <c r="AA44" s="110">
        <v>359</v>
      </c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279">
        <f t="shared" si="2"/>
        <v>4759</v>
      </c>
    </row>
    <row r="45" spans="1:48" ht="15" customHeight="1">
      <c r="A45" s="172">
        <v>42655</v>
      </c>
      <c r="B45" s="146" t="s">
        <v>449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>
        <v>1</v>
      </c>
      <c r="T45" s="110">
        <v>1</v>
      </c>
      <c r="U45" s="110">
        <v>1</v>
      </c>
      <c r="V45" s="110"/>
      <c r="W45" s="110"/>
      <c r="X45" s="110"/>
      <c r="Y45" s="110">
        <v>2</v>
      </c>
      <c r="Z45" s="110">
        <v>1</v>
      </c>
      <c r="AA45" s="110">
        <v>355</v>
      </c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279">
        <f t="shared" si="2"/>
        <v>4755</v>
      </c>
    </row>
    <row r="46" spans="1:48" ht="15" customHeight="1">
      <c r="A46" s="172">
        <v>42656</v>
      </c>
      <c r="B46" s="146" t="s">
        <v>450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>
        <v>1</v>
      </c>
      <c r="T46" s="110">
        <v>1</v>
      </c>
      <c r="U46" s="110">
        <v>1</v>
      </c>
      <c r="V46" s="110"/>
      <c r="W46" s="110"/>
      <c r="X46" s="110"/>
      <c r="Y46" s="110">
        <v>2</v>
      </c>
      <c r="Z46" s="110">
        <v>1</v>
      </c>
      <c r="AA46" s="110">
        <v>402</v>
      </c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279">
        <f t="shared" si="2"/>
        <v>4802</v>
      </c>
    </row>
    <row r="47" spans="1:48" ht="15" customHeight="1" thickBot="1">
      <c r="A47" s="172">
        <v>42657</v>
      </c>
      <c r="B47" s="146" t="s">
        <v>451</v>
      </c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>
        <v>1</v>
      </c>
      <c r="T47" s="110">
        <v>1</v>
      </c>
      <c r="U47" s="110">
        <v>1</v>
      </c>
      <c r="V47" s="110"/>
      <c r="W47" s="110"/>
      <c r="X47" s="110"/>
      <c r="Y47" s="110">
        <v>2</v>
      </c>
      <c r="Z47" s="110">
        <v>1</v>
      </c>
      <c r="AA47" s="110">
        <v>395</v>
      </c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279">
        <f t="shared" si="2"/>
        <v>4795</v>
      </c>
    </row>
    <row r="48" spans="1:48" ht="15" customHeight="1" thickBot="1">
      <c r="A48" s="182">
        <v>42658</v>
      </c>
      <c r="B48" s="185" t="s">
        <v>452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>
        <v>1</v>
      </c>
      <c r="T48" s="165">
        <v>1</v>
      </c>
      <c r="U48" s="165">
        <v>1</v>
      </c>
      <c r="V48" s="165"/>
      <c r="W48" s="165"/>
      <c r="X48" s="165"/>
      <c r="Y48" s="165">
        <v>2</v>
      </c>
      <c r="Z48" s="165">
        <v>1</v>
      </c>
      <c r="AA48" s="165">
        <v>402</v>
      </c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283">
        <f t="shared" si="2"/>
        <v>4802</v>
      </c>
      <c r="AT48" s="287">
        <v>36727.5</v>
      </c>
      <c r="AU48" s="313" t="s">
        <v>453</v>
      </c>
      <c r="AV48" s="257">
        <v>42668</v>
      </c>
    </row>
    <row r="49" spans="1:48" ht="15" customHeight="1">
      <c r="A49" s="188">
        <v>42665</v>
      </c>
      <c r="B49" s="175" t="s">
        <v>482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>
        <v>1</v>
      </c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>
        <v>7</v>
      </c>
      <c r="AE49" s="120"/>
      <c r="AF49" s="120">
        <v>7</v>
      </c>
      <c r="AG49" s="120"/>
      <c r="AH49" s="120">
        <v>12</v>
      </c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282">
        <v>7150</v>
      </c>
    </row>
    <row r="50" spans="1:48" ht="15" customHeight="1">
      <c r="A50" s="172">
        <v>42665</v>
      </c>
      <c r="B50" s="110" t="s">
        <v>483</v>
      </c>
      <c r="C50" s="110"/>
      <c r="D50" s="110"/>
      <c r="E50" s="110"/>
      <c r="F50" s="110"/>
      <c r="G50" s="110"/>
      <c r="H50" s="110"/>
      <c r="I50" s="110"/>
      <c r="J50" s="110"/>
      <c r="K50" s="110"/>
      <c r="L50" s="110">
        <v>6</v>
      </c>
      <c r="M50" s="110">
        <v>3</v>
      </c>
      <c r="N50" s="110">
        <v>2</v>
      </c>
      <c r="O50" s="110"/>
      <c r="P50" s="110"/>
      <c r="Q50" s="110">
        <v>4</v>
      </c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279">
        <f t="shared" ref="AS50:AS64" si="3">SUM(C50*$C$7)+(D50*$D$7)+(E50*$E$7)+(F50*$F$7)+(G50*$G$7)+(H50*$H$7)+(I50*$I$7)+(J50*$J$7)+(K50*$K$7)+(L50*$L$7)+(M50*$M$7)+(N50*$N$7)+(O50*$O$7)+(P50*$P$7)+(Q50*$Q$7)+(R50*$R$7)+(S50*$S$7)+(T50*$T$7)+(U50*$U$7)+(V50*$V$7)+(W50*$W$7)+(X50*$X$7)+(Y50*$Y$7)+(Z50*$Z$7)+(AA50*$AA$7)+(AB50*$AB$7)+(AC50*$AC$7)+(AD50*$AD$7)+(AE50*$AE$7)+(AF50*$AF$7)+(AG50*$AG$7)+(AH50*$AH$7)+(AI50*$AI$7)+(AJ50*$AJ$7)+(AK50*$AK$7)+(AL50*$AL$7)+(AM50*$AM$7)+(AN50*$AN$7)+(AO50*$AO$7)+(AP50*$AP$7)+(AQ50*$AQ$7)+(AR50*$AR$7)</f>
        <v>1715</v>
      </c>
    </row>
    <row r="51" spans="1:48" ht="15" customHeight="1">
      <c r="A51" s="172">
        <v>42659</v>
      </c>
      <c r="B51" s="146" t="s">
        <v>484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>
        <v>1</v>
      </c>
      <c r="T51" s="110">
        <v>1</v>
      </c>
      <c r="U51" s="110">
        <v>1</v>
      </c>
      <c r="V51" s="110"/>
      <c r="W51" s="110"/>
      <c r="X51" s="110"/>
      <c r="Y51" s="110">
        <v>2</v>
      </c>
      <c r="Z51" s="110">
        <v>1</v>
      </c>
      <c r="AA51" s="110">
        <v>356</v>
      </c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279">
        <f t="shared" si="3"/>
        <v>4756</v>
      </c>
    </row>
    <row r="52" spans="1:48" ht="15" customHeight="1">
      <c r="A52" s="172">
        <v>42660</v>
      </c>
      <c r="B52" s="146" t="s">
        <v>485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>
        <v>2</v>
      </c>
      <c r="T52" s="110">
        <v>1</v>
      </c>
      <c r="U52" s="110">
        <v>1</v>
      </c>
      <c r="V52" s="120"/>
      <c r="W52" s="120"/>
      <c r="X52" s="120"/>
      <c r="Y52" s="120">
        <v>3</v>
      </c>
      <c r="Z52" s="120">
        <v>1</v>
      </c>
      <c r="AA52" s="120">
        <v>622</v>
      </c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279">
        <f t="shared" si="3"/>
        <v>6492</v>
      </c>
    </row>
    <row r="53" spans="1:48" ht="15" customHeight="1">
      <c r="A53" s="172">
        <v>42661</v>
      </c>
      <c r="B53" s="146" t="s">
        <v>486</v>
      </c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>
        <v>1</v>
      </c>
      <c r="T53" s="110">
        <v>1</v>
      </c>
      <c r="U53" s="110">
        <v>2</v>
      </c>
      <c r="V53" s="110"/>
      <c r="W53" s="110"/>
      <c r="X53" s="110"/>
      <c r="Y53" s="110">
        <v>2</v>
      </c>
      <c r="Z53" s="110">
        <v>2</v>
      </c>
      <c r="AA53" s="110">
        <v>457</v>
      </c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279">
        <f t="shared" si="3"/>
        <v>6517</v>
      </c>
    </row>
    <row r="54" spans="1:48" ht="15" customHeight="1">
      <c r="A54" s="172">
        <v>42662</v>
      </c>
      <c r="B54" s="146" t="s">
        <v>487</v>
      </c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>
        <v>1</v>
      </c>
      <c r="T54" s="110">
        <v>1</v>
      </c>
      <c r="U54" s="110">
        <v>1</v>
      </c>
      <c r="V54" s="110"/>
      <c r="W54" s="110"/>
      <c r="X54" s="110"/>
      <c r="Y54" s="110">
        <v>2</v>
      </c>
      <c r="Z54" s="110">
        <v>1</v>
      </c>
      <c r="AA54" s="110">
        <v>354</v>
      </c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279">
        <f t="shared" si="3"/>
        <v>4754</v>
      </c>
    </row>
    <row r="55" spans="1:48" ht="15" customHeight="1">
      <c r="A55" s="172">
        <v>42663</v>
      </c>
      <c r="B55" s="146" t="s">
        <v>488</v>
      </c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>
        <v>1</v>
      </c>
      <c r="T55" s="110">
        <v>1</v>
      </c>
      <c r="U55" s="110">
        <v>2</v>
      </c>
      <c r="V55" s="110"/>
      <c r="W55" s="110"/>
      <c r="X55" s="110"/>
      <c r="Y55" s="110">
        <v>3</v>
      </c>
      <c r="Z55" s="110">
        <v>1</v>
      </c>
      <c r="AA55" s="110">
        <v>587</v>
      </c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279">
        <f t="shared" si="3"/>
        <v>6862</v>
      </c>
    </row>
    <row r="56" spans="1:48" ht="15" customHeight="1">
      <c r="A56" s="172">
        <v>42664</v>
      </c>
      <c r="B56" s="146" t="s">
        <v>489</v>
      </c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>
        <v>2</v>
      </c>
      <c r="T56" s="110">
        <v>1</v>
      </c>
      <c r="U56" s="110">
        <v>1</v>
      </c>
      <c r="V56" s="110"/>
      <c r="W56" s="110"/>
      <c r="X56" s="110"/>
      <c r="Y56" s="110">
        <v>3</v>
      </c>
      <c r="Z56" s="110">
        <v>1</v>
      </c>
      <c r="AA56" s="110">
        <v>914</v>
      </c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279">
        <f t="shared" si="3"/>
        <v>6784</v>
      </c>
    </row>
    <row r="57" spans="1:48" ht="15" customHeight="1" thickBot="1">
      <c r="A57" s="182">
        <v>42665</v>
      </c>
      <c r="B57" s="185" t="s">
        <v>490</v>
      </c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>
        <v>2</v>
      </c>
      <c r="T57" s="165">
        <v>1</v>
      </c>
      <c r="U57" s="165">
        <v>1</v>
      </c>
      <c r="V57" s="165"/>
      <c r="W57" s="165"/>
      <c r="X57" s="165"/>
      <c r="Y57" s="165">
        <v>2</v>
      </c>
      <c r="Z57" s="165">
        <v>2</v>
      </c>
      <c r="AA57" s="165">
        <v>679</v>
      </c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283">
        <f t="shared" si="3"/>
        <v>6334</v>
      </c>
      <c r="AT57" s="287">
        <v>51364</v>
      </c>
      <c r="AU57" s="315" t="s">
        <v>491</v>
      </c>
      <c r="AV57" s="257">
        <v>42676</v>
      </c>
    </row>
    <row r="58" spans="1:48" ht="15" customHeight="1">
      <c r="A58" s="188">
        <v>42666</v>
      </c>
      <c r="B58" s="146" t="s">
        <v>494</v>
      </c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>
        <v>1</v>
      </c>
      <c r="T58" s="120">
        <v>1</v>
      </c>
      <c r="U58" s="120">
        <v>1</v>
      </c>
      <c r="V58" s="120"/>
      <c r="W58" s="120"/>
      <c r="X58" s="120"/>
      <c r="Y58" s="120">
        <v>2</v>
      </c>
      <c r="Z58" s="120">
        <v>1</v>
      </c>
      <c r="AA58" s="120">
        <v>310</v>
      </c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282">
        <f t="shared" si="3"/>
        <v>4710</v>
      </c>
    </row>
    <row r="59" spans="1:48" ht="15" customHeight="1">
      <c r="A59" s="188">
        <v>42667</v>
      </c>
      <c r="B59" s="146" t="s">
        <v>495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20">
        <v>1</v>
      </c>
      <c r="T59" s="120">
        <v>1</v>
      </c>
      <c r="U59" s="120">
        <v>1</v>
      </c>
      <c r="V59" s="110"/>
      <c r="W59" s="110"/>
      <c r="X59" s="110"/>
      <c r="Y59" s="120">
        <v>2</v>
      </c>
      <c r="Z59" s="120">
        <v>1</v>
      </c>
      <c r="AA59" s="110">
        <v>311</v>
      </c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279">
        <f t="shared" ref="AS59:AS61" si="4">SUM(C59*$C$7)+(D59*$D$7)+(E59*$E$7)+(F59*$F$7)+(G59*$G$7)+(H59*$H$7)+(I59*$I$7)+(J59*$J$7)+(K59*$K$7)+(L59*$L$7)+(M59*$M$7)+(N59*$N$7)+(O59*$O$7)+(P59*$P$7)+(Q59*$Q$7)+(R59*$R$7)+(S59*$S$7)+(T59*$T$7)+(U59*$U$7)+(V59*$V$7)+(W59*$W$7)+(X59*$X$7)+(Y59*$Y$7)+(Z59*$Z$7)+(AA59*$AA$7)+(AB59*$AB$7)+(AC59*$AC$7)+(AD59*$AD$7)+(AE59*$AE$7)+(AF59*$AF$7)+(AG59*$AG$7)+(AH59*$AH$7)+(AI59*$AI$7)+(AJ59*$AJ$7)+(AK59*$AK$7)+(AL59*$AL$7)+(AM59*$AM$7)+(AN59*$AN$7)+(AO59*$AO$7)+(AP59*$AP$7)+(AQ59*$AQ$7)+(AR59*$AR$7)</f>
        <v>4711</v>
      </c>
    </row>
    <row r="60" spans="1:48" ht="15" customHeight="1">
      <c r="A60" s="188">
        <v>42668</v>
      </c>
      <c r="B60" s="146" t="s">
        <v>496</v>
      </c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20">
        <v>1</v>
      </c>
      <c r="T60" s="120">
        <v>1</v>
      </c>
      <c r="U60" s="120">
        <v>2</v>
      </c>
      <c r="V60" s="110"/>
      <c r="W60" s="110"/>
      <c r="X60" s="110"/>
      <c r="Y60" s="120">
        <v>3</v>
      </c>
      <c r="Z60" s="120">
        <v>1</v>
      </c>
      <c r="AA60" s="110">
        <v>603</v>
      </c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279">
        <f t="shared" si="4"/>
        <v>6878</v>
      </c>
    </row>
    <row r="61" spans="1:48" ht="15" customHeight="1">
      <c r="A61" s="188">
        <v>42669</v>
      </c>
      <c r="B61" s="146" t="s">
        <v>497</v>
      </c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20">
        <v>1</v>
      </c>
      <c r="T61" s="120">
        <v>1</v>
      </c>
      <c r="U61" s="120">
        <v>2</v>
      </c>
      <c r="V61" s="110"/>
      <c r="W61" s="110"/>
      <c r="X61" s="110"/>
      <c r="Y61" s="120">
        <v>3</v>
      </c>
      <c r="Z61" s="120">
        <v>1</v>
      </c>
      <c r="AA61" s="110">
        <v>657</v>
      </c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279">
        <f t="shared" si="4"/>
        <v>6932</v>
      </c>
    </row>
    <row r="62" spans="1:48" ht="15" customHeight="1">
      <c r="A62" s="188">
        <v>42670</v>
      </c>
      <c r="B62" s="146" t="s">
        <v>498</v>
      </c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20">
        <v>1</v>
      </c>
      <c r="T62" s="120">
        <v>1</v>
      </c>
      <c r="U62" s="120">
        <v>1</v>
      </c>
      <c r="V62" s="110"/>
      <c r="W62" s="110"/>
      <c r="X62" s="110"/>
      <c r="Y62" s="120">
        <v>2</v>
      </c>
      <c r="Z62" s="120">
        <v>1</v>
      </c>
      <c r="AA62" s="110">
        <v>311</v>
      </c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279">
        <f t="shared" si="3"/>
        <v>4711</v>
      </c>
    </row>
    <row r="63" spans="1:48" ht="15" customHeight="1">
      <c r="A63" s="188">
        <v>42671</v>
      </c>
      <c r="B63" s="146" t="s">
        <v>499</v>
      </c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20">
        <v>1</v>
      </c>
      <c r="T63" s="120">
        <v>1</v>
      </c>
      <c r="U63" s="120">
        <v>2</v>
      </c>
      <c r="V63" s="110"/>
      <c r="W63" s="110"/>
      <c r="X63" s="110"/>
      <c r="Y63" s="120">
        <v>3</v>
      </c>
      <c r="Z63" s="120">
        <v>1</v>
      </c>
      <c r="AA63" s="110">
        <v>596</v>
      </c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279">
        <f t="shared" si="3"/>
        <v>6871</v>
      </c>
    </row>
    <row r="64" spans="1:48" ht="15" customHeight="1">
      <c r="A64" s="188">
        <v>42672</v>
      </c>
      <c r="B64" s="146" t="s">
        <v>500</v>
      </c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20">
        <v>1</v>
      </c>
      <c r="T64" s="120">
        <v>1</v>
      </c>
      <c r="U64" s="120">
        <v>1</v>
      </c>
      <c r="V64" s="110"/>
      <c r="W64" s="110"/>
      <c r="X64" s="110"/>
      <c r="Y64" s="120">
        <v>2</v>
      </c>
      <c r="Z64" s="120">
        <v>1</v>
      </c>
      <c r="AA64" s="110">
        <v>356</v>
      </c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279">
        <f t="shared" si="3"/>
        <v>4756</v>
      </c>
    </row>
    <row r="65" spans="1:48" ht="15" customHeight="1">
      <c r="A65" s="188">
        <v>42672</v>
      </c>
      <c r="B65" s="110" t="s">
        <v>501</v>
      </c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>
        <v>7</v>
      </c>
      <c r="AE65" s="110"/>
      <c r="AF65" s="110">
        <v>7</v>
      </c>
      <c r="AG65" s="110"/>
      <c r="AH65" s="110">
        <v>7</v>
      </c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279">
        <f t="shared" ref="AS65:AS68" si="5">SUM(C65*$C$7)+(D65*$D$7)+(E65*$E$7)+(F65*$F$7)+(G65*$G$7)+(H65*$H$7)+(I65*$I$7)+(J65*$J$7)+(K65*$K$7)+(L65*$L$7)+(M65*$M$7)+(N65*$N$7)+(O65*$O$7)+(P65*$P$7)+(Q65*$Q$7)+(R65*$R$7)+(S65*$S$7)+(T65*$T$7)+(U65*$U$7)+(V65*$V$7)+(W65*$W$7)+(X65*$X$7)+(Y65*$Y$7)+(Z65*$Z$7)+(AA65*$AA$7)+(AB65*$AB$7)+(AC65*$AC$7)+(AD65*$AD$7)+(AE65*$AE$7)+(AF65*$AF$7)+(AG65*$AG$7)+(AH65*$AH$7)+(AI65*$AI$7)+(AJ65*$AJ$7)+(AK65*$AK$7)+(AL65*$AL$7)+(AM65*$AM$7)+(AN65*$AN$7)+(AO65*$AO$7)+(AP65*$AP$7)+(AQ65*$AQ$7)+(AR65*$AR$7)</f>
        <v>4200</v>
      </c>
    </row>
    <row r="66" spans="1:48" ht="15" customHeight="1">
      <c r="A66" s="316">
        <v>42672</v>
      </c>
      <c r="B66" s="317" t="s">
        <v>512</v>
      </c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>
        <v>2131.25</v>
      </c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9">
        <v>2131.25</v>
      </c>
      <c r="AT66" s="220"/>
      <c r="AU66" s="320"/>
      <c r="AV66" s="258"/>
    </row>
    <row r="67" spans="1:48" ht="15" customHeight="1">
      <c r="A67" s="188">
        <v>42672</v>
      </c>
      <c r="B67" s="110" t="s">
        <v>502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>
        <v>8</v>
      </c>
      <c r="M67" s="294">
        <v>2.5</v>
      </c>
      <c r="N67" s="294">
        <v>1.5</v>
      </c>
      <c r="O67" s="110"/>
      <c r="P67" s="110"/>
      <c r="Q67" s="110">
        <v>3</v>
      </c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279">
        <f t="shared" si="5"/>
        <v>1822.5</v>
      </c>
    </row>
    <row r="68" spans="1:48" ht="15" customHeight="1">
      <c r="A68" s="172">
        <v>42658</v>
      </c>
      <c r="B68" s="175" t="s">
        <v>444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>
        <v>-7</v>
      </c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279">
        <f t="shared" si="5"/>
        <v>-1050</v>
      </c>
    </row>
    <row r="69" spans="1:48" ht="15" customHeight="1" thickBot="1">
      <c r="A69" s="182">
        <v>42658</v>
      </c>
      <c r="B69" s="276" t="s">
        <v>444</v>
      </c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>
        <v>7</v>
      </c>
      <c r="AE69" s="165"/>
      <c r="AF69" s="165">
        <v>5</v>
      </c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283">
        <f t="shared" ref="AS69" si="6">SUM(C69*$C$7)+(D69*$D$7)+(E69*$E$7)+(F69*$F$7)+(G69*$G$7)+(H69*$H$7)+(I69*$I$7)+(J69*$J$7)+(K69*$K$7)+(L69*$L$7)+(M69*$M$7)+(N69*$N$7)+(O69*$O$7)+(P69*$P$7)+(Q69*$Q$7)+(R69*$R$7)+(S69*$S$7)+(T69*$T$7)+(U69*$U$7)+(V69*$V$7)+(W69*$W$7)+(X69*$X$7)+(Y69*$Y$7)+(Z69*$Z$7)+(AA69*$AA$7)+(AB69*$AB$7)+(AC69*$AC$7)+(AD69*$AD$7)+(AE69*$AE$7)+(AF69*$AF$7)+(AG69*$AG$7)+(AH69*$AH$7)+(AI69*$AI$7)+(AJ69*$AJ$7)+(AK69*$AK$7)+(AL69*$AL$7)+(AM69*$AM$7)+(AN69*$AN$7)+(AO69*$AO$7)+(AP69*$AP$7)+(AQ69*$AQ$7)+(AR69*$AR$7)</f>
        <v>2550</v>
      </c>
      <c r="AT69" s="287">
        <v>49222.75</v>
      </c>
      <c r="AU69" s="252" t="s">
        <v>503</v>
      </c>
      <c r="AV69" s="257">
        <v>42688</v>
      </c>
    </row>
    <row r="70" spans="1:48" ht="15" customHeight="1">
      <c r="A70" s="188">
        <v>42679</v>
      </c>
      <c r="B70" s="110" t="s">
        <v>504</v>
      </c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>
        <v>385</v>
      </c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>
        <v>3</v>
      </c>
      <c r="AD70" s="120">
        <v>8</v>
      </c>
      <c r="AE70" s="120"/>
      <c r="AF70" s="120">
        <v>7</v>
      </c>
      <c r="AG70" s="120"/>
      <c r="AH70" s="120">
        <v>7</v>
      </c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282">
        <v>5635</v>
      </c>
    </row>
    <row r="71" spans="1:48" ht="15" customHeight="1">
      <c r="A71" s="188">
        <v>42673</v>
      </c>
      <c r="B71" s="146" t="s">
        <v>505</v>
      </c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>
        <v>1</v>
      </c>
      <c r="T71" s="110">
        <v>1</v>
      </c>
      <c r="U71" s="110">
        <v>2</v>
      </c>
      <c r="V71" s="110"/>
      <c r="W71" s="110"/>
      <c r="X71" s="110"/>
      <c r="Y71" s="110">
        <v>3</v>
      </c>
      <c r="Z71" s="110">
        <v>1</v>
      </c>
      <c r="AA71" s="110">
        <v>861</v>
      </c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279">
        <f>SUM(C71*$C$7)+(D71*$D$7)+(E71*$E$7)+(F71*$F$7)+(G71*$G$7)+(H71*$H$7)+(I71*$I$7)+(J71*$J$7)+(K71*$K$7)+(L71*$L$7)+(M71*$M$7)+(N71*$N$7)+(O71*$O$7)+(P71*$P$7)+(Q71*$Q$7)+(R71*$R$7)+(S71*$S$7)+(T71*$T$7)+(U71*$U$7)+(V71*$V$7)+(W71*$W$7)+(X71*$X$7)+(Y71*$Y$7)+(Z71*$Z$7)+(AA71*$AA$7)+(AB71*$AB$7)+(AC71*$AC$7)+(AD71*$AD$7)+(AE71*$AE$7)+(AF71*$AF$7)+(AG71*$AG$7)+(AH71*$AH$7)+(AI71*$AI$7)+(AJ71*$AJ$7)+(AK71*$AK$7)+(AL71*$AL$7)+(AM71*$AM$7)+(AN71*$AN$7)+(AO71*$AO$7)+(AP71*$AP$7)+(AQ71*$AQ$7)+(AR71*$AR$7)</f>
        <v>7136</v>
      </c>
    </row>
    <row r="72" spans="1:48" ht="15" customHeight="1">
      <c r="A72" s="188">
        <v>42674</v>
      </c>
      <c r="B72" s="146" t="s">
        <v>506</v>
      </c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>
        <v>1</v>
      </c>
      <c r="T72" s="110">
        <v>1</v>
      </c>
      <c r="U72" s="110">
        <v>2</v>
      </c>
      <c r="V72" s="110"/>
      <c r="W72" s="110"/>
      <c r="X72" s="110"/>
      <c r="Y72" s="110">
        <v>3</v>
      </c>
      <c r="Z72" s="110">
        <v>1</v>
      </c>
      <c r="AA72" s="110">
        <v>664</v>
      </c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279">
        <f>SUM(C72*$C$7)+(D72*$D$7)+(E72*$E$7)+(F72*$F$7)+(G72*$G$7)+(H72*$H$7)+(I72*$I$7)+(J72*$J$7)+(K72*$K$7)+(L72*$L$7)+(M72*$M$7)+(N72*$N$7)+(O72*$O$7)+(P72*$P$7)+(Q72*$Q$7)+(R72*$R$7)+(S72*$S$7)+(T72*$T$7)+(U72*$U$7)+(V72*$V$7)+(W72*$W$7)+(X72*$X$7)+(Y72*$Y$7)+(Z72*$Z$7)+(AA72*$AA$7)+(AB72*$AB$7)+(AC72*$AC$7)+(AD72*$AD$7)+(AE72*$AE$7)+(AF72*$AF$7)+(AG72*$AG$7)+(AH72*$AH$7)+(AI72*$AI$7)+(AJ72*$AJ$7)+(AK72*$AK$7)+(AL72*$AL$7)+(AM72*$AM$7)+(AN72*$AN$7)+(AO72*$AO$7)+(AP72*$AP$7)+(AQ72*$AQ$7)+(AR72*$AR$7)</f>
        <v>6939</v>
      </c>
    </row>
    <row r="73" spans="1:48" ht="15" customHeight="1">
      <c r="A73" s="188">
        <v>42675</v>
      </c>
      <c r="B73" s="146" t="s">
        <v>507</v>
      </c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>
        <v>2</v>
      </c>
      <c r="T73" s="110">
        <v>2</v>
      </c>
      <c r="U73" s="110">
        <v>1</v>
      </c>
      <c r="V73" s="110"/>
      <c r="W73" s="110"/>
      <c r="X73" s="110"/>
      <c r="Y73" s="110">
        <v>4</v>
      </c>
      <c r="Z73" s="110">
        <v>1</v>
      </c>
      <c r="AA73" s="110">
        <v>1101</v>
      </c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279">
        <f t="shared" ref="AS73:AS103" si="7">SUM(C73*$C$7)+(D73*$D$7)+(E73*$E$7)+(F73*$F$7)+(G73*$G$7)+(H73*$H$7)+(I73*$I$7)+(J73*$J$7)+(K73*$K$7)+(L73*$L$7)+(M73*$M$7)+(N73*$N$7)+(O73*$O$7)+(P73*$P$7)+(Q73*$Q$7)+(R73*$R$7)+(S73*$S$7)+(T73*$T$7)+(U73*$U$7)+(V73*$V$7)+(W73*$W$7)+(X73*$X$7)+(Y73*$Y$7)+(Z73*$Z$7)+(AA73*$AA$7)+(AB73*$AB$7)+(AC73*$AC$7)+(AD73*$AD$7)+(AE73*$AE$7)+(AF73*$AF$7)+(AG73*$AG$7)+(AH73*$AH$7)+(AI73*$AI$7)+(AJ73*$AJ$7)+(AK73*$AK$7)+(AL73*$AL$7)+(AM73*$AM$7)+(AN73*$AN$7)+(AO73*$AO$7)+(AP73*$AP$7)+(AQ73*$AQ$7)+(AR73*$AR$7)</f>
        <v>8241</v>
      </c>
    </row>
    <row r="74" spans="1:48" ht="15" customHeight="1">
      <c r="A74" s="188">
        <v>42676</v>
      </c>
      <c r="B74" s="146" t="s">
        <v>508</v>
      </c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>
        <v>2</v>
      </c>
      <c r="T74" s="110">
        <v>2</v>
      </c>
      <c r="U74" s="110">
        <v>1</v>
      </c>
      <c r="V74" s="110"/>
      <c r="W74" s="110"/>
      <c r="X74" s="110"/>
      <c r="Y74" s="110">
        <v>4</v>
      </c>
      <c r="Z74" s="110">
        <v>1</v>
      </c>
      <c r="AA74" s="110">
        <v>510</v>
      </c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279">
        <f t="shared" si="7"/>
        <v>7650</v>
      </c>
    </row>
    <row r="75" spans="1:48" ht="15" customHeight="1">
      <c r="A75" s="188">
        <v>42677</v>
      </c>
      <c r="B75" s="146" t="s">
        <v>509</v>
      </c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>
        <v>2</v>
      </c>
      <c r="T75" s="110">
        <v>2</v>
      </c>
      <c r="U75" s="110">
        <v>1</v>
      </c>
      <c r="V75" s="110"/>
      <c r="W75" s="110"/>
      <c r="X75" s="110"/>
      <c r="Y75" s="110">
        <v>3</v>
      </c>
      <c r="Z75" s="110">
        <v>2</v>
      </c>
      <c r="AA75" s="110">
        <v>1248</v>
      </c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279">
        <f t="shared" ref="AS75:AS92" si="8">SUM(C75*$C$7)+(D75*$D$7)+(E75*$E$7)+(F75*$F$7)+(G75*$G$7)+(H75*$H$7)+(I75*$I$7)+(J75*$J$7)+(K75*$K$7)+(L75*$L$7)+(M75*$M$7)+(N75*$N$7)+(O75*$O$7)+(P75*$P$7)+(Q75*$Q$7)+(R75*$R$7)+(S75*$S$7)+(T75*$T$7)+(U75*$U$7)+(V75*$V$7)+(W75*$W$7)+(X75*$X$7)+(Y75*$Y$7)+(Z75*$Z$7)+(AA75*$AA$7)+(AB75*$AB$7)+(AC75*$AC$7)+(AD75*$AD$7)+(AE75*$AE$7)+(AF75*$AF$7)+(AG75*$AG$7)+(AH75*$AH$7)+(AI75*$AI$7)+(AJ75*$AJ$7)+(AK75*$AK$7)+(AL75*$AL$7)+(AM75*$AM$7)+(AN75*$AN$7)+(AO75*$AO$7)+(AP75*$AP$7)+(AQ75*$AQ$7)+(AR75*$AR$7)</f>
        <v>8173</v>
      </c>
    </row>
    <row r="76" spans="1:48" ht="15" customHeight="1">
      <c r="A76" s="188">
        <v>42678</v>
      </c>
      <c r="B76" s="146" t="s">
        <v>510</v>
      </c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>
        <v>1</v>
      </c>
      <c r="T76" s="110">
        <v>1</v>
      </c>
      <c r="U76" s="110">
        <v>1</v>
      </c>
      <c r="V76" s="110"/>
      <c r="W76" s="110"/>
      <c r="X76" s="110"/>
      <c r="Y76" s="110">
        <v>2</v>
      </c>
      <c r="Z76" s="110">
        <v>1</v>
      </c>
      <c r="AA76" s="110">
        <v>300</v>
      </c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279">
        <f t="shared" si="8"/>
        <v>4700</v>
      </c>
    </row>
    <row r="77" spans="1:48" ht="15" customHeight="1">
      <c r="A77" s="188">
        <v>42679</v>
      </c>
      <c r="B77" s="146" t="s">
        <v>511</v>
      </c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>
        <v>1</v>
      </c>
      <c r="T77" s="110">
        <v>1</v>
      </c>
      <c r="U77" s="110">
        <v>2</v>
      </c>
      <c r="V77" s="110"/>
      <c r="W77" s="110"/>
      <c r="X77" s="110"/>
      <c r="Y77" s="110">
        <v>3</v>
      </c>
      <c r="Z77" s="110">
        <v>1</v>
      </c>
      <c r="AA77" s="110">
        <v>636</v>
      </c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279">
        <f>SUM(C77*$C$7)+(D77*$D$7)+(E77*$E$7)+(F77*$F$7)+(G77*$G$7)+(H77*$H$7)+(I77*$I$7)+(J77*$J$7)+(K77*$K$7)+(L77*$L$7)+(M77*$M$7)+(N77*$N$7)+(O77*$O$7)+(P77*$P$7)+(Q77*$Q$7)+(R77*$R$7)+(S77*$S$7)+(T77*$T$7)+(U77*$U$7)+(V77*$V$7)+(W77*$W$7)+(X77*$X$7)+(Y77*$Y$7)+(Z77*$Z$7)+(AA77*$AA$7)+(AB77*$AB$7)+(AC77*$AC$7)+(AD77*$AD$7)+(AE77*$AE$7)+(AF77*$AF$7)+(AG77*$AG$7)+(AH77*$AH$7)+(AI77*$AI$7)+(AJ77*$AJ$7)+(AK77*$AK$7)+(AL77*$AL$7)+(AM77*$AM$7)+(AN77*$AN$7)+(AO77*$AO$7)+(AP77*$AP$7)+(AQ77*$AQ$7)+(AR77*$AR$7)</f>
        <v>6911</v>
      </c>
    </row>
    <row r="78" spans="1:48" ht="15" customHeight="1" thickBot="1">
      <c r="A78" s="182">
        <v>42679</v>
      </c>
      <c r="B78" s="165" t="s">
        <v>517</v>
      </c>
      <c r="C78" s="165"/>
      <c r="D78" s="165"/>
      <c r="E78" s="165"/>
      <c r="F78" s="165"/>
      <c r="G78" s="165"/>
      <c r="H78" s="165"/>
      <c r="I78" s="165"/>
      <c r="J78" s="165"/>
      <c r="K78" s="165"/>
      <c r="L78" s="165">
        <v>8</v>
      </c>
      <c r="M78" s="165">
        <v>1.5</v>
      </c>
      <c r="N78" s="165">
        <v>2.5</v>
      </c>
      <c r="O78" s="165"/>
      <c r="P78" s="165"/>
      <c r="Q78" s="165">
        <v>3</v>
      </c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283">
        <f t="shared" si="8"/>
        <v>1857.5</v>
      </c>
      <c r="AT78" s="287">
        <v>57242.5</v>
      </c>
      <c r="AU78" s="315" t="s">
        <v>518</v>
      </c>
      <c r="AV78" s="257">
        <v>42695</v>
      </c>
    </row>
    <row r="79" spans="1:48" ht="15" customHeight="1">
      <c r="A79" s="188">
        <v>42680</v>
      </c>
      <c r="B79" s="146" t="s">
        <v>519</v>
      </c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>
        <v>1</v>
      </c>
      <c r="T79" s="120">
        <v>1</v>
      </c>
      <c r="U79" s="120">
        <v>1</v>
      </c>
      <c r="V79" s="120"/>
      <c r="W79" s="120"/>
      <c r="X79" s="120"/>
      <c r="Y79" s="120">
        <v>2</v>
      </c>
      <c r="Z79" s="120">
        <v>1</v>
      </c>
      <c r="AA79" s="120">
        <v>300</v>
      </c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279">
        <f t="shared" ref="AS79:AS87" si="9">SUM(C79*$C$7)+(D79*$D$7)+(E79*$E$7)+(F79*$F$7)+(G79*$G$7)+(H79*$H$7)+(I79*$I$7)+(J79*$J$7)+(K79*$K$7)+(L79*$L$7)+(M79*$M$7)+(N79*$N$7)+(O79*$O$7)+(P79*$P$7)+(Q79*$Q$7)+(R79*$R$7)+(S79*$S$7)+(T79*$T$7)+(U79*$U$7)+(V79*$V$7)+(W79*$W$7)+(X79*$X$7)+(Y79*$Y$7)+(Z79*$Z$7)+(AA79*$AA$7)+(AB79*$AB$7)+(AC79*$AC$7)+(AD79*$AD$7)+(AE79*$AE$7)+(AF79*$AF$7)+(AG79*$AG$7)+(AH79*$AH$7)+(AI79*$AI$7)+(AJ79*$AJ$7)+(AK79*$AK$7)+(AL79*$AL$7)+(AM79*$AM$7)+(AN79*$AN$7)+(AO79*$AO$7)+(AP79*$AP$7)+(AQ79*$AQ$7)+(AR79*$AR$7)</f>
        <v>4700</v>
      </c>
    </row>
    <row r="80" spans="1:48" ht="15" customHeight="1">
      <c r="A80" s="188">
        <v>42681</v>
      </c>
      <c r="B80" s="146" t="s">
        <v>520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20">
        <v>1</v>
      </c>
      <c r="T80" s="120">
        <v>1</v>
      </c>
      <c r="U80" s="120">
        <v>1</v>
      </c>
      <c r="V80" s="110"/>
      <c r="W80" s="110"/>
      <c r="X80" s="110"/>
      <c r="Y80" s="120">
        <v>2</v>
      </c>
      <c r="Z80" s="120">
        <v>1</v>
      </c>
      <c r="AA80" s="110">
        <v>300</v>
      </c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279">
        <f t="shared" si="9"/>
        <v>4700</v>
      </c>
    </row>
    <row r="81" spans="1:48" ht="15" customHeight="1">
      <c r="A81" s="188">
        <v>42682</v>
      </c>
      <c r="B81" s="146" t="s">
        <v>521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20">
        <v>1</v>
      </c>
      <c r="T81" s="120">
        <v>1</v>
      </c>
      <c r="U81" s="120">
        <v>1</v>
      </c>
      <c r="V81" s="110"/>
      <c r="W81" s="110"/>
      <c r="X81" s="110"/>
      <c r="Y81" s="120">
        <v>2</v>
      </c>
      <c r="Z81" s="120">
        <v>1</v>
      </c>
      <c r="AA81" s="110">
        <v>300</v>
      </c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279">
        <f t="shared" ref="AS81:AS83" si="10">SUM(C81*$C$7)+(D81*$D$7)+(E81*$E$7)+(F81*$F$7)+(G81*$G$7)+(H81*$H$7)+(I81*$I$7)+(J81*$J$7)+(K81*$K$7)+(L81*$L$7)+(M81*$M$7)+(N81*$N$7)+(O81*$O$7)+(P81*$P$7)+(Q81*$Q$7)+(R81*$R$7)+(S81*$S$7)+(T81*$T$7)+(U81*$U$7)+(V81*$V$7)+(W81*$W$7)+(X81*$X$7)+(Y81*$Y$7)+(Z81*$Z$7)+(AA81*$AA$7)+(AB81*$AB$7)+(AC81*$AC$7)+(AD81*$AD$7)+(AE81*$AE$7)+(AF81*$AF$7)+(AG81*$AG$7)+(AH81*$AH$7)+(AI81*$AI$7)+(AJ81*$AJ$7)+(AK81*$AK$7)+(AL81*$AL$7)+(AM81*$AM$7)+(AN81*$AN$7)+(AO81*$AO$7)+(AP81*$AP$7)+(AQ81*$AQ$7)+(AR81*$AR$7)</f>
        <v>4700</v>
      </c>
    </row>
    <row r="82" spans="1:48" ht="15" customHeight="1">
      <c r="A82" s="188">
        <v>42683</v>
      </c>
      <c r="B82" s="146" t="s">
        <v>522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20">
        <v>1</v>
      </c>
      <c r="T82" s="120">
        <v>1</v>
      </c>
      <c r="U82" s="120">
        <v>2</v>
      </c>
      <c r="V82" s="110"/>
      <c r="W82" s="110"/>
      <c r="X82" s="110"/>
      <c r="Y82" s="120">
        <v>3</v>
      </c>
      <c r="Z82" s="120">
        <v>1</v>
      </c>
      <c r="AA82" s="110">
        <v>565</v>
      </c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279">
        <f t="shared" si="10"/>
        <v>6840</v>
      </c>
    </row>
    <row r="83" spans="1:48" ht="15" customHeight="1">
      <c r="A83" s="188">
        <v>42684</v>
      </c>
      <c r="B83" s="146" t="s">
        <v>523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20">
        <v>1</v>
      </c>
      <c r="T83" s="120">
        <v>1</v>
      </c>
      <c r="U83" s="120">
        <v>2</v>
      </c>
      <c r="V83" s="110"/>
      <c r="W83" s="110"/>
      <c r="X83" s="110"/>
      <c r="Y83" s="120">
        <v>3</v>
      </c>
      <c r="Z83" s="120">
        <v>1</v>
      </c>
      <c r="AA83" s="110">
        <v>558</v>
      </c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279">
        <f t="shared" si="10"/>
        <v>6833</v>
      </c>
    </row>
    <row r="84" spans="1:48" ht="15" customHeight="1">
      <c r="A84" s="188">
        <v>42685</v>
      </c>
      <c r="B84" s="146" t="s">
        <v>524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20">
        <v>1</v>
      </c>
      <c r="T84" s="120">
        <v>1</v>
      </c>
      <c r="U84" s="120">
        <v>1</v>
      </c>
      <c r="V84" s="110"/>
      <c r="W84" s="110"/>
      <c r="X84" s="110"/>
      <c r="Y84" s="120">
        <v>2</v>
      </c>
      <c r="Z84" s="120">
        <v>1</v>
      </c>
      <c r="AA84" s="110">
        <v>300</v>
      </c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279">
        <f t="shared" ref="AS84:AS85" si="11">SUM(C84*$C$7)+(D84*$D$7)+(E84*$E$7)+(F84*$F$7)+(G84*$G$7)+(H84*$H$7)+(I84*$I$7)+(J84*$J$7)+(K84*$K$7)+(L84*$L$7)+(M84*$M$7)+(N84*$N$7)+(O84*$O$7)+(P84*$P$7)+(Q84*$Q$7)+(R84*$R$7)+(S84*$S$7)+(T84*$T$7)+(U84*$U$7)+(V84*$V$7)+(W84*$W$7)+(X84*$X$7)+(Y84*$Y$7)+(Z84*$Z$7)+(AA84*$AA$7)+(AB84*$AB$7)+(AC84*$AC$7)+(AD84*$AD$7)+(AE84*$AE$7)+(AF84*$AF$7)+(AG84*$AG$7)+(AH84*$AH$7)+(AI84*$AI$7)+(AJ84*$AJ$7)+(AK84*$AK$7)+(AL84*$AL$7)+(AM84*$AM$7)+(AN84*$AN$7)+(AO84*$AO$7)+(AP84*$AP$7)+(AQ84*$AQ$7)+(AR84*$AR$7)</f>
        <v>4700</v>
      </c>
    </row>
    <row r="85" spans="1:48" ht="15" customHeight="1">
      <c r="A85" s="188">
        <v>42686</v>
      </c>
      <c r="B85" s="146" t="s">
        <v>525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>
        <v>1</v>
      </c>
      <c r="T85" s="110">
        <v>1</v>
      </c>
      <c r="U85" s="110">
        <v>1</v>
      </c>
      <c r="V85" s="110"/>
      <c r="W85" s="110"/>
      <c r="X85" s="110"/>
      <c r="Y85" s="110">
        <v>2</v>
      </c>
      <c r="Z85" s="110">
        <v>1</v>
      </c>
      <c r="AA85" s="110">
        <v>300</v>
      </c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279">
        <f t="shared" si="11"/>
        <v>4700</v>
      </c>
    </row>
    <row r="86" spans="1:48" ht="15" customHeight="1">
      <c r="A86" s="172">
        <v>42686</v>
      </c>
      <c r="B86" s="110" t="s">
        <v>526</v>
      </c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>
        <v>7</v>
      </c>
      <c r="AF86" s="110">
        <v>7</v>
      </c>
      <c r="AG86" s="110"/>
      <c r="AH86" s="110">
        <v>7</v>
      </c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279">
        <f t="shared" si="9"/>
        <v>4200</v>
      </c>
    </row>
    <row r="87" spans="1:48" ht="15" customHeight="1" thickBot="1">
      <c r="A87" s="182">
        <v>42686</v>
      </c>
      <c r="B87" s="165" t="s">
        <v>527</v>
      </c>
      <c r="C87" s="165"/>
      <c r="D87" s="165"/>
      <c r="E87" s="165"/>
      <c r="F87" s="165"/>
      <c r="G87" s="165"/>
      <c r="H87" s="165"/>
      <c r="I87" s="165"/>
      <c r="J87" s="165"/>
      <c r="K87" s="165"/>
      <c r="L87" s="165">
        <v>4</v>
      </c>
      <c r="M87" s="165">
        <v>1</v>
      </c>
      <c r="N87" s="165">
        <v>2.5</v>
      </c>
      <c r="O87" s="165"/>
      <c r="P87" s="165"/>
      <c r="Q87" s="165">
        <v>3</v>
      </c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283">
        <f t="shared" si="9"/>
        <v>1235</v>
      </c>
      <c r="AT87" s="287">
        <v>42608</v>
      </c>
      <c r="AU87" s="315" t="s">
        <v>528</v>
      </c>
      <c r="AV87" s="257">
        <v>42699</v>
      </c>
    </row>
    <row r="88" spans="1:48" ht="15" customHeight="1">
      <c r="A88" s="188">
        <v>42693</v>
      </c>
      <c r="B88" s="120" t="s">
        <v>565</v>
      </c>
      <c r="C88" s="120"/>
      <c r="D88" s="120"/>
      <c r="E88" s="120"/>
      <c r="F88" s="120"/>
      <c r="G88" s="120"/>
      <c r="H88" s="120"/>
      <c r="I88" s="120">
        <v>2</v>
      </c>
      <c r="J88" s="120"/>
      <c r="K88" s="120"/>
      <c r="L88" s="120">
        <v>6</v>
      </c>
      <c r="M88" s="120"/>
      <c r="N88" s="120">
        <v>1.5</v>
      </c>
      <c r="O88" s="120"/>
      <c r="P88" s="120"/>
      <c r="Q88" s="120">
        <v>6</v>
      </c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282">
        <f t="shared" si="8"/>
        <v>2040</v>
      </c>
    </row>
    <row r="89" spans="1:48" ht="15" customHeight="1">
      <c r="A89" s="172">
        <v>42687</v>
      </c>
      <c r="B89" s="110" t="s">
        <v>566</v>
      </c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>
        <v>1</v>
      </c>
      <c r="T89" s="110">
        <v>1</v>
      </c>
      <c r="U89" s="110">
        <v>2</v>
      </c>
      <c r="V89" s="110"/>
      <c r="W89" s="110"/>
      <c r="X89" s="110"/>
      <c r="Y89" s="110">
        <v>3</v>
      </c>
      <c r="Z89" s="110">
        <v>1</v>
      </c>
      <c r="AA89" s="110">
        <v>488</v>
      </c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282">
        <f t="shared" si="8"/>
        <v>6763</v>
      </c>
    </row>
    <row r="90" spans="1:48" ht="15" customHeight="1">
      <c r="A90" s="172">
        <v>42688</v>
      </c>
      <c r="B90" s="110" t="s">
        <v>567</v>
      </c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>
        <v>1</v>
      </c>
      <c r="T90" s="110">
        <v>1</v>
      </c>
      <c r="U90" s="110">
        <v>1</v>
      </c>
      <c r="V90" s="110"/>
      <c r="W90" s="110"/>
      <c r="X90" s="110"/>
      <c r="Y90" s="110">
        <v>2</v>
      </c>
      <c r="Z90" s="110">
        <v>1</v>
      </c>
      <c r="AA90" s="110">
        <v>300</v>
      </c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282">
        <f t="shared" si="8"/>
        <v>4700</v>
      </c>
    </row>
    <row r="91" spans="1:48" ht="15" customHeight="1">
      <c r="A91" s="172">
        <v>42689</v>
      </c>
      <c r="B91" s="110" t="s">
        <v>568</v>
      </c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>
        <v>2</v>
      </c>
      <c r="T91" s="110">
        <v>1</v>
      </c>
      <c r="U91" s="110">
        <v>2</v>
      </c>
      <c r="V91" s="110"/>
      <c r="W91" s="110"/>
      <c r="X91" s="110"/>
      <c r="Y91" s="110">
        <v>4</v>
      </c>
      <c r="Z91" s="110">
        <v>1</v>
      </c>
      <c r="AA91" s="110">
        <v>1096</v>
      </c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282">
        <f t="shared" si="8"/>
        <v>8841</v>
      </c>
    </row>
    <row r="92" spans="1:48" ht="15" customHeight="1">
      <c r="A92" s="172">
        <v>42690</v>
      </c>
      <c r="B92" s="110" t="s">
        <v>569</v>
      </c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>
        <v>2</v>
      </c>
      <c r="T92" s="110">
        <v>1</v>
      </c>
      <c r="U92" s="110">
        <v>1</v>
      </c>
      <c r="V92" s="110"/>
      <c r="W92" s="110"/>
      <c r="X92" s="110"/>
      <c r="Y92" s="110">
        <v>2</v>
      </c>
      <c r="Z92" s="110">
        <v>2</v>
      </c>
      <c r="AA92" s="110">
        <v>544</v>
      </c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282">
        <f t="shared" si="8"/>
        <v>6199</v>
      </c>
    </row>
    <row r="93" spans="1:48" ht="15" customHeight="1">
      <c r="A93" s="172">
        <v>42691</v>
      </c>
      <c r="B93" s="110" t="s">
        <v>570</v>
      </c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>
        <v>1</v>
      </c>
      <c r="T93" s="110">
        <v>1</v>
      </c>
      <c r="U93" s="110">
        <v>1</v>
      </c>
      <c r="V93" s="110"/>
      <c r="W93" s="110"/>
      <c r="X93" s="110"/>
      <c r="Y93" s="110">
        <v>2</v>
      </c>
      <c r="Z93" s="110">
        <v>1</v>
      </c>
      <c r="AA93" s="110">
        <v>300</v>
      </c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279">
        <f t="shared" ref="AS93:AS96" si="12">SUM(C93*$C$7)+(D93*$D$7)+(E93*$E$7)+(F93*$F$7)+(G93*$G$7)+(H93*$H$7)+(I93*$I$7)+(J93*$J$7)+(K93*$K$7)+(L93*$L$7)+(M93*$M$7)+(N93*$N$7)+(O93*$O$7)+(P93*$P$7)+(Q93*$Q$7)+(R93*$R$7)+(S93*$S$7)+(T93*$T$7)+(U93*$U$7)+(V93*$V$7)+(W93*$W$7)+(X93*$X$7)+(Y93*$Y$7)+(Z93*$Z$7)+(AA93*$AA$7)+(AB93*$AB$7)+(AC93*$AC$7)+(AD93*$AD$7)+(AE93*$AE$7)+(AF93*$AF$7)+(AG93*$AG$7)+(AH93*$AH$7)+(AI93*$AI$7)+(AJ93*$AJ$7)+(AK93*$AK$7)+(AL93*$AL$7)+(AM93*$AM$7)+(AN93*$AN$7)+(AO93*$AO$7)+(AP93*$AP$7)+(AQ93*$AQ$7)+(AR93*$AR$7)</f>
        <v>4700</v>
      </c>
    </row>
    <row r="94" spans="1:48" ht="15" customHeight="1">
      <c r="A94" s="172">
        <v>42692</v>
      </c>
      <c r="B94" s="110" t="s">
        <v>571</v>
      </c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>
        <v>1</v>
      </c>
      <c r="T94" s="110">
        <v>1</v>
      </c>
      <c r="U94" s="110">
        <v>1</v>
      </c>
      <c r="V94" s="110"/>
      <c r="W94" s="110"/>
      <c r="X94" s="110"/>
      <c r="Y94" s="110">
        <v>2</v>
      </c>
      <c r="Z94" s="110">
        <v>1</v>
      </c>
      <c r="AA94" s="110">
        <v>300</v>
      </c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279">
        <f t="shared" si="12"/>
        <v>4700</v>
      </c>
    </row>
    <row r="95" spans="1:48" ht="15" customHeight="1">
      <c r="A95" s="172">
        <v>42693</v>
      </c>
      <c r="B95" s="110" t="s">
        <v>572</v>
      </c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>
        <v>2</v>
      </c>
      <c r="T95" s="110">
        <v>2</v>
      </c>
      <c r="U95" s="110">
        <v>1</v>
      </c>
      <c r="V95" s="110"/>
      <c r="W95" s="110"/>
      <c r="X95" s="110"/>
      <c r="Y95" s="110">
        <v>4</v>
      </c>
      <c r="Z95" s="110">
        <v>1</v>
      </c>
      <c r="AA95" s="110">
        <v>1419</v>
      </c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279">
        <f t="shared" si="12"/>
        <v>8559</v>
      </c>
    </row>
    <row r="96" spans="1:48" ht="15" customHeight="1" thickBot="1">
      <c r="A96" s="182">
        <v>42693</v>
      </c>
      <c r="B96" s="165" t="s">
        <v>573</v>
      </c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>
        <v>7</v>
      </c>
      <c r="AF96" s="165">
        <v>7</v>
      </c>
      <c r="AG96" s="165"/>
      <c r="AH96" s="165">
        <v>7</v>
      </c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283">
        <f t="shared" si="12"/>
        <v>4200</v>
      </c>
      <c r="AT96" s="287">
        <v>50702</v>
      </c>
      <c r="AU96" s="315" t="s">
        <v>574</v>
      </c>
      <c r="AV96" s="257">
        <v>42693</v>
      </c>
    </row>
    <row r="97" spans="1:46" ht="1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282">
        <f t="shared" ref="AS97:AS98" si="13">SUM(C97*$C$7)+(D97*$D$7)+(E97*$E$7)+(F97*$F$7)+(G97*$G$7)+(H97*$H$7)+(I97*$I$7)+(J97*$J$7)+(K97*$K$7)+(L97*$L$7)+(M97*$M$7)+(N97*$N$7)+(O97*$O$7)+(P97*$P$7)+(Q97*$Q$7)+(R97*$R$7)+(S97*$S$7)+(T97*$T$7)+(U97*$U$7)+(V97*$V$7)+(W97*$W$7)+(X97*$X$7)+(Y97*$Y$7)+(Z97*$Z$7)+(AA97*$AA$7)+(AB97*$AB$7)+(AC97*$AC$7)+(AD97*$AD$7)+(AE97*$AE$7)+(AF97*$AF$7)+(AG97*$AG$7)+(AH97*$AH$7)+(AI97*$AI$7)+(AJ97*$AJ$7)+(AK97*$AK$7)+(AL97*$AL$7)+(AM97*$AM$7)+(AN97*$AN$7)+(AO97*$AO$7)+(AP97*$AP$7)+(AQ97*$AQ$7)+(AR97*$AR$7)</f>
        <v>0</v>
      </c>
    </row>
    <row r="98" spans="1:46" ht="1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279">
        <f t="shared" si="13"/>
        <v>0</v>
      </c>
    </row>
    <row r="99" spans="1:46" ht="1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279">
        <f t="shared" si="7"/>
        <v>0</v>
      </c>
    </row>
    <row r="100" spans="1:46" ht="1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279">
        <f t="shared" si="7"/>
        <v>0</v>
      </c>
    </row>
    <row r="101" spans="1:46" ht="1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279">
        <f t="shared" si="7"/>
        <v>0</v>
      </c>
    </row>
    <row r="102" spans="1:46" ht="1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279">
        <f t="shared" si="7"/>
        <v>0</v>
      </c>
    </row>
    <row r="103" spans="1:46" ht="1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279">
        <f t="shared" si="7"/>
        <v>0</v>
      </c>
    </row>
    <row r="108" spans="1:46">
      <c r="AS108" s="107">
        <f>SUM(AS8:AS107)</f>
        <v>358505.67</v>
      </c>
      <c r="AT108" s="158">
        <f>SUM(AT8:AT107)</f>
        <v>358505.67</v>
      </c>
    </row>
  </sheetData>
  <mergeCells count="10">
    <mergeCell ref="D4:P4"/>
    <mergeCell ref="U4:AF4"/>
    <mergeCell ref="AG5:AK5"/>
    <mergeCell ref="AL5:AP5"/>
    <mergeCell ref="C5:G5"/>
    <mergeCell ref="H5:L5"/>
    <mergeCell ref="M5:Q5"/>
    <mergeCell ref="R5:V5"/>
    <mergeCell ref="W5:AA5"/>
    <mergeCell ref="AB5:AF5"/>
  </mergeCells>
  <pageMargins left="0.7" right="0.7" top="0.75" bottom="0.75" header="0.3" footer="0.3"/>
  <pageSetup scale="7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3366FF"/>
    <pageSetUpPr fitToPage="1"/>
  </sheetPr>
  <dimension ref="A1:AX67"/>
  <sheetViews>
    <sheetView workbookViewId="0">
      <pane ySplit="7" topLeftCell="A15" activePane="bottomLeft" state="frozen"/>
      <selection pane="bottomLeft" activeCell="P19" sqref="P19"/>
    </sheetView>
  </sheetViews>
  <sheetFormatPr baseColWidth="10" defaultColWidth="8.83203125" defaultRowHeight="12" x14ac:dyDescent="0"/>
  <cols>
    <col min="1" max="1" width="7.6640625" style="219" customWidth="1"/>
    <col min="2" max="2" width="14.5" style="99" customWidth="1"/>
    <col min="3" max="6" width="3.6640625" style="62" customWidth="1"/>
    <col min="7" max="7" width="3.33203125" style="62" customWidth="1"/>
    <col min="8" max="37" width="3.6640625" style="62" customWidth="1"/>
    <col min="38" max="44" width="3.6640625" style="80" customWidth="1"/>
    <col min="45" max="45" width="12.6640625" style="80" customWidth="1"/>
    <col min="46" max="46" width="14" style="198" customWidth="1"/>
    <col min="47" max="47" width="13.5" style="216" customWidth="1"/>
    <col min="48" max="48" width="12.83203125" style="202" customWidth="1"/>
    <col min="49" max="171" width="8.83203125" style="80"/>
    <col min="172" max="172" width="5.6640625" style="80" customWidth="1"/>
    <col min="173" max="173" width="9.83203125" style="80" customWidth="1"/>
    <col min="174" max="184" width="4" style="80" customWidth="1"/>
    <col min="185" max="185" width="4.6640625" style="80" customWidth="1"/>
    <col min="186" max="186" width="5.6640625" style="80" customWidth="1"/>
    <col min="187" max="188" width="7.6640625" style="80" customWidth="1"/>
    <col min="189" max="189" width="9.5" style="80" customWidth="1"/>
    <col min="190" max="190" width="8.83203125" style="80"/>
    <col min="191" max="191" width="11.6640625" style="80" customWidth="1"/>
    <col min="192" max="427" width="8.83203125" style="80"/>
    <col min="428" max="428" width="5.6640625" style="80" customWidth="1"/>
    <col min="429" max="429" width="9.83203125" style="80" customWidth="1"/>
    <col min="430" max="440" width="4" style="80" customWidth="1"/>
    <col min="441" max="441" width="4.6640625" style="80" customWidth="1"/>
    <col min="442" max="442" width="5.6640625" style="80" customWidth="1"/>
    <col min="443" max="444" width="7.6640625" style="80" customWidth="1"/>
    <col min="445" max="445" width="9.5" style="80" customWidth="1"/>
    <col min="446" max="446" width="8.83203125" style="80"/>
    <col min="447" max="447" width="11.6640625" style="80" customWidth="1"/>
    <col min="448" max="683" width="8.83203125" style="80"/>
    <col min="684" max="684" width="5.6640625" style="80" customWidth="1"/>
    <col min="685" max="685" width="9.83203125" style="80" customWidth="1"/>
    <col min="686" max="696" width="4" style="80" customWidth="1"/>
    <col min="697" max="697" width="4.6640625" style="80" customWidth="1"/>
    <col min="698" max="698" width="5.6640625" style="80" customWidth="1"/>
    <col min="699" max="700" width="7.6640625" style="80" customWidth="1"/>
    <col min="701" max="701" width="9.5" style="80" customWidth="1"/>
    <col min="702" max="702" width="8.83203125" style="80"/>
    <col min="703" max="703" width="11.6640625" style="80" customWidth="1"/>
    <col min="704" max="939" width="8.83203125" style="80"/>
    <col min="940" max="940" width="5.6640625" style="80" customWidth="1"/>
    <col min="941" max="941" width="9.83203125" style="80" customWidth="1"/>
    <col min="942" max="952" width="4" style="80" customWidth="1"/>
    <col min="953" max="953" width="4.6640625" style="80" customWidth="1"/>
    <col min="954" max="954" width="5.6640625" style="80" customWidth="1"/>
    <col min="955" max="956" width="7.6640625" style="80" customWidth="1"/>
    <col min="957" max="957" width="9.5" style="80" customWidth="1"/>
    <col min="958" max="958" width="8.83203125" style="80"/>
    <col min="959" max="959" width="11.6640625" style="80" customWidth="1"/>
    <col min="960" max="1195" width="8.83203125" style="80"/>
    <col min="1196" max="1196" width="5.6640625" style="80" customWidth="1"/>
    <col min="1197" max="1197" width="9.83203125" style="80" customWidth="1"/>
    <col min="1198" max="1208" width="4" style="80" customWidth="1"/>
    <col min="1209" max="1209" width="4.6640625" style="80" customWidth="1"/>
    <col min="1210" max="1210" width="5.6640625" style="80" customWidth="1"/>
    <col min="1211" max="1212" width="7.6640625" style="80" customWidth="1"/>
    <col min="1213" max="1213" width="9.5" style="80" customWidth="1"/>
    <col min="1214" max="1214" width="8.83203125" style="80"/>
    <col min="1215" max="1215" width="11.6640625" style="80" customWidth="1"/>
    <col min="1216" max="1451" width="8.83203125" style="80"/>
    <col min="1452" max="1452" width="5.6640625" style="80" customWidth="1"/>
    <col min="1453" max="1453" width="9.83203125" style="80" customWidth="1"/>
    <col min="1454" max="1464" width="4" style="80" customWidth="1"/>
    <col min="1465" max="1465" width="4.6640625" style="80" customWidth="1"/>
    <col min="1466" max="1466" width="5.6640625" style="80" customWidth="1"/>
    <col min="1467" max="1468" width="7.6640625" style="80" customWidth="1"/>
    <col min="1469" max="1469" width="9.5" style="80" customWidth="1"/>
    <col min="1470" max="1470" width="8.83203125" style="80"/>
    <col min="1471" max="1471" width="11.6640625" style="80" customWidth="1"/>
    <col min="1472" max="1707" width="8.83203125" style="80"/>
    <col min="1708" max="1708" width="5.6640625" style="80" customWidth="1"/>
    <col min="1709" max="1709" width="9.83203125" style="80" customWidth="1"/>
    <col min="1710" max="1720" width="4" style="80" customWidth="1"/>
    <col min="1721" max="1721" width="4.6640625" style="80" customWidth="1"/>
    <col min="1722" max="1722" width="5.6640625" style="80" customWidth="1"/>
    <col min="1723" max="1724" width="7.6640625" style="80" customWidth="1"/>
    <col min="1725" max="1725" width="9.5" style="80" customWidth="1"/>
    <col min="1726" max="1726" width="8.83203125" style="80"/>
    <col min="1727" max="1727" width="11.6640625" style="80" customWidth="1"/>
    <col min="1728" max="1963" width="8.83203125" style="80"/>
    <col min="1964" max="1964" width="5.6640625" style="80" customWidth="1"/>
    <col min="1965" max="1965" width="9.83203125" style="80" customWidth="1"/>
    <col min="1966" max="1976" width="4" style="80" customWidth="1"/>
    <col min="1977" max="1977" width="4.6640625" style="80" customWidth="1"/>
    <col min="1978" max="1978" width="5.6640625" style="80" customWidth="1"/>
    <col min="1979" max="1980" width="7.6640625" style="80" customWidth="1"/>
    <col min="1981" max="1981" width="9.5" style="80" customWidth="1"/>
    <col min="1982" max="1982" width="8.83203125" style="80"/>
    <col min="1983" max="1983" width="11.6640625" style="80" customWidth="1"/>
    <col min="1984" max="2219" width="8.83203125" style="80"/>
    <col min="2220" max="2220" width="5.6640625" style="80" customWidth="1"/>
    <col min="2221" max="2221" width="9.83203125" style="80" customWidth="1"/>
    <col min="2222" max="2232" width="4" style="80" customWidth="1"/>
    <col min="2233" max="2233" width="4.6640625" style="80" customWidth="1"/>
    <col min="2234" max="2234" width="5.6640625" style="80" customWidth="1"/>
    <col min="2235" max="2236" width="7.6640625" style="80" customWidth="1"/>
    <col min="2237" max="2237" width="9.5" style="80" customWidth="1"/>
    <col min="2238" max="2238" width="8.83203125" style="80"/>
    <col min="2239" max="2239" width="11.6640625" style="80" customWidth="1"/>
    <col min="2240" max="2475" width="8.83203125" style="80"/>
    <col min="2476" max="2476" width="5.6640625" style="80" customWidth="1"/>
    <col min="2477" max="2477" width="9.83203125" style="80" customWidth="1"/>
    <col min="2478" max="2488" width="4" style="80" customWidth="1"/>
    <col min="2489" max="2489" width="4.6640625" style="80" customWidth="1"/>
    <col min="2490" max="2490" width="5.6640625" style="80" customWidth="1"/>
    <col min="2491" max="2492" width="7.6640625" style="80" customWidth="1"/>
    <col min="2493" max="2493" width="9.5" style="80" customWidth="1"/>
    <col min="2494" max="2494" width="8.83203125" style="80"/>
    <col min="2495" max="2495" width="11.6640625" style="80" customWidth="1"/>
    <col min="2496" max="2731" width="8.83203125" style="80"/>
    <col min="2732" max="2732" width="5.6640625" style="80" customWidth="1"/>
    <col min="2733" max="2733" width="9.83203125" style="80" customWidth="1"/>
    <col min="2734" max="2744" width="4" style="80" customWidth="1"/>
    <col min="2745" max="2745" width="4.6640625" style="80" customWidth="1"/>
    <col min="2746" max="2746" width="5.6640625" style="80" customWidth="1"/>
    <col min="2747" max="2748" width="7.6640625" style="80" customWidth="1"/>
    <col min="2749" max="2749" width="9.5" style="80" customWidth="1"/>
    <col min="2750" max="2750" width="8.83203125" style="80"/>
    <col min="2751" max="2751" width="11.6640625" style="80" customWidth="1"/>
    <col min="2752" max="2987" width="8.83203125" style="80"/>
    <col min="2988" max="2988" width="5.6640625" style="80" customWidth="1"/>
    <col min="2989" max="2989" width="9.83203125" style="80" customWidth="1"/>
    <col min="2990" max="3000" width="4" style="80" customWidth="1"/>
    <col min="3001" max="3001" width="4.6640625" style="80" customWidth="1"/>
    <col min="3002" max="3002" width="5.6640625" style="80" customWidth="1"/>
    <col min="3003" max="3004" width="7.6640625" style="80" customWidth="1"/>
    <col min="3005" max="3005" width="9.5" style="80" customWidth="1"/>
    <col min="3006" max="3006" width="8.83203125" style="80"/>
    <col min="3007" max="3007" width="11.6640625" style="80" customWidth="1"/>
    <col min="3008" max="3243" width="8.83203125" style="80"/>
    <col min="3244" max="3244" width="5.6640625" style="80" customWidth="1"/>
    <col min="3245" max="3245" width="9.83203125" style="80" customWidth="1"/>
    <col min="3246" max="3256" width="4" style="80" customWidth="1"/>
    <col min="3257" max="3257" width="4.6640625" style="80" customWidth="1"/>
    <col min="3258" max="3258" width="5.6640625" style="80" customWidth="1"/>
    <col min="3259" max="3260" width="7.6640625" style="80" customWidth="1"/>
    <col min="3261" max="3261" width="9.5" style="80" customWidth="1"/>
    <col min="3262" max="3262" width="8.83203125" style="80"/>
    <col min="3263" max="3263" width="11.6640625" style="80" customWidth="1"/>
    <col min="3264" max="3499" width="8.83203125" style="80"/>
    <col min="3500" max="3500" width="5.6640625" style="80" customWidth="1"/>
    <col min="3501" max="3501" width="9.83203125" style="80" customWidth="1"/>
    <col min="3502" max="3512" width="4" style="80" customWidth="1"/>
    <col min="3513" max="3513" width="4.6640625" style="80" customWidth="1"/>
    <col min="3514" max="3514" width="5.6640625" style="80" customWidth="1"/>
    <col min="3515" max="3516" width="7.6640625" style="80" customWidth="1"/>
    <col min="3517" max="3517" width="9.5" style="80" customWidth="1"/>
    <col min="3518" max="3518" width="8.83203125" style="80"/>
    <col min="3519" max="3519" width="11.6640625" style="80" customWidth="1"/>
    <col min="3520" max="3755" width="8.83203125" style="80"/>
    <col min="3756" max="3756" width="5.6640625" style="80" customWidth="1"/>
    <col min="3757" max="3757" width="9.83203125" style="80" customWidth="1"/>
    <col min="3758" max="3768" width="4" style="80" customWidth="1"/>
    <col min="3769" max="3769" width="4.6640625" style="80" customWidth="1"/>
    <col min="3770" max="3770" width="5.6640625" style="80" customWidth="1"/>
    <col min="3771" max="3772" width="7.6640625" style="80" customWidth="1"/>
    <col min="3773" max="3773" width="9.5" style="80" customWidth="1"/>
    <col min="3774" max="3774" width="8.83203125" style="80"/>
    <col min="3775" max="3775" width="11.6640625" style="80" customWidth="1"/>
    <col min="3776" max="4011" width="8.83203125" style="80"/>
    <col min="4012" max="4012" width="5.6640625" style="80" customWidth="1"/>
    <col min="4013" max="4013" width="9.83203125" style="80" customWidth="1"/>
    <col min="4014" max="4024" width="4" style="80" customWidth="1"/>
    <col min="4025" max="4025" width="4.6640625" style="80" customWidth="1"/>
    <col min="4026" max="4026" width="5.6640625" style="80" customWidth="1"/>
    <col min="4027" max="4028" width="7.6640625" style="80" customWidth="1"/>
    <col min="4029" max="4029" width="9.5" style="80" customWidth="1"/>
    <col min="4030" max="4030" width="8.83203125" style="80"/>
    <col min="4031" max="4031" width="11.6640625" style="80" customWidth="1"/>
    <col min="4032" max="4267" width="8.83203125" style="80"/>
    <col min="4268" max="4268" width="5.6640625" style="80" customWidth="1"/>
    <col min="4269" max="4269" width="9.83203125" style="80" customWidth="1"/>
    <col min="4270" max="4280" width="4" style="80" customWidth="1"/>
    <col min="4281" max="4281" width="4.6640625" style="80" customWidth="1"/>
    <col min="4282" max="4282" width="5.6640625" style="80" customWidth="1"/>
    <col min="4283" max="4284" width="7.6640625" style="80" customWidth="1"/>
    <col min="4285" max="4285" width="9.5" style="80" customWidth="1"/>
    <col min="4286" max="4286" width="8.83203125" style="80"/>
    <col min="4287" max="4287" width="11.6640625" style="80" customWidth="1"/>
    <col min="4288" max="4523" width="8.83203125" style="80"/>
    <col min="4524" max="4524" width="5.6640625" style="80" customWidth="1"/>
    <col min="4525" max="4525" width="9.83203125" style="80" customWidth="1"/>
    <col min="4526" max="4536" width="4" style="80" customWidth="1"/>
    <col min="4537" max="4537" width="4.6640625" style="80" customWidth="1"/>
    <col min="4538" max="4538" width="5.6640625" style="80" customWidth="1"/>
    <col min="4539" max="4540" width="7.6640625" style="80" customWidth="1"/>
    <col min="4541" max="4541" width="9.5" style="80" customWidth="1"/>
    <col min="4542" max="4542" width="8.83203125" style="80"/>
    <col min="4543" max="4543" width="11.6640625" style="80" customWidth="1"/>
    <col min="4544" max="4779" width="8.83203125" style="80"/>
    <col min="4780" max="4780" width="5.6640625" style="80" customWidth="1"/>
    <col min="4781" max="4781" width="9.83203125" style="80" customWidth="1"/>
    <col min="4782" max="4792" width="4" style="80" customWidth="1"/>
    <col min="4793" max="4793" width="4.6640625" style="80" customWidth="1"/>
    <col min="4794" max="4794" width="5.6640625" style="80" customWidth="1"/>
    <col min="4795" max="4796" width="7.6640625" style="80" customWidth="1"/>
    <col min="4797" max="4797" width="9.5" style="80" customWidth="1"/>
    <col min="4798" max="4798" width="8.83203125" style="80"/>
    <col min="4799" max="4799" width="11.6640625" style="80" customWidth="1"/>
    <col min="4800" max="5035" width="8.83203125" style="80"/>
    <col min="5036" max="5036" width="5.6640625" style="80" customWidth="1"/>
    <col min="5037" max="5037" width="9.83203125" style="80" customWidth="1"/>
    <col min="5038" max="5048" width="4" style="80" customWidth="1"/>
    <col min="5049" max="5049" width="4.6640625" style="80" customWidth="1"/>
    <col min="5050" max="5050" width="5.6640625" style="80" customWidth="1"/>
    <col min="5051" max="5052" width="7.6640625" style="80" customWidth="1"/>
    <col min="5053" max="5053" width="9.5" style="80" customWidth="1"/>
    <col min="5054" max="5054" width="8.83203125" style="80"/>
    <col min="5055" max="5055" width="11.6640625" style="80" customWidth="1"/>
    <col min="5056" max="5291" width="8.83203125" style="80"/>
    <col min="5292" max="5292" width="5.6640625" style="80" customWidth="1"/>
    <col min="5293" max="5293" width="9.83203125" style="80" customWidth="1"/>
    <col min="5294" max="5304" width="4" style="80" customWidth="1"/>
    <col min="5305" max="5305" width="4.6640625" style="80" customWidth="1"/>
    <col min="5306" max="5306" width="5.6640625" style="80" customWidth="1"/>
    <col min="5307" max="5308" width="7.6640625" style="80" customWidth="1"/>
    <col min="5309" max="5309" width="9.5" style="80" customWidth="1"/>
    <col min="5310" max="5310" width="8.83203125" style="80"/>
    <col min="5311" max="5311" width="11.6640625" style="80" customWidth="1"/>
    <col min="5312" max="5547" width="8.83203125" style="80"/>
    <col min="5548" max="5548" width="5.6640625" style="80" customWidth="1"/>
    <col min="5549" max="5549" width="9.83203125" style="80" customWidth="1"/>
    <col min="5550" max="5560" width="4" style="80" customWidth="1"/>
    <col min="5561" max="5561" width="4.6640625" style="80" customWidth="1"/>
    <col min="5562" max="5562" width="5.6640625" style="80" customWidth="1"/>
    <col min="5563" max="5564" width="7.6640625" style="80" customWidth="1"/>
    <col min="5565" max="5565" width="9.5" style="80" customWidth="1"/>
    <col min="5566" max="5566" width="8.83203125" style="80"/>
    <col min="5567" max="5567" width="11.6640625" style="80" customWidth="1"/>
    <col min="5568" max="5803" width="8.83203125" style="80"/>
    <col min="5804" max="5804" width="5.6640625" style="80" customWidth="1"/>
    <col min="5805" max="5805" width="9.83203125" style="80" customWidth="1"/>
    <col min="5806" max="5816" width="4" style="80" customWidth="1"/>
    <col min="5817" max="5817" width="4.6640625" style="80" customWidth="1"/>
    <col min="5818" max="5818" width="5.6640625" style="80" customWidth="1"/>
    <col min="5819" max="5820" width="7.6640625" style="80" customWidth="1"/>
    <col min="5821" max="5821" width="9.5" style="80" customWidth="1"/>
    <col min="5822" max="5822" width="8.83203125" style="80"/>
    <col min="5823" max="5823" width="11.6640625" style="80" customWidth="1"/>
    <col min="5824" max="6059" width="8.83203125" style="80"/>
    <col min="6060" max="6060" width="5.6640625" style="80" customWidth="1"/>
    <col min="6061" max="6061" width="9.83203125" style="80" customWidth="1"/>
    <col min="6062" max="6072" width="4" style="80" customWidth="1"/>
    <col min="6073" max="6073" width="4.6640625" style="80" customWidth="1"/>
    <col min="6074" max="6074" width="5.6640625" style="80" customWidth="1"/>
    <col min="6075" max="6076" width="7.6640625" style="80" customWidth="1"/>
    <col min="6077" max="6077" width="9.5" style="80" customWidth="1"/>
    <col min="6078" max="6078" width="8.83203125" style="80"/>
    <col min="6079" max="6079" width="11.6640625" style="80" customWidth="1"/>
    <col min="6080" max="6315" width="8.83203125" style="80"/>
    <col min="6316" max="6316" width="5.6640625" style="80" customWidth="1"/>
    <col min="6317" max="6317" width="9.83203125" style="80" customWidth="1"/>
    <col min="6318" max="6328" width="4" style="80" customWidth="1"/>
    <col min="6329" max="6329" width="4.6640625" style="80" customWidth="1"/>
    <col min="6330" max="6330" width="5.6640625" style="80" customWidth="1"/>
    <col min="6331" max="6332" width="7.6640625" style="80" customWidth="1"/>
    <col min="6333" max="6333" width="9.5" style="80" customWidth="1"/>
    <col min="6334" max="6334" width="8.83203125" style="80"/>
    <col min="6335" max="6335" width="11.6640625" style="80" customWidth="1"/>
    <col min="6336" max="6571" width="8.83203125" style="80"/>
    <col min="6572" max="6572" width="5.6640625" style="80" customWidth="1"/>
    <col min="6573" max="6573" width="9.83203125" style="80" customWidth="1"/>
    <col min="6574" max="6584" width="4" style="80" customWidth="1"/>
    <col min="6585" max="6585" width="4.6640625" style="80" customWidth="1"/>
    <col min="6586" max="6586" width="5.6640625" style="80" customWidth="1"/>
    <col min="6587" max="6588" width="7.6640625" style="80" customWidth="1"/>
    <col min="6589" max="6589" width="9.5" style="80" customWidth="1"/>
    <col min="6590" max="6590" width="8.83203125" style="80"/>
    <col min="6591" max="6591" width="11.6640625" style="80" customWidth="1"/>
    <col min="6592" max="6827" width="8.83203125" style="80"/>
    <col min="6828" max="6828" width="5.6640625" style="80" customWidth="1"/>
    <col min="6829" max="6829" width="9.83203125" style="80" customWidth="1"/>
    <col min="6830" max="6840" width="4" style="80" customWidth="1"/>
    <col min="6841" max="6841" width="4.6640625" style="80" customWidth="1"/>
    <col min="6842" max="6842" width="5.6640625" style="80" customWidth="1"/>
    <col min="6843" max="6844" width="7.6640625" style="80" customWidth="1"/>
    <col min="6845" max="6845" width="9.5" style="80" customWidth="1"/>
    <col min="6846" max="6846" width="8.83203125" style="80"/>
    <col min="6847" max="6847" width="11.6640625" style="80" customWidth="1"/>
    <col min="6848" max="7083" width="8.83203125" style="80"/>
    <col min="7084" max="7084" width="5.6640625" style="80" customWidth="1"/>
    <col min="7085" max="7085" width="9.83203125" style="80" customWidth="1"/>
    <col min="7086" max="7096" width="4" style="80" customWidth="1"/>
    <col min="7097" max="7097" width="4.6640625" style="80" customWidth="1"/>
    <col min="7098" max="7098" width="5.6640625" style="80" customWidth="1"/>
    <col min="7099" max="7100" width="7.6640625" style="80" customWidth="1"/>
    <col min="7101" max="7101" width="9.5" style="80" customWidth="1"/>
    <col min="7102" max="7102" width="8.83203125" style="80"/>
    <col min="7103" max="7103" width="11.6640625" style="80" customWidth="1"/>
    <col min="7104" max="7339" width="8.83203125" style="80"/>
    <col min="7340" max="7340" width="5.6640625" style="80" customWidth="1"/>
    <col min="7341" max="7341" width="9.83203125" style="80" customWidth="1"/>
    <col min="7342" max="7352" width="4" style="80" customWidth="1"/>
    <col min="7353" max="7353" width="4.6640625" style="80" customWidth="1"/>
    <col min="7354" max="7354" width="5.6640625" style="80" customWidth="1"/>
    <col min="7355" max="7356" width="7.6640625" style="80" customWidth="1"/>
    <col min="7357" max="7357" width="9.5" style="80" customWidth="1"/>
    <col min="7358" max="7358" width="8.83203125" style="80"/>
    <col min="7359" max="7359" width="11.6640625" style="80" customWidth="1"/>
    <col min="7360" max="7595" width="8.83203125" style="80"/>
    <col min="7596" max="7596" width="5.6640625" style="80" customWidth="1"/>
    <col min="7597" max="7597" width="9.83203125" style="80" customWidth="1"/>
    <col min="7598" max="7608" width="4" style="80" customWidth="1"/>
    <col min="7609" max="7609" width="4.6640625" style="80" customWidth="1"/>
    <col min="7610" max="7610" width="5.6640625" style="80" customWidth="1"/>
    <col min="7611" max="7612" width="7.6640625" style="80" customWidth="1"/>
    <col min="7613" max="7613" width="9.5" style="80" customWidth="1"/>
    <col min="7614" max="7614" width="8.83203125" style="80"/>
    <col min="7615" max="7615" width="11.6640625" style="80" customWidth="1"/>
    <col min="7616" max="7851" width="8.83203125" style="80"/>
    <col min="7852" max="7852" width="5.6640625" style="80" customWidth="1"/>
    <col min="7853" max="7853" width="9.83203125" style="80" customWidth="1"/>
    <col min="7854" max="7864" width="4" style="80" customWidth="1"/>
    <col min="7865" max="7865" width="4.6640625" style="80" customWidth="1"/>
    <col min="7866" max="7866" width="5.6640625" style="80" customWidth="1"/>
    <col min="7867" max="7868" width="7.6640625" style="80" customWidth="1"/>
    <col min="7869" max="7869" width="9.5" style="80" customWidth="1"/>
    <col min="7870" max="7870" width="8.83203125" style="80"/>
    <col min="7871" max="7871" width="11.6640625" style="80" customWidth="1"/>
    <col min="7872" max="8107" width="8.83203125" style="80"/>
    <col min="8108" max="8108" width="5.6640625" style="80" customWidth="1"/>
    <col min="8109" max="8109" width="9.83203125" style="80" customWidth="1"/>
    <col min="8110" max="8120" width="4" style="80" customWidth="1"/>
    <col min="8121" max="8121" width="4.6640625" style="80" customWidth="1"/>
    <col min="8122" max="8122" width="5.6640625" style="80" customWidth="1"/>
    <col min="8123" max="8124" width="7.6640625" style="80" customWidth="1"/>
    <col min="8125" max="8125" width="9.5" style="80" customWidth="1"/>
    <col min="8126" max="8126" width="8.83203125" style="80"/>
    <col min="8127" max="8127" width="11.6640625" style="80" customWidth="1"/>
    <col min="8128" max="8363" width="8.83203125" style="80"/>
    <col min="8364" max="8364" width="5.6640625" style="80" customWidth="1"/>
    <col min="8365" max="8365" width="9.83203125" style="80" customWidth="1"/>
    <col min="8366" max="8376" width="4" style="80" customWidth="1"/>
    <col min="8377" max="8377" width="4.6640625" style="80" customWidth="1"/>
    <col min="8378" max="8378" width="5.6640625" style="80" customWidth="1"/>
    <col min="8379" max="8380" width="7.6640625" style="80" customWidth="1"/>
    <col min="8381" max="8381" width="9.5" style="80" customWidth="1"/>
    <col min="8382" max="8382" width="8.83203125" style="80"/>
    <col min="8383" max="8383" width="11.6640625" style="80" customWidth="1"/>
    <col min="8384" max="8619" width="8.83203125" style="80"/>
    <col min="8620" max="8620" width="5.6640625" style="80" customWidth="1"/>
    <col min="8621" max="8621" width="9.83203125" style="80" customWidth="1"/>
    <col min="8622" max="8632" width="4" style="80" customWidth="1"/>
    <col min="8633" max="8633" width="4.6640625" style="80" customWidth="1"/>
    <col min="8634" max="8634" width="5.6640625" style="80" customWidth="1"/>
    <col min="8635" max="8636" width="7.6640625" style="80" customWidth="1"/>
    <col min="8637" max="8637" width="9.5" style="80" customWidth="1"/>
    <col min="8638" max="8638" width="8.83203125" style="80"/>
    <col min="8639" max="8639" width="11.6640625" style="80" customWidth="1"/>
    <col min="8640" max="8875" width="8.83203125" style="80"/>
    <col min="8876" max="8876" width="5.6640625" style="80" customWidth="1"/>
    <col min="8877" max="8877" width="9.83203125" style="80" customWidth="1"/>
    <col min="8878" max="8888" width="4" style="80" customWidth="1"/>
    <col min="8889" max="8889" width="4.6640625" style="80" customWidth="1"/>
    <col min="8890" max="8890" width="5.6640625" style="80" customWidth="1"/>
    <col min="8891" max="8892" width="7.6640625" style="80" customWidth="1"/>
    <col min="8893" max="8893" width="9.5" style="80" customWidth="1"/>
    <col min="8894" max="8894" width="8.83203125" style="80"/>
    <col min="8895" max="8895" width="11.6640625" style="80" customWidth="1"/>
    <col min="8896" max="9131" width="8.83203125" style="80"/>
    <col min="9132" max="9132" width="5.6640625" style="80" customWidth="1"/>
    <col min="9133" max="9133" width="9.83203125" style="80" customWidth="1"/>
    <col min="9134" max="9144" width="4" style="80" customWidth="1"/>
    <col min="9145" max="9145" width="4.6640625" style="80" customWidth="1"/>
    <col min="9146" max="9146" width="5.6640625" style="80" customWidth="1"/>
    <col min="9147" max="9148" width="7.6640625" style="80" customWidth="1"/>
    <col min="9149" max="9149" width="9.5" style="80" customWidth="1"/>
    <col min="9150" max="9150" width="8.83203125" style="80"/>
    <col min="9151" max="9151" width="11.6640625" style="80" customWidth="1"/>
    <col min="9152" max="9387" width="8.83203125" style="80"/>
    <col min="9388" max="9388" width="5.6640625" style="80" customWidth="1"/>
    <col min="9389" max="9389" width="9.83203125" style="80" customWidth="1"/>
    <col min="9390" max="9400" width="4" style="80" customWidth="1"/>
    <col min="9401" max="9401" width="4.6640625" style="80" customWidth="1"/>
    <col min="9402" max="9402" width="5.6640625" style="80" customWidth="1"/>
    <col min="9403" max="9404" width="7.6640625" style="80" customWidth="1"/>
    <col min="9405" max="9405" width="9.5" style="80" customWidth="1"/>
    <col min="9406" max="9406" width="8.83203125" style="80"/>
    <col min="9407" max="9407" width="11.6640625" style="80" customWidth="1"/>
    <col min="9408" max="9643" width="8.83203125" style="80"/>
    <col min="9644" max="9644" width="5.6640625" style="80" customWidth="1"/>
    <col min="9645" max="9645" width="9.83203125" style="80" customWidth="1"/>
    <col min="9646" max="9656" width="4" style="80" customWidth="1"/>
    <col min="9657" max="9657" width="4.6640625" style="80" customWidth="1"/>
    <col min="9658" max="9658" width="5.6640625" style="80" customWidth="1"/>
    <col min="9659" max="9660" width="7.6640625" style="80" customWidth="1"/>
    <col min="9661" max="9661" width="9.5" style="80" customWidth="1"/>
    <col min="9662" max="9662" width="8.83203125" style="80"/>
    <col min="9663" max="9663" width="11.6640625" style="80" customWidth="1"/>
    <col min="9664" max="9899" width="8.83203125" style="80"/>
    <col min="9900" max="9900" width="5.6640625" style="80" customWidth="1"/>
    <col min="9901" max="9901" width="9.83203125" style="80" customWidth="1"/>
    <col min="9902" max="9912" width="4" style="80" customWidth="1"/>
    <col min="9913" max="9913" width="4.6640625" style="80" customWidth="1"/>
    <col min="9914" max="9914" width="5.6640625" style="80" customWidth="1"/>
    <col min="9915" max="9916" width="7.6640625" style="80" customWidth="1"/>
    <col min="9917" max="9917" width="9.5" style="80" customWidth="1"/>
    <col min="9918" max="9918" width="8.83203125" style="80"/>
    <col min="9919" max="9919" width="11.6640625" style="80" customWidth="1"/>
    <col min="9920" max="10155" width="8.83203125" style="80"/>
    <col min="10156" max="10156" width="5.6640625" style="80" customWidth="1"/>
    <col min="10157" max="10157" width="9.83203125" style="80" customWidth="1"/>
    <col min="10158" max="10168" width="4" style="80" customWidth="1"/>
    <col min="10169" max="10169" width="4.6640625" style="80" customWidth="1"/>
    <col min="10170" max="10170" width="5.6640625" style="80" customWidth="1"/>
    <col min="10171" max="10172" width="7.6640625" style="80" customWidth="1"/>
    <col min="10173" max="10173" width="9.5" style="80" customWidth="1"/>
    <col min="10174" max="10174" width="8.83203125" style="80"/>
    <col min="10175" max="10175" width="11.6640625" style="80" customWidth="1"/>
    <col min="10176" max="10411" width="8.83203125" style="80"/>
    <col min="10412" max="10412" width="5.6640625" style="80" customWidth="1"/>
    <col min="10413" max="10413" width="9.83203125" style="80" customWidth="1"/>
    <col min="10414" max="10424" width="4" style="80" customWidth="1"/>
    <col min="10425" max="10425" width="4.6640625" style="80" customWidth="1"/>
    <col min="10426" max="10426" width="5.6640625" style="80" customWidth="1"/>
    <col min="10427" max="10428" width="7.6640625" style="80" customWidth="1"/>
    <col min="10429" max="10429" width="9.5" style="80" customWidth="1"/>
    <col min="10430" max="10430" width="8.83203125" style="80"/>
    <col min="10431" max="10431" width="11.6640625" style="80" customWidth="1"/>
    <col min="10432" max="10667" width="8.83203125" style="80"/>
    <col min="10668" max="10668" width="5.6640625" style="80" customWidth="1"/>
    <col min="10669" max="10669" width="9.83203125" style="80" customWidth="1"/>
    <col min="10670" max="10680" width="4" style="80" customWidth="1"/>
    <col min="10681" max="10681" width="4.6640625" style="80" customWidth="1"/>
    <col min="10682" max="10682" width="5.6640625" style="80" customWidth="1"/>
    <col min="10683" max="10684" width="7.6640625" style="80" customWidth="1"/>
    <col min="10685" max="10685" width="9.5" style="80" customWidth="1"/>
    <col min="10686" max="10686" width="8.83203125" style="80"/>
    <col min="10687" max="10687" width="11.6640625" style="80" customWidth="1"/>
    <col min="10688" max="10923" width="8.83203125" style="80"/>
    <col min="10924" max="10924" width="5.6640625" style="80" customWidth="1"/>
    <col min="10925" max="10925" width="9.83203125" style="80" customWidth="1"/>
    <col min="10926" max="10936" width="4" style="80" customWidth="1"/>
    <col min="10937" max="10937" width="4.6640625" style="80" customWidth="1"/>
    <col min="10938" max="10938" width="5.6640625" style="80" customWidth="1"/>
    <col min="10939" max="10940" width="7.6640625" style="80" customWidth="1"/>
    <col min="10941" max="10941" width="9.5" style="80" customWidth="1"/>
    <col min="10942" max="10942" width="8.83203125" style="80"/>
    <col min="10943" max="10943" width="11.6640625" style="80" customWidth="1"/>
    <col min="10944" max="11179" width="8.83203125" style="80"/>
    <col min="11180" max="11180" width="5.6640625" style="80" customWidth="1"/>
    <col min="11181" max="11181" width="9.83203125" style="80" customWidth="1"/>
    <col min="11182" max="11192" width="4" style="80" customWidth="1"/>
    <col min="11193" max="11193" width="4.6640625" style="80" customWidth="1"/>
    <col min="11194" max="11194" width="5.6640625" style="80" customWidth="1"/>
    <col min="11195" max="11196" width="7.6640625" style="80" customWidth="1"/>
    <col min="11197" max="11197" width="9.5" style="80" customWidth="1"/>
    <col min="11198" max="11198" width="8.83203125" style="80"/>
    <col min="11199" max="11199" width="11.6640625" style="80" customWidth="1"/>
    <col min="11200" max="11435" width="8.83203125" style="80"/>
    <col min="11436" max="11436" width="5.6640625" style="80" customWidth="1"/>
    <col min="11437" max="11437" width="9.83203125" style="80" customWidth="1"/>
    <col min="11438" max="11448" width="4" style="80" customWidth="1"/>
    <col min="11449" max="11449" width="4.6640625" style="80" customWidth="1"/>
    <col min="11450" max="11450" width="5.6640625" style="80" customWidth="1"/>
    <col min="11451" max="11452" width="7.6640625" style="80" customWidth="1"/>
    <col min="11453" max="11453" width="9.5" style="80" customWidth="1"/>
    <col min="11454" max="11454" width="8.83203125" style="80"/>
    <col min="11455" max="11455" width="11.6640625" style="80" customWidth="1"/>
    <col min="11456" max="11691" width="8.83203125" style="80"/>
    <col min="11692" max="11692" width="5.6640625" style="80" customWidth="1"/>
    <col min="11693" max="11693" width="9.83203125" style="80" customWidth="1"/>
    <col min="11694" max="11704" width="4" style="80" customWidth="1"/>
    <col min="11705" max="11705" width="4.6640625" style="80" customWidth="1"/>
    <col min="11706" max="11706" width="5.6640625" style="80" customWidth="1"/>
    <col min="11707" max="11708" width="7.6640625" style="80" customWidth="1"/>
    <col min="11709" max="11709" width="9.5" style="80" customWidth="1"/>
    <col min="11710" max="11710" width="8.83203125" style="80"/>
    <col min="11711" max="11711" width="11.6640625" style="80" customWidth="1"/>
    <col min="11712" max="11947" width="8.83203125" style="80"/>
    <col min="11948" max="11948" width="5.6640625" style="80" customWidth="1"/>
    <col min="11949" max="11949" width="9.83203125" style="80" customWidth="1"/>
    <col min="11950" max="11960" width="4" style="80" customWidth="1"/>
    <col min="11961" max="11961" width="4.6640625" style="80" customWidth="1"/>
    <col min="11962" max="11962" width="5.6640625" style="80" customWidth="1"/>
    <col min="11963" max="11964" width="7.6640625" style="80" customWidth="1"/>
    <col min="11965" max="11965" width="9.5" style="80" customWidth="1"/>
    <col min="11966" max="11966" width="8.83203125" style="80"/>
    <col min="11967" max="11967" width="11.6640625" style="80" customWidth="1"/>
    <col min="11968" max="12203" width="8.83203125" style="80"/>
    <col min="12204" max="12204" width="5.6640625" style="80" customWidth="1"/>
    <col min="12205" max="12205" width="9.83203125" style="80" customWidth="1"/>
    <col min="12206" max="12216" width="4" style="80" customWidth="1"/>
    <col min="12217" max="12217" width="4.6640625" style="80" customWidth="1"/>
    <col min="12218" max="12218" width="5.6640625" style="80" customWidth="1"/>
    <col min="12219" max="12220" width="7.6640625" style="80" customWidth="1"/>
    <col min="12221" max="12221" width="9.5" style="80" customWidth="1"/>
    <col min="12222" max="12222" width="8.83203125" style="80"/>
    <col min="12223" max="12223" width="11.6640625" style="80" customWidth="1"/>
    <col min="12224" max="12459" width="8.83203125" style="80"/>
    <col min="12460" max="12460" width="5.6640625" style="80" customWidth="1"/>
    <col min="12461" max="12461" width="9.83203125" style="80" customWidth="1"/>
    <col min="12462" max="12472" width="4" style="80" customWidth="1"/>
    <col min="12473" max="12473" width="4.6640625" style="80" customWidth="1"/>
    <col min="12474" max="12474" width="5.6640625" style="80" customWidth="1"/>
    <col min="12475" max="12476" width="7.6640625" style="80" customWidth="1"/>
    <col min="12477" max="12477" width="9.5" style="80" customWidth="1"/>
    <col min="12478" max="12478" width="8.83203125" style="80"/>
    <col min="12479" max="12479" width="11.6640625" style="80" customWidth="1"/>
    <col min="12480" max="12715" width="8.83203125" style="80"/>
    <col min="12716" max="12716" width="5.6640625" style="80" customWidth="1"/>
    <col min="12717" max="12717" width="9.83203125" style="80" customWidth="1"/>
    <col min="12718" max="12728" width="4" style="80" customWidth="1"/>
    <col min="12729" max="12729" width="4.6640625" style="80" customWidth="1"/>
    <col min="12730" max="12730" width="5.6640625" style="80" customWidth="1"/>
    <col min="12731" max="12732" width="7.6640625" style="80" customWidth="1"/>
    <col min="12733" max="12733" width="9.5" style="80" customWidth="1"/>
    <col min="12734" max="12734" width="8.83203125" style="80"/>
    <col min="12735" max="12735" width="11.6640625" style="80" customWidth="1"/>
    <col min="12736" max="12971" width="8.83203125" style="80"/>
    <col min="12972" max="12972" width="5.6640625" style="80" customWidth="1"/>
    <col min="12973" max="12973" width="9.83203125" style="80" customWidth="1"/>
    <col min="12974" max="12984" width="4" style="80" customWidth="1"/>
    <col min="12985" max="12985" width="4.6640625" style="80" customWidth="1"/>
    <col min="12986" max="12986" width="5.6640625" style="80" customWidth="1"/>
    <col min="12987" max="12988" width="7.6640625" style="80" customWidth="1"/>
    <col min="12989" max="12989" width="9.5" style="80" customWidth="1"/>
    <col min="12990" max="12990" width="8.83203125" style="80"/>
    <col min="12991" max="12991" width="11.6640625" style="80" customWidth="1"/>
    <col min="12992" max="13227" width="8.83203125" style="80"/>
    <col min="13228" max="13228" width="5.6640625" style="80" customWidth="1"/>
    <col min="13229" max="13229" width="9.83203125" style="80" customWidth="1"/>
    <col min="13230" max="13240" width="4" style="80" customWidth="1"/>
    <col min="13241" max="13241" width="4.6640625" style="80" customWidth="1"/>
    <col min="13242" max="13242" width="5.6640625" style="80" customWidth="1"/>
    <col min="13243" max="13244" width="7.6640625" style="80" customWidth="1"/>
    <col min="13245" max="13245" width="9.5" style="80" customWidth="1"/>
    <col min="13246" max="13246" width="8.83203125" style="80"/>
    <col min="13247" max="13247" width="11.6640625" style="80" customWidth="1"/>
    <col min="13248" max="13483" width="8.83203125" style="80"/>
    <col min="13484" max="13484" width="5.6640625" style="80" customWidth="1"/>
    <col min="13485" max="13485" width="9.83203125" style="80" customWidth="1"/>
    <col min="13486" max="13496" width="4" style="80" customWidth="1"/>
    <col min="13497" max="13497" width="4.6640625" style="80" customWidth="1"/>
    <col min="13498" max="13498" width="5.6640625" style="80" customWidth="1"/>
    <col min="13499" max="13500" width="7.6640625" style="80" customWidth="1"/>
    <col min="13501" max="13501" width="9.5" style="80" customWidth="1"/>
    <col min="13502" max="13502" width="8.83203125" style="80"/>
    <col min="13503" max="13503" width="11.6640625" style="80" customWidth="1"/>
    <col min="13504" max="13739" width="8.83203125" style="80"/>
    <col min="13740" max="13740" width="5.6640625" style="80" customWidth="1"/>
    <col min="13741" max="13741" width="9.83203125" style="80" customWidth="1"/>
    <col min="13742" max="13752" width="4" style="80" customWidth="1"/>
    <col min="13753" max="13753" width="4.6640625" style="80" customWidth="1"/>
    <col min="13754" max="13754" width="5.6640625" style="80" customWidth="1"/>
    <col min="13755" max="13756" width="7.6640625" style="80" customWidth="1"/>
    <col min="13757" max="13757" width="9.5" style="80" customWidth="1"/>
    <col min="13758" max="13758" width="8.83203125" style="80"/>
    <col min="13759" max="13759" width="11.6640625" style="80" customWidth="1"/>
    <col min="13760" max="13995" width="8.83203125" style="80"/>
    <col min="13996" max="13996" width="5.6640625" style="80" customWidth="1"/>
    <col min="13997" max="13997" width="9.83203125" style="80" customWidth="1"/>
    <col min="13998" max="14008" width="4" style="80" customWidth="1"/>
    <col min="14009" max="14009" width="4.6640625" style="80" customWidth="1"/>
    <col min="14010" max="14010" width="5.6640625" style="80" customWidth="1"/>
    <col min="14011" max="14012" width="7.6640625" style="80" customWidth="1"/>
    <col min="14013" max="14013" width="9.5" style="80" customWidth="1"/>
    <col min="14014" max="14014" width="8.83203125" style="80"/>
    <col min="14015" max="14015" width="11.6640625" style="80" customWidth="1"/>
    <col min="14016" max="14251" width="8.83203125" style="80"/>
    <col min="14252" max="14252" width="5.6640625" style="80" customWidth="1"/>
    <col min="14253" max="14253" width="9.83203125" style="80" customWidth="1"/>
    <col min="14254" max="14264" width="4" style="80" customWidth="1"/>
    <col min="14265" max="14265" width="4.6640625" style="80" customWidth="1"/>
    <col min="14266" max="14266" width="5.6640625" style="80" customWidth="1"/>
    <col min="14267" max="14268" width="7.6640625" style="80" customWidth="1"/>
    <col min="14269" max="14269" width="9.5" style="80" customWidth="1"/>
    <col min="14270" max="14270" width="8.83203125" style="80"/>
    <col min="14271" max="14271" width="11.6640625" style="80" customWidth="1"/>
    <col min="14272" max="14507" width="8.83203125" style="80"/>
    <col min="14508" max="14508" width="5.6640625" style="80" customWidth="1"/>
    <col min="14509" max="14509" width="9.83203125" style="80" customWidth="1"/>
    <col min="14510" max="14520" width="4" style="80" customWidth="1"/>
    <col min="14521" max="14521" width="4.6640625" style="80" customWidth="1"/>
    <col min="14522" max="14522" width="5.6640625" style="80" customWidth="1"/>
    <col min="14523" max="14524" width="7.6640625" style="80" customWidth="1"/>
    <col min="14525" max="14525" width="9.5" style="80" customWidth="1"/>
    <col min="14526" max="14526" width="8.83203125" style="80"/>
    <col min="14527" max="14527" width="11.6640625" style="80" customWidth="1"/>
    <col min="14528" max="14763" width="8.83203125" style="80"/>
    <col min="14764" max="14764" width="5.6640625" style="80" customWidth="1"/>
    <col min="14765" max="14765" width="9.83203125" style="80" customWidth="1"/>
    <col min="14766" max="14776" width="4" style="80" customWidth="1"/>
    <col min="14777" max="14777" width="4.6640625" style="80" customWidth="1"/>
    <col min="14778" max="14778" width="5.6640625" style="80" customWidth="1"/>
    <col min="14779" max="14780" width="7.6640625" style="80" customWidth="1"/>
    <col min="14781" max="14781" width="9.5" style="80" customWidth="1"/>
    <col min="14782" max="14782" width="8.83203125" style="80"/>
    <col min="14783" max="14783" width="11.6640625" style="80" customWidth="1"/>
    <col min="14784" max="15019" width="8.83203125" style="80"/>
    <col min="15020" max="15020" width="5.6640625" style="80" customWidth="1"/>
    <col min="15021" max="15021" width="9.83203125" style="80" customWidth="1"/>
    <col min="15022" max="15032" width="4" style="80" customWidth="1"/>
    <col min="15033" max="15033" width="4.6640625" style="80" customWidth="1"/>
    <col min="15034" max="15034" width="5.6640625" style="80" customWidth="1"/>
    <col min="15035" max="15036" width="7.6640625" style="80" customWidth="1"/>
    <col min="15037" max="15037" width="9.5" style="80" customWidth="1"/>
    <col min="15038" max="15038" width="8.83203125" style="80"/>
    <col min="15039" max="15039" width="11.6640625" style="80" customWidth="1"/>
    <col min="15040" max="15275" width="8.83203125" style="80"/>
    <col min="15276" max="15276" width="5.6640625" style="80" customWidth="1"/>
    <col min="15277" max="15277" width="9.83203125" style="80" customWidth="1"/>
    <col min="15278" max="15288" width="4" style="80" customWidth="1"/>
    <col min="15289" max="15289" width="4.6640625" style="80" customWidth="1"/>
    <col min="15290" max="15290" width="5.6640625" style="80" customWidth="1"/>
    <col min="15291" max="15292" width="7.6640625" style="80" customWidth="1"/>
    <col min="15293" max="15293" width="9.5" style="80" customWidth="1"/>
    <col min="15294" max="15294" width="8.83203125" style="80"/>
    <col min="15295" max="15295" width="11.6640625" style="80" customWidth="1"/>
    <col min="15296" max="15531" width="8.83203125" style="80"/>
    <col min="15532" max="15532" width="5.6640625" style="80" customWidth="1"/>
    <col min="15533" max="15533" width="9.83203125" style="80" customWidth="1"/>
    <col min="15534" max="15544" width="4" style="80" customWidth="1"/>
    <col min="15545" max="15545" width="4.6640625" style="80" customWidth="1"/>
    <col min="15546" max="15546" width="5.6640625" style="80" customWidth="1"/>
    <col min="15547" max="15548" width="7.6640625" style="80" customWidth="1"/>
    <col min="15549" max="15549" width="9.5" style="80" customWidth="1"/>
    <col min="15550" max="15550" width="8.83203125" style="80"/>
    <col min="15551" max="15551" width="11.6640625" style="80" customWidth="1"/>
    <col min="15552" max="15787" width="8.83203125" style="80"/>
    <col min="15788" max="15788" width="5.6640625" style="80" customWidth="1"/>
    <col min="15789" max="15789" width="9.83203125" style="80" customWidth="1"/>
    <col min="15790" max="15800" width="4" style="80" customWidth="1"/>
    <col min="15801" max="15801" width="4.6640625" style="80" customWidth="1"/>
    <col min="15802" max="15802" width="5.6640625" style="80" customWidth="1"/>
    <col min="15803" max="15804" width="7.6640625" style="80" customWidth="1"/>
    <col min="15805" max="15805" width="9.5" style="80" customWidth="1"/>
    <col min="15806" max="15806" width="8.83203125" style="80"/>
    <col min="15807" max="15807" width="11.6640625" style="80" customWidth="1"/>
    <col min="15808" max="16043" width="8.83203125" style="80"/>
    <col min="16044" max="16044" width="5.6640625" style="80" customWidth="1"/>
    <col min="16045" max="16045" width="9.83203125" style="80" customWidth="1"/>
    <col min="16046" max="16056" width="4" style="80" customWidth="1"/>
    <col min="16057" max="16057" width="4.6640625" style="80" customWidth="1"/>
    <col min="16058" max="16058" width="5.6640625" style="80" customWidth="1"/>
    <col min="16059" max="16060" width="7.6640625" style="80" customWidth="1"/>
    <col min="16061" max="16061" width="9.5" style="80" customWidth="1"/>
    <col min="16062" max="16062" width="8.83203125" style="80"/>
    <col min="16063" max="16063" width="11.6640625" style="80" customWidth="1"/>
    <col min="16064" max="16384" width="8.83203125" style="80"/>
  </cols>
  <sheetData>
    <row r="1" spans="1:48" customFormat="1">
      <c r="A1" s="191" t="s">
        <v>590</v>
      </c>
      <c r="B1" s="30"/>
      <c r="C1" s="30"/>
      <c r="AS1" s="105"/>
      <c r="AT1" s="220"/>
      <c r="AU1" s="105"/>
      <c r="AV1" s="199"/>
    </row>
    <row r="2" spans="1:48" customFormat="1">
      <c r="A2" s="191" t="s">
        <v>4</v>
      </c>
      <c r="B2" s="30"/>
      <c r="C2" s="30"/>
      <c r="AC2" s="61"/>
      <c r="AS2" s="105"/>
      <c r="AT2" s="220"/>
      <c r="AU2" s="105"/>
      <c r="AV2" s="199"/>
    </row>
    <row r="3" spans="1:48" customFormat="1">
      <c r="A3" s="192" t="s">
        <v>577</v>
      </c>
      <c r="B3" s="31"/>
      <c r="C3" s="31"/>
      <c r="AS3" s="105"/>
      <c r="AT3" s="220"/>
      <c r="AU3" s="105"/>
      <c r="AV3" s="199"/>
    </row>
    <row r="4" spans="1:48" customFormat="1">
      <c r="A4" s="192"/>
      <c r="B4" s="31"/>
      <c r="C4" s="31"/>
      <c r="M4" s="330"/>
      <c r="N4" s="330"/>
      <c r="O4" s="330"/>
      <c r="P4" s="330"/>
      <c r="Q4" s="330"/>
      <c r="R4" s="330"/>
      <c r="S4" s="330"/>
      <c r="T4" s="330"/>
      <c r="U4" s="330"/>
      <c r="V4" s="330"/>
      <c r="AB4" s="326" t="s">
        <v>152</v>
      </c>
      <c r="AC4" s="327"/>
      <c r="AD4" s="327"/>
      <c r="AE4" s="327"/>
      <c r="AF4" s="327"/>
      <c r="AG4" s="331" t="s">
        <v>322</v>
      </c>
      <c r="AH4" s="331"/>
      <c r="AI4" s="331"/>
      <c r="AJ4" s="331"/>
      <c r="AK4" s="331"/>
      <c r="AL4" s="106" t="s">
        <v>185</v>
      </c>
      <c r="AM4" s="106"/>
      <c r="AN4" s="106"/>
      <c r="AS4" s="105"/>
      <c r="AT4" s="220"/>
      <c r="AU4" s="105"/>
      <c r="AV4" s="199"/>
    </row>
    <row r="5" spans="1:48" s="3" customFormat="1" ht="13" thickBot="1">
      <c r="A5" s="193"/>
      <c r="B5" s="193"/>
      <c r="C5" s="323" t="s">
        <v>135</v>
      </c>
      <c r="D5" s="323"/>
      <c r="E5" s="324"/>
      <c r="F5" s="324"/>
      <c r="G5" s="324"/>
      <c r="H5" s="323" t="s">
        <v>140</v>
      </c>
      <c r="I5" s="323"/>
      <c r="J5" s="324"/>
      <c r="K5" s="324"/>
      <c r="L5" s="324"/>
      <c r="M5" s="321" t="s">
        <v>304</v>
      </c>
      <c r="N5" s="322"/>
      <c r="O5" s="322"/>
      <c r="P5" s="322"/>
      <c r="Q5" s="322"/>
      <c r="R5" s="321" t="s">
        <v>302</v>
      </c>
      <c r="S5" s="322"/>
      <c r="T5" s="322"/>
      <c r="U5" s="322"/>
      <c r="V5" s="322"/>
      <c r="W5" s="321" t="s">
        <v>4</v>
      </c>
      <c r="X5" s="322"/>
      <c r="Y5" s="322"/>
      <c r="Z5" s="322"/>
      <c r="AA5" s="322"/>
      <c r="AB5" s="321" t="s">
        <v>303</v>
      </c>
      <c r="AC5" s="322"/>
      <c r="AD5" s="322"/>
      <c r="AE5" s="322"/>
      <c r="AF5" s="322"/>
      <c r="AG5" s="321" t="s">
        <v>195</v>
      </c>
      <c r="AH5" s="322"/>
      <c r="AI5" s="322"/>
      <c r="AJ5" s="322"/>
      <c r="AK5" s="322"/>
      <c r="AL5" s="322"/>
      <c r="AM5" s="322"/>
      <c r="AN5" s="322"/>
      <c r="AO5" s="322"/>
      <c r="AP5" s="322"/>
      <c r="AQ5" s="194"/>
      <c r="AR5" s="194"/>
      <c r="AS5" s="49"/>
      <c r="AT5" s="221"/>
      <c r="AU5" s="49"/>
      <c r="AV5" s="200"/>
    </row>
    <row r="6" spans="1:48" s="84" customFormat="1" ht="155">
      <c r="A6" s="223" t="s">
        <v>4</v>
      </c>
      <c r="B6" s="224"/>
      <c r="C6" s="225" t="s">
        <v>135</v>
      </c>
      <c r="D6" s="226" t="s">
        <v>153</v>
      </c>
      <c r="E6" s="226" t="s">
        <v>141</v>
      </c>
      <c r="F6" s="226" t="s">
        <v>154</v>
      </c>
      <c r="G6" s="227" t="s">
        <v>155</v>
      </c>
      <c r="H6" s="228" t="s">
        <v>140</v>
      </c>
      <c r="I6" s="229" t="s">
        <v>153</v>
      </c>
      <c r="J6" s="229" t="s">
        <v>141</v>
      </c>
      <c r="K6" s="229" t="s">
        <v>154</v>
      </c>
      <c r="L6" s="230" t="s">
        <v>155</v>
      </c>
      <c r="M6" s="231" t="s">
        <v>156</v>
      </c>
      <c r="N6" s="232" t="s">
        <v>153</v>
      </c>
      <c r="O6" s="232" t="s">
        <v>141</v>
      </c>
      <c r="P6" s="232" t="s">
        <v>154</v>
      </c>
      <c r="Q6" s="232" t="s">
        <v>155</v>
      </c>
      <c r="R6" s="233" t="s">
        <v>157</v>
      </c>
      <c r="S6" s="234" t="s">
        <v>153</v>
      </c>
      <c r="T6" s="234" t="s">
        <v>141</v>
      </c>
      <c r="U6" s="234" t="s">
        <v>154</v>
      </c>
      <c r="V6" s="234" t="s">
        <v>155</v>
      </c>
      <c r="W6" s="235" t="s">
        <v>158</v>
      </c>
      <c r="X6" s="236" t="s">
        <v>153</v>
      </c>
      <c r="Y6" s="236" t="s">
        <v>141</v>
      </c>
      <c r="Z6" s="236" t="s">
        <v>154</v>
      </c>
      <c r="AA6" s="236" t="s">
        <v>155</v>
      </c>
      <c r="AB6" s="237" t="s">
        <v>159</v>
      </c>
      <c r="AC6" s="238" t="s">
        <v>153</v>
      </c>
      <c r="AD6" s="238" t="s">
        <v>141</v>
      </c>
      <c r="AE6" s="238" t="s">
        <v>154</v>
      </c>
      <c r="AF6" s="238" t="s">
        <v>155</v>
      </c>
      <c r="AG6" s="239" t="s">
        <v>160</v>
      </c>
      <c r="AH6" s="240" t="s">
        <v>153</v>
      </c>
      <c r="AI6" s="240" t="s">
        <v>141</v>
      </c>
      <c r="AJ6" s="240" t="s">
        <v>154</v>
      </c>
      <c r="AK6" s="240" t="s">
        <v>155</v>
      </c>
      <c r="AL6" s="241" t="s">
        <v>161</v>
      </c>
      <c r="AM6" s="242" t="s">
        <v>153</v>
      </c>
      <c r="AN6" s="242" t="s">
        <v>141</v>
      </c>
      <c r="AO6" s="242" t="s">
        <v>154</v>
      </c>
      <c r="AP6" s="242" t="s">
        <v>155</v>
      </c>
      <c r="AQ6" s="243" t="s">
        <v>162</v>
      </c>
      <c r="AR6" s="243" t="s">
        <v>163</v>
      </c>
      <c r="AS6" s="244" t="s">
        <v>22</v>
      </c>
      <c r="AT6" s="245" t="s">
        <v>21</v>
      </c>
      <c r="AU6" s="222" t="s">
        <v>20</v>
      </c>
      <c r="AV6" s="211" t="s">
        <v>19</v>
      </c>
    </row>
    <row r="7" spans="1:48" s="94" customFormat="1" ht="66">
      <c r="A7" s="246" t="s">
        <v>4</v>
      </c>
      <c r="B7" s="100" t="s">
        <v>164</v>
      </c>
      <c r="C7" s="85">
        <v>1562</v>
      </c>
      <c r="D7" s="85">
        <v>152.66999999999999</v>
      </c>
      <c r="E7" s="85">
        <v>781</v>
      </c>
      <c r="F7" s="85">
        <v>1392</v>
      </c>
      <c r="G7" s="85">
        <v>1392</v>
      </c>
      <c r="H7" s="86">
        <v>720</v>
      </c>
      <c r="I7" s="86">
        <v>51.59</v>
      </c>
      <c r="J7" s="86">
        <v>360</v>
      </c>
      <c r="K7" s="86">
        <v>670</v>
      </c>
      <c r="L7" s="86">
        <v>670</v>
      </c>
      <c r="M7" s="87">
        <v>4468</v>
      </c>
      <c r="N7" s="87">
        <v>440.29</v>
      </c>
      <c r="O7" s="87">
        <v>2234</v>
      </c>
      <c r="P7" s="87">
        <v>4168</v>
      </c>
      <c r="Q7" s="87">
        <v>4168</v>
      </c>
      <c r="R7" s="88">
        <v>4468</v>
      </c>
      <c r="S7" s="88">
        <v>440.29</v>
      </c>
      <c r="T7" s="88">
        <v>2234</v>
      </c>
      <c r="U7" s="88">
        <v>4168</v>
      </c>
      <c r="V7" s="88">
        <v>4168</v>
      </c>
      <c r="W7" s="89">
        <v>3660</v>
      </c>
      <c r="X7" s="89">
        <v>1830</v>
      </c>
      <c r="Y7" s="89">
        <v>360.04</v>
      </c>
      <c r="Z7" s="89">
        <v>3360</v>
      </c>
      <c r="AA7" s="89">
        <v>3360</v>
      </c>
      <c r="AB7" s="90">
        <v>2610</v>
      </c>
      <c r="AC7" s="90">
        <v>242.66</v>
      </c>
      <c r="AD7" s="90">
        <v>1305</v>
      </c>
      <c r="AE7" s="90">
        <v>2260</v>
      </c>
      <c r="AF7" s="90">
        <v>2260</v>
      </c>
      <c r="AG7" s="91">
        <v>2610</v>
      </c>
      <c r="AH7" s="91">
        <v>242.66</v>
      </c>
      <c r="AI7" s="91">
        <v>1305</v>
      </c>
      <c r="AJ7" s="91">
        <v>2260</v>
      </c>
      <c r="AK7" s="91">
        <v>2260</v>
      </c>
      <c r="AL7" s="92">
        <v>2420</v>
      </c>
      <c r="AM7" s="92">
        <v>242.66</v>
      </c>
      <c r="AN7" s="92">
        <v>1210</v>
      </c>
      <c r="AO7" s="92">
        <v>2260</v>
      </c>
      <c r="AP7" s="92">
        <v>2260</v>
      </c>
      <c r="AQ7" s="93">
        <v>12</v>
      </c>
      <c r="AR7" s="93">
        <v>16</v>
      </c>
      <c r="AS7" s="196"/>
      <c r="AT7" s="247"/>
      <c r="AU7" s="190"/>
      <c r="AV7" s="201"/>
    </row>
    <row r="8" spans="1:48" s="94" customFormat="1" ht="13.5" customHeight="1">
      <c r="A8" s="95">
        <v>42597</v>
      </c>
      <c r="B8" s="101" t="s">
        <v>196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>
        <v>1</v>
      </c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144">
        <f>SUM(C8*$C$7)+(D8*$D$7)+(E8*$E$7)+(F8*$F$7)+(G8*$G$7)+(H8*$H$7)+(I8*$I$7)+(J8*$J$7)+(K8*$K$7)+(L8*$L$7)+(M8*$M$7)+(N8*$N$7)+(O8*$O$7)+(P8*$P$7)+(Q8*$Q$7)+(R8*$R$7)+(S8*$S$7)+(T8*$T$7)+(U8*$U$7)+(V8*$V$7)+(W8*$W$7)+(X8*$X$7)+(Y8*$Y$7)+(Z8*$Z$7)+(AA8*$AA$7)+(AB8*$AB$7)+(AC8*$AC$7)+(AD8*$AD$7)+(AE8*$AE$7)+(AF8*$AF$7)+(AG8*$AG$7)+(AH8*$AH$7)+(AI8*$AI$7)+(AJ8*$AJ$7)+(AK8*$AK$7)+(AL8*$AL$7)+(AM8*$AM$7)+(AN8*$AN$7)+(AO8*$AO$7)+(AP8*$AP$7)+(AQ8*$AQ$7)+(AR8*$AR$7)</f>
        <v>2260</v>
      </c>
      <c r="AT8" s="248" t="s">
        <v>4</v>
      </c>
      <c r="AU8" s="212" t="s">
        <v>4</v>
      </c>
      <c r="AV8" s="200" t="s">
        <v>4</v>
      </c>
    </row>
    <row r="9" spans="1:48" s="3" customFormat="1" ht="13.5" customHeight="1">
      <c r="A9" s="95">
        <v>42598</v>
      </c>
      <c r="B9" s="101" t="s">
        <v>165</v>
      </c>
      <c r="C9" s="98"/>
      <c r="D9" s="96"/>
      <c r="E9" s="96"/>
      <c r="F9" s="98"/>
      <c r="G9" s="96"/>
      <c r="H9" s="96"/>
      <c r="I9" s="96"/>
      <c r="J9" s="96"/>
      <c r="K9" s="96"/>
      <c r="L9" s="96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>
        <v>1</v>
      </c>
      <c r="AC9" s="97"/>
      <c r="AD9" s="97"/>
      <c r="AE9" s="97"/>
      <c r="AF9" s="97"/>
      <c r="AG9" s="97">
        <v>0.5</v>
      </c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144">
        <f>SUM(C9*$C$7)+(D9*$D$7)+(E9*$E$7)+(F9*$F$7)+(G9*$G$7)+(H9*$H$7)+(I9*$I$7)+(J9*$J$7)+(K9*$K$7)+(L9*$L$7)+(M9*$M$7)+(N9*$N$7)+(O9*$O$7)+(P9*$P$7)+(Q9*$Q$7)+(R9*$R$7)+(S9*$S$7)+(T9*$T$7)+(U9*$U$7)+(V9*$V$7)+(W9*$W$7)+(X9*$X$7)+(Y9*$Y$7)+(Z9*$Z$7)+(AA9*$AA$7)+(AB9*$AB$7)+(AC9*$AC$7)+(AD9*$AD$7)+(AE9*$AE$7)+(AF9*$AF$7)+(AG9*$AG$7)+(AH9*$AH$7)+(AI9*$AI$7)+(AJ9*$AJ$7)+(AK9*$AK$7)+(AL9*$AL$7)+(AM9*$AM$7)+(AN9*$AN$7)+(AO9*$AO$7)+(AP9*$AP$7)+(AQ9*$AQ$7)+(AR9*$AR$7)</f>
        <v>3915</v>
      </c>
      <c r="AT9" s="249"/>
      <c r="AU9" s="212"/>
      <c r="AV9" s="200"/>
    </row>
    <row r="10" spans="1:48" s="3" customFormat="1" ht="13.5" customHeight="1">
      <c r="A10" s="95">
        <v>42599</v>
      </c>
      <c r="B10" s="101" t="s">
        <v>166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>
        <v>1</v>
      </c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144">
        <f t="shared" ref="AS10:AS40" si="0">SUM(C10*$C$7)+(D10*$D$7)+(E10*$E$7)+(F10*$F$7)+(G10*$G$7)+(H10*$H$7)+(I10*$I$7)+(J10*$J$7)+(K10*$K$7)+(L10*$L$7)+(M10*$M$7)+(N10*$N$7)+(O10*$O$7)+(P10*$P$7)+(Q10*$Q$7)+(R10*$R$7)+(S10*$S$7)+(T10*$T$7)+(U10*$U$7)+(V10*$V$7)+(W10*$W$7)+(X10*$X$7)+(Y10*$Y$7)+(Z10*$Z$7)+(AA10*$AA$7)+(AB10*$AB$7)+(AC10*$AC$7)+(AD10*$AD$7)+(AE10*$AE$7)+(AF10*$AF$7)+(AG10*$AG$7)+(AH10*$AH$7)+(AI10*$AI$7)+(AJ10*$AJ$7)+(AK10*$AK$7)+(AL10*$AL$7)+(AM10*$AM$7)+(AN10*$AN$7)+(AO10*$AO$7)+(AP10*$AP$7)+(AQ10*$AQ$7)+(AR10*$AR$7)</f>
        <v>2610</v>
      </c>
      <c r="AT10" s="248"/>
      <c r="AU10" s="212"/>
      <c r="AV10" s="200"/>
    </row>
    <row r="11" spans="1:48" s="3" customFormat="1" ht="13.5" customHeight="1">
      <c r="A11" s="95">
        <v>42600</v>
      </c>
      <c r="B11" s="101" t="s">
        <v>248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>
        <v>1</v>
      </c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144">
        <f t="shared" si="0"/>
        <v>2610</v>
      </c>
      <c r="AT11" s="249"/>
      <c r="AU11" s="212"/>
      <c r="AV11" s="200"/>
    </row>
    <row r="12" spans="1:48" s="3" customFormat="1" ht="13.5" customHeight="1">
      <c r="A12" s="95">
        <v>42601</v>
      </c>
      <c r="B12" s="101" t="s">
        <v>167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>
        <v>1</v>
      </c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144">
        <f t="shared" si="0"/>
        <v>2610</v>
      </c>
      <c r="AT12" s="248"/>
      <c r="AU12" s="212"/>
      <c r="AV12" s="200"/>
    </row>
    <row r="13" spans="1:48" s="3" customFormat="1" ht="13.5" customHeight="1">
      <c r="A13" s="95">
        <v>42602</v>
      </c>
      <c r="B13" s="101" t="s">
        <v>168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>
        <v>1</v>
      </c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144">
        <f t="shared" si="0"/>
        <v>1305</v>
      </c>
      <c r="AT13" s="248"/>
      <c r="AU13" s="212"/>
      <c r="AV13" s="200"/>
    </row>
    <row r="14" spans="1:48" s="3" customFormat="1" ht="13.5" customHeight="1">
      <c r="A14" s="95">
        <v>42603</v>
      </c>
      <c r="B14" s="101" t="s">
        <v>169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144" t="s">
        <v>305</v>
      </c>
      <c r="AT14" s="248"/>
      <c r="AU14" s="212"/>
      <c r="AV14" s="200"/>
    </row>
    <row r="15" spans="1:48" s="3" customFormat="1" ht="13.5" customHeight="1">
      <c r="A15" s="95">
        <v>42604</v>
      </c>
      <c r="B15" s="101" t="s">
        <v>170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>
        <v>1</v>
      </c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144">
        <f t="shared" si="0"/>
        <v>2610</v>
      </c>
      <c r="AT15" s="248"/>
      <c r="AU15" s="212"/>
      <c r="AV15" s="200"/>
    </row>
    <row r="16" spans="1:48" s="3" customFormat="1" ht="13.5" customHeight="1">
      <c r="A16" s="95">
        <v>42605</v>
      </c>
      <c r="B16" s="101" t="s">
        <v>171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>
        <v>1</v>
      </c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144">
        <f t="shared" si="0"/>
        <v>1305</v>
      </c>
      <c r="AT16" s="248"/>
      <c r="AU16" s="212"/>
      <c r="AV16" s="200"/>
    </row>
    <row r="17" spans="1:48" s="3" customFormat="1" ht="13.5" customHeight="1">
      <c r="A17" s="95">
        <v>42606</v>
      </c>
      <c r="B17" s="101" t="s">
        <v>186</v>
      </c>
      <c r="C17" s="96"/>
      <c r="D17" s="96"/>
      <c r="E17" s="96"/>
      <c r="F17" s="96"/>
      <c r="G17" s="96"/>
      <c r="H17" s="96"/>
      <c r="I17" s="96"/>
      <c r="J17" s="96"/>
      <c r="K17" s="96">
        <v>1</v>
      </c>
      <c r="L17" s="96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>
        <v>1</v>
      </c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144">
        <f t="shared" si="0"/>
        <v>1975</v>
      </c>
      <c r="AT17" s="248"/>
      <c r="AU17" s="212"/>
      <c r="AV17" s="200"/>
    </row>
    <row r="18" spans="1:48" s="3" customFormat="1" ht="13.5" customHeight="1">
      <c r="A18" s="95">
        <v>42607</v>
      </c>
      <c r="B18" s="101" t="s">
        <v>187</v>
      </c>
      <c r="C18" s="96"/>
      <c r="D18" s="96"/>
      <c r="E18" s="96"/>
      <c r="F18" s="96"/>
      <c r="G18" s="96"/>
      <c r="H18" s="96"/>
      <c r="I18" s="96"/>
      <c r="J18" s="96">
        <v>1</v>
      </c>
      <c r="K18" s="96"/>
      <c r="L18" s="96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>
        <v>1</v>
      </c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144">
        <f t="shared" si="0"/>
        <v>1665</v>
      </c>
      <c r="AT18" s="248" t="s">
        <v>4</v>
      </c>
      <c r="AU18" s="212"/>
      <c r="AV18" s="200"/>
    </row>
    <row r="19" spans="1:48" s="3" customFormat="1" ht="13.5" customHeight="1">
      <c r="A19" s="95">
        <v>42608</v>
      </c>
      <c r="B19" s="101" t="s">
        <v>188</v>
      </c>
      <c r="C19" s="96"/>
      <c r="D19" s="96"/>
      <c r="E19" s="96"/>
      <c r="F19" s="96"/>
      <c r="G19" s="96"/>
      <c r="H19" s="96"/>
      <c r="I19" s="96"/>
      <c r="J19" s="96">
        <v>1</v>
      </c>
      <c r="K19" s="96"/>
      <c r="L19" s="96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>
        <v>1</v>
      </c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144">
        <f t="shared" si="0"/>
        <v>1665</v>
      </c>
      <c r="AT19" s="248"/>
      <c r="AU19" s="213"/>
      <c r="AV19" s="200"/>
    </row>
    <row r="20" spans="1:48" s="3" customFormat="1" ht="13.5" customHeight="1">
      <c r="A20" s="95">
        <v>42609</v>
      </c>
      <c r="B20" s="101" t="s">
        <v>189</v>
      </c>
      <c r="C20" s="96"/>
      <c r="D20" s="96"/>
      <c r="E20" s="96"/>
      <c r="F20" s="96">
        <v>1</v>
      </c>
      <c r="G20" s="96"/>
      <c r="H20" s="96"/>
      <c r="I20" s="96"/>
      <c r="J20" s="96">
        <v>1</v>
      </c>
      <c r="K20" s="96"/>
      <c r="L20" s="96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>
        <v>1</v>
      </c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144">
        <f t="shared" si="0"/>
        <v>3057</v>
      </c>
      <c r="AT20" s="248"/>
      <c r="AU20" s="213"/>
      <c r="AV20" s="200"/>
    </row>
    <row r="21" spans="1:48" s="3" customFormat="1" ht="13.5" customHeight="1" thickBot="1">
      <c r="A21" s="206">
        <v>42610</v>
      </c>
      <c r="B21" s="207" t="s">
        <v>190</v>
      </c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189" t="s">
        <v>305</v>
      </c>
      <c r="AT21" s="250">
        <v>27587</v>
      </c>
      <c r="AU21" s="214" t="s">
        <v>307</v>
      </c>
      <c r="AV21" s="210">
        <v>42636</v>
      </c>
    </row>
    <row r="22" spans="1:48" s="3" customFormat="1" ht="13.5" customHeight="1">
      <c r="A22" s="218">
        <v>42611</v>
      </c>
      <c r="B22" s="203" t="s">
        <v>191</v>
      </c>
      <c r="C22" s="204"/>
      <c r="D22" s="204"/>
      <c r="E22" s="204">
        <v>1</v>
      </c>
      <c r="F22" s="204"/>
      <c r="G22" s="204"/>
      <c r="H22" s="204"/>
      <c r="I22" s="204"/>
      <c r="J22" s="204">
        <v>1</v>
      </c>
      <c r="K22" s="204"/>
      <c r="L22" s="20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>
        <v>1</v>
      </c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153">
        <f t="shared" si="0"/>
        <v>2446</v>
      </c>
      <c r="AT22" s="197"/>
      <c r="AU22" s="69"/>
      <c r="AV22" s="200"/>
    </row>
    <row r="23" spans="1:48" s="3" customFormat="1" ht="13.5" customHeight="1">
      <c r="A23" s="217">
        <v>42612</v>
      </c>
      <c r="B23" s="101" t="s">
        <v>173</v>
      </c>
      <c r="C23" s="96">
        <v>1</v>
      </c>
      <c r="D23" s="96">
        <v>1</v>
      </c>
      <c r="E23" s="96"/>
      <c r="F23" s="96"/>
      <c r="G23" s="96"/>
      <c r="H23" s="96">
        <v>0.5</v>
      </c>
      <c r="I23" s="96"/>
      <c r="J23" s="96"/>
      <c r="K23" s="96"/>
      <c r="L23" s="96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>
        <v>1</v>
      </c>
      <c r="AC23" s="97">
        <v>1</v>
      </c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144">
        <f t="shared" si="0"/>
        <v>4927.33</v>
      </c>
      <c r="AT23" s="197"/>
      <c r="AU23" s="13"/>
      <c r="AV23" s="200"/>
    </row>
    <row r="24" spans="1:48" s="3" customFormat="1" ht="13.5" customHeight="1">
      <c r="A24" s="217">
        <v>42613</v>
      </c>
      <c r="B24" s="101" t="s">
        <v>172</v>
      </c>
      <c r="C24" s="96">
        <v>1</v>
      </c>
      <c r="D24" s="96"/>
      <c r="E24" s="96"/>
      <c r="F24" s="96"/>
      <c r="G24" s="96"/>
      <c r="H24" s="96">
        <v>1</v>
      </c>
      <c r="I24" s="96"/>
      <c r="J24" s="96"/>
      <c r="K24" s="96"/>
      <c r="L24" s="96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>
        <v>1</v>
      </c>
      <c r="AC24" s="97"/>
      <c r="AD24" s="97"/>
      <c r="AE24" s="97"/>
      <c r="AF24" s="97"/>
      <c r="AG24" s="97">
        <v>1</v>
      </c>
      <c r="AH24" s="97"/>
      <c r="AI24" s="97"/>
      <c r="AJ24" s="97"/>
      <c r="AK24" s="97"/>
      <c r="AL24" s="97"/>
      <c r="AM24" s="97"/>
      <c r="AN24" s="97"/>
      <c r="AO24" s="97">
        <v>1</v>
      </c>
      <c r="AP24" s="97"/>
      <c r="AQ24" s="97"/>
      <c r="AR24" s="97"/>
      <c r="AS24" s="144">
        <f t="shared" si="0"/>
        <v>9762</v>
      </c>
      <c r="AT24" s="197"/>
      <c r="AU24" s="13"/>
      <c r="AV24" s="200"/>
    </row>
    <row r="25" spans="1:48" s="3" customFormat="1" ht="13.5" customHeight="1">
      <c r="A25" s="217">
        <v>42614</v>
      </c>
      <c r="B25" s="101" t="s">
        <v>174</v>
      </c>
      <c r="C25" s="96">
        <v>1</v>
      </c>
      <c r="D25" s="96"/>
      <c r="E25" s="96"/>
      <c r="F25" s="96"/>
      <c r="G25" s="96"/>
      <c r="H25" s="96">
        <v>1</v>
      </c>
      <c r="I25" s="96"/>
      <c r="J25" s="96"/>
      <c r="K25" s="96"/>
      <c r="L25" s="96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>
        <v>1</v>
      </c>
      <c r="AC25" s="97"/>
      <c r="AD25" s="97"/>
      <c r="AE25" s="97"/>
      <c r="AF25" s="97"/>
      <c r="AG25" s="97"/>
      <c r="AH25" s="97"/>
      <c r="AI25" s="97"/>
      <c r="AJ25" s="97"/>
      <c r="AK25" s="97"/>
      <c r="AL25" s="97">
        <v>1</v>
      </c>
      <c r="AM25" s="97"/>
      <c r="AN25" s="97"/>
      <c r="AO25" s="97"/>
      <c r="AP25" s="97"/>
      <c r="AQ25" s="97"/>
      <c r="AR25" s="97"/>
      <c r="AS25" s="144">
        <f t="shared" si="0"/>
        <v>7312</v>
      </c>
      <c r="AT25" s="197"/>
      <c r="AU25" s="13"/>
      <c r="AV25" s="200"/>
    </row>
    <row r="26" spans="1:48" s="3" customFormat="1" ht="13.5" customHeight="1">
      <c r="A26" s="217">
        <v>42615</v>
      </c>
      <c r="B26" s="101" t="s">
        <v>175</v>
      </c>
      <c r="C26" s="96">
        <v>1</v>
      </c>
      <c r="D26" s="96"/>
      <c r="E26" s="96"/>
      <c r="F26" s="96"/>
      <c r="G26" s="96"/>
      <c r="H26" s="96">
        <v>1</v>
      </c>
      <c r="I26" s="96"/>
      <c r="J26" s="96"/>
      <c r="K26" s="96"/>
      <c r="L26" s="96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>
        <v>1</v>
      </c>
      <c r="AC26" s="97"/>
      <c r="AD26" s="97"/>
      <c r="AE26" s="97"/>
      <c r="AF26" s="97"/>
      <c r="AG26" s="97"/>
      <c r="AH26" s="97"/>
      <c r="AI26" s="97"/>
      <c r="AJ26" s="97"/>
      <c r="AK26" s="97"/>
      <c r="AL26" s="97">
        <v>1</v>
      </c>
      <c r="AM26" s="97"/>
      <c r="AN26" s="97"/>
      <c r="AO26" s="97"/>
      <c r="AP26" s="97"/>
      <c r="AQ26" s="97"/>
      <c r="AR26" s="97"/>
      <c r="AS26" s="144">
        <f t="shared" si="0"/>
        <v>7312</v>
      </c>
      <c r="AT26" s="197"/>
      <c r="AU26" s="13"/>
      <c r="AV26" s="200"/>
    </row>
    <row r="27" spans="1:48" s="3" customFormat="1" ht="13.5" customHeight="1">
      <c r="A27" s="217">
        <v>42616</v>
      </c>
      <c r="B27" s="101" t="s">
        <v>179</v>
      </c>
      <c r="C27" s="96">
        <v>1</v>
      </c>
      <c r="D27" s="96"/>
      <c r="E27" s="96"/>
      <c r="F27" s="96"/>
      <c r="G27" s="96"/>
      <c r="H27" s="96">
        <v>1</v>
      </c>
      <c r="I27" s="96"/>
      <c r="J27" s="96"/>
      <c r="K27" s="96"/>
      <c r="L27" s="96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>
        <v>1</v>
      </c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144">
        <f t="shared" si="0"/>
        <v>4892</v>
      </c>
      <c r="AT27" s="197"/>
      <c r="AU27" s="13"/>
      <c r="AV27" s="200"/>
    </row>
    <row r="28" spans="1:48" s="3" customFormat="1" ht="13.5" customHeight="1">
      <c r="A28" s="217">
        <v>42617</v>
      </c>
      <c r="B28" s="101" t="s">
        <v>180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144">
        <f t="shared" si="0"/>
        <v>0</v>
      </c>
      <c r="AT28" s="197"/>
      <c r="AU28" s="13"/>
      <c r="AV28" s="200"/>
    </row>
    <row r="29" spans="1:48" s="3" customFormat="1" ht="13.5" customHeight="1">
      <c r="A29" s="217">
        <v>42618</v>
      </c>
      <c r="B29" s="101" t="s">
        <v>181</v>
      </c>
      <c r="C29" s="96"/>
      <c r="D29" s="96">
        <v>12</v>
      </c>
      <c r="E29" s="96"/>
      <c r="F29" s="96"/>
      <c r="G29" s="96"/>
      <c r="H29" s="96"/>
      <c r="I29" s="96">
        <v>12</v>
      </c>
      <c r="J29" s="96"/>
      <c r="K29" s="96"/>
      <c r="L29" s="96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>
        <v>12</v>
      </c>
      <c r="AD29" s="97"/>
      <c r="AE29" s="97"/>
      <c r="AF29" s="97"/>
      <c r="AG29" s="97"/>
      <c r="AH29" s="97"/>
      <c r="AI29" s="97"/>
      <c r="AJ29" s="97"/>
      <c r="AK29" s="97"/>
      <c r="AL29" s="97"/>
      <c r="AM29" s="97">
        <v>12</v>
      </c>
      <c r="AN29" s="97"/>
      <c r="AO29" s="97"/>
      <c r="AP29" s="97"/>
      <c r="AQ29" s="97"/>
      <c r="AR29" s="97"/>
      <c r="AS29" s="144">
        <f t="shared" si="0"/>
        <v>8274.9599999999991</v>
      </c>
      <c r="AT29" s="197"/>
      <c r="AU29" s="13"/>
      <c r="AV29" s="200"/>
    </row>
    <row r="30" spans="1:48" s="3" customFormat="1" ht="13.5" customHeight="1">
      <c r="A30" s="217">
        <v>42619</v>
      </c>
      <c r="B30" s="101" t="s">
        <v>182</v>
      </c>
      <c r="C30" s="96">
        <v>1</v>
      </c>
      <c r="D30" s="96"/>
      <c r="E30" s="96"/>
      <c r="F30" s="96"/>
      <c r="G30" s="96"/>
      <c r="H30" s="96">
        <v>1</v>
      </c>
      <c r="I30" s="96"/>
      <c r="J30" s="96"/>
      <c r="K30" s="96"/>
      <c r="L30" s="96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>
        <v>1</v>
      </c>
      <c r="AC30" s="97"/>
      <c r="AD30" s="97"/>
      <c r="AE30" s="97"/>
      <c r="AF30" s="97"/>
      <c r="AG30" s="97"/>
      <c r="AH30" s="97"/>
      <c r="AI30" s="97"/>
      <c r="AJ30" s="97"/>
      <c r="AK30" s="97"/>
      <c r="AL30" s="97">
        <v>1</v>
      </c>
      <c r="AM30" s="97"/>
      <c r="AN30" s="97"/>
      <c r="AO30" s="97"/>
      <c r="AP30" s="97"/>
      <c r="AQ30" s="97"/>
      <c r="AR30" s="97"/>
      <c r="AS30" s="144">
        <f t="shared" si="0"/>
        <v>7312</v>
      </c>
      <c r="AT30" s="197"/>
      <c r="AU30" s="13"/>
      <c r="AV30" s="200"/>
    </row>
    <row r="31" spans="1:48" s="3" customFormat="1" ht="13.5" customHeight="1">
      <c r="A31" s="217">
        <v>42620</v>
      </c>
      <c r="B31" s="101" t="s">
        <v>183</v>
      </c>
      <c r="C31" s="96">
        <v>1</v>
      </c>
      <c r="D31" s="96"/>
      <c r="E31" s="96"/>
      <c r="F31" s="96"/>
      <c r="G31" s="96"/>
      <c r="H31" s="96">
        <v>1</v>
      </c>
      <c r="I31" s="96"/>
      <c r="J31" s="96"/>
      <c r="K31" s="96"/>
      <c r="L31" s="96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>
        <v>1</v>
      </c>
      <c r="AC31" s="97">
        <v>1</v>
      </c>
      <c r="AD31" s="97"/>
      <c r="AE31" s="97"/>
      <c r="AF31" s="97"/>
      <c r="AG31" s="97"/>
      <c r="AH31" s="97"/>
      <c r="AI31" s="97"/>
      <c r="AJ31" s="97"/>
      <c r="AK31" s="97"/>
      <c r="AL31" s="97">
        <v>1</v>
      </c>
      <c r="AM31" s="97"/>
      <c r="AN31" s="97"/>
      <c r="AO31" s="97"/>
      <c r="AP31" s="97"/>
      <c r="AQ31" s="97"/>
      <c r="AR31" s="97"/>
      <c r="AS31" s="144">
        <f t="shared" si="0"/>
        <v>7554.66</v>
      </c>
      <c r="AT31" s="197"/>
      <c r="AU31" s="13"/>
      <c r="AV31" s="200"/>
    </row>
    <row r="32" spans="1:48" s="3" customFormat="1" ht="13.5" customHeight="1">
      <c r="A32" s="217">
        <v>42621</v>
      </c>
      <c r="B32" s="101" t="s">
        <v>184</v>
      </c>
      <c r="C32" s="96">
        <v>1</v>
      </c>
      <c r="D32" s="96"/>
      <c r="E32" s="96"/>
      <c r="F32" s="96"/>
      <c r="G32" s="96"/>
      <c r="H32" s="96">
        <v>1</v>
      </c>
      <c r="I32" s="96"/>
      <c r="J32" s="96"/>
      <c r="K32" s="96"/>
      <c r="L32" s="96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>
        <v>1</v>
      </c>
      <c r="AC32" s="97">
        <v>2</v>
      </c>
      <c r="AD32" s="97"/>
      <c r="AE32" s="97"/>
      <c r="AF32" s="97"/>
      <c r="AG32" s="97"/>
      <c r="AH32" s="97"/>
      <c r="AI32" s="97"/>
      <c r="AJ32" s="97"/>
      <c r="AK32" s="97"/>
      <c r="AL32" s="97">
        <v>1</v>
      </c>
      <c r="AM32" s="97"/>
      <c r="AN32" s="97"/>
      <c r="AO32" s="97"/>
      <c r="AP32" s="97"/>
      <c r="AQ32" s="97"/>
      <c r="AR32" s="97"/>
      <c r="AS32" s="144">
        <f t="shared" si="0"/>
        <v>7797.32</v>
      </c>
      <c r="AT32" s="197"/>
      <c r="AU32" s="13"/>
      <c r="AV32" s="200"/>
    </row>
    <row r="33" spans="1:50" s="3" customFormat="1" ht="13.5" customHeight="1">
      <c r="A33" s="217">
        <v>42622</v>
      </c>
      <c r="B33" s="101" t="s">
        <v>247</v>
      </c>
      <c r="C33" s="96">
        <v>1</v>
      </c>
      <c r="D33" s="96"/>
      <c r="E33" s="96"/>
      <c r="F33" s="96"/>
      <c r="G33" s="96"/>
      <c r="H33" s="96">
        <v>1</v>
      </c>
      <c r="I33" s="96"/>
      <c r="J33" s="96"/>
      <c r="K33" s="96"/>
      <c r="L33" s="96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>
        <v>1</v>
      </c>
      <c r="AC33" s="97">
        <v>2</v>
      </c>
      <c r="AD33" s="97"/>
      <c r="AE33" s="97"/>
      <c r="AF33" s="97"/>
      <c r="AG33" s="97"/>
      <c r="AH33" s="97"/>
      <c r="AI33" s="97"/>
      <c r="AJ33" s="97"/>
      <c r="AK33" s="97"/>
      <c r="AL33" s="97">
        <v>1</v>
      </c>
      <c r="AM33" s="97"/>
      <c r="AN33" s="97"/>
      <c r="AO33" s="97"/>
      <c r="AP33" s="97"/>
      <c r="AQ33" s="97"/>
      <c r="AR33" s="97"/>
      <c r="AS33" s="144">
        <f t="shared" si="0"/>
        <v>7797.32</v>
      </c>
      <c r="AT33" s="197"/>
      <c r="AU33" s="13"/>
      <c r="AV33" s="200"/>
      <c r="AX33" s="70"/>
    </row>
    <row r="34" spans="1:50" s="3" customFormat="1" ht="13.5" customHeight="1">
      <c r="A34" s="217">
        <v>42623</v>
      </c>
      <c r="B34" s="101" t="s">
        <v>192</v>
      </c>
      <c r="C34" s="96">
        <v>1</v>
      </c>
      <c r="D34" s="96"/>
      <c r="E34" s="96"/>
      <c r="F34" s="96"/>
      <c r="G34" s="96"/>
      <c r="H34" s="96">
        <v>0.5</v>
      </c>
      <c r="I34" s="96"/>
      <c r="J34" s="96"/>
      <c r="K34" s="96"/>
      <c r="L34" s="96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>
        <v>1</v>
      </c>
      <c r="AC34" s="97"/>
      <c r="AD34" s="97"/>
      <c r="AE34" s="97"/>
      <c r="AF34" s="97"/>
      <c r="AG34" s="97"/>
      <c r="AH34" s="97"/>
      <c r="AI34" s="97"/>
      <c r="AJ34" s="97"/>
      <c r="AK34" s="97"/>
      <c r="AL34" s="97">
        <v>1</v>
      </c>
      <c r="AM34" s="97"/>
      <c r="AN34" s="97"/>
      <c r="AO34" s="97"/>
      <c r="AP34" s="97"/>
      <c r="AQ34" s="97"/>
      <c r="AR34" s="97"/>
      <c r="AS34" s="144">
        <f t="shared" si="0"/>
        <v>6952</v>
      </c>
      <c r="AT34" s="197"/>
      <c r="AU34" s="13"/>
      <c r="AV34" s="200"/>
    </row>
    <row r="35" spans="1:50" s="3" customFormat="1" ht="13.5" customHeight="1" thickBot="1">
      <c r="A35" s="259">
        <v>42624</v>
      </c>
      <c r="B35" s="207" t="s">
        <v>197</v>
      </c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>
        <v>1</v>
      </c>
      <c r="AK35" s="209"/>
      <c r="AL35" s="209"/>
      <c r="AM35" s="209"/>
      <c r="AN35" s="209"/>
      <c r="AO35" s="209"/>
      <c r="AP35" s="209"/>
      <c r="AQ35" s="209"/>
      <c r="AR35" s="209"/>
      <c r="AS35" s="189">
        <f t="shared" si="0"/>
        <v>2260</v>
      </c>
      <c r="AT35" s="260">
        <v>84599.59</v>
      </c>
      <c r="AU35" s="214" t="s">
        <v>349</v>
      </c>
      <c r="AV35" s="210">
        <v>42644</v>
      </c>
    </row>
    <row r="36" spans="1:50" s="3" customFormat="1">
      <c r="A36" s="218">
        <v>42625</v>
      </c>
      <c r="B36" s="203" t="s">
        <v>198</v>
      </c>
      <c r="C36" s="204">
        <v>1</v>
      </c>
      <c r="D36" s="204"/>
      <c r="E36" s="204"/>
      <c r="F36" s="204"/>
      <c r="G36" s="204"/>
      <c r="H36" s="204">
        <v>1</v>
      </c>
      <c r="I36" s="204"/>
      <c r="J36" s="204"/>
      <c r="K36" s="204"/>
      <c r="L36" s="204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>
        <v>1</v>
      </c>
      <c r="AC36" s="205"/>
      <c r="AD36" s="205"/>
      <c r="AE36" s="205"/>
      <c r="AF36" s="205"/>
      <c r="AG36" s="205">
        <v>1</v>
      </c>
      <c r="AH36" s="205"/>
      <c r="AI36" s="205"/>
      <c r="AJ36" s="205"/>
      <c r="AK36" s="205"/>
      <c r="AL36" s="205">
        <v>1</v>
      </c>
      <c r="AM36" s="205"/>
      <c r="AN36" s="205"/>
      <c r="AO36" s="205"/>
      <c r="AP36" s="205"/>
      <c r="AQ36" s="205"/>
      <c r="AR36" s="205"/>
      <c r="AS36" s="153">
        <f t="shared" si="0"/>
        <v>9922</v>
      </c>
      <c r="AT36" s="197"/>
      <c r="AU36" s="13"/>
      <c r="AV36" s="200"/>
    </row>
    <row r="37" spans="1:50" s="3" customFormat="1">
      <c r="A37" s="217">
        <v>42626</v>
      </c>
      <c r="B37" s="101" t="s">
        <v>246</v>
      </c>
      <c r="C37" s="96">
        <v>1</v>
      </c>
      <c r="D37" s="96"/>
      <c r="E37" s="96"/>
      <c r="F37" s="96"/>
      <c r="G37" s="96"/>
      <c r="H37" s="96"/>
      <c r="I37" s="96"/>
      <c r="J37" s="96"/>
      <c r="K37" s="96"/>
      <c r="L37" s="96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>
        <v>1</v>
      </c>
      <c r="AC37" s="97"/>
      <c r="AD37" s="97"/>
      <c r="AE37" s="97"/>
      <c r="AF37" s="97"/>
      <c r="AG37" s="97">
        <v>1</v>
      </c>
      <c r="AH37" s="97">
        <v>1.5</v>
      </c>
      <c r="AI37" s="97"/>
      <c r="AJ37" s="97"/>
      <c r="AK37" s="97"/>
      <c r="AL37" s="97">
        <v>1</v>
      </c>
      <c r="AM37" s="97"/>
      <c r="AN37" s="97"/>
      <c r="AO37" s="97"/>
      <c r="AP37" s="97"/>
      <c r="AQ37" s="97"/>
      <c r="AR37" s="97"/>
      <c r="AS37" s="144">
        <f t="shared" si="0"/>
        <v>9565.99</v>
      </c>
      <c r="AT37" s="197"/>
      <c r="AU37" s="13"/>
      <c r="AV37" s="200"/>
    </row>
    <row r="38" spans="1:50" s="3" customFormat="1">
      <c r="A38" s="217">
        <v>42627</v>
      </c>
      <c r="B38" s="101" t="s">
        <v>294</v>
      </c>
      <c r="C38" s="96">
        <v>1</v>
      </c>
      <c r="D38" s="96"/>
      <c r="E38" s="96"/>
      <c r="F38" s="96"/>
      <c r="G38" s="96"/>
      <c r="H38" s="96"/>
      <c r="I38" s="96"/>
      <c r="J38" s="96"/>
      <c r="K38" s="96"/>
      <c r="L38" s="96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>
        <v>1</v>
      </c>
      <c r="AC38" s="97"/>
      <c r="AD38" s="97"/>
      <c r="AE38" s="97"/>
      <c r="AF38" s="97"/>
      <c r="AG38" s="97">
        <v>1</v>
      </c>
      <c r="AH38" s="97">
        <v>0.5</v>
      </c>
      <c r="AI38" s="97"/>
      <c r="AJ38" s="97"/>
      <c r="AK38" s="97"/>
      <c r="AL38" s="97">
        <v>1</v>
      </c>
      <c r="AM38" s="97"/>
      <c r="AN38" s="97"/>
      <c r="AO38" s="97"/>
      <c r="AP38" s="97"/>
      <c r="AQ38" s="97"/>
      <c r="AR38" s="97"/>
      <c r="AS38" s="144">
        <f t="shared" si="0"/>
        <v>9323.33</v>
      </c>
      <c r="AT38" s="197"/>
      <c r="AU38" s="13"/>
      <c r="AV38" s="200"/>
    </row>
    <row r="39" spans="1:50" s="3" customFormat="1">
      <c r="A39" s="217">
        <v>42628</v>
      </c>
      <c r="B39" s="101" t="s">
        <v>295</v>
      </c>
      <c r="C39" s="96">
        <v>1</v>
      </c>
      <c r="D39" s="96"/>
      <c r="E39" s="96"/>
      <c r="F39" s="96"/>
      <c r="G39" s="96"/>
      <c r="H39" s="96"/>
      <c r="I39" s="96"/>
      <c r="J39" s="96"/>
      <c r="K39" s="96"/>
      <c r="L39" s="96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>
        <v>1</v>
      </c>
      <c r="AC39" s="97"/>
      <c r="AD39" s="97"/>
      <c r="AE39" s="97"/>
      <c r="AF39" s="97"/>
      <c r="AG39" s="97">
        <v>1</v>
      </c>
      <c r="AH39" s="97"/>
      <c r="AI39" s="97"/>
      <c r="AJ39" s="97"/>
      <c r="AK39" s="97"/>
      <c r="AL39" s="97">
        <v>1</v>
      </c>
      <c r="AM39" s="97"/>
      <c r="AN39" s="97"/>
      <c r="AO39" s="97"/>
      <c r="AP39" s="97"/>
      <c r="AQ39" s="97"/>
      <c r="AR39" s="97"/>
      <c r="AS39" s="144">
        <f t="shared" si="0"/>
        <v>9202</v>
      </c>
      <c r="AT39" s="197"/>
      <c r="AU39" s="13"/>
      <c r="AV39" s="200"/>
    </row>
    <row r="40" spans="1:50" s="3" customFormat="1">
      <c r="A40" s="217">
        <v>42629</v>
      </c>
      <c r="B40" s="101" t="s">
        <v>296</v>
      </c>
      <c r="C40" s="96">
        <v>1</v>
      </c>
      <c r="D40" s="96"/>
      <c r="E40" s="96"/>
      <c r="F40" s="96"/>
      <c r="G40" s="96"/>
      <c r="H40" s="96"/>
      <c r="I40" s="96"/>
      <c r="J40" s="96"/>
      <c r="K40" s="96"/>
      <c r="L40" s="96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>
        <v>1</v>
      </c>
      <c r="AC40" s="97"/>
      <c r="AD40" s="97"/>
      <c r="AE40" s="97"/>
      <c r="AF40" s="97"/>
      <c r="AG40" s="97">
        <v>1</v>
      </c>
      <c r="AH40" s="97"/>
      <c r="AI40" s="97"/>
      <c r="AJ40" s="97"/>
      <c r="AK40" s="97"/>
      <c r="AL40" s="97">
        <v>1</v>
      </c>
      <c r="AM40" s="97"/>
      <c r="AN40" s="97"/>
      <c r="AO40" s="97"/>
      <c r="AP40" s="97"/>
      <c r="AQ40" s="97"/>
      <c r="AR40" s="97"/>
      <c r="AS40" s="144">
        <f t="shared" si="0"/>
        <v>9202</v>
      </c>
      <c r="AT40" s="197"/>
      <c r="AU40" s="13"/>
      <c r="AV40" s="200"/>
    </row>
    <row r="41" spans="1:50" s="3" customFormat="1" ht="13.5" customHeight="1">
      <c r="A41" s="217">
        <v>42630</v>
      </c>
      <c r="B41" s="101" t="s">
        <v>297</v>
      </c>
      <c r="C41" s="96">
        <v>1</v>
      </c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97"/>
      <c r="O41" s="97"/>
      <c r="P41" s="97">
        <v>1</v>
      </c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>
        <v>1</v>
      </c>
      <c r="AC41" s="97"/>
      <c r="AD41" s="97"/>
      <c r="AE41" s="97"/>
      <c r="AF41" s="97"/>
      <c r="AG41" s="97">
        <v>1</v>
      </c>
      <c r="AH41" s="97"/>
      <c r="AI41" s="97"/>
      <c r="AJ41" s="97"/>
      <c r="AK41" s="97"/>
      <c r="AL41" s="97">
        <v>0.5</v>
      </c>
      <c r="AM41" s="97"/>
      <c r="AN41" s="97"/>
      <c r="AO41" s="97"/>
      <c r="AP41" s="97"/>
      <c r="AQ41" s="97"/>
      <c r="AR41" s="97"/>
      <c r="AS41" s="144">
        <f t="shared" ref="AS41:AS54" si="1">SUM(C41*$C$7)+(D41*$D$7)+(E41*$E$7)+(F41*$F$7)+(G41*$G$7)+(H41*$H$7)+(I41*$I$7)+(J41*$J$7)+(K41*$K$7)+(L41*$L$7)+(M41*$M$7)+(N41*$N$7)+(O41*$O$7)+(P41*$P$7)+(Q41*$Q$7)+(R41*$R$7)+(S41*$S$7)+(T41*$T$7)+(U41*$U$7)+(V41*$V$7)+(W41*$W$7)+(X41*$X$7)+(Y41*$Y$7)+(Z41*$Z$7)+(AA41*$AA$7)+(AB41*$AB$7)+(AC41*$AC$7)+(AD41*$AD$7)+(AE41*$AE$7)+(AF41*$AF$7)+(AG41*$AG$7)+(AH41*$AH$7)+(AI41*$AI$7)+(AJ41*$AJ$7)+(AK41*$AK$7)+(AL41*$AL$7)+(AM41*$AM$7)+(AN41*$AN$7)+(AO41*$AO$7)+(AP41*$AP$7)+(AQ41*$AQ$7)+(AR41*$AR$7)</f>
        <v>12160</v>
      </c>
      <c r="AT41" s="197"/>
      <c r="AU41" s="13"/>
      <c r="AV41" s="200"/>
    </row>
    <row r="42" spans="1:50" s="3" customFormat="1" ht="13.5" customHeight="1">
      <c r="A42" s="217">
        <v>42631</v>
      </c>
      <c r="B42" s="101" t="s">
        <v>298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144">
        <f t="shared" si="1"/>
        <v>0</v>
      </c>
      <c r="AT42" s="197"/>
      <c r="AU42" s="13"/>
      <c r="AV42" s="200"/>
    </row>
    <row r="43" spans="1:50" s="3" customFormat="1" ht="13.5" customHeight="1">
      <c r="A43" s="217">
        <v>42632</v>
      </c>
      <c r="B43" s="101" t="s">
        <v>299</v>
      </c>
      <c r="C43" s="96">
        <v>1</v>
      </c>
      <c r="D43" s="96"/>
      <c r="E43" s="96"/>
      <c r="F43" s="96"/>
      <c r="G43" s="96"/>
      <c r="H43" s="96">
        <v>1</v>
      </c>
      <c r="I43" s="96"/>
      <c r="J43" s="96"/>
      <c r="K43" s="96"/>
      <c r="L43" s="96"/>
      <c r="M43" s="97">
        <v>1</v>
      </c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>
        <v>1</v>
      </c>
      <c r="AC43" s="97"/>
      <c r="AD43" s="97"/>
      <c r="AE43" s="97"/>
      <c r="AF43" s="97"/>
      <c r="AG43" s="97">
        <v>1</v>
      </c>
      <c r="AH43" s="97"/>
      <c r="AI43" s="97"/>
      <c r="AJ43" s="97"/>
      <c r="AK43" s="97"/>
      <c r="AL43" s="97">
        <v>1</v>
      </c>
      <c r="AM43" s="97"/>
      <c r="AN43" s="97"/>
      <c r="AO43" s="97"/>
      <c r="AP43" s="97"/>
      <c r="AQ43" s="97"/>
      <c r="AR43" s="97"/>
      <c r="AS43" s="144">
        <f t="shared" si="1"/>
        <v>14390</v>
      </c>
      <c r="AT43" s="197"/>
      <c r="AU43" s="13"/>
      <c r="AV43" s="200"/>
    </row>
    <row r="44" spans="1:50" s="3" customFormat="1">
      <c r="A44" s="217">
        <v>42633</v>
      </c>
      <c r="B44" s="101" t="s">
        <v>300</v>
      </c>
      <c r="C44" s="96">
        <v>1</v>
      </c>
      <c r="D44" s="96"/>
      <c r="E44" s="96"/>
      <c r="F44" s="96"/>
      <c r="G44" s="96"/>
      <c r="H44" s="96">
        <v>1</v>
      </c>
      <c r="I44" s="96"/>
      <c r="J44" s="96"/>
      <c r="K44" s="96"/>
      <c r="L44" s="96"/>
      <c r="M44" s="97">
        <v>1</v>
      </c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>
        <v>1</v>
      </c>
      <c r="AC44" s="97"/>
      <c r="AD44" s="97"/>
      <c r="AE44" s="97"/>
      <c r="AF44" s="97"/>
      <c r="AG44" s="97"/>
      <c r="AH44" s="97"/>
      <c r="AI44" s="97"/>
      <c r="AJ44" s="97"/>
      <c r="AK44" s="97"/>
      <c r="AL44" s="97">
        <v>1</v>
      </c>
      <c r="AM44" s="97"/>
      <c r="AN44" s="97"/>
      <c r="AO44" s="97"/>
      <c r="AP44" s="97"/>
      <c r="AQ44" s="97"/>
      <c r="AR44" s="97"/>
      <c r="AS44" s="144">
        <f t="shared" si="1"/>
        <v>11780</v>
      </c>
      <c r="AT44" s="197"/>
      <c r="AU44" s="13"/>
      <c r="AV44" s="200"/>
    </row>
    <row r="45" spans="1:50" s="3" customFormat="1">
      <c r="A45" s="217">
        <v>42634</v>
      </c>
      <c r="B45" s="101" t="s">
        <v>301</v>
      </c>
      <c r="C45" s="96">
        <v>1</v>
      </c>
      <c r="D45" s="96"/>
      <c r="E45" s="96"/>
      <c r="F45" s="96"/>
      <c r="G45" s="96"/>
      <c r="H45" s="96">
        <v>1</v>
      </c>
      <c r="I45" s="96"/>
      <c r="J45" s="96"/>
      <c r="K45" s="96"/>
      <c r="L45" s="96"/>
      <c r="M45" s="97">
        <v>1</v>
      </c>
      <c r="N45" s="97"/>
      <c r="O45" s="97"/>
      <c r="P45" s="97"/>
      <c r="Q45" s="97"/>
      <c r="R45" s="97"/>
      <c r="S45" s="97"/>
      <c r="T45" s="97"/>
      <c r="U45" s="97">
        <v>1</v>
      </c>
      <c r="V45" s="97"/>
      <c r="W45" s="97"/>
      <c r="X45" s="97"/>
      <c r="Y45" s="97"/>
      <c r="Z45" s="97"/>
      <c r="AA45" s="97"/>
      <c r="AB45" s="97">
        <v>1</v>
      </c>
      <c r="AC45" s="97"/>
      <c r="AD45" s="97"/>
      <c r="AE45" s="97"/>
      <c r="AF45" s="97"/>
      <c r="AG45" s="97"/>
      <c r="AH45" s="97"/>
      <c r="AI45" s="97"/>
      <c r="AJ45" s="97"/>
      <c r="AK45" s="97"/>
      <c r="AL45" s="97">
        <v>1</v>
      </c>
      <c r="AM45" s="97"/>
      <c r="AN45" s="97"/>
      <c r="AO45" s="97"/>
      <c r="AP45" s="97"/>
      <c r="AQ45" s="97"/>
      <c r="AR45" s="97"/>
      <c r="AS45" s="144">
        <f t="shared" si="1"/>
        <v>15948</v>
      </c>
      <c r="AT45" s="197"/>
      <c r="AU45" s="13"/>
      <c r="AV45" s="200"/>
    </row>
    <row r="46" spans="1:50" s="3" customFormat="1">
      <c r="A46" s="217">
        <v>42635</v>
      </c>
      <c r="B46" s="101" t="s">
        <v>308</v>
      </c>
      <c r="C46" s="96">
        <v>1</v>
      </c>
      <c r="D46" s="96"/>
      <c r="E46" s="96"/>
      <c r="F46" s="96"/>
      <c r="G46" s="96"/>
      <c r="H46" s="96">
        <v>1</v>
      </c>
      <c r="I46" s="96"/>
      <c r="J46" s="96"/>
      <c r="K46" s="96"/>
      <c r="L46" s="96"/>
      <c r="M46" s="97">
        <v>1</v>
      </c>
      <c r="N46" s="97"/>
      <c r="O46" s="97"/>
      <c r="P46" s="97"/>
      <c r="Q46" s="97"/>
      <c r="R46" s="97">
        <v>1</v>
      </c>
      <c r="S46" s="97"/>
      <c r="T46" s="97"/>
      <c r="U46" s="97"/>
      <c r="V46" s="97"/>
      <c r="W46" s="97"/>
      <c r="X46" s="97"/>
      <c r="Y46" s="97"/>
      <c r="Z46" s="97"/>
      <c r="AA46" s="97"/>
      <c r="AB46" s="97">
        <v>1</v>
      </c>
      <c r="AC46" s="97"/>
      <c r="AD46" s="97"/>
      <c r="AE46" s="97"/>
      <c r="AF46" s="97"/>
      <c r="AG46" s="97">
        <v>1</v>
      </c>
      <c r="AH46" s="97"/>
      <c r="AI46" s="97"/>
      <c r="AJ46" s="97"/>
      <c r="AK46" s="97"/>
      <c r="AL46" s="97">
        <v>1</v>
      </c>
      <c r="AM46" s="97"/>
      <c r="AN46" s="97"/>
      <c r="AO46" s="97"/>
      <c r="AP46" s="97"/>
      <c r="AQ46" s="97"/>
      <c r="AR46" s="97"/>
      <c r="AS46" s="144">
        <f t="shared" si="1"/>
        <v>18858</v>
      </c>
      <c r="AT46" s="197"/>
      <c r="AU46" s="13"/>
      <c r="AV46" s="200"/>
    </row>
    <row r="47" spans="1:50" s="3" customFormat="1">
      <c r="A47" s="217">
        <v>42636</v>
      </c>
      <c r="B47" s="101" t="s">
        <v>320</v>
      </c>
      <c r="C47" s="96">
        <v>1</v>
      </c>
      <c r="D47" s="96"/>
      <c r="E47" s="96"/>
      <c r="F47" s="96"/>
      <c r="G47" s="96"/>
      <c r="H47" s="96">
        <v>1</v>
      </c>
      <c r="I47" s="96"/>
      <c r="J47" s="96"/>
      <c r="K47" s="96"/>
      <c r="L47" s="96"/>
      <c r="M47" s="97">
        <v>1</v>
      </c>
      <c r="N47" s="97"/>
      <c r="O47" s="97"/>
      <c r="P47" s="97"/>
      <c r="Q47" s="97"/>
      <c r="R47" s="97">
        <v>1</v>
      </c>
      <c r="S47" s="97"/>
      <c r="T47" s="97"/>
      <c r="U47" s="97"/>
      <c r="V47" s="97"/>
      <c r="W47" s="97"/>
      <c r="X47" s="97"/>
      <c r="Y47" s="97"/>
      <c r="Z47" s="97"/>
      <c r="AA47" s="97"/>
      <c r="AB47" s="97">
        <v>1</v>
      </c>
      <c r="AC47" s="97"/>
      <c r="AD47" s="97"/>
      <c r="AE47" s="97"/>
      <c r="AF47" s="97"/>
      <c r="AG47" s="97">
        <v>1</v>
      </c>
      <c r="AH47" s="97"/>
      <c r="AI47" s="97"/>
      <c r="AJ47" s="97"/>
      <c r="AK47" s="97"/>
      <c r="AL47" s="97">
        <v>1</v>
      </c>
      <c r="AM47" s="97"/>
      <c r="AN47" s="97"/>
      <c r="AO47" s="97"/>
      <c r="AP47" s="97"/>
      <c r="AQ47" s="97"/>
      <c r="AR47" s="97"/>
      <c r="AS47" s="144">
        <f t="shared" si="1"/>
        <v>18858</v>
      </c>
      <c r="AT47" s="197"/>
      <c r="AU47" s="13"/>
      <c r="AV47" s="200"/>
    </row>
    <row r="48" spans="1:50" s="3" customFormat="1" ht="13.5" customHeight="1">
      <c r="A48" s="217">
        <v>42637</v>
      </c>
      <c r="B48" s="101" t="s">
        <v>323</v>
      </c>
      <c r="C48" s="96">
        <v>1</v>
      </c>
      <c r="D48" s="96"/>
      <c r="E48" s="96"/>
      <c r="F48" s="96"/>
      <c r="G48" s="96"/>
      <c r="H48" s="96">
        <v>1</v>
      </c>
      <c r="I48" s="96"/>
      <c r="J48" s="96"/>
      <c r="K48" s="96"/>
      <c r="L48" s="96"/>
      <c r="M48" s="97">
        <v>1</v>
      </c>
      <c r="N48" s="97"/>
      <c r="O48" s="97"/>
      <c r="P48" s="97"/>
      <c r="Q48" s="97"/>
      <c r="R48" s="97">
        <v>1</v>
      </c>
      <c r="S48" s="97"/>
      <c r="T48" s="97"/>
      <c r="U48" s="97"/>
      <c r="V48" s="97"/>
      <c r="W48" s="97"/>
      <c r="X48" s="97"/>
      <c r="Y48" s="97"/>
      <c r="Z48" s="97"/>
      <c r="AA48" s="97"/>
      <c r="AB48" s="97">
        <v>1</v>
      </c>
      <c r="AC48" s="97"/>
      <c r="AD48" s="97"/>
      <c r="AE48" s="97"/>
      <c r="AF48" s="97"/>
      <c r="AG48" s="97">
        <v>1</v>
      </c>
      <c r="AH48" s="97">
        <v>2</v>
      </c>
      <c r="AI48" s="97"/>
      <c r="AJ48" s="97"/>
      <c r="AK48" s="97"/>
      <c r="AL48" s="97">
        <v>1</v>
      </c>
      <c r="AM48" s="97"/>
      <c r="AN48" s="97"/>
      <c r="AO48" s="97"/>
      <c r="AP48" s="97"/>
      <c r="AQ48" s="97"/>
      <c r="AR48" s="97"/>
      <c r="AS48" s="144">
        <f t="shared" si="1"/>
        <v>19343.32</v>
      </c>
      <c r="AT48" s="197"/>
      <c r="AU48" s="13"/>
      <c r="AV48" s="200"/>
    </row>
    <row r="49" spans="1:48" s="3" customFormat="1" ht="13.5" customHeight="1" thickBot="1">
      <c r="A49" s="259">
        <v>42638</v>
      </c>
      <c r="B49" s="207" t="s">
        <v>324</v>
      </c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>
        <v>12</v>
      </c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189">
        <f t="shared" si="1"/>
        <v>2911.92</v>
      </c>
      <c r="AT49" s="260">
        <v>161464.56</v>
      </c>
      <c r="AU49" s="214" t="s">
        <v>352</v>
      </c>
      <c r="AV49" s="210">
        <v>42646</v>
      </c>
    </row>
    <row r="50" spans="1:48" s="3" customFormat="1">
      <c r="A50" s="218">
        <v>42639</v>
      </c>
      <c r="B50" s="203" t="s">
        <v>329</v>
      </c>
      <c r="C50" s="204">
        <v>1</v>
      </c>
      <c r="D50" s="204"/>
      <c r="E50" s="204"/>
      <c r="F50" s="204"/>
      <c r="G50" s="204"/>
      <c r="H50" s="204">
        <v>1</v>
      </c>
      <c r="I50" s="204"/>
      <c r="J50" s="204"/>
      <c r="K50" s="204"/>
      <c r="L50" s="204"/>
      <c r="M50" s="205">
        <v>1</v>
      </c>
      <c r="N50" s="205"/>
      <c r="O50" s="205"/>
      <c r="P50" s="205"/>
      <c r="Q50" s="205"/>
      <c r="R50" s="205">
        <v>1</v>
      </c>
      <c r="S50" s="205"/>
      <c r="T50" s="205"/>
      <c r="U50" s="205"/>
      <c r="V50" s="205"/>
      <c r="W50" s="205"/>
      <c r="X50" s="205"/>
      <c r="Y50" s="205"/>
      <c r="Z50" s="205"/>
      <c r="AA50" s="205"/>
      <c r="AB50" s="205">
        <v>1</v>
      </c>
      <c r="AC50" s="205"/>
      <c r="AD50" s="205"/>
      <c r="AE50" s="205"/>
      <c r="AF50" s="205"/>
      <c r="AG50" s="205">
        <v>1</v>
      </c>
      <c r="AH50" s="205">
        <v>2</v>
      </c>
      <c r="AI50" s="205"/>
      <c r="AJ50" s="205"/>
      <c r="AK50" s="205"/>
      <c r="AL50" s="205">
        <v>1</v>
      </c>
      <c r="AM50" s="205"/>
      <c r="AN50" s="205"/>
      <c r="AO50" s="205"/>
      <c r="AP50" s="205"/>
      <c r="AQ50" s="205"/>
      <c r="AR50" s="205"/>
      <c r="AS50" s="153">
        <f t="shared" si="1"/>
        <v>19343.32</v>
      </c>
      <c r="AT50" s="197"/>
      <c r="AU50" s="13"/>
      <c r="AV50" s="200"/>
    </row>
    <row r="51" spans="1:48" s="3" customFormat="1">
      <c r="A51" s="217">
        <v>42640</v>
      </c>
      <c r="B51" s="101" t="s">
        <v>335</v>
      </c>
      <c r="C51" s="96">
        <v>1</v>
      </c>
      <c r="D51" s="96"/>
      <c r="E51" s="96"/>
      <c r="F51" s="96"/>
      <c r="G51" s="96"/>
      <c r="H51" s="96">
        <v>1</v>
      </c>
      <c r="I51" s="96"/>
      <c r="J51" s="96"/>
      <c r="K51" s="96"/>
      <c r="L51" s="96"/>
      <c r="M51" s="97">
        <v>1</v>
      </c>
      <c r="N51" s="97"/>
      <c r="O51" s="97"/>
      <c r="P51" s="97"/>
      <c r="Q51" s="97"/>
      <c r="R51" s="97">
        <v>1</v>
      </c>
      <c r="S51" s="97">
        <v>2</v>
      </c>
      <c r="T51" s="97"/>
      <c r="U51" s="97"/>
      <c r="V51" s="97"/>
      <c r="W51" s="97"/>
      <c r="X51" s="97"/>
      <c r="Y51" s="97"/>
      <c r="Z51" s="97"/>
      <c r="AA51" s="97"/>
      <c r="AB51" s="97">
        <v>1</v>
      </c>
      <c r="AC51" s="97"/>
      <c r="AD51" s="97"/>
      <c r="AE51" s="97"/>
      <c r="AF51" s="97"/>
      <c r="AG51" s="97">
        <v>1</v>
      </c>
      <c r="AH51" s="97">
        <v>1</v>
      </c>
      <c r="AI51" s="97"/>
      <c r="AJ51" s="97"/>
      <c r="AK51" s="97"/>
      <c r="AL51" s="97">
        <v>1</v>
      </c>
      <c r="AM51" s="97"/>
      <c r="AN51" s="97"/>
      <c r="AO51" s="97"/>
      <c r="AP51" s="97"/>
      <c r="AQ51" s="97"/>
      <c r="AR51" s="97"/>
      <c r="AS51" s="144">
        <f t="shared" si="1"/>
        <v>19981.240000000002</v>
      </c>
      <c r="AT51" s="197"/>
      <c r="AU51" s="13"/>
      <c r="AV51" s="200"/>
    </row>
    <row r="52" spans="1:48" s="3" customFormat="1">
      <c r="A52" s="217">
        <v>42641</v>
      </c>
      <c r="B52" s="101" t="s">
        <v>338</v>
      </c>
      <c r="C52" s="96">
        <v>1</v>
      </c>
      <c r="D52" s="96"/>
      <c r="E52" s="96"/>
      <c r="F52" s="96"/>
      <c r="G52" s="96"/>
      <c r="H52" s="96">
        <v>1</v>
      </c>
      <c r="I52" s="96"/>
      <c r="J52" s="96"/>
      <c r="K52" s="96"/>
      <c r="L52" s="96"/>
      <c r="M52" s="97">
        <v>1</v>
      </c>
      <c r="N52" s="97"/>
      <c r="O52" s="97"/>
      <c r="P52" s="97"/>
      <c r="Q52" s="97"/>
      <c r="R52" s="97">
        <v>1</v>
      </c>
      <c r="S52" s="97">
        <v>2</v>
      </c>
      <c r="T52" s="97"/>
      <c r="U52" s="97"/>
      <c r="V52" s="97"/>
      <c r="W52" s="97"/>
      <c r="X52" s="97"/>
      <c r="Y52" s="97"/>
      <c r="Z52" s="97"/>
      <c r="AA52" s="97"/>
      <c r="AB52" s="97">
        <v>1</v>
      </c>
      <c r="AC52" s="97"/>
      <c r="AD52" s="97"/>
      <c r="AE52" s="97"/>
      <c r="AF52" s="97"/>
      <c r="AG52" s="97">
        <v>1</v>
      </c>
      <c r="AH52" s="97">
        <v>2</v>
      </c>
      <c r="AI52" s="97"/>
      <c r="AJ52" s="97"/>
      <c r="AK52" s="97"/>
      <c r="AL52" s="97">
        <v>1</v>
      </c>
      <c r="AM52" s="97"/>
      <c r="AN52" s="97"/>
      <c r="AO52" s="97"/>
      <c r="AP52" s="97"/>
      <c r="AQ52" s="97"/>
      <c r="AR52" s="97"/>
      <c r="AS52" s="144">
        <f t="shared" si="1"/>
        <v>20223.900000000001</v>
      </c>
      <c r="AT52" s="197"/>
      <c r="AU52" s="13"/>
      <c r="AV52" s="200"/>
    </row>
    <row r="53" spans="1:48" s="3" customFormat="1">
      <c r="A53" s="217">
        <v>42642</v>
      </c>
      <c r="B53" s="101" t="s">
        <v>339</v>
      </c>
      <c r="C53" s="96">
        <v>1</v>
      </c>
      <c r="D53" s="96"/>
      <c r="E53" s="96"/>
      <c r="F53" s="96"/>
      <c r="G53" s="96"/>
      <c r="H53" s="96">
        <v>1</v>
      </c>
      <c r="I53" s="96"/>
      <c r="J53" s="96"/>
      <c r="K53" s="96"/>
      <c r="L53" s="96"/>
      <c r="M53" s="97">
        <v>1</v>
      </c>
      <c r="N53" s="97"/>
      <c r="O53" s="97"/>
      <c r="P53" s="97"/>
      <c r="Q53" s="97"/>
      <c r="R53" s="97">
        <v>1</v>
      </c>
      <c r="S53" s="97"/>
      <c r="T53" s="97"/>
      <c r="U53" s="97"/>
      <c r="V53" s="97"/>
      <c r="W53" s="97"/>
      <c r="X53" s="97"/>
      <c r="Y53" s="97"/>
      <c r="Z53" s="97"/>
      <c r="AA53" s="97"/>
      <c r="AB53" s="97">
        <v>1</v>
      </c>
      <c r="AC53" s="97"/>
      <c r="AD53" s="97"/>
      <c r="AE53" s="97"/>
      <c r="AF53" s="97"/>
      <c r="AG53" s="97">
        <v>1</v>
      </c>
      <c r="AH53" s="97">
        <v>1</v>
      </c>
      <c r="AI53" s="97"/>
      <c r="AJ53" s="97"/>
      <c r="AK53" s="97"/>
      <c r="AL53" s="97">
        <v>1</v>
      </c>
      <c r="AM53" s="97"/>
      <c r="AN53" s="97"/>
      <c r="AO53" s="97"/>
      <c r="AP53" s="97"/>
      <c r="AQ53" s="97"/>
      <c r="AR53" s="97"/>
      <c r="AS53" s="144">
        <f t="shared" si="1"/>
        <v>19100.66</v>
      </c>
      <c r="AT53" s="197"/>
      <c r="AU53" s="13"/>
      <c r="AV53" s="200"/>
    </row>
    <row r="54" spans="1:48" s="3" customFormat="1">
      <c r="A54" s="217">
        <v>42643</v>
      </c>
      <c r="B54" s="101" t="s">
        <v>340</v>
      </c>
      <c r="C54" s="96">
        <v>1</v>
      </c>
      <c r="D54" s="96"/>
      <c r="E54" s="96"/>
      <c r="F54" s="96"/>
      <c r="G54" s="96"/>
      <c r="H54" s="96">
        <v>1</v>
      </c>
      <c r="I54" s="96"/>
      <c r="J54" s="96"/>
      <c r="K54" s="96"/>
      <c r="L54" s="96"/>
      <c r="M54" s="97">
        <v>1</v>
      </c>
      <c r="N54" s="97"/>
      <c r="O54" s="97"/>
      <c r="P54" s="97"/>
      <c r="Q54" s="97"/>
      <c r="R54" s="97">
        <v>1</v>
      </c>
      <c r="S54" s="97"/>
      <c r="T54" s="97"/>
      <c r="U54" s="97"/>
      <c r="V54" s="97"/>
      <c r="W54" s="97"/>
      <c r="X54" s="97"/>
      <c r="Y54" s="97"/>
      <c r="Z54" s="97"/>
      <c r="AA54" s="97"/>
      <c r="AB54" s="97">
        <v>2</v>
      </c>
      <c r="AC54" s="97"/>
      <c r="AD54" s="97"/>
      <c r="AE54" s="97"/>
      <c r="AF54" s="97"/>
      <c r="AG54" s="97">
        <v>1</v>
      </c>
      <c r="AH54" s="97"/>
      <c r="AI54" s="97"/>
      <c r="AJ54" s="97"/>
      <c r="AK54" s="97"/>
      <c r="AL54" s="97">
        <v>1</v>
      </c>
      <c r="AM54" s="97"/>
      <c r="AN54" s="97"/>
      <c r="AO54" s="97"/>
      <c r="AP54" s="97"/>
      <c r="AQ54" s="97"/>
      <c r="AR54" s="97"/>
      <c r="AS54" s="144">
        <f t="shared" si="1"/>
        <v>21468</v>
      </c>
      <c r="AT54" s="197"/>
      <c r="AU54" s="13"/>
      <c r="AV54" s="200"/>
    </row>
    <row r="55" spans="1:48" s="3" customFormat="1" ht="13.5" customHeight="1">
      <c r="A55" s="217">
        <v>42644</v>
      </c>
      <c r="B55" s="101" t="s">
        <v>356</v>
      </c>
      <c r="C55" s="96">
        <v>1</v>
      </c>
      <c r="D55" s="96"/>
      <c r="E55" s="96"/>
      <c r="F55" s="96"/>
      <c r="G55" s="96"/>
      <c r="H55" s="96">
        <v>1</v>
      </c>
      <c r="I55" s="96"/>
      <c r="J55" s="96"/>
      <c r="K55" s="96"/>
      <c r="L55" s="96"/>
      <c r="M55" s="97"/>
      <c r="N55" s="97"/>
      <c r="O55" s="97">
        <v>1</v>
      </c>
      <c r="P55" s="97"/>
      <c r="Q55" s="97"/>
      <c r="R55" s="97"/>
      <c r="S55" s="97"/>
      <c r="T55" s="97">
        <v>1</v>
      </c>
      <c r="U55" s="97"/>
      <c r="V55" s="97"/>
      <c r="W55" s="97"/>
      <c r="X55" s="97"/>
      <c r="Y55" s="97"/>
      <c r="Z55" s="97"/>
      <c r="AA55" s="97"/>
      <c r="AB55" s="97"/>
      <c r="AC55" s="97"/>
      <c r="AD55" s="97">
        <v>1</v>
      </c>
      <c r="AE55" s="97"/>
      <c r="AF55" s="97"/>
      <c r="AG55" s="97"/>
      <c r="AH55" s="97"/>
      <c r="AI55" s="97">
        <v>1</v>
      </c>
      <c r="AJ55" s="97"/>
      <c r="AK55" s="97"/>
      <c r="AL55" s="97"/>
      <c r="AM55" s="97"/>
      <c r="AN55" s="97">
        <v>1</v>
      </c>
      <c r="AO55" s="97"/>
      <c r="AP55" s="97"/>
      <c r="AQ55" s="97"/>
      <c r="AR55" s="97"/>
      <c r="AS55" s="144">
        <f t="shared" ref="AS55:AS56" si="2">SUM(C55*$C$7)+(D55*$D$7)+(E55*$E$7)+(F55*$F$7)+(G55*$G$7)+(H55*$H$7)+(I55*$I$7)+(J55*$J$7)+(K55*$K$7)+(L55*$L$7)+(M55*$M$7)+(N55*$N$7)+(O55*$O$7)+(P55*$P$7)+(Q55*$Q$7)+(R55*$R$7)+(S55*$S$7)+(T55*$T$7)+(U55*$U$7)+(V55*$V$7)+(W55*$W$7)+(X55*$X$7)+(Y55*$Y$7)+(Z55*$Z$7)+(AA55*$AA$7)+(AB55*$AB$7)+(AC55*$AC$7)+(AD55*$AD$7)+(AE55*$AE$7)+(AF55*$AF$7)+(AG55*$AG$7)+(AH55*$AH$7)+(AI55*$AI$7)+(AJ55*$AJ$7)+(AK55*$AK$7)+(AL55*$AL$7)+(AM55*$AM$7)+(AN55*$AN$7)+(AO55*$AO$7)+(AP55*$AP$7)+(AQ55*$AQ$7)+(AR55*$AR$7)</f>
        <v>10570</v>
      </c>
      <c r="AT55" s="197"/>
      <c r="AU55" s="13"/>
      <c r="AV55" s="200"/>
    </row>
    <row r="56" spans="1:48" s="3" customFormat="1" ht="13.5" customHeight="1">
      <c r="A56" s="217">
        <v>42646</v>
      </c>
      <c r="B56" s="101" t="s">
        <v>357</v>
      </c>
      <c r="C56" s="96"/>
      <c r="D56" s="96"/>
      <c r="E56" s="96">
        <v>1</v>
      </c>
      <c r="F56" s="96"/>
      <c r="G56" s="96"/>
      <c r="H56" s="96"/>
      <c r="I56" s="96"/>
      <c r="J56" s="96">
        <v>1</v>
      </c>
      <c r="K56" s="96"/>
      <c r="L56" s="96"/>
      <c r="M56" s="97"/>
      <c r="N56" s="97"/>
      <c r="O56" s="97">
        <v>1</v>
      </c>
      <c r="P56" s="97"/>
      <c r="Q56" s="97"/>
      <c r="R56" s="97"/>
      <c r="S56" s="97"/>
      <c r="T56" s="97">
        <v>1</v>
      </c>
      <c r="U56" s="97"/>
      <c r="V56" s="97"/>
      <c r="W56" s="97"/>
      <c r="X56" s="97"/>
      <c r="Y56" s="97"/>
      <c r="Z56" s="97"/>
      <c r="AA56" s="97"/>
      <c r="AB56" s="97"/>
      <c r="AC56" s="97"/>
      <c r="AD56" s="97">
        <v>2</v>
      </c>
      <c r="AE56" s="97"/>
      <c r="AF56" s="97"/>
      <c r="AG56" s="97"/>
      <c r="AH56" s="97"/>
      <c r="AI56" s="97">
        <v>1</v>
      </c>
      <c r="AJ56" s="97"/>
      <c r="AK56" s="97"/>
      <c r="AL56" s="97"/>
      <c r="AM56" s="97"/>
      <c r="AN56" s="97">
        <v>1</v>
      </c>
      <c r="AO56" s="97"/>
      <c r="AP56" s="97"/>
      <c r="AQ56" s="97"/>
      <c r="AR56" s="97"/>
      <c r="AS56" s="144">
        <f t="shared" si="2"/>
        <v>10734</v>
      </c>
      <c r="AT56" s="197"/>
      <c r="AU56" s="13"/>
      <c r="AV56" s="200"/>
    </row>
    <row r="57" spans="1:48" s="3" customFormat="1" ht="13.5" customHeight="1">
      <c r="A57" s="217">
        <v>42647</v>
      </c>
      <c r="B57" s="101" t="s">
        <v>377</v>
      </c>
      <c r="C57" s="96">
        <v>1</v>
      </c>
      <c r="D57" s="96"/>
      <c r="E57" s="96"/>
      <c r="F57" s="96"/>
      <c r="G57" s="96"/>
      <c r="H57" s="96">
        <v>1</v>
      </c>
      <c r="I57" s="96"/>
      <c r="J57" s="96"/>
      <c r="K57" s="96"/>
      <c r="L57" s="96"/>
      <c r="M57" s="97">
        <v>1</v>
      </c>
      <c r="N57" s="97"/>
      <c r="O57" s="97"/>
      <c r="P57" s="97"/>
      <c r="Q57" s="97"/>
      <c r="R57" s="97">
        <v>1</v>
      </c>
      <c r="S57" s="97"/>
      <c r="T57" s="97"/>
      <c r="U57" s="97"/>
      <c r="V57" s="97"/>
      <c r="W57" s="97"/>
      <c r="X57" s="97"/>
      <c r="Y57" s="97"/>
      <c r="Z57" s="97"/>
      <c r="AA57" s="97"/>
      <c r="AB57" s="97">
        <v>1</v>
      </c>
      <c r="AC57" s="97"/>
      <c r="AD57" s="97"/>
      <c r="AE57" s="97"/>
      <c r="AF57" s="97"/>
      <c r="AG57" s="97">
        <v>1</v>
      </c>
      <c r="AH57" s="97"/>
      <c r="AI57" s="97"/>
      <c r="AJ57" s="97"/>
      <c r="AK57" s="97"/>
      <c r="AL57" s="97">
        <v>1</v>
      </c>
      <c r="AM57" s="97"/>
      <c r="AN57" s="97"/>
      <c r="AO57" s="97"/>
      <c r="AP57" s="97"/>
      <c r="AQ57" s="97"/>
      <c r="AR57" s="97"/>
      <c r="AS57" s="144">
        <f t="shared" ref="AS57:AS64" si="3">SUM(C57*$C$7)+(D57*$D$7)+(E57*$E$7)+(F57*$F$7)+(G57*$G$7)+(H57*$H$7)+(I57*$I$7)+(J57*$J$7)+(K57*$K$7)+(L57*$L$7)+(M57*$M$7)+(N57*$N$7)+(O57*$O$7)+(P57*$P$7)+(Q57*$Q$7)+(R57*$R$7)+(S57*$S$7)+(T57*$T$7)+(U57*$U$7)+(V57*$V$7)+(W57*$W$7)+(X57*$X$7)+(Y57*$Y$7)+(Z57*$Z$7)+(AA57*$AA$7)+(AB57*$AB$7)+(AC57*$AC$7)+(AD57*$AD$7)+(AE57*$AE$7)+(AF57*$AF$7)+(AG57*$AG$7)+(AH57*$AH$7)+(AI57*$AI$7)+(AJ57*$AJ$7)+(AK57*$AK$7)+(AL57*$AL$7)+(AM57*$AM$7)+(AN57*$AN$7)+(AO57*$AO$7)+(AP57*$AP$7)+(AQ57*$AQ$7)+(AR57*$AR$7)</f>
        <v>18858</v>
      </c>
      <c r="AT57" s="197"/>
      <c r="AU57" s="13"/>
      <c r="AV57" s="200"/>
    </row>
    <row r="58" spans="1:48" s="3" customFormat="1">
      <c r="A58" s="217">
        <v>42648</v>
      </c>
      <c r="B58" s="101" t="s">
        <v>378</v>
      </c>
      <c r="C58" s="96">
        <v>1</v>
      </c>
      <c r="D58" s="96"/>
      <c r="E58" s="96"/>
      <c r="F58" s="96"/>
      <c r="G58" s="96"/>
      <c r="H58" s="96">
        <v>1</v>
      </c>
      <c r="I58" s="96"/>
      <c r="J58" s="96"/>
      <c r="K58" s="96"/>
      <c r="L58" s="96"/>
      <c r="M58" s="97">
        <v>1</v>
      </c>
      <c r="N58" s="97"/>
      <c r="O58" s="97"/>
      <c r="P58" s="97"/>
      <c r="Q58" s="97"/>
      <c r="R58" s="97">
        <v>1</v>
      </c>
      <c r="S58" s="97"/>
      <c r="T58" s="97"/>
      <c r="U58" s="97"/>
      <c r="V58" s="97"/>
      <c r="W58" s="97"/>
      <c r="X58" s="97"/>
      <c r="Y58" s="97"/>
      <c r="Z58" s="97"/>
      <c r="AA58" s="97"/>
      <c r="AB58" s="97">
        <v>1</v>
      </c>
      <c r="AC58" s="97"/>
      <c r="AD58" s="97"/>
      <c r="AE58" s="97"/>
      <c r="AF58" s="97"/>
      <c r="AG58" s="97">
        <v>1</v>
      </c>
      <c r="AH58" s="97"/>
      <c r="AI58" s="97"/>
      <c r="AJ58" s="97"/>
      <c r="AK58" s="97"/>
      <c r="AL58" s="97">
        <v>1</v>
      </c>
      <c r="AM58" s="97"/>
      <c r="AN58" s="97"/>
      <c r="AO58" s="97"/>
      <c r="AP58" s="97"/>
      <c r="AQ58" s="97"/>
      <c r="AR58" s="97"/>
      <c r="AS58" s="144">
        <f t="shared" si="3"/>
        <v>18858</v>
      </c>
      <c r="AT58" s="197"/>
      <c r="AU58" s="13"/>
      <c r="AV58" s="200"/>
    </row>
    <row r="59" spans="1:48" s="3" customFormat="1" ht="13.5" customHeight="1">
      <c r="A59" s="217">
        <v>42649</v>
      </c>
      <c r="B59" s="101" t="s">
        <v>379</v>
      </c>
      <c r="C59" s="96">
        <v>1</v>
      </c>
      <c r="D59" s="96"/>
      <c r="E59" s="96"/>
      <c r="F59" s="96"/>
      <c r="G59" s="96"/>
      <c r="H59" s="96">
        <v>1</v>
      </c>
      <c r="I59" s="96"/>
      <c r="J59" s="96"/>
      <c r="K59" s="96"/>
      <c r="L59" s="96"/>
      <c r="M59" s="97">
        <v>1</v>
      </c>
      <c r="N59" s="97"/>
      <c r="O59" s="97"/>
      <c r="P59" s="97"/>
      <c r="Q59" s="97"/>
      <c r="R59" s="97"/>
      <c r="S59" s="97"/>
      <c r="T59" s="97"/>
      <c r="U59" s="97"/>
      <c r="V59" s="97">
        <v>1</v>
      </c>
      <c r="W59" s="97"/>
      <c r="X59" s="97"/>
      <c r="Y59" s="97"/>
      <c r="Z59" s="97"/>
      <c r="AA59" s="97"/>
      <c r="AB59" s="97"/>
      <c r="AC59" s="97"/>
      <c r="AD59" s="97"/>
      <c r="AE59" s="97"/>
      <c r="AF59" s="97">
        <v>1</v>
      </c>
      <c r="AG59" s="97">
        <v>1</v>
      </c>
      <c r="AH59" s="97"/>
      <c r="AI59" s="97"/>
      <c r="AJ59" s="97"/>
      <c r="AK59" s="97"/>
      <c r="AL59" s="97"/>
      <c r="AM59" s="97"/>
      <c r="AN59" s="97"/>
      <c r="AO59" s="97"/>
      <c r="AP59" s="97">
        <v>1</v>
      </c>
      <c r="AQ59" s="97"/>
      <c r="AR59" s="97"/>
      <c r="AS59" s="144">
        <f t="shared" si="3"/>
        <v>18048</v>
      </c>
      <c r="AT59" s="197"/>
      <c r="AU59" s="13"/>
      <c r="AV59" s="200"/>
    </row>
    <row r="60" spans="1:48" s="3" customFormat="1" ht="13" thickBot="1">
      <c r="A60" s="259">
        <v>42650</v>
      </c>
      <c r="B60" s="207" t="s">
        <v>380</v>
      </c>
      <c r="C60" s="208"/>
      <c r="D60" s="208"/>
      <c r="E60" s="208"/>
      <c r="F60" s="208"/>
      <c r="G60" s="208">
        <v>1</v>
      </c>
      <c r="H60" s="208"/>
      <c r="I60" s="208"/>
      <c r="J60" s="208"/>
      <c r="K60" s="208"/>
      <c r="L60" s="208">
        <v>1</v>
      </c>
      <c r="M60" s="209"/>
      <c r="N60" s="209"/>
      <c r="O60" s="209"/>
      <c r="P60" s="209"/>
      <c r="Q60" s="209">
        <v>1</v>
      </c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>
        <v>1</v>
      </c>
      <c r="AL60" s="209"/>
      <c r="AM60" s="209"/>
      <c r="AN60" s="209"/>
      <c r="AO60" s="209"/>
      <c r="AP60" s="209"/>
      <c r="AQ60" s="209"/>
      <c r="AR60" s="209"/>
      <c r="AS60" s="189">
        <f t="shared" si="3"/>
        <v>8490</v>
      </c>
      <c r="AT60" s="260">
        <v>185675.12</v>
      </c>
      <c r="AU60" s="289" t="s">
        <v>381</v>
      </c>
      <c r="AV60" s="210">
        <v>42656</v>
      </c>
    </row>
    <row r="61" spans="1:48" s="3" customFormat="1">
      <c r="A61" s="218"/>
      <c r="B61" s="203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153">
        <f t="shared" si="3"/>
        <v>0</v>
      </c>
      <c r="AT61" s="197"/>
      <c r="AU61" s="13"/>
      <c r="AV61" s="200"/>
    </row>
    <row r="62" spans="1:48" s="3" customFormat="1" ht="13.5" customHeight="1">
      <c r="A62" s="217"/>
      <c r="B62" s="101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144">
        <f t="shared" si="3"/>
        <v>0</v>
      </c>
      <c r="AT62" s="197"/>
      <c r="AU62" s="13"/>
      <c r="AV62" s="200"/>
    </row>
    <row r="63" spans="1:48" s="3" customFormat="1">
      <c r="A63" s="217"/>
      <c r="B63" s="101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144">
        <f t="shared" si="3"/>
        <v>0</v>
      </c>
      <c r="AT63" s="197"/>
      <c r="AU63" s="13"/>
      <c r="AV63" s="200"/>
    </row>
    <row r="64" spans="1:48" s="3" customFormat="1">
      <c r="A64" s="217"/>
      <c r="B64" s="101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144">
        <f t="shared" si="3"/>
        <v>0</v>
      </c>
      <c r="AT64" s="197"/>
      <c r="AU64" s="13"/>
      <c r="AV64" s="200"/>
    </row>
    <row r="66" spans="45:47">
      <c r="AS66" s="293">
        <f>SUM(AS8:AS65)</f>
        <v>459326.26999999996</v>
      </c>
      <c r="AT66" s="198">
        <f>SUM(AT21:AT65)</f>
        <v>459326.27</v>
      </c>
      <c r="AU66" s="215"/>
    </row>
    <row r="67" spans="45:47">
      <c r="AS67" s="186"/>
    </row>
  </sheetData>
  <mergeCells count="12">
    <mergeCell ref="M4:Q4"/>
    <mergeCell ref="R4:V4"/>
    <mergeCell ref="AG5:AK5"/>
    <mergeCell ref="AL5:AP5"/>
    <mergeCell ref="C5:G5"/>
    <mergeCell ref="H5:L5"/>
    <mergeCell ref="M5:Q5"/>
    <mergeCell ref="R5:V5"/>
    <mergeCell ref="W5:AA5"/>
    <mergeCell ref="AB5:AF5"/>
    <mergeCell ref="AG4:AK4"/>
    <mergeCell ref="AB4:AF4"/>
  </mergeCells>
  <pageMargins left="0.7" right="0.7" top="0.75" bottom="0.75" header="0.3" footer="0.3"/>
  <pageSetup scale="54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CFFCC"/>
    <pageSetUpPr fitToPage="1"/>
  </sheetPr>
  <dimension ref="A1:T148"/>
  <sheetViews>
    <sheetView workbookViewId="0">
      <pane ySplit="6" topLeftCell="A64" activePane="bottomLeft" state="frozen"/>
      <selection pane="bottomLeft" activeCell="H73" sqref="H73"/>
    </sheetView>
  </sheetViews>
  <sheetFormatPr baseColWidth="10" defaultColWidth="8.83203125" defaultRowHeight="12" x14ac:dyDescent="0"/>
  <cols>
    <col min="1" max="1" width="14" customWidth="1"/>
    <col min="11" max="11" width="18.5" customWidth="1"/>
    <col min="12" max="12" width="18.1640625" style="158" customWidth="1"/>
    <col min="13" max="13" width="14.83203125" customWidth="1"/>
    <col min="14" max="14" width="15" customWidth="1"/>
  </cols>
  <sheetData>
    <row r="1" spans="1:20" s="1" customFormat="1">
      <c r="A1" s="23" t="s">
        <v>591</v>
      </c>
      <c r="B1" s="23"/>
      <c r="L1" s="167"/>
    </row>
    <row r="2" spans="1:20">
      <c r="A2" s="30"/>
      <c r="B2" s="30"/>
    </row>
    <row r="3" spans="1:20">
      <c r="A3" s="31" t="s">
        <v>578</v>
      </c>
      <c r="B3" s="31"/>
    </row>
    <row r="4" spans="1:20" ht="14.25" customHeight="1">
      <c r="A4" s="31"/>
      <c r="B4" s="31"/>
    </row>
    <row r="5" spans="1:20" ht="33">
      <c r="A5" s="9" t="s">
        <v>0</v>
      </c>
      <c r="B5" s="2" t="s">
        <v>44</v>
      </c>
      <c r="C5" s="5" t="s">
        <v>1</v>
      </c>
      <c r="D5" s="121" t="s">
        <v>208</v>
      </c>
      <c r="E5" s="122" t="s">
        <v>201</v>
      </c>
      <c r="F5" s="121" t="s">
        <v>202</v>
      </c>
      <c r="G5" s="5" t="s">
        <v>203</v>
      </c>
      <c r="H5" s="5" t="s">
        <v>12</v>
      </c>
      <c r="I5" s="5" t="s">
        <v>204</v>
      </c>
      <c r="J5" s="5" t="s">
        <v>50</v>
      </c>
      <c r="K5" s="18" t="s">
        <v>22</v>
      </c>
      <c r="L5" s="159" t="s">
        <v>21</v>
      </c>
      <c r="M5" s="2" t="s">
        <v>20</v>
      </c>
      <c r="N5" s="123" t="s">
        <v>19</v>
      </c>
      <c r="O5" s="125"/>
      <c r="P5" s="125"/>
      <c r="Q5" s="126"/>
      <c r="R5" s="127"/>
      <c r="S5" s="127"/>
      <c r="T5" s="127"/>
    </row>
    <row r="6" spans="1:20" ht="55.5" customHeight="1">
      <c r="A6" s="19" t="s">
        <v>14</v>
      </c>
      <c r="B6" s="19"/>
      <c r="C6" s="6">
        <v>121</v>
      </c>
      <c r="D6" s="6">
        <v>150</v>
      </c>
      <c r="E6" s="6">
        <v>210</v>
      </c>
      <c r="F6" s="6">
        <v>195</v>
      </c>
      <c r="G6" s="6">
        <v>115</v>
      </c>
      <c r="H6" s="6">
        <v>155</v>
      </c>
      <c r="I6" s="6">
        <v>56</v>
      </c>
      <c r="J6" s="6">
        <v>230</v>
      </c>
      <c r="K6" s="6"/>
      <c r="L6" s="160"/>
      <c r="M6" s="6"/>
      <c r="N6" s="124"/>
      <c r="O6" s="128"/>
      <c r="P6" s="128"/>
      <c r="Q6" s="129"/>
      <c r="R6" s="130"/>
      <c r="S6" s="130"/>
      <c r="T6" s="130"/>
    </row>
    <row r="7" spans="1:20" ht="12.75" customHeight="1">
      <c r="A7" s="132">
        <v>42556</v>
      </c>
      <c r="B7" s="132" t="s">
        <v>118</v>
      </c>
      <c r="C7" s="110"/>
      <c r="D7" s="110"/>
      <c r="E7" s="110">
        <v>6</v>
      </c>
      <c r="F7" s="110"/>
      <c r="G7" s="110"/>
      <c r="H7" s="110"/>
      <c r="I7" s="110"/>
      <c r="J7" s="110">
        <v>2</v>
      </c>
      <c r="K7" s="157">
        <f>(C7*C6)+(D7*D6)+(E7*E6)+(F7*F6)+(G7*G6)+(H7*H6)+(I7*I6)+(J7*J6)</f>
        <v>1720</v>
      </c>
      <c r="L7" s="161"/>
      <c r="M7" s="110"/>
      <c r="N7" s="110"/>
    </row>
    <row r="8" spans="1:20" ht="17.25" customHeight="1">
      <c r="A8" s="132">
        <v>42557</v>
      </c>
      <c r="B8" s="132" t="s">
        <v>117</v>
      </c>
      <c r="C8" s="110"/>
      <c r="D8" s="110"/>
      <c r="E8" s="110">
        <v>8.5</v>
      </c>
      <c r="F8" s="110"/>
      <c r="G8" s="110"/>
      <c r="H8" s="110"/>
      <c r="I8" s="110"/>
      <c r="J8" s="110">
        <v>2</v>
      </c>
      <c r="K8" s="157">
        <f>(C8*C6)+(D8*D6)+(E8*E6)+(F8*F6)+(G8*G6)+(H8*H6)+(I8*I6)+(J8*J6)</f>
        <v>2245</v>
      </c>
      <c r="L8" s="161"/>
      <c r="M8" s="110"/>
      <c r="N8" s="110"/>
    </row>
    <row r="9" spans="1:20" ht="12.75" customHeight="1">
      <c r="A9" s="132">
        <v>42558</v>
      </c>
      <c r="B9" s="132" t="s">
        <v>116</v>
      </c>
      <c r="C9" s="110"/>
      <c r="D9" s="110"/>
      <c r="E9" s="110">
        <v>12</v>
      </c>
      <c r="F9" s="110"/>
      <c r="G9" s="110"/>
      <c r="H9" s="110"/>
      <c r="I9" s="110"/>
      <c r="J9" s="110">
        <v>2</v>
      </c>
      <c r="K9" s="157">
        <f>(C9*C6)+(D9*D6)+(E9*E6)+(F9*F6)+(G9*G6)+(H9*H6)+(I9*I6)+(J9*J6)</f>
        <v>2980</v>
      </c>
      <c r="L9" s="161"/>
      <c r="M9" s="110"/>
      <c r="N9" s="110"/>
    </row>
    <row r="10" spans="1:20" ht="13.5" customHeight="1">
      <c r="A10" s="132">
        <v>42559</v>
      </c>
      <c r="B10" s="132" t="s">
        <v>115</v>
      </c>
      <c r="C10" s="110"/>
      <c r="D10" s="110"/>
      <c r="E10" s="110">
        <v>24</v>
      </c>
      <c r="F10" s="110"/>
      <c r="G10" s="110"/>
      <c r="H10" s="110"/>
      <c r="I10" s="110"/>
      <c r="J10" s="110">
        <v>4</v>
      </c>
      <c r="K10" s="157">
        <f t="shared" ref="K10:K43" si="0">(C10*$C$6)+(D10*$D$6)+(E10*$E$6)+(F10*$F$6)+(G10*$G$6)+(H10*$H$6)+(I10*$I$6)+(J10*$J$6)</f>
        <v>5960</v>
      </c>
      <c r="L10" s="161"/>
      <c r="M10" s="110"/>
      <c r="N10" s="110"/>
    </row>
    <row r="11" spans="1:20" ht="12.75" customHeight="1">
      <c r="A11" s="132">
        <v>42560</v>
      </c>
      <c r="B11" s="132" t="s">
        <v>114</v>
      </c>
      <c r="C11" s="110"/>
      <c r="D11" s="110"/>
      <c r="E11" s="110">
        <v>23.5</v>
      </c>
      <c r="F11" s="110"/>
      <c r="G11" s="110"/>
      <c r="H11" s="110"/>
      <c r="I11" s="110"/>
      <c r="J11" s="110">
        <v>4</v>
      </c>
      <c r="K11" s="157">
        <f t="shared" si="0"/>
        <v>5855</v>
      </c>
      <c r="L11" s="161"/>
      <c r="M11" s="110"/>
      <c r="N11" s="110"/>
    </row>
    <row r="12" spans="1:20" ht="12.75" customHeight="1">
      <c r="A12" s="132">
        <v>42561</v>
      </c>
      <c r="B12" s="132" t="s">
        <v>113</v>
      </c>
      <c r="C12" s="110"/>
      <c r="D12" s="110"/>
      <c r="E12" s="110">
        <v>21.5</v>
      </c>
      <c r="F12" s="110"/>
      <c r="G12" s="110"/>
      <c r="H12" s="110"/>
      <c r="I12" s="110"/>
      <c r="J12" s="110">
        <v>4</v>
      </c>
      <c r="K12" s="157">
        <f t="shared" si="0"/>
        <v>5435</v>
      </c>
      <c r="L12" s="161"/>
      <c r="M12" s="110"/>
      <c r="N12" s="110"/>
    </row>
    <row r="13" spans="1:20" ht="12.75" customHeight="1">
      <c r="A13" s="132">
        <v>42561</v>
      </c>
      <c r="B13" s="132" t="s">
        <v>119</v>
      </c>
      <c r="C13" s="110"/>
      <c r="D13" s="110"/>
      <c r="E13" s="110"/>
      <c r="F13" s="110"/>
      <c r="G13" s="110"/>
      <c r="H13" s="110"/>
      <c r="I13" s="110">
        <v>4</v>
      </c>
      <c r="J13" s="110"/>
      <c r="K13" s="157">
        <f t="shared" si="0"/>
        <v>224</v>
      </c>
      <c r="L13" s="161"/>
      <c r="M13" s="110"/>
      <c r="N13" s="110"/>
    </row>
    <row r="14" spans="1:20" ht="12.75" customHeight="1">
      <c r="A14" s="132">
        <v>42562</v>
      </c>
      <c r="B14" s="132" t="s">
        <v>112</v>
      </c>
      <c r="C14" s="110"/>
      <c r="D14" s="110"/>
      <c r="E14" s="110">
        <v>12</v>
      </c>
      <c r="F14" s="110"/>
      <c r="G14" s="110"/>
      <c r="H14" s="110"/>
      <c r="I14" s="110"/>
      <c r="J14" s="110">
        <v>2</v>
      </c>
      <c r="K14" s="157">
        <f t="shared" si="0"/>
        <v>2980</v>
      </c>
      <c r="L14" s="161"/>
      <c r="M14" s="110"/>
      <c r="N14" s="110"/>
    </row>
    <row r="15" spans="1:20" ht="12.75" customHeight="1">
      <c r="A15" s="132">
        <v>42563</v>
      </c>
      <c r="B15" s="132" t="s">
        <v>111</v>
      </c>
      <c r="C15" s="110"/>
      <c r="D15" s="110"/>
      <c r="E15" s="110">
        <v>11</v>
      </c>
      <c r="F15" s="110"/>
      <c r="G15" s="110"/>
      <c r="H15" s="110"/>
      <c r="I15" s="110"/>
      <c r="J15" s="110">
        <v>2</v>
      </c>
      <c r="K15" s="157">
        <f t="shared" si="0"/>
        <v>2770</v>
      </c>
      <c r="L15" s="161"/>
      <c r="M15" s="110"/>
      <c r="N15" s="110"/>
    </row>
    <row r="16" spans="1:20" ht="15" customHeight="1">
      <c r="A16" s="132">
        <v>42564</v>
      </c>
      <c r="B16" s="132" t="s">
        <v>110</v>
      </c>
      <c r="C16" s="110"/>
      <c r="D16" s="110"/>
      <c r="E16" s="110">
        <v>9.5</v>
      </c>
      <c r="F16" s="110"/>
      <c r="G16" s="110"/>
      <c r="H16" s="110"/>
      <c r="I16" s="110"/>
      <c r="J16" s="110">
        <v>2</v>
      </c>
      <c r="K16" s="157">
        <f t="shared" si="0"/>
        <v>2455</v>
      </c>
      <c r="L16" s="161"/>
      <c r="M16" s="110"/>
      <c r="N16" s="110"/>
    </row>
    <row r="17" spans="1:14" ht="16.5" customHeight="1">
      <c r="A17" s="132">
        <v>42565</v>
      </c>
      <c r="B17" s="132" t="s">
        <v>109</v>
      </c>
      <c r="C17" s="110"/>
      <c r="D17" s="110"/>
      <c r="E17" s="110">
        <v>11.5</v>
      </c>
      <c r="F17" s="110"/>
      <c r="G17" s="110"/>
      <c r="H17" s="110"/>
      <c r="I17" s="110"/>
      <c r="J17" s="110">
        <v>2</v>
      </c>
      <c r="K17" s="157">
        <f t="shared" si="0"/>
        <v>2875</v>
      </c>
      <c r="L17" s="161"/>
      <c r="M17" s="110"/>
      <c r="N17" s="110"/>
    </row>
    <row r="18" spans="1:14" ht="12.75" customHeight="1" thickBot="1">
      <c r="A18" s="164">
        <v>42568</v>
      </c>
      <c r="B18" s="164" t="s">
        <v>120</v>
      </c>
      <c r="C18" s="165"/>
      <c r="D18" s="165">
        <v>10</v>
      </c>
      <c r="E18" s="165"/>
      <c r="F18" s="165"/>
      <c r="G18" s="165"/>
      <c r="H18" s="165">
        <v>8</v>
      </c>
      <c r="I18" s="165">
        <v>6.5</v>
      </c>
      <c r="J18" s="165"/>
      <c r="K18" s="166">
        <v>2654</v>
      </c>
      <c r="L18" s="169">
        <v>38153</v>
      </c>
      <c r="M18" s="165" t="s">
        <v>261</v>
      </c>
      <c r="N18" s="170">
        <v>42627</v>
      </c>
    </row>
    <row r="19" spans="1:14" ht="14.25" customHeight="1">
      <c r="A19" s="120" t="s">
        <v>267</v>
      </c>
      <c r="B19" s="162" t="s">
        <v>121</v>
      </c>
      <c r="C19" s="120"/>
      <c r="D19" s="120">
        <v>7</v>
      </c>
      <c r="E19" s="120"/>
      <c r="F19" s="120"/>
      <c r="G19" s="120"/>
      <c r="H19" s="120"/>
      <c r="I19" s="120"/>
      <c r="J19" s="120"/>
      <c r="K19" s="163">
        <v>735</v>
      </c>
      <c r="L19" s="168"/>
      <c r="M19" s="120"/>
      <c r="N19" s="120"/>
    </row>
    <row r="20" spans="1:14" ht="12.75" customHeight="1">
      <c r="A20" s="132">
        <v>42597</v>
      </c>
      <c r="B20" s="132" t="s">
        <v>106</v>
      </c>
      <c r="C20" s="110"/>
      <c r="D20" s="110"/>
      <c r="E20" s="110">
        <v>12</v>
      </c>
      <c r="F20" s="110"/>
      <c r="G20" s="110"/>
      <c r="H20" s="110"/>
      <c r="I20" s="110"/>
      <c r="J20" s="110">
        <v>2</v>
      </c>
      <c r="K20" s="157">
        <f t="shared" si="0"/>
        <v>2980</v>
      </c>
      <c r="L20" s="161"/>
      <c r="M20" s="110"/>
      <c r="N20" s="110"/>
    </row>
    <row r="21" spans="1:14" ht="12.75" customHeight="1">
      <c r="A21" s="132">
        <v>42598</v>
      </c>
      <c r="B21" s="132" t="s">
        <v>107</v>
      </c>
      <c r="C21" s="110"/>
      <c r="D21" s="110"/>
      <c r="E21" s="110">
        <v>12</v>
      </c>
      <c r="F21" s="110"/>
      <c r="G21" s="110"/>
      <c r="H21" s="110"/>
      <c r="I21" s="110"/>
      <c r="J21" s="110">
        <v>2</v>
      </c>
      <c r="K21" s="157">
        <f t="shared" si="0"/>
        <v>2980</v>
      </c>
      <c r="L21" s="161"/>
      <c r="M21" s="110"/>
      <c r="N21" s="110"/>
    </row>
    <row r="22" spans="1:14" ht="12.75" customHeight="1">
      <c r="A22" s="132">
        <v>42599</v>
      </c>
      <c r="B22" s="132" t="s">
        <v>108</v>
      </c>
      <c r="C22" s="110"/>
      <c r="D22" s="110"/>
      <c r="E22" s="110">
        <v>12</v>
      </c>
      <c r="F22" s="110"/>
      <c r="G22" s="110"/>
      <c r="H22" s="110"/>
      <c r="I22" s="110"/>
      <c r="J22" s="110">
        <v>2</v>
      </c>
      <c r="K22" s="157">
        <f t="shared" si="0"/>
        <v>2980</v>
      </c>
      <c r="L22" s="161"/>
      <c r="M22" s="110"/>
      <c r="N22" s="110"/>
    </row>
    <row r="23" spans="1:14" ht="12.75" customHeight="1">
      <c r="A23" s="132">
        <v>42600</v>
      </c>
      <c r="B23" s="132" t="s">
        <v>249</v>
      </c>
      <c r="C23" s="110"/>
      <c r="D23" s="110"/>
      <c r="E23" s="110">
        <v>12</v>
      </c>
      <c r="F23" s="110"/>
      <c r="G23" s="110"/>
      <c r="H23" s="110"/>
      <c r="I23" s="110"/>
      <c r="J23" s="110">
        <v>2</v>
      </c>
      <c r="K23" s="157">
        <f t="shared" si="0"/>
        <v>2980</v>
      </c>
      <c r="L23" s="161"/>
      <c r="M23" s="110"/>
      <c r="N23" s="110"/>
    </row>
    <row r="24" spans="1:14" ht="12.75" customHeight="1">
      <c r="A24" s="132">
        <v>42601</v>
      </c>
      <c r="B24" s="132" t="s">
        <v>250</v>
      </c>
      <c r="C24" s="110"/>
      <c r="D24" s="110"/>
      <c r="E24" s="110">
        <v>12</v>
      </c>
      <c r="F24" s="110"/>
      <c r="G24" s="110"/>
      <c r="H24" s="110"/>
      <c r="I24" s="110"/>
      <c r="J24" s="110">
        <v>2</v>
      </c>
      <c r="K24" s="157">
        <f t="shared" si="0"/>
        <v>2980</v>
      </c>
      <c r="L24" s="161"/>
      <c r="M24" s="110"/>
      <c r="N24" s="110"/>
    </row>
    <row r="25" spans="1:14" ht="17.25" customHeight="1">
      <c r="A25" s="132">
        <v>42602</v>
      </c>
      <c r="B25" s="132" t="s">
        <v>251</v>
      </c>
      <c r="C25" s="110"/>
      <c r="D25" s="110"/>
      <c r="E25" s="110">
        <v>12</v>
      </c>
      <c r="F25" s="110"/>
      <c r="G25" s="110"/>
      <c r="H25" s="110"/>
      <c r="I25" s="110"/>
      <c r="J25" s="110">
        <v>2</v>
      </c>
      <c r="K25" s="157">
        <f t="shared" si="0"/>
        <v>2980</v>
      </c>
      <c r="L25" s="161"/>
      <c r="M25" s="110"/>
      <c r="N25" s="110"/>
    </row>
    <row r="26" spans="1:14" ht="16.5" customHeight="1">
      <c r="A26" s="132" t="s">
        <v>268</v>
      </c>
      <c r="B26" s="132" t="s">
        <v>252</v>
      </c>
      <c r="C26" s="110"/>
      <c r="D26" s="110"/>
      <c r="E26" s="110"/>
      <c r="F26" s="110"/>
      <c r="G26" s="110"/>
      <c r="H26" s="110">
        <v>8</v>
      </c>
      <c r="I26" s="110">
        <v>5</v>
      </c>
      <c r="J26" s="110"/>
      <c r="K26" s="157">
        <f t="shared" si="0"/>
        <v>1520</v>
      </c>
      <c r="L26" s="161"/>
      <c r="M26" s="110"/>
      <c r="N26" s="110"/>
    </row>
    <row r="27" spans="1:14" ht="15.75" customHeight="1">
      <c r="A27" s="132">
        <v>42603</v>
      </c>
      <c r="B27" s="132" t="s">
        <v>257</v>
      </c>
      <c r="C27" s="110"/>
      <c r="D27" s="110"/>
      <c r="E27" s="110"/>
      <c r="F27" s="110"/>
      <c r="G27" s="110"/>
      <c r="H27" s="110"/>
      <c r="I27" s="110"/>
      <c r="J27" s="110">
        <v>2</v>
      </c>
      <c r="K27" s="157">
        <f t="shared" si="0"/>
        <v>460</v>
      </c>
      <c r="L27" s="161"/>
      <c r="M27" s="110"/>
      <c r="N27" s="110"/>
    </row>
    <row r="28" spans="1:14" ht="15.75" customHeight="1">
      <c r="A28" s="132">
        <v>42604</v>
      </c>
      <c r="B28" s="132" t="s">
        <v>253</v>
      </c>
      <c r="C28" s="110"/>
      <c r="D28" s="110"/>
      <c r="E28" s="110">
        <v>10.5</v>
      </c>
      <c r="F28" s="110"/>
      <c r="G28" s="110"/>
      <c r="H28" s="110"/>
      <c r="I28" s="110"/>
      <c r="J28" s="110">
        <v>2</v>
      </c>
      <c r="K28" s="157">
        <f t="shared" si="0"/>
        <v>2665</v>
      </c>
      <c r="L28" s="161"/>
      <c r="M28" s="110"/>
      <c r="N28" s="110"/>
    </row>
    <row r="29" spans="1:14" ht="16.5" customHeight="1">
      <c r="A29" s="132">
        <v>42605</v>
      </c>
      <c r="B29" s="132" t="s">
        <v>254</v>
      </c>
      <c r="C29" s="110"/>
      <c r="D29" s="110"/>
      <c r="E29" s="110">
        <v>10.5</v>
      </c>
      <c r="F29" s="110"/>
      <c r="G29" s="110"/>
      <c r="H29" s="110"/>
      <c r="I29" s="110"/>
      <c r="J29" s="110">
        <v>2</v>
      </c>
      <c r="K29" s="157">
        <f t="shared" si="0"/>
        <v>2665</v>
      </c>
      <c r="L29" s="161"/>
      <c r="M29" s="110"/>
      <c r="N29" s="110"/>
    </row>
    <row r="30" spans="1:14" ht="15.75" customHeight="1">
      <c r="A30" s="132">
        <v>42606</v>
      </c>
      <c r="B30" s="132" t="s">
        <v>255</v>
      </c>
      <c r="C30" s="110"/>
      <c r="D30" s="110"/>
      <c r="E30" s="110">
        <v>12.5</v>
      </c>
      <c r="F30" s="110"/>
      <c r="G30" s="110"/>
      <c r="H30" s="110"/>
      <c r="I30" s="110"/>
      <c r="J30" s="110">
        <v>2</v>
      </c>
      <c r="K30" s="157">
        <f t="shared" si="0"/>
        <v>3085</v>
      </c>
      <c r="L30" s="161"/>
      <c r="M30" s="110"/>
      <c r="N30" s="110"/>
    </row>
    <row r="31" spans="1:14" ht="16.5" customHeight="1">
      <c r="A31" s="132">
        <v>42607</v>
      </c>
      <c r="B31" s="132" t="s">
        <v>256</v>
      </c>
      <c r="C31" s="110"/>
      <c r="D31" s="110"/>
      <c r="E31" s="110">
        <v>12.5</v>
      </c>
      <c r="F31" s="110"/>
      <c r="G31" s="110"/>
      <c r="H31" s="110"/>
      <c r="I31" s="110"/>
      <c r="J31" s="110">
        <v>2</v>
      </c>
      <c r="K31" s="157">
        <f t="shared" si="0"/>
        <v>3085</v>
      </c>
      <c r="L31" s="161"/>
      <c r="M31" s="110"/>
      <c r="N31" s="110"/>
    </row>
    <row r="32" spans="1:14" ht="15.75" customHeight="1">
      <c r="A32" s="132">
        <v>42608</v>
      </c>
      <c r="B32" s="132" t="s">
        <v>258</v>
      </c>
      <c r="C32" s="110"/>
      <c r="D32" s="110"/>
      <c r="E32" s="110">
        <v>12</v>
      </c>
      <c r="F32" s="110"/>
      <c r="G32" s="110"/>
      <c r="H32" s="110"/>
      <c r="I32" s="110"/>
      <c r="J32" s="110">
        <v>2</v>
      </c>
      <c r="K32" s="157">
        <f t="shared" si="0"/>
        <v>2980</v>
      </c>
      <c r="L32" s="161"/>
      <c r="M32" s="110"/>
      <c r="N32" s="110"/>
    </row>
    <row r="33" spans="1:14">
      <c r="A33" s="132">
        <v>42609</v>
      </c>
      <c r="B33" s="132" t="s">
        <v>259</v>
      </c>
      <c r="C33" s="110"/>
      <c r="D33" s="110"/>
      <c r="E33" s="110">
        <v>11.5</v>
      </c>
      <c r="F33" s="110"/>
      <c r="G33" s="110"/>
      <c r="H33" s="110"/>
      <c r="I33" s="110"/>
      <c r="J33" s="110">
        <v>2</v>
      </c>
      <c r="K33" s="157">
        <f t="shared" si="0"/>
        <v>2875</v>
      </c>
      <c r="L33" s="161"/>
      <c r="M33" s="110"/>
      <c r="N33" s="110"/>
    </row>
    <row r="34" spans="1:14">
      <c r="A34" s="132">
        <v>42610</v>
      </c>
      <c r="B34" s="132" t="s">
        <v>260</v>
      </c>
      <c r="C34" s="110"/>
      <c r="D34" s="110"/>
      <c r="E34" s="110"/>
      <c r="F34" s="110"/>
      <c r="G34" s="110"/>
      <c r="H34" s="110"/>
      <c r="I34" s="110"/>
      <c r="J34" s="110">
        <v>2</v>
      </c>
      <c r="K34" s="157">
        <f t="shared" si="0"/>
        <v>460</v>
      </c>
      <c r="L34" s="161"/>
      <c r="M34" s="110"/>
      <c r="N34" s="110"/>
    </row>
    <row r="35" spans="1:14">
      <c r="A35" s="132" t="s">
        <v>269</v>
      </c>
      <c r="B35" s="132" t="s">
        <v>264</v>
      </c>
      <c r="C35" s="110"/>
      <c r="D35" s="110"/>
      <c r="E35" s="110"/>
      <c r="F35" s="110"/>
      <c r="G35" s="110"/>
      <c r="H35" s="110">
        <v>11</v>
      </c>
      <c r="I35" s="110">
        <v>5</v>
      </c>
      <c r="J35" s="110"/>
      <c r="K35" s="157">
        <f t="shared" ref="K35" si="1">(C35*$C$6)+(D35*$D$6)+(E35*$E$6)+(F35*$F$6)+(G35*$G$6)+(H35*$H$6)+(I35*$I$6)+(J35*$J$6)</f>
        <v>1985</v>
      </c>
      <c r="L35" s="161"/>
      <c r="M35" s="110"/>
      <c r="N35" s="110"/>
    </row>
    <row r="36" spans="1:14">
      <c r="A36" s="132">
        <v>42611</v>
      </c>
      <c r="B36" s="132" t="s">
        <v>265</v>
      </c>
      <c r="C36" s="110"/>
      <c r="D36" s="110"/>
      <c r="E36" s="110">
        <v>12.5</v>
      </c>
      <c r="F36" s="110"/>
      <c r="G36" s="110"/>
      <c r="H36" s="110"/>
      <c r="I36" s="110"/>
      <c r="J36" s="110">
        <v>2</v>
      </c>
      <c r="K36" s="157">
        <f t="shared" si="0"/>
        <v>3085</v>
      </c>
      <c r="L36" s="161"/>
      <c r="M36" s="110"/>
      <c r="N36" s="110"/>
    </row>
    <row r="37" spans="1:14">
      <c r="A37" s="132">
        <v>42612</v>
      </c>
      <c r="B37" s="132" t="s">
        <v>266</v>
      </c>
      <c r="C37" s="110"/>
      <c r="D37" s="110"/>
      <c r="E37" s="110">
        <v>12.5</v>
      </c>
      <c r="F37" s="110"/>
      <c r="G37" s="110"/>
      <c r="H37" s="110"/>
      <c r="I37" s="110"/>
      <c r="J37" s="110">
        <v>2</v>
      </c>
      <c r="K37" s="157">
        <f t="shared" si="0"/>
        <v>3085</v>
      </c>
      <c r="L37" s="161"/>
      <c r="M37" s="110"/>
      <c r="N37" s="110"/>
    </row>
    <row r="38" spans="1:14">
      <c r="A38" s="132">
        <v>42613</v>
      </c>
      <c r="B38" s="132" t="s">
        <v>270</v>
      </c>
      <c r="C38" s="110"/>
      <c r="D38" s="110"/>
      <c r="E38" s="110">
        <v>12.5</v>
      </c>
      <c r="F38" s="110"/>
      <c r="G38" s="110"/>
      <c r="H38" s="110"/>
      <c r="I38" s="110"/>
      <c r="J38" s="110">
        <v>2</v>
      </c>
      <c r="K38" s="157">
        <f t="shared" si="0"/>
        <v>3085</v>
      </c>
      <c r="L38" s="161"/>
      <c r="M38" s="110"/>
      <c r="N38" s="110"/>
    </row>
    <row r="39" spans="1:14" ht="16.5" customHeight="1">
      <c r="A39" s="132">
        <v>42617</v>
      </c>
      <c r="B39" s="132" t="s">
        <v>271</v>
      </c>
      <c r="C39" s="110"/>
      <c r="D39" s="110"/>
      <c r="E39" s="110"/>
      <c r="F39" s="110"/>
      <c r="G39" s="110"/>
      <c r="H39" s="110"/>
      <c r="I39" s="110"/>
      <c r="J39" s="110">
        <v>2</v>
      </c>
      <c r="K39" s="157">
        <f t="shared" si="0"/>
        <v>460</v>
      </c>
      <c r="L39" s="161"/>
      <c r="M39" s="110"/>
      <c r="N39" s="110"/>
    </row>
    <row r="40" spans="1:14" ht="14.25" customHeight="1">
      <c r="A40" s="132" t="s">
        <v>279</v>
      </c>
      <c r="B40" s="132" t="s">
        <v>272</v>
      </c>
      <c r="C40" s="110"/>
      <c r="D40" s="110"/>
      <c r="E40" s="110"/>
      <c r="F40" s="110"/>
      <c r="G40" s="110"/>
      <c r="H40" s="110">
        <v>3</v>
      </c>
      <c r="I40" s="110">
        <v>3</v>
      </c>
      <c r="J40" s="110"/>
      <c r="K40" s="157">
        <f t="shared" si="0"/>
        <v>633</v>
      </c>
      <c r="L40" s="161"/>
      <c r="M40" s="110"/>
      <c r="N40" s="110"/>
    </row>
    <row r="41" spans="1:14" ht="15" customHeight="1">
      <c r="A41" s="132">
        <v>42619</v>
      </c>
      <c r="B41" s="132" t="s">
        <v>273</v>
      </c>
      <c r="C41" s="110"/>
      <c r="D41" s="110"/>
      <c r="E41" s="110">
        <v>14</v>
      </c>
      <c r="F41" s="110"/>
      <c r="G41" s="110"/>
      <c r="H41" s="110"/>
      <c r="I41" s="110"/>
      <c r="J41" s="110">
        <v>2</v>
      </c>
      <c r="K41" s="157">
        <f t="shared" si="0"/>
        <v>3400</v>
      </c>
      <c r="L41" s="161"/>
      <c r="M41" s="110"/>
      <c r="N41" s="110"/>
    </row>
    <row r="42" spans="1:14">
      <c r="A42" s="132">
        <v>42620</v>
      </c>
      <c r="B42" s="132" t="s">
        <v>274</v>
      </c>
      <c r="C42" s="110"/>
      <c r="D42" s="110"/>
      <c r="E42" s="110">
        <v>12</v>
      </c>
      <c r="F42" s="110"/>
      <c r="G42" s="110"/>
      <c r="H42" s="110"/>
      <c r="I42" s="110"/>
      <c r="J42" s="110">
        <v>2</v>
      </c>
      <c r="K42" s="157">
        <f t="shared" si="0"/>
        <v>2980</v>
      </c>
      <c r="L42" s="161"/>
      <c r="M42" s="110"/>
      <c r="N42" s="110"/>
    </row>
    <row r="43" spans="1:14">
      <c r="A43" s="132">
        <v>42621</v>
      </c>
      <c r="B43" s="132" t="s">
        <v>275</v>
      </c>
      <c r="C43" s="110"/>
      <c r="D43" s="110"/>
      <c r="E43" s="110">
        <v>12</v>
      </c>
      <c r="F43" s="110"/>
      <c r="G43" s="110"/>
      <c r="H43" s="110"/>
      <c r="I43" s="110"/>
      <c r="J43" s="110">
        <v>2</v>
      </c>
      <c r="K43" s="157">
        <f t="shared" si="0"/>
        <v>2980</v>
      </c>
      <c r="L43" s="161"/>
      <c r="M43" s="110"/>
      <c r="N43" s="110"/>
    </row>
    <row r="44" spans="1:14">
      <c r="A44" s="132">
        <v>42622</v>
      </c>
      <c r="B44" s="132" t="s">
        <v>276</v>
      </c>
      <c r="C44" s="110"/>
      <c r="D44" s="110"/>
      <c r="E44" s="110">
        <v>12</v>
      </c>
      <c r="F44" s="110"/>
      <c r="G44" s="110"/>
      <c r="H44" s="110"/>
      <c r="I44" s="110"/>
      <c r="J44" s="110">
        <v>2</v>
      </c>
      <c r="K44" s="157">
        <f t="shared" ref="K44:K87" si="2">(C44*$C$6)+(D44*$D$6)+(E44*$E$6)+(F44*$F$6)+(G44*$G$6)+(H44*$H$6)+(I44*$I$6)+(J44*$J$6)</f>
        <v>2980</v>
      </c>
      <c r="L44" s="161"/>
      <c r="M44" s="110"/>
      <c r="N44" s="110"/>
    </row>
    <row r="45" spans="1:14" ht="19.5" customHeight="1">
      <c r="A45" s="132">
        <v>42623</v>
      </c>
      <c r="B45" s="132" t="s">
        <v>277</v>
      </c>
      <c r="C45" s="110"/>
      <c r="D45" s="110"/>
      <c r="E45" s="110">
        <v>4</v>
      </c>
      <c r="F45" s="110"/>
      <c r="G45" s="110"/>
      <c r="H45" s="110"/>
      <c r="I45" s="110"/>
      <c r="J45" s="110">
        <v>2</v>
      </c>
      <c r="K45" s="157">
        <f t="shared" si="2"/>
        <v>1300</v>
      </c>
      <c r="L45" s="161"/>
      <c r="M45" s="110"/>
      <c r="N45" s="110"/>
    </row>
    <row r="46" spans="1:14">
      <c r="A46" s="132" t="s">
        <v>280</v>
      </c>
      <c r="B46" s="132" t="s">
        <v>278</v>
      </c>
      <c r="C46" s="110"/>
      <c r="D46" s="110"/>
      <c r="E46" s="110"/>
      <c r="F46" s="110"/>
      <c r="G46" s="110"/>
      <c r="H46" s="110">
        <v>4</v>
      </c>
      <c r="I46" s="110">
        <v>1</v>
      </c>
      <c r="J46" s="110"/>
      <c r="K46" s="157">
        <f t="shared" si="2"/>
        <v>676</v>
      </c>
      <c r="L46" s="161"/>
      <c r="M46" s="110"/>
      <c r="N46" s="110"/>
    </row>
    <row r="47" spans="1:14" ht="13" thickBot="1">
      <c r="A47" s="164">
        <v>42624</v>
      </c>
      <c r="B47" s="164" t="s">
        <v>281</v>
      </c>
      <c r="C47" s="165"/>
      <c r="D47" s="165"/>
      <c r="E47" s="165"/>
      <c r="F47" s="165"/>
      <c r="G47" s="165"/>
      <c r="H47" s="165"/>
      <c r="I47" s="165"/>
      <c r="J47" s="165">
        <v>2</v>
      </c>
      <c r="K47" s="166">
        <f t="shared" si="2"/>
        <v>460</v>
      </c>
      <c r="L47" s="169">
        <v>65519</v>
      </c>
      <c r="M47" s="165" t="s">
        <v>282</v>
      </c>
      <c r="N47" s="182">
        <v>42629</v>
      </c>
    </row>
    <row r="48" spans="1:14">
      <c r="A48" s="132">
        <v>42625</v>
      </c>
      <c r="B48" s="110" t="s">
        <v>310</v>
      </c>
      <c r="C48" s="110"/>
      <c r="D48" s="110"/>
      <c r="E48" s="110">
        <v>12</v>
      </c>
      <c r="F48" s="110"/>
      <c r="G48" s="110"/>
      <c r="H48" s="110"/>
      <c r="I48" s="110"/>
      <c r="J48" s="110">
        <v>2</v>
      </c>
      <c r="K48" s="157">
        <f t="shared" si="2"/>
        <v>2980</v>
      </c>
      <c r="L48" s="161"/>
      <c r="M48" s="110"/>
      <c r="N48" s="110"/>
    </row>
    <row r="49" spans="1:14">
      <c r="A49" s="132">
        <v>42626</v>
      </c>
      <c r="B49" s="110" t="s">
        <v>311</v>
      </c>
      <c r="C49" s="110"/>
      <c r="D49" s="110"/>
      <c r="E49" s="110">
        <v>6</v>
      </c>
      <c r="F49" s="110"/>
      <c r="G49" s="110"/>
      <c r="H49" s="110"/>
      <c r="I49" s="110"/>
      <c r="J49" s="110">
        <v>2</v>
      </c>
      <c r="K49" s="157">
        <f t="shared" si="2"/>
        <v>1720</v>
      </c>
      <c r="L49" s="161"/>
      <c r="M49" s="110"/>
      <c r="N49" s="110"/>
    </row>
    <row r="50" spans="1:14">
      <c r="A50" s="132">
        <v>42627</v>
      </c>
      <c r="B50" s="110" t="s">
        <v>312</v>
      </c>
      <c r="C50" s="110"/>
      <c r="D50" s="110"/>
      <c r="E50" s="110">
        <v>12</v>
      </c>
      <c r="F50" s="110"/>
      <c r="G50" s="110"/>
      <c r="H50" s="110"/>
      <c r="I50" s="110"/>
      <c r="J50" s="110">
        <v>2</v>
      </c>
      <c r="K50" s="157">
        <f t="shared" si="2"/>
        <v>2980</v>
      </c>
      <c r="L50" s="161"/>
      <c r="M50" s="110"/>
      <c r="N50" s="110"/>
    </row>
    <row r="51" spans="1:14">
      <c r="A51" s="132">
        <v>42628</v>
      </c>
      <c r="B51" s="110" t="s">
        <v>313</v>
      </c>
      <c r="C51" s="110"/>
      <c r="D51" s="110"/>
      <c r="E51" s="110">
        <v>12</v>
      </c>
      <c r="F51" s="110"/>
      <c r="G51" s="110"/>
      <c r="H51" s="110"/>
      <c r="I51" s="110"/>
      <c r="J51" s="110">
        <v>2</v>
      </c>
      <c r="K51" s="157">
        <f t="shared" si="2"/>
        <v>2980</v>
      </c>
      <c r="L51" s="161"/>
      <c r="M51" s="110"/>
      <c r="N51" s="110"/>
    </row>
    <row r="52" spans="1:14">
      <c r="A52" s="132">
        <v>42629</v>
      </c>
      <c r="B52" s="110" t="s">
        <v>314</v>
      </c>
      <c r="C52" s="110"/>
      <c r="D52" s="110"/>
      <c r="E52" s="110">
        <v>12</v>
      </c>
      <c r="F52" s="110"/>
      <c r="G52" s="110"/>
      <c r="H52" s="110"/>
      <c r="I52" s="110"/>
      <c r="J52" s="110">
        <v>2</v>
      </c>
      <c r="K52" s="157">
        <f t="shared" si="2"/>
        <v>2980</v>
      </c>
      <c r="L52" s="161"/>
      <c r="M52" s="110"/>
      <c r="N52" s="110"/>
    </row>
    <row r="53" spans="1:14">
      <c r="A53" s="132">
        <v>42630</v>
      </c>
      <c r="B53" s="110" t="s">
        <v>315</v>
      </c>
      <c r="C53" s="110"/>
      <c r="D53" s="110"/>
      <c r="E53" s="110">
        <v>12</v>
      </c>
      <c r="F53" s="110"/>
      <c r="G53" s="110"/>
      <c r="H53" s="110"/>
      <c r="I53" s="110"/>
      <c r="J53" s="110">
        <v>2</v>
      </c>
      <c r="K53" s="157">
        <f t="shared" si="2"/>
        <v>2980</v>
      </c>
      <c r="L53" s="161"/>
      <c r="M53" s="110"/>
      <c r="N53" s="110"/>
    </row>
    <row r="54" spans="1:14">
      <c r="A54" s="132">
        <v>42631</v>
      </c>
      <c r="B54" s="110" t="s">
        <v>316</v>
      </c>
      <c r="C54" s="110"/>
      <c r="D54" s="110"/>
      <c r="E54" s="110"/>
      <c r="F54" s="110"/>
      <c r="G54" s="110"/>
      <c r="H54" s="110"/>
      <c r="I54" s="110"/>
      <c r="J54" s="110">
        <v>2</v>
      </c>
      <c r="K54" s="157">
        <f t="shared" si="2"/>
        <v>460</v>
      </c>
      <c r="L54" s="161"/>
      <c r="M54" s="110"/>
      <c r="N54" s="110"/>
    </row>
    <row r="55" spans="1:14" ht="13" thickBot="1">
      <c r="A55" s="165" t="s">
        <v>309</v>
      </c>
      <c r="B55" s="110" t="s">
        <v>317</v>
      </c>
      <c r="C55" s="165"/>
      <c r="D55" s="165"/>
      <c r="E55" s="165"/>
      <c r="F55" s="165"/>
      <c r="G55" s="165"/>
      <c r="H55" s="165">
        <v>5</v>
      </c>
      <c r="I55" s="165">
        <v>2</v>
      </c>
      <c r="J55" s="165"/>
      <c r="K55" s="166">
        <f t="shared" ref="K55" si="3">(C55*$C$6)+(D55*$D$6)+(E55*$E$6)+(F55*$F$6)+(G55*$G$6)+(H55*$H$6)+(I55*$I$6)+(J55*$J$6)</f>
        <v>887</v>
      </c>
      <c r="L55" s="169">
        <v>17967</v>
      </c>
      <c r="M55" s="165" t="s">
        <v>318</v>
      </c>
      <c r="N55" s="165" t="s">
        <v>319</v>
      </c>
    </row>
    <row r="56" spans="1:14">
      <c r="A56" s="162">
        <v>42632</v>
      </c>
      <c r="B56" s="110" t="s">
        <v>386</v>
      </c>
      <c r="C56" s="120"/>
      <c r="D56" s="120"/>
      <c r="E56" s="120">
        <v>12</v>
      </c>
      <c r="F56" s="120"/>
      <c r="G56" s="120"/>
      <c r="H56" s="120"/>
      <c r="I56" s="120"/>
      <c r="J56" s="120">
        <v>2</v>
      </c>
      <c r="K56" s="163">
        <f t="shared" si="2"/>
        <v>2980</v>
      </c>
      <c r="L56" s="168"/>
      <c r="M56" s="120"/>
      <c r="N56" s="120"/>
    </row>
    <row r="57" spans="1:14">
      <c r="A57" s="132">
        <v>42633</v>
      </c>
      <c r="B57" s="110" t="s">
        <v>387</v>
      </c>
      <c r="C57" s="110"/>
      <c r="D57" s="110"/>
      <c r="E57" s="110">
        <v>12</v>
      </c>
      <c r="F57" s="110"/>
      <c r="G57" s="110"/>
      <c r="H57" s="110"/>
      <c r="I57" s="110"/>
      <c r="J57" s="110">
        <v>2</v>
      </c>
      <c r="K57" s="157">
        <f t="shared" si="2"/>
        <v>2980</v>
      </c>
      <c r="L57" s="161"/>
      <c r="M57" s="110"/>
      <c r="N57" s="110"/>
    </row>
    <row r="58" spans="1:14">
      <c r="A58" s="132">
        <v>42634</v>
      </c>
      <c r="B58" s="110" t="s">
        <v>388</v>
      </c>
      <c r="C58" s="110"/>
      <c r="D58" s="110"/>
      <c r="E58" s="110">
        <v>12</v>
      </c>
      <c r="F58" s="110"/>
      <c r="G58" s="110"/>
      <c r="H58" s="110"/>
      <c r="I58" s="110"/>
      <c r="J58" s="110">
        <v>2</v>
      </c>
      <c r="K58" s="157">
        <f t="shared" ref="K58:K63" si="4">(C58*$C$6)+(D58*$D$6)+(E58*$E$6)+(F58*$F$6)+(G58*$G$6)+(H58*$H$6)+(I58*$I$6)+(J58*$J$6)</f>
        <v>2980</v>
      </c>
      <c r="L58" s="161"/>
      <c r="M58" s="110"/>
      <c r="N58" s="110"/>
    </row>
    <row r="59" spans="1:14">
      <c r="A59" s="132">
        <v>42635</v>
      </c>
      <c r="B59" s="110" t="s">
        <v>389</v>
      </c>
      <c r="C59" s="110"/>
      <c r="D59" s="110"/>
      <c r="E59" s="110">
        <v>8</v>
      </c>
      <c r="F59" s="110"/>
      <c r="G59" s="110"/>
      <c r="H59" s="110"/>
      <c r="I59" s="110"/>
      <c r="J59" s="110">
        <v>2</v>
      </c>
      <c r="K59" s="157">
        <f t="shared" si="4"/>
        <v>2140</v>
      </c>
      <c r="L59" s="161"/>
      <c r="M59" s="110"/>
      <c r="N59" s="110"/>
    </row>
    <row r="60" spans="1:14">
      <c r="A60" s="132">
        <v>42636</v>
      </c>
      <c r="B60" s="110" t="s">
        <v>390</v>
      </c>
      <c r="C60" s="110"/>
      <c r="D60" s="110"/>
      <c r="E60" s="110">
        <v>12</v>
      </c>
      <c r="F60" s="110"/>
      <c r="G60" s="110"/>
      <c r="H60" s="110"/>
      <c r="I60" s="110"/>
      <c r="J60" s="110">
        <v>2</v>
      </c>
      <c r="K60" s="157">
        <f t="shared" si="4"/>
        <v>2980</v>
      </c>
      <c r="L60" s="161"/>
      <c r="M60" s="110"/>
      <c r="N60" s="110"/>
    </row>
    <row r="61" spans="1:14">
      <c r="A61" s="132">
        <v>42637</v>
      </c>
      <c r="B61" s="110" t="s">
        <v>391</v>
      </c>
      <c r="C61" s="110"/>
      <c r="D61" s="110"/>
      <c r="E61" s="110">
        <v>12</v>
      </c>
      <c r="F61" s="110"/>
      <c r="G61" s="110"/>
      <c r="H61" s="110"/>
      <c r="I61" s="110"/>
      <c r="J61" s="110">
        <v>2</v>
      </c>
      <c r="K61" s="157">
        <f t="shared" si="4"/>
        <v>2980</v>
      </c>
      <c r="L61" s="161"/>
      <c r="M61" s="110"/>
      <c r="N61" s="110"/>
    </row>
    <row r="62" spans="1:14">
      <c r="A62" s="132">
        <v>42638</v>
      </c>
      <c r="B62" s="110" t="s">
        <v>392</v>
      </c>
      <c r="C62" s="110"/>
      <c r="D62" s="110"/>
      <c r="E62" s="110"/>
      <c r="F62" s="110"/>
      <c r="G62" s="110"/>
      <c r="H62" s="110"/>
      <c r="I62" s="110"/>
      <c r="J62" s="110">
        <v>2</v>
      </c>
      <c r="K62" s="157">
        <f t="shared" si="4"/>
        <v>460</v>
      </c>
      <c r="L62" s="161"/>
      <c r="M62" s="110"/>
      <c r="N62" s="110"/>
    </row>
    <row r="63" spans="1:14" ht="13" thickBot="1">
      <c r="A63" s="165" t="s">
        <v>384</v>
      </c>
      <c r="B63" s="165" t="s">
        <v>393</v>
      </c>
      <c r="C63" s="165"/>
      <c r="D63" s="165"/>
      <c r="E63" s="165"/>
      <c r="F63" s="165"/>
      <c r="G63" s="165"/>
      <c r="H63" s="165">
        <v>2</v>
      </c>
      <c r="I63" s="165">
        <v>1</v>
      </c>
      <c r="J63" s="165"/>
      <c r="K63" s="166">
        <f t="shared" si="4"/>
        <v>366</v>
      </c>
      <c r="L63" s="169">
        <v>17866</v>
      </c>
      <c r="M63" s="165" t="s">
        <v>385</v>
      </c>
      <c r="N63" s="170">
        <v>42660</v>
      </c>
    </row>
    <row r="64" spans="1:14">
      <c r="A64" s="162">
        <v>42639</v>
      </c>
      <c r="B64" s="120" t="s">
        <v>394</v>
      </c>
      <c r="C64" s="120"/>
      <c r="D64" s="120">
        <v>12</v>
      </c>
      <c r="E64" s="120"/>
      <c r="F64" s="120"/>
      <c r="G64" s="120"/>
      <c r="H64" s="120"/>
      <c r="I64" s="120"/>
      <c r="J64" s="120">
        <v>2</v>
      </c>
      <c r="K64" s="163">
        <f t="shared" si="2"/>
        <v>2260</v>
      </c>
      <c r="L64" s="168"/>
      <c r="M64" s="120"/>
      <c r="N64" s="120"/>
    </row>
    <row r="65" spans="1:14">
      <c r="A65" s="132">
        <v>42640</v>
      </c>
      <c r="B65" s="110" t="s">
        <v>395</v>
      </c>
      <c r="C65" s="110"/>
      <c r="D65" s="110"/>
      <c r="E65" s="110">
        <v>12</v>
      </c>
      <c r="F65" s="110"/>
      <c r="G65" s="110"/>
      <c r="H65" s="110"/>
      <c r="I65" s="110"/>
      <c r="J65" s="110">
        <v>2</v>
      </c>
      <c r="K65" s="157">
        <f t="shared" ref="K65:K68" si="5">(C65*$C$6)+(D65*$D$6)+(E65*$E$6)+(F65*$F$6)+(G65*$G$6)+(H65*$H$6)+(I65*$I$6)+(J65*$J$6)</f>
        <v>2980</v>
      </c>
      <c r="L65" s="161"/>
      <c r="M65" s="110"/>
      <c r="N65" s="110"/>
    </row>
    <row r="66" spans="1:14">
      <c r="A66" s="132">
        <v>42641</v>
      </c>
      <c r="B66" s="110" t="s">
        <v>396</v>
      </c>
      <c r="C66" s="110"/>
      <c r="D66" s="110"/>
      <c r="E66" s="110"/>
      <c r="F66" s="110">
        <v>12</v>
      </c>
      <c r="G66" s="110"/>
      <c r="H66" s="110"/>
      <c r="I66" s="110"/>
      <c r="J66" s="110">
        <v>2</v>
      </c>
      <c r="K66" s="157">
        <f t="shared" si="5"/>
        <v>2800</v>
      </c>
      <c r="L66" s="161"/>
      <c r="M66" s="110"/>
      <c r="N66" s="110"/>
    </row>
    <row r="67" spans="1:14">
      <c r="A67" s="132">
        <v>42642</v>
      </c>
      <c r="B67" s="110" t="s">
        <v>397</v>
      </c>
      <c r="C67" s="110"/>
      <c r="D67" s="110"/>
      <c r="E67" s="110"/>
      <c r="F67" s="110">
        <v>12</v>
      </c>
      <c r="G67" s="110"/>
      <c r="H67" s="110"/>
      <c r="I67" s="110"/>
      <c r="J67" s="110">
        <v>2</v>
      </c>
      <c r="K67" s="157">
        <f t="shared" si="5"/>
        <v>2800</v>
      </c>
      <c r="L67" s="161"/>
      <c r="M67" s="110"/>
      <c r="N67" s="110"/>
    </row>
    <row r="68" spans="1:14">
      <c r="A68" s="132">
        <v>42643</v>
      </c>
      <c r="B68" s="110" t="s">
        <v>398</v>
      </c>
      <c r="C68" s="110"/>
      <c r="D68" s="110"/>
      <c r="E68" s="110">
        <v>12</v>
      </c>
      <c r="F68" s="110"/>
      <c r="G68" s="110"/>
      <c r="H68" s="110"/>
      <c r="I68" s="110"/>
      <c r="J68" s="110">
        <v>2</v>
      </c>
      <c r="K68" s="157">
        <f t="shared" si="5"/>
        <v>2980</v>
      </c>
      <c r="L68" s="161"/>
      <c r="M68" s="110"/>
      <c r="N68" s="110"/>
    </row>
    <row r="69" spans="1:14">
      <c r="A69" s="132">
        <v>42644</v>
      </c>
      <c r="B69" s="110" t="s">
        <v>399</v>
      </c>
      <c r="C69" s="110"/>
      <c r="D69" s="110"/>
      <c r="E69" s="110"/>
      <c r="F69" s="110">
        <v>12</v>
      </c>
      <c r="G69" s="110"/>
      <c r="H69" s="110"/>
      <c r="I69" s="110"/>
      <c r="J69" s="110">
        <v>2</v>
      </c>
      <c r="K69" s="157">
        <f t="shared" si="2"/>
        <v>2800</v>
      </c>
      <c r="L69" s="161"/>
      <c r="M69" s="110"/>
      <c r="N69" s="110"/>
    </row>
    <row r="70" spans="1:14">
      <c r="A70" s="132">
        <v>42645</v>
      </c>
      <c r="B70" s="110" t="s">
        <v>400</v>
      </c>
      <c r="C70" s="110"/>
      <c r="D70" s="110"/>
      <c r="E70" s="110"/>
      <c r="F70" s="110"/>
      <c r="G70" s="110"/>
      <c r="H70" s="110"/>
      <c r="I70" s="110"/>
      <c r="J70" s="110">
        <v>2</v>
      </c>
      <c r="K70" s="157">
        <f t="shared" si="2"/>
        <v>460</v>
      </c>
      <c r="L70" s="161"/>
      <c r="M70" s="110"/>
      <c r="N70" s="110"/>
    </row>
    <row r="71" spans="1:14" ht="13" thickBot="1">
      <c r="A71" s="165" t="s">
        <v>403</v>
      </c>
      <c r="B71" s="165" t="s">
        <v>401</v>
      </c>
      <c r="C71" s="165"/>
      <c r="D71" s="165"/>
      <c r="E71" s="165"/>
      <c r="F71" s="165"/>
      <c r="G71" s="165"/>
      <c r="H71" s="165"/>
      <c r="I71" s="165">
        <v>3</v>
      </c>
      <c r="J71" s="165"/>
      <c r="K71" s="166">
        <f t="shared" ref="K71" si="6">(C71*$C$6)+(D71*$D$6)+(E71*$E$6)+(F71*$F$6)+(G71*$G$6)+(H71*$H$6)+(I71*$I$6)+(J71*$J$6)</f>
        <v>168</v>
      </c>
      <c r="L71" s="169">
        <v>17248</v>
      </c>
      <c r="M71" s="165" t="s">
        <v>409</v>
      </c>
      <c r="N71" s="170">
        <v>42660</v>
      </c>
    </row>
    <row r="72" spans="1:14">
      <c r="A72" s="162">
        <v>42646</v>
      </c>
      <c r="B72" s="120" t="s">
        <v>402</v>
      </c>
      <c r="C72" s="120"/>
      <c r="D72" s="120"/>
      <c r="E72" s="120"/>
      <c r="F72" s="120">
        <v>12</v>
      </c>
      <c r="G72" s="120"/>
      <c r="H72" s="120"/>
      <c r="I72" s="120"/>
      <c r="J72" s="120">
        <v>2</v>
      </c>
      <c r="K72" s="163">
        <f t="shared" si="2"/>
        <v>2800</v>
      </c>
      <c r="L72" s="168"/>
      <c r="M72" s="120"/>
      <c r="N72" s="120"/>
    </row>
    <row r="73" spans="1:14">
      <c r="A73" s="132">
        <v>42647</v>
      </c>
      <c r="B73" s="110" t="s">
        <v>404</v>
      </c>
      <c r="C73" s="110"/>
      <c r="D73" s="110"/>
      <c r="E73" s="110"/>
      <c r="F73" s="110">
        <v>12</v>
      </c>
      <c r="G73" s="110"/>
      <c r="H73" s="110"/>
      <c r="I73" s="110"/>
      <c r="J73" s="110">
        <v>2</v>
      </c>
      <c r="K73" s="157">
        <f t="shared" si="2"/>
        <v>2800</v>
      </c>
      <c r="L73" s="161"/>
      <c r="M73" s="110"/>
      <c r="N73" s="110"/>
    </row>
    <row r="74" spans="1:14">
      <c r="A74" s="132">
        <v>42648</v>
      </c>
      <c r="B74" s="110" t="s">
        <v>405</v>
      </c>
      <c r="C74" s="110"/>
      <c r="D74" s="110"/>
      <c r="E74" s="110">
        <v>12</v>
      </c>
      <c r="F74" s="110"/>
      <c r="G74" s="110"/>
      <c r="H74" s="110"/>
      <c r="I74" s="110"/>
      <c r="J74" s="110">
        <v>2</v>
      </c>
      <c r="K74" s="157">
        <f t="shared" si="2"/>
        <v>2980</v>
      </c>
      <c r="L74" s="161"/>
      <c r="M74" s="110"/>
      <c r="N74" s="110"/>
    </row>
    <row r="75" spans="1:14">
      <c r="A75" s="132">
        <v>42649</v>
      </c>
      <c r="B75" s="110" t="s">
        <v>406</v>
      </c>
      <c r="C75" s="110"/>
      <c r="D75" s="110"/>
      <c r="E75" s="110">
        <v>8</v>
      </c>
      <c r="F75" s="110"/>
      <c r="G75" s="110"/>
      <c r="H75" s="110"/>
      <c r="I75" s="110"/>
      <c r="J75" s="110">
        <v>2</v>
      </c>
      <c r="K75" s="157">
        <f t="shared" si="2"/>
        <v>2140</v>
      </c>
      <c r="L75" s="161"/>
      <c r="M75" s="110"/>
      <c r="N75" s="110"/>
    </row>
    <row r="76" spans="1:14" ht="13" thickBot="1">
      <c r="A76" s="165" t="s">
        <v>408</v>
      </c>
      <c r="B76" s="165" t="s">
        <v>407</v>
      </c>
      <c r="C76" s="165"/>
      <c r="D76" s="165"/>
      <c r="E76" s="165"/>
      <c r="F76" s="165"/>
      <c r="G76" s="165"/>
      <c r="H76" s="165">
        <v>10</v>
      </c>
      <c r="I76" s="165"/>
      <c r="J76" s="165"/>
      <c r="K76" s="166">
        <f t="shared" ref="K76" si="7">(C76*$C$6)+(D76*$D$6)+(E76*$E$6)+(F76*$F$6)+(G76*$G$6)+(H76*$H$6)+(I76*$I$6)+(J76*$J$6)</f>
        <v>1550</v>
      </c>
      <c r="L76" s="169">
        <v>12270</v>
      </c>
      <c r="M76" s="185" t="s">
        <v>419</v>
      </c>
      <c r="N76" s="182">
        <v>42661</v>
      </c>
    </row>
    <row r="77" spans="1:14">
      <c r="A77" s="162">
        <v>42654</v>
      </c>
      <c r="B77" s="110" t="s">
        <v>455</v>
      </c>
      <c r="C77" s="120"/>
      <c r="D77" s="120"/>
      <c r="E77" s="120">
        <v>11</v>
      </c>
      <c r="F77" s="120"/>
      <c r="G77" s="120"/>
      <c r="H77" s="120"/>
      <c r="I77" s="120"/>
      <c r="J77" s="120">
        <v>2</v>
      </c>
      <c r="K77" s="163">
        <f t="shared" si="2"/>
        <v>2770</v>
      </c>
      <c r="L77" s="168"/>
      <c r="M77" s="120"/>
      <c r="N77" s="120"/>
    </row>
    <row r="78" spans="1:14">
      <c r="A78" s="132">
        <v>42655</v>
      </c>
      <c r="B78" s="110" t="s">
        <v>456</v>
      </c>
      <c r="C78" s="110"/>
      <c r="D78" s="110"/>
      <c r="E78" s="110">
        <v>11</v>
      </c>
      <c r="F78" s="110"/>
      <c r="G78" s="110"/>
      <c r="H78" s="110"/>
      <c r="I78" s="110"/>
      <c r="J78" s="110">
        <v>2</v>
      </c>
      <c r="K78" s="157">
        <f t="shared" si="2"/>
        <v>2770</v>
      </c>
      <c r="L78" s="161"/>
      <c r="M78" s="110"/>
      <c r="N78" s="110"/>
    </row>
    <row r="79" spans="1:14">
      <c r="A79" s="132">
        <v>42656</v>
      </c>
      <c r="B79" s="110" t="s">
        <v>457</v>
      </c>
      <c r="C79" s="110"/>
      <c r="D79" s="110"/>
      <c r="E79" s="110">
        <v>12</v>
      </c>
      <c r="F79" s="110"/>
      <c r="G79" s="110"/>
      <c r="H79" s="110"/>
      <c r="I79" s="110"/>
      <c r="J79" s="110">
        <v>2</v>
      </c>
      <c r="K79" s="157">
        <f t="shared" si="2"/>
        <v>2980</v>
      </c>
      <c r="L79" s="161"/>
      <c r="M79" s="110"/>
      <c r="N79" s="110"/>
    </row>
    <row r="80" spans="1:14">
      <c r="A80" s="132">
        <v>42657</v>
      </c>
      <c r="B80" s="110" t="s">
        <v>458</v>
      </c>
      <c r="C80" s="110"/>
      <c r="D80" s="110"/>
      <c r="E80" s="110">
        <v>12</v>
      </c>
      <c r="F80" s="110"/>
      <c r="G80" s="110"/>
      <c r="H80" s="110"/>
      <c r="I80" s="110"/>
      <c r="J80" s="110">
        <v>2</v>
      </c>
      <c r="K80" s="157">
        <f t="shared" si="2"/>
        <v>2980</v>
      </c>
      <c r="L80" s="161"/>
      <c r="M80" s="110"/>
      <c r="N80" s="110"/>
    </row>
    <row r="81" spans="1:14">
      <c r="A81" s="132">
        <v>42658</v>
      </c>
      <c r="B81" s="110" t="s">
        <v>459</v>
      </c>
      <c r="C81" s="110"/>
      <c r="D81" s="110"/>
      <c r="E81" s="110">
        <v>11</v>
      </c>
      <c r="F81" s="110"/>
      <c r="G81" s="110"/>
      <c r="H81" s="110"/>
      <c r="I81" s="110"/>
      <c r="J81" s="110">
        <v>2</v>
      </c>
      <c r="K81" s="157">
        <f t="shared" si="2"/>
        <v>2770</v>
      </c>
      <c r="L81" s="161"/>
      <c r="M81" s="110"/>
      <c r="N81" s="110"/>
    </row>
    <row r="82" spans="1:14">
      <c r="A82" s="132">
        <v>42659</v>
      </c>
      <c r="B82" s="110" t="s">
        <v>460</v>
      </c>
      <c r="C82" s="110"/>
      <c r="D82" s="110"/>
      <c r="E82" s="110"/>
      <c r="F82" s="110"/>
      <c r="G82" s="110"/>
      <c r="H82" s="110"/>
      <c r="I82" s="110"/>
      <c r="J82" s="110">
        <v>2</v>
      </c>
      <c r="K82" s="157">
        <f t="shared" si="2"/>
        <v>460</v>
      </c>
      <c r="L82" s="161"/>
      <c r="M82" s="110"/>
      <c r="N82" s="110"/>
    </row>
    <row r="83" spans="1:14" ht="13" thickBot="1">
      <c r="A83" s="165" t="s">
        <v>454</v>
      </c>
      <c r="B83" s="165" t="s">
        <v>461</v>
      </c>
      <c r="C83" s="165"/>
      <c r="D83" s="165"/>
      <c r="E83" s="165"/>
      <c r="F83" s="165"/>
      <c r="G83" s="165"/>
      <c r="H83" s="165"/>
      <c r="I83" s="165">
        <v>2</v>
      </c>
      <c r="J83" s="165"/>
      <c r="K83" s="166">
        <f t="shared" si="2"/>
        <v>112</v>
      </c>
      <c r="L83" s="169">
        <v>14842</v>
      </c>
      <c r="M83" s="165" t="s">
        <v>462</v>
      </c>
      <c r="N83" s="182">
        <v>42672</v>
      </c>
    </row>
    <row r="84" spans="1:14">
      <c r="A84" s="162">
        <v>42660</v>
      </c>
      <c r="B84" s="110" t="s">
        <v>463</v>
      </c>
      <c r="C84" s="120"/>
      <c r="D84" s="120"/>
      <c r="E84" s="120">
        <v>12</v>
      </c>
      <c r="F84" s="120"/>
      <c r="G84" s="120"/>
      <c r="H84" s="120"/>
      <c r="I84" s="120"/>
      <c r="J84" s="120">
        <v>2</v>
      </c>
      <c r="K84" s="163">
        <f t="shared" si="2"/>
        <v>2980</v>
      </c>
      <c r="L84" s="168"/>
      <c r="M84" s="120"/>
      <c r="N84" s="120"/>
    </row>
    <row r="85" spans="1:14">
      <c r="A85" s="132">
        <v>42661</v>
      </c>
      <c r="B85" s="110" t="s">
        <v>464</v>
      </c>
      <c r="C85" s="110"/>
      <c r="D85" s="110"/>
      <c r="E85" s="110">
        <v>12</v>
      </c>
      <c r="F85" s="110"/>
      <c r="G85" s="110"/>
      <c r="H85" s="110"/>
      <c r="I85" s="110"/>
      <c r="J85" s="110">
        <v>2</v>
      </c>
      <c r="K85" s="157">
        <f t="shared" si="2"/>
        <v>2980</v>
      </c>
      <c r="L85" s="161"/>
      <c r="M85" s="110"/>
      <c r="N85" s="110"/>
    </row>
    <row r="86" spans="1:14">
      <c r="A86" s="132">
        <v>42662</v>
      </c>
      <c r="B86" s="110" t="s">
        <v>465</v>
      </c>
      <c r="C86" s="110"/>
      <c r="D86" s="110"/>
      <c r="E86" s="110">
        <v>46</v>
      </c>
      <c r="F86" s="110"/>
      <c r="G86" s="110"/>
      <c r="H86" s="110"/>
      <c r="I86" s="110"/>
      <c r="J86" s="110">
        <v>8</v>
      </c>
      <c r="K86" s="157">
        <f t="shared" si="2"/>
        <v>11500</v>
      </c>
      <c r="L86" s="161"/>
      <c r="M86" s="110"/>
      <c r="N86" s="110"/>
    </row>
    <row r="87" spans="1:14">
      <c r="A87" s="132">
        <v>42663</v>
      </c>
      <c r="B87" s="110" t="s">
        <v>467</v>
      </c>
      <c r="C87" s="110"/>
      <c r="D87" s="110"/>
      <c r="E87" s="110">
        <v>48</v>
      </c>
      <c r="F87" s="110"/>
      <c r="G87" s="110"/>
      <c r="H87" s="110"/>
      <c r="I87" s="110"/>
      <c r="J87" s="110">
        <v>8</v>
      </c>
      <c r="K87" s="157">
        <f t="shared" si="2"/>
        <v>11920</v>
      </c>
      <c r="L87" s="161"/>
      <c r="M87" s="110"/>
      <c r="N87" s="110"/>
    </row>
    <row r="88" spans="1:14">
      <c r="A88" s="132">
        <v>42664</v>
      </c>
      <c r="B88" s="110" t="s">
        <v>468</v>
      </c>
      <c r="C88" s="110"/>
      <c r="D88" s="110"/>
      <c r="E88" s="110">
        <v>48</v>
      </c>
      <c r="F88" s="110"/>
      <c r="G88" s="110"/>
      <c r="H88" s="110"/>
      <c r="I88" s="110"/>
      <c r="J88" s="110">
        <v>8</v>
      </c>
      <c r="K88" s="157">
        <f t="shared" ref="K88:K136" si="8">(C88*$C$6)+(D88*$D$6)+(E88*$E$6)+(F88*$F$6)+(G88*$G$6)+(H88*$H$6)+(I88*$I$6)+(J88*$J$6)</f>
        <v>11920</v>
      </c>
      <c r="L88" s="161"/>
      <c r="M88" s="110"/>
      <c r="N88" s="110"/>
    </row>
    <row r="89" spans="1:14">
      <c r="A89" s="132">
        <v>42665</v>
      </c>
      <c r="B89" s="110" t="s">
        <v>469</v>
      </c>
      <c r="C89" s="110"/>
      <c r="D89" s="110"/>
      <c r="E89" s="110">
        <v>47</v>
      </c>
      <c r="F89" s="110"/>
      <c r="G89" s="110"/>
      <c r="H89" s="110"/>
      <c r="I89" s="110"/>
      <c r="J89" s="110">
        <v>8</v>
      </c>
      <c r="K89" s="157">
        <f t="shared" si="8"/>
        <v>11710</v>
      </c>
      <c r="L89" s="161"/>
      <c r="M89" s="110"/>
      <c r="N89" s="110"/>
    </row>
    <row r="90" spans="1:14">
      <c r="A90" s="132">
        <v>42666</v>
      </c>
      <c r="B90" s="110" t="s">
        <v>470</v>
      </c>
      <c r="C90" s="110"/>
      <c r="D90" s="110"/>
      <c r="E90" s="110"/>
      <c r="F90" s="110"/>
      <c r="G90" s="110"/>
      <c r="H90" s="110"/>
      <c r="I90" s="110"/>
      <c r="J90" s="110">
        <v>8</v>
      </c>
      <c r="K90" s="157">
        <f t="shared" si="8"/>
        <v>1840</v>
      </c>
      <c r="L90" s="161"/>
      <c r="M90" s="110"/>
      <c r="N90" s="110"/>
    </row>
    <row r="91" spans="1:14" ht="13" thickBot="1">
      <c r="A91" s="165" t="s">
        <v>466</v>
      </c>
      <c r="B91" s="165" t="s">
        <v>471</v>
      </c>
      <c r="C91" s="165"/>
      <c r="D91" s="165"/>
      <c r="E91" s="165"/>
      <c r="F91" s="165"/>
      <c r="G91" s="165"/>
      <c r="H91" s="165">
        <v>21</v>
      </c>
      <c r="I91" s="165">
        <v>4</v>
      </c>
      <c r="J91" s="165"/>
      <c r="K91" s="166">
        <f t="shared" ref="K91:K97" si="9">(C91*$C$6)+(D91*$D$6)+(E91*$E$6)+(F91*$F$6)+(G91*$G$6)+(H91*$H$6)+(I91*$I$6)+(J91*$J$6)</f>
        <v>3479</v>
      </c>
      <c r="L91" s="169">
        <v>58329</v>
      </c>
      <c r="M91" s="165" t="s">
        <v>476</v>
      </c>
      <c r="N91" s="182">
        <v>42675</v>
      </c>
    </row>
    <row r="92" spans="1:14">
      <c r="A92" s="162">
        <v>42667</v>
      </c>
      <c r="B92" s="120" t="s">
        <v>529</v>
      </c>
      <c r="C92" s="120"/>
      <c r="D92" s="120"/>
      <c r="E92" s="120">
        <v>36</v>
      </c>
      <c r="F92" s="120">
        <v>11</v>
      </c>
      <c r="G92" s="120"/>
      <c r="H92" s="120"/>
      <c r="I92" s="120"/>
      <c r="J92" s="120">
        <v>8</v>
      </c>
      <c r="K92" s="163">
        <f t="shared" si="9"/>
        <v>11545</v>
      </c>
      <c r="L92" s="168"/>
      <c r="M92" s="120"/>
      <c r="N92" s="120"/>
    </row>
    <row r="93" spans="1:14">
      <c r="A93" s="162">
        <v>42668</v>
      </c>
      <c r="B93" s="110" t="s">
        <v>530</v>
      </c>
      <c r="C93" s="110"/>
      <c r="D93" s="110"/>
      <c r="E93" s="110">
        <v>36</v>
      </c>
      <c r="F93" s="110">
        <v>11.5</v>
      </c>
      <c r="G93" s="110"/>
      <c r="H93" s="110"/>
      <c r="I93" s="110"/>
      <c r="J93" s="110">
        <v>8</v>
      </c>
      <c r="K93" s="157">
        <f t="shared" si="9"/>
        <v>11642.5</v>
      </c>
      <c r="L93" s="161"/>
      <c r="M93" s="110"/>
      <c r="N93" s="110"/>
    </row>
    <row r="94" spans="1:14">
      <c r="A94" s="162">
        <v>42669</v>
      </c>
      <c r="B94" s="110" t="s">
        <v>531</v>
      </c>
      <c r="C94" s="110">
        <v>12</v>
      </c>
      <c r="D94" s="110"/>
      <c r="E94" s="110">
        <v>36</v>
      </c>
      <c r="F94" s="110">
        <v>12</v>
      </c>
      <c r="G94" s="110"/>
      <c r="H94" s="110"/>
      <c r="I94" s="110"/>
      <c r="J94" s="110">
        <v>9</v>
      </c>
      <c r="K94" s="157">
        <f t="shared" si="9"/>
        <v>13422</v>
      </c>
      <c r="L94" s="161"/>
      <c r="M94" s="110"/>
      <c r="N94" s="110"/>
    </row>
    <row r="95" spans="1:14">
      <c r="A95" s="162">
        <v>42670</v>
      </c>
      <c r="B95" s="110" t="s">
        <v>532</v>
      </c>
      <c r="C95" s="110"/>
      <c r="D95" s="110"/>
      <c r="E95" s="110">
        <v>36</v>
      </c>
      <c r="F95" s="110">
        <v>12</v>
      </c>
      <c r="G95" s="110"/>
      <c r="H95" s="110"/>
      <c r="I95" s="110"/>
      <c r="J95" s="110">
        <v>8</v>
      </c>
      <c r="K95" s="157">
        <f t="shared" si="9"/>
        <v>11740</v>
      </c>
      <c r="L95" s="161"/>
      <c r="M95" s="110"/>
      <c r="N95" s="110"/>
    </row>
    <row r="96" spans="1:14">
      <c r="A96" s="162">
        <v>42671</v>
      </c>
      <c r="B96" s="110" t="s">
        <v>533</v>
      </c>
      <c r="C96" s="110"/>
      <c r="D96" s="110"/>
      <c r="E96" s="110">
        <v>48</v>
      </c>
      <c r="F96" s="110"/>
      <c r="G96" s="110"/>
      <c r="H96" s="110"/>
      <c r="I96" s="110"/>
      <c r="J96" s="110">
        <v>8</v>
      </c>
      <c r="K96" s="157">
        <f t="shared" si="9"/>
        <v>11920</v>
      </c>
      <c r="L96" s="161"/>
      <c r="M96" s="110"/>
      <c r="N96" s="110"/>
    </row>
    <row r="97" spans="1:14">
      <c r="A97" s="162">
        <v>42672</v>
      </c>
      <c r="B97" s="110" t="s">
        <v>534</v>
      </c>
      <c r="C97" s="110"/>
      <c r="D97" s="110"/>
      <c r="E97" s="110">
        <v>47</v>
      </c>
      <c r="F97" s="110"/>
      <c r="G97" s="110"/>
      <c r="H97" s="110"/>
      <c r="I97" s="110"/>
      <c r="J97" s="110">
        <v>8</v>
      </c>
      <c r="K97" s="157">
        <f t="shared" si="9"/>
        <v>11710</v>
      </c>
      <c r="L97" s="161"/>
      <c r="M97" s="110"/>
      <c r="N97" s="110"/>
    </row>
    <row r="98" spans="1:14">
      <c r="A98" s="162">
        <v>42673</v>
      </c>
      <c r="B98" s="110" t="s">
        <v>535</v>
      </c>
      <c r="C98" s="110"/>
      <c r="D98" s="110"/>
      <c r="E98" s="110"/>
      <c r="F98" s="110"/>
      <c r="G98" s="110"/>
      <c r="H98" s="110"/>
      <c r="I98" s="110"/>
      <c r="J98" s="110">
        <v>7</v>
      </c>
      <c r="K98" s="157">
        <f t="shared" si="8"/>
        <v>1610</v>
      </c>
      <c r="L98" s="161"/>
      <c r="M98" s="110"/>
      <c r="N98" s="110"/>
    </row>
    <row r="99" spans="1:14" ht="13" thickBot="1">
      <c r="A99" s="165" t="s">
        <v>492</v>
      </c>
      <c r="B99" s="165" t="s">
        <v>536</v>
      </c>
      <c r="C99" s="165"/>
      <c r="D99" s="165"/>
      <c r="E99" s="165"/>
      <c r="F99" s="165"/>
      <c r="G99" s="165"/>
      <c r="H99" s="165">
        <v>17</v>
      </c>
      <c r="I99" s="165">
        <v>4</v>
      </c>
      <c r="J99" s="165"/>
      <c r="K99" s="166">
        <f t="shared" ref="K99" si="10">(C99*$C$6)+(D99*$D$6)+(E99*$E$6)+(F99*$F$6)+(G99*$G$6)+(H99*$H$6)+(I99*$I$6)+(J99*$J$6)</f>
        <v>2859</v>
      </c>
      <c r="L99" s="169">
        <v>76448.5</v>
      </c>
      <c r="M99" s="165" t="s">
        <v>493</v>
      </c>
      <c r="N99" s="182">
        <v>42688</v>
      </c>
    </row>
    <row r="100" spans="1:14">
      <c r="A100" s="162">
        <v>42674</v>
      </c>
      <c r="B100" s="120" t="s">
        <v>537</v>
      </c>
      <c r="C100" s="120"/>
      <c r="D100" s="120"/>
      <c r="E100" s="120">
        <v>44</v>
      </c>
      <c r="F100" s="120"/>
      <c r="G100" s="120"/>
      <c r="H100" s="120"/>
      <c r="I100" s="120"/>
      <c r="J100" s="120">
        <v>8</v>
      </c>
      <c r="K100" s="163">
        <f t="shared" si="8"/>
        <v>11080</v>
      </c>
      <c r="M100" s="120"/>
      <c r="N100" s="120"/>
    </row>
    <row r="101" spans="1:14">
      <c r="A101" s="162">
        <v>42675</v>
      </c>
      <c r="B101" s="120" t="s">
        <v>539</v>
      </c>
      <c r="C101" s="110"/>
      <c r="D101" s="110"/>
      <c r="E101" s="110">
        <v>47</v>
      </c>
      <c r="F101" s="110"/>
      <c r="G101" s="110"/>
      <c r="H101" s="110"/>
      <c r="I101" s="110"/>
      <c r="J101" s="110">
        <v>8</v>
      </c>
      <c r="K101" s="157">
        <f t="shared" si="8"/>
        <v>11710</v>
      </c>
      <c r="L101" s="161"/>
      <c r="M101" s="110"/>
      <c r="N101" s="110"/>
    </row>
    <row r="102" spans="1:14">
      <c r="A102" s="162">
        <v>42676</v>
      </c>
      <c r="B102" s="120" t="s">
        <v>540</v>
      </c>
      <c r="C102" s="110"/>
      <c r="D102" s="110"/>
      <c r="E102" s="110">
        <v>48</v>
      </c>
      <c r="F102" s="110"/>
      <c r="G102" s="110"/>
      <c r="H102" s="110"/>
      <c r="I102" s="110"/>
      <c r="J102" s="110">
        <v>8</v>
      </c>
      <c r="K102" s="157">
        <f t="shared" si="8"/>
        <v>11920</v>
      </c>
      <c r="L102" s="161"/>
      <c r="M102" s="110"/>
      <c r="N102" s="110"/>
    </row>
    <row r="103" spans="1:14">
      <c r="A103" s="162">
        <v>42677</v>
      </c>
      <c r="B103" s="120" t="s">
        <v>541</v>
      </c>
      <c r="C103" s="110"/>
      <c r="D103" s="110"/>
      <c r="E103" s="110">
        <v>45</v>
      </c>
      <c r="F103" s="110"/>
      <c r="G103" s="110"/>
      <c r="H103" s="110"/>
      <c r="I103" s="110"/>
      <c r="J103" s="110">
        <v>8</v>
      </c>
      <c r="K103" s="157">
        <f t="shared" si="8"/>
        <v>11290</v>
      </c>
      <c r="L103" s="161"/>
      <c r="M103" s="110"/>
      <c r="N103" s="110"/>
    </row>
    <row r="104" spans="1:14">
      <c r="A104" s="162">
        <v>42678</v>
      </c>
      <c r="B104" s="120" t="s">
        <v>542</v>
      </c>
      <c r="C104" s="110"/>
      <c r="D104" s="110"/>
      <c r="E104" s="110">
        <v>48</v>
      </c>
      <c r="F104" s="110"/>
      <c r="G104" s="110"/>
      <c r="H104" s="110"/>
      <c r="I104" s="110"/>
      <c r="J104" s="110">
        <v>8</v>
      </c>
      <c r="K104" s="157">
        <f t="shared" si="8"/>
        <v>11920</v>
      </c>
      <c r="L104" s="161"/>
      <c r="M104" s="110"/>
      <c r="N104" s="110"/>
    </row>
    <row r="105" spans="1:14">
      <c r="A105" s="162">
        <v>42679</v>
      </c>
      <c r="B105" s="120" t="s">
        <v>543</v>
      </c>
      <c r="C105" s="110"/>
      <c r="D105" s="110"/>
      <c r="E105" s="110">
        <v>32</v>
      </c>
      <c r="F105" s="110"/>
      <c r="G105" s="110"/>
      <c r="H105" s="110"/>
      <c r="I105" s="110"/>
      <c r="J105" s="110">
        <v>6</v>
      </c>
      <c r="K105" s="157">
        <f t="shared" si="8"/>
        <v>8100</v>
      </c>
      <c r="L105" s="161"/>
      <c r="M105" s="110"/>
      <c r="N105" s="110"/>
    </row>
    <row r="106" spans="1:14">
      <c r="A106" s="162">
        <v>42680</v>
      </c>
      <c r="B106" s="120" t="s">
        <v>544</v>
      </c>
      <c r="C106" s="110"/>
      <c r="D106" s="110"/>
      <c r="E106" s="110"/>
      <c r="F106" s="110"/>
      <c r="G106" s="110"/>
      <c r="H106" s="110"/>
      <c r="I106" s="110"/>
      <c r="J106" s="110">
        <v>4</v>
      </c>
      <c r="K106" s="157">
        <f t="shared" si="8"/>
        <v>920</v>
      </c>
      <c r="L106" s="161"/>
      <c r="M106" s="110"/>
      <c r="N106" s="110"/>
    </row>
    <row r="107" spans="1:14">
      <c r="A107" s="110" t="s">
        <v>538</v>
      </c>
      <c r="B107" s="120" t="s">
        <v>545</v>
      </c>
      <c r="C107" s="110"/>
      <c r="D107" s="110"/>
      <c r="E107" s="110"/>
      <c r="F107" s="110"/>
      <c r="G107" s="110"/>
      <c r="H107" s="110">
        <v>21</v>
      </c>
      <c r="I107" s="110">
        <v>11</v>
      </c>
      <c r="J107" s="110"/>
      <c r="K107" s="157">
        <f t="shared" ref="K107" si="11">(C107*$C$6)+(D107*$D$6)+(E107*$E$6)+(F107*$F$6)+(G107*$G$6)+(H107*$H$6)+(I107*$I$6)+(J107*$J$6)</f>
        <v>3871</v>
      </c>
      <c r="L107" s="161"/>
      <c r="M107" s="110"/>
      <c r="N107" s="110"/>
    </row>
    <row r="108" spans="1:14">
      <c r="A108" s="162">
        <v>42681</v>
      </c>
      <c r="B108" s="120" t="s">
        <v>546</v>
      </c>
      <c r="C108" s="110"/>
      <c r="D108" s="110"/>
      <c r="E108" s="110">
        <v>36</v>
      </c>
      <c r="F108" s="110"/>
      <c r="G108" s="110"/>
      <c r="H108" s="110"/>
      <c r="I108" s="110"/>
      <c r="J108" s="110">
        <v>6</v>
      </c>
      <c r="K108" s="157">
        <f t="shared" si="8"/>
        <v>8940</v>
      </c>
      <c r="L108" s="161"/>
      <c r="M108" s="110"/>
      <c r="N108" s="110"/>
    </row>
    <row r="109" spans="1:14">
      <c r="A109" s="162">
        <v>42682</v>
      </c>
      <c r="B109" s="120" t="s">
        <v>547</v>
      </c>
      <c r="C109" s="110"/>
      <c r="D109" s="110"/>
      <c r="E109" s="110">
        <v>36</v>
      </c>
      <c r="F109" s="110"/>
      <c r="G109" s="110"/>
      <c r="H109" s="110"/>
      <c r="I109" s="110"/>
      <c r="J109" s="110">
        <v>6</v>
      </c>
      <c r="K109" s="157">
        <f t="shared" si="8"/>
        <v>8940</v>
      </c>
      <c r="M109" s="110"/>
      <c r="N109" s="110"/>
    </row>
    <row r="110" spans="1:14">
      <c r="A110" s="162">
        <v>42683</v>
      </c>
      <c r="B110" s="120" t="s">
        <v>548</v>
      </c>
      <c r="C110" s="110"/>
      <c r="D110" s="110"/>
      <c r="E110" s="110">
        <v>48</v>
      </c>
      <c r="F110" s="110"/>
      <c r="G110" s="110"/>
      <c r="H110" s="110"/>
      <c r="I110" s="110"/>
      <c r="J110" s="110">
        <v>8</v>
      </c>
      <c r="K110" s="157">
        <f t="shared" ref="K110:K115" si="12">(C110*$C$6)+(D110*$D$6)+(E110*$E$6)+(F110*$F$6)+(G110*$G$6)+(H110*$H$6)+(I110*$I$6)+(J110*$J$6)</f>
        <v>11920</v>
      </c>
      <c r="L110" s="161"/>
      <c r="M110" s="110"/>
      <c r="N110" s="110"/>
    </row>
    <row r="111" spans="1:14">
      <c r="A111" s="162">
        <v>42684</v>
      </c>
      <c r="B111" s="120" t="s">
        <v>549</v>
      </c>
      <c r="C111" s="110"/>
      <c r="D111" s="110"/>
      <c r="E111" s="110">
        <v>48</v>
      </c>
      <c r="F111" s="110"/>
      <c r="G111" s="110"/>
      <c r="H111" s="110"/>
      <c r="I111" s="110"/>
      <c r="J111" s="110">
        <v>8</v>
      </c>
      <c r="K111" s="157">
        <f t="shared" si="12"/>
        <v>11920</v>
      </c>
      <c r="L111" s="161"/>
      <c r="M111" s="110"/>
      <c r="N111" s="110"/>
    </row>
    <row r="112" spans="1:14">
      <c r="A112" s="162">
        <v>42685</v>
      </c>
      <c r="B112" s="120" t="s">
        <v>550</v>
      </c>
      <c r="C112" s="110"/>
      <c r="D112" s="110">
        <v>5</v>
      </c>
      <c r="E112" s="110">
        <v>5</v>
      </c>
      <c r="F112" s="110"/>
      <c r="G112" s="110"/>
      <c r="H112" s="110"/>
      <c r="I112" s="110"/>
      <c r="J112" s="110">
        <v>8</v>
      </c>
      <c r="K112" s="157">
        <f t="shared" si="12"/>
        <v>3640</v>
      </c>
      <c r="L112" s="161"/>
      <c r="M112" s="110"/>
      <c r="N112" s="110"/>
    </row>
    <row r="113" spans="1:14">
      <c r="A113" s="162">
        <v>42686</v>
      </c>
      <c r="B113" s="120" t="s">
        <v>551</v>
      </c>
      <c r="C113" s="110"/>
      <c r="D113" s="110"/>
      <c r="E113" s="110"/>
      <c r="F113" s="110"/>
      <c r="G113" s="110"/>
      <c r="H113" s="110"/>
      <c r="I113" s="110"/>
      <c r="J113" s="110">
        <v>6</v>
      </c>
      <c r="K113" s="157">
        <f t="shared" si="12"/>
        <v>1380</v>
      </c>
      <c r="L113" s="161"/>
      <c r="M113" s="110"/>
      <c r="N113" s="110"/>
    </row>
    <row r="114" spans="1:14">
      <c r="A114" s="162">
        <v>42687</v>
      </c>
      <c r="B114" s="120" t="s">
        <v>552</v>
      </c>
      <c r="C114" s="110"/>
      <c r="D114" s="110">
        <v>4</v>
      </c>
      <c r="E114" s="110"/>
      <c r="F114" s="110"/>
      <c r="G114" s="110"/>
      <c r="H114" s="110"/>
      <c r="I114" s="110"/>
      <c r="J114" s="110">
        <v>8</v>
      </c>
      <c r="K114" s="157">
        <f t="shared" si="12"/>
        <v>2440</v>
      </c>
      <c r="L114" s="161"/>
      <c r="M114" s="110"/>
      <c r="N114" s="110"/>
    </row>
    <row r="115" spans="1:14">
      <c r="A115" s="110" t="s">
        <v>554</v>
      </c>
      <c r="B115" s="120" t="s">
        <v>553</v>
      </c>
      <c r="C115" s="110"/>
      <c r="D115" s="110"/>
      <c r="E115" s="110"/>
      <c r="F115" s="110"/>
      <c r="G115" s="110"/>
      <c r="H115" s="110">
        <v>20</v>
      </c>
      <c r="I115" s="110">
        <v>5</v>
      </c>
      <c r="J115" s="110"/>
      <c r="K115" s="157">
        <f t="shared" si="12"/>
        <v>3380</v>
      </c>
      <c r="L115" s="161"/>
      <c r="M115" s="110"/>
      <c r="N115" s="110"/>
    </row>
    <row r="116" spans="1:14">
      <c r="A116" s="162">
        <v>42688</v>
      </c>
      <c r="B116" s="120" t="s">
        <v>555</v>
      </c>
      <c r="C116" s="110"/>
      <c r="D116" s="110"/>
      <c r="E116" s="110">
        <v>48</v>
      </c>
      <c r="F116" s="110"/>
      <c r="G116" s="110"/>
      <c r="H116" s="110"/>
      <c r="I116" s="110"/>
      <c r="J116" s="110">
        <v>8</v>
      </c>
      <c r="K116" s="157">
        <f t="shared" si="8"/>
        <v>11920</v>
      </c>
      <c r="L116" s="161"/>
      <c r="M116" s="110"/>
      <c r="N116" s="110"/>
    </row>
    <row r="117" spans="1:14">
      <c r="A117" s="162">
        <v>42689</v>
      </c>
      <c r="B117" s="120" t="s">
        <v>556</v>
      </c>
      <c r="C117" s="110"/>
      <c r="D117" s="110"/>
      <c r="E117" s="110">
        <v>48</v>
      </c>
      <c r="F117" s="110"/>
      <c r="G117" s="110"/>
      <c r="H117" s="110"/>
      <c r="I117" s="110"/>
      <c r="J117" s="110">
        <v>8</v>
      </c>
      <c r="K117" s="157">
        <f t="shared" si="8"/>
        <v>11920</v>
      </c>
      <c r="L117" s="161"/>
      <c r="M117" s="110"/>
      <c r="N117" s="110"/>
    </row>
    <row r="118" spans="1:14">
      <c r="A118" s="162">
        <v>42690</v>
      </c>
      <c r="B118" s="120" t="s">
        <v>557</v>
      </c>
      <c r="C118" s="110"/>
      <c r="D118" s="110"/>
      <c r="E118" s="110">
        <v>48</v>
      </c>
      <c r="F118" s="110"/>
      <c r="G118" s="110"/>
      <c r="H118" s="110"/>
      <c r="I118" s="110"/>
      <c r="J118" s="110">
        <v>8</v>
      </c>
      <c r="K118" s="157">
        <f t="shared" si="8"/>
        <v>11920</v>
      </c>
      <c r="L118" s="161"/>
      <c r="M118" s="110"/>
      <c r="N118" s="110"/>
    </row>
    <row r="119" spans="1:14">
      <c r="A119" s="162">
        <v>42691</v>
      </c>
      <c r="B119" s="120" t="s">
        <v>558</v>
      </c>
      <c r="C119" s="110"/>
      <c r="D119" s="110"/>
      <c r="E119" s="110">
        <v>48</v>
      </c>
      <c r="F119" s="110"/>
      <c r="G119" s="110"/>
      <c r="H119" s="110"/>
      <c r="I119" s="110"/>
      <c r="J119" s="110">
        <v>8</v>
      </c>
      <c r="K119" s="157">
        <f t="shared" si="8"/>
        <v>11920</v>
      </c>
      <c r="L119" s="161"/>
      <c r="M119" s="110"/>
      <c r="N119" s="110"/>
    </row>
    <row r="120" spans="1:14">
      <c r="A120" s="162">
        <v>42692</v>
      </c>
      <c r="B120" s="120" t="s">
        <v>559</v>
      </c>
      <c r="C120" s="110"/>
      <c r="D120" s="110"/>
      <c r="E120" s="110">
        <v>35</v>
      </c>
      <c r="F120" s="110"/>
      <c r="G120" s="110"/>
      <c r="H120" s="110"/>
      <c r="I120" s="110"/>
      <c r="J120" s="110">
        <v>6</v>
      </c>
      <c r="K120" s="157">
        <f t="shared" si="8"/>
        <v>8730</v>
      </c>
      <c r="L120" s="161"/>
      <c r="M120" s="110"/>
      <c r="N120" s="110"/>
    </row>
    <row r="121" spans="1:14">
      <c r="A121" s="162">
        <v>42693</v>
      </c>
      <c r="B121" s="120" t="s">
        <v>560</v>
      </c>
      <c r="C121" s="110"/>
      <c r="D121" s="110"/>
      <c r="E121" s="110">
        <v>24</v>
      </c>
      <c r="F121" s="110">
        <v>12</v>
      </c>
      <c r="G121" s="110"/>
      <c r="H121" s="110"/>
      <c r="I121" s="110"/>
      <c r="J121" s="110">
        <v>6</v>
      </c>
      <c r="K121" s="157">
        <f t="shared" si="8"/>
        <v>8760</v>
      </c>
      <c r="L121" s="161"/>
      <c r="M121" s="110"/>
      <c r="N121" s="110"/>
    </row>
    <row r="122" spans="1:14">
      <c r="A122" s="162">
        <v>42694</v>
      </c>
      <c r="B122" s="120" t="s">
        <v>561</v>
      </c>
      <c r="C122" s="110"/>
      <c r="D122" s="110"/>
      <c r="E122" s="110"/>
      <c r="F122" s="110"/>
      <c r="G122" s="110"/>
      <c r="H122" s="110"/>
      <c r="I122" s="110"/>
      <c r="J122" s="110">
        <v>6</v>
      </c>
      <c r="K122" s="157">
        <f t="shared" si="8"/>
        <v>1380</v>
      </c>
      <c r="M122" s="110"/>
      <c r="N122" s="110"/>
    </row>
    <row r="123" spans="1:14" ht="13" thickBot="1">
      <c r="A123" s="165" t="s">
        <v>563</v>
      </c>
      <c r="B123" s="165" t="s">
        <v>562</v>
      </c>
      <c r="C123" s="165"/>
      <c r="D123" s="165"/>
      <c r="E123" s="165"/>
      <c r="F123" s="165"/>
      <c r="G123" s="165"/>
      <c r="H123" s="165">
        <v>20</v>
      </c>
      <c r="I123" s="165">
        <v>6</v>
      </c>
      <c r="J123" s="165"/>
      <c r="K123" s="166">
        <f t="shared" ref="K123" si="13">(C123*$C$6)+(D123*$D$6)+(E123*$E$6)+(F123*$F$6)+(G123*$G$6)+(H123*$H$6)+(I123*$I$6)+(J123*$J$6)</f>
        <v>3436</v>
      </c>
      <c r="L123" s="169">
        <v>193357</v>
      </c>
      <c r="M123" s="165" t="s">
        <v>564</v>
      </c>
      <c r="N123" s="182">
        <v>42703</v>
      </c>
    </row>
    <row r="124" spans="1:14">
      <c r="A124" s="162">
        <v>42695</v>
      </c>
      <c r="C124" s="120"/>
      <c r="D124" s="120"/>
      <c r="E124" s="120">
        <v>35</v>
      </c>
      <c r="F124" s="120"/>
      <c r="G124" s="120"/>
      <c r="H124" s="120"/>
      <c r="I124" s="120"/>
      <c r="J124" s="120">
        <v>6</v>
      </c>
      <c r="K124" s="163">
        <f t="shared" si="8"/>
        <v>8730</v>
      </c>
      <c r="L124" s="168"/>
      <c r="M124" s="120"/>
      <c r="N124" s="120"/>
    </row>
    <row r="125" spans="1:14">
      <c r="A125" s="162">
        <v>42696</v>
      </c>
      <c r="B125" s="110"/>
      <c r="C125" s="110"/>
      <c r="D125" s="110"/>
      <c r="E125" s="110">
        <v>32</v>
      </c>
      <c r="F125" s="110"/>
      <c r="G125" s="110"/>
      <c r="H125" s="110"/>
      <c r="I125" s="110"/>
      <c r="J125" s="110">
        <v>6</v>
      </c>
      <c r="K125" s="157">
        <f t="shared" si="8"/>
        <v>8100</v>
      </c>
      <c r="L125" s="161"/>
      <c r="M125" s="110"/>
      <c r="N125" s="110"/>
    </row>
    <row r="126" spans="1:14">
      <c r="A126" s="162">
        <v>42697</v>
      </c>
      <c r="B126" s="110"/>
      <c r="C126" s="110"/>
      <c r="D126" s="110"/>
      <c r="E126" s="110">
        <v>24</v>
      </c>
      <c r="F126" s="110"/>
      <c r="G126" s="110"/>
      <c r="H126" s="110"/>
      <c r="I126" s="110"/>
      <c r="J126" s="110">
        <v>4</v>
      </c>
      <c r="K126" s="157">
        <f t="shared" si="8"/>
        <v>5960</v>
      </c>
      <c r="L126" s="161"/>
      <c r="M126" s="110"/>
      <c r="N126" s="110"/>
    </row>
    <row r="127" spans="1:14">
      <c r="A127" s="162">
        <v>42698</v>
      </c>
      <c r="B127" s="110"/>
      <c r="C127" s="110"/>
      <c r="D127" s="110"/>
      <c r="E127" s="110">
        <v>12</v>
      </c>
      <c r="F127" s="110"/>
      <c r="G127" s="110"/>
      <c r="H127" s="110"/>
      <c r="I127" s="110"/>
      <c r="J127" s="110">
        <v>2</v>
      </c>
      <c r="K127" s="157">
        <f t="shared" si="8"/>
        <v>2980</v>
      </c>
      <c r="L127" s="161"/>
      <c r="M127" s="110"/>
      <c r="N127" s="110"/>
    </row>
    <row r="128" spans="1:14">
      <c r="A128" s="162">
        <v>42699</v>
      </c>
      <c r="B128" s="110"/>
      <c r="C128" s="110"/>
      <c r="D128" s="110"/>
      <c r="E128" s="110">
        <v>12</v>
      </c>
      <c r="F128" s="110"/>
      <c r="G128" s="110"/>
      <c r="H128" s="110"/>
      <c r="I128" s="110"/>
      <c r="J128" s="110">
        <v>2</v>
      </c>
      <c r="K128" s="157">
        <f t="shared" si="8"/>
        <v>2980</v>
      </c>
      <c r="L128" s="161"/>
      <c r="M128" s="110"/>
      <c r="N128" s="110"/>
    </row>
    <row r="129" spans="1:14">
      <c r="A129" s="162">
        <v>42700</v>
      </c>
      <c r="B129" s="110"/>
      <c r="C129" s="110"/>
      <c r="D129" s="110"/>
      <c r="E129" s="110"/>
      <c r="F129" s="110"/>
      <c r="G129" s="110"/>
      <c r="H129" s="110"/>
      <c r="I129" s="110"/>
      <c r="J129" s="110"/>
      <c r="K129" s="157">
        <f t="shared" si="8"/>
        <v>0</v>
      </c>
      <c r="L129" s="161"/>
      <c r="M129" s="110"/>
      <c r="N129" s="110"/>
    </row>
    <row r="130" spans="1:14">
      <c r="A130" s="162">
        <v>42701</v>
      </c>
      <c r="B130" s="110"/>
      <c r="C130" s="110"/>
      <c r="D130" s="110"/>
      <c r="E130" s="110"/>
      <c r="F130" s="110"/>
      <c r="G130" s="110"/>
      <c r="H130" s="110"/>
      <c r="I130" s="110"/>
      <c r="J130" s="110"/>
      <c r="K130" s="157">
        <f t="shared" si="8"/>
        <v>0</v>
      </c>
      <c r="L130" s="161"/>
      <c r="M130" s="110"/>
      <c r="N130" s="110"/>
    </row>
    <row r="131" spans="1:14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57">
        <f t="shared" si="8"/>
        <v>0</v>
      </c>
      <c r="L131" s="161"/>
      <c r="M131" s="110"/>
      <c r="N131" s="110"/>
    </row>
    <row r="132" spans="1:14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57">
        <f t="shared" si="8"/>
        <v>0</v>
      </c>
      <c r="L132" s="161"/>
      <c r="M132" s="110"/>
      <c r="N132" s="110"/>
    </row>
    <row r="133" spans="1:14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57">
        <f t="shared" si="8"/>
        <v>0</v>
      </c>
      <c r="L133" s="161"/>
      <c r="M133" s="110"/>
      <c r="N133" s="110"/>
    </row>
    <row r="134" spans="1:1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57">
        <f t="shared" si="8"/>
        <v>0</v>
      </c>
      <c r="L134" s="161"/>
      <c r="M134" s="110"/>
      <c r="N134" s="110"/>
    </row>
    <row r="135" spans="1:14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57">
        <f t="shared" si="8"/>
        <v>0</v>
      </c>
      <c r="L135" s="161"/>
      <c r="M135" s="110"/>
      <c r="N135" s="110"/>
    </row>
    <row r="136" spans="1:14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57">
        <f t="shared" si="8"/>
        <v>0</v>
      </c>
      <c r="L136" s="161"/>
      <c r="M136" s="110"/>
      <c r="N136" s="110"/>
    </row>
    <row r="137" spans="1:14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57">
        <f>SUM(K7:K136)</f>
        <v>540749.5</v>
      </c>
      <c r="L137" s="161">
        <f>SUM(L7:L136)</f>
        <v>511999.5</v>
      </c>
      <c r="M137" s="110"/>
      <c r="N137" s="110"/>
    </row>
    <row r="138" spans="1:14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61"/>
      <c r="M138" s="110"/>
      <c r="N138" s="110"/>
    </row>
    <row r="139" spans="1:14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61"/>
      <c r="M139" s="110"/>
      <c r="N139" s="110"/>
    </row>
    <row r="140" spans="1:14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61"/>
      <c r="M140" s="110"/>
      <c r="N140" s="110"/>
    </row>
    <row r="141" spans="1:14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61"/>
      <c r="M141" s="110"/>
      <c r="N141" s="110"/>
    </row>
    <row r="142" spans="1:14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61"/>
      <c r="M142" s="110"/>
      <c r="N142" s="110"/>
    </row>
    <row r="143" spans="1:14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61"/>
      <c r="M143" s="110"/>
      <c r="N143" s="110"/>
    </row>
    <row r="144" spans="1:1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61"/>
      <c r="M144" s="110"/>
      <c r="N144" s="110"/>
    </row>
    <row r="145" spans="1:14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61"/>
      <c r="M145" s="110"/>
      <c r="N145" s="110"/>
    </row>
    <row r="146" spans="1:14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61"/>
      <c r="M146" s="110"/>
      <c r="N146" s="110"/>
    </row>
    <row r="147" spans="1:14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61"/>
      <c r="M147" s="110"/>
      <c r="N147" s="110"/>
    </row>
    <row r="148" spans="1:14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61"/>
      <c r="M148" s="110"/>
      <c r="N148" s="110"/>
    </row>
  </sheetData>
  <pageMargins left="0.7" right="0.7" top="0.75" bottom="0.75" header="0.3" footer="0.3"/>
  <pageSetup scale="62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V80"/>
  <sheetViews>
    <sheetView workbookViewId="0">
      <selection activeCell="A20" sqref="A20"/>
    </sheetView>
  </sheetViews>
  <sheetFormatPr baseColWidth="10" defaultColWidth="8.83203125" defaultRowHeight="12" x14ac:dyDescent="0"/>
  <cols>
    <col min="1" max="1" width="19" customWidth="1"/>
    <col min="2" max="2" width="11.5" customWidth="1"/>
    <col min="5" max="5" width="9.83203125" customWidth="1"/>
    <col min="9" max="9" width="11" customWidth="1"/>
    <col min="10" max="10" width="9.6640625" customWidth="1"/>
    <col min="11" max="11" width="14.33203125" customWidth="1"/>
    <col min="12" max="12" width="10.1640625" customWidth="1"/>
    <col min="17" max="17" width="11.5" customWidth="1"/>
    <col min="18" max="18" width="11.33203125" customWidth="1"/>
    <col min="19" max="19" width="13.33203125" customWidth="1"/>
    <col min="20" max="20" width="11" customWidth="1"/>
  </cols>
  <sheetData>
    <row r="1" spans="1:21">
      <c r="A1" s="30" t="s">
        <v>104</v>
      </c>
      <c r="B1" s="30"/>
    </row>
    <row r="2" spans="1:21">
      <c r="A2" s="30" t="s">
        <v>31</v>
      </c>
      <c r="B2" s="30"/>
    </row>
    <row r="3" spans="1:21">
      <c r="A3" s="31" t="s">
        <v>29</v>
      </c>
      <c r="B3" s="31"/>
    </row>
    <row r="5" spans="1:21" ht="44">
      <c r="A5" s="9" t="s">
        <v>0</v>
      </c>
      <c r="B5" s="2" t="s">
        <v>44</v>
      </c>
      <c r="C5" s="5" t="s">
        <v>1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15</v>
      </c>
      <c r="I5" s="5" t="s">
        <v>9</v>
      </c>
      <c r="J5" s="5" t="s">
        <v>18</v>
      </c>
      <c r="K5" s="5" t="s">
        <v>10</v>
      </c>
      <c r="L5" s="5" t="s">
        <v>17</v>
      </c>
      <c r="M5" s="5" t="s">
        <v>11</v>
      </c>
      <c r="N5" s="5" t="s">
        <v>16</v>
      </c>
      <c r="O5" s="5" t="s">
        <v>12</v>
      </c>
      <c r="P5" s="5" t="s">
        <v>13</v>
      </c>
      <c r="Q5" s="18" t="s">
        <v>22</v>
      </c>
      <c r="R5" s="2" t="s">
        <v>21</v>
      </c>
      <c r="S5" s="2" t="s">
        <v>20</v>
      </c>
      <c r="T5" s="2" t="s">
        <v>19</v>
      </c>
    </row>
    <row r="6" spans="1:21" ht="12.75" customHeight="1">
      <c r="A6" s="19" t="s">
        <v>14</v>
      </c>
      <c r="B6" s="19"/>
      <c r="C6" s="6">
        <v>110</v>
      </c>
      <c r="D6" s="6">
        <v>80</v>
      </c>
      <c r="E6" s="6">
        <v>85</v>
      </c>
      <c r="F6" s="6">
        <v>45</v>
      </c>
      <c r="G6" s="6">
        <v>25</v>
      </c>
      <c r="H6" s="6">
        <v>1.2</v>
      </c>
      <c r="I6" s="6">
        <v>14.5</v>
      </c>
      <c r="J6" s="6">
        <v>40</v>
      </c>
      <c r="K6" s="6">
        <v>40</v>
      </c>
      <c r="L6" s="6">
        <v>25</v>
      </c>
      <c r="M6" s="6">
        <v>230</v>
      </c>
      <c r="N6" s="6">
        <v>30</v>
      </c>
      <c r="O6" s="6">
        <v>155</v>
      </c>
      <c r="P6" s="6">
        <v>63</v>
      </c>
      <c r="Q6" s="21"/>
    </row>
    <row r="7" spans="1:21" ht="15" customHeight="1">
      <c r="A7" s="10">
        <v>42556</v>
      </c>
      <c r="B7" s="10" t="s">
        <v>205</v>
      </c>
      <c r="C7" s="35"/>
      <c r="D7" s="35"/>
      <c r="E7" s="35">
        <v>6</v>
      </c>
      <c r="F7" s="35">
        <v>6</v>
      </c>
      <c r="G7" s="35"/>
      <c r="H7" s="35">
        <v>475</v>
      </c>
      <c r="I7" s="35"/>
      <c r="J7" s="35"/>
      <c r="K7" s="35"/>
      <c r="L7" s="35"/>
      <c r="M7" s="35">
        <v>2</v>
      </c>
      <c r="N7" s="35">
        <v>4</v>
      </c>
      <c r="O7" s="35"/>
      <c r="P7" s="35"/>
      <c r="Q7" s="72">
        <f t="shared" ref="Q7:Q59" si="0">(C7*$C$6)+(D7*$D$6)+(E7*$E$6)+(F7*$F$6)+(G7*$G$6)+(H7*$H$6)+(I7*$I$6)+(J7*$J$6)+(K7*$K$6)+(L7*$K$6)+(M7*$M$6)+(N7*$N$6)+(O7*$O$6)+(P7*$P$6)</f>
        <v>1930</v>
      </c>
    </row>
    <row r="8" spans="1:21" ht="15" customHeight="1">
      <c r="A8" s="10">
        <v>42557</v>
      </c>
      <c r="B8" s="10" t="s">
        <v>206</v>
      </c>
      <c r="C8" s="35"/>
      <c r="D8" s="35"/>
      <c r="E8" s="35">
        <v>8.5</v>
      </c>
      <c r="F8" s="35">
        <v>8.5</v>
      </c>
      <c r="G8" s="35">
        <v>8.5</v>
      </c>
      <c r="H8" s="35"/>
      <c r="I8" s="35"/>
      <c r="J8" s="35">
        <v>6</v>
      </c>
      <c r="K8" s="35"/>
      <c r="L8" s="35"/>
      <c r="M8" s="35">
        <v>2</v>
      </c>
      <c r="N8" s="35"/>
      <c r="O8" s="35"/>
      <c r="P8" s="35"/>
      <c r="Q8" s="72">
        <f t="shared" si="0"/>
        <v>2017.5</v>
      </c>
    </row>
    <row r="9" spans="1:21" ht="15" customHeight="1">
      <c r="A9" s="10">
        <v>42558</v>
      </c>
      <c r="B9" s="10" t="s">
        <v>207</v>
      </c>
      <c r="C9" s="35"/>
      <c r="D9" s="35"/>
      <c r="E9" s="35">
        <v>12</v>
      </c>
      <c r="F9" s="35">
        <v>12</v>
      </c>
      <c r="G9" s="35">
        <v>12</v>
      </c>
      <c r="H9" s="35"/>
      <c r="I9" s="35"/>
      <c r="J9" s="35">
        <v>11.5</v>
      </c>
      <c r="K9" s="35"/>
      <c r="L9" s="35"/>
      <c r="M9" s="35">
        <v>2</v>
      </c>
      <c r="N9" s="35"/>
      <c r="O9" s="35"/>
      <c r="P9" s="35"/>
      <c r="Q9" s="72">
        <f t="shared" si="0"/>
        <v>2780</v>
      </c>
    </row>
    <row r="10" spans="1:21" ht="15" customHeight="1">
      <c r="A10" s="10">
        <v>42559</v>
      </c>
      <c r="B10" s="10" t="s">
        <v>115</v>
      </c>
      <c r="C10" s="35"/>
      <c r="D10" s="35"/>
      <c r="E10" s="35">
        <v>24</v>
      </c>
      <c r="F10" s="35">
        <v>24</v>
      </c>
      <c r="G10" s="35">
        <v>24</v>
      </c>
      <c r="H10" s="35"/>
      <c r="I10" s="35"/>
      <c r="J10" s="35">
        <v>20.5</v>
      </c>
      <c r="K10" s="35"/>
      <c r="L10" s="35"/>
      <c r="M10" s="35">
        <v>4</v>
      </c>
      <c r="N10" s="35"/>
      <c r="O10" s="35"/>
      <c r="P10" s="35"/>
      <c r="Q10" s="72">
        <f t="shared" si="0"/>
        <v>5460</v>
      </c>
    </row>
    <row r="11" spans="1:21" ht="15" customHeight="1">
      <c r="A11" s="10">
        <v>42560</v>
      </c>
      <c r="B11" s="10" t="s">
        <v>114</v>
      </c>
      <c r="C11" s="35"/>
      <c r="D11" s="35"/>
      <c r="E11" s="35">
        <v>23.5</v>
      </c>
      <c r="F11" s="35">
        <v>23.5</v>
      </c>
      <c r="G11" s="35">
        <v>23.5</v>
      </c>
      <c r="H11" s="35"/>
      <c r="I11" s="35"/>
      <c r="J11" s="35">
        <v>22</v>
      </c>
      <c r="K11" s="35"/>
      <c r="L11" s="35"/>
      <c r="M11" s="35">
        <v>4</v>
      </c>
      <c r="N11" s="35"/>
      <c r="O11" s="35"/>
      <c r="P11" s="35"/>
      <c r="Q11" s="72">
        <f t="shared" si="0"/>
        <v>5442.5</v>
      </c>
    </row>
    <row r="12" spans="1:21" s="137" customFormat="1" ht="15" customHeight="1">
      <c r="A12" s="10">
        <v>42561</v>
      </c>
      <c r="B12" s="10" t="s">
        <v>113</v>
      </c>
      <c r="C12" s="135"/>
      <c r="D12" s="135"/>
      <c r="E12" s="135">
        <v>21.5</v>
      </c>
      <c r="F12" s="135">
        <v>21.5</v>
      </c>
      <c r="G12" s="135">
        <v>21.5</v>
      </c>
      <c r="H12" s="135"/>
      <c r="I12" s="135"/>
      <c r="J12" s="135">
        <v>20</v>
      </c>
      <c r="K12" s="135"/>
      <c r="L12" s="135"/>
      <c r="M12" s="135">
        <v>4</v>
      </c>
      <c r="N12" s="135"/>
      <c r="O12" s="135"/>
      <c r="P12" s="135"/>
      <c r="Q12" s="136">
        <f t="shared" si="0"/>
        <v>5052.5</v>
      </c>
    </row>
    <row r="13" spans="1:21" ht="15" customHeight="1">
      <c r="A13" s="10">
        <v>42562</v>
      </c>
      <c r="B13" s="10" t="s">
        <v>112</v>
      </c>
      <c r="C13" s="35"/>
      <c r="D13" s="35"/>
      <c r="E13" s="35">
        <v>12</v>
      </c>
      <c r="F13" s="35">
        <v>12</v>
      </c>
      <c r="G13" s="35">
        <v>12</v>
      </c>
      <c r="H13" s="35"/>
      <c r="I13" s="35"/>
      <c r="J13" s="35">
        <v>11.5</v>
      </c>
      <c r="K13" s="35"/>
      <c r="L13" s="35"/>
      <c r="M13" s="35">
        <v>2</v>
      </c>
      <c r="N13" s="35"/>
      <c r="O13" s="35"/>
      <c r="P13" s="35"/>
      <c r="Q13" s="72">
        <f t="shared" si="0"/>
        <v>2780</v>
      </c>
    </row>
    <row r="14" spans="1:21" ht="15" customHeight="1">
      <c r="A14" s="10">
        <v>42563</v>
      </c>
      <c r="B14" s="10" t="s">
        <v>111</v>
      </c>
      <c r="C14" s="35"/>
      <c r="D14" s="35"/>
      <c r="E14" s="35">
        <v>11</v>
      </c>
      <c r="F14" s="35">
        <v>11</v>
      </c>
      <c r="G14" s="35">
        <v>11</v>
      </c>
      <c r="H14" s="35"/>
      <c r="I14" s="35"/>
      <c r="J14" s="35">
        <v>10.5</v>
      </c>
      <c r="K14" s="35"/>
      <c r="L14" s="35"/>
      <c r="M14" s="35">
        <v>2</v>
      </c>
      <c r="N14" s="35"/>
      <c r="O14" s="35"/>
      <c r="P14" s="35"/>
      <c r="Q14" s="72">
        <f t="shared" si="0"/>
        <v>2585</v>
      </c>
    </row>
    <row r="15" spans="1:21" ht="15" customHeight="1">
      <c r="A15" s="10">
        <v>42564</v>
      </c>
      <c r="B15" s="10" t="s">
        <v>110</v>
      </c>
      <c r="C15" s="35"/>
      <c r="D15" s="35"/>
      <c r="E15" s="35">
        <v>9.5</v>
      </c>
      <c r="F15" s="35">
        <v>9.5</v>
      </c>
      <c r="G15" s="35">
        <v>9.5</v>
      </c>
      <c r="H15" s="35"/>
      <c r="I15" s="35">
        <v>17</v>
      </c>
      <c r="J15" s="35">
        <v>8.5</v>
      </c>
      <c r="K15" s="35"/>
      <c r="L15" s="35"/>
      <c r="M15" s="35">
        <v>2</v>
      </c>
      <c r="N15" s="35"/>
      <c r="O15" s="35"/>
      <c r="P15" s="35"/>
      <c r="Q15" s="72">
        <f t="shared" si="0"/>
        <v>2519</v>
      </c>
      <c r="R15" s="1" t="s">
        <v>4</v>
      </c>
      <c r="S15" s="1" t="s">
        <v>4</v>
      </c>
      <c r="T15" s="1" t="s">
        <v>4</v>
      </c>
      <c r="U15" s="1" t="s">
        <v>4</v>
      </c>
    </row>
    <row r="16" spans="1:21" ht="15" customHeight="1">
      <c r="A16" s="10">
        <v>42565</v>
      </c>
      <c r="B16" s="10" t="s">
        <v>109</v>
      </c>
      <c r="C16" s="35"/>
      <c r="D16" s="35"/>
      <c r="E16" s="35">
        <v>11.5</v>
      </c>
      <c r="F16" s="35">
        <v>11.5</v>
      </c>
      <c r="G16" s="35">
        <v>11.5</v>
      </c>
      <c r="H16" s="35"/>
      <c r="I16" s="35">
        <v>21</v>
      </c>
      <c r="J16" s="35">
        <v>10.5</v>
      </c>
      <c r="K16" s="35"/>
      <c r="L16" s="35"/>
      <c r="M16" s="35">
        <v>2</v>
      </c>
      <c r="N16" s="35"/>
      <c r="O16" s="35"/>
      <c r="P16" s="35"/>
      <c r="Q16" s="72">
        <f t="shared" si="0"/>
        <v>2967</v>
      </c>
    </row>
    <row r="17" spans="1:22" ht="15" customHeight="1">
      <c r="A17" s="10" t="s">
        <v>25</v>
      </c>
      <c r="B17" s="10" t="s">
        <v>119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>
        <v>4</v>
      </c>
      <c r="Q17" s="72">
        <f t="shared" ref="Q17:Q19" si="1">(C17*$C$6)+(D17*$D$6)+(E17*$E$6)+(F17*$F$6)+(G17*$G$6)+(H17*$H$6)+(I17*$I$6)+(J17*$J$6)+(K17*$K$6)+(L17*$K$6)+(M17*$M$6)+(N17*$N$6)+(O17*$O$6)+(P17*$P$6)</f>
        <v>252</v>
      </c>
    </row>
    <row r="18" spans="1:22" ht="15" customHeight="1">
      <c r="A18" s="10" t="s">
        <v>26</v>
      </c>
      <c r="B18" s="10" t="s">
        <v>120</v>
      </c>
      <c r="C18" s="35"/>
      <c r="D18" s="35">
        <v>10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>
        <v>8</v>
      </c>
      <c r="P18" s="35">
        <v>6.5</v>
      </c>
      <c r="Q18" s="72">
        <f t="shared" si="1"/>
        <v>2449.5</v>
      </c>
    </row>
    <row r="19" spans="1:22" ht="15" customHeight="1" thickBot="1">
      <c r="A19" s="11" t="s">
        <v>28</v>
      </c>
      <c r="B19" s="11" t="s">
        <v>121</v>
      </c>
      <c r="C19" s="75"/>
      <c r="D19" s="75">
        <v>7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6">
        <f t="shared" si="1"/>
        <v>560</v>
      </c>
      <c r="R19" s="1" t="s">
        <v>4</v>
      </c>
      <c r="S19" s="1" t="s">
        <v>4</v>
      </c>
      <c r="T19" s="1" t="s">
        <v>4</v>
      </c>
      <c r="U19" s="1" t="s">
        <v>4</v>
      </c>
      <c r="V19" s="102" t="s">
        <v>4</v>
      </c>
    </row>
    <row r="20" spans="1:22" ht="15" customHeight="1">
      <c r="A20" s="26">
        <v>42597</v>
      </c>
      <c r="B20" s="26" t="s">
        <v>106</v>
      </c>
      <c r="C20" s="67"/>
      <c r="D20" s="67"/>
      <c r="E20" s="67">
        <v>12</v>
      </c>
      <c r="F20" s="67">
        <v>12</v>
      </c>
      <c r="G20" s="67">
        <v>12</v>
      </c>
      <c r="H20" s="67"/>
      <c r="I20" s="67"/>
      <c r="J20" s="67">
        <v>12</v>
      </c>
      <c r="K20" s="67"/>
      <c r="L20" s="67"/>
      <c r="M20" s="67">
        <v>2</v>
      </c>
      <c r="N20" s="67"/>
      <c r="O20" s="67"/>
      <c r="P20" s="67"/>
      <c r="Q20" s="68">
        <f t="shared" si="0"/>
        <v>2800</v>
      </c>
    </row>
    <row r="21" spans="1:22" ht="15" customHeight="1">
      <c r="A21" s="10">
        <v>42598</v>
      </c>
      <c r="B21" s="10" t="s">
        <v>107</v>
      </c>
      <c r="C21" s="35"/>
      <c r="D21" s="35"/>
      <c r="E21" s="35">
        <v>12</v>
      </c>
      <c r="F21" s="35">
        <v>12</v>
      </c>
      <c r="G21" s="35">
        <v>12</v>
      </c>
      <c r="H21" s="35"/>
      <c r="I21" s="35"/>
      <c r="J21" s="35">
        <v>12</v>
      </c>
      <c r="K21" s="35"/>
      <c r="L21" s="35"/>
      <c r="M21" s="35">
        <v>2</v>
      </c>
      <c r="N21" s="35"/>
      <c r="O21" s="35"/>
      <c r="P21" s="35"/>
      <c r="Q21" s="72">
        <f t="shared" si="0"/>
        <v>2800</v>
      </c>
    </row>
    <row r="22" spans="1:22" ht="15" customHeight="1">
      <c r="A22" s="10">
        <v>42599</v>
      </c>
      <c r="B22" s="10" t="s">
        <v>108</v>
      </c>
      <c r="C22" s="35"/>
      <c r="D22" s="35"/>
      <c r="E22" s="35">
        <v>12</v>
      </c>
      <c r="F22" s="35">
        <v>12</v>
      </c>
      <c r="G22" s="35">
        <v>12</v>
      </c>
      <c r="H22" s="35"/>
      <c r="I22" s="35"/>
      <c r="J22" s="35">
        <v>12</v>
      </c>
      <c r="K22" s="35"/>
      <c r="L22" s="35"/>
      <c r="M22" s="35">
        <v>2</v>
      </c>
      <c r="N22" s="35"/>
      <c r="O22" s="35"/>
      <c r="P22" s="35"/>
      <c r="Q22" s="72">
        <f t="shared" si="0"/>
        <v>2800</v>
      </c>
    </row>
    <row r="23" spans="1:22" s="61" customFormat="1" ht="15" customHeight="1">
      <c r="A23" s="34">
        <v>42600</v>
      </c>
      <c r="B23" s="34"/>
      <c r="C23" s="35"/>
      <c r="D23" s="35"/>
      <c r="E23" s="35">
        <v>12</v>
      </c>
      <c r="F23" s="35">
        <v>12</v>
      </c>
      <c r="G23" s="35">
        <v>12</v>
      </c>
      <c r="H23" s="35"/>
      <c r="I23" s="35"/>
      <c r="J23" s="35">
        <v>12</v>
      </c>
      <c r="K23" s="35"/>
      <c r="L23" s="35"/>
      <c r="M23" s="35">
        <v>2</v>
      </c>
      <c r="N23" s="35"/>
      <c r="O23" s="35"/>
      <c r="P23" s="35"/>
      <c r="Q23" s="72">
        <f t="shared" si="0"/>
        <v>2800</v>
      </c>
    </row>
    <row r="24" spans="1:22" s="61" customFormat="1" ht="15" customHeight="1">
      <c r="A24" s="34">
        <v>42601</v>
      </c>
      <c r="B24" s="34"/>
      <c r="C24" s="35"/>
      <c r="D24" s="35"/>
      <c r="E24" s="35">
        <v>12</v>
      </c>
      <c r="F24" s="35">
        <v>12</v>
      </c>
      <c r="G24" s="35">
        <v>12</v>
      </c>
      <c r="H24" s="35"/>
      <c r="I24" s="35"/>
      <c r="J24" s="35">
        <v>12</v>
      </c>
      <c r="K24" s="35"/>
      <c r="L24" s="35"/>
      <c r="M24" s="35">
        <v>2</v>
      </c>
      <c r="N24" s="35"/>
      <c r="O24" s="35"/>
      <c r="P24" s="35"/>
      <c r="Q24" s="72">
        <f t="shared" si="0"/>
        <v>2800</v>
      </c>
    </row>
    <row r="25" spans="1:22" s="61" customFormat="1" ht="15" customHeight="1">
      <c r="A25" s="34">
        <v>42602</v>
      </c>
      <c r="B25" s="34"/>
      <c r="C25" s="35"/>
      <c r="D25" s="35"/>
      <c r="E25" s="35">
        <v>12</v>
      </c>
      <c r="F25" s="35">
        <v>12</v>
      </c>
      <c r="G25" s="35">
        <v>12</v>
      </c>
      <c r="H25" s="35"/>
      <c r="I25" s="35"/>
      <c r="J25" s="35">
        <v>12</v>
      </c>
      <c r="K25" s="35"/>
      <c r="L25" s="35"/>
      <c r="M25" s="35">
        <v>2</v>
      </c>
      <c r="N25" s="35"/>
      <c r="O25" s="35"/>
      <c r="P25" s="35"/>
      <c r="Q25" s="72">
        <f t="shared" si="0"/>
        <v>2800</v>
      </c>
    </row>
    <row r="26" spans="1:22" s="61" customFormat="1" ht="15" customHeight="1">
      <c r="A26" s="34">
        <v>42603</v>
      </c>
      <c r="B26" s="34"/>
      <c r="C26" s="35"/>
      <c r="D26" s="35"/>
      <c r="E26" s="35">
        <v>10.5</v>
      </c>
      <c r="F26" s="35">
        <v>10.5</v>
      </c>
      <c r="G26" s="35">
        <v>10.5</v>
      </c>
      <c r="H26" s="35"/>
      <c r="I26" s="35"/>
      <c r="J26" s="35">
        <v>10.5</v>
      </c>
      <c r="K26" s="35"/>
      <c r="L26" s="35"/>
      <c r="M26" s="35">
        <v>2</v>
      </c>
      <c r="N26" s="35"/>
      <c r="O26" s="35"/>
      <c r="P26" s="35"/>
      <c r="Q26" s="72">
        <f t="shared" si="0"/>
        <v>2507.5</v>
      </c>
    </row>
    <row r="27" spans="1:22" s="61" customFormat="1" ht="15" customHeight="1">
      <c r="A27" s="34">
        <v>42604</v>
      </c>
      <c r="B27" s="34"/>
      <c r="C27" s="35"/>
      <c r="D27" s="35"/>
      <c r="E27" s="35">
        <v>10.5</v>
      </c>
      <c r="F27" s="35">
        <v>10.5</v>
      </c>
      <c r="G27" s="35">
        <v>10.5</v>
      </c>
      <c r="H27" s="35"/>
      <c r="I27" s="35"/>
      <c r="J27" s="35">
        <v>10.5</v>
      </c>
      <c r="K27" s="35"/>
      <c r="L27" s="35"/>
      <c r="M27" s="35">
        <v>2</v>
      </c>
      <c r="N27" s="35"/>
      <c r="O27" s="35"/>
      <c r="P27" s="35"/>
      <c r="Q27" s="72">
        <f t="shared" si="0"/>
        <v>2507.5</v>
      </c>
    </row>
    <row r="28" spans="1:22" s="61" customFormat="1" ht="15" customHeight="1">
      <c r="A28" s="34">
        <v>42605</v>
      </c>
      <c r="B28" s="34"/>
      <c r="C28" s="35"/>
      <c r="D28" s="35"/>
      <c r="E28" s="35">
        <v>10.5</v>
      </c>
      <c r="F28" s="35">
        <v>10.5</v>
      </c>
      <c r="G28" s="35">
        <v>10.5</v>
      </c>
      <c r="H28" s="35"/>
      <c r="I28" s="35"/>
      <c r="J28" s="35">
        <v>10.5</v>
      </c>
      <c r="K28" s="35"/>
      <c r="L28" s="35"/>
      <c r="M28" s="35">
        <v>2</v>
      </c>
      <c r="N28" s="35"/>
      <c r="O28" s="35"/>
      <c r="P28" s="35"/>
      <c r="Q28" s="72">
        <f t="shared" si="0"/>
        <v>2507.5</v>
      </c>
    </row>
    <row r="29" spans="1:22" s="61" customFormat="1" ht="15" customHeight="1">
      <c r="A29" s="34">
        <v>42606</v>
      </c>
      <c r="B29" s="34"/>
      <c r="C29" s="35"/>
      <c r="D29" s="35"/>
      <c r="E29" s="35">
        <v>12.5</v>
      </c>
      <c r="F29" s="35">
        <v>12.5</v>
      </c>
      <c r="G29" s="35">
        <v>12.5</v>
      </c>
      <c r="H29" s="35"/>
      <c r="I29" s="35"/>
      <c r="J29" s="35">
        <v>12.5</v>
      </c>
      <c r="K29" s="35"/>
      <c r="L29" s="35"/>
      <c r="M29" s="35">
        <v>2</v>
      </c>
      <c r="N29" s="35"/>
      <c r="O29" s="35"/>
      <c r="P29" s="35"/>
      <c r="Q29" s="72">
        <f t="shared" si="0"/>
        <v>2897.5</v>
      </c>
    </row>
    <row r="30" spans="1:22" s="61" customFormat="1" ht="15" customHeight="1">
      <c r="A30" s="34">
        <v>42607</v>
      </c>
      <c r="B30" s="34"/>
      <c r="C30" s="35"/>
      <c r="D30" s="35"/>
      <c r="E30" s="35">
        <v>12</v>
      </c>
      <c r="F30" s="35">
        <v>12</v>
      </c>
      <c r="G30" s="35">
        <v>12</v>
      </c>
      <c r="H30" s="35"/>
      <c r="I30" s="35"/>
      <c r="J30" s="35">
        <v>12</v>
      </c>
      <c r="K30" s="35"/>
      <c r="L30" s="35"/>
      <c r="M30" s="35">
        <v>2</v>
      </c>
      <c r="N30" s="35"/>
      <c r="O30" s="35"/>
      <c r="P30" s="35"/>
      <c r="Q30" s="72">
        <f t="shared" si="0"/>
        <v>2800</v>
      </c>
    </row>
    <row r="31" spans="1:22" s="61" customFormat="1" ht="15" customHeight="1">
      <c r="A31" s="34">
        <v>42608</v>
      </c>
      <c r="B31" s="34"/>
      <c r="C31" s="35"/>
      <c r="D31" s="35"/>
      <c r="E31" s="35">
        <v>12</v>
      </c>
      <c r="F31" s="35">
        <v>12</v>
      </c>
      <c r="G31" s="35">
        <v>12</v>
      </c>
      <c r="H31" s="35"/>
      <c r="I31" s="35"/>
      <c r="J31" s="35">
        <v>12</v>
      </c>
      <c r="K31" s="35"/>
      <c r="L31" s="35"/>
      <c r="M31" s="35">
        <v>2</v>
      </c>
      <c r="N31" s="35"/>
      <c r="O31" s="35"/>
      <c r="P31" s="35"/>
      <c r="Q31" s="72">
        <f t="shared" si="0"/>
        <v>2800</v>
      </c>
    </row>
    <row r="32" spans="1:22" s="61" customFormat="1" ht="15" customHeight="1">
      <c r="A32" s="34">
        <v>42609</v>
      </c>
      <c r="B32" s="34"/>
      <c r="C32" s="35"/>
      <c r="D32" s="35"/>
      <c r="E32" s="35">
        <v>11.5</v>
      </c>
      <c r="F32" s="35">
        <v>11.5</v>
      </c>
      <c r="G32" s="35">
        <v>11.5</v>
      </c>
      <c r="H32" s="35"/>
      <c r="I32" s="35"/>
      <c r="J32" s="35">
        <v>11.5</v>
      </c>
      <c r="K32" s="35"/>
      <c r="L32" s="35"/>
      <c r="M32" s="35">
        <v>2</v>
      </c>
      <c r="N32" s="35"/>
      <c r="O32" s="35"/>
      <c r="P32" s="35"/>
      <c r="Q32" s="72">
        <f t="shared" ref="Q32" si="2">(C32*$C$6)+(D32*$D$6)+(E32*$E$6)+(F32*$F$6)+(G32*$G$6)+(H32*$H$6)+(I32*$I$6)+(J32*$J$6)+(K32*$K$6)+(L32*$K$6)+(M32*$M$6)+(N32*$N$6)+(O32*$O$6)+(P32*$P$6)</f>
        <v>2702.5</v>
      </c>
    </row>
    <row r="33" spans="1:17" s="61" customFormat="1" ht="15" customHeight="1">
      <c r="A33" s="34">
        <v>42610</v>
      </c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>
        <v>2</v>
      </c>
      <c r="N33" s="35"/>
      <c r="O33" s="35"/>
      <c r="P33" s="35"/>
      <c r="Q33" s="72">
        <f t="shared" si="0"/>
        <v>460</v>
      </c>
    </row>
    <row r="34" spans="1:17" s="61" customFormat="1" ht="15" customHeight="1">
      <c r="A34" s="34">
        <v>42611</v>
      </c>
      <c r="B34" s="34"/>
      <c r="C34" s="35"/>
      <c r="D34" s="35"/>
      <c r="E34" s="35">
        <v>12.5</v>
      </c>
      <c r="F34" s="35">
        <v>12.5</v>
      </c>
      <c r="G34" s="35">
        <v>12.5</v>
      </c>
      <c r="H34" s="35"/>
      <c r="I34" s="35"/>
      <c r="J34" s="35">
        <v>12.5</v>
      </c>
      <c r="K34" s="35"/>
      <c r="L34" s="35"/>
      <c r="M34" s="35">
        <v>2</v>
      </c>
      <c r="N34" s="35"/>
      <c r="O34" s="35"/>
      <c r="P34" s="35"/>
      <c r="Q34" s="72">
        <f t="shared" si="0"/>
        <v>2897.5</v>
      </c>
    </row>
    <row r="35" spans="1:17" s="61" customFormat="1" ht="15" customHeight="1">
      <c r="A35" s="34">
        <v>42612</v>
      </c>
      <c r="B35" s="34"/>
      <c r="C35" s="35"/>
      <c r="D35" s="35"/>
      <c r="E35" s="35">
        <v>12.5</v>
      </c>
      <c r="F35" s="35">
        <v>12.5</v>
      </c>
      <c r="G35" s="35">
        <v>12.5</v>
      </c>
      <c r="H35" s="35"/>
      <c r="I35" s="35"/>
      <c r="J35" s="35">
        <v>12.5</v>
      </c>
      <c r="K35" s="35"/>
      <c r="L35" s="35"/>
      <c r="M35" s="35">
        <v>2</v>
      </c>
      <c r="N35" s="35"/>
      <c r="O35" s="35"/>
      <c r="P35" s="35"/>
      <c r="Q35" s="72">
        <f t="shared" si="0"/>
        <v>2897.5</v>
      </c>
    </row>
    <row r="36" spans="1:17" s="61" customFormat="1" ht="15" customHeight="1">
      <c r="A36" s="34">
        <v>42613</v>
      </c>
      <c r="B36" s="34"/>
      <c r="C36" s="35"/>
      <c r="D36" s="35"/>
      <c r="E36" s="35">
        <v>12.5</v>
      </c>
      <c r="F36" s="35">
        <v>12.5</v>
      </c>
      <c r="G36" s="35">
        <v>12.5</v>
      </c>
      <c r="H36" s="35"/>
      <c r="I36" s="35"/>
      <c r="J36" s="35">
        <v>12.5</v>
      </c>
      <c r="K36" s="35"/>
      <c r="L36" s="35"/>
      <c r="M36" s="35">
        <v>2</v>
      </c>
      <c r="N36" s="35"/>
      <c r="O36" s="35"/>
      <c r="P36" s="35"/>
      <c r="Q36" s="72">
        <f t="shared" si="0"/>
        <v>2897.5</v>
      </c>
    </row>
    <row r="37" spans="1:17" s="61" customFormat="1" ht="15" customHeight="1">
      <c r="A37" s="34">
        <v>42614</v>
      </c>
      <c r="B37" s="34"/>
      <c r="C37" s="35"/>
      <c r="D37" s="35"/>
      <c r="E37" s="35">
        <v>6</v>
      </c>
      <c r="F37" s="35">
        <v>6</v>
      </c>
      <c r="G37" s="35">
        <v>6</v>
      </c>
      <c r="H37" s="35"/>
      <c r="I37" s="35"/>
      <c r="J37" s="35">
        <v>6</v>
      </c>
      <c r="K37" s="35"/>
      <c r="L37" s="35"/>
      <c r="M37" s="35">
        <v>2</v>
      </c>
      <c r="N37" s="35"/>
      <c r="O37" s="35"/>
      <c r="P37" s="35"/>
      <c r="Q37" s="72">
        <f t="shared" si="0"/>
        <v>1630</v>
      </c>
    </row>
    <row r="38" spans="1:17" s="61" customFormat="1" ht="15" customHeight="1">
      <c r="A38" s="34">
        <v>42615</v>
      </c>
      <c r="B38" s="34"/>
      <c r="C38" s="35"/>
      <c r="D38" s="35"/>
      <c r="E38" s="35">
        <v>6</v>
      </c>
      <c r="F38" s="35">
        <v>6</v>
      </c>
      <c r="G38" s="35">
        <v>6</v>
      </c>
      <c r="H38" s="35"/>
      <c r="I38" s="35"/>
      <c r="J38" s="35">
        <v>6</v>
      </c>
      <c r="K38" s="35"/>
      <c r="L38" s="35"/>
      <c r="M38" s="35">
        <v>2</v>
      </c>
      <c r="N38" s="35"/>
      <c r="O38" s="35"/>
      <c r="P38" s="35"/>
      <c r="Q38" s="72">
        <f t="shared" si="0"/>
        <v>1630</v>
      </c>
    </row>
    <row r="39" spans="1:17" s="61" customFormat="1" ht="15" customHeight="1">
      <c r="A39" s="34">
        <v>42616</v>
      </c>
      <c r="B39" s="34"/>
      <c r="C39" s="35"/>
      <c r="D39" s="35"/>
      <c r="E39" s="35">
        <v>6</v>
      </c>
      <c r="F39" s="35">
        <v>6</v>
      </c>
      <c r="G39" s="35">
        <v>6</v>
      </c>
      <c r="H39" s="35"/>
      <c r="I39" s="35"/>
      <c r="J39" s="35">
        <v>6</v>
      </c>
      <c r="K39" s="35"/>
      <c r="L39" s="35"/>
      <c r="M39" s="35">
        <v>2</v>
      </c>
      <c r="N39" s="35"/>
      <c r="O39" s="35"/>
      <c r="P39" s="35"/>
      <c r="Q39" s="72">
        <f t="shared" si="0"/>
        <v>1630</v>
      </c>
    </row>
    <row r="40" spans="1:17" s="61" customFormat="1" ht="15" customHeight="1">
      <c r="A40" s="34">
        <v>42617</v>
      </c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>
        <v>2</v>
      </c>
      <c r="N40" s="35"/>
      <c r="O40" s="35"/>
      <c r="P40" s="35"/>
      <c r="Q40" s="72">
        <f t="shared" si="0"/>
        <v>460</v>
      </c>
    </row>
    <row r="41" spans="1:17" ht="15" customHeight="1">
      <c r="A41" s="34">
        <v>42618</v>
      </c>
      <c r="B41" s="10"/>
      <c r="C41" s="7"/>
      <c r="D41" s="7"/>
      <c r="E41" s="35">
        <v>12</v>
      </c>
      <c r="F41" s="35">
        <v>12</v>
      </c>
      <c r="G41" s="35">
        <v>12</v>
      </c>
      <c r="H41" s="35"/>
      <c r="I41" s="35"/>
      <c r="J41" s="35">
        <v>12</v>
      </c>
      <c r="K41" s="35"/>
      <c r="L41" s="35"/>
      <c r="M41" s="35">
        <v>2</v>
      </c>
      <c r="N41" s="7"/>
      <c r="O41" s="7"/>
      <c r="P41" s="7"/>
      <c r="Q41" s="72">
        <f t="shared" si="0"/>
        <v>2800</v>
      </c>
    </row>
    <row r="42" spans="1:17" ht="15" customHeight="1">
      <c r="A42" s="73">
        <v>42619</v>
      </c>
      <c r="B42" s="32"/>
      <c r="C42" s="33"/>
      <c r="D42" s="33"/>
      <c r="E42" s="35">
        <v>14</v>
      </c>
      <c r="F42" s="35">
        <v>14</v>
      </c>
      <c r="G42" s="35">
        <v>14</v>
      </c>
      <c r="H42" s="35"/>
      <c r="I42" s="35"/>
      <c r="J42" s="35">
        <v>14</v>
      </c>
      <c r="K42" s="35"/>
      <c r="L42" s="35"/>
      <c r="M42" s="35">
        <v>2</v>
      </c>
      <c r="N42" s="33"/>
      <c r="O42" s="33"/>
      <c r="P42" s="33"/>
      <c r="Q42" s="72">
        <f t="shared" si="0"/>
        <v>3190</v>
      </c>
    </row>
    <row r="43" spans="1:17" ht="15" customHeight="1">
      <c r="A43" s="73">
        <v>42620</v>
      </c>
      <c r="B43" s="32"/>
      <c r="C43" s="33"/>
      <c r="D43" s="33"/>
      <c r="E43" s="74">
        <v>12</v>
      </c>
      <c r="F43" s="74">
        <v>12</v>
      </c>
      <c r="G43" s="74">
        <v>12</v>
      </c>
      <c r="H43" s="74"/>
      <c r="I43" s="74"/>
      <c r="J43" s="74">
        <v>12</v>
      </c>
      <c r="K43" s="74"/>
      <c r="L43" s="74"/>
      <c r="M43" s="74">
        <v>2</v>
      </c>
      <c r="N43" s="74"/>
      <c r="O43" s="33"/>
      <c r="P43" s="33"/>
      <c r="Q43" s="72">
        <f t="shared" si="0"/>
        <v>2800</v>
      </c>
    </row>
    <row r="44" spans="1:17" ht="15" customHeight="1">
      <c r="A44" s="73">
        <v>42621</v>
      </c>
      <c r="B44" s="32"/>
      <c r="C44" s="33"/>
      <c r="D44" s="33"/>
      <c r="E44" s="74">
        <v>12</v>
      </c>
      <c r="F44" s="74">
        <v>12</v>
      </c>
      <c r="G44" s="74">
        <v>12</v>
      </c>
      <c r="H44" s="74"/>
      <c r="I44" s="74"/>
      <c r="J44" s="74">
        <v>12</v>
      </c>
      <c r="K44" s="74"/>
      <c r="L44" s="74"/>
      <c r="M44" s="74">
        <v>2</v>
      </c>
      <c r="N44" s="74"/>
      <c r="O44" s="33"/>
      <c r="P44" s="33"/>
      <c r="Q44" s="72">
        <f t="shared" si="0"/>
        <v>2800</v>
      </c>
    </row>
    <row r="45" spans="1:17" ht="15" customHeight="1">
      <c r="A45" s="73">
        <v>42622</v>
      </c>
      <c r="B45" s="32"/>
      <c r="C45" s="33"/>
      <c r="D45" s="33"/>
      <c r="E45" s="74">
        <v>12</v>
      </c>
      <c r="F45" s="74">
        <v>12</v>
      </c>
      <c r="G45" s="74">
        <v>12</v>
      </c>
      <c r="H45" s="74"/>
      <c r="I45" s="74"/>
      <c r="J45" s="74">
        <v>12</v>
      </c>
      <c r="K45" s="74"/>
      <c r="L45" s="74"/>
      <c r="M45" s="74">
        <v>2</v>
      </c>
      <c r="N45" s="74"/>
      <c r="O45" s="33"/>
      <c r="P45" s="33"/>
      <c r="Q45" s="72">
        <f t="shared" si="0"/>
        <v>2800</v>
      </c>
    </row>
    <row r="46" spans="1:17" ht="15" customHeight="1">
      <c r="A46" s="73">
        <v>42623</v>
      </c>
      <c r="B46" s="32"/>
      <c r="C46" s="33"/>
      <c r="D46" s="33"/>
      <c r="E46" s="74">
        <v>4</v>
      </c>
      <c r="F46" s="74">
        <v>4</v>
      </c>
      <c r="G46" s="74">
        <v>4</v>
      </c>
      <c r="H46" s="74"/>
      <c r="I46" s="74"/>
      <c r="J46" s="74">
        <v>4</v>
      </c>
      <c r="K46" s="74"/>
      <c r="L46" s="74"/>
      <c r="M46" s="74">
        <v>2</v>
      </c>
      <c r="N46" s="74"/>
      <c r="O46" s="33"/>
      <c r="P46" s="33"/>
      <c r="Q46" s="72">
        <f t="shared" si="0"/>
        <v>1240</v>
      </c>
    </row>
    <row r="47" spans="1:17" ht="15" customHeight="1">
      <c r="A47" s="73">
        <v>42624</v>
      </c>
      <c r="B47" s="32"/>
      <c r="C47" s="33"/>
      <c r="D47" s="33"/>
      <c r="E47" s="74"/>
      <c r="F47" s="74"/>
      <c r="G47" s="74"/>
      <c r="H47" s="74"/>
      <c r="I47" s="74"/>
      <c r="J47" s="74"/>
      <c r="K47" s="74"/>
      <c r="L47" s="74"/>
      <c r="M47" s="74">
        <v>2</v>
      </c>
      <c r="N47" s="74"/>
      <c r="O47" s="33"/>
      <c r="P47" s="33"/>
      <c r="Q47" s="72">
        <f t="shared" si="0"/>
        <v>460</v>
      </c>
    </row>
    <row r="48" spans="1:17" ht="15" customHeight="1">
      <c r="A48" s="73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72">
        <f t="shared" si="0"/>
        <v>0</v>
      </c>
    </row>
    <row r="49" spans="1:20" ht="15" customHeight="1">
      <c r="A49" s="73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72">
        <f t="shared" si="0"/>
        <v>0</v>
      </c>
    </row>
    <row r="50" spans="1:20" ht="15" customHeight="1">
      <c r="A50" s="73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72">
        <f t="shared" si="0"/>
        <v>0</v>
      </c>
    </row>
    <row r="51" spans="1:20" ht="15" customHeight="1">
      <c r="A51" s="73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72">
        <f t="shared" ref="Q51:Q58" si="3">(C51*$C$6)+(D51*$D$6)+(E51*$E$6)+(F51*$F$6)+(G51*$G$6)+(H51*$H$6)+(I51*$I$6)+(J51*$J$6)+(K51*$K$6)+(L51*$K$6)+(M51*$M$6)+(N51*$N$6)+(O51*$O$6)+(P51*$P$6)</f>
        <v>0</v>
      </c>
    </row>
    <row r="52" spans="1:20" ht="15" customHeight="1">
      <c r="A52" s="73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72">
        <f t="shared" si="3"/>
        <v>0</v>
      </c>
    </row>
    <row r="53" spans="1:20" ht="15" customHeight="1">
      <c r="A53" s="73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72">
        <f t="shared" si="3"/>
        <v>0</v>
      </c>
    </row>
    <row r="54" spans="1:20" ht="15" customHeight="1">
      <c r="A54" s="73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72">
        <f t="shared" si="3"/>
        <v>0</v>
      </c>
    </row>
    <row r="55" spans="1:20" ht="15" customHeight="1">
      <c r="A55" s="73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72">
        <f t="shared" si="3"/>
        <v>0</v>
      </c>
    </row>
    <row r="56" spans="1:20" ht="15" customHeight="1">
      <c r="A56" s="73"/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72">
        <f t="shared" si="3"/>
        <v>0</v>
      </c>
    </row>
    <row r="57" spans="1:20" ht="15" customHeight="1">
      <c r="A57" s="73"/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72">
        <f t="shared" si="3"/>
        <v>0</v>
      </c>
    </row>
    <row r="58" spans="1:20" ht="15" customHeight="1">
      <c r="A58" s="73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72">
        <f t="shared" si="3"/>
        <v>0</v>
      </c>
    </row>
    <row r="59" spans="1:20" ht="15" customHeight="1" thickBot="1">
      <c r="A59" s="11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72">
        <f t="shared" si="0"/>
        <v>0</v>
      </c>
      <c r="R59" s="17"/>
      <c r="S59" s="17"/>
      <c r="T59" s="17"/>
    </row>
    <row r="60" spans="1:20" ht="3" customHeight="1">
      <c r="A60" s="14"/>
      <c r="B60" s="36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6"/>
      <c r="R60" s="4"/>
      <c r="S60" s="4"/>
      <c r="T60" s="4"/>
    </row>
    <row r="61" spans="1:20" ht="21.75" customHeight="1">
      <c r="A61" s="1" t="s">
        <v>4</v>
      </c>
      <c r="B61" s="1"/>
      <c r="P61" s="22" t="s">
        <v>23</v>
      </c>
      <c r="Q61" s="8">
        <f>SUM(Q7:Q59)</f>
        <v>102910</v>
      </c>
      <c r="R61" s="8">
        <f>SUM(R7:R59)</f>
        <v>0</v>
      </c>
      <c r="S61" s="23" t="s">
        <v>24</v>
      </c>
    </row>
    <row r="64" spans="1:20">
      <c r="R64" s="61" t="s">
        <v>136</v>
      </c>
    </row>
    <row r="68" spans="1:20" ht="48">
      <c r="A68" s="9" t="s">
        <v>0</v>
      </c>
      <c r="B68" s="2" t="s">
        <v>44</v>
      </c>
      <c r="C68" s="5" t="s">
        <v>1</v>
      </c>
      <c r="D68" s="5" t="s">
        <v>5</v>
      </c>
      <c r="E68" s="122" t="s">
        <v>201</v>
      </c>
      <c r="F68" s="121" t="s">
        <v>202</v>
      </c>
      <c r="G68" s="5" t="s">
        <v>203</v>
      </c>
      <c r="H68" s="5" t="s">
        <v>12</v>
      </c>
      <c r="I68" s="5" t="s">
        <v>204</v>
      </c>
      <c r="J68" s="5" t="s">
        <v>50</v>
      </c>
      <c r="K68" s="18" t="s">
        <v>22</v>
      </c>
      <c r="L68" s="2" t="s">
        <v>21</v>
      </c>
      <c r="M68" s="2" t="s">
        <v>20</v>
      </c>
      <c r="N68" s="123" t="s">
        <v>19</v>
      </c>
      <c r="O68" s="125"/>
      <c r="P68" s="125"/>
      <c r="Q68" s="126"/>
      <c r="R68" s="127"/>
      <c r="S68" s="127"/>
      <c r="T68" s="127"/>
    </row>
    <row r="69" spans="1:20" ht="12.75" customHeight="1">
      <c r="A69" s="19" t="s">
        <v>14</v>
      </c>
      <c r="B69" s="19"/>
      <c r="C69" s="6">
        <v>121</v>
      </c>
      <c r="D69" s="6">
        <v>105</v>
      </c>
      <c r="E69" s="6">
        <v>210</v>
      </c>
      <c r="F69" s="6">
        <v>195</v>
      </c>
      <c r="G69" s="6">
        <v>115</v>
      </c>
      <c r="H69" s="6">
        <v>155</v>
      </c>
      <c r="I69" s="6">
        <v>56</v>
      </c>
      <c r="J69" s="6">
        <v>230</v>
      </c>
      <c r="K69" s="6"/>
      <c r="L69" s="6"/>
      <c r="M69" s="6"/>
      <c r="N69" s="124"/>
      <c r="O69" s="128"/>
      <c r="P69" s="128"/>
      <c r="Q69" s="129"/>
      <c r="R69" s="130"/>
      <c r="S69" s="130"/>
      <c r="T69" s="130"/>
    </row>
    <row r="70" spans="1:20">
      <c r="A70" s="10">
        <v>42556</v>
      </c>
      <c r="B70" s="132" t="s">
        <v>118</v>
      </c>
      <c r="E70">
        <v>6</v>
      </c>
      <c r="J70">
        <v>2</v>
      </c>
      <c r="K70" s="131">
        <f>(C70*C69)+(D70*D69)+(E70*E69)+(F70*F69)+(G70*G69)+(H70*H69)+(I70*I69)+(J70*J69)</f>
        <v>1720</v>
      </c>
    </row>
    <row r="71" spans="1:20">
      <c r="A71" s="10">
        <v>42557</v>
      </c>
      <c r="B71" s="132" t="s">
        <v>117</v>
      </c>
      <c r="E71">
        <v>8.5</v>
      </c>
      <c r="J71">
        <v>2</v>
      </c>
      <c r="K71" s="131">
        <f>(C71*C69)+(D71*D69)+(E71*E69)+(F71*F69)+(G71*G69)+(H71*H69)+(I71*I69)+(J71*J69)</f>
        <v>2245</v>
      </c>
    </row>
    <row r="72" spans="1:20">
      <c r="A72" s="10">
        <v>42558</v>
      </c>
      <c r="B72" s="132" t="s">
        <v>116</v>
      </c>
      <c r="E72">
        <v>12</v>
      </c>
      <c r="J72">
        <v>2</v>
      </c>
      <c r="K72" s="131">
        <f>(C72*C69)+(D72*D69)+(E72*E69)+(F72*F69)+(G72*G69)+(H72*H69)+(I72*I69)+(J72*J69)</f>
        <v>2980</v>
      </c>
    </row>
    <row r="73" spans="1:20">
      <c r="A73" s="10">
        <v>42559</v>
      </c>
      <c r="B73" s="132" t="s">
        <v>115</v>
      </c>
      <c r="E73">
        <v>12</v>
      </c>
      <c r="J73">
        <v>2</v>
      </c>
      <c r="K73" s="131">
        <f>E73*E69+J73*J69</f>
        <v>2980</v>
      </c>
    </row>
    <row r="74" spans="1:20">
      <c r="A74" s="10">
        <v>42560</v>
      </c>
      <c r="B74" s="132" t="s">
        <v>114</v>
      </c>
      <c r="J74">
        <v>2</v>
      </c>
      <c r="K74" s="131">
        <f>E74*E70+J74*J70</f>
        <v>4</v>
      </c>
    </row>
    <row r="75" spans="1:20">
      <c r="A75" s="10">
        <v>42561</v>
      </c>
      <c r="B75" s="132" t="s">
        <v>113</v>
      </c>
      <c r="J75">
        <v>2</v>
      </c>
      <c r="K75" s="131">
        <f t="shared" ref="K75:K79" si="4">(C75*C72)+(D75*D72)+(E75*E72)+(F75*F72)+(G75*G72)+(H75*H72)+(I75*I72)+(J75*J72)</f>
        <v>4</v>
      </c>
    </row>
    <row r="76" spans="1:20">
      <c r="A76" s="10">
        <v>42562</v>
      </c>
      <c r="B76" s="132" t="s">
        <v>112</v>
      </c>
      <c r="J76">
        <v>2</v>
      </c>
      <c r="K76" s="131">
        <f t="shared" si="4"/>
        <v>4</v>
      </c>
    </row>
    <row r="77" spans="1:20">
      <c r="A77" s="10">
        <v>42563</v>
      </c>
      <c r="B77" s="132" t="s">
        <v>111</v>
      </c>
      <c r="J77">
        <v>2</v>
      </c>
      <c r="K77" s="131">
        <f t="shared" si="4"/>
        <v>4</v>
      </c>
    </row>
    <row r="78" spans="1:20">
      <c r="A78" s="10">
        <v>42564</v>
      </c>
      <c r="B78" s="132" t="s">
        <v>110</v>
      </c>
      <c r="J78">
        <v>2</v>
      </c>
      <c r="K78" s="131">
        <f t="shared" si="4"/>
        <v>4</v>
      </c>
    </row>
    <row r="79" spans="1:20">
      <c r="A79" s="10">
        <v>42565</v>
      </c>
      <c r="B79" s="133" t="s">
        <v>109</v>
      </c>
      <c r="J79">
        <v>2</v>
      </c>
      <c r="K79" s="131">
        <f t="shared" si="4"/>
        <v>4</v>
      </c>
    </row>
    <row r="80" spans="1:20">
      <c r="B80" s="134"/>
    </row>
  </sheetData>
  <sortState ref="A1:S23">
    <sortCondition sortBy="cellColor" ref="A1"/>
  </sortState>
  <pageMargins left="0.2" right="0.2" top="0.75" bottom="0.5" header="0.3" footer="0.3"/>
  <pageSetup scale="56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T66"/>
  <sheetViews>
    <sheetView topLeftCell="A19" workbookViewId="0">
      <selection activeCell="C41" sqref="C41:E46"/>
    </sheetView>
  </sheetViews>
  <sheetFormatPr baseColWidth="10" defaultColWidth="8.83203125" defaultRowHeight="12" x14ac:dyDescent="0"/>
  <cols>
    <col min="1" max="1" width="15.5" customWidth="1"/>
    <col min="2" max="2" width="13.5" customWidth="1"/>
    <col min="5" max="5" width="9.83203125" customWidth="1"/>
    <col min="9" max="9" width="11" customWidth="1"/>
    <col min="10" max="10" width="9.6640625" customWidth="1"/>
    <col min="12" max="12" width="10.1640625" customWidth="1"/>
    <col min="17" max="17" width="11.5" customWidth="1"/>
    <col min="18" max="18" width="11.33203125" customWidth="1"/>
    <col min="19" max="19" width="13.33203125" customWidth="1"/>
    <col min="20" max="20" width="11" customWidth="1"/>
  </cols>
  <sheetData>
    <row r="1" spans="1:20">
      <c r="A1" s="30" t="s">
        <v>103</v>
      </c>
      <c r="B1" s="30"/>
    </row>
    <row r="2" spans="1:20">
      <c r="A2" s="24"/>
      <c r="B2" s="24"/>
    </row>
    <row r="3" spans="1:20">
      <c r="A3" s="31" t="s">
        <v>30</v>
      </c>
      <c r="B3" s="31"/>
    </row>
    <row r="5" spans="1:20" ht="44">
      <c r="A5" s="9" t="s">
        <v>0</v>
      </c>
      <c r="B5" s="2" t="s">
        <v>44</v>
      </c>
      <c r="C5" s="5" t="s">
        <v>1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15</v>
      </c>
      <c r="I5" s="5" t="s">
        <v>9</v>
      </c>
      <c r="J5" s="5" t="s">
        <v>18</v>
      </c>
      <c r="K5" s="5" t="s">
        <v>10</v>
      </c>
      <c r="L5" s="5" t="s">
        <v>17</v>
      </c>
      <c r="M5" s="5" t="s">
        <v>11</v>
      </c>
      <c r="N5" s="5" t="s">
        <v>16</v>
      </c>
      <c r="O5" s="5" t="s">
        <v>12</v>
      </c>
      <c r="P5" s="5" t="s">
        <v>13</v>
      </c>
      <c r="Q5" s="18" t="s">
        <v>22</v>
      </c>
      <c r="R5" s="2" t="s">
        <v>21</v>
      </c>
      <c r="S5" s="2" t="s">
        <v>20</v>
      </c>
      <c r="T5" s="2" t="s">
        <v>19</v>
      </c>
    </row>
    <row r="6" spans="1:20" ht="20">
      <c r="A6" s="19" t="s">
        <v>14</v>
      </c>
      <c r="B6" s="19"/>
      <c r="C6" s="6">
        <v>110</v>
      </c>
      <c r="D6" s="6">
        <v>80</v>
      </c>
      <c r="E6" s="6">
        <v>85</v>
      </c>
      <c r="F6" s="6">
        <v>45</v>
      </c>
      <c r="G6" s="6">
        <v>25</v>
      </c>
      <c r="H6" s="6">
        <v>1.2</v>
      </c>
      <c r="I6" s="6">
        <v>14.5</v>
      </c>
      <c r="J6" s="6">
        <v>40</v>
      </c>
      <c r="K6" s="6">
        <v>40</v>
      </c>
      <c r="L6" s="6">
        <v>25</v>
      </c>
      <c r="M6" s="6">
        <v>230</v>
      </c>
      <c r="N6" s="6">
        <v>30</v>
      </c>
      <c r="O6" s="6">
        <v>155</v>
      </c>
      <c r="P6" s="6">
        <v>63</v>
      </c>
      <c r="Q6" s="21"/>
    </row>
    <row r="7" spans="1:20" ht="15" customHeight="1">
      <c r="A7" s="10">
        <v>42576</v>
      </c>
      <c r="B7" s="10"/>
      <c r="C7" s="35"/>
      <c r="D7" s="35"/>
      <c r="E7" s="35">
        <v>36</v>
      </c>
      <c r="F7" s="35">
        <v>36</v>
      </c>
      <c r="G7" s="35">
        <v>36</v>
      </c>
      <c r="H7" s="35"/>
      <c r="I7" s="35"/>
      <c r="J7" s="35">
        <v>34.5</v>
      </c>
      <c r="K7" s="35"/>
      <c r="L7" s="35"/>
      <c r="M7" s="35">
        <v>1</v>
      </c>
      <c r="N7" s="35"/>
      <c r="O7" s="35"/>
      <c r="P7" s="35"/>
      <c r="Q7" s="72">
        <f t="shared" ref="Q7:Q29" si="0">(C7*$C$6)+(D7*$D$6)+(E7*$E$6)+(F7*$F$6)+(G7*$G$6)+(H7*$H$6)+(I7*$I$6)+(J7*$J$6)+(K7*$K$6)+(L7*$K$6)+(M7*$M$6)+(N7*$N$6)+(O7*$O$6)+(P7*$P$6)</f>
        <v>7190</v>
      </c>
    </row>
    <row r="8" spans="1:20" ht="15" customHeight="1">
      <c r="A8" s="10">
        <v>42577</v>
      </c>
      <c r="B8" s="10"/>
      <c r="C8" s="35"/>
      <c r="D8" s="35"/>
      <c r="E8" s="35">
        <v>27</v>
      </c>
      <c r="F8" s="35">
        <v>27</v>
      </c>
      <c r="G8" s="35">
        <v>27</v>
      </c>
      <c r="H8" s="35"/>
      <c r="I8" s="35"/>
      <c r="J8" s="35">
        <v>22</v>
      </c>
      <c r="K8" s="35"/>
      <c r="L8" s="35"/>
      <c r="M8" s="35">
        <v>1</v>
      </c>
      <c r="N8" s="35"/>
      <c r="O8" s="35"/>
      <c r="P8" s="35"/>
      <c r="Q8" s="72">
        <f t="shared" si="0"/>
        <v>5295</v>
      </c>
    </row>
    <row r="9" spans="1:20" ht="15" customHeight="1">
      <c r="A9" s="10">
        <v>42578</v>
      </c>
      <c r="B9" s="10"/>
      <c r="C9" s="35"/>
      <c r="D9" s="35"/>
      <c r="E9" s="35">
        <v>36</v>
      </c>
      <c r="F9" s="35">
        <v>36</v>
      </c>
      <c r="G9" s="35">
        <v>36</v>
      </c>
      <c r="H9" s="35"/>
      <c r="I9" s="35"/>
      <c r="J9" s="35">
        <v>34.5</v>
      </c>
      <c r="K9" s="35"/>
      <c r="L9" s="35"/>
      <c r="M9" s="35">
        <v>1</v>
      </c>
      <c r="N9" s="35"/>
      <c r="O9" s="35"/>
      <c r="P9" s="35"/>
      <c r="Q9" s="72">
        <f t="shared" si="0"/>
        <v>7190</v>
      </c>
    </row>
    <row r="10" spans="1:20" ht="15" customHeight="1">
      <c r="A10" s="10">
        <v>42579</v>
      </c>
      <c r="B10" s="10"/>
      <c r="C10" s="35"/>
      <c r="D10" s="35"/>
      <c r="E10" s="35">
        <v>36</v>
      </c>
      <c r="F10" s="35">
        <v>36</v>
      </c>
      <c r="G10" s="35">
        <v>36</v>
      </c>
      <c r="H10" s="35"/>
      <c r="I10" s="35"/>
      <c r="J10" s="35">
        <v>35</v>
      </c>
      <c r="K10" s="35"/>
      <c r="L10" s="35"/>
      <c r="M10" s="35">
        <v>1</v>
      </c>
      <c r="N10" s="35"/>
      <c r="O10" s="35"/>
      <c r="P10" s="35"/>
      <c r="Q10" s="72">
        <f t="shared" si="0"/>
        <v>7210</v>
      </c>
    </row>
    <row r="11" spans="1:20" ht="15" customHeight="1">
      <c r="A11" s="10">
        <v>42580</v>
      </c>
      <c r="B11" s="10"/>
      <c r="C11" s="35"/>
      <c r="D11" s="35"/>
      <c r="E11" s="35">
        <v>22</v>
      </c>
      <c r="F11" s="35">
        <v>15</v>
      </c>
      <c r="G11" s="35">
        <v>22</v>
      </c>
      <c r="H11" s="35"/>
      <c r="I11" s="35"/>
      <c r="J11" s="35">
        <v>21</v>
      </c>
      <c r="K11" s="35"/>
      <c r="L11" s="35"/>
      <c r="M11" s="35"/>
      <c r="N11" s="35"/>
      <c r="O11" s="35"/>
      <c r="P11" s="35"/>
      <c r="Q11" s="72">
        <f t="shared" si="0"/>
        <v>3935</v>
      </c>
    </row>
    <row r="12" spans="1:20" ht="15" customHeight="1">
      <c r="A12" s="10" t="s">
        <v>27</v>
      </c>
      <c r="B12" s="10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>
        <v>4</v>
      </c>
      <c r="P12" s="35"/>
      <c r="Q12" s="72">
        <f t="shared" ref="Q12:Q13" si="1">(C12*$C$6)+(D12*$D$6)+(E12*$E$6)+(F12*$F$6)+(G12*$G$6)+(H12*$H$6)+(I12*$I$6)+(J12*$J$6)+(K12*$K$6)+(L12*$K$6)+(M12*$M$6)+(N12*$N$6)+(O12*$O$6)+(P12*$P$6)</f>
        <v>620</v>
      </c>
    </row>
    <row r="13" spans="1:20" ht="15" customHeight="1" thickBot="1">
      <c r="A13" s="11" t="s">
        <v>28</v>
      </c>
      <c r="B13" s="11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>
        <v>15</v>
      </c>
      <c r="P13" s="75">
        <v>9</v>
      </c>
      <c r="Q13" s="76">
        <f t="shared" si="1"/>
        <v>2892</v>
      </c>
    </row>
    <row r="14" spans="1:20" ht="15" customHeight="1">
      <c r="A14" s="26">
        <v>42584</v>
      </c>
      <c r="B14" s="32" t="s">
        <v>85</v>
      </c>
      <c r="C14" s="67"/>
      <c r="D14" s="67"/>
      <c r="E14" s="67">
        <v>33</v>
      </c>
      <c r="F14" s="67">
        <v>36</v>
      </c>
      <c r="G14" s="67">
        <v>33</v>
      </c>
      <c r="H14" s="67"/>
      <c r="I14" s="67"/>
      <c r="J14" s="67">
        <v>26.5</v>
      </c>
      <c r="K14" s="67"/>
      <c r="L14" s="67"/>
      <c r="M14" s="67">
        <v>1</v>
      </c>
      <c r="N14" s="67"/>
      <c r="O14" s="67"/>
      <c r="P14" s="67"/>
      <c r="Q14" s="68">
        <f t="shared" si="0"/>
        <v>6540</v>
      </c>
    </row>
    <row r="15" spans="1:20" ht="15" customHeight="1">
      <c r="A15" s="10">
        <v>42585</v>
      </c>
      <c r="B15" s="32" t="s">
        <v>79</v>
      </c>
      <c r="C15" s="35"/>
      <c r="D15" s="35"/>
      <c r="E15" s="35">
        <v>48</v>
      </c>
      <c r="F15" s="35">
        <v>48</v>
      </c>
      <c r="G15" s="35">
        <v>48</v>
      </c>
      <c r="H15" s="35"/>
      <c r="I15" s="35"/>
      <c r="J15" s="35">
        <v>45</v>
      </c>
      <c r="K15" s="35"/>
      <c r="L15" s="35"/>
      <c r="M15" s="35">
        <v>1</v>
      </c>
      <c r="N15" s="35"/>
      <c r="O15" s="35"/>
      <c r="P15" s="35"/>
      <c r="Q15" s="72">
        <f t="shared" si="0"/>
        <v>9470</v>
      </c>
    </row>
    <row r="16" spans="1:20" ht="15" customHeight="1">
      <c r="A16" s="32">
        <v>42586</v>
      </c>
      <c r="B16" s="32" t="s">
        <v>80</v>
      </c>
      <c r="C16" s="74"/>
      <c r="D16" s="74"/>
      <c r="E16" s="74">
        <v>48</v>
      </c>
      <c r="F16" s="74">
        <v>48</v>
      </c>
      <c r="G16" s="74">
        <v>48</v>
      </c>
      <c r="H16" s="74"/>
      <c r="I16" s="74"/>
      <c r="J16" s="74">
        <v>48</v>
      </c>
      <c r="K16" s="74"/>
      <c r="L16" s="74"/>
      <c r="M16" s="74">
        <v>1</v>
      </c>
      <c r="N16" s="74"/>
      <c r="O16" s="74"/>
      <c r="P16" s="74"/>
      <c r="Q16" s="72">
        <f t="shared" si="0"/>
        <v>9590</v>
      </c>
    </row>
    <row r="17" spans="1:17" ht="15" customHeight="1">
      <c r="A17" s="32">
        <v>42587</v>
      </c>
      <c r="B17" s="32" t="s">
        <v>81</v>
      </c>
      <c r="C17" s="74"/>
      <c r="D17" s="74"/>
      <c r="E17" s="74">
        <v>48</v>
      </c>
      <c r="F17" s="74">
        <v>48</v>
      </c>
      <c r="G17" s="74">
        <v>48</v>
      </c>
      <c r="H17" s="74"/>
      <c r="I17" s="74"/>
      <c r="J17" s="74">
        <v>48</v>
      </c>
      <c r="K17" s="74"/>
      <c r="L17" s="74"/>
      <c r="M17" s="74">
        <v>1</v>
      </c>
      <c r="N17" s="74"/>
      <c r="O17" s="74"/>
      <c r="P17" s="74"/>
      <c r="Q17" s="72">
        <f t="shared" si="0"/>
        <v>9590</v>
      </c>
    </row>
    <row r="18" spans="1:17" ht="15" customHeight="1">
      <c r="A18" s="32">
        <v>42588</v>
      </c>
      <c r="B18" s="32" t="s">
        <v>86</v>
      </c>
      <c r="C18" s="74"/>
      <c r="D18" s="74"/>
      <c r="E18" s="74">
        <v>48</v>
      </c>
      <c r="F18" s="74">
        <v>36</v>
      </c>
      <c r="G18" s="74">
        <v>48</v>
      </c>
      <c r="H18" s="74"/>
      <c r="I18" s="74"/>
      <c r="J18" s="74">
        <v>48</v>
      </c>
      <c r="K18" s="74"/>
      <c r="L18" s="74"/>
      <c r="M18" s="74">
        <v>1</v>
      </c>
      <c r="N18" s="74"/>
      <c r="O18" s="74"/>
      <c r="P18" s="74"/>
      <c r="Q18" s="72">
        <f t="shared" si="0"/>
        <v>9050</v>
      </c>
    </row>
    <row r="19" spans="1:17" ht="15" customHeight="1">
      <c r="A19" s="32" t="s">
        <v>66</v>
      </c>
      <c r="B19" s="32" t="s">
        <v>83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>
        <v>22</v>
      </c>
      <c r="P19" s="74">
        <v>8</v>
      </c>
      <c r="Q19" s="72">
        <f t="shared" ref="Q19:Q20" si="2">(C19*$C$6)+(D19*$D$6)+(E19*$E$6)+(F19*$F$6)+(G19*$G$6)+(H19*$H$6)+(I19*$I$6)+(J19*$J$6)+(K19*$K$6)+(L19*$K$6)+(M19*$M$6)+(N19*$N$6)+(O19*$O$6)+(P19*$P$6)</f>
        <v>3914</v>
      </c>
    </row>
    <row r="20" spans="1:17" ht="15" customHeight="1">
      <c r="A20" s="32">
        <v>42590</v>
      </c>
      <c r="B20" s="32" t="s">
        <v>82</v>
      </c>
      <c r="C20" s="74"/>
      <c r="D20" s="74"/>
      <c r="E20" s="74">
        <v>48</v>
      </c>
      <c r="F20" s="74">
        <v>48</v>
      </c>
      <c r="G20" s="74">
        <v>48</v>
      </c>
      <c r="H20" s="74"/>
      <c r="I20" s="74"/>
      <c r="J20" s="74">
        <v>48</v>
      </c>
      <c r="K20" s="74"/>
      <c r="L20" s="74"/>
      <c r="M20" s="74">
        <v>1</v>
      </c>
      <c r="N20" s="74"/>
      <c r="O20" s="74"/>
      <c r="P20" s="74"/>
      <c r="Q20" s="72">
        <f t="shared" si="2"/>
        <v>9590</v>
      </c>
    </row>
    <row r="21" spans="1:17" ht="15" customHeight="1">
      <c r="A21" s="32">
        <v>42591</v>
      </c>
      <c r="B21" s="32" t="s">
        <v>84</v>
      </c>
      <c r="C21" s="74"/>
      <c r="D21" s="74"/>
      <c r="E21" s="74">
        <v>48</v>
      </c>
      <c r="F21" s="74">
        <v>48</v>
      </c>
      <c r="G21" s="74">
        <v>48</v>
      </c>
      <c r="H21" s="74"/>
      <c r="I21" s="74"/>
      <c r="J21" s="74">
        <v>48</v>
      </c>
      <c r="K21" s="74"/>
      <c r="L21" s="74"/>
      <c r="M21" s="74">
        <v>1</v>
      </c>
      <c r="N21" s="74"/>
      <c r="O21" s="74"/>
      <c r="P21" s="74"/>
      <c r="Q21" s="72">
        <f t="shared" si="0"/>
        <v>9590</v>
      </c>
    </row>
    <row r="22" spans="1:17" ht="15" customHeight="1">
      <c r="A22" s="10">
        <v>42592</v>
      </c>
      <c r="B22" s="10" t="s">
        <v>78</v>
      </c>
      <c r="C22" s="35"/>
      <c r="D22" s="35"/>
      <c r="E22" s="35">
        <v>48</v>
      </c>
      <c r="F22" s="35">
        <v>48</v>
      </c>
      <c r="G22" s="35">
        <v>48</v>
      </c>
      <c r="H22" s="35"/>
      <c r="I22" s="35"/>
      <c r="J22" s="35">
        <v>48</v>
      </c>
      <c r="K22" s="35"/>
      <c r="L22" s="35"/>
      <c r="M22" s="35">
        <v>1</v>
      </c>
      <c r="N22" s="35"/>
      <c r="O22" s="35"/>
      <c r="P22" s="35"/>
      <c r="Q22" s="72">
        <f t="shared" si="0"/>
        <v>9590</v>
      </c>
    </row>
    <row r="23" spans="1:17" ht="15" customHeight="1">
      <c r="A23" s="32">
        <v>42593</v>
      </c>
      <c r="B23" s="32" t="s">
        <v>87</v>
      </c>
      <c r="C23" s="74"/>
      <c r="D23" s="74"/>
      <c r="E23" s="74">
        <v>48</v>
      </c>
      <c r="F23" s="74">
        <v>48</v>
      </c>
      <c r="G23" s="74">
        <v>48</v>
      </c>
      <c r="H23" s="74"/>
      <c r="I23" s="74"/>
      <c r="J23" s="74">
        <v>48</v>
      </c>
      <c r="K23" s="74"/>
      <c r="L23" s="74"/>
      <c r="M23" s="74">
        <v>1</v>
      </c>
      <c r="N23" s="74"/>
      <c r="O23" s="74"/>
      <c r="P23" s="74"/>
      <c r="Q23" s="72">
        <f t="shared" si="0"/>
        <v>9590</v>
      </c>
    </row>
    <row r="24" spans="1:17" ht="15" customHeight="1">
      <c r="A24" s="32">
        <v>42594</v>
      </c>
      <c r="B24" s="32" t="s">
        <v>98</v>
      </c>
      <c r="C24" s="74"/>
      <c r="D24" s="74"/>
      <c r="E24" s="74">
        <v>34.5</v>
      </c>
      <c r="F24" s="74">
        <v>34.5</v>
      </c>
      <c r="G24" s="74">
        <v>34.5</v>
      </c>
      <c r="H24" s="74"/>
      <c r="I24" s="74"/>
      <c r="J24" s="74">
        <v>34.5</v>
      </c>
      <c r="K24" s="74"/>
      <c r="L24" s="74"/>
      <c r="M24" s="74">
        <v>1</v>
      </c>
      <c r="N24" s="74"/>
      <c r="O24" s="74"/>
      <c r="P24" s="74"/>
      <c r="Q24" s="72">
        <f t="shared" si="0"/>
        <v>6957.5</v>
      </c>
    </row>
    <row r="25" spans="1:17" ht="15" customHeight="1">
      <c r="A25" s="32">
        <v>42595</v>
      </c>
      <c r="B25" s="32" t="s">
        <v>93</v>
      </c>
      <c r="C25" s="74"/>
      <c r="D25" s="74"/>
      <c r="E25" s="74">
        <f>12+3.5</f>
        <v>15.5</v>
      </c>
      <c r="F25" s="74">
        <v>15.5</v>
      </c>
      <c r="G25" s="74">
        <v>15.5</v>
      </c>
      <c r="H25" s="74"/>
      <c r="I25" s="74"/>
      <c r="J25" s="74">
        <v>15.5</v>
      </c>
      <c r="K25" s="74"/>
      <c r="L25" s="74"/>
      <c r="M25" s="74">
        <v>2</v>
      </c>
      <c r="N25" s="74"/>
      <c r="O25" s="74"/>
      <c r="P25" s="74"/>
      <c r="Q25" s="72">
        <f t="shared" si="0"/>
        <v>3482.5</v>
      </c>
    </row>
    <row r="26" spans="1:17" ht="15" customHeight="1">
      <c r="A26" s="32" t="s">
        <v>99</v>
      </c>
      <c r="B26" s="32" t="s">
        <v>100</v>
      </c>
      <c r="C26" s="74"/>
      <c r="D26" s="74">
        <v>11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>
        <v>27</v>
      </c>
      <c r="P26" s="74">
        <v>10</v>
      </c>
      <c r="Q26" s="72">
        <f t="shared" si="0"/>
        <v>5695</v>
      </c>
    </row>
    <row r="27" spans="1:17" ht="15" customHeight="1">
      <c r="A27" s="32">
        <v>42597</v>
      </c>
      <c r="B27" s="32" t="s">
        <v>101</v>
      </c>
      <c r="C27" s="74"/>
      <c r="D27" s="74"/>
      <c r="E27" s="74">
        <v>24</v>
      </c>
      <c r="F27" s="74">
        <v>21.5</v>
      </c>
      <c r="G27" s="74">
        <v>24</v>
      </c>
      <c r="H27" s="74"/>
      <c r="I27" s="74"/>
      <c r="J27" s="74">
        <v>24</v>
      </c>
      <c r="K27" s="74"/>
      <c r="L27" s="74"/>
      <c r="M27" s="74">
        <v>0</v>
      </c>
      <c r="N27" s="74"/>
      <c r="O27" s="74"/>
      <c r="P27" s="74"/>
      <c r="Q27" s="72">
        <f t="shared" ref="Q27" si="3">(C27*$C$6)+(D27*$D$6)+(E27*$E$6)+(F27*$F$6)+(G27*$G$6)+(H27*$H$6)+(I27*$I$6)+(J27*$J$6)+(K27*$K$6)+(L27*$K$6)+(M27*$M$6)+(N27*$N$6)+(O27*$O$6)+(P27*$P$6)</f>
        <v>4567.5</v>
      </c>
    </row>
    <row r="28" spans="1:17" ht="15" customHeight="1">
      <c r="A28" s="10">
        <v>42598</v>
      </c>
      <c r="B28" s="10" t="s">
        <v>102</v>
      </c>
      <c r="C28" s="35"/>
      <c r="D28" s="35"/>
      <c r="E28" s="35">
        <v>24</v>
      </c>
      <c r="F28" s="35">
        <v>24</v>
      </c>
      <c r="G28" s="35">
        <v>24</v>
      </c>
      <c r="H28" s="35"/>
      <c r="I28" s="35"/>
      <c r="J28" s="35">
        <v>24</v>
      </c>
      <c r="K28" s="35"/>
      <c r="L28" s="35"/>
      <c r="M28" s="74">
        <v>0</v>
      </c>
      <c r="N28" s="35"/>
      <c r="O28" s="35"/>
      <c r="P28" s="35"/>
      <c r="Q28" s="72">
        <f t="shared" si="0"/>
        <v>4680</v>
      </c>
    </row>
    <row r="29" spans="1:17" ht="15" customHeight="1">
      <c r="A29" s="32">
        <v>42599</v>
      </c>
      <c r="B29" s="32" t="s">
        <v>105</v>
      </c>
      <c r="C29" s="74"/>
      <c r="D29" s="74"/>
      <c r="E29" s="74">
        <v>24</v>
      </c>
      <c r="F29" s="74">
        <v>24</v>
      </c>
      <c r="G29" s="74">
        <v>24</v>
      </c>
      <c r="H29" s="74"/>
      <c r="I29" s="74"/>
      <c r="J29" s="74">
        <v>24</v>
      </c>
      <c r="K29" s="74"/>
      <c r="L29" s="74"/>
      <c r="M29" s="74">
        <v>0</v>
      </c>
      <c r="N29" s="74"/>
      <c r="O29" s="74"/>
      <c r="P29" s="74"/>
      <c r="Q29" s="72">
        <f t="shared" si="0"/>
        <v>4680</v>
      </c>
    </row>
    <row r="30" spans="1:17" ht="15" customHeight="1">
      <c r="A30" s="73">
        <v>42600</v>
      </c>
      <c r="B30" s="73"/>
      <c r="C30" s="74"/>
      <c r="D30" s="74"/>
      <c r="E30" s="74">
        <v>24</v>
      </c>
      <c r="F30" s="74">
        <v>24</v>
      </c>
      <c r="G30" s="74">
        <v>24</v>
      </c>
      <c r="H30" s="74"/>
      <c r="I30" s="74"/>
      <c r="J30" s="74">
        <v>24</v>
      </c>
      <c r="K30" s="74"/>
      <c r="L30" s="74"/>
      <c r="M30" s="74">
        <v>0</v>
      </c>
      <c r="N30" s="74"/>
      <c r="O30" s="74"/>
      <c r="P30" s="74"/>
      <c r="Q30" s="72">
        <f t="shared" ref="Q30:Q61" si="4">(C30*$C$6)+(D30*$D$6)+(E30*$E$6)+(F30*$F$6)+(G30*$G$6)+(H30*$H$6)+(I30*$I$6)+(J30*$J$6)+(K30*$K$6)+(L30*$K$6)+(M30*$M$6)+(N30*$N$6)+(O30*$O$6)+(P30*$P$6)</f>
        <v>4680</v>
      </c>
    </row>
    <row r="31" spans="1:17" ht="15" customHeight="1">
      <c r="A31" s="73">
        <v>42601</v>
      </c>
      <c r="B31" s="73"/>
      <c r="C31" s="74"/>
      <c r="D31" s="74"/>
      <c r="E31" s="74">
        <v>24</v>
      </c>
      <c r="F31" s="74">
        <v>24</v>
      </c>
      <c r="G31" s="74">
        <v>24</v>
      </c>
      <c r="H31" s="74"/>
      <c r="I31" s="74"/>
      <c r="J31" s="74">
        <v>24</v>
      </c>
      <c r="K31" s="74"/>
      <c r="L31" s="74"/>
      <c r="M31" s="74">
        <v>0</v>
      </c>
      <c r="N31" s="74"/>
      <c r="O31" s="74"/>
      <c r="P31" s="74"/>
      <c r="Q31" s="72">
        <f t="shared" si="4"/>
        <v>4680</v>
      </c>
    </row>
    <row r="32" spans="1:17" ht="15" customHeight="1">
      <c r="A32" s="73">
        <v>42602</v>
      </c>
      <c r="B32" s="73"/>
      <c r="C32" s="74"/>
      <c r="D32" s="74"/>
      <c r="E32" s="74">
        <v>24</v>
      </c>
      <c r="F32" s="74">
        <v>24</v>
      </c>
      <c r="G32" s="74">
        <v>24</v>
      </c>
      <c r="H32" s="74"/>
      <c r="I32" s="74"/>
      <c r="J32" s="74">
        <v>24</v>
      </c>
      <c r="K32" s="74"/>
      <c r="L32" s="74"/>
      <c r="M32" s="74">
        <v>0</v>
      </c>
      <c r="N32" s="74"/>
      <c r="O32" s="74"/>
      <c r="P32" s="74"/>
      <c r="Q32" s="72">
        <f t="shared" si="4"/>
        <v>4680</v>
      </c>
    </row>
    <row r="33" spans="1:19" ht="15" customHeight="1">
      <c r="A33" s="73">
        <v>42603</v>
      </c>
      <c r="B33" s="73"/>
      <c r="C33" s="74"/>
      <c r="D33" s="74"/>
      <c r="E33" s="74">
        <v>24</v>
      </c>
      <c r="F33" s="74">
        <v>24</v>
      </c>
      <c r="G33" s="74">
        <v>24</v>
      </c>
      <c r="H33" s="74"/>
      <c r="I33" s="74"/>
      <c r="J33" s="74">
        <v>24</v>
      </c>
      <c r="K33" s="74"/>
      <c r="L33" s="74"/>
      <c r="M33" s="74">
        <v>0</v>
      </c>
      <c r="N33" s="74"/>
      <c r="O33" s="74"/>
      <c r="P33" s="74"/>
      <c r="Q33" s="72">
        <f t="shared" si="4"/>
        <v>4680</v>
      </c>
    </row>
    <row r="34" spans="1:19" ht="15" customHeight="1">
      <c r="A34" s="73">
        <v>42604</v>
      </c>
      <c r="B34" s="73"/>
      <c r="C34" s="74"/>
      <c r="D34" s="74"/>
      <c r="E34" s="74">
        <v>12</v>
      </c>
      <c r="F34" s="74">
        <v>12</v>
      </c>
      <c r="G34" s="74">
        <v>12</v>
      </c>
      <c r="H34" s="74"/>
      <c r="I34" s="74"/>
      <c r="J34" s="74">
        <v>12</v>
      </c>
      <c r="K34" s="74"/>
      <c r="L34" s="74"/>
      <c r="M34" s="74">
        <v>0</v>
      </c>
      <c r="N34" s="74"/>
      <c r="O34" s="74"/>
      <c r="P34" s="74"/>
      <c r="Q34" s="72">
        <f t="shared" si="4"/>
        <v>2340</v>
      </c>
    </row>
    <row r="35" spans="1:19" ht="15" customHeight="1">
      <c r="A35" s="34">
        <v>42605</v>
      </c>
      <c r="B35" s="34"/>
      <c r="C35" s="35"/>
      <c r="D35" s="35"/>
      <c r="E35" s="74">
        <v>12</v>
      </c>
      <c r="F35" s="74">
        <v>12</v>
      </c>
      <c r="G35" s="74">
        <v>12</v>
      </c>
      <c r="H35" s="74"/>
      <c r="I35" s="74"/>
      <c r="J35" s="74">
        <v>12</v>
      </c>
      <c r="K35" s="35"/>
      <c r="L35" s="35"/>
      <c r="M35" s="35">
        <v>0</v>
      </c>
      <c r="N35" s="35"/>
      <c r="O35" s="35"/>
      <c r="P35" s="35"/>
      <c r="Q35" s="72">
        <f t="shared" si="4"/>
        <v>2340</v>
      </c>
    </row>
    <row r="36" spans="1:19" ht="15" customHeight="1">
      <c r="A36" s="34">
        <v>42606</v>
      </c>
      <c r="B36" s="34"/>
      <c r="C36" s="35"/>
      <c r="D36" s="35"/>
      <c r="E36" s="74">
        <v>12</v>
      </c>
      <c r="F36" s="74">
        <v>12</v>
      </c>
      <c r="G36" s="74">
        <v>12</v>
      </c>
      <c r="H36" s="74"/>
      <c r="I36" s="74"/>
      <c r="J36" s="74">
        <v>12</v>
      </c>
      <c r="K36" s="35"/>
      <c r="L36" s="35"/>
      <c r="M36" s="35">
        <v>0</v>
      </c>
      <c r="N36" s="35"/>
      <c r="O36" s="35"/>
      <c r="P36" s="35"/>
      <c r="Q36" s="72">
        <f t="shared" ref="Q36" si="5">(C36*$C$6)+(D36*$D$6)+(E36*$E$6)+(F36*$F$6)+(G36*$G$6)+(H36*$H$6)+(I36*$I$6)+(J36*$J$6)+(K36*$K$6)+(L36*$K$6)+(M36*$M$6)+(N36*$N$6)+(O36*$O$6)+(P36*$P$6)</f>
        <v>2340</v>
      </c>
    </row>
    <row r="37" spans="1:19" ht="15" customHeight="1">
      <c r="A37" s="34">
        <v>42607</v>
      </c>
      <c r="B37" s="34"/>
      <c r="C37" s="35">
        <v>12</v>
      </c>
      <c r="D37" s="35"/>
      <c r="E37" s="74">
        <v>12</v>
      </c>
      <c r="F37" s="74">
        <v>12</v>
      </c>
      <c r="G37" s="74">
        <v>12</v>
      </c>
      <c r="H37" s="74"/>
      <c r="I37" s="74"/>
      <c r="J37" s="74">
        <v>12</v>
      </c>
      <c r="K37" s="35"/>
      <c r="L37" s="35"/>
      <c r="M37" s="35">
        <v>1</v>
      </c>
      <c r="N37" s="35"/>
      <c r="O37" s="35"/>
      <c r="P37" s="35"/>
      <c r="Q37" s="72">
        <f>(C37*$C$6)+(D37*$D$6)+(E37*$E$6)+(F37*$F$6)+(G37*$G$6)+(H37*$H$6)+(I37*$I$6)+(J37*$J$6)+(K37*$K$6)+(L37*$K$6)+(M37*$M$6)+(N37*$N$6)+(O37*$O$6)+(P37*$P$6)</f>
        <v>3890</v>
      </c>
    </row>
    <row r="38" spans="1:19" ht="15" customHeight="1">
      <c r="A38" s="34">
        <v>42608</v>
      </c>
      <c r="B38" s="34"/>
      <c r="C38" s="35">
        <v>12</v>
      </c>
      <c r="D38" s="35"/>
      <c r="E38" s="74">
        <v>36</v>
      </c>
      <c r="F38" s="74">
        <v>36</v>
      </c>
      <c r="G38" s="74">
        <v>36</v>
      </c>
      <c r="H38" s="74"/>
      <c r="I38" s="74"/>
      <c r="J38" s="74">
        <v>36</v>
      </c>
      <c r="K38" s="35"/>
      <c r="L38" s="35"/>
      <c r="M38" s="35">
        <v>1</v>
      </c>
      <c r="N38" s="35"/>
      <c r="O38" s="35"/>
      <c r="P38" s="33"/>
      <c r="Q38" s="72">
        <f>(C38*$C$6)+(D38*$D$6)+(E38*$E$6)+(F38*$F$6)+(G38*$G$6)+(H38*$H$6)+(I38*$I$6)+(J38*$J$6)+(K38*$K$6)+(L38*$K$6)+(M38*$M$6)+(N38*$N$6)+(O38*$O$6)+(P38*$P$6)</f>
        <v>8570</v>
      </c>
    </row>
    <row r="39" spans="1:19" ht="15" customHeight="1">
      <c r="A39" s="34">
        <v>42609</v>
      </c>
      <c r="B39" s="34"/>
      <c r="C39" s="35">
        <v>12</v>
      </c>
      <c r="D39" s="35">
        <v>12</v>
      </c>
      <c r="E39" s="74">
        <v>36</v>
      </c>
      <c r="F39" s="74">
        <v>36</v>
      </c>
      <c r="G39" s="74">
        <v>36</v>
      </c>
      <c r="H39" s="74"/>
      <c r="I39" s="74"/>
      <c r="J39" s="74">
        <v>36</v>
      </c>
      <c r="K39" s="35"/>
      <c r="L39" s="35"/>
      <c r="M39" s="35">
        <v>1</v>
      </c>
      <c r="N39" s="33"/>
      <c r="O39" s="33"/>
      <c r="P39" s="33"/>
      <c r="Q39" s="72">
        <f t="shared" si="4"/>
        <v>9530</v>
      </c>
    </row>
    <row r="40" spans="1:19" ht="15" customHeight="1">
      <c r="A40" s="34">
        <v>42610</v>
      </c>
      <c r="B40" s="34"/>
      <c r="C40" s="35"/>
      <c r="D40" s="35"/>
      <c r="E40" s="74"/>
      <c r="F40" s="74"/>
      <c r="G40" s="74"/>
      <c r="H40" s="74"/>
      <c r="I40" s="74"/>
      <c r="J40" s="74"/>
      <c r="K40" s="35"/>
      <c r="L40" s="35"/>
      <c r="M40" s="35">
        <v>1</v>
      </c>
      <c r="N40" s="33"/>
      <c r="O40" s="33"/>
      <c r="P40" s="33"/>
      <c r="Q40" s="72">
        <f t="shared" si="4"/>
        <v>230</v>
      </c>
    </row>
    <row r="41" spans="1:19" ht="15" customHeight="1">
      <c r="A41" s="34">
        <v>42611</v>
      </c>
      <c r="B41" s="34"/>
      <c r="C41" s="35">
        <v>15</v>
      </c>
      <c r="D41" s="35">
        <v>12</v>
      </c>
      <c r="E41" s="74">
        <v>36</v>
      </c>
      <c r="F41" s="74">
        <v>36</v>
      </c>
      <c r="G41" s="74">
        <v>36</v>
      </c>
      <c r="H41" s="74"/>
      <c r="I41" s="74"/>
      <c r="J41" s="74">
        <v>36</v>
      </c>
      <c r="K41" s="35"/>
      <c r="L41" s="35"/>
      <c r="M41" s="35">
        <v>1</v>
      </c>
      <c r="N41" s="33"/>
      <c r="O41" s="33"/>
      <c r="P41" s="33"/>
      <c r="Q41" s="72">
        <f t="shared" si="4"/>
        <v>9860</v>
      </c>
    </row>
    <row r="42" spans="1:19" ht="15" customHeight="1">
      <c r="A42" s="34">
        <v>42612</v>
      </c>
      <c r="B42" s="34"/>
      <c r="C42" s="35">
        <v>12</v>
      </c>
      <c r="D42" s="35">
        <v>12</v>
      </c>
      <c r="E42" s="35">
        <v>36</v>
      </c>
      <c r="F42" s="35">
        <v>36</v>
      </c>
      <c r="G42" s="35">
        <v>36</v>
      </c>
      <c r="H42" s="35"/>
      <c r="I42" s="35"/>
      <c r="J42" s="35">
        <v>36</v>
      </c>
      <c r="K42" s="35"/>
      <c r="L42" s="35"/>
      <c r="M42" s="35">
        <v>1</v>
      </c>
      <c r="N42" s="7"/>
      <c r="O42" s="7"/>
      <c r="P42" s="7"/>
      <c r="Q42" s="72">
        <f t="shared" si="4"/>
        <v>9530</v>
      </c>
    </row>
    <row r="43" spans="1:19" ht="15" customHeight="1">
      <c r="A43" s="78">
        <v>42613</v>
      </c>
      <c r="B43" s="78"/>
      <c r="C43" s="79">
        <v>12</v>
      </c>
      <c r="D43" s="79">
        <v>12</v>
      </c>
      <c r="E43" s="79">
        <v>48</v>
      </c>
      <c r="F43" s="79">
        <v>48</v>
      </c>
      <c r="G43" s="79">
        <v>48</v>
      </c>
      <c r="H43" s="79"/>
      <c r="I43" s="79"/>
      <c r="J43" s="79">
        <v>48</v>
      </c>
      <c r="K43" s="79"/>
      <c r="L43" s="79"/>
      <c r="M43" s="79">
        <v>1</v>
      </c>
      <c r="N43" s="79"/>
      <c r="O43" s="79"/>
      <c r="P43" s="79"/>
      <c r="Q43" s="68">
        <f t="shared" si="4"/>
        <v>11870</v>
      </c>
    </row>
    <row r="44" spans="1:19" ht="15" customHeight="1">
      <c r="A44" s="73">
        <v>42614</v>
      </c>
      <c r="B44" s="73"/>
      <c r="C44" s="74">
        <v>12</v>
      </c>
      <c r="D44" s="74">
        <v>12</v>
      </c>
      <c r="E44" s="74">
        <v>60</v>
      </c>
      <c r="F44" s="74">
        <v>60</v>
      </c>
      <c r="G44" s="74">
        <v>60</v>
      </c>
      <c r="H44" s="74"/>
      <c r="I44" s="74"/>
      <c r="J44" s="74">
        <v>60</v>
      </c>
      <c r="K44" s="74"/>
      <c r="L44" s="74"/>
      <c r="M44" s="74">
        <v>1</v>
      </c>
      <c r="N44" s="74"/>
      <c r="O44" s="74"/>
      <c r="P44" s="74"/>
      <c r="Q44" s="72">
        <f t="shared" si="4"/>
        <v>14210</v>
      </c>
    </row>
    <row r="45" spans="1:19" ht="15" customHeight="1">
      <c r="A45" s="73">
        <v>42615</v>
      </c>
      <c r="B45" s="73"/>
      <c r="C45" s="74">
        <v>12</v>
      </c>
      <c r="D45" s="74">
        <v>12</v>
      </c>
      <c r="E45" s="74">
        <v>60</v>
      </c>
      <c r="F45" s="74">
        <v>60</v>
      </c>
      <c r="G45" s="74">
        <v>60</v>
      </c>
      <c r="H45" s="74"/>
      <c r="I45" s="74"/>
      <c r="J45" s="74">
        <v>60</v>
      </c>
      <c r="K45" s="74"/>
      <c r="L45" s="74"/>
      <c r="M45" s="74">
        <v>1</v>
      </c>
      <c r="N45" s="74"/>
      <c r="O45" s="74"/>
      <c r="P45" s="74"/>
      <c r="Q45" s="72">
        <f t="shared" si="4"/>
        <v>14210</v>
      </c>
    </row>
    <row r="46" spans="1:19" ht="15" customHeight="1">
      <c r="A46" s="73">
        <v>42616</v>
      </c>
      <c r="B46" s="73"/>
      <c r="C46" s="74">
        <v>12</v>
      </c>
      <c r="D46" s="74">
        <v>12</v>
      </c>
      <c r="E46" s="74">
        <v>60</v>
      </c>
      <c r="F46" s="74">
        <v>60</v>
      </c>
      <c r="G46" s="74">
        <v>60</v>
      </c>
      <c r="H46" s="74"/>
      <c r="I46" s="74"/>
      <c r="J46" s="74">
        <v>60</v>
      </c>
      <c r="K46" s="74"/>
      <c r="L46" s="74"/>
      <c r="M46" s="74">
        <v>1</v>
      </c>
      <c r="N46" s="74"/>
      <c r="O46" s="74"/>
      <c r="P46" s="74"/>
      <c r="Q46" s="72">
        <f t="shared" si="4"/>
        <v>14210</v>
      </c>
    </row>
    <row r="47" spans="1:19" ht="15" customHeight="1">
      <c r="A47" s="73">
        <v>42617</v>
      </c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>
        <v>1</v>
      </c>
      <c r="N47" s="74"/>
      <c r="O47" s="74"/>
      <c r="P47" s="74"/>
      <c r="Q47" s="72">
        <f t="shared" si="4"/>
        <v>230</v>
      </c>
      <c r="S47" s="61" t="s">
        <v>176</v>
      </c>
    </row>
    <row r="48" spans="1:19" ht="15" customHeight="1">
      <c r="A48" s="73">
        <v>42618</v>
      </c>
      <c r="B48" s="73"/>
      <c r="C48" s="74">
        <v>12</v>
      </c>
      <c r="D48" s="74">
        <v>12</v>
      </c>
      <c r="E48" s="74">
        <v>48</v>
      </c>
      <c r="F48" s="74">
        <v>48</v>
      </c>
      <c r="G48" s="74">
        <v>48</v>
      </c>
      <c r="H48" s="74"/>
      <c r="I48" s="74"/>
      <c r="J48" s="74">
        <v>48</v>
      </c>
      <c r="K48" s="74"/>
      <c r="L48" s="74"/>
      <c r="M48" s="74">
        <v>1</v>
      </c>
      <c r="N48" s="74"/>
      <c r="O48" s="74"/>
      <c r="P48" s="74"/>
      <c r="Q48" s="72">
        <f t="shared" si="4"/>
        <v>11870</v>
      </c>
    </row>
    <row r="49" spans="1:20" ht="15" customHeight="1">
      <c r="A49" s="73">
        <v>42619</v>
      </c>
      <c r="B49" s="32"/>
      <c r="C49" s="74">
        <v>12</v>
      </c>
      <c r="D49" s="74">
        <v>12</v>
      </c>
      <c r="E49" s="74">
        <v>51.5</v>
      </c>
      <c r="F49" s="74">
        <v>48</v>
      </c>
      <c r="G49" s="74">
        <v>51.5</v>
      </c>
      <c r="H49" s="74"/>
      <c r="I49" s="74"/>
      <c r="J49" s="74">
        <v>51.5</v>
      </c>
      <c r="K49" s="74"/>
      <c r="L49" s="74"/>
      <c r="M49" s="74">
        <v>1</v>
      </c>
      <c r="N49" s="74"/>
      <c r="O49" s="33"/>
      <c r="P49" s="33"/>
      <c r="Q49" s="72">
        <f t="shared" si="4"/>
        <v>12395</v>
      </c>
    </row>
    <row r="50" spans="1:20" ht="15" customHeight="1">
      <c r="A50" s="73">
        <v>42620</v>
      </c>
      <c r="B50" s="32"/>
      <c r="C50" s="74">
        <v>12</v>
      </c>
      <c r="D50" s="74">
        <v>12</v>
      </c>
      <c r="E50" s="74">
        <v>72</v>
      </c>
      <c r="F50" s="74">
        <v>60</v>
      </c>
      <c r="G50" s="74">
        <v>72</v>
      </c>
      <c r="H50" s="74"/>
      <c r="I50" s="74"/>
      <c r="J50" s="74">
        <v>72</v>
      </c>
      <c r="K50" s="74"/>
      <c r="L50" s="74"/>
      <c r="M50" s="74">
        <v>1</v>
      </c>
      <c r="N50" s="74"/>
      <c r="O50" s="33"/>
      <c r="P50" s="33"/>
      <c r="Q50" s="72">
        <f t="shared" si="4"/>
        <v>16010</v>
      </c>
    </row>
    <row r="51" spans="1:20" ht="15" customHeight="1">
      <c r="A51" s="73">
        <v>42621</v>
      </c>
      <c r="B51" s="73"/>
      <c r="C51" s="74">
        <v>12</v>
      </c>
      <c r="D51" s="74">
        <v>12</v>
      </c>
      <c r="E51" s="74">
        <v>72</v>
      </c>
      <c r="F51" s="74">
        <v>72</v>
      </c>
      <c r="G51" s="74">
        <v>72</v>
      </c>
      <c r="H51" s="74"/>
      <c r="I51" s="74"/>
      <c r="J51" s="74">
        <v>72</v>
      </c>
      <c r="K51" s="74"/>
      <c r="L51" s="74"/>
      <c r="M51" s="74">
        <v>1</v>
      </c>
      <c r="N51" s="33"/>
      <c r="O51" s="33"/>
      <c r="P51" s="33"/>
      <c r="Q51" s="72">
        <f t="shared" si="4"/>
        <v>16550</v>
      </c>
    </row>
    <row r="52" spans="1:20" ht="15" customHeight="1">
      <c r="A52" s="73">
        <v>42622</v>
      </c>
      <c r="B52" s="73"/>
      <c r="C52" s="74">
        <v>12</v>
      </c>
      <c r="D52" s="74">
        <v>12</v>
      </c>
      <c r="E52" s="74">
        <v>72</v>
      </c>
      <c r="F52" s="74">
        <v>72</v>
      </c>
      <c r="G52" s="74">
        <v>72</v>
      </c>
      <c r="H52" s="74"/>
      <c r="I52" s="74"/>
      <c r="J52" s="74">
        <v>72</v>
      </c>
      <c r="K52" s="74"/>
      <c r="L52" s="74"/>
      <c r="M52" s="74">
        <v>1</v>
      </c>
      <c r="N52" s="33"/>
      <c r="O52" s="33"/>
      <c r="P52" s="33"/>
      <c r="Q52" s="72">
        <f t="shared" si="4"/>
        <v>16550</v>
      </c>
    </row>
    <row r="53" spans="1:20" ht="15" customHeight="1">
      <c r="A53" s="73">
        <v>42623</v>
      </c>
      <c r="B53" s="73"/>
      <c r="C53" s="74">
        <v>12</v>
      </c>
      <c r="D53" s="74">
        <v>12</v>
      </c>
      <c r="E53" s="74">
        <v>72</v>
      </c>
      <c r="F53" s="74">
        <v>72</v>
      </c>
      <c r="G53" s="74">
        <v>72</v>
      </c>
      <c r="H53" s="74"/>
      <c r="I53" s="74"/>
      <c r="J53" s="74">
        <v>72</v>
      </c>
      <c r="K53" s="74"/>
      <c r="L53" s="74"/>
      <c r="M53" s="74">
        <v>1</v>
      </c>
      <c r="N53" s="33"/>
      <c r="O53" s="33"/>
      <c r="P53" s="33"/>
      <c r="Q53" s="72">
        <f t="shared" si="4"/>
        <v>16550</v>
      </c>
    </row>
    <row r="54" spans="1:20" ht="15" customHeight="1">
      <c r="A54" s="73">
        <v>42624</v>
      </c>
      <c r="B54" s="73"/>
      <c r="C54" s="74">
        <v>12</v>
      </c>
      <c r="D54" s="74"/>
      <c r="E54" s="74"/>
      <c r="F54" s="74"/>
      <c r="G54" s="74"/>
      <c r="H54" s="74"/>
      <c r="I54" s="74"/>
      <c r="J54" s="74"/>
      <c r="K54" s="74"/>
      <c r="L54" s="74"/>
      <c r="M54" s="74">
        <v>1</v>
      </c>
      <c r="N54" s="33"/>
      <c r="O54" s="33"/>
      <c r="P54" s="33"/>
      <c r="Q54" s="72">
        <f t="shared" si="4"/>
        <v>1550</v>
      </c>
      <c r="S54" s="61" t="s">
        <v>176</v>
      </c>
    </row>
    <row r="55" spans="1:20" ht="15" customHeight="1">
      <c r="A55" s="73">
        <v>42625</v>
      </c>
      <c r="B55" s="32"/>
      <c r="C55" s="74">
        <v>12</v>
      </c>
      <c r="D55" s="74">
        <v>12</v>
      </c>
      <c r="E55" s="74">
        <v>72</v>
      </c>
      <c r="F55" s="74">
        <v>72</v>
      </c>
      <c r="G55" s="74">
        <v>72</v>
      </c>
      <c r="H55" s="74"/>
      <c r="I55" s="74"/>
      <c r="J55" s="74">
        <v>72</v>
      </c>
      <c r="K55" s="74"/>
      <c r="L55" s="74"/>
      <c r="M55" s="74">
        <v>1</v>
      </c>
      <c r="N55" s="74"/>
      <c r="O55" s="33"/>
      <c r="P55" s="33"/>
      <c r="Q55" s="72">
        <f t="shared" si="4"/>
        <v>16550</v>
      </c>
    </row>
    <row r="56" spans="1:20" ht="15" customHeight="1">
      <c r="A56" s="32"/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72">
        <f t="shared" ref="Q56:Q60" si="6">(C56*$C$6)+(D56*$D$6)+(E56*$E$6)+(F56*$F$6)+(G56*$G$6)+(H56*$H$6)+(I56*$I$6)+(J56*$J$6)+(K56*$K$6)+(L56*$K$6)+(M56*$M$6)+(N56*$N$6)+(O56*$O$6)+(P56*$P$6)</f>
        <v>0</v>
      </c>
    </row>
    <row r="57" spans="1:20" ht="15" customHeight="1">
      <c r="A57" s="32"/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72">
        <f t="shared" si="6"/>
        <v>0</v>
      </c>
    </row>
    <row r="58" spans="1:20" ht="15" customHeight="1">
      <c r="A58" s="32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72">
        <f t="shared" si="6"/>
        <v>0</v>
      </c>
    </row>
    <row r="59" spans="1:20" ht="15" customHeight="1">
      <c r="A59" s="32"/>
      <c r="B59" s="32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72">
        <f t="shared" si="6"/>
        <v>0</v>
      </c>
    </row>
    <row r="60" spans="1:20" ht="15" customHeight="1">
      <c r="A60" s="32"/>
      <c r="B60" s="32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72">
        <f t="shared" si="6"/>
        <v>0</v>
      </c>
    </row>
    <row r="61" spans="1:20" ht="15" customHeight="1" thickBot="1">
      <c r="A61" s="11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72">
        <f t="shared" si="4"/>
        <v>0</v>
      </c>
    </row>
    <row r="62" spans="1:20" ht="3" customHeight="1">
      <c r="A62" s="14"/>
      <c r="B62" s="36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6"/>
      <c r="R62" s="4"/>
      <c r="S62" s="4"/>
      <c r="T62" s="4"/>
    </row>
    <row r="63" spans="1:20" ht="21.75" customHeight="1">
      <c r="A63" s="1" t="s">
        <v>4</v>
      </c>
      <c r="B63" s="1"/>
      <c r="P63" s="22" t="s">
        <v>23</v>
      </c>
      <c r="Q63" s="8">
        <f>SUM(Q7:Q61)</f>
        <v>381013.5</v>
      </c>
      <c r="R63" s="8">
        <f>SUM(R7:R61)</f>
        <v>0</v>
      </c>
      <c r="S63" s="23" t="s">
        <v>24</v>
      </c>
    </row>
    <row r="66" spans="18:18">
      <c r="R66" s="61" t="s">
        <v>139</v>
      </c>
    </row>
  </sheetData>
  <pageMargins left="0.2" right="0.2" top="0.75" bottom="0.5" header="0.3" footer="0.3"/>
  <pageSetup scale="56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O20"/>
  <sheetViews>
    <sheetView workbookViewId="0">
      <selection activeCell="F3" sqref="F3"/>
    </sheetView>
  </sheetViews>
  <sheetFormatPr baseColWidth="10" defaultColWidth="8.83203125" defaultRowHeight="12" x14ac:dyDescent="0"/>
  <cols>
    <col min="1" max="1" width="15.5" customWidth="1"/>
    <col min="2" max="2" width="13.5" customWidth="1"/>
    <col min="3" max="3" width="11" customWidth="1"/>
    <col min="4" max="4" width="11.5" customWidth="1"/>
    <col min="5" max="5" width="9.83203125" customWidth="1"/>
    <col min="9" max="9" width="11.5" customWidth="1"/>
    <col min="10" max="11" width="11.33203125" customWidth="1"/>
    <col min="12" max="12" width="13.33203125" customWidth="1"/>
  </cols>
  <sheetData>
    <row r="1" spans="1:15">
      <c r="A1" s="30" t="s">
        <v>580</v>
      </c>
      <c r="B1" s="30"/>
      <c r="C1" s="30"/>
    </row>
    <row r="2" spans="1:15">
      <c r="A2" s="24"/>
      <c r="B2" s="24"/>
      <c r="C2" s="24"/>
    </row>
    <row r="3" spans="1:15">
      <c r="A3" s="31" t="s">
        <v>579</v>
      </c>
      <c r="B3" s="31"/>
      <c r="C3" s="31"/>
    </row>
    <row r="5" spans="1:15" ht="33">
      <c r="A5" s="9" t="s">
        <v>0</v>
      </c>
      <c r="B5" s="9" t="s">
        <v>131</v>
      </c>
      <c r="C5" s="9" t="s">
        <v>90</v>
      </c>
      <c r="D5" s="5" t="s">
        <v>45</v>
      </c>
      <c r="E5" s="5" t="s">
        <v>69</v>
      </c>
      <c r="F5" s="5" t="s">
        <v>70</v>
      </c>
      <c r="G5" s="5" t="s">
        <v>71</v>
      </c>
      <c r="H5" s="5" t="s">
        <v>63</v>
      </c>
      <c r="I5" s="5" t="s">
        <v>2</v>
      </c>
      <c r="J5" s="18" t="s">
        <v>22</v>
      </c>
      <c r="K5" s="2" t="s">
        <v>58</v>
      </c>
      <c r="L5" s="2" t="s">
        <v>59</v>
      </c>
    </row>
    <row r="6" spans="1:15" ht="20">
      <c r="A6" s="19" t="s">
        <v>32</v>
      </c>
      <c r="B6" s="19"/>
      <c r="C6" s="19"/>
      <c r="D6" s="6">
        <v>745</v>
      </c>
      <c r="E6" s="6">
        <v>250</v>
      </c>
      <c r="F6" s="6">
        <v>150</v>
      </c>
      <c r="G6" s="6">
        <v>1</v>
      </c>
      <c r="H6" s="6">
        <v>80</v>
      </c>
      <c r="I6" s="6">
        <v>140</v>
      </c>
      <c r="J6" s="21"/>
      <c r="K6" s="44"/>
      <c r="L6" s="43"/>
    </row>
    <row r="7" spans="1:15" ht="15" customHeight="1">
      <c r="A7" s="10" t="s">
        <v>88</v>
      </c>
      <c r="B7" s="333" t="s">
        <v>575</v>
      </c>
      <c r="C7" s="32" t="s">
        <v>92</v>
      </c>
      <c r="D7" s="7">
        <v>3</v>
      </c>
      <c r="E7" s="7">
        <v>3</v>
      </c>
      <c r="F7" s="7">
        <v>0</v>
      </c>
      <c r="G7" s="7">
        <f>236+338+150</f>
        <v>724</v>
      </c>
      <c r="H7" s="7"/>
      <c r="I7" s="7"/>
      <c r="J7" s="50">
        <f>SUM((D7*$D$6)+(E7*$E$6)+(F7*$F$6)+(G7*$G$6)+(H7*$H$6)+(I7*$I$6))</f>
        <v>3709</v>
      </c>
      <c r="K7" s="51">
        <f>J7*0.05</f>
        <v>185.45000000000002</v>
      </c>
      <c r="L7" s="47">
        <f t="shared" ref="L7:L18" si="0">SUM(J7:K7)</f>
        <v>3894.45</v>
      </c>
      <c r="M7" t="s">
        <v>122</v>
      </c>
    </row>
    <row r="8" spans="1:15" ht="15" customHeight="1">
      <c r="A8" s="32" t="s">
        <v>142</v>
      </c>
      <c r="B8" s="333" t="s">
        <v>575</v>
      </c>
      <c r="C8" s="32" t="s">
        <v>143</v>
      </c>
      <c r="D8" s="33">
        <v>14</v>
      </c>
      <c r="E8" s="33">
        <v>16</v>
      </c>
      <c r="F8" s="33"/>
      <c r="G8" s="33">
        <v>2100</v>
      </c>
      <c r="H8" s="33"/>
      <c r="I8" s="33"/>
      <c r="J8" s="25">
        <f t="shared" ref="J8:J18" si="1">SUM((D8*$D$6)+(E8*$E$6)+(F8*$F$6)+(G8*$G$6)+(H8*$H$6)+(I8*$I$6))</f>
        <v>16530</v>
      </c>
      <c r="K8" s="77">
        <f t="shared" ref="K8:K18" si="2">J8*0.05</f>
        <v>826.5</v>
      </c>
      <c r="L8" s="58">
        <f t="shared" si="0"/>
        <v>17356.5</v>
      </c>
      <c r="M8" s="1" t="s">
        <v>148</v>
      </c>
    </row>
    <row r="9" spans="1:15" ht="15" customHeight="1">
      <c r="A9" s="32" t="s">
        <v>283</v>
      </c>
      <c r="B9" s="333" t="s">
        <v>575</v>
      </c>
      <c r="C9" s="32" t="s">
        <v>286</v>
      </c>
      <c r="D9" s="33">
        <v>10</v>
      </c>
      <c r="E9" s="33">
        <v>15</v>
      </c>
      <c r="F9" s="33"/>
      <c r="G9" s="33">
        <v>1500</v>
      </c>
      <c r="H9" s="33"/>
      <c r="I9" s="33"/>
      <c r="J9" s="25">
        <f t="shared" si="1"/>
        <v>12700</v>
      </c>
      <c r="K9" s="46">
        <f t="shared" si="2"/>
        <v>635</v>
      </c>
      <c r="L9" s="47">
        <f t="shared" si="0"/>
        <v>13335</v>
      </c>
      <c r="M9" t="s">
        <v>288</v>
      </c>
    </row>
    <row r="10" spans="1:15" ht="15" customHeight="1">
      <c r="A10" s="32" t="s">
        <v>343</v>
      </c>
      <c r="B10" s="333" t="s">
        <v>575</v>
      </c>
      <c r="C10" s="32" t="s">
        <v>344</v>
      </c>
      <c r="D10" s="33">
        <v>13</v>
      </c>
      <c r="E10" s="33">
        <v>15</v>
      </c>
      <c r="F10" s="33"/>
      <c r="G10" s="33">
        <v>1950</v>
      </c>
      <c r="H10" s="33"/>
      <c r="I10" s="33"/>
      <c r="J10" s="25">
        <f t="shared" si="1"/>
        <v>15385</v>
      </c>
      <c r="K10" s="46">
        <f t="shared" si="2"/>
        <v>769.25</v>
      </c>
      <c r="L10" s="47">
        <f t="shared" si="0"/>
        <v>16154.25</v>
      </c>
      <c r="M10" t="s">
        <v>345</v>
      </c>
      <c r="O10" s="1" t="s">
        <v>346</v>
      </c>
    </row>
    <row r="11" spans="1:15" ht="15" customHeight="1">
      <c r="A11" s="32" t="s">
        <v>413</v>
      </c>
      <c r="B11" s="333" t="s">
        <v>575</v>
      </c>
      <c r="C11" s="32" t="s">
        <v>414</v>
      </c>
      <c r="D11" s="33">
        <v>10</v>
      </c>
      <c r="E11" s="33">
        <v>15</v>
      </c>
      <c r="F11" s="33"/>
      <c r="G11" s="33">
        <v>1500</v>
      </c>
      <c r="H11" s="33"/>
      <c r="I11" s="33"/>
      <c r="J11" s="25">
        <f t="shared" ref="J11:J16" si="3">SUM((D11*$D$6)+(E11*$E$6)+(F11*$F$6)+(G11*$G$6)+(H11*$H$6)+(I11*$I$6))</f>
        <v>12700</v>
      </c>
      <c r="K11" s="46">
        <f t="shared" ref="K11:K16" si="4">J11*0.05</f>
        <v>635</v>
      </c>
      <c r="L11" s="47">
        <f t="shared" si="0"/>
        <v>13335</v>
      </c>
      <c r="M11" t="s">
        <v>415</v>
      </c>
    </row>
    <row r="12" spans="1:15" ht="15" customHeight="1">
      <c r="A12" s="32" t="s">
        <v>477</v>
      </c>
      <c r="B12" s="333" t="s">
        <v>575</v>
      </c>
      <c r="C12" s="32" t="s">
        <v>481</v>
      </c>
      <c r="D12" s="33">
        <v>12</v>
      </c>
      <c r="E12" s="33">
        <v>16</v>
      </c>
      <c r="F12" s="33"/>
      <c r="G12" s="33">
        <v>1800</v>
      </c>
      <c r="H12" s="33"/>
      <c r="I12" s="33"/>
      <c r="J12" s="25">
        <f t="shared" si="3"/>
        <v>14740</v>
      </c>
      <c r="K12" s="46">
        <f t="shared" si="4"/>
        <v>737</v>
      </c>
      <c r="L12" s="47">
        <f t="shared" ref="L12" si="5">SUM(J12:K12)</f>
        <v>15477</v>
      </c>
      <c r="M12" t="s">
        <v>480</v>
      </c>
    </row>
    <row r="13" spans="1:15" ht="15" customHeight="1">
      <c r="A13" s="32" t="s">
        <v>513</v>
      </c>
      <c r="B13" s="333" t="s">
        <v>575</v>
      </c>
      <c r="C13" s="32" t="s">
        <v>516</v>
      </c>
      <c r="D13" s="33">
        <v>12</v>
      </c>
      <c r="E13" s="33">
        <v>15</v>
      </c>
      <c r="F13" s="33"/>
      <c r="G13" s="33">
        <v>1800</v>
      </c>
      <c r="H13" s="33"/>
      <c r="I13" s="33"/>
      <c r="J13" s="25">
        <f t="shared" si="3"/>
        <v>14490</v>
      </c>
      <c r="K13" s="46">
        <f t="shared" si="4"/>
        <v>724.5</v>
      </c>
      <c r="L13" s="47">
        <f t="shared" ref="L13" si="6">SUM(J13:K13)</f>
        <v>15214.5</v>
      </c>
      <c r="M13" t="s">
        <v>515</v>
      </c>
    </row>
    <row r="14" spans="1:15" ht="15" customHeight="1">
      <c r="A14" s="32"/>
      <c r="B14" s="32"/>
      <c r="C14" s="32"/>
      <c r="D14" s="33"/>
      <c r="E14" s="33"/>
      <c r="F14" s="33"/>
      <c r="G14" s="33"/>
      <c r="H14" s="33"/>
      <c r="I14" s="33"/>
      <c r="J14" s="25">
        <f t="shared" ref="J14:J15" si="7">SUM((D14*$D$6)+(E14*$E$6)+(F14*$F$6)+(G14*$G$6)+(H14*$H$6)+(I14*$I$6))</f>
        <v>0</v>
      </c>
      <c r="K14" s="46">
        <f t="shared" ref="K14:K15" si="8">J14*0.05</f>
        <v>0</v>
      </c>
      <c r="L14" s="47">
        <f t="shared" ref="L14:L15" si="9">SUM(J14:K14)</f>
        <v>0</v>
      </c>
    </row>
    <row r="15" spans="1:15" ht="15" customHeight="1">
      <c r="A15" s="32"/>
      <c r="B15" s="32"/>
      <c r="C15" s="32"/>
      <c r="D15" s="33"/>
      <c r="E15" s="33"/>
      <c r="F15" s="33"/>
      <c r="G15" s="33"/>
      <c r="H15" s="33"/>
      <c r="I15" s="33"/>
      <c r="J15" s="25">
        <f t="shared" si="7"/>
        <v>0</v>
      </c>
      <c r="K15" s="46">
        <f t="shared" si="8"/>
        <v>0</v>
      </c>
      <c r="L15" s="47">
        <f t="shared" si="9"/>
        <v>0</v>
      </c>
    </row>
    <row r="16" spans="1:15" ht="15" customHeight="1">
      <c r="A16" s="32"/>
      <c r="B16" s="32"/>
      <c r="C16" s="32"/>
      <c r="D16" s="33"/>
      <c r="E16" s="33"/>
      <c r="F16" s="33"/>
      <c r="G16" s="33"/>
      <c r="H16" s="33"/>
      <c r="I16" s="33"/>
      <c r="J16" s="25">
        <f t="shared" si="3"/>
        <v>0</v>
      </c>
      <c r="K16" s="46">
        <f t="shared" si="4"/>
        <v>0</v>
      </c>
      <c r="L16" s="47">
        <f t="shared" ref="L16" si="10">SUM(J16:K16)</f>
        <v>0</v>
      </c>
    </row>
    <row r="17" spans="1:13" ht="15" customHeight="1">
      <c r="A17" s="32"/>
      <c r="B17" s="32"/>
      <c r="C17" s="32"/>
      <c r="D17" s="33"/>
      <c r="E17" s="33"/>
      <c r="F17" s="33"/>
      <c r="G17" s="33"/>
      <c r="H17" s="33"/>
      <c r="I17" s="33"/>
      <c r="J17" s="25">
        <f t="shared" si="1"/>
        <v>0</v>
      </c>
      <c r="K17" s="46">
        <f t="shared" si="2"/>
        <v>0</v>
      </c>
      <c r="L17" s="47">
        <f t="shared" si="0"/>
        <v>0</v>
      </c>
    </row>
    <row r="18" spans="1:13" ht="15" customHeight="1" thickBot="1">
      <c r="A18" s="11"/>
      <c r="B18" s="11"/>
      <c r="C18" s="11"/>
      <c r="D18" s="12"/>
      <c r="E18" s="12"/>
      <c r="F18" s="12"/>
      <c r="G18" s="12"/>
      <c r="H18" s="12"/>
      <c r="I18" s="12"/>
      <c r="J18" s="25">
        <f t="shared" si="1"/>
        <v>0</v>
      </c>
      <c r="K18" s="46">
        <f t="shared" si="2"/>
        <v>0</v>
      </c>
      <c r="L18" s="47">
        <f t="shared" si="0"/>
        <v>0</v>
      </c>
    </row>
    <row r="19" spans="1:13" ht="3" customHeight="1">
      <c r="A19" s="14"/>
      <c r="B19" s="36"/>
      <c r="C19" s="36"/>
      <c r="D19" s="15"/>
      <c r="E19" s="15"/>
      <c r="F19" s="15"/>
      <c r="G19" s="15"/>
      <c r="H19" s="15"/>
      <c r="I19" s="15"/>
      <c r="J19" s="15"/>
      <c r="K19" s="15"/>
      <c r="L19" s="15"/>
    </row>
    <row r="20" spans="1:13" ht="21.75" customHeight="1">
      <c r="A20" s="1" t="s">
        <v>4</v>
      </c>
      <c r="B20" s="1"/>
      <c r="C20" s="1"/>
      <c r="H20" s="22"/>
      <c r="I20" s="22" t="s">
        <v>23</v>
      </c>
      <c r="J20" s="45">
        <f>SUM(J7:J19)</f>
        <v>90254</v>
      </c>
      <c r="K20" s="45">
        <f>SUM(K7:K19)</f>
        <v>4512.7</v>
      </c>
      <c r="L20" s="45">
        <f>SUM(L7:L19)</f>
        <v>94766.7</v>
      </c>
      <c r="M20" s="23" t="s">
        <v>132</v>
      </c>
    </row>
  </sheetData>
  <pageMargins left="0.2" right="0.2" top="0.75" bottom="0.5" header="0.3" footer="0.3"/>
  <pageSetup scale="84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P26"/>
  <sheetViews>
    <sheetView workbookViewId="0">
      <selection activeCell="A3" sqref="A3"/>
    </sheetView>
  </sheetViews>
  <sheetFormatPr baseColWidth="10" defaultColWidth="8.83203125" defaultRowHeight="12" x14ac:dyDescent="0"/>
  <cols>
    <col min="1" max="1" width="17.83203125" customWidth="1"/>
    <col min="2" max="2" width="13.5" customWidth="1"/>
    <col min="3" max="3" width="11" customWidth="1"/>
    <col min="4" max="4" width="11.5" customWidth="1"/>
    <col min="5" max="5" width="11.1640625" customWidth="1"/>
    <col min="9" max="10" width="11.5" customWidth="1"/>
    <col min="11" max="12" width="11.33203125" customWidth="1"/>
    <col min="13" max="13" width="13.33203125" customWidth="1"/>
  </cols>
  <sheetData>
    <row r="1" spans="1:16">
      <c r="A1" s="30" t="s">
        <v>581</v>
      </c>
      <c r="B1" s="30"/>
      <c r="C1" s="30"/>
    </row>
    <row r="2" spans="1:16">
      <c r="A2" s="24"/>
      <c r="B2" s="24"/>
      <c r="C2" s="24"/>
    </row>
    <row r="3" spans="1:16">
      <c r="A3" s="31" t="s">
        <v>584</v>
      </c>
      <c r="B3" s="31"/>
      <c r="C3" s="31"/>
    </row>
    <row r="5" spans="1:16" ht="33">
      <c r="A5" s="9" t="s">
        <v>0</v>
      </c>
      <c r="B5" s="9" t="s">
        <v>131</v>
      </c>
      <c r="C5" s="9" t="s">
        <v>90</v>
      </c>
      <c r="D5" s="5" t="s">
        <v>45</v>
      </c>
      <c r="E5" s="5" t="s">
        <v>69</v>
      </c>
      <c r="F5" s="5" t="s">
        <v>70</v>
      </c>
      <c r="G5" s="5" t="s">
        <v>71</v>
      </c>
      <c r="H5" s="5" t="s">
        <v>63</v>
      </c>
      <c r="I5" s="5" t="s">
        <v>2</v>
      </c>
      <c r="J5" s="5" t="s">
        <v>149</v>
      </c>
      <c r="K5" s="18" t="s">
        <v>22</v>
      </c>
      <c r="L5" s="2" t="s">
        <v>58</v>
      </c>
      <c r="M5" s="2" t="s">
        <v>59</v>
      </c>
    </row>
    <row r="6" spans="1:16" ht="36.75" customHeight="1">
      <c r="A6" s="19" t="s">
        <v>32</v>
      </c>
      <c r="B6" s="19"/>
      <c r="C6" s="19"/>
      <c r="D6" s="6">
        <v>1045</v>
      </c>
      <c r="E6" s="6">
        <v>215</v>
      </c>
      <c r="F6" s="6">
        <v>150</v>
      </c>
      <c r="G6" s="6">
        <v>1</v>
      </c>
      <c r="H6" s="6">
        <v>80</v>
      </c>
      <c r="I6" s="6">
        <v>140</v>
      </c>
      <c r="J6" s="21"/>
      <c r="K6" s="21"/>
      <c r="L6" s="44"/>
      <c r="M6" s="43"/>
    </row>
    <row r="7" spans="1:16" ht="20" customHeight="1">
      <c r="A7" s="32" t="s">
        <v>88</v>
      </c>
      <c r="B7" s="334" t="s">
        <v>582</v>
      </c>
      <c r="C7" s="32" t="s">
        <v>91</v>
      </c>
      <c r="D7" s="33">
        <v>8</v>
      </c>
      <c r="E7" s="33">
        <v>10</v>
      </c>
      <c r="F7" s="33"/>
      <c r="G7" s="33">
        <f>150+150+246+156+154+153+154+238</f>
        <v>1401</v>
      </c>
      <c r="H7" s="33"/>
      <c r="I7" s="33"/>
      <c r="J7" s="33"/>
      <c r="K7" s="25">
        <f>SUM((D7*$D$6)+(E7*$E$6)+(F7*$F$6)+(G7*$G$6)+(H7*$H$6)+(I7*$I$6))+J7</f>
        <v>11911</v>
      </c>
      <c r="L7" s="46">
        <f t="shared" ref="L7:L10" si="0">K7*0.05</f>
        <v>595.55000000000007</v>
      </c>
      <c r="M7" s="47">
        <f t="shared" ref="M7:M10" si="1">SUM(K7:L7)</f>
        <v>12506.55</v>
      </c>
      <c r="N7" t="s">
        <v>122</v>
      </c>
    </row>
    <row r="8" spans="1:16" ht="20" customHeight="1">
      <c r="A8" s="32" t="s">
        <v>150</v>
      </c>
      <c r="B8" s="334" t="s">
        <v>583</v>
      </c>
      <c r="C8" s="32" t="s">
        <v>147</v>
      </c>
      <c r="D8" s="33">
        <v>14</v>
      </c>
      <c r="E8" s="33">
        <v>16</v>
      </c>
      <c r="F8" s="33"/>
      <c r="G8" s="33">
        <v>2710</v>
      </c>
      <c r="H8" s="33"/>
      <c r="I8" s="33">
        <v>6</v>
      </c>
      <c r="J8" s="33">
        <v>241.77</v>
      </c>
      <c r="K8" s="25">
        <f>SUM((D8*$D$6)+(E8*$E$6)+(F8*$F$6)+(G8*$G$6)+(H8*$H$6)+(I8*$I$6))+J8</f>
        <v>21861.77</v>
      </c>
      <c r="L8" s="77">
        <f t="shared" si="0"/>
        <v>1093.0885000000001</v>
      </c>
      <c r="M8" s="58">
        <f t="shared" si="1"/>
        <v>22954.858500000002</v>
      </c>
      <c r="N8" s="1" t="s">
        <v>148</v>
      </c>
      <c r="P8" s="1"/>
    </row>
    <row r="9" spans="1:16" ht="20" customHeight="1">
      <c r="A9" s="32" t="s">
        <v>150</v>
      </c>
      <c r="B9" s="334" t="s">
        <v>582</v>
      </c>
      <c r="C9" s="32" t="s">
        <v>144</v>
      </c>
      <c r="D9" s="33">
        <v>11</v>
      </c>
      <c r="E9" s="33">
        <v>11</v>
      </c>
      <c r="F9" s="33"/>
      <c r="G9" s="33">
        <v>1650</v>
      </c>
      <c r="H9" s="33"/>
      <c r="I9" s="33"/>
      <c r="J9" s="33"/>
      <c r="K9" s="25">
        <f t="shared" ref="K9:K12" si="2">SUM((D9*$D$6)+(E9*$E$6)+(F9*$F$6)+(G9*$G$6)+(H9*$H$6)+(I9*$I$6))+J9</f>
        <v>15510</v>
      </c>
      <c r="L9" s="77">
        <f t="shared" si="0"/>
        <v>775.5</v>
      </c>
      <c r="M9" s="58">
        <f t="shared" si="1"/>
        <v>16285.5</v>
      </c>
      <c r="N9" s="1" t="s">
        <v>148</v>
      </c>
      <c r="P9" s="1"/>
    </row>
    <row r="10" spans="1:16" ht="20" customHeight="1">
      <c r="A10" s="32" t="s">
        <v>150</v>
      </c>
      <c r="B10" s="334" t="s">
        <v>583</v>
      </c>
      <c r="C10" s="32" t="s">
        <v>151</v>
      </c>
      <c r="D10" s="33">
        <v>2</v>
      </c>
      <c r="E10" s="33">
        <v>2</v>
      </c>
      <c r="F10" s="33"/>
      <c r="G10" s="33">
        <v>300</v>
      </c>
      <c r="H10" s="33"/>
      <c r="I10" s="33"/>
      <c r="J10" s="33"/>
      <c r="K10" s="25">
        <f t="shared" si="2"/>
        <v>2820</v>
      </c>
      <c r="L10" s="46">
        <f t="shared" si="0"/>
        <v>141</v>
      </c>
      <c r="M10" s="47">
        <f t="shared" si="1"/>
        <v>2961</v>
      </c>
      <c r="N10" s="1" t="s">
        <v>148</v>
      </c>
      <c r="P10" s="1"/>
    </row>
    <row r="11" spans="1:16" ht="20" customHeight="1">
      <c r="A11" s="32" t="s">
        <v>283</v>
      </c>
      <c r="B11" s="334" t="s">
        <v>582</v>
      </c>
      <c r="C11" s="32" t="s">
        <v>284</v>
      </c>
      <c r="D11" s="33">
        <v>13</v>
      </c>
      <c r="E11" s="33">
        <v>15</v>
      </c>
      <c r="F11" s="33"/>
      <c r="G11" s="33">
        <v>2544</v>
      </c>
      <c r="H11" s="33"/>
      <c r="I11" s="33">
        <v>12</v>
      </c>
      <c r="J11" s="33">
        <v>339.64</v>
      </c>
      <c r="K11" s="25">
        <f t="shared" si="2"/>
        <v>21373.64</v>
      </c>
      <c r="L11" s="46">
        <f t="shared" ref="L11:L19" si="3">K11*0.05</f>
        <v>1068.682</v>
      </c>
      <c r="M11" s="47">
        <f t="shared" ref="M11:M12" si="4">SUM(K11:L11)</f>
        <v>22442.322</v>
      </c>
      <c r="N11" s="1" t="s">
        <v>288</v>
      </c>
    </row>
    <row r="12" spans="1:16" s="110" customFormat="1" ht="20" customHeight="1">
      <c r="A12" s="10" t="s">
        <v>283</v>
      </c>
      <c r="B12" s="334" t="s">
        <v>583</v>
      </c>
      <c r="C12" s="10" t="s">
        <v>285</v>
      </c>
      <c r="D12" s="7">
        <v>13</v>
      </c>
      <c r="E12" s="7">
        <v>15</v>
      </c>
      <c r="F12" s="7"/>
      <c r="G12" s="7">
        <v>1950</v>
      </c>
      <c r="H12" s="7"/>
      <c r="I12" s="7"/>
      <c r="J12" s="7"/>
      <c r="K12" s="25">
        <f t="shared" si="2"/>
        <v>18760</v>
      </c>
      <c r="L12" s="109">
        <f t="shared" si="3"/>
        <v>938</v>
      </c>
      <c r="M12" s="109">
        <f t="shared" si="4"/>
        <v>19698</v>
      </c>
      <c r="N12" s="110" t="s">
        <v>288</v>
      </c>
    </row>
    <row r="13" spans="1:16" ht="20" customHeight="1">
      <c r="A13" s="32" t="s">
        <v>343</v>
      </c>
      <c r="B13" s="334" t="s">
        <v>582</v>
      </c>
      <c r="C13" s="32" t="s">
        <v>341</v>
      </c>
      <c r="D13" s="33">
        <v>13</v>
      </c>
      <c r="E13" s="33">
        <v>15</v>
      </c>
      <c r="F13" s="33"/>
      <c r="G13" s="33">
        <v>2296</v>
      </c>
      <c r="H13" s="33"/>
      <c r="I13" s="33">
        <v>11</v>
      </c>
      <c r="J13" s="33"/>
      <c r="K13" s="25">
        <f t="shared" ref="K13:K14" si="5">SUM((D13*$D$6)+(E13*$E$6)+(F13*$F$6)+(G13*$G$6)+(H13*$H$6)+(I13*$I$6))+J13</f>
        <v>20646</v>
      </c>
      <c r="L13" s="46">
        <f t="shared" si="3"/>
        <v>1032.3</v>
      </c>
      <c r="M13" s="47">
        <f t="shared" ref="M13:M14" si="6">SUM(K13:L13)</f>
        <v>21678.3</v>
      </c>
      <c r="N13" s="130" t="s">
        <v>347</v>
      </c>
    </row>
    <row r="14" spans="1:16" s="110" customFormat="1" ht="20" customHeight="1">
      <c r="A14" s="10" t="s">
        <v>343</v>
      </c>
      <c r="B14" s="334" t="s">
        <v>583</v>
      </c>
      <c r="C14" s="10" t="s">
        <v>342</v>
      </c>
      <c r="D14" s="7">
        <v>13</v>
      </c>
      <c r="E14" s="7">
        <v>15</v>
      </c>
      <c r="F14" s="7"/>
      <c r="G14" s="7">
        <v>1950</v>
      </c>
      <c r="H14" s="7"/>
      <c r="I14" s="7"/>
      <c r="J14" s="7"/>
      <c r="K14" s="25">
        <f t="shared" si="5"/>
        <v>18760</v>
      </c>
      <c r="L14" s="109">
        <f t="shared" si="3"/>
        <v>938</v>
      </c>
      <c r="M14" s="109">
        <f t="shared" si="6"/>
        <v>19698</v>
      </c>
      <c r="N14" s="110" t="s">
        <v>348</v>
      </c>
      <c r="P14" s="110" t="s">
        <v>346</v>
      </c>
    </row>
    <row r="15" spans="1:16" ht="20" customHeight="1">
      <c r="A15" s="32" t="s">
        <v>413</v>
      </c>
      <c r="B15" s="334" t="s">
        <v>582</v>
      </c>
      <c r="C15" s="32" t="s">
        <v>416</v>
      </c>
      <c r="D15" s="33">
        <v>10</v>
      </c>
      <c r="E15" s="33">
        <v>15</v>
      </c>
      <c r="F15" s="33"/>
      <c r="G15" s="33">
        <v>1756</v>
      </c>
      <c r="H15" s="33"/>
      <c r="I15" s="33">
        <v>9</v>
      </c>
      <c r="J15" s="33"/>
      <c r="K15" s="25">
        <f t="shared" ref="K15:K16" si="7">SUM((D15*$D$6)+(E15*$E$6)+(F15*$F$6)+(G15*$G$6)+(H15*$H$6)+(I15*$I$6))+J15</f>
        <v>16691</v>
      </c>
      <c r="L15" s="46">
        <f t="shared" si="3"/>
        <v>834.55000000000007</v>
      </c>
      <c r="M15" s="47">
        <f t="shared" ref="M15:M16" si="8">SUM(K15:L15)</f>
        <v>17525.55</v>
      </c>
      <c r="N15" s="130" t="s">
        <v>418</v>
      </c>
    </row>
    <row r="16" spans="1:16" s="110" customFormat="1" ht="20" customHeight="1">
      <c r="A16" s="32" t="s">
        <v>413</v>
      </c>
      <c r="B16" s="334" t="s">
        <v>583</v>
      </c>
      <c r="C16" s="10" t="s">
        <v>417</v>
      </c>
      <c r="D16" s="7">
        <v>10</v>
      </c>
      <c r="E16" s="7">
        <v>15</v>
      </c>
      <c r="F16" s="7"/>
      <c r="G16" s="7">
        <v>1500</v>
      </c>
      <c r="H16" s="7"/>
      <c r="I16" s="7">
        <v>1</v>
      </c>
      <c r="J16" s="7"/>
      <c r="K16" s="25">
        <f t="shared" si="7"/>
        <v>15315</v>
      </c>
      <c r="L16" s="109">
        <f t="shared" si="3"/>
        <v>765.75</v>
      </c>
      <c r="M16" s="109">
        <f t="shared" si="8"/>
        <v>16080.75</v>
      </c>
      <c r="N16" s="130" t="s">
        <v>418</v>
      </c>
      <c r="O16"/>
      <c r="P16"/>
    </row>
    <row r="17" spans="1:16" ht="20" customHeight="1">
      <c r="A17" s="32" t="s">
        <v>477</v>
      </c>
      <c r="B17" s="334" t="s">
        <v>582</v>
      </c>
      <c r="C17" s="32" t="s">
        <v>478</v>
      </c>
      <c r="D17" s="33">
        <v>14</v>
      </c>
      <c r="E17" s="33">
        <v>16</v>
      </c>
      <c r="F17" s="33"/>
      <c r="G17" s="33">
        <v>2745</v>
      </c>
      <c r="H17" s="33"/>
      <c r="I17" s="33">
        <v>13</v>
      </c>
      <c r="J17" s="33"/>
      <c r="K17" s="25">
        <f t="shared" ref="K17:K18" si="9">SUM((D17*$D$6)+(E17*$E$6)+(F17*$F$6)+(G17*$G$6)+(H17*$H$6)+(I17*$I$6))+J17</f>
        <v>22635</v>
      </c>
      <c r="L17" s="46">
        <f t="shared" si="3"/>
        <v>1131.75</v>
      </c>
      <c r="M17" s="47">
        <f t="shared" ref="M17:M18" si="10">SUM(K17:L17)</f>
        <v>23766.75</v>
      </c>
      <c r="N17" s="130" t="s">
        <v>480</v>
      </c>
    </row>
    <row r="18" spans="1:16" s="110" customFormat="1" ht="20" customHeight="1">
      <c r="A18" s="10" t="s">
        <v>477</v>
      </c>
      <c r="B18" s="334" t="s">
        <v>583</v>
      </c>
      <c r="C18" s="10" t="s">
        <v>479</v>
      </c>
      <c r="D18" s="7">
        <v>8</v>
      </c>
      <c r="E18" s="7">
        <v>8</v>
      </c>
      <c r="F18" s="7"/>
      <c r="G18" s="7">
        <v>1200</v>
      </c>
      <c r="H18" s="7"/>
      <c r="I18" s="7"/>
      <c r="J18" s="7"/>
      <c r="K18" s="25">
        <f t="shared" si="9"/>
        <v>11280</v>
      </c>
      <c r="L18" s="109">
        <f t="shared" si="3"/>
        <v>564</v>
      </c>
      <c r="M18" s="109">
        <f t="shared" si="10"/>
        <v>11844</v>
      </c>
      <c r="N18" s="130" t="s">
        <v>480</v>
      </c>
      <c r="O18"/>
      <c r="P18"/>
    </row>
    <row r="19" spans="1:16" ht="20" customHeight="1">
      <c r="A19" s="32" t="s">
        <v>513</v>
      </c>
      <c r="B19" s="334" t="s">
        <v>582</v>
      </c>
      <c r="C19" s="32" t="s">
        <v>514</v>
      </c>
      <c r="D19" s="33">
        <v>14</v>
      </c>
      <c r="E19" s="33">
        <v>15</v>
      </c>
      <c r="F19" s="33"/>
      <c r="G19" s="33">
        <v>2370</v>
      </c>
      <c r="H19" s="33"/>
      <c r="I19" s="33">
        <v>13</v>
      </c>
      <c r="J19" s="33"/>
      <c r="K19" s="25">
        <f t="shared" ref="K19" si="11">SUM((D19*$D$6)+(E19*$E$6)+(F19*$F$6)+(G19*$G$6)+(H19*$H$6)+(I19*$I$6))+J19</f>
        <v>22045</v>
      </c>
      <c r="L19" s="46">
        <f t="shared" si="3"/>
        <v>1102.25</v>
      </c>
      <c r="M19" s="47">
        <f t="shared" ref="M19" si="12">SUM(K19:L19)</f>
        <v>23147.25</v>
      </c>
      <c r="N19" s="130" t="s">
        <v>515</v>
      </c>
    </row>
    <row r="20" spans="1:16" s="110" customFormat="1" ht="20" customHeight="1">
      <c r="A20" s="10"/>
      <c r="B20" s="10"/>
      <c r="C20" s="10"/>
      <c r="D20" s="7"/>
      <c r="E20" s="7"/>
      <c r="F20" s="7"/>
      <c r="G20" s="7"/>
      <c r="H20" s="7"/>
      <c r="I20" s="7"/>
      <c r="J20" s="7"/>
      <c r="K20" s="25">
        <f t="shared" ref="K20:K24" si="13">SUM((D20*$D$6)+(E20*$E$6)+(F20*$F$6)+(G20*$G$6)+(H20*$H$6)+(I20*$I$6))+J20</f>
        <v>0</v>
      </c>
      <c r="L20" s="109">
        <f t="shared" ref="L20:L24" si="14">K20*0.05</f>
        <v>0</v>
      </c>
      <c r="M20" s="109">
        <f t="shared" ref="M20:M24" si="15">SUM(K20:L20)</f>
        <v>0</v>
      </c>
    </row>
    <row r="21" spans="1:16" ht="20" customHeight="1">
      <c r="A21" s="32"/>
      <c r="B21" s="32"/>
      <c r="C21" s="32"/>
      <c r="D21" s="33"/>
      <c r="E21" s="33"/>
      <c r="F21" s="33"/>
      <c r="G21" s="33"/>
      <c r="H21" s="33"/>
      <c r="I21" s="33"/>
      <c r="J21" s="33"/>
      <c r="K21" s="25">
        <f t="shared" si="13"/>
        <v>0</v>
      </c>
      <c r="L21" s="109">
        <f t="shared" si="14"/>
        <v>0</v>
      </c>
      <c r="M21" s="109">
        <f t="shared" si="15"/>
        <v>0</v>
      </c>
    </row>
    <row r="22" spans="1:16" s="110" customFormat="1" ht="20" customHeight="1">
      <c r="A22" s="10"/>
      <c r="B22" s="10"/>
      <c r="C22" s="10"/>
      <c r="D22" s="7"/>
      <c r="E22" s="7"/>
      <c r="F22" s="7"/>
      <c r="G22" s="7"/>
      <c r="H22" s="7"/>
      <c r="I22" s="7"/>
      <c r="J22" s="7"/>
      <c r="K22" s="25">
        <f t="shared" si="13"/>
        <v>0</v>
      </c>
      <c r="L22" s="109">
        <f t="shared" si="14"/>
        <v>0</v>
      </c>
      <c r="M22" s="109">
        <f t="shared" si="15"/>
        <v>0</v>
      </c>
    </row>
    <row r="23" spans="1:16" ht="20" customHeight="1">
      <c r="A23" s="32"/>
      <c r="B23" s="32"/>
      <c r="C23" s="32"/>
      <c r="D23" s="33"/>
      <c r="E23" s="33"/>
      <c r="F23" s="33"/>
      <c r="G23" s="33"/>
      <c r="H23" s="33"/>
      <c r="I23" s="33"/>
      <c r="J23" s="33"/>
      <c r="K23" s="25">
        <f t="shared" si="13"/>
        <v>0</v>
      </c>
      <c r="L23" s="109">
        <f t="shared" si="14"/>
        <v>0</v>
      </c>
      <c r="M23" s="109">
        <f t="shared" si="15"/>
        <v>0</v>
      </c>
    </row>
    <row r="24" spans="1:16" s="110" customFormat="1" ht="20" customHeight="1">
      <c r="A24" s="10"/>
      <c r="B24" s="10"/>
      <c r="C24" s="10"/>
      <c r="D24" s="7"/>
      <c r="E24" s="7"/>
      <c r="F24" s="7"/>
      <c r="G24" s="7"/>
      <c r="H24" s="7"/>
      <c r="I24" s="7"/>
      <c r="J24" s="7"/>
      <c r="K24" s="25">
        <f t="shared" si="13"/>
        <v>0</v>
      </c>
      <c r="L24" s="109">
        <f t="shared" si="14"/>
        <v>0</v>
      </c>
      <c r="M24" s="109">
        <f t="shared" si="15"/>
        <v>0</v>
      </c>
    </row>
    <row r="25" spans="1:16" s="117" customFormat="1" ht="16.5" customHeight="1">
      <c r="A25" s="113"/>
      <c r="B25" s="114"/>
      <c r="C25" s="114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6"/>
    </row>
    <row r="26" spans="1:16" ht="21.75" customHeight="1">
      <c r="A26" s="104" t="s">
        <v>4</v>
      </c>
      <c r="B26" s="104"/>
      <c r="C26" s="104"/>
      <c r="D26" s="105"/>
      <c r="E26" s="105"/>
      <c r="F26" s="105"/>
      <c r="G26" s="105"/>
      <c r="H26" s="111"/>
      <c r="I26" s="111" t="s">
        <v>23</v>
      </c>
      <c r="J26" s="111"/>
      <c r="K26" s="112">
        <f>SUM(K7:K25)</f>
        <v>219608.41</v>
      </c>
      <c r="L26" s="112">
        <f>SUM(L7:L25)</f>
        <v>10980.4205</v>
      </c>
      <c r="M26" s="112">
        <f>SUM(M7:M25)</f>
        <v>230588.83049999998</v>
      </c>
      <c r="N26" s="23" t="s">
        <v>132</v>
      </c>
    </row>
  </sheetData>
  <pageMargins left="0.2" right="0.2" top="0.75" bottom="0.5" header="0.3" footer="0.3"/>
  <pageSetup scale="77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O37"/>
  <sheetViews>
    <sheetView tabSelected="1" workbookViewId="0">
      <pane ySplit="6" topLeftCell="A7" activePane="bottomLeft" state="frozen"/>
      <selection pane="bottomLeft"/>
    </sheetView>
  </sheetViews>
  <sheetFormatPr baseColWidth="10" defaultColWidth="8.83203125" defaultRowHeight="12" x14ac:dyDescent="0"/>
  <cols>
    <col min="1" max="1" width="10.5" customWidth="1"/>
    <col min="2" max="2" width="11" customWidth="1"/>
    <col min="3" max="3" width="11.83203125" customWidth="1"/>
    <col min="4" max="5" width="9.83203125" customWidth="1"/>
    <col min="6" max="6" width="10.5" customWidth="1"/>
    <col min="8" max="8" width="11" customWidth="1"/>
    <col min="9" max="9" width="10.6640625" customWidth="1"/>
    <col min="10" max="10" width="9.6640625" customWidth="1"/>
    <col min="11" max="11" width="10.1640625" customWidth="1"/>
    <col min="12" max="12" width="11.33203125" customWidth="1"/>
    <col min="13" max="13" width="13.33203125" style="158" customWidth="1"/>
    <col min="14" max="14" width="15.33203125" customWidth="1"/>
    <col min="15" max="15" width="17.1640625" customWidth="1"/>
  </cols>
  <sheetData>
    <row r="1" spans="1:15" s="1" customFormat="1">
      <c r="A1" s="23" t="s">
        <v>592</v>
      </c>
      <c r="B1" s="23"/>
      <c r="M1" s="167"/>
    </row>
    <row r="2" spans="1:15">
      <c r="A2" s="24"/>
      <c r="B2" s="24"/>
    </row>
    <row r="3" spans="1:15">
      <c r="A3" s="31" t="s">
        <v>585</v>
      </c>
      <c r="B3" s="31"/>
    </row>
    <row r="5" spans="1:15" ht="33">
      <c r="A5" s="2" t="s">
        <v>44</v>
      </c>
      <c r="B5" s="9" t="s">
        <v>0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18" t="s">
        <v>22</v>
      </c>
      <c r="M5" s="159" t="s">
        <v>21</v>
      </c>
      <c r="N5" s="2" t="s">
        <v>20</v>
      </c>
      <c r="O5" s="2" t="s">
        <v>19</v>
      </c>
    </row>
    <row r="6" spans="1:15" ht="20">
      <c r="A6" s="21"/>
      <c r="B6" s="19" t="s">
        <v>14</v>
      </c>
      <c r="C6" s="6">
        <v>1230</v>
      </c>
      <c r="D6" s="6">
        <v>615</v>
      </c>
      <c r="E6" s="6">
        <v>185</v>
      </c>
      <c r="F6" s="6">
        <v>100</v>
      </c>
      <c r="G6" s="6">
        <v>200</v>
      </c>
      <c r="H6" s="6">
        <v>300</v>
      </c>
      <c r="I6" s="6">
        <v>175</v>
      </c>
      <c r="J6" s="6">
        <v>100</v>
      </c>
      <c r="K6" s="6">
        <v>200</v>
      </c>
      <c r="L6" s="21"/>
      <c r="M6" s="262"/>
      <c r="N6" s="3"/>
    </row>
    <row r="7" spans="1:15">
      <c r="A7" s="10" t="s">
        <v>127</v>
      </c>
      <c r="B7" s="10">
        <v>42597</v>
      </c>
      <c r="C7" s="7">
        <v>1</v>
      </c>
      <c r="D7" s="7"/>
      <c r="E7" s="7"/>
      <c r="F7" s="7"/>
      <c r="G7" s="7"/>
      <c r="H7" s="7"/>
      <c r="I7" s="7"/>
      <c r="J7" s="7"/>
      <c r="K7" s="7"/>
      <c r="L7" s="25">
        <f t="shared" ref="L7:L8" si="0">(C7*$C$6)+(D7*$D$6)+(E7*$E$6)+(F7*$F$6)+(G7*$G$6)+(H7*$H$6)+(I7*$I$6)+(J7*$J$6)+(K7*$K$6)</f>
        <v>1230</v>
      </c>
      <c r="M7" s="262"/>
      <c r="N7" s="3"/>
    </row>
    <row r="8" spans="1:15">
      <c r="A8" s="10" t="s">
        <v>128</v>
      </c>
      <c r="B8" s="10">
        <v>42598</v>
      </c>
      <c r="C8" s="7">
        <v>1</v>
      </c>
      <c r="D8" s="7"/>
      <c r="E8" s="7"/>
      <c r="F8" s="7"/>
      <c r="G8" s="7"/>
      <c r="H8" s="7"/>
      <c r="I8" s="7"/>
      <c r="J8" s="7"/>
      <c r="K8" s="7"/>
      <c r="L8" s="25">
        <f t="shared" si="0"/>
        <v>1230</v>
      </c>
      <c r="M8" s="262"/>
      <c r="N8" s="3"/>
    </row>
    <row r="9" spans="1:15" ht="15" customHeight="1">
      <c r="A9" s="10" t="s">
        <v>123</v>
      </c>
      <c r="B9" s="10">
        <v>42599</v>
      </c>
      <c r="C9" s="7">
        <v>1</v>
      </c>
      <c r="D9" s="7"/>
      <c r="E9" s="7"/>
      <c r="F9" s="7"/>
      <c r="G9" s="7"/>
      <c r="H9" s="7"/>
      <c r="I9" s="7"/>
      <c r="J9" s="7"/>
      <c r="K9" s="7"/>
      <c r="L9" s="25">
        <f>(C9*$C$6)+(D9*$D$6)+(E9*$E$6)+(F9*$F$6)+(G9*$G$6)+(H9*$H$6)+(I9*$I$6)+(J9*$J$6)+(K9*$K$6)</f>
        <v>1230</v>
      </c>
      <c r="M9" s="262"/>
      <c r="N9" s="3"/>
      <c r="O9" s="1" t="s">
        <v>4</v>
      </c>
    </row>
    <row r="10" spans="1:15" ht="15" customHeight="1">
      <c r="A10" s="10" t="s">
        <v>124</v>
      </c>
      <c r="B10" s="10">
        <v>42600</v>
      </c>
      <c r="C10" s="7">
        <v>1</v>
      </c>
      <c r="D10" s="7"/>
      <c r="E10" s="7"/>
      <c r="F10" s="7"/>
      <c r="G10" s="7"/>
      <c r="H10" s="7"/>
      <c r="I10" s="7"/>
      <c r="J10" s="7"/>
      <c r="K10" s="7"/>
      <c r="L10" s="25">
        <f t="shared" ref="L10:L30" si="1">(C10*$C$6)+(D10*$D$6)+(E10*$E$6)+(F10*$F$6)+(G10*$G$6)+(H10*$H$6)+(I10*$I$6)+(J10*$J$6)+(K10*$K$6)</f>
        <v>1230</v>
      </c>
      <c r="M10" s="262"/>
      <c r="N10" s="3"/>
    </row>
    <row r="11" spans="1:15" ht="15" customHeight="1" thickBot="1">
      <c r="A11" s="11" t="s">
        <v>125</v>
      </c>
      <c r="B11" s="11">
        <v>42601</v>
      </c>
      <c r="C11" s="12">
        <v>1</v>
      </c>
      <c r="D11" s="12"/>
      <c r="E11" s="12"/>
      <c r="F11" s="12"/>
      <c r="G11" s="12"/>
      <c r="H11" s="12"/>
      <c r="I11" s="12"/>
      <c r="J11" s="12"/>
      <c r="K11" s="12"/>
      <c r="L11" s="29">
        <f t="shared" si="1"/>
        <v>1230</v>
      </c>
      <c r="M11" s="271">
        <f>SUM(L7:L11)</f>
        <v>6150</v>
      </c>
      <c r="N11" s="63" t="s">
        <v>130</v>
      </c>
      <c r="O11" s="64" t="s">
        <v>129</v>
      </c>
    </row>
    <row r="12" spans="1:15" s="1" customFormat="1" ht="15" customHeight="1">
      <c r="A12" s="26" t="s">
        <v>126</v>
      </c>
      <c r="B12" s="26">
        <v>42602</v>
      </c>
      <c r="C12" s="7"/>
      <c r="D12" s="27">
        <v>1</v>
      </c>
      <c r="E12" s="27"/>
      <c r="F12" s="27"/>
      <c r="G12" s="27"/>
      <c r="H12" s="27"/>
      <c r="I12" s="27"/>
      <c r="J12" s="27"/>
      <c r="K12" s="27"/>
      <c r="L12" s="28">
        <f t="shared" si="1"/>
        <v>615</v>
      </c>
      <c r="M12" s="263"/>
      <c r="N12" s="62" t="s">
        <v>4</v>
      </c>
    </row>
    <row r="13" spans="1:15" ht="15" customHeight="1">
      <c r="A13" s="10" t="s">
        <v>146</v>
      </c>
      <c r="B13" s="26">
        <v>42611</v>
      </c>
      <c r="C13" s="7">
        <v>1</v>
      </c>
      <c r="D13" s="7"/>
      <c r="E13" s="7"/>
      <c r="F13" s="7"/>
      <c r="G13" s="7"/>
      <c r="H13" s="7"/>
      <c r="I13" s="7"/>
      <c r="J13" s="7"/>
      <c r="K13" s="7"/>
      <c r="L13" s="25">
        <f t="shared" si="1"/>
        <v>1230</v>
      </c>
      <c r="M13" s="262"/>
      <c r="N13" s="70"/>
    </row>
    <row r="14" spans="1:15" ht="15" customHeight="1" thickBot="1">
      <c r="A14" s="11" t="s">
        <v>145</v>
      </c>
      <c r="B14" s="11">
        <v>42612</v>
      </c>
      <c r="C14" s="12">
        <v>1</v>
      </c>
      <c r="D14" s="12"/>
      <c r="E14" s="12"/>
      <c r="F14" s="12"/>
      <c r="G14" s="12"/>
      <c r="H14" s="12"/>
      <c r="I14" s="12"/>
      <c r="J14" s="12"/>
      <c r="K14" s="12"/>
      <c r="L14" s="29">
        <f t="shared" si="1"/>
        <v>1230</v>
      </c>
      <c r="M14" s="264">
        <f>SUM(L12:L14)</f>
        <v>3075</v>
      </c>
      <c r="N14" s="103" t="s">
        <v>177</v>
      </c>
      <c r="O14" s="64" t="s">
        <v>178</v>
      </c>
    </row>
    <row r="15" spans="1:15" ht="15" customHeight="1" thickBot="1">
      <c r="A15" s="26" t="s">
        <v>200</v>
      </c>
      <c r="B15" s="26">
        <v>42622</v>
      </c>
      <c r="C15" s="120">
        <v>1</v>
      </c>
      <c r="D15" s="79"/>
      <c r="E15" s="79"/>
      <c r="F15" s="79"/>
      <c r="G15" s="79"/>
      <c r="H15" s="79"/>
      <c r="I15" s="79"/>
      <c r="J15" s="79"/>
      <c r="K15" s="79"/>
      <c r="L15" s="29">
        <f t="shared" si="1"/>
        <v>1230</v>
      </c>
      <c r="M15" s="272"/>
      <c r="N15" s="3"/>
      <c r="O15" s="61" t="s">
        <v>4</v>
      </c>
    </row>
    <row r="16" spans="1:15" ht="15" customHeight="1">
      <c r="A16" s="10" t="s">
        <v>199</v>
      </c>
      <c r="B16" s="10">
        <v>42623</v>
      </c>
      <c r="C16" s="7">
        <v>1</v>
      </c>
      <c r="D16" s="33"/>
      <c r="E16" s="33"/>
      <c r="F16" s="33"/>
      <c r="G16" s="33"/>
      <c r="H16" s="33"/>
      <c r="I16" s="33"/>
      <c r="J16" s="33"/>
      <c r="K16" s="33"/>
      <c r="L16" s="25">
        <f t="shared" si="1"/>
        <v>1230</v>
      </c>
      <c r="M16" s="262"/>
      <c r="N16" s="70" t="s">
        <v>4</v>
      </c>
    </row>
    <row r="17" spans="1:15" ht="15" customHeight="1">
      <c r="A17" s="10" t="s">
        <v>243</v>
      </c>
      <c r="B17" s="10">
        <v>42625</v>
      </c>
      <c r="C17" s="7">
        <v>1</v>
      </c>
      <c r="D17" s="7"/>
      <c r="E17" s="7"/>
      <c r="F17" s="7"/>
      <c r="G17" s="7"/>
      <c r="H17" s="7"/>
      <c r="I17" s="7"/>
      <c r="J17" s="7"/>
      <c r="K17" s="7"/>
      <c r="L17" s="25">
        <f t="shared" si="1"/>
        <v>1230</v>
      </c>
      <c r="M17" s="262"/>
      <c r="N17" s="3"/>
    </row>
    <row r="18" spans="1:15" ht="15" customHeight="1">
      <c r="A18" s="32" t="s">
        <v>263</v>
      </c>
      <c r="B18" s="32">
        <v>42626</v>
      </c>
      <c r="C18" s="33">
        <v>1</v>
      </c>
      <c r="D18" s="33"/>
      <c r="E18" s="33"/>
      <c r="F18" s="33"/>
      <c r="G18" s="33"/>
      <c r="H18" s="33"/>
      <c r="I18" s="33"/>
      <c r="J18" s="33"/>
      <c r="K18" s="33"/>
      <c r="L18" s="25">
        <f t="shared" si="1"/>
        <v>1230</v>
      </c>
      <c r="M18" s="262"/>
      <c r="N18" s="3"/>
    </row>
    <row r="19" spans="1:15" ht="15" customHeight="1">
      <c r="A19" s="32" t="s">
        <v>287</v>
      </c>
      <c r="B19" s="32">
        <v>42627</v>
      </c>
      <c r="C19" s="33">
        <v>1</v>
      </c>
      <c r="D19" s="33"/>
      <c r="E19" s="33"/>
      <c r="F19" s="33"/>
      <c r="G19" s="33"/>
      <c r="H19" s="33"/>
      <c r="I19" s="33"/>
      <c r="J19" s="33"/>
      <c r="K19" s="33"/>
      <c r="L19" s="25">
        <f t="shared" si="1"/>
        <v>1230</v>
      </c>
      <c r="M19" s="262"/>
      <c r="N19" s="3"/>
      <c r="O19" s="1" t="s">
        <v>4</v>
      </c>
    </row>
    <row r="20" spans="1:15" ht="15" customHeight="1" thickBot="1">
      <c r="A20" s="11" t="s">
        <v>289</v>
      </c>
      <c r="B20" s="11">
        <v>42628</v>
      </c>
      <c r="C20" s="12">
        <v>1</v>
      </c>
      <c r="D20" s="12"/>
      <c r="E20" s="12"/>
      <c r="F20" s="12"/>
      <c r="G20" s="12"/>
      <c r="H20" s="12"/>
      <c r="I20" s="12"/>
      <c r="J20" s="12"/>
      <c r="K20" s="12"/>
      <c r="L20" s="29">
        <f t="shared" si="1"/>
        <v>1230</v>
      </c>
      <c r="M20" s="264">
        <v>7380</v>
      </c>
      <c r="N20" s="17" t="s">
        <v>290</v>
      </c>
      <c r="O20" s="64" t="s">
        <v>291</v>
      </c>
    </row>
    <row r="21" spans="1:15" ht="15" customHeight="1" thickBot="1">
      <c r="A21" s="267" t="s">
        <v>321</v>
      </c>
      <c r="B21" s="267">
        <v>42635</v>
      </c>
      <c r="C21" s="268">
        <v>1</v>
      </c>
      <c r="D21" s="268"/>
      <c r="E21" s="268"/>
      <c r="F21" s="268"/>
      <c r="G21" s="268"/>
      <c r="H21" s="268"/>
      <c r="I21" s="268"/>
      <c r="J21" s="268"/>
      <c r="K21" s="268"/>
      <c r="L21" s="269">
        <f t="shared" si="1"/>
        <v>1230</v>
      </c>
      <c r="M21" s="273">
        <v>1230</v>
      </c>
      <c r="N21" s="270" t="s">
        <v>350</v>
      </c>
      <c r="O21" s="274" t="s">
        <v>351</v>
      </c>
    </row>
    <row r="22" spans="1:15" ht="15" customHeight="1">
      <c r="A22" s="65" t="s">
        <v>420</v>
      </c>
      <c r="B22" s="65">
        <v>42661</v>
      </c>
      <c r="C22" s="66">
        <v>1</v>
      </c>
      <c r="D22" s="66"/>
      <c r="E22" s="66"/>
      <c r="F22" s="66"/>
      <c r="G22" s="66"/>
      <c r="H22" s="66"/>
      <c r="I22" s="66"/>
      <c r="J22" s="66"/>
      <c r="K22" s="66"/>
      <c r="L22" s="28">
        <f t="shared" si="1"/>
        <v>1230</v>
      </c>
      <c r="M22" s="262"/>
      <c r="N22" s="3"/>
    </row>
    <row r="23" spans="1:15" ht="15" customHeight="1">
      <c r="A23" s="32" t="s">
        <v>472</v>
      </c>
      <c r="B23" s="32">
        <v>42662</v>
      </c>
      <c r="C23" s="33">
        <v>1</v>
      </c>
      <c r="D23" s="33"/>
      <c r="E23" s="33"/>
      <c r="F23" s="33"/>
      <c r="G23" s="33"/>
      <c r="H23" s="33"/>
      <c r="I23" s="33"/>
      <c r="J23" s="33"/>
      <c r="K23" s="33"/>
      <c r="L23" s="25">
        <f t="shared" si="1"/>
        <v>1230</v>
      </c>
      <c r="M23" s="262"/>
      <c r="N23" s="3"/>
    </row>
    <row r="24" spans="1:15" ht="15" customHeight="1">
      <c r="A24" s="32" t="s">
        <v>473</v>
      </c>
      <c r="B24" s="32">
        <v>42663</v>
      </c>
      <c r="C24" s="33">
        <v>1</v>
      </c>
      <c r="D24" s="33"/>
      <c r="E24" s="33"/>
      <c r="F24" s="33"/>
      <c r="G24" s="33"/>
      <c r="H24" s="33"/>
      <c r="I24" s="33"/>
      <c r="J24" s="33"/>
      <c r="K24" s="33"/>
      <c r="L24" s="25">
        <f t="shared" ref="L24:L25" si="2">(C24*$C$6)+(D24*$D$6)+(E24*$E$6)+(F24*$F$6)+(G24*$G$6)+(H24*$H$6)+(I24*$I$6)+(J24*$J$6)+(K24*$K$6)</f>
        <v>1230</v>
      </c>
      <c r="M24" s="262"/>
      <c r="N24" s="3"/>
    </row>
    <row r="25" spans="1:15" ht="15" customHeight="1" thickBot="1">
      <c r="A25" s="11" t="s">
        <v>440</v>
      </c>
      <c r="B25" s="11">
        <v>42664</v>
      </c>
      <c r="C25" s="12">
        <v>1</v>
      </c>
      <c r="D25" s="12"/>
      <c r="E25" s="12"/>
      <c r="F25" s="12"/>
      <c r="G25" s="12"/>
      <c r="H25" s="12"/>
      <c r="I25" s="12"/>
      <c r="J25" s="12"/>
      <c r="K25" s="12"/>
      <c r="L25" s="29">
        <f t="shared" si="2"/>
        <v>1230</v>
      </c>
      <c r="M25" s="264">
        <v>4920</v>
      </c>
      <c r="N25" s="17" t="s">
        <v>474</v>
      </c>
      <c r="O25" s="261" t="s">
        <v>475</v>
      </c>
    </row>
    <row r="26" spans="1:15" ht="1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28">
        <f t="shared" ref="L26:L27" si="3">(C26*$C$6)+(D26*$D$6)+(E26*$E$6)+(F26*$F$6)+(G26*$G$6)+(H26*$H$6)+(I26*$I$6)+(J26*$J$6)+(K26*$K$6)</f>
        <v>0</v>
      </c>
      <c r="M26" s="262"/>
      <c r="N26" s="3"/>
    </row>
    <row r="27" spans="1:15" ht="15" customHeight="1">
      <c r="A27" s="32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25">
        <f t="shared" si="3"/>
        <v>0</v>
      </c>
      <c r="M27" s="262"/>
      <c r="N27" s="3"/>
    </row>
    <row r="28" spans="1:15" ht="15" customHeight="1">
      <c r="A28" s="3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25">
        <f t="shared" si="1"/>
        <v>0</v>
      </c>
      <c r="M28" s="262"/>
      <c r="N28" s="3"/>
    </row>
    <row r="29" spans="1:15" ht="15" customHeight="1">
      <c r="A29" s="32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25">
        <f t="shared" si="1"/>
        <v>0</v>
      </c>
      <c r="M29" s="262"/>
      <c r="N29" s="3"/>
    </row>
    <row r="30" spans="1:15" ht="15" customHeight="1" thickBot="1">
      <c r="A30" s="11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25">
        <f t="shared" si="1"/>
        <v>0</v>
      </c>
      <c r="M30" s="264"/>
      <c r="N30" s="17"/>
      <c r="O30" s="17"/>
    </row>
    <row r="31" spans="1:15" ht="3" customHeight="1">
      <c r="A31" s="36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265"/>
      <c r="N31" s="4"/>
      <c r="O31" s="4"/>
    </row>
    <row r="32" spans="1:15" ht="21.75" customHeight="1">
      <c r="A32" s="1" t="s">
        <v>4</v>
      </c>
      <c r="B32" s="1"/>
      <c r="K32" s="22" t="s">
        <v>23</v>
      </c>
      <c r="L32" s="37">
        <f>SUM(L7:L31)</f>
        <v>22755</v>
      </c>
      <c r="M32" s="266">
        <f>SUM(M9:M30)</f>
        <v>22755</v>
      </c>
      <c r="N32" s="23" t="s">
        <v>24</v>
      </c>
    </row>
    <row r="37" spans="12:12">
      <c r="L37" s="1" t="s">
        <v>4</v>
      </c>
    </row>
  </sheetData>
  <pageMargins left="0.2" right="0.2" top="0.75" bottom="0.5" header="0.3" footer="0.3"/>
  <pageSetup scale="76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R17"/>
  <sheetViews>
    <sheetView workbookViewId="0">
      <selection activeCell="S24" sqref="S24"/>
    </sheetView>
  </sheetViews>
  <sheetFormatPr baseColWidth="10" defaultColWidth="8.83203125" defaultRowHeight="12" x14ac:dyDescent="0"/>
  <cols>
    <col min="1" max="1" width="15.5" customWidth="1"/>
    <col min="2" max="2" width="10.33203125" bestFit="1" customWidth="1"/>
    <col min="4" max="4" width="9.83203125" customWidth="1"/>
    <col min="9" max="9" width="10.33203125" customWidth="1"/>
    <col min="12" max="12" width="13.5" customWidth="1"/>
    <col min="13" max="15" width="11.33203125" customWidth="1"/>
    <col min="16" max="16" width="13.33203125" customWidth="1"/>
    <col min="17" max="17" width="11" customWidth="1"/>
  </cols>
  <sheetData>
    <row r="1" spans="1:18">
      <c r="A1" s="30" t="s">
        <v>96</v>
      </c>
    </row>
    <row r="2" spans="1:18">
      <c r="A2" s="24"/>
    </row>
    <row r="3" spans="1:18">
      <c r="A3" s="31" t="s">
        <v>133</v>
      </c>
    </row>
    <row r="5" spans="1:18" ht="36">
      <c r="A5" s="9" t="s">
        <v>0</v>
      </c>
      <c r="B5" s="5" t="s">
        <v>45</v>
      </c>
      <c r="C5" s="5" t="s">
        <v>3</v>
      </c>
      <c r="D5" s="5" t="s">
        <v>34</v>
      </c>
      <c r="E5" s="5" t="s">
        <v>33</v>
      </c>
      <c r="F5" s="5" t="s">
        <v>63</v>
      </c>
      <c r="G5" s="5" t="s">
        <v>2</v>
      </c>
      <c r="H5" s="5" t="s">
        <v>73</v>
      </c>
      <c r="I5" s="5" t="s">
        <v>72</v>
      </c>
      <c r="J5" s="5" t="s">
        <v>74</v>
      </c>
      <c r="K5" s="5" t="s">
        <v>75</v>
      </c>
      <c r="L5" s="48" t="s">
        <v>76</v>
      </c>
      <c r="M5" s="2" t="s">
        <v>58</v>
      </c>
      <c r="N5" s="2" t="s">
        <v>77</v>
      </c>
      <c r="O5" s="2" t="s">
        <v>59</v>
      </c>
      <c r="P5" s="2" t="s">
        <v>55</v>
      </c>
      <c r="Q5" s="2" t="s">
        <v>56</v>
      </c>
    </row>
    <row r="6" spans="1:18" ht="20">
      <c r="A6" s="19" t="s">
        <v>32</v>
      </c>
      <c r="B6" s="6">
        <v>1000</v>
      </c>
      <c r="C6" s="6">
        <v>75</v>
      </c>
      <c r="D6" s="6">
        <v>120</v>
      </c>
      <c r="E6" s="6">
        <v>1</v>
      </c>
      <c r="F6" s="6">
        <v>80</v>
      </c>
      <c r="G6" s="6">
        <v>150</v>
      </c>
      <c r="H6" s="21"/>
      <c r="I6" s="21"/>
      <c r="J6" s="21"/>
      <c r="K6" s="21"/>
      <c r="L6" s="21"/>
      <c r="M6" s="44"/>
      <c r="N6" s="49"/>
      <c r="O6" s="43"/>
      <c r="P6" s="40"/>
      <c r="Q6" s="42"/>
    </row>
    <row r="7" spans="1:18" ht="15" customHeight="1">
      <c r="A7" s="10" t="s">
        <v>62</v>
      </c>
      <c r="B7" s="7"/>
      <c r="C7" s="7"/>
      <c r="D7" s="7"/>
      <c r="E7" s="7"/>
      <c r="F7" s="7">
        <v>34</v>
      </c>
      <c r="G7" s="7"/>
      <c r="H7" s="38">
        <v>405.42</v>
      </c>
      <c r="I7" s="38">
        <v>16.21</v>
      </c>
      <c r="J7" s="38">
        <v>557.25</v>
      </c>
      <c r="K7" s="38">
        <v>0</v>
      </c>
      <c r="L7" s="25">
        <f>SUM((B7*$B$6)+(C7*$C$6)+(D7*$D$6)+(E7*$E$6)+(F7*$F$6)+(G7*$G$6)+($H$7)+($J$7))</f>
        <v>3682.67</v>
      </c>
      <c r="M7" s="46">
        <f>L7*0.05</f>
        <v>184.13350000000003</v>
      </c>
      <c r="N7" s="47">
        <f>SUM(I7,L7)</f>
        <v>3698.88</v>
      </c>
      <c r="O7" s="58">
        <f>SUM(M7:N7)</f>
        <v>3883.0135</v>
      </c>
      <c r="P7" s="40" t="s">
        <v>97</v>
      </c>
      <c r="Q7" s="59">
        <v>42551</v>
      </c>
    </row>
    <row r="8" spans="1:18" ht="15" customHeight="1">
      <c r="A8" s="32"/>
      <c r="B8" s="33"/>
      <c r="C8" s="33"/>
      <c r="D8" s="33"/>
      <c r="E8" s="33"/>
      <c r="F8" s="33"/>
      <c r="G8" s="33"/>
      <c r="H8" s="39"/>
      <c r="I8" s="39"/>
      <c r="J8" s="39"/>
      <c r="K8" s="39"/>
      <c r="L8" s="25">
        <f t="shared" ref="L8:L14" si="0">SUM((B8*$B$6)+(C8*$C$6)+(D8*$D$6)+(E8*$E$6)+(F8*$F$6)+(G8*$G$6)+($H$8)+($J$8))</f>
        <v>0</v>
      </c>
      <c r="M8" s="46">
        <f t="shared" ref="M8:M14" si="1">L8*0.05</f>
        <v>0</v>
      </c>
      <c r="N8" s="47">
        <f t="shared" ref="N8:N14" si="2">SUM(I8,L8)</f>
        <v>0</v>
      </c>
      <c r="O8" s="58">
        <f t="shared" ref="O8:O14" si="3">SUM(M8:N8)</f>
        <v>0</v>
      </c>
      <c r="P8" s="40"/>
      <c r="Q8" s="59"/>
      <c r="R8" s="1" t="s">
        <v>134</v>
      </c>
    </row>
    <row r="9" spans="1:18" ht="15" customHeight="1">
      <c r="A9" s="32"/>
      <c r="B9" s="33"/>
      <c r="C9" s="33"/>
      <c r="D9" s="33"/>
      <c r="E9" s="33"/>
      <c r="F9" s="33"/>
      <c r="G9" s="33"/>
      <c r="H9" s="39"/>
      <c r="I9" s="39"/>
      <c r="J9" s="39"/>
      <c r="K9" s="39"/>
      <c r="L9" s="25">
        <f t="shared" si="0"/>
        <v>0</v>
      </c>
      <c r="M9" s="46">
        <f t="shared" si="1"/>
        <v>0</v>
      </c>
      <c r="N9" s="47">
        <f t="shared" si="2"/>
        <v>0</v>
      </c>
      <c r="O9" s="58">
        <f t="shared" si="3"/>
        <v>0</v>
      </c>
      <c r="P9" s="40"/>
      <c r="Q9" s="59"/>
    </row>
    <row r="10" spans="1:18" ht="15" customHeight="1">
      <c r="A10" s="32"/>
      <c r="B10" s="33"/>
      <c r="C10" s="33"/>
      <c r="D10" s="33"/>
      <c r="E10" s="33"/>
      <c r="F10" s="33"/>
      <c r="G10" s="33"/>
      <c r="H10" s="39"/>
      <c r="I10" s="39"/>
      <c r="J10" s="39"/>
      <c r="K10" s="39"/>
      <c r="L10" s="25">
        <f t="shared" si="0"/>
        <v>0</v>
      </c>
      <c r="M10" s="46">
        <f t="shared" si="1"/>
        <v>0</v>
      </c>
      <c r="N10" s="47">
        <f t="shared" si="2"/>
        <v>0</v>
      </c>
      <c r="O10" s="58">
        <f t="shared" si="3"/>
        <v>0</v>
      </c>
      <c r="P10" s="40"/>
      <c r="Q10" s="59"/>
    </row>
    <row r="11" spans="1:18" ht="15" customHeight="1">
      <c r="A11" s="32"/>
      <c r="B11" s="33"/>
      <c r="C11" s="33"/>
      <c r="D11" s="33"/>
      <c r="E11" s="33"/>
      <c r="F11" s="33"/>
      <c r="G11" s="33"/>
      <c r="H11" s="39"/>
      <c r="I11" s="39"/>
      <c r="J11" s="39"/>
      <c r="K11" s="39"/>
      <c r="L11" s="25">
        <f t="shared" si="0"/>
        <v>0</v>
      </c>
      <c r="M11" s="46">
        <f t="shared" si="1"/>
        <v>0</v>
      </c>
      <c r="N11" s="47">
        <f t="shared" si="2"/>
        <v>0</v>
      </c>
      <c r="O11" s="58">
        <f t="shared" si="3"/>
        <v>0</v>
      </c>
      <c r="P11" s="40"/>
      <c r="Q11" s="59"/>
    </row>
    <row r="12" spans="1:18" ht="15" customHeight="1">
      <c r="A12" s="32"/>
      <c r="B12" s="33"/>
      <c r="C12" s="33"/>
      <c r="D12" s="33"/>
      <c r="E12" s="33"/>
      <c r="F12" s="33"/>
      <c r="G12" s="33"/>
      <c r="H12" s="39"/>
      <c r="I12" s="39"/>
      <c r="J12" s="39"/>
      <c r="K12" s="39"/>
      <c r="L12" s="25">
        <f t="shared" si="0"/>
        <v>0</v>
      </c>
      <c r="M12" s="46">
        <f t="shared" si="1"/>
        <v>0</v>
      </c>
      <c r="N12" s="47">
        <f t="shared" si="2"/>
        <v>0</v>
      </c>
      <c r="O12" s="58">
        <f t="shared" si="3"/>
        <v>0</v>
      </c>
      <c r="P12" s="40"/>
      <c r="Q12" s="59"/>
    </row>
    <row r="13" spans="1:18" ht="15" customHeight="1">
      <c r="A13" s="32"/>
      <c r="B13" s="33"/>
      <c r="C13" s="33"/>
      <c r="D13" s="33"/>
      <c r="E13" s="33"/>
      <c r="F13" s="33"/>
      <c r="G13" s="33"/>
      <c r="H13" s="39"/>
      <c r="I13" s="39"/>
      <c r="J13" s="39"/>
      <c r="K13" s="39"/>
      <c r="L13" s="25">
        <f t="shared" si="0"/>
        <v>0</v>
      </c>
      <c r="M13" s="46">
        <f t="shared" si="1"/>
        <v>0</v>
      </c>
      <c r="N13" s="47">
        <f t="shared" si="2"/>
        <v>0</v>
      </c>
      <c r="O13" s="58">
        <f t="shared" si="3"/>
        <v>0</v>
      </c>
      <c r="P13" s="40"/>
      <c r="Q13" s="59"/>
    </row>
    <row r="14" spans="1:18" ht="15" customHeight="1" thickBot="1">
      <c r="A14" s="11"/>
      <c r="B14" s="12"/>
      <c r="C14" s="12"/>
      <c r="D14" s="12"/>
      <c r="E14" s="12"/>
      <c r="F14" s="12"/>
      <c r="G14" s="12"/>
      <c r="H14" s="39"/>
      <c r="I14" s="39"/>
      <c r="J14" s="39"/>
      <c r="K14" s="39"/>
      <c r="L14" s="25">
        <f t="shared" si="0"/>
        <v>0</v>
      </c>
      <c r="M14" s="46">
        <f t="shared" si="1"/>
        <v>0</v>
      </c>
      <c r="N14" s="47">
        <f t="shared" si="2"/>
        <v>0</v>
      </c>
      <c r="O14" s="58">
        <f t="shared" si="3"/>
        <v>0</v>
      </c>
      <c r="P14" s="41"/>
      <c r="Q14" s="60"/>
    </row>
    <row r="15" spans="1:18" ht="3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8" ht="21.75" customHeight="1">
      <c r="A16" s="1" t="s">
        <v>4</v>
      </c>
      <c r="K16" s="22" t="s">
        <v>23</v>
      </c>
      <c r="L16" s="37">
        <f>SUM(L7:L14)</f>
        <v>3682.67</v>
      </c>
      <c r="M16" s="71">
        <f>SUM(M7:M15)</f>
        <v>184.13350000000003</v>
      </c>
      <c r="N16" s="71">
        <f>SUM(N7:N15)</f>
        <v>3698.88</v>
      </c>
      <c r="O16" s="45">
        <f>SUM(O7:O15)</f>
        <v>3883.0135</v>
      </c>
      <c r="P16" s="23" t="s">
        <v>132</v>
      </c>
    </row>
    <row r="17" spans="11:12">
      <c r="K17" s="23"/>
      <c r="L17" s="23"/>
    </row>
  </sheetData>
  <pageMargins left="0.2" right="0.2" top="0.75" bottom="0.5" header="0.3" footer="0.3"/>
  <pageSetup scale="54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S26"/>
  <sheetViews>
    <sheetView workbookViewId="0">
      <selection activeCell="S37" sqref="S37"/>
    </sheetView>
  </sheetViews>
  <sheetFormatPr baseColWidth="10" defaultColWidth="8.83203125" defaultRowHeight="12" x14ac:dyDescent="0"/>
  <cols>
    <col min="1" max="1" width="15.5" customWidth="1"/>
    <col min="2" max="2" width="10.33203125" bestFit="1" customWidth="1"/>
    <col min="5" max="5" width="9.83203125" customWidth="1"/>
    <col min="7" max="7" width="12.33203125" customWidth="1"/>
    <col min="8" max="8" width="10" customWidth="1"/>
    <col min="13" max="13" width="11.5" customWidth="1"/>
    <col min="14" max="15" width="11.33203125" customWidth="1"/>
    <col min="16" max="16" width="13.33203125" customWidth="1"/>
    <col min="17" max="17" width="11" customWidth="1"/>
  </cols>
  <sheetData>
    <row r="1" spans="1:19" ht="15" customHeight="1">
      <c r="A1" s="30" t="s">
        <v>67</v>
      </c>
    </row>
    <row r="2" spans="1:19" ht="15" customHeight="1">
      <c r="A2" s="24"/>
    </row>
    <row r="3" spans="1:19" ht="15" customHeight="1">
      <c r="A3" s="31" t="s">
        <v>49</v>
      </c>
    </row>
    <row r="4" spans="1:19" ht="15" customHeight="1"/>
    <row r="5" spans="1:19" ht="22">
      <c r="A5" s="9" t="s">
        <v>0</v>
      </c>
      <c r="B5" s="5" t="s">
        <v>45</v>
      </c>
      <c r="C5" s="5" t="s">
        <v>50</v>
      </c>
      <c r="D5" s="5" t="s">
        <v>51</v>
      </c>
      <c r="E5" s="5" t="s">
        <v>52</v>
      </c>
      <c r="F5" s="5" t="s">
        <v>33</v>
      </c>
      <c r="G5" s="5" t="s">
        <v>68</v>
      </c>
      <c r="H5" s="5" t="s">
        <v>53</v>
      </c>
      <c r="I5" s="5" t="s">
        <v>46</v>
      </c>
      <c r="J5" s="5" t="s">
        <v>2</v>
      </c>
      <c r="K5" s="5" t="s">
        <v>47</v>
      </c>
      <c r="L5" s="5" t="s">
        <v>48</v>
      </c>
      <c r="M5" s="18" t="s">
        <v>22</v>
      </c>
      <c r="N5" s="2" t="s">
        <v>58</v>
      </c>
      <c r="O5" s="2" t="s">
        <v>59</v>
      </c>
      <c r="P5" s="2" t="s">
        <v>55</v>
      </c>
      <c r="Q5" s="2" t="s">
        <v>56</v>
      </c>
    </row>
    <row r="6" spans="1:19" ht="20">
      <c r="A6" s="19" t="s">
        <v>32</v>
      </c>
      <c r="B6" s="6">
        <v>1100</v>
      </c>
      <c r="C6" s="6">
        <v>200</v>
      </c>
      <c r="D6" s="6">
        <v>50</v>
      </c>
      <c r="E6" s="6">
        <v>200</v>
      </c>
      <c r="F6" s="6">
        <v>1</v>
      </c>
      <c r="G6" s="6">
        <v>150</v>
      </c>
      <c r="H6" s="6">
        <v>60</v>
      </c>
      <c r="I6" s="6">
        <v>80</v>
      </c>
      <c r="J6" s="6">
        <v>150</v>
      </c>
      <c r="K6" s="21"/>
      <c r="L6" s="21"/>
      <c r="M6" s="21"/>
      <c r="N6" s="44"/>
      <c r="O6" s="43"/>
      <c r="P6" s="40"/>
      <c r="Q6" s="42"/>
    </row>
    <row r="7" spans="1:19" ht="15" customHeight="1">
      <c r="A7" s="10" t="s">
        <v>54</v>
      </c>
      <c r="B7" s="7">
        <v>4</v>
      </c>
      <c r="C7" s="7">
        <v>3</v>
      </c>
      <c r="D7" s="7"/>
      <c r="E7" s="7">
        <v>2</v>
      </c>
      <c r="F7" s="7">
        <v>310</v>
      </c>
      <c r="G7" s="7"/>
      <c r="H7" s="7"/>
      <c r="I7" s="7"/>
      <c r="J7" s="7"/>
      <c r="K7" s="38"/>
      <c r="L7" s="38"/>
      <c r="M7" s="25">
        <f t="shared" ref="M7:M19" si="0">SUM((B7*$B$6)+(C7*$C$6)+(D7*$D$6)+(E7*$E$6)+(F7*$F$6)+(G7*$G$6)+(H7*$H$6)+(I7*$I$6)+(J7*$J$6)+($K$8)+($L$8))</f>
        <v>5710</v>
      </c>
      <c r="N7" s="46">
        <f>M7*0.05</f>
        <v>285.5</v>
      </c>
      <c r="O7" s="47">
        <f>SUM(M7:N7)</f>
        <v>5995.5</v>
      </c>
      <c r="P7" s="40" t="s">
        <v>61</v>
      </c>
      <c r="Q7" s="42">
        <v>42551</v>
      </c>
      <c r="S7" t="s">
        <v>4</v>
      </c>
    </row>
    <row r="8" spans="1:19" ht="15" customHeight="1">
      <c r="A8" s="32" t="s">
        <v>60</v>
      </c>
      <c r="B8" s="33">
        <v>7</v>
      </c>
      <c r="C8" s="33">
        <v>5</v>
      </c>
      <c r="D8" s="33"/>
      <c r="E8" s="33">
        <v>6</v>
      </c>
      <c r="F8" s="33">
        <v>405</v>
      </c>
      <c r="G8" s="33"/>
      <c r="H8" s="33"/>
      <c r="I8" s="33"/>
      <c r="J8" s="33"/>
      <c r="K8" s="39"/>
      <c r="L8" s="39"/>
      <c r="M8" s="25">
        <f t="shared" si="0"/>
        <v>10305</v>
      </c>
      <c r="N8" s="46">
        <f t="shared" ref="N8:N9" si="1">M8*0.05</f>
        <v>515.25</v>
      </c>
      <c r="O8" s="47">
        <f t="shared" ref="O8:O9" si="2">SUM(M8:N8)</f>
        <v>10820.25</v>
      </c>
      <c r="P8" s="40" t="s">
        <v>57</v>
      </c>
      <c r="Q8" s="42">
        <v>42566</v>
      </c>
    </row>
    <row r="9" spans="1:19" ht="15" customHeight="1">
      <c r="A9" s="32" t="s">
        <v>64</v>
      </c>
      <c r="B9" s="33">
        <v>4</v>
      </c>
      <c r="C9" s="33">
        <v>4</v>
      </c>
      <c r="D9" s="33"/>
      <c r="E9" s="33">
        <v>4</v>
      </c>
      <c r="F9" s="33">
        <v>219</v>
      </c>
      <c r="G9" s="33"/>
      <c r="H9" s="33"/>
      <c r="I9" s="33"/>
      <c r="J9" s="33"/>
      <c r="K9" s="39"/>
      <c r="L9" s="39"/>
      <c r="M9" s="25">
        <f t="shared" si="0"/>
        <v>6219</v>
      </c>
      <c r="N9" s="46">
        <f t="shared" si="1"/>
        <v>310.95000000000005</v>
      </c>
      <c r="O9" s="47">
        <f t="shared" si="2"/>
        <v>6529.95</v>
      </c>
      <c r="P9" s="40" t="s">
        <v>65</v>
      </c>
      <c r="Q9" s="42">
        <v>42582</v>
      </c>
    </row>
    <row r="10" spans="1:19" ht="15" customHeight="1">
      <c r="A10" s="32" t="s">
        <v>88</v>
      </c>
      <c r="B10" s="33">
        <v>12</v>
      </c>
      <c r="C10" s="33">
        <v>14</v>
      </c>
      <c r="D10" s="33"/>
      <c r="E10" s="33">
        <v>12</v>
      </c>
      <c r="F10" s="33">
        <v>917</v>
      </c>
      <c r="G10" s="33"/>
      <c r="H10" s="33"/>
      <c r="I10" s="33"/>
      <c r="J10" s="33"/>
      <c r="K10" s="39"/>
      <c r="L10" s="39"/>
      <c r="M10" s="25">
        <f t="shared" si="0"/>
        <v>19317</v>
      </c>
      <c r="N10" s="46">
        <f t="shared" ref="N10:N16" si="3">M10*0.05</f>
        <v>965.85</v>
      </c>
      <c r="O10" s="47">
        <f t="shared" ref="O10:O16" si="4">SUM(M10:N10)</f>
        <v>20282.849999999999</v>
      </c>
      <c r="P10" s="40" t="s">
        <v>89</v>
      </c>
      <c r="Q10" s="42">
        <v>42597</v>
      </c>
    </row>
    <row r="11" spans="1:19" ht="15" customHeight="1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9"/>
      <c r="L11" s="39"/>
      <c r="M11" s="25">
        <f t="shared" si="0"/>
        <v>0</v>
      </c>
      <c r="N11" s="46">
        <f t="shared" si="3"/>
        <v>0</v>
      </c>
      <c r="O11" s="47">
        <f t="shared" si="4"/>
        <v>0</v>
      </c>
      <c r="P11" s="40"/>
      <c r="Q11" s="42"/>
      <c r="S11" s="1" t="s">
        <v>134</v>
      </c>
    </row>
    <row r="12" spans="1:19" ht="15" customHeight="1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9"/>
      <c r="L12" s="39"/>
      <c r="M12" s="25">
        <f t="shared" si="0"/>
        <v>0</v>
      </c>
      <c r="N12" s="46">
        <f t="shared" si="3"/>
        <v>0</v>
      </c>
      <c r="O12" s="47">
        <f t="shared" si="4"/>
        <v>0</v>
      </c>
      <c r="P12" s="40"/>
      <c r="Q12" s="42"/>
    </row>
    <row r="13" spans="1:19" ht="15" customHeight="1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9"/>
      <c r="L13" s="39"/>
      <c r="M13" s="25">
        <f t="shared" si="0"/>
        <v>0</v>
      </c>
      <c r="N13" s="46">
        <f t="shared" si="3"/>
        <v>0</v>
      </c>
      <c r="O13" s="47">
        <f t="shared" si="4"/>
        <v>0</v>
      </c>
      <c r="P13" s="40"/>
      <c r="Q13" s="42"/>
    </row>
    <row r="14" spans="1:19" ht="15" customHeight="1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9"/>
      <c r="L14" s="39"/>
      <c r="M14" s="25">
        <f t="shared" si="0"/>
        <v>0</v>
      </c>
      <c r="N14" s="46">
        <f t="shared" si="3"/>
        <v>0</v>
      </c>
      <c r="O14" s="47">
        <f t="shared" si="4"/>
        <v>0</v>
      </c>
      <c r="P14" s="41"/>
    </row>
    <row r="15" spans="1:19" ht="1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9"/>
      <c r="L15" s="39"/>
      <c r="M15" s="25">
        <f t="shared" si="0"/>
        <v>0</v>
      </c>
      <c r="N15" s="46">
        <f t="shared" si="3"/>
        <v>0</v>
      </c>
      <c r="O15" s="47">
        <f t="shared" si="4"/>
        <v>0</v>
      </c>
      <c r="P15" s="41"/>
    </row>
    <row r="16" spans="1:19" ht="15" customHeight="1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9"/>
      <c r="L16" s="39"/>
      <c r="M16" s="25">
        <f t="shared" si="0"/>
        <v>0</v>
      </c>
      <c r="N16" s="46">
        <f t="shared" si="3"/>
        <v>0</v>
      </c>
      <c r="O16" s="47">
        <f t="shared" si="4"/>
        <v>0</v>
      </c>
      <c r="P16" s="41"/>
    </row>
    <row r="17" spans="1:17" ht="15" customHeight="1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9"/>
      <c r="L17" s="39"/>
      <c r="M17" s="25">
        <f t="shared" si="0"/>
        <v>0</v>
      </c>
      <c r="N17" s="46">
        <f t="shared" ref="N17:N19" si="5">M17*0.05</f>
        <v>0</v>
      </c>
      <c r="O17" s="47">
        <f t="shared" ref="O17:O19" si="6">SUM(M17:N17)</f>
        <v>0</v>
      </c>
      <c r="P17" s="41"/>
    </row>
    <row r="18" spans="1:17" ht="15" customHeight="1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9"/>
      <c r="L18" s="39"/>
      <c r="M18" s="25">
        <f t="shared" si="0"/>
        <v>0</v>
      </c>
      <c r="N18" s="46">
        <f t="shared" si="5"/>
        <v>0</v>
      </c>
      <c r="O18" s="47">
        <f t="shared" si="6"/>
        <v>0</v>
      </c>
      <c r="P18" s="41"/>
    </row>
    <row r="19" spans="1:17" ht="15" customHeight="1" thickBo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39"/>
      <c r="L19" s="39"/>
      <c r="M19" s="25">
        <f t="shared" si="0"/>
        <v>0</v>
      </c>
      <c r="N19" s="46">
        <f t="shared" si="5"/>
        <v>0</v>
      </c>
      <c r="O19" s="47">
        <f t="shared" si="6"/>
        <v>0</v>
      </c>
      <c r="P19" s="20"/>
      <c r="Q19" s="17"/>
    </row>
    <row r="20" spans="1:17" ht="3" customHeight="1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4"/>
      <c r="O20" s="4"/>
      <c r="P20" s="4"/>
      <c r="Q20" s="4"/>
    </row>
    <row r="21" spans="1:17" ht="21.75" customHeight="1">
      <c r="A21" s="1" t="s">
        <v>4</v>
      </c>
      <c r="L21" s="22" t="s">
        <v>23</v>
      </c>
      <c r="M21" s="45">
        <f>SUM(M7:M19)</f>
        <v>41551</v>
      </c>
      <c r="N21" s="45">
        <f>SUM(N7:N19)</f>
        <v>2077.5500000000002</v>
      </c>
      <c r="O21" s="45">
        <f>SUM(O7:O19)</f>
        <v>43628.55</v>
      </c>
      <c r="P21" s="23" t="s">
        <v>132</v>
      </c>
    </row>
    <row r="24" spans="1:17">
      <c r="K24" s="52"/>
      <c r="L24" s="53" t="s">
        <v>95</v>
      </c>
      <c r="M24" s="57" t="s">
        <v>4</v>
      </c>
    </row>
    <row r="25" spans="1:17">
      <c r="M25" s="1" t="s">
        <v>4</v>
      </c>
    </row>
    <row r="26" spans="1:17">
      <c r="K26" s="54"/>
      <c r="L26" s="55" t="s">
        <v>94</v>
      </c>
      <c r="M26" s="56" t="s">
        <v>4</v>
      </c>
    </row>
  </sheetData>
  <pageMargins left="0.2" right="0.2" top="0.75" bottom="0.5" header="0.3" footer="0.3"/>
  <pageSetup scale="52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ALTUS</vt:lpstr>
      <vt:lpstr>Contractor</vt:lpstr>
      <vt:lpstr>HDD Inspec</vt:lpstr>
      <vt:lpstr>Xray Company</vt:lpstr>
      <vt:lpstr>Survey Company</vt:lpstr>
      <vt:lpstr> McElhanney Spr 1</vt:lpstr>
      <vt:lpstr> McElhanney Spr 4</vt:lpstr>
      <vt:lpstr>Davis Spr 1</vt:lpstr>
      <vt:lpstr>Davis Spr 4</vt:lpstr>
      <vt:lpstr>Sweeps Spr 1</vt:lpstr>
      <vt:lpstr>Aurora-Jeff Sp 1</vt:lpstr>
      <vt:lpstr>1687109 AB Spr 4</vt:lpstr>
    </vt:vector>
  </TitlesOfParts>
  <Company>Don Hiebert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Cook</dc:creator>
  <cp:lastModifiedBy>Corrine Barta</cp:lastModifiedBy>
  <cp:lastPrinted>2016-11-28T23:50:04Z</cp:lastPrinted>
  <dcterms:created xsi:type="dcterms:W3CDTF">2003-06-07T03:59:47Z</dcterms:created>
  <dcterms:modified xsi:type="dcterms:W3CDTF">2016-12-02T17:15:01Z</dcterms:modified>
</cp:coreProperties>
</file>