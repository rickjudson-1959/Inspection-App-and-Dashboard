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Mendoza\Documents\Craig Day\LM\"/>
    </mc:Choice>
  </mc:AlternateContent>
  <bookViews>
    <workbookView xWindow="36" yWindow="1812" windowWidth="15120" windowHeight="8040"/>
  </bookViews>
  <sheets>
    <sheet name="Inv-TS" sheetId="10" r:id="rId1"/>
    <sheet name="Sheet1" sheetId="11" r:id="rId2"/>
  </sheets>
  <calcPr calcId="152511"/>
</workbook>
</file>

<file path=xl/calcChain.xml><?xml version="1.0" encoding="utf-8"?>
<calcChain xmlns="http://schemas.openxmlformats.org/spreadsheetml/2006/main">
  <c r="S28" i="10" l="1"/>
  <c r="S29" i="10"/>
  <c r="S30" i="10"/>
  <c r="S31" i="10"/>
  <c r="S32" i="10"/>
  <c r="S33" i="10"/>
  <c r="S34" i="10"/>
  <c r="S23" i="10"/>
  <c r="S22" i="10"/>
  <c r="S21" i="10"/>
  <c r="S20" i="10"/>
  <c r="S17" i="10"/>
  <c r="S19" i="10"/>
  <c r="S18" i="10"/>
  <c r="S39" i="10"/>
  <c r="S38" i="10"/>
  <c r="R39" i="10"/>
  <c r="N39" i="10"/>
  <c r="K39" i="10"/>
  <c r="H39" i="10"/>
  <c r="R38" i="10"/>
  <c r="K38" i="10"/>
  <c r="H38" i="10"/>
  <c r="S36" i="10" l="1"/>
  <c r="S25" i="10"/>
  <c r="S40" i="10" l="1"/>
  <c r="S42" i="10" s="1"/>
  <c r="S44" i="10" s="1"/>
</calcChain>
</file>

<file path=xl/sharedStrings.xml><?xml version="1.0" encoding="utf-8"?>
<sst xmlns="http://schemas.openxmlformats.org/spreadsheetml/2006/main" count="67" uniqueCount="39">
  <si>
    <t>INVOICE</t>
  </si>
  <si>
    <t>DATE:</t>
  </si>
  <si>
    <t>RATE</t>
  </si>
  <si>
    <t>AMOUNT</t>
  </si>
  <si>
    <t>SUBTOTAL</t>
  </si>
  <si>
    <t>SALES TAX</t>
  </si>
  <si>
    <t>OTHER</t>
  </si>
  <si>
    <t>TOTAL</t>
  </si>
  <si>
    <t>FOR:</t>
  </si>
  <si>
    <t>BILL TO:</t>
  </si>
  <si>
    <t>DATE</t>
  </si>
  <si>
    <t>LOCATION</t>
  </si>
  <si>
    <t>Signature____________________________________________________</t>
  </si>
  <si>
    <t>Approved By _________________________________________________</t>
  </si>
  <si>
    <t>Date  Approved _______________________________________________</t>
  </si>
  <si>
    <t>GST TAX RATE</t>
  </si>
  <si>
    <t>Rate</t>
  </si>
  <si>
    <t>Phone &amp; Other EXP at cost</t>
  </si>
  <si>
    <t>Subsistance (Field only)</t>
  </si>
  <si>
    <t xml:space="preserve">KMS </t>
  </si>
  <si>
    <t>AFE#</t>
  </si>
  <si>
    <t>Billing Period:</t>
  </si>
  <si>
    <t>Purchase Order:</t>
  </si>
  <si>
    <t>Invoice Number:</t>
  </si>
  <si>
    <t xml:space="preserve">Vendor #:  </t>
  </si>
  <si>
    <t>Pembina Pipeline Corporation</t>
  </si>
  <si>
    <t>Inspection Services - Supervision Services</t>
  </si>
  <si>
    <t>K D M PIPELINE CONSULTANTS INC.</t>
  </si>
  <si>
    <t>39 PANORAMA HILLS PT NW</t>
  </si>
  <si>
    <t>CALGARY, AB, T3K 5B9</t>
  </si>
  <si>
    <t xml:space="preserve">Construction Specialist </t>
  </si>
  <si>
    <t>Dave Julian</t>
  </si>
  <si>
    <t>M/14129</t>
  </si>
  <si>
    <t xml:space="preserve">Construction Manger </t>
  </si>
  <si>
    <t>Rick Judson</t>
  </si>
  <si>
    <t>Fox to Namao</t>
  </si>
  <si>
    <t>403-274-8016</t>
  </si>
  <si>
    <t>Management Fees</t>
  </si>
  <si>
    <t>GST Number: 132977802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</si>
</sst>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[$-409]mmmm\ d\,\ yyyy;@"/>
    <numFmt numFmtId="166" formatCode="[$-409]d\-mmm\-yy;@"/>
  </numFmts>
  <fonts count="13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28"/>
      <color indexed="45"/>
      <name val="Arial Black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20"/>
      <name val="Castellar"/>
      <family val="1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20"/>
      <name val="Bernard MT Condensed"/>
      <family val="1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center"/>
    </xf>
    <xf numFmtId="164" fontId="0" fillId="0" borderId="0" xfId="0" applyNumberForma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left" shrinkToFit="1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left" vertical="top" indent="1"/>
    </xf>
    <xf numFmtId="1" fontId="0" fillId="0" borderId="0" xfId="0" applyNumberFormat="1" applyAlignment="1">
      <alignment horizontal="left"/>
    </xf>
    <xf numFmtId="44" fontId="0" fillId="0" borderId="0" xfId="0" applyNumberFormat="1" applyAlignment="1">
      <alignment vertical="center"/>
    </xf>
    <xf numFmtId="0" fontId="7" fillId="0" borderId="0" xfId="0" applyFont="1"/>
    <xf numFmtId="166" fontId="0" fillId="0" borderId="1" xfId="0" applyNumberForma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44" fontId="6" fillId="4" borderId="1" xfId="0" applyNumberFormat="1" applyFont="1" applyFill="1" applyBorder="1" applyAlignment="1">
      <alignment horizontal="center" vertical="center"/>
    </xf>
    <xf numFmtId="41" fontId="6" fillId="4" borderId="1" xfId="0" applyNumberFormat="1" applyFont="1" applyFill="1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9" fontId="0" fillId="0" borderId="1" xfId="0" applyNumberFormat="1" applyBorder="1" applyAlignment="1">
      <alignment horizontal="right" vertical="center"/>
    </xf>
    <xf numFmtId="43" fontId="0" fillId="2" borderId="1" xfId="0" applyNumberFormat="1" applyFill="1" applyBorder="1" applyAlignment="1">
      <alignment horizontal="right" vertical="center"/>
    </xf>
    <xf numFmtId="43" fontId="0" fillId="0" borderId="1" xfId="0" applyNumberFormat="1" applyBorder="1" applyAlignment="1">
      <alignment horizontal="right" vertical="center"/>
    </xf>
    <xf numFmtId="44" fontId="0" fillId="0" borderId="1" xfId="1" applyNumberFormat="1" applyFont="1" applyBorder="1" applyAlignment="1">
      <alignment vertical="center"/>
    </xf>
    <xf numFmtId="0" fontId="0" fillId="0" borderId="0" xfId="0" applyNumberFormat="1" applyBorder="1" applyAlignment="1">
      <alignment horizontal="left" vertical="center"/>
    </xf>
    <xf numFmtId="166" fontId="0" fillId="0" borderId="0" xfId="0" applyNumberFormat="1" applyBorder="1" applyAlignment="1">
      <alignment horizontal="left" vertical="center"/>
    </xf>
    <xf numFmtId="166" fontId="8" fillId="0" borderId="1" xfId="0" applyNumberFormat="1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Border="1"/>
    <xf numFmtId="0" fontId="8" fillId="0" borderId="0" xfId="0" applyFont="1" applyBorder="1"/>
    <xf numFmtId="1" fontId="2" fillId="0" borderId="1" xfId="0" applyNumberFormat="1" applyFont="1" applyBorder="1" applyAlignment="1">
      <alignment horizontal="center" vertical="center"/>
    </xf>
    <xf numFmtId="44" fontId="6" fillId="4" borderId="0" xfId="0" applyNumberFormat="1" applyFont="1" applyFill="1" applyBorder="1" applyAlignment="1">
      <alignment horizontal="center" vertical="center"/>
    </xf>
    <xf numFmtId="166" fontId="8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6" fillId="4" borderId="2" xfId="0" applyNumberFormat="1" applyFont="1" applyFill="1" applyBorder="1" applyAlignment="1">
      <alignment horizontal="center" vertical="center"/>
    </xf>
    <xf numFmtId="41" fontId="6" fillId="4" borderId="2" xfId="0" applyNumberFormat="1" applyFont="1" applyFill="1" applyBorder="1" applyAlignment="1">
      <alignment horizontal="center" vertical="center"/>
    </xf>
    <xf numFmtId="166" fontId="8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44" fontId="6" fillId="4" borderId="3" xfId="0" applyNumberFormat="1" applyFont="1" applyFill="1" applyBorder="1" applyAlignment="1">
      <alignment horizontal="center" vertical="center"/>
    </xf>
    <xf numFmtId="41" fontId="6" fillId="4" borderId="3" xfId="0" applyNumberFormat="1" applyFont="1" applyFill="1" applyBorder="1" applyAlignment="1">
      <alignment horizontal="center" vertical="center"/>
    </xf>
    <xf numFmtId="44" fontId="0" fillId="0" borderId="2" xfId="1" applyNumberFormat="1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44" fontId="6" fillId="5" borderId="5" xfId="0" applyNumberFormat="1" applyFont="1" applyFill="1" applyBorder="1" applyAlignment="1">
      <alignment horizontal="center" vertical="center"/>
    </xf>
    <xf numFmtId="41" fontId="6" fillId="5" borderId="5" xfId="0" applyNumberFormat="1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44" fontId="6" fillId="4" borderId="7" xfId="0" applyNumberFormat="1" applyFont="1" applyFill="1" applyBorder="1" applyAlignment="1">
      <alignment horizontal="center" vertical="center"/>
    </xf>
    <xf numFmtId="44" fontId="0" fillId="0" borderId="9" xfId="1" applyFont="1" applyBorder="1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44" fontId="0" fillId="5" borderId="5" xfId="1" applyFont="1" applyFill="1" applyBorder="1" applyAlignment="1">
      <alignment vertical="center"/>
    </xf>
    <xf numFmtId="1" fontId="2" fillId="5" borderId="4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indent="1"/>
    </xf>
    <xf numFmtId="0" fontId="2" fillId="0" borderId="0" xfId="0" applyFont="1" applyAlignment="1">
      <alignment vertical="top"/>
    </xf>
    <xf numFmtId="44" fontId="2" fillId="2" borderId="1" xfId="0" applyNumberFormat="1" applyFont="1" applyFill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44" fontId="2" fillId="0" borderId="1" xfId="1" applyFont="1" applyBorder="1" applyAlignment="1">
      <alignment vertical="center"/>
    </xf>
    <xf numFmtId="166" fontId="8" fillId="5" borderId="10" xfId="0" applyNumberFormat="1" applyFont="1" applyFill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5" borderId="5" xfId="0" applyFont="1" applyFill="1" applyBorder="1" applyAlignment="1">
      <alignment vertical="center"/>
    </xf>
    <xf numFmtId="164" fontId="2" fillId="0" borderId="5" xfId="0" applyNumberFormat="1" applyFont="1" applyBorder="1" applyAlignment="1">
      <alignment horizontal="right" vertical="center"/>
    </xf>
    <xf numFmtId="44" fontId="2" fillId="0" borderId="6" xfId="1" applyFont="1" applyBorder="1" applyAlignment="1">
      <alignment vertical="center"/>
    </xf>
    <xf numFmtId="0" fontId="12" fillId="0" borderId="0" xfId="0" applyFont="1"/>
    <xf numFmtId="166" fontId="8" fillId="0" borderId="11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" fontId="2" fillId="0" borderId="0" xfId="0" applyNumberFormat="1" applyFont="1" applyAlignment="1">
      <alignment horizontal="left"/>
    </xf>
    <xf numFmtId="0" fontId="1" fillId="0" borderId="0" xfId="0" quotePrefix="1" applyFont="1"/>
    <xf numFmtId="44" fontId="6" fillId="0" borderId="12" xfId="0" applyNumberFormat="1" applyFont="1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41" fontId="6" fillId="0" borderId="12" xfId="0" applyNumberFormat="1" applyFont="1" applyFill="1" applyBorder="1" applyAlignment="1">
      <alignment horizontal="center" vertical="center"/>
    </xf>
    <xf numFmtId="44" fontId="0" fillId="0" borderId="2" xfId="1" applyNumberFormat="1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51</xdr:row>
      <xdr:rowOff>9525</xdr:rowOff>
    </xdr:from>
    <xdr:to>
      <xdr:col>19</xdr:col>
      <xdr:colOff>0</xdr:colOff>
      <xdr:row>52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525" y="9401175"/>
          <a:ext cx="9029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381000</xdr:colOff>
      <xdr:row>0</xdr:row>
      <xdr:rowOff>95250</xdr:rowOff>
    </xdr:from>
    <xdr:to>
      <xdr:col>2</xdr:col>
      <xdr:colOff>1514475</xdr:colOff>
      <xdr:row>1</xdr:row>
      <xdr:rowOff>0</xdr:rowOff>
    </xdr:to>
    <xdr:sp macro="" textlink="">
      <xdr:nvSpPr>
        <xdr:cNvPr id="3" name="WordArt 2"/>
        <xdr:cNvSpPr>
          <a:spLocks noChangeArrowheads="1" noChangeShapeType="1" noTextEdit="1"/>
        </xdr:cNvSpPr>
      </xdr:nvSpPr>
      <xdr:spPr bwMode="auto">
        <a:xfrm>
          <a:off x="381000" y="95250"/>
          <a:ext cx="1266825" cy="5905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PerspectiveTopLeft"/>
            <a:lightRig rig="legacyNormal3" dir="r"/>
          </a:scene3d>
          <a:sp3d extrusionH="201600" prstMaterial="legacyMetal">
            <a:extrusionClr>
              <a:srgbClr val="FFFFFF"/>
            </a:extrusionClr>
          </a:sp3d>
        </a:bodyPr>
        <a:lstStyle/>
        <a:p>
          <a:pPr algn="ctr" rtl="0"/>
          <a:endParaRPr lang="en-US" sz="3600" kern="10" spc="0">
            <a:ln w="9525">
              <a:round/>
              <a:headEnd/>
              <a:tailEnd/>
            </a:ln>
            <a:gradFill rotWithShape="0">
              <a:gsLst>
                <a:gs pos="0">
                  <a:srgbClr val="CBCBCB"/>
                </a:gs>
                <a:gs pos="13000">
                  <a:srgbClr val="5F5F5F"/>
                </a:gs>
                <a:gs pos="21001">
                  <a:srgbClr val="5F5F5F"/>
                </a:gs>
                <a:gs pos="63000">
                  <a:srgbClr val="FFFFFF"/>
                </a:gs>
                <a:gs pos="67000">
                  <a:srgbClr val="B2B2B2"/>
                </a:gs>
                <a:gs pos="69000">
                  <a:srgbClr val="292929"/>
                </a:gs>
                <a:gs pos="82001">
                  <a:srgbClr val="777777"/>
                </a:gs>
                <a:gs pos="100000">
                  <a:srgbClr val="EAEAEA"/>
                </a:gs>
              </a:gsLst>
              <a:lin ang="5400000" scaled="1"/>
            </a:gradFill>
            <a:effectLst/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B1:V53"/>
  <sheetViews>
    <sheetView showGridLines="0" tabSelected="1" topLeftCell="A4" workbookViewId="0">
      <selection activeCell="G7" sqref="G7"/>
    </sheetView>
  </sheetViews>
  <sheetFormatPr defaultRowHeight="13.2"/>
  <cols>
    <col min="1" max="1" width="2.5546875" customWidth="1"/>
    <col min="2" max="2" width="9.6640625" customWidth="1"/>
    <col min="3" max="3" width="11.6640625" customWidth="1"/>
    <col min="4" max="4" width="2.5546875" customWidth="1"/>
    <col min="5" max="5" width="10.44140625" customWidth="1"/>
    <col min="6" max="6" width="7.44140625" customWidth="1"/>
    <col min="7" max="7" width="9.44140625" customWidth="1"/>
    <col min="8" max="8" width="9.5546875" hidden="1" customWidth="1"/>
    <col min="9" max="9" width="7.5546875" customWidth="1"/>
    <col min="10" max="10" width="11.5546875" customWidth="1"/>
    <col min="11" max="11" width="7.6640625" hidden="1" customWidth="1"/>
    <col min="12" max="12" width="8.109375" customWidth="1"/>
    <col min="13" max="13" width="7.6640625" customWidth="1"/>
    <col min="14" max="14" width="7.6640625" hidden="1" customWidth="1"/>
    <col min="15" max="15" width="2.5546875" customWidth="1"/>
    <col min="16" max="16" width="14.44140625" customWidth="1"/>
    <col min="17" max="17" width="2.5546875" customWidth="1"/>
    <col min="18" max="18" width="7.6640625" hidden="1" customWidth="1"/>
    <col min="19" max="19" width="13.21875" customWidth="1"/>
    <col min="20" max="20" width="14.21875" customWidth="1"/>
  </cols>
  <sheetData>
    <row r="1" spans="2:20" ht="43.8">
      <c r="B1" s="1"/>
      <c r="C1" s="1"/>
      <c r="S1" s="10" t="s">
        <v>0</v>
      </c>
    </row>
    <row r="2" spans="2:20" ht="25.2">
      <c r="B2" s="84" t="s">
        <v>27</v>
      </c>
    </row>
    <row r="3" spans="2:20" ht="25.2">
      <c r="B3" s="14"/>
    </row>
    <row r="4" spans="2:20">
      <c r="B4" s="30" t="s">
        <v>28</v>
      </c>
      <c r="P4" s="72" t="s">
        <v>1</v>
      </c>
      <c r="Q4" s="79"/>
      <c r="R4" s="9"/>
      <c r="S4" s="88">
        <v>42550</v>
      </c>
    </row>
    <row r="5" spans="2:20">
      <c r="B5" s="30" t="s">
        <v>29</v>
      </c>
      <c r="P5" s="72" t="s">
        <v>22</v>
      </c>
      <c r="Q5" s="79"/>
      <c r="R5" s="12"/>
      <c r="S5" s="79">
        <v>4500083737</v>
      </c>
    </row>
    <row r="6" spans="2:20">
      <c r="B6" s="89" t="s">
        <v>36</v>
      </c>
      <c r="P6" s="72" t="s">
        <v>23</v>
      </c>
      <c r="Q6" s="80"/>
      <c r="R6" s="80"/>
      <c r="S6" s="79"/>
    </row>
    <row r="7" spans="2:20">
      <c r="B7" s="30" t="s">
        <v>38</v>
      </c>
      <c r="P7" s="72" t="s">
        <v>21</v>
      </c>
      <c r="Q7" s="80"/>
      <c r="R7" s="80"/>
      <c r="S7" s="88">
        <v>42550</v>
      </c>
    </row>
    <row r="8" spans="2:20" ht="19.5" customHeight="1">
      <c r="B8" s="30"/>
      <c r="S8" s="2"/>
    </row>
    <row r="9" spans="2:20" ht="19.5" customHeight="1">
      <c r="B9" s="2" t="s">
        <v>24</v>
      </c>
      <c r="C9" s="2">
        <v>101875</v>
      </c>
      <c r="S9" s="2"/>
    </row>
    <row r="10" spans="2:20" ht="19.5" customHeight="1">
      <c r="B10" s="30"/>
      <c r="S10" s="2"/>
    </row>
    <row r="11" spans="2:20">
      <c r="B11" s="2" t="s">
        <v>9</v>
      </c>
      <c r="C11" s="2"/>
      <c r="J11" s="73" t="s">
        <v>8</v>
      </c>
      <c r="R11" s="11"/>
      <c r="S11" s="71"/>
    </row>
    <row r="12" spans="2:20">
      <c r="B12" t="s">
        <v>25</v>
      </c>
      <c r="F12" s="33"/>
      <c r="G12" s="33"/>
      <c r="H12" s="33"/>
      <c r="I12" s="33"/>
      <c r="J12" s="30" t="s">
        <v>26</v>
      </c>
      <c r="K12" s="33"/>
      <c r="L12" s="33"/>
      <c r="M12" s="33"/>
      <c r="N12" s="33"/>
      <c r="O12" s="33"/>
      <c r="Q12" s="33"/>
    </row>
    <row r="13" spans="2:20"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4"/>
    </row>
    <row r="15" spans="2:20" s="3" customFormat="1" ht="25.8" customHeight="1" thickBot="1">
      <c r="B15" s="78" t="s">
        <v>30</v>
      </c>
      <c r="C15" s="68"/>
      <c r="D15" s="69"/>
      <c r="E15" s="67"/>
      <c r="F15" s="68" t="s">
        <v>31</v>
      </c>
      <c r="G15" s="69"/>
      <c r="H15" s="69"/>
      <c r="I15" s="67"/>
      <c r="J15" s="69"/>
      <c r="K15" s="69"/>
      <c r="L15" s="69"/>
      <c r="M15" s="69"/>
      <c r="N15" s="69"/>
      <c r="O15" s="67"/>
      <c r="P15" s="69"/>
      <c r="Q15" s="69"/>
      <c r="R15" s="69"/>
      <c r="S15" s="69"/>
      <c r="T15" s="70"/>
    </row>
    <row r="16" spans="2:20" s="3" customFormat="1" ht="27" customHeight="1">
      <c r="B16" s="59" t="s">
        <v>10</v>
      </c>
      <c r="C16" s="59" t="s">
        <v>11</v>
      </c>
      <c r="D16" s="60"/>
      <c r="E16" s="61" t="s">
        <v>2</v>
      </c>
      <c r="F16" s="60"/>
      <c r="G16" s="61"/>
      <c r="H16" s="61"/>
      <c r="I16" s="60"/>
      <c r="J16" s="61" t="s">
        <v>18</v>
      </c>
      <c r="K16" s="61"/>
      <c r="L16" s="60" t="s">
        <v>19</v>
      </c>
      <c r="M16" s="61" t="s">
        <v>16</v>
      </c>
      <c r="N16" s="61"/>
      <c r="O16" s="60"/>
      <c r="P16" s="62" t="s">
        <v>17</v>
      </c>
      <c r="Q16" s="63"/>
      <c r="R16" s="64"/>
      <c r="S16" s="65" t="s">
        <v>3</v>
      </c>
      <c r="T16" s="66" t="s">
        <v>20</v>
      </c>
    </row>
    <row r="17" spans="2:22" s="3" customFormat="1" ht="20.100000000000001" customHeight="1">
      <c r="B17" s="27">
        <v>42550</v>
      </c>
      <c r="C17" s="31" t="s">
        <v>35</v>
      </c>
      <c r="D17" s="17"/>
      <c r="E17" s="18"/>
      <c r="F17" s="17"/>
      <c r="G17" s="18"/>
      <c r="H17" s="19"/>
      <c r="I17" s="17"/>
      <c r="J17" s="18">
        <v>0</v>
      </c>
      <c r="K17" s="18"/>
      <c r="L17" s="17">
        <v>0</v>
      </c>
      <c r="M17" s="18">
        <v>1</v>
      </c>
      <c r="N17" s="18"/>
      <c r="O17" s="17"/>
      <c r="P17" s="18"/>
      <c r="Q17" s="18"/>
      <c r="R17" s="18"/>
      <c r="S17" s="24">
        <f>SUM(E17,(F17*G17),J17,(L17*M17),P17,Q17)</f>
        <v>0</v>
      </c>
      <c r="T17" s="35" t="s">
        <v>32</v>
      </c>
    </row>
    <row r="18" spans="2:22" s="3" customFormat="1" ht="20.100000000000001" customHeight="1">
      <c r="B18" s="27">
        <v>42551</v>
      </c>
      <c r="C18" s="31" t="s">
        <v>35</v>
      </c>
      <c r="D18" s="17"/>
      <c r="E18" s="18"/>
      <c r="F18" s="17"/>
      <c r="G18" s="18"/>
      <c r="H18" s="19"/>
      <c r="I18" s="17"/>
      <c r="J18" s="18">
        <v>0</v>
      </c>
      <c r="K18" s="18"/>
      <c r="L18" s="17">
        <v>0</v>
      </c>
      <c r="M18" s="18">
        <v>1</v>
      </c>
      <c r="N18" s="18"/>
      <c r="O18" s="17"/>
      <c r="P18" s="18"/>
      <c r="Q18" s="18"/>
      <c r="R18" s="18"/>
      <c r="S18" s="24">
        <f t="shared" ref="S18:S19" si="0">SUM(E18,(F18*G18),J18,(L18*M18),P18,Q18)</f>
        <v>0</v>
      </c>
      <c r="T18" s="35" t="s">
        <v>32</v>
      </c>
      <c r="V18" s="28"/>
    </row>
    <row r="19" spans="2:22" s="3" customFormat="1" ht="20.100000000000001" customHeight="1">
      <c r="B19" s="27">
        <v>42552</v>
      </c>
      <c r="C19" s="31" t="s">
        <v>35</v>
      </c>
      <c r="D19" s="17"/>
      <c r="E19" s="18"/>
      <c r="F19" s="17"/>
      <c r="G19" s="18"/>
      <c r="H19" s="19"/>
      <c r="I19" s="17"/>
      <c r="J19" s="18">
        <v>0</v>
      </c>
      <c r="K19" s="18"/>
      <c r="L19" s="17">
        <v>0</v>
      </c>
      <c r="M19" s="18">
        <v>1</v>
      </c>
      <c r="N19" s="18"/>
      <c r="O19" s="17"/>
      <c r="P19" s="18"/>
      <c r="Q19" s="18"/>
      <c r="R19" s="18"/>
      <c r="S19" s="24">
        <f t="shared" si="0"/>
        <v>0</v>
      </c>
      <c r="T19" s="35" t="s">
        <v>32</v>
      </c>
      <c r="V19" s="28"/>
    </row>
    <row r="20" spans="2:22" s="3" customFormat="1" ht="20.100000000000001" customHeight="1">
      <c r="B20" s="27">
        <v>42553</v>
      </c>
      <c r="C20" s="31" t="s">
        <v>35</v>
      </c>
      <c r="D20" s="17"/>
      <c r="E20" s="18"/>
      <c r="F20" s="17"/>
      <c r="G20" s="18"/>
      <c r="H20" s="19"/>
      <c r="I20" s="17"/>
      <c r="J20" s="18">
        <v>0</v>
      </c>
      <c r="K20" s="18"/>
      <c r="L20" s="17">
        <v>0</v>
      </c>
      <c r="M20" s="18">
        <v>1</v>
      </c>
      <c r="N20" s="18"/>
      <c r="O20" s="17"/>
      <c r="P20" s="18"/>
      <c r="Q20" s="18"/>
      <c r="R20" s="18"/>
      <c r="S20" s="24">
        <f t="shared" ref="S20" si="1">SUM(E20,(F20*G20),J20,(L20*M20),P20,Q20)</f>
        <v>0</v>
      </c>
      <c r="T20" s="35" t="s">
        <v>32</v>
      </c>
      <c r="V20" s="28"/>
    </row>
    <row r="21" spans="2:22" s="3" customFormat="1" ht="20.100000000000001" customHeight="1">
      <c r="B21" s="27">
        <v>42554</v>
      </c>
      <c r="C21" s="31" t="s">
        <v>35</v>
      </c>
      <c r="D21" s="39"/>
      <c r="E21" s="18"/>
      <c r="F21" s="17"/>
      <c r="G21" s="18"/>
      <c r="H21" s="19"/>
      <c r="I21" s="17"/>
      <c r="J21" s="18">
        <v>0</v>
      </c>
      <c r="K21" s="18"/>
      <c r="L21" s="17">
        <v>0</v>
      </c>
      <c r="M21" s="18">
        <v>1</v>
      </c>
      <c r="N21" s="18"/>
      <c r="O21" s="17"/>
      <c r="P21" s="18"/>
      <c r="Q21" s="18"/>
      <c r="R21" s="18"/>
      <c r="S21" s="24">
        <f t="shared" ref="S21:S23" si="2">SUM(E21,(F21*G21),J21,(L21*M21),P21,Q21)</f>
        <v>0</v>
      </c>
      <c r="T21" s="35" t="s">
        <v>32</v>
      </c>
      <c r="V21" s="28"/>
    </row>
    <row r="22" spans="2:22" s="3" customFormat="1" ht="20.100000000000001" customHeight="1">
      <c r="B22" s="27">
        <v>42555</v>
      </c>
      <c r="C22" s="31" t="s">
        <v>35</v>
      </c>
      <c r="D22" s="39"/>
      <c r="E22" s="18"/>
      <c r="F22" s="17"/>
      <c r="G22" s="18"/>
      <c r="H22" s="19"/>
      <c r="I22" s="17"/>
      <c r="J22" s="18">
        <v>0</v>
      </c>
      <c r="K22" s="18"/>
      <c r="L22" s="17">
        <v>0</v>
      </c>
      <c r="M22" s="18">
        <v>1</v>
      </c>
      <c r="N22" s="18"/>
      <c r="O22" s="17"/>
      <c r="P22" s="18"/>
      <c r="Q22" s="18"/>
      <c r="R22" s="18"/>
      <c r="S22" s="24">
        <f t="shared" si="2"/>
        <v>0</v>
      </c>
      <c r="T22" s="35" t="s">
        <v>32</v>
      </c>
      <c r="V22" s="28"/>
    </row>
    <row r="23" spans="2:22" s="3" customFormat="1" ht="20.100000000000001" customHeight="1">
      <c r="B23" s="27">
        <v>42556</v>
      </c>
      <c r="C23" s="31" t="s">
        <v>35</v>
      </c>
      <c r="D23" s="39"/>
      <c r="E23" s="18"/>
      <c r="F23" s="17"/>
      <c r="G23" s="18"/>
      <c r="H23" s="19"/>
      <c r="I23" s="17"/>
      <c r="J23" s="18">
        <v>0</v>
      </c>
      <c r="K23" s="18"/>
      <c r="L23" s="17">
        <v>0</v>
      </c>
      <c r="M23" s="18">
        <v>1</v>
      </c>
      <c r="N23" s="18"/>
      <c r="O23" s="17"/>
      <c r="P23" s="18"/>
      <c r="Q23" s="18"/>
      <c r="R23" s="18"/>
      <c r="S23" s="24">
        <f t="shared" si="2"/>
        <v>0</v>
      </c>
      <c r="T23" s="35" t="s">
        <v>32</v>
      </c>
      <c r="V23" s="28"/>
    </row>
    <row r="24" spans="2:22" s="3" customFormat="1" ht="20.100000000000001" customHeight="1">
      <c r="B24" s="37"/>
      <c r="C24" s="38"/>
      <c r="D24" s="39"/>
      <c r="E24" s="40"/>
      <c r="F24" s="39"/>
      <c r="G24" s="40"/>
      <c r="H24" s="41"/>
      <c r="I24" s="39"/>
      <c r="J24" s="40"/>
      <c r="K24" s="40"/>
      <c r="L24" s="39"/>
      <c r="M24" s="40"/>
      <c r="N24" s="40"/>
      <c r="O24" s="39"/>
      <c r="P24" s="36"/>
      <c r="Q24" s="36"/>
      <c r="R24" s="36"/>
      <c r="S24" s="47"/>
      <c r="T24" s="48"/>
      <c r="V24" s="28"/>
    </row>
    <row r="25" spans="2:22" s="3" customFormat="1" ht="20.100000000000001" customHeight="1" thickBot="1">
      <c r="B25" s="77"/>
      <c r="C25" s="49"/>
      <c r="D25" s="50"/>
      <c r="E25" s="51"/>
      <c r="F25" s="50"/>
      <c r="G25" s="51"/>
      <c r="H25" s="52"/>
      <c r="I25" s="50"/>
      <c r="J25" s="51"/>
      <c r="K25" s="51"/>
      <c r="L25" s="50"/>
      <c r="M25" s="51"/>
      <c r="N25" s="51"/>
      <c r="O25" s="50"/>
      <c r="P25" s="81"/>
      <c r="Q25" s="82" t="s">
        <v>4</v>
      </c>
      <c r="R25" s="82"/>
      <c r="S25" s="83">
        <f>SUM(S17:S23)</f>
        <v>0</v>
      </c>
      <c r="T25" s="53"/>
      <c r="V25" s="28"/>
    </row>
    <row r="26" spans="2:22" s="3" customFormat="1" ht="20.100000000000001" customHeight="1">
      <c r="B26" s="42"/>
      <c r="C26" s="43"/>
      <c r="D26" s="44"/>
      <c r="E26" s="45"/>
      <c r="F26" s="44"/>
      <c r="G26" s="45"/>
      <c r="H26" s="46"/>
      <c r="I26" s="44"/>
      <c r="J26" s="45"/>
      <c r="K26" s="45"/>
      <c r="L26" s="44"/>
      <c r="M26" s="45"/>
      <c r="N26" s="45"/>
      <c r="O26" s="44"/>
      <c r="P26" s="45"/>
      <c r="Q26" s="45"/>
      <c r="R26" s="45"/>
      <c r="S26" s="55"/>
      <c r="T26" s="56"/>
      <c r="V26" s="28"/>
    </row>
    <row r="27" spans="2:22" s="3" customFormat="1" ht="20.100000000000001" customHeight="1" thickBot="1">
      <c r="B27" s="78" t="s">
        <v>33</v>
      </c>
      <c r="C27" s="68"/>
      <c r="D27" s="69"/>
      <c r="E27" s="67"/>
      <c r="F27" s="68" t="s">
        <v>34</v>
      </c>
      <c r="G27" s="69"/>
      <c r="I27" s="29"/>
      <c r="O27" s="29"/>
      <c r="R27" s="54"/>
      <c r="S27" s="57"/>
      <c r="T27" s="58"/>
      <c r="V27" s="28"/>
    </row>
    <row r="28" spans="2:22" s="3" customFormat="1" ht="20.100000000000001" customHeight="1">
      <c r="B28" s="27">
        <v>42550</v>
      </c>
      <c r="C28" s="31" t="s">
        <v>35</v>
      </c>
      <c r="D28" s="17"/>
      <c r="E28" s="18"/>
      <c r="F28" s="17"/>
      <c r="G28" s="18"/>
      <c r="H28" s="19"/>
      <c r="I28" s="17"/>
      <c r="J28" s="18">
        <v>0</v>
      </c>
      <c r="K28" s="18"/>
      <c r="L28" s="17">
        <v>0</v>
      </c>
      <c r="M28" s="18">
        <v>1</v>
      </c>
      <c r="N28" s="18"/>
      <c r="O28" s="17"/>
      <c r="P28" s="18"/>
      <c r="Q28" s="18"/>
      <c r="R28" s="18"/>
      <c r="S28" s="24">
        <f t="shared" ref="S28:S32" si="3">SUM(E28,(F28*G28),J28,(L28*M28),P28,Q28)</f>
        <v>0</v>
      </c>
      <c r="T28" s="35" t="s">
        <v>32</v>
      </c>
    </row>
    <row r="29" spans="2:22" s="3" customFormat="1" ht="20.100000000000001" customHeight="1">
      <c r="B29" s="27">
        <v>42551</v>
      </c>
      <c r="C29" s="31" t="s">
        <v>35</v>
      </c>
      <c r="D29" s="17"/>
      <c r="E29" s="18"/>
      <c r="F29" s="17"/>
      <c r="G29" s="18"/>
      <c r="H29" s="19"/>
      <c r="I29" s="17"/>
      <c r="J29" s="18">
        <v>0</v>
      </c>
      <c r="K29" s="18"/>
      <c r="L29" s="17">
        <v>0</v>
      </c>
      <c r="M29" s="18">
        <v>1</v>
      </c>
      <c r="N29" s="18"/>
      <c r="O29" s="17"/>
      <c r="P29" s="18"/>
      <c r="Q29" s="18"/>
      <c r="R29" s="18"/>
      <c r="S29" s="24">
        <f t="shared" si="3"/>
        <v>0</v>
      </c>
      <c r="T29" s="35" t="s">
        <v>32</v>
      </c>
    </row>
    <row r="30" spans="2:22" s="3" customFormat="1" ht="20.100000000000001" customHeight="1">
      <c r="B30" s="27">
        <v>42552</v>
      </c>
      <c r="C30" s="31" t="s">
        <v>35</v>
      </c>
      <c r="D30" s="17"/>
      <c r="E30" s="18"/>
      <c r="F30" s="17"/>
      <c r="G30" s="18"/>
      <c r="H30" s="19"/>
      <c r="I30" s="17"/>
      <c r="J30" s="18">
        <v>0</v>
      </c>
      <c r="K30" s="18"/>
      <c r="L30" s="17">
        <v>0</v>
      </c>
      <c r="M30" s="18">
        <v>1</v>
      </c>
      <c r="N30" s="18"/>
      <c r="O30" s="17"/>
      <c r="P30" s="18"/>
      <c r="Q30" s="18"/>
      <c r="R30" s="18"/>
      <c r="S30" s="24">
        <f t="shared" si="3"/>
        <v>0</v>
      </c>
      <c r="T30" s="35" t="s">
        <v>32</v>
      </c>
    </row>
    <row r="31" spans="2:22" s="3" customFormat="1" ht="20.100000000000001" customHeight="1">
      <c r="B31" s="27">
        <v>42553</v>
      </c>
      <c r="C31" s="31" t="s">
        <v>35</v>
      </c>
      <c r="D31" s="17"/>
      <c r="E31" s="18"/>
      <c r="F31" s="17"/>
      <c r="G31" s="18"/>
      <c r="H31" s="19"/>
      <c r="I31" s="17"/>
      <c r="J31" s="18">
        <v>0</v>
      </c>
      <c r="K31" s="18"/>
      <c r="L31" s="17">
        <v>0</v>
      </c>
      <c r="M31" s="18">
        <v>1</v>
      </c>
      <c r="N31" s="18"/>
      <c r="O31" s="17"/>
      <c r="P31" s="18"/>
      <c r="Q31" s="18"/>
      <c r="R31" s="18"/>
      <c r="S31" s="24">
        <f t="shared" si="3"/>
        <v>0</v>
      </c>
      <c r="T31" s="35" t="s">
        <v>32</v>
      </c>
    </row>
    <row r="32" spans="2:22" s="3" customFormat="1" ht="20.100000000000001" customHeight="1">
      <c r="B32" s="27">
        <v>42554</v>
      </c>
      <c r="C32" s="31" t="s">
        <v>35</v>
      </c>
      <c r="D32" s="17"/>
      <c r="E32" s="18"/>
      <c r="F32" s="17"/>
      <c r="G32" s="18"/>
      <c r="H32" s="19"/>
      <c r="I32" s="17"/>
      <c r="J32" s="18">
        <v>0</v>
      </c>
      <c r="K32" s="18"/>
      <c r="L32" s="17">
        <v>0</v>
      </c>
      <c r="M32" s="18">
        <v>1</v>
      </c>
      <c r="N32" s="18"/>
      <c r="O32" s="17"/>
      <c r="P32" s="18"/>
      <c r="Q32" s="18"/>
      <c r="R32" s="18"/>
      <c r="S32" s="24">
        <f t="shared" si="3"/>
        <v>0</v>
      </c>
      <c r="T32" s="35" t="s">
        <v>32</v>
      </c>
      <c r="U32" s="13"/>
    </row>
    <row r="33" spans="2:22" s="3" customFormat="1" ht="20.100000000000001" customHeight="1">
      <c r="B33" s="27">
        <v>42555</v>
      </c>
      <c r="C33" s="31" t="s">
        <v>35</v>
      </c>
      <c r="D33" s="17"/>
      <c r="E33" s="18"/>
      <c r="F33" s="17"/>
      <c r="G33" s="18"/>
      <c r="H33" s="19"/>
      <c r="I33" s="17"/>
      <c r="J33" s="18">
        <v>0</v>
      </c>
      <c r="K33" s="18"/>
      <c r="L33" s="17">
        <v>0</v>
      </c>
      <c r="M33" s="18">
        <v>1</v>
      </c>
      <c r="N33" s="18"/>
      <c r="O33" s="17"/>
      <c r="P33" s="18"/>
      <c r="Q33" s="18"/>
      <c r="R33" s="18"/>
      <c r="S33" s="24">
        <f t="shared" ref="S33:S34" si="4">SUM(E33,(F33*G33),J33,(L33*M33),P33,Q33)</f>
        <v>0</v>
      </c>
      <c r="T33" s="35" t="s">
        <v>32</v>
      </c>
      <c r="U33" s="13"/>
    </row>
    <row r="34" spans="2:22" s="3" customFormat="1" ht="20.100000000000001" customHeight="1">
      <c r="B34" s="27">
        <v>42556</v>
      </c>
      <c r="C34" s="31" t="s">
        <v>35</v>
      </c>
      <c r="D34" s="17"/>
      <c r="E34" s="18"/>
      <c r="F34" s="17"/>
      <c r="G34" s="18"/>
      <c r="H34" s="19"/>
      <c r="I34" s="17"/>
      <c r="J34" s="18">
        <v>0</v>
      </c>
      <c r="K34" s="18"/>
      <c r="L34" s="17">
        <v>0</v>
      </c>
      <c r="M34" s="18">
        <v>1</v>
      </c>
      <c r="N34" s="18"/>
      <c r="O34" s="17"/>
      <c r="P34" s="18"/>
      <c r="Q34" s="18"/>
      <c r="R34" s="18"/>
      <c r="S34" s="24">
        <f t="shared" si="4"/>
        <v>0</v>
      </c>
      <c r="T34" s="35" t="s">
        <v>32</v>
      </c>
      <c r="V34" s="28"/>
    </row>
    <row r="35" spans="2:22" s="3" customFormat="1" ht="20.100000000000001" customHeight="1">
      <c r="B35" s="85"/>
      <c r="C35" s="86"/>
      <c r="D35" s="87"/>
      <c r="E35" s="90"/>
      <c r="F35" s="91"/>
      <c r="G35" s="90"/>
      <c r="H35" s="92"/>
      <c r="I35" s="91"/>
      <c r="J35" s="90"/>
      <c r="K35" s="90"/>
      <c r="L35" s="91"/>
      <c r="M35" s="90"/>
      <c r="N35" s="90"/>
      <c r="O35" s="91"/>
      <c r="P35" s="90"/>
      <c r="Q35" s="90"/>
      <c r="R35" s="90"/>
      <c r="S35" s="93"/>
      <c r="T35" s="56"/>
      <c r="V35" s="28"/>
    </row>
    <row r="36" spans="2:22" s="3" customFormat="1" ht="20.100000000000001" customHeight="1" thickBot="1">
      <c r="B36" s="78" t="s">
        <v>37</v>
      </c>
      <c r="C36" s="49"/>
      <c r="D36" s="50"/>
      <c r="E36" s="51"/>
      <c r="F36" s="50"/>
      <c r="G36" s="51"/>
      <c r="H36" s="52"/>
      <c r="I36" s="50"/>
      <c r="J36" s="51"/>
      <c r="K36" s="51"/>
      <c r="L36" s="50"/>
      <c r="M36" s="51"/>
      <c r="N36" s="51"/>
      <c r="O36" s="50"/>
      <c r="P36" s="81"/>
      <c r="Q36" s="82" t="s">
        <v>4</v>
      </c>
      <c r="R36" s="82"/>
      <c r="S36" s="83">
        <f>SUM(S28:S34)</f>
        <v>0</v>
      </c>
      <c r="T36" s="53"/>
      <c r="V36" s="28"/>
    </row>
    <row r="37" spans="2:22" s="3" customFormat="1" ht="20.100000000000001" customHeight="1">
      <c r="B37" s="27"/>
      <c r="C37" s="31"/>
      <c r="D37" s="17"/>
      <c r="E37" s="18"/>
      <c r="F37" s="17"/>
      <c r="G37" s="18"/>
      <c r="H37" s="19"/>
      <c r="I37" s="17"/>
      <c r="J37" s="18"/>
      <c r="K37" s="18"/>
      <c r="L37" s="17"/>
      <c r="M37" s="18"/>
      <c r="N37" s="18"/>
      <c r="O37" s="17"/>
      <c r="P37" s="18"/>
      <c r="Q37" s="18"/>
      <c r="R37" s="18"/>
      <c r="S37" s="20"/>
      <c r="T37" s="17"/>
      <c r="U37" s="13"/>
    </row>
    <row r="38" spans="2:22" s="3" customFormat="1" ht="20.100000000000001" customHeight="1">
      <c r="B38" s="15"/>
      <c r="C38" s="16"/>
      <c r="D38" s="17"/>
      <c r="E38" s="18"/>
      <c r="F38" s="17"/>
      <c r="G38" s="18"/>
      <c r="H38" s="19">
        <f t="shared" ref="H38:H39" si="5">PRODUCT(D38,G38)</f>
        <v>0</v>
      </c>
      <c r="I38" s="17"/>
      <c r="J38" s="18"/>
      <c r="K38" s="18">
        <f t="shared" ref="K38:K39" si="6">PRODUCT(I38,J38)</f>
        <v>0</v>
      </c>
      <c r="L38" s="17"/>
      <c r="M38" s="18"/>
      <c r="N38" s="18"/>
      <c r="O38" s="17"/>
      <c r="P38" s="18"/>
      <c r="Q38" s="18"/>
      <c r="R38" s="18">
        <f>PRODUCT(O38,Q38)</f>
        <v>0</v>
      </c>
      <c r="S38" s="20">
        <f>SUM(E38,(F38*G38),J38,(L38*M38),P38,Q38)</f>
        <v>0</v>
      </c>
      <c r="T38" s="17"/>
    </row>
    <row r="39" spans="2:22" s="3" customFormat="1" ht="20.100000000000001" customHeight="1">
      <c r="B39" s="15"/>
      <c r="C39" s="16"/>
      <c r="D39" s="17"/>
      <c r="E39" s="18"/>
      <c r="F39" s="17"/>
      <c r="G39" s="18"/>
      <c r="H39" s="19">
        <f t="shared" si="5"/>
        <v>0</v>
      </c>
      <c r="I39" s="17"/>
      <c r="J39" s="18"/>
      <c r="K39" s="18">
        <f t="shared" si="6"/>
        <v>0</v>
      </c>
      <c r="L39" s="17"/>
      <c r="M39" s="18"/>
      <c r="N39" s="18">
        <f t="shared" ref="N39" si="7">PRODUCT(L39,M39)</f>
        <v>0</v>
      </c>
      <c r="O39" s="17"/>
      <c r="P39" s="18">
        <v>125</v>
      </c>
      <c r="Q39" s="18"/>
      <c r="R39" s="18">
        <f>PRODUCT(O39,Q39)</f>
        <v>0</v>
      </c>
      <c r="S39" s="20">
        <f>SUM(E39,(F39*G39),J39,(L39*M39),P39,Q39)</f>
        <v>125</v>
      </c>
      <c r="T39" s="17"/>
    </row>
    <row r="40" spans="2:22" s="3" customFormat="1" ht="20.100000000000001" customHeight="1">
      <c r="B40" s="26"/>
      <c r="C40" s="4"/>
      <c r="P40" s="32"/>
      <c r="Q40" s="75" t="s">
        <v>4</v>
      </c>
      <c r="R40" s="75"/>
      <c r="S40" s="76">
        <f>S39+S36+S25</f>
        <v>125</v>
      </c>
      <c r="T40" s="17"/>
    </row>
    <row r="41" spans="2:22" s="3" customFormat="1" ht="20.100000000000001" customHeight="1">
      <c r="B41" s="25"/>
      <c r="C41" s="4"/>
      <c r="P41" s="3" t="s">
        <v>15</v>
      </c>
      <c r="Q41" s="5"/>
      <c r="R41" s="5"/>
      <c r="S41" s="21">
        <v>0.05</v>
      </c>
      <c r="T41" s="17"/>
    </row>
    <row r="42" spans="2:22" s="3" customFormat="1" ht="20.100000000000001" customHeight="1">
      <c r="B42" s="4" t="s">
        <v>12</v>
      </c>
      <c r="C42" s="4"/>
      <c r="Q42" s="5" t="s">
        <v>5</v>
      </c>
      <c r="R42" s="5"/>
      <c r="S42" s="22">
        <f>(S40*S41)</f>
        <v>6.25</v>
      </c>
      <c r="T42" s="17"/>
    </row>
    <row r="43" spans="2:22" s="3" customFormat="1" ht="20.100000000000001" customHeight="1">
      <c r="B43" s="4" t="s">
        <v>13</v>
      </c>
      <c r="C43" s="4"/>
      <c r="Q43" s="5" t="s">
        <v>6</v>
      </c>
      <c r="R43" s="5"/>
      <c r="S43" s="23"/>
      <c r="T43" s="17"/>
    </row>
    <row r="44" spans="2:22" s="3" customFormat="1" ht="20.100000000000001" customHeight="1">
      <c r="B44" s="4" t="s">
        <v>14</v>
      </c>
      <c r="P44" s="32"/>
      <c r="Q44" s="6" t="s">
        <v>7</v>
      </c>
      <c r="R44" s="6"/>
      <c r="S44" s="74">
        <f>S40+S42+S43</f>
        <v>131.25</v>
      </c>
      <c r="T44" s="17"/>
    </row>
    <row r="45" spans="2:22">
      <c r="B45" s="3"/>
      <c r="U45" s="3"/>
    </row>
    <row r="48" spans="2:22">
      <c r="B48" s="30"/>
    </row>
    <row r="52" spans="2:21" s="8" customFormat="1">
      <c r="B52"/>
      <c r="C52" s="7"/>
      <c r="U52"/>
    </row>
    <row r="53" spans="2:21">
      <c r="B53" s="7"/>
      <c r="U53" s="8"/>
    </row>
  </sheetData>
  <phoneticPr fontId="9" type="noConversion"/>
  <pageMargins left="0.5" right="0.5" top="0.5" bottom="0.5" header="0.5" footer="0.5"/>
  <pageSetup scale="70" orientation="portrait" horizontalDpi="4294967293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Inv-TS</vt:lpstr>
      <vt:lpstr>Sheet1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RLB</dc:creator>
  <cp:lastModifiedBy>lmendoza</cp:lastModifiedBy>
  <cp:lastPrinted>2014-02-11T21:53:53Z</cp:lastPrinted>
  <dcterms:created xsi:type="dcterms:W3CDTF">2000-07-27T22:23:01Z</dcterms:created>
  <dcterms:modified xsi:type="dcterms:W3CDTF">2016-06-29T17:27:57Z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TC062071001033</vt:lpwstr>
  </property>
</Properties>
</file>