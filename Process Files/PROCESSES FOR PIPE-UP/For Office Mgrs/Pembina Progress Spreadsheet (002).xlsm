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judson\AppData\Local\Microsoft\Windows\Temporary Internet Files\Content.Outlook\CR4JJF50\"/>
    </mc:Choice>
  </mc:AlternateContent>
  <bookViews>
    <workbookView xWindow="0" yWindow="0" windowWidth="18930" windowHeight="9135"/>
  </bookViews>
  <sheets>
    <sheet name="GUIDE" sheetId="17" r:id="rId1"/>
    <sheet name="Production" sheetId="10" r:id="rId2"/>
    <sheet name="Crossings" sheetId="12" r:id="rId3"/>
    <sheet name="Baselay Reports" sheetId="13" r:id="rId4"/>
    <sheet name="KP's" sheetId="14" r:id="rId5"/>
    <sheet name="Gaps and Overlaps" sheetId="15" r:id="rId6"/>
  </sheets>
  <externalReferences>
    <externalReference r:id="rId7"/>
  </externalReferences>
  <definedNames>
    <definedName name="_xlnm._FilterDatabase" localSheetId="3" hidden="1">'Baselay Reports'!$A$1:$K$152</definedName>
    <definedName name="_xlnm._FilterDatabase" localSheetId="5" hidden="1">'Gaps and Overlaps'!$A$1:$L$357</definedName>
    <definedName name="AC_Actual_cost_to_date" localSheetId="1">[1]Production!#REF!</definedName>
    <definedName name="AC_Actual_cost_to_date">[1]Production!#REF!</definedName>
    <definedName name="adsfds">[1]Production!#REF!</definedName>
    <definedName name="BAC_Budget_at_Completion" localSheetId="1">[1]Production!#REF!</definedName>
    <definedName name="BAC_Budget_at_Completion">[1]Production!#REF!</definedName>
    <definedName name="CV_Cost_Var" localSheetId="1">[1]Production!#REF!</definedName>
    <definedName name="CV_Cost_Var">[1]Production!#REF!</definedName>
    <definedName name="EAC_Estimate_at_Completion" localSheetId="1">[1]Production!#REF!</definedName>
    <definedName name="EAC_Estimate_at_Completion">[1]Production!#REF!</definedName>
    <definedName name="Effort_Expended">[1]Production!$D$23</definedName>
    <definedName name="Effort_Req">[1]Production!$C$23</definedName>
    <definedName name="ETC_Estimate_to_Completion" localSheetId="1">[1]Production!#REF!</definedName>
    <definedName name="ETC_Estimate_to_Completion">[1]Production!#REF!</definedName>
    <definedName name="EV_Earned_Value" localSheetId="1">[1]Production!#REF!</definedName>
    <definedName name="EV_Earned_Value">[1]Production!#REF!</definedName>
    <definedName name="_xlnm.Print_Area" localSheetId="1">Production!$A$1:$I$53</definedName>
    <definedName name="PV_Planned_Value" localSheetId="1">[1]Production!#REF!</definedName>
    <definedName name="PV_Planned_Value">[1]Production!#REF!</definedName>
    <definedName name="SV_Sch_Var" localSheetId="1">[1]Production!#REF!</definedName>
    <definedName name="SV_Sch_Var">[1]Production!#REF!</definedName>
    <definedName name="SV_Sch_Variance" localSheetId="1">[1]Production!#REF!</definedName>
    <definedName name="SV_Sch_Variance">[1]Production!#REF!</definedName>
  </definedNames>
  <calcPr calcId="152511" concurrentCalc="0"/>
</workbook>
</file>

<file path=xl/calcChain.xml><?xml version="1.0" encoding="utf-8"?>
<calcChain xmlns="http://schemas.openxmlformats.org/spreadsheetml/2006/main">
  <c r="AZ1" i="14" l="1"/>
  <c r="AV1" i="14"/>
  <c r="AR1" i="14"/>
  <c r="AN1" i="14"/>
  <c r="AJ1" i="14"/>
  <c r="AF1" i="14"/>
  <c r="AB1" i="14"/>
  <c r="X1" i="14"/>
  <c r="T1" i="14"/>
  <c r="P1" i="14"/>
  <c r="L1" i="14"/>
  <c r="H1" i="14"/>
  <c r="D1" i="14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2" i="13"/>
  <c r="G19" i="10"/>
  <c r="I19" i="10"/>
  <c r="G26" i="10"/>
  <c r="G18" i="10"/>
  <c r="I18" i="10"/>
  <c r="G20" i="10"/>
  <c r="I20" i="10"/>
  <c r="G40" i="10"/>
  <c r="G14" i="10"/>
  <c r="I14" i="10"/>
  <c r="F39" i="12"/>
  <c r="H30" i="10"/>
  <c r="F38" i="12"/>
  <c r="G17" i="10"/>
  <c r="I17" i="10"/>
  <c r="G15" i="10"/>
  <c r="I15" i="10"/>
  <c r="G36" i="10"/>
  <c r="I36" i="10"/>
  <c r="G37" i="10"/>
  <c r="I37" i="10"/>
  <c r="G38" i="10"/>
  <c r="I38" i="10"/>
  <c r="G39" i="10"/>
  <c r="I39" i="10"/>
  <c r="J38" i="12"/>
  <c r="G30" i="10"/>
  <c r="G31" i="10"/>
  <c r="I31" i="10"/>
  <c r="G16" i="10"/>
  <c r="I16" i="10"/>
  <c r="G8" i="10"/>
  <c r="I8" i="10"/>
  <c r="G13" i="10"/>
  <c r="I13" i="10"/>
  <c r="G24" i="10"/>
  <c r="G25" i="10"/>
  <c r="G27" i="10"/>
  <c r="G23" i="10"/>
  <c r="G9" i="10"/>
  <c r="I9" i="10"/>
  <c r="G10" i="10"/>
  <c r="I10" i="10"/>
  <c r="G11" i="10"/>
  <c r="I11" i="10"/>
  <c r="G12" i="10"/>
  <c r="I12" i="10"/>
  <c r="G21" i="10"/>
  <c r="I21" i="10"/>
  <c r="F40" i="12"/>
  <c r="F42" i="12"/>
  <c r="I30" i="10"/>
</calcChain>
</file>

<file path=xl/sharedStrings.xml><?xml version="1.0" encoding="utf-8"?>
<sst xmlns="http://schemas.openxmlformats.org/spreadsheetml/2006/main" count="2201" uniqueCount="220">
  <si>
    <t>Date:</t>
  </si>
  <si>
    <t>Description</t>
  </si>
  <si>
    <t>Today</t>
  </si>
  <si>
    <t>Previous</t>
  </si>
  <si>
    <t>Total To Date</t>
  </si>
  <si>
    <t>Length (Metres)</t>
  </si>
  <si>
    <t>% Complete</t>
  </si>
  <si>
    <t>Bending</t>
  </si>
  <si>
    <t>Ditch</t>
  </si>
  <si>
    <t>Hydrostatic Testing</t>
  </si>
  <si>
    <t>Weather:</t>
  </si>
  <si>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C  (Low)</t>
    </r>
  </si>
  <si>
    <t>Backfill</t>
  </si>
  <si>
    <t>Coating</t>
  </si>
  <si>
    <t>NDE</t>
  </si>
  <si>
    <t>Date</t>
  </si>
  <si>
    <t>Weld Production</t>
  </si>
  <si>
    <t>Clean-up</t>
  </si>
  <si>
    <t xml:space="preserve">Caliper Pig </t>
  </si>
  <si>
    <t>Comments:</t>
  </si>
  <si>
    <t>Final Tie-Ins</t>
  </si>
  <si>
    <t>Length</t>
  </si>
  <si>
    <t>Fabrication (Valve Installation)</t>
  </si>
  <si>
    <t xml:space="preserve">Previous </t>
  </si>
  <si>
    <t>From (kp)</t>
  </si>
  <si>
    <t>To (kp)</t>
  </si>
  <si>
    <t>Weld- Mainline</t>
  </si>
  <si>
    <t>Coat- Mainline</t>
  </si>
  <si>
    <t>Daily Production Report</t>
  </si>
  <si>
    <t>To Date</t>
  </si>
  <si>
    <t xml:space="preserve">To Install </t>
  </si>
  <si>
    <t xml:space="preserve">To Date </t>
  </si>
  <si>
    <t>Valves Installed</t>
  </si>
  <si>
    <t>Clean-Up (Machine)</t>
  </si>
  <si>
    <t>Clean-Up (Final)</t>
  </si>
  <si>
    <t>Mainline Welds</t>
  </si>
  <si>
    <t>Section Welds</t>
  </si>
  <si>
    <t>Tie-in Welds</t>
  </si>
  <si>
    <t>Clearing</t>
  </si>
  <si>
    <t>Inspection</t>
  </si>
  <si>
    <t>Date Started</t>
  </si>
  <si>
    <t>Date Completed</t>
  </si>
  <si>
    <t>Length (m)</t>
  </si>
  <si>
    <t>Station</t>
  </si>
  <si>
    <t>Crossing Type</t>
  </si>
  <si>
    <t>Drawing Number</t>
  </si>
  <si>
    <t>Crossing Method</t>
  </si>
  <si>
    <t>To Date:</t>
  </si>
  <si>
    <t>% Complete:</t>
  </si>
  <si>
    <t>Repair Rate (Mainline)</t>
  </si>
  <si>
    <t>Weld - Tie Ins</t>
  </si>
  <si>
    <t>Lower-In</t>
  </si>
  <si>
    <t xml:space="preserve"> </t>
  </si>
  <si>
    <t>Pilot Hole</t>
  </si>
  <si>
    <t>Section Installed</t>
  </si>
  <si>
    <t>Total</t>
  </si>
  <si>
    <t>`</t>
  </si>
  <si>
    <t>Access &amp; Grade</t>
  </si>
  <si>
    <t xml:space="preserve">Stringing </t>
  </si>
  <si>
    <t>Meters</t>
  </si>
  <si>
    <t>0+188</t>
  </si>
  <si>
    <t>B58.01-1F-0001</t>
  </si>
  <si>
    <t>KP 0+188 HDD Crossing</t>
  </si>
  <si>
    <t>4+565</t>
  </si>
  <si>
    <t>KP 4+565 HDD Crossing</t>
  </si>
  <si>
    <t>B58.01-1F-0003</t>
  </si>
  <si>
    <t>24+250</t>
  </si>
  <si>
    <t>Dirt Pile</t>
  </si>
  <si>
    <t>Large dirt pile</t>
  </si>
  <si>
    <t>Pipeline</t>
  </si>
  <si>
    <t>Road/Pipeline</t>
  </si>
  <si>
    <t>Spectra Pipeline</t>
  </si>
  <si>
    <t>17+407</t>
  </si>
  <si>
    <t>Railway</t>
  </si>
  <si>
    <t>Abandoned rail line</t>
  </si>
  <si>
    <t>16+869</t>
  </si>
  <si>
    <t>CPNGC</t>
  </si>
  <si>
    <t>15+254</t>
  </si>
  <si>
    <t>Watercourse</t>
  </si>
  <si>
    <t>CCI</t>
  </si>
  <si>
    <t>KDM</t>
  </si>
  <si>
    <t>23+160</t>
  </si>
  <si>
    <t>Road</t>
  </si>
  <si>
    <t>Rd 2</t>
  </si>
  <si>
    <t>Mainline Repairs</t>
  </si>
  <si>
    <t>21+580</t>
  </si>
  <si>
    <t>23+830</t>
  </si>
  <si>
    <t>Rd 3</t>
  </si>
  <si>
    <t>Alliance/NewAlta/CNRL</t>
  </si>
  <si>
    <t>Creek</t>
  </si>
  <si>
    <t>Henderson Creek</t>
  </si>
  <si>
    <t>Complete</t>
  </si>
  <si>
    <t>In Progress</t>
  </si>
  <si>
    <t>20+092</t>
  </si>
  <si>
    <t>Ream 12"</t>
  </si>
  <si>
    <t>Ream 18"</t>
  </si>
  <si>
    <t>Rd 4</t>
  </si>
  <si>
    <t>18+214</t>
  </si>
  <si>
    <t>Drainage</t>
  </si>
  <si>
    <t>17+627</t>
  </si>
  <si>
    <t>19+780</t>
  </si>
  <si>
    <t>Crossings</t>
  </si>
  <si>
    <t>Site Specific Horizontal Directional Drills</t>
  </si>
  <si>
    <t>Current Site Specific Horizontal Directional Drill</t>
  </si>
  <si>
    <t>Mobilization/Set Up Rig</t>
  </si>
  <si>
    <t>Casing Installation (if applicable)</t>
  </si>
  <si>
    <t>HDD Bores</t>
  </si>
  <si>
    <t>N/A</t>
  </si>
  <si>
    <t xml:space="preserve">Backfill </t>
  </si>
  <si>
    <t>Backfill Tie-in's</t>
  </si>
  <si>
    <t>17+155</t>
  </si>
  <si>
    <t>Rd 7, Canamax, Shiningstar, Nova</t>
  </si>
  <si>
    <t>16+524</t>
  </si>
  <si>
    <t>14+939</t>
  </si>
  <si>
    <t>14+286</t>
  </si>
  <si>
    <t>Shiningstar</t>
  </si>
  <si>
    <t>12+935</t>
  </si>
  <si>
    <t>CNRL</t>
  </si>
  <si>
    <t>Draw/Pipeline</t>
  </si>
  <si>
    <t>Ephemeral draw, CNRL, Encana</t>
  </si>
  <si>
    <t>7+565</t>
  </si>
  <si>
    <t>7+439</t>
  </si>
  <si>
    <t>Westcoast Energy</t>
  </si>
  <si>
    <t>6+137</t>
  </si>
  <si>
    <t>5+891</t>
  </si>
  <si>
    <t>Taylor Expansion - Gordondale Lateral</t>
  </si>
  <si>
    <t>Contractor:  NTL Pipelines Inc.</t>
  </si>
  <si>
    <t>Beaver dam at Tributary to Henderson  Creek</t>
  </si>
  <si>
    <t>Rd 14</t>
  </si>
  <si>
    <t>BA Rd</t>
  </si>
  <si>
    <t>CNRL Access, Encana, ATCO, Altagas</t>
  </si>
  <si>
    <t>Encana H/L, Unnamed Tributary</t>
  </si>
  <si>
    <t>Oxbow &amp; Unnamed trib of Henderson creek</t>
  </si>
  <si>
    <t xml:space="preserve">Rd, Enerplus H/L </t>
  </si>
  <si>
    <t>Site Specific HDD</t>
  </si>
  <si>
    <t>HDD Bore</t>
  </si>
  <si>
    <t>HDD Bores:</t>
  </si>
  <si>
    <t>Rd 8, Nova, Atco</t>
  </si>
  <si>
    <t>Nova Cathodic bed</t>
  </si>
  <si>
    <t>Rd  11D, Encana H/L &amp; Road</t>
  </si>
  <si>
    <t>12+320</t>
  </si>
  <si>
    <t>12+001</t>
  </si>
  <si>
    <t>Rd 11DA, Encana Rd and H/L</t>
  </si>
  <si>
    <t>Enerplus HDD (KP 0+188)</t>
  </si>
  <si>
    <t>Prepared by:  Gwen Tomlin (KDM Office Manager)</t>
  </si>
  <si>
    <t>10+650</t>
  </si>
  <si>
    <t>10+387</t>
  </si>
  <si>
    <t>10+726</t>
  </si>
  <si>
    <t>Rd 11A, Encana Access Road</t>
  </si>
  <si>
    <t>Unnamed Tributary to Henderson creek</t>
  </si>
  <si>
    <t>10+208</t>
  </si>
  <si>
    <t>9+444</t>
  </si>
  <si>
    <t>Block Valve 10</t>
  </si>
  <si>
    <t>11+123</t>
  </si>
  <si>
    <t>Rd 11, ATCO, Encana Access &amp; H/L, CNRL</t>
  </si>
  <si>
    <t>0+448</t>
  </si>
  <si>
    <t>8+589</t>
  </si>
  <si>
    <t>Rd, Altagas Crossing</t>
  </si>
  <si>
    <t>5+327</t>
  </si>
  <si>
    <t>Pembina Crossings at 8+917 &amp; 1+522 will be open cut</t>
  </si>
  <si>
    <t>7+289</t>
  </si>
  <si>
    <t>Watercourse/Twin Creeks</t>
  </si>
  <si>
    <t>High</t>
  </si>
  <si>
    <t>Demobilize</t>
  </si>
  <si>
    <t>Fabrication Welds</t>
  </si>
  <si>
    <r>
      <t xml:space="preserve">Block Valve 10: </t>
    </r>
    <r>
      <rPr>
        <sz val="11"/>
        <rFont val="Arial"/>
        <family val="2"/>
      </rPr>
      <t xml:space="preserve"> Complete</t>
    </r>
  </si>
  <si>
    <r>
      <t>Block Valve 9:</t>
    </r>
    <r>
      <rPr>
        <sz val="11"/>
        <rFont val="Arial"/>
        <family val="2"/>
      </rPr>
      <t xml:space="preserve">  Complete</t>
    </r>
  </si>
  <si>
    <r>
      <rPr>
        <b/>
        <sz val="11"/>
        <rFont val="Arial"/>
        <family val="2"/>
      </rPr>
      <t xml:space="preserve">Gordondale Station: </t>
    </r>
    <r>
      <rPr>
        <sz val="11"/>
        <rFont val="Arial"/>
        <family val="2"/>
      </rPr>
      <t xml:space="preserve"> Complete</t>
    </r>
  </si>
  <si>
    <r>
      <t xml:space="preserve">Pouce Coupe Sending Site:  </t>
    </r>
    <r>
      <rPr>
        <sz val="11"/>
        <rFont val="Arial"/>
        <family val="2"/>
      </rPr>
      <t>NTL's fitter switched out a 2" valve at both the Enerplus and Pouce Coupe Battery sites.</t>
    </r>
  </si>
  <si>
    <t>Temporary fencing was re-installed and all remaining hoarding and sfaffolding was transported to Clairmont.  Cleanup at</t>
  </si>
  <si>
    <t xml:space="preserve">Enerplus,the  Pouce Coupe Battery and the Gordondal NTL yard have been completed.  A final cleanup of the entire spread </t>
  </si>
  <si>
    <t>will be done this spring/summer.</t>
  </si>
  <si>
    <t>Cloudy Periods</t>
  </si>
  <si>
    <t>DATE</t>
  </si>
  <si>
    <t>FROM KP</t>
  </si>
  <si>
    <t>TO KP</t>
  </si>
  <si>
    <t>BASELAY</t>
  </si>
  <si>
    <t>COMMENTS</t>
  </si>
  <si>
    <t>INSPECTOR</t>
  </si>
  <si>
    <t>CLEARING</t>
  </si>
  <si>
    <t>TEST</t>
  </si>
  <si>
    <t>METERS</t>
  </si>
  <si>
    <t>From KP</t>
  </si>
  <si>
    <t>To KP</t>
  </si>
  <si>
    <t>ACCESS</t>
  </si>
  <si>
    <t>GRADE</t>
  </si>
  <si>
    <t>ReportNumberToday</t>
  </si>
  <si>
    <t>STRINGING</t>
  </si>
  <si>
    <t>Inspector</t>
  </si>
  <si>
    <t>Inspection ID</t>
  </si>
  <si>
    <t>Baselay</t>
  </si>
  <si>
    <t>Reported From KP</t>
  </si>
  <si>
    <t>Reported To KP</t>
  </si>
  <si>
    <t>GAP</t>
  </si>
  <si>
    <t>Reported Meters</t>
  </si>
  <si>
    <t>Overlap Length</t>
  </si>
  <si>
    <t>BENDING</t>
  </si>
  <si>
    <t>WELDING</t>
  </si>
  <si>
    <t>TAB COLOR</t>
  </si>
  <si>
    <t xml:space="preserve">ORANGE </t>
  </si>
  <si>
    <t>USER INPUT</t>
  </si>
  <si>
    <t xml:space="preserve">BLUE </t>
  </si>
  <si>
    <t>NO USER INPUT - ANY CHANGES MADE WILL BE DELETED WHEN MACRO RUNS!!!!</t>
  </si>
  <si>
    <t>STATIONING</t>
  </si>
  <si>
    <t>START</t>
  </si>
  <si>
    <t>END</t>
  </si>
  <si>
    <t>GAPS</t>
  </si>
  <si>
    <t>OVERLAPS</t>
  </si>
  <si>
    <t>Craig Day</t>
  </si>
  <si>
    <t>Jack Slack</t>
  </si>
  <si>
    <t>Rick Judson</t>
  </si>
  <si>
    <t>Curtis Hanson</t>
  </si>
  <si>
    <t>COATING</t>
  </si>
  <si>
    <t>DITCH</t>
  </si>
  <si>
    <t>BACKFILL</t>
  </si>
  <si>
    <t>LOWER-IN</t>
  </si>
  <si>
    <t>Welding Tie-ins</t>
  </si>
  <si>
    <t>WELDING TIE-INS</t>
  </si>
  <si>
    <t>BACKFILL TIE-IN'S</t>
  </si>
  <si>
    <t>CLEAN-UP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</si>
</sst>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\+000"/>
    <numFmt numFmtId="166" formatCode="[$-409]d\-mmm\-yyyy;@"/>
    <numFmt numFmtId="167" formatCode="000\+000"/>
    <numFmt numFmtId="168" formatCode="0.0%"/>
    <numFmt numFmtId="169" formatCode="_(* #,##0_);_(* \(#,##0\);_(* &quot;-&quot;??_);_(@_)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1"/>
      <color indexed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vertAlign val="superscript"/>
      <sz val="1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Tahoma"/>
      <family val="2"/>
    </font>
    <font>
      <b/>
      <sz val="12"/>
      <color rgb="FF000000"/>
      <name val="Tahoma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name val="Arial"/>
      <family val="2"/>
    </font>
    <font>
      <b/>
      <sz val="11"/>
      <color rgb="FFFFFFFF"/>
      <name val="Arial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name val="Calibri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38DD5"/>
        <bgColor rgb="FF000000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9FEB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133">
    <xf numFmtId="0" fontId="0" fillId="0" borderId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/>
    <xf numFmtId="43" fontId="28" fillId="0" borderId="0" applyFont="0" applyFill="0" applyBorder="0" applyAlignment="0" applyProtection="0"/>
  </cellStyleXfs>
  <cellXfs count="158">
    <xf numFmtId="0" fontId="0" fillId="0" borderId="0" xfId="0"/>
    <xf numFmtId="0" fontId="5" fillId="0" borderId="0" xfId="5" applyFont="1" applyFill="1" applyBorder="1" applyAlignment="1" applyProtection="1">
      <alignment horizontal="left" vertical="center" wrapText="1"/>
      <protection locked="0"/>
    </xf>
    <xf numFmtId="0" fontId="5" fillId="0" borderId="0" xfId="5" applyFont="1" applyFill="1" applyBorder="1" applyAlignment="1" applyProtection="1">
      <alignment vertical="center" wrapText="1"/>
      <protection locked="0"/>
    </xf>
    <xf numFmtId="0" fontId="10" fillId="0" borderId="0" xfId="5" applyFont="1" applyFill="1" applyBorder="1" applyAlignment="1" applyProtection="1">
      <alignment vertical="center" wrapText="1"/>
      <protection locked="0"/>
    </xf>
    <xf numFmtId="0" fontId="9" fillId="0" borderId="0" xfId="5" applyFont="1" applyFill="1" applyBorder="1" applyAlignment="1" applyProtection="1">
      <alignment horizontal="right" vertical="center" wrapText="1"/>
      <protection locked="0"/>
    </xf>
    <xf numFmtId="0" fontId="0" fillId="0" borderId="0" xfId="0" applyBorder="1"/>
    <xf numFmtId="17" fontId="3" fillId="0" borderId="0" xfId="5" applyNumberFormat="1" applyFont="1" applyFill="1" applyBorder="1" applyAlignment="1" applyProtection="1">
      <alignment horizontal="left" vertical="center" wrapText="1"/>
      <protection locked="0"/>
    </xf>
    <xf numFmtId="0" fontId="8" fillId="0" borderId="0" xfId="5" applyFont="1" applyBorder="1" applyAlignment="1" applyProtection="1">
      <alignment horizontal="left" vertical="top" wrapText="1"/>
      <protection locked="0"/>
    </xf>
    <xf numFmtId="0" fontId="8" fillId="0" borderId="2" xfId="5" applyFont="1" applyBorder="1" applyAlignment="1" applyProtection="1">
      <alignment horizontal="left" wrapText="1"/>
      <protection locked="0"/>
    </xf>
    <xf numFmtId="0" fontId="0" fillId="3" borderId="0" xfId="0" applyFill="1"/>
    <xf numFmtId="3" fontId="8" fillId="0" borderId="9" xfId="2" applyNumberFormat="1" applyFont="1" applyFill="1" applyBorder="1" applyAlignment="1" applyProtection="1">
      <alignment horizontal="center"/>
      <protection locked="0"/>
    </xf>
    <xf numFmtId="3" fontId="8" fillId="0" borderId="9" xfId="5" applyNumberFormat="1" applyFont="1" applyBorder="1" applyAlignment="1" applyProtection="1">
      <alignment horizontal="center" wrapText="1"/>
      <protection locked="0"/>
    </xf>
    <xf numFmtId="9" fontId="8" fillId="0" borderId="9" xfId="5" applyNumberFormat="1" applyFont="1" applyBorder="1" applyAlignment="1" applyProtection="1">
      <alignment horizontal="center" wrapText="1"/>
    </xf>
    <xf numFmtId="1" fontId="8" fillId="0" borderId="9" xfId="2" applyNumberFormat="1" applyFont="1" applyFill="1" applyBorder="1" applyAlignment="1" applyProtection="1">
      <alignment horizontal="center"/>
      <protection locked="0"/>
    </xf>
    <xf numFmtId="9" fontId="8" fillId="0" borderId="9" xfId="2" applyNumberFormat="1" applyFont="1" applyFill="1" applyBorder="1" applyAlignment="1" applyProtection="1">
      <alignment horizontal="center"/>
      <protection locked="0"/>
    </xf>
    <xf numFmtId="0" fontId="7" fillId="2" borderId="3" xfId="5" applyFont="1" applyFill="1" applyBorder="1" applyAlignment="1" applyProtection="1">
      <alignment horizontal="center" vertical="center" wrapText="1"/>
      <protection locked="0"/>
    </xf>
    <xf numFmtId="0" fontId="7" fillId="2" borderId="7" xfId="5" applyFont="1" applyFill="1" applyBorder="1" applyAlignment="1" applyProtection="1">
      <alignment vertical="center"/>
      <protection locked="0"/>
    </xf>
    <xf numFmtId="0" fontId="7" fillId="2" borderId="3" xfId="5" applyFont="1" applyFill="1" applyBorder="1" applyAlignment="1" applyProtection="1">
      <alignment vertical="center"/>
      <protection locked="0"/>
    </xf>
    <xf numFmtId="166" fontId="15" fillId="2" borderId="7" xfId="2" applyNumberFormat="1" applyFont="1" applyFill="1" applyBorder="1" applyAlignment="1" applyProtection="1">
      <alignment horizontal="left" vertical="center"/>
      <protection locked="0"/>
    </xf>
    <xf numFmtId="166" fontId="15" fillId="2" borderId="3" xfId="2" applyNumberFormat="1" applyFont="1" applyFill="1" applyBorder="1" applyAlignment="1" applyProtection="1">
      <alignment horizontal="center" vertical="center"/>
      <protection locked="0"/>
    </xf>
    <xf numFmtId="166" fontId="15" fillId="2" borderId="3" xfId="2" applyNumberFormat="1" applyFont="1" applyFill="1" applyBorder="1" applyAlignment="1" applyProtection="1">
      <alignment horizontal="center" vertical="center" wrapText="1"/>
      <protection locked="0"/>
    </xf>
    <xf numFmtId="0" fontId="15" fillId="2" borderId="9" xfId="5" applyFont="1" applyFill="1" applyBorder="1" applyAlignment="1" applyProtection="1">
      <alignment horizontal="center" vertical="center" wrapText="1"/>
      <protection locked="0"/>
    </xf>
    <xf numFmtId="166" fontId="15" fillId="2" borderId="9" xfId="2" applyNumberFormat="1" applyFont="1" applyFill="1" applyBorder="1" applyAlignment="1" applyProtection="1">
      <alignment horizontal="center" vertical="center"/>
      <protection locked="0"/>
    </xf>
    <xf numFmtId="166" fontId="15" fillId="2" borderId="9" xfId="2" applyNumberFormat="1" applyFont="1" applyFill="1" applyBorder="1" applyAlignment="1" applyProtection="1">
      <alignment horizontal="center" vertical="center" wrapText="1"/>
      <protection locked="0"/>
    </xf>
    <xf numFmtId="9" fontId="15" fillId="2" borderId="9" xfId="2" applyNumberFormat="1" applyFont="1" applyFill="1" applyBorder="1" applyAlignment="1" applyProtection="1">
      <alignment horizontal="center" vertical="center"/>
      <protection locked="0"/>
    </xf>
    <xf numFmtId="0" fontId="7" fillId="2" borderId="9" xfId="5" applyFont="1" applyFill="1" applyBorder="1" applyAlignment="1" applyProtection="1">
      <alignment horizontal="center" vertical="center" wrapText="1"/>
      <protection locked="0"/>
    </xf>
    <xf numFmtId="0" fontId="7" fillId="2" borderId="11" xfId="5" applyFont="1" applyFill="1" applyBorder="1" applyAlignment="1" applyProtection="1">
      <alignment horizontal="center" vertical="center" wrapText="1"/>
      <protection locked="0"/>
    </xf>
    <xf numFmtId="0" fontId="7" fillId="2" borderId="5" xfId="5" applyFont="1" applyFill="1" applyBorder="1" applyAlignment="1" applyProtection="1">
      <alignment horizontal="center" vertical="center" wrapText="1"/>
      <protection locked="0"/>
    </xf>
    <xf numFmtId="0" fontId="7" fillId="2" borderId="6" xfId="5" applyFont="1" applyFill="1" applyBorder="1" applyAlignment="1" applyProtection="1">
      <alignment horizontal="center" vertical="center" wrapText="1"/>
      <protection locked="0"/>
    </xf>
    <xf numFmtId="0" fontId="8" fillId="0" borderId="9" xfId="2" applyNumberFormat="1" applyFont="1" applyFill="1" applyBorder="1" applyAlignment="1" applyProtection="1">
      <alignment horizontal="center"/>
      <protection locked="0"/>
    </xf>
    <xf numFmtId="167" fontId="8" fillId="0" borderId="9" xfId="5" applyNumberFormat="1" applyFont="1" applyBorder="1" applyAlignment="1" applyProtection="1">
      <alignment horizontal="center" wrapText="1"/>
      <protection locked="0"/>
    </xf>
    <xf numFmtId="0" fontId="2" fillId="0" borderId="0" xfId="244" applyFill="1" applyAlignment="1">
      <alignment horizontal="center"/>
    </xf>
    <xf numFmtId="0" fontId="16" fillId="0" borderId="0" xfId="244" applyFont="1" applyFill="1" applyAlignment="1">
      <alignment horizontal="center"/>
    </xf>
    <xf numFmtId="0" fontId="0" fillId="0" borderId="0" xfId="0" applyAlignment="1">
      <alignment horizontal="center"/>
    </xf>
    <xf numFmtId="0" fontId="18" fillId="0" borderId="10" xfId="0" applyFont="1" applyBorder="1" applyAlignment="1">
      <alignment vertical="center"/>
    </xf>
    <xf numFmtId="0" fontId="0" fillId="0" borderId="10" xfId="0" applyBorder="1"/>
    <xf numFmtId="0" fontId="20" fillId="0" borderId="0" xfId="0" applyFont="1" applyFill="1" applyBorder="1" applyAlignment="1">
      <alignment horizontal="justify" vertical="center"/>
    </xf>
    <xf numFmtId="0" fontId="21" fillId="0" borderId="0" xfId="0" applyFont="1" applyAlignment="1">
      <alignment horizontal="center"/>
    </xf>
    <xf numFmtId="0" fontId="21" fillId="0" borderId="0" xfId="0" applyFont="1"/>
    <xf numFmtId="9" fontId="21" fillId="0" borderId="0" xfId="0" applyNumberFormat="1" applyFont="1" applyAlignment="1">
      <alignment horizontal="center"/>
    </xf>
    <xf numFmtId="0" fontId="8" fillId="0" borderId="3" xfId="2" applyNumberFormat="1" applyFont="1" applyFill="1" applyBorder="1" applyAlignment="1" applyProtection="1">
      <alignment horizontal="center"/>
      <protection locked="0"/>
    </xf>
    <xf numFmtId="10" fontId="8" fillId="0" borderId="6" xfId="5" applyNumberFormat="1" applyFont="1" applyFill="1" applyBorder="1" applyAlignment="1" applyProtection="1">
      <alignment vertical="center" wrapText="1"/>
      <protection locked="0"/>
    </xf>
    <xf numFmtId="0" fontId="7" fillId="2" borderId="4" xfId="5" applyFont="1" applyFill="1" applyBorder="1" applyAlignment="1" applyProtection="1">
      <alignment vertical="center"/>
      <protection locked="0"/>
    </xf>
    <xf numFmtId="10" fontId="8" fillId="0" borderId="7" xfId="5" applyNumberFormat="1" applyFont="1" applyFill="1" applyBorder="1" applyAlignment="1" applyProtection="1">
      <alignment vertical="center" wrapText="1"/>
      <protection locked="0"/>
    </xf>
    <xf numFmtId="10" fontId="8" fillId="0" borderId="4" xfId="5" applyNumberFormat="1" applyFont="1" applyFill="1" applyBorder="1" applyAlignment="1" applyProtection="1">
      <alignment vertical="center" wrapText="1"/>
      <protection locked="0"/>
    </xf>
    <xf numFmtId="10" fontId="8" fillId="0" borderId="5" xfId="5" applyNumberFormat="1" applyFont="1" applyFill="1" applyBorder="1" applyAlignment="1" applyProtection="1">
      <alignment vertical="center" wrapText="1"/>
      <protection locked="0"/>
    </xf>
    <xf numFmtId="166" fontId="9" fillId="0" borderId="3" xfId="2" applyNumberFormat="1" applyFont="1" applyFill="1" applyBorder="1" applyAlignment="1" applyProtection="1">
      <alignment horizontal="left"/>
      <protection locked="0"/>
    </xf>
    <xf numFmtId="10" fontId="8" fillId="0" borderId="7" xfId="5" applyNumberFormat="1" applyFont="1" applyFill="1" applyBorder="1" applyAlignment="1" applyProtection="1">
      <alignment horizontal="center" vertical="center"/>
      <protection locked="0"/>
    </xf>
    <xf numFmtId="10" fontId="8" fillId="0" borderId="4" xfId="5" applyNumberFormat="1" applyFont="1" applyFill="1" applyBorder="1" applyAlignment="1" applyProtection="1">
      <alignment horizontal="center" vertical="center"/>
      <protection locked="0"/>
    </xf>
    <xf numFmtId="1" fontId="8" fillId="0" borderId="7" xfId="5" applyNumberFormat="1" applyFont="1" applyFill="1" applyBorder="1" applyAlignment="1" applyProtection="1">
      <alignment horizontal="center" vertical="center"/>
      <protection locked="0"/>
    </xf>
    <xf numFmtId="1" fontId="8" fillId="0" borderId="4" xfId="5" applyNumberFormat="1" applyFont="1" applyFill="1" applyBorder="1" applyAlignment="1" applyProtection="1">
      <alignment horizontal="center" vertical="center"/>
      <protection locked="0"/>
    </xf>
    <xf numFmtId="168" fontId="8" fillId="0" borderId="9" xfId="2" applyNumberFormat="1" applyFont="1" applyFill="1" applyBorder="1" applyAlignment="1" applyProtection="1">
      <alignment horizontal="center"/>
      <protection locked="0"/>
    </xf>
    <xf numFmtId="0" fontId="8" fillId="0" borderId="4" xfId="5" applyFont="1" applyBorder="1" applyAlignment="1" applyProtection="1">
      <alignment horizontal="left" wrapText="1"/>
      <protection locked="0"/>
    </xf>
    <xf numFmtId="3" fontId="8" fillId="0" borderId="0" xfId="5" applyNumberFormat="1" applyFont="1" applyBorder="1" applyAlignment="1" applyProtection="1">
      <alignment horizontal="right" wrapText="1"/>
      <protection locked="0"/>
    </xf>
    <xf numFmtId="165" fontId="8" fillId="0" borderId="9" xfId="5" applyNumberFormat="1" applyFont="1" applyBorder="1" applyAlignment="1" applyProtection="1">
      <alignment horizontal="center" wrapText="1"/>
      <protection locked="0"/>
    </xf>
    <xf numFmtId="0" fontId="20" fillId="0" borderId="0" xfId="0" applyFont="1" applyFill="1" applyBorder="1" applyAlignment="1">
      <alignment horizontal="right" vertical="center"/>
    </xf>
    <xf numFmtId="0" fontId="25" fillId="0" borderId="0" xfId="0" applyFont="1"/>
    <xf numFmtId="0" fontId="24" fillId="0" borderId="0" xfId="0" applyFont="1"/>
    <xf numFmtId="0" fontId="8" fillId="0" borderId="3" xfId="5" applyFont="1" applyBorder="1" applyAlignment="1" applyProtection="1">
      <alignment horizontal="left" wrapText="1"/>
      <protection locked="0"/>
    </xf>
    <xf numFmtId="0" fontId="19" fillId="5" borderId="9" xfId="0" applyFont="1" applyFill="1" applyBorder="1" applyAlignment="1">
      <alignment horizontal="center" vertical="center" wrapText="1"/>
    </xf>
    <xf numFmtId="0" fontId="18" fillId="5" borderId="7" xfId="244" applyFont="1" applyFill="1" applyBorder="1" applyAlignment="1">
      <alignment horizontal="center" wrapText="1"/>
    </xf>
    <xf numFmtId="0" fontId="18" fillId="5" borderId="3" xfId="244" applyFont="1" applyFill="1" applyBorder="1" applyAlignment="1">
      <alignment horizontal="center" wrapText="1"/>
    </xf>
    <xf numFmtId="0" fontId="18" fillId="5" borderId="9" xfId="244" applyFont="1" applyFill="1" applyBorder="1" applyAlignment="1">
      <alignment horizontal="center" wrapText="1"/>
    </xf>
    <xf numFmtId="0" fontId="8" fillId="0" borderId="7" xfId="5" applyFont="1" applyBorder="1" applyAlignment="1" applyProtection="1">
      <alignment horizontal="left" wrapText="1"/>
      <protection locked="0"/>
    </xf>
    <xf numFmtId="0" fontId="17" fillId="6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justify" vertical="center"/>
    </xf>
    <xf numFmtId="0" fontId="17" fillId="6" borderId="9" xfId="0" applyFont="1" applyFill="1" applyBorder="1" applyAlignment="1">
      <alignment horizontal="left" vertical="center"/>
    </xf>
    <xf numFmtId="0" fontId="1" fillId="6" borderId="9" xfId="244" applyFont="1" applyFill="1" applyBorder="1" applyAlignment="1">
      <alignment horizontal="center"/>
    </xf>
    <xf numFmtId="16" fontId="2" fillId="6" borderId="9" xfId="244" applyNumberFormat="1" applyFill="1" applyBorder="1" applyAlignment="1">
      <alignment horizontal="center"/>
    </xf>
    <xf numFmtId="0" fontId="2" fillId="6" borderId="9" xfId="244" applyFill="1" applyBorder="1" applyAlignment="1"/>
    <xf numFmtId="0" fontId="17" fillId="6" borderId="9" xfId="0" applyFont="1" applyFill="1" applyBorder="1" applyAlignment="1">
      <alignment vertical="center"/>
    </xf>
    <xf numFmtId="0" fontId="17" fillId="6" borderId="0" xfId="0" applyFont="1" applyFill="1" applyBorder="1" applyAlignment="1">
      <alignment horizontal="justify" vertical="center"/>
    </xf>
    <xf numFmtId="0" fontId="17" fillId="7" borderId="0" xfId="0" applyFont="1" applyFill="1" applyBorder="1" applyAlignment="1">
      <alignment horizontal="justify" vertical="center"/>
    </xf>
    <xf numFmtId="166" fontId="8" fillId="0" borderId="7" xfId="2" applyNumberFormat="1" applyFont="1" applyFill="1" applyBorder="1" applyAlignment="1" applyProtection="1">
      <alignment horizontal="left"/>
      <protection locked="0"/>
    </xf>
    <xf numFmtId="0" fontId="0" fillId="0" borderId="3" xfId="0" applyFont="1" applyBorder="1" applyAlignment="1">
      <alignment horizontal="left"/>
    </xf>
    <xf numFmtId="16" fontId="1" fillId="6" borderId="9" xfId="244" applyNumberFormat="1" applyFont="1" applyFill="1" applyBorder="1" applyAlignment="1">
      <alignment horizontal="center"/>
    </xf>
    <xf numFmtId="1" fontId="8" fillId="8" borderId="9" xfId="2" applyNumberFormat="1" applyFont="1" applyFill="1" applyBorder="1" applyAlignment="1" applyProtection="1">
      <alignment horizontal="center"/>
      <protection locked="0"/>
    </xf>
    <xf numFmtId="0" fontId="8" fillId="8" borderId="3" xfId="2" applyNumberFormat="1" applyFont="1" applyFill="1" applyBorder="1" applyAlignment="1" applyProtection="1">
      <alignment horizontal="center"/>
      <protection locked="0"/>
    </xf>
    <xf numFmtId="9" fontId="8" fillId="8" borderId="9" xfId="5" applyNumberFormat="1" applyFont="1" applyFill="1" applyBorder="1" applyAlignment="1" applyProtection="1">
      <alignment horizontal="center" wrapText="1"/>
    </xf>
    <xf numFmtId="0" fontId="8" fillId="0" borderId="7" xfId="5" applyFont="1" applyBorder="1" applyAlignment="1" applyProtection="1">
      <alignment horizontal="left" wrapText="1"/>
      <protection locked="0"/>
    </xf>
    <xf numFmtId="0" fontId="26" fillId="6" borderId="9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9" fontId="0" fillId="0" borderId="0" xfId="1132" applyNumberFormat="1" applyFont="1" applyProtection="1">
      <protection locked="0"/>
    </xf>
    <xf numFmtId="14" fontId="0" fillId="9" borderId="0" xfId="0" applyNumberFormat="1" applyFont="1" applyFill="1"/>
    <xf numFmtId="165" fontId="0" fillId="9" borderId="0" xfId="0" applyNumberFormat="1" applyFont="1" applyFill="1"/>
    <xf numFmtId="0" fontId="0" fillId="9" borderId="0" xfId="0" applyFont="1" applyFill="1"/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10" borderId="0" xfId="0" applyFill="1"/>
    <xf numFmtId="0" fontId="0" fillId="11" borderId="0" xfId="0" applyFill="1"/>
    <xf numFmtId="0" fontId="0" fillId="9" borderId="0" xfId="0" applyFont="1" applyFill="1" applyProtection="1">
      <protection locked="0"/>
    </xf>
    <xf numFmtId="165" fontId="0" fillId="0" borderId="12" xfId="0" applyNumberFormat="1" applyBorder="1"/>
    <xf numFmtId="165" fontId="0" fillId="0" borderId="13" xfId="0" applyNumberFormat="1" applyBorder="1"/>
    <xf numFmtId="165" fontId="0" fillId="0" borderId="15" xfId="0" applyNumberFormat="1" applyBorder="1"/>
    <xf numFmtId="165" fontId="0" fillId="0" borderId="0" xfId="0" applyNumberFormat="1" applyBorder="1"/>
    <xf numFmtId="165" fontId="0" fillId="0" borderId="17" xfId="0" applyNumberFormat="1" applyBorder="1"/>
    <xf numFmtId="165" fontId="0" fillId="0" borderId="18" xfId="0" applyNumberFormat="1" applyBorder="1"/>
    <xf numFmtId="3" fontId="0" fillId="0" borderId="0" xfId="0" applyNumberFormat="1" applyBorder="1"/>
    <xf numFmtId="3" fontId="0" fillId="0" borderId="13" xfId="0" applyNumberFormat="1" applyBorder="1"/>
    <xf numFmtId="3" fontId="0" fillId="0" borderId="18" xfId="0" applyNumberFormat="1" applyBorder="1"/>
    <xf numFmtId="165" fontId="0" fillId="0" borderId="0" xfId="0" applyNumberFormat="1"/>
    <xf numFmtId="3" fontId="21" fillId="0" borderId="0" xfId="0" applyNumberFormat="1" applyFont="1"/>
    <xf numFmtId="0" fontId="8" fillId="0" borderId="7" xfId="5" applyFont="1" applyFill="1" applyBorder="1" applyAlignment="1" applyProtection="1">
      <alignment horizontal="left" wrapText="1"/>
      <protection locked="0"/>
    </xf>
    <xf numFmtId="0" fontId="8" fillId="0" borderId="3" xfId="5" applyFont="1" applyFill="1" applyBorder="1" applyAlignment="1" applyProtection="1">
      <alignment horizontal="left" wrapText="1"/>
      <protection locked="0"/>
    </xf>
    <xf numFmtId="0" fontId="8" fillId="0" borderId="4" xfId="5" applyFont="1" applyFill="1" applyBorder="1" applyAlignment="1" applyProtection="1">
      <alignment horizontal="left" wrapText="1"/>
      <protection locked="0"/>
    </xf>
    <xf numFmtId="3" fontId="8" fillId="0" borderId="9" xfId="2" applyNumberFormat="1" applyFont="1" applyFill="1" applyBorder="1" applyAlignment="1" applyProtection="1">
      <alignment horizontal="left"/>
      <protection locked="0"/>
    </xf>
    <xf numFmtId="0" fontId="22" fillId="0" borderId="7" xfId="5" applyFont="1" applyFill="1" applyBorder="1" applyAlignment="1" applyProtection="1">
      <alignment horizontal="left" wrapText="1"/>
      <protection locked="0"/>
    </xf>
    <xf numFmtId="0" fontId="22" fillId="0" borderId="3" xfId="5" applyFont="1" applyFill="1" applyBorder="1" applyAlignment="1" applyProtection="1">
      <alignment horizontal="left" wrapText="1"/>
      <protection locked="0"/>
    </xf>
    <xf numFmtId="0" fontId="22" fillId="0" borderId="4" xfId="5" applyFont="1" applyFill="1" applyBorder="1" applyAlignment="1" applyProtection="1">
      <alignment horizontal="left" wrapText="1"/>
      <protection locked="0"/>
    </xf>
    <xf numFmtId="166" fontId="8" fillId="0" borderId="7" xfId="2" applyNumberFormat="1" applyFont="1" applyFill="1" applyBorder="1" applyAlignment="1" applyProtection="1">
      <alignment horizontal="left"/>
      <protection locked="0"/>
    </xf>
    <xf numFmtId="0" fontId="0" fillId="0" borderId="3" xfId="0" applyFont="1" applyBorder="1" applyAlignment="1">
      <alignment horizontal="left"/>
    </xf>
    <xf numFmtId="166" fontId="9" fillId="8" borderId="7" xfId="2" applyNumberFormat="1" applyFont="1" applyFill="1" applyBorder="1" applyAlignment="1" applyProtection="1">
      <alignment horizontal="left"/>
      <protection locked="0"/>
    </xf>
    <xf numFmtId="166" fontId="9" fillId="8" borderId="3" xfId="2" applyNumberFormat="1" applyFont="1" applyFill="1" applyBorder="1" applyAlignment="1" applyProtection="1">
      <alignment horizontal="left"/>
      <protection locked="0"/>
    </xf>
    <xf numFmtId="166" fontId="9" fillId="8" borderId="4" xfId="2" applyNumberFormat="1" applyFont="1" applyFill="1" applyBorder="1" applyAlignment="1" applyProtection="1">
      <alignment horizontal="left"/>
      <protection locked="0"/>
    </xf>
    <xf numFmtId="0" fontId="23" fillId="4" borderId="7" xfId="0" applyFont="1" applyFill="1" applyBorder="1" applyAlignment="1" applyProtection="1">
      <alignment horizontal="left" vertical="center" wrapText="1"/>
      <protection locked="0"/>
    </xf>
    <xf numFmtId="0" fontId="23" fillId="4" borderId="3" xfId="0" applyFont="1" applyFill="1" applyBorder="1" applyAlignment="1" applyProtection="1">
      <alignment horizontal="left" vertical="center" wrapText="1"/>
      <protection locked="0"/>
    </xf>
    <xf numFmtId="0" fontId="23" fillId="4" borderId="4" xfId="0" applyFont="1" applyFill="1" applyBorder="1" applyAlignment="1" applyProtection="1">
      <alignment horizontal="left" vertical="center" wrapText="1"/>
      <protection locked="0"/>
    </xf>
    <xf numFmtId="0" fontId="8" fillId="0" borderId="7" xfId="5" applyFont="1" applyFill="1" applyBorder="1" applyAlignment="1" applyProtection="1">
      <alignment wrapText="1"/>
      <protection locked="0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8" fillId="0" borderId="9" xfId="5" applyFont="1" applyBorder="1" applyAlignment="1" applyProtection="1">
      <alignment horizontal="left" wrapText="1"/>
      <protection locked="0"/>
    </xf>
    <xf numFmtId="0" fontId="8" fillId="0" borderId="7" xfId="5" applyFont="1" applyBorder="1" applyAlignment="1" applyProtection="1">
      <alignment horizontal="left" wrapText="1"/>
      <protection locked="0"/>
    </xf>
    <xf numFmtId="0" fontId="0" fillId="0" borderId="4" xfId="0" applyBorder="1" applyAlignment="1">
      <alignment horizontal="left" wrapText="1"/>
    </xf>
    <xf numFmtId="0" fontId="8" fillId="0" borderId="7" xfId="5" applyFont="1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6" fillId="0" borderId="0" xfId="5" applyFont="1" applyFill="1" applyBorder="1" applyAlignment="1" applyProtection="1">
      <alignment horizontal="center" vertical="center"/>
      <protection locked="0"/>
    </xf>
    <xf numFmtId="0" fontId="10" fillId="0" borderId="0" xfId="5" applyFont="1" applyFill="1" applyBorder="1" applyAlignment="1" applyProtection="1">
      <alignment horizontal="center" vertical="center" wrapText="1"/>
      <protection locked="0"/>
    </xf>
    <xf numFmtId="164" fontId="9" fillId="0" borderId="0" xfId="5" applyNumberFormat="1" applyFont="1" applyFill="1" applyBorder="1" applyAlignment="1" applyProtection="1">
      <alignment horizontal="center" vertical="center" wrapText="1"/>
      <protection locked="0"/>
    </xf>
    <xf numFmtId="0" fontId="7" fillId="2" borderId="8" xfId="5" applyFont="1" applyFill="1" applyBorder="1" applyAlignment="1" applyProtection="1">
      <alignment horizontal="left" vertical="center" wrapText="1"/>
      <protection locked="0"/>
    </xf>
    <xf numFmtId="0" fontId="7" fillId="2" borderId="5" xfId="5" applyFont="1" applyFill="1" applyBorder="1" applyAlignment="1" applyProtection="1">
      <alignment horizontal="left" vertical="center" wrapText="1"/>
      <protection locked="0"/>
    </xf>
    <xf numFmtId="0" fontId="9" fillId="0" borderId="0" xfId="5" applyFont="1" applyFill="1" applyBorder="1" applyAlignment="1" applyProtection="1">
      <alignment horizontal="left" vertical="center" wrapText="1"/>
      <protection locked="0"/>
    </xf>
    <xf numFmtId="166" fontId="8" fillId="0" borderId="3" xfId="2" applyNumberFormat="1" applyFont="1" applyFill="1" applyBorder="1" applyAlignment="1" applyProtection="1">
      <alignment horizontal="left"/>
      <protection locked="0"/>
    </xf>
    <xf numFmtId="166" fontId="8" fillId="0" borderId="4" xfId="2" applyNumberFormat="1" applyFon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8" fillId="0" borderId="0" xfId="5" applyFont="1" applyBorder="1" applyAlignment="1" applyProtection="1">
      <alignment horizontal="left" vertical="top" wrapText="1"/>
      <protection locked="0"/>
    </xf>
    <xf numFmtId="0" fontId="7" fillId="2" borderId="7" xfId="5" applyFont="1" applyFill="1" applyBorder="1" applyAlignment="1" applyProtection="1">
      <alignment horizontal="left"/>
      <protection locked="0"/>
    </xf>
    <xf numFmtId="0" fontId="7" fillId="2" borderId="3" xfId="5" applyFont="1" applyFill="1" applyBorder="1" applyAlignment="1" applyProtection="1">
      <alignment horizontal="left"/>
      <protection locked="0"/>
    </xf>
    <xf numFmtId="0" fontId="7" fillId="2" borderId="4" xfId="5" applyFont="1" applyFill="1" applyBorder="1" applyAlignment="1" applyProtection="1">
      <alignment horizontal="left"/>
      <protection locked="0"/>
    </xf>
    <xf numFmtId="0" fontId="8" fillId="0" borderId="3" xfId="5" applyFont="1" applyBorder="1" applyAlignment="1" applyProtection="1">
      <alignment horizontal="left" wrapText="1"/>
      <protection locked="0"/>
    </xf>
    <xf numFmtId="2" fontId="8" fillId="0" borderId="1" xfId="5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9" fillId="0" borderId="1" xfId="5" applyFont="1" applyFill="1" applyBorder="1" applyAlignment="1" applyProtection="1">
      <alignment horizontal="left" wrapText="1"/>
      <protection locked="0"/>
    </xf>
    <xf numFmtId="0" fontId="0" fillId="0" borderId="0" xfId="0" applyFont="1" applyAlignment="1">
      <alignment horizontal="left" wrapText="1"/>
    </xf>
    <xf numFmtId="0" fontId="0" fillId="0" borderId="2" xfId="0" applyFont="1" applyBorder="1" applyAlignment="1">
      <alignment horizontal="left" wrapText="1"/>
    </xf>
    <xf numFmtId="0" fontId="8" fillId="0" borderId="1" xfId="5" applyFont="1" applyFill="1" applyBorder="1" applyAlignment="1" applyProtection="1">
      <alignment horizontal="left" wrapText="1"/>
      <protection locked="0"/>
    </xf>
    <xf numFmtId="0" fontId="7" fillId="2" borderId="7" xfId="5" applyFont="1" applyFill="1" applyBorder="1" applyAlignment="1" applyProtection="1">
      <protection locked="0"/>
    </xf>
    <xf numFmtId="0" fontId="7" fillId="2" borderId="3" xfId="5" applyFont="1" applyFill="1" applyBorder="1" applyAlignment="1" applyProtection="1">
      <protection locked="0"/>
    </xf>
    <xf numFmtId="0" fontId="7" fillId="2" borderId="4" xfId="5" applyFont="1" applyFill="1" applyBorder="1" applyAlignment="1" applyProtection="1">
      <protection locked="0"/>
    </xf>
    <xf numFmtId="2" fontId="9" fillId="0" borderId="1" xfId="5" applyNumberFormat="1" applyFont="1" applyFill="1" applyBorder="1" applyAlignment="1" applyProtection="1">
      <alignment wrapText="1"/>
      <protection locked="0"/>
    </xf>
    <xf numFmtId="2" fontId="0" fillId="0" borderId="0" xfId="0" applyNumberFormat="1" applyAlignment="1">
      <alignment wrapText="1"/>
    </xf>
    <xf numFmtId="0" fontId="9" fillId="0" borderId="0" xfId="5" applyFont="1" applyFill="1" applyBorder="1" applyAlignment="1" applyProtection="1">
      <alignment horizontal="left" wrapText="1"/>
      <protection locked="0"/>
    </xf>
    <xf numFmtId="0" fontId="9" fillId="0" borderId="2" xfId="5" applyFont="1" applyFill="1" applyBorder="1" applyAlignment="1" applyProtection="1">
      <alignment horizontal="left" wrapText="1"/>
      <protection locked="0"/>
    </xf>
  </cellXfs>
  <cellStyles count="1133">
    <cellStyle name="Comma" xfId="1132" builtinId="3"/>
    <cellStyle name="Currency 2" xfId="1"/>
    <cellStyle name="Currency 2 2" xfId="2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Normal" xfId="0" builtinId="0"/>
    <cellStyle name="Normal 2" xfId="3"/>
    <cellStyle name="Normal 2 2" xfId="4"/>
    <cellStyle name="Normal 2 3" xfId="1131"/>
    <cellStyle name="Normal 3" xfId="5"/>
    <cellStyle name="Normal 4" xfId="244"/>
  </cellStyles>
  <dxfs count="0"/>
  <tableStyles count="0" defaultTableStyle="TableStyleMedium2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D8E4BC"/>
      <color rgb="FFFFFFCC"/>
      <color rgb="FFE9EDB3"/>
      <color rgb="FFF8F8A8"/>
      <color rgb="FFF9FE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444501</xdr:colOff>
      <xdr:row>1</xdr:row>
      <xdr:rowOff>137835</xdr:rowOff>
    </xdr:from>
    <xdr:to>
      <xdr:col>1</xdr:col>
      <xdr:colOff>749300</xdr:colOff>
      <xdr:row>2</xdr:row>
      <xdr:rowOff>114299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1" y="239435"/>
          <a:ext cx="1435099" cy="31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285750</xdr:colOff>
      <xdr:row>1</xdr:row>
      <xdr:rowOff>209550</xdr:rowOff>
    </xdr:from>
    <xdr:to>
      <xdr:col>8</xdr:col>
      <xdr:colOff>736600</xdr:colOff>
      <xdr:row>2</xdr:row>
      <xdr:rowOff>171450</xdr:rowOff>
    </xdr:to>
    <xdr:pic>
      <xdr:nvPicPr>
        <xdr:cNvPr id="4" name="Picture 4" descr="Pembina colour logo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9375" y="304800"/>
          <a:ext cx="12477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iwan\gis\Volumes\MY%20PASSPORT\Winter%202013-2014\Chief\Daily%20Progress\March\Production%20Revis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tabSelected="1" workbookViewId="0">
      <selection activeCell="J17" sqref="J17"/>
    </sheetView>
  </sheetViews>
  <sheetFormatPr defaultRowHeight="15" x14ac:dyDescent="0.25"/>
  <sheetData>
    <row r="1" spans="1:2" x14ac:dyDescent="0.25">
      <c r="A1" t="s">
        <v>203</v>
      </c>
    </row>
    <row r="2" spans="1:2" x14ac:dyDescent="0.25">
      <c r="A2" t="s">
        <v>204</v>
      </c>
      <c r="B2" s="84">
        <v>0</v>
      </c>
    </row>
    <row r="3" spans="1:2" x14ac:dyDescent="0.25">
      <c r="A3" t="s">
        <v>205</v>
      </c>
      <c r="B3" s="84">
        <v>287500</v>
      </c>
    </row>
    <row r="5" spans="1:2" x14ac:dyDescent="0.25">
      <c r="A5" t="s">
        <v>198</v>
      </c>
    </row>
    <row r="6" spans="1:2" x14ac:dyDescent="0.25">
      <c r="A6" s="94" t="s">
        <v>199</v>
      </c>
      <c r="B6" s="94" t="s">
        <v>200</v>
      </c>
    </row>
    <row r="7" spans="1:2" x14ac:dyDescent="0.25">
      <c r="A7" s="93" t="s">
        <v>201</v>
      </c>
      <c r="B7" s="93" t="s">
        <v>202</v>
      </c>
    </row>
  </sheetData>
  <sheetProtection sheet="1" objects="1" scenarios="1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:AE54"/>
  <sheetViews>
    <sheetView showGridLines="0" workbookViewId="0">
      <selection activeCell="H29" sqref="H29"/>
    </sheetView>
  </sheetViews>
  <sheetFormatPr defaultColWidth="8.85546875" defaultRowHeight="15" x14ac:dyDescent="0.25"/>
  <cols>
    <col min="1" max="1" width="14.85546875" customWidth="1"/>
    <col min="2" max="2" width="12.28515625" customWidth="1"/>
    <col min="3" max="7" width="12.85546875" customWidth="1"/>
    <col min="8" max="8" width="12.140625" customWidth="1"/>
    <col min="9" max="9" width="12.7109375" customWidth="1"/>
  </cols>
  <sheetData>
    <row r="1" spans="1:13" ht="8.1" customHeight="1" x14ac:dyDescent="0.25"/>
    <row r="2" spans="1:13" ht="27" customHeight="1" x14ac:dyDescent="0.25"/>
    <row r="3" spans="1:13" ht="27" customHeight="1" x14ac:dyDescent="0.25">
      <c r="A3" s="130" t="s">
        <v>28</v>
      </c>
      <c r="B3" s="130"/>
      <c r="C3" s="130"/>
      <c r="D3" s="130"/>
      <c r="E3" s="130"/>
      <c r="F3" s="130"/>
      <c r="G3" s="130"/>
      <c r="H3" s="130"/>
      <c r="I3" s="130"/>
    </row>
    <row r="4" spans="1:13" ht="19.5" customHeight="1" x14ac:dyDescent="0.25">
      <c r="A4" s="131" t="s">
        <v>125</v>
      </c>
      <c r="B4" s="131"/>
      <c r="C4" s="131"/>
      <c r="D4" s="131"/>
      <c r="E4" s="131"/>
      <c r="F4" s="131"/>
      <c r="G4" s="131"/>
      <c r="H4" s="131"/>
      <c r="I4" s="131"/>
    </row>
    <row r="5" spans="1:13" ht="27.95" customHeight="1" x14ac:dyDescent="0.25">
      <c r="A5" s="135" t="s">
        <v>126</v>
      </c>
      <c r="B5" s="135"/>
      <c r="C5" s="135"/>
      <c r="D5" s="135"/>
      <c r="E5" s="135"/>
      <c r="F5" s="135"/>
      <c r="G5" s="4" t="s">
        <v>0</v>
      </c>
      <c r="H5" s="132">
        <v>42426</v>
      </c>
      <c r="I5" s="132"/>
    </row>
    <row r="6" spans="1:13" ht="8.25" customHeight="1" x14ac:dyDescent="0.25">
      <c r="A6" s="2"/>
      <c r="B6" s="2"/>
      <c r="C6" s="2"/>
      <c r="D6" s="2"/>
      <c r="E6" s="6"/>
      <c r="F6" s="2"/>
      <c r="G6" s="1"/>
      <c r="H6" s="1"/>
      <c r="I6" s="3"/>
    </row>
    <row r="7" spans="1:13" ht="30" customHeight="1" x14ac:dyDescent="0.25">
      <c r="A7" s="133" t="s">
        <v>1</v>
      </c>
      <c r="B7" s="134"/>
      <c r="C7" s="26" t="s">
        <v>24</v>
      </c>
      <c r="D7" s="27" t="s">
        <v>25</v>
      </c>
      <c r="E7" s="26" t="s">
        <v>2</v>
      </c>
      <c r="F7" s="27" t="s">
        <v>3</v>
      </c>
      <c r="G7" s="26" t="s">
        <v>4</v>
      </c>
      <c r="H7" s="26" t="s">
        <v>5</v>
      </c>
      <c r="I7" s="28" t="s">
        <v>6</v>
      </c>
    </row>
    <row r="8" spans="1:13" ht="18" customHeight="1" x14ac:dyDescent="0.25">
      <c r="A8" s="125" t="s">
        <v>38</v>
      </c>
      <c r="B8" s="125"/>
      <c r="C8" s="54"/>
      <c r="D8" s="54"/>
      <c r="E8" s="10"/>
      <c r="F8" s="10">
        <v>24700</v>
      </c>
      <c r="G8" s="11">
        <f t="shared" ref="G8:G11" si="0">SUM(E8:F8)</f>
        <v>24700</v>
      </c>
      <c r="H8" s="10">
        <v>24700</v>
      </c>
      <c r="I8" s="12">
        <f>G8/H8</f>
        <v>1</v>
      </c>
    </row>
    <row r="9" spans="1:13" ht="18" customHeight="1" x14ac:dyDescent="0.25">
      <c r="A9" s="125" t="s">
        <v>57</v>
      </c>
      <c r="B9" s="125"/>
      <c r="C9" s="54"/>
      <c r="D9" s="54"/>
      <c r="E9" s="10"/>
      <c r="F9" s="10">
        <v>24700</v>
      </c>
      <c r="G9" s="11">
        <f t="shared" si="0"/>
        <v>24700</v>
      </c>
      <c r="H9" s="10">
        <v>24700</v>
      </c>
      <c r="I9" s="12">
        <f>G9/H9</f>
        <v>1</v>
      </c>
      <c r="J9" t="s">
        <v>52</v>
      </c>
    </row>
    <row r="10" spans="1:13" ht="18" customHeight="1" x14ac:dyDescent="0.25">
      <c r="A10" s="125" t="s">
        <v>58</v>
      </c>
      <c r="B10" s="125"/>
      <c r="C10" s="54"/>
      <c r="D10" s="54"/>
      <c r="E10" s="10"/>
      <c r="F10" s="10">
        <v>24700</v>
      </c>
      <c r="G10" s="11">
        <f t="shared" si="0"/>
        <v>24700</v>
      </c>
      <c r="H10" s="10">
        <v>24700</v>
      </c>
      <c r="I10" s="12">
        <f>G10/H10</f>
        <v>1</v>
      </c>
      <c r="J10" t="s">
        <v>52</v>
      </c>
    </row>
    <row r="11" spans="1:13" ht="18" customHeight="1" x14ac:dyDescent="0.25">
      <c r="A11" s="63" t="s">
        <v>7</v>
      </c>
      <c r="B11" s="52"/>
      <c r="C11" s="54" t="s">
        <v>52</v>
      </c>
      <c r="D11" s="54" t="s">
        <v>52</v>
      </c>
      <c r="E11" s="10" t="s">
        <v>52</v>
      </c>
      <c r="F11" s="10">
        <v>24700</v>
      </c>
      <c r="G11" s="11">
        <f t="shared" si="0"/>
        <v>24700</v>
      </c>
      <c r="H11" s="10">
        <v>24700</v>
      </c>
      <c r="I11" s="12">
        <f>G11/H11</f>
        <v>1</v>
      </c>
      <c r="M11" s="9"/>
    </row>
    <row r="12" spans="1:13" ht="18" customHeight="1" x14ac:dyDescent="0.25">
      <c r="A12" s="125" t="s">
        <v>26</v>
      </c>
      <c r="B12" s="125"/>
      <c r="C12" s="54"/>
      <c r="D12" s="54"/>
      <c r="E12" s="10"/>
      <c r="F12" s="10">
        <v>24700</v>
      </c>
      <c r="G12" s="11">
        <f>SUM(E12:F12)</f>
        <v>24700</v>
      </c>
      <c r="H12" s="10">
        <v>24700</v>
      </c>
      <c r="I12" s="12">
        <f t="shared" ref="I12:I21" si="1">G12/H12</f>
        <v>1</v>
      </c>
    </row>
    <row r="13" spans="1:13" ht="18" customHeight="1" x14ac:dyDescent="0.25">
      <c r="A13" s="125" t="s">
        <v>27</v>
      </c>
      <c r="B13" s="125"/>
      <c r="C13" s="54"/>
      <c r="D13" s="54"/>
      <c r="E13" s="10"/>
      <c r="F13" s="10">
        <v>24700</v>
      </c>
      <c r="G13" s="11">
        <f t="shared" ref="G13:G16" si="2">SUM(E13:F13)</f>
        <v>24700</v>
      </c>
      <c r="H13" s="10">
        <v>24700</v>
      </c>
      <c r="I13" s="12">
        <f t="shared" si="1"/>
        <v>1</v>
      </c>
    </row>
    <row r="14" spans="1:13" ht="18" customHeight="1" x14ac:dyDescent="0.25">
      <c r="A14" s="125" t="s">
        <v>8</v>
      </c>
      <c r="B14" s="125"/>
      <c r="C14" s="54"/>
      <c r="D14" s="54"/>
      <c r="E14" s="10"/>
      <c r="F14" s="10">
        <v>24700</v>
      </c>
      <c r="G14" s="11">
        <f t="shared" si="2"/>
        <v>24700</v>
      </c>
      <c r="H14" s="10">
        <v>24700</v>
      </c>
      <c r="I14" s="12">
        <f t="shared" si="1"/>
        <v>1</v>
      </c>
    </row>
    <row r="15" spans="1:13" ht="18" customHeight="1" x14ac:dyDescent="0.25">
      <c r="A15" s="79" t="s">
        <v>51</v>
      </c>
      <c r="B15" s="52"/>
      <c r="C15" s="54"/>
      <c r="D15" s="54"/>
      <c r="E15" s="10"/>
      <c r="F15" s="10">
        <v>24700</v>
      </c>
      <c r="G15" s="11">
        <f t="shared" ref="G15" si="3">SUM(E15:F15)</f>
        <v>24700</v>
      </c>
      <c r="H15" s="10">
        <v>24700</v>
      </c>
      <c r="I15" s="12">
        <f t="shared" ref="I15" si="4">G15/H15</f>
        <v>1</v>
      </c>
    </row>
    <row r="16" spans="1:13" ht="18" customHeight="1" x14ac:dyDescent="0.25">
      <c r="A16" s="126" t="s">
        <v>108</v>
      </c>
      <c r="B16" s="127"/>
      <c r="C16" s="54"/>
      <c r="D16" s="54"/>
      <c r="E16" s="10"/>
      <c r="F16" s="10">
        <v>24700</v>
      </c>
      <c r="G16" s="11">
        <f t="shared" si="2"/>
        <v>24700</v>
      </c>
      <c r="H16" s="10">
        <v>24700</v>
      </c>
      <c r="I16" s="12">
        <f>G16/H16</f>
        <v>1</v>
      </c>
    </row>
    <row r="17" spans="1:31" ht="18" customHeight="1" x14ac:dyDescent="0.25">
      <c r="A17" s="128" t="s">
        <v>50</v>
      </c>
      <c r="B17" s="129"/>
      <c r="C17" s="54"/>
      <c r="D17" s="54"/>
      <c r="E17" s="10"/>
      <c r="F17" s="10">
        <v>24700</v>
      </c>
      <c r="G17" s="11">
        <f>SUM(E17:F17)</f>
        <v>24700</v>
      </c>
      <c r="H17" s="10">
        <v>24700</v>
      </c>
      <c r="I17" s="12">
        <f>G17/H17</f>
        <v>1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</row>
    <row r="18" spans="1:31" ht="18" customHeight="1" x14ac:dyDescent="0.25">
      <c r="A18" s="125" t="s">
        <v>9</v>
      </c>
      <c r="B18" s="125"/>
      <c r="C18" s="54"/>
      <c r="D18" s="54"/>
      <c r="E18" s="10"/>
      <c r="F18" s="11">
        <v>24700</v>
      </c>
      <c r="G18" s="11">
        <f>SUM(E18:F18)</f>
        <v>24700</v>
      </c>
      <c r="H18" s="10">
        <v>24700</v>
      </c>
      <c r="I18" s="12">
        <f t="shared" si="1"/>
        <v>1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1:31" ht="18" customHeight="1" x14ac:dyDescent="0.25">
      <c r="A19" s="125" t="s">
        <v>18</v>
      </c>
      <c r="B19" s="125"/>
      <c r="C19" s="54"/>
      <c r="D19" s="54"/>
      <c r="E19" s="10"/>
      <c r="F19" s="11">
        <v>24700</v>
      </c>
      <c r="G19" s="11">
        <f>SUM(E19:F19)</f>
        <v>24700</v>
      </c>
      <c r="H19" s="10">
        <v>24700</v>
      </c>
      <c r="I19" s="12">
        <f t="shared" si="1"/>
        <v>1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</row>
    <row r="20" spans="1:31" s="5" customFormat="1" ht="18" customHeight="1" x14ac:dyDescent="0.25">
      <c r="A20" s="125" t="s">
        <v>33</v>
      </c>
      <c r="B20" s="125"/>
      <c r="C20" s="54"/>
      <c r="D20" s="54"/>
      <c r="E20" s="10"/>
      <c r="F20" s="11">
        <v>24700</v>
      </c>
      <c r="G20" s="11">
        <f>SUM(E20:F20)</f>
        <v>24700</v>
      </c>
      <c r="H20" s="10">
        <v>24700</v>
      </c>
      <c r="I20" s="12">
        <f t="shared" si="1"/>
        <v>1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ht="18" customHeight="1" x14ac:dyDescent="0.25">
      <c r="A21" s="110" t="s">
        <v>34</v>
      </c>
      <c r="B21" s="110"/>
      <c r="C21" s="54"/>
      <c r="D21" s="30"/>
      <c r="E21" s="10"/>
      <c r="F21" s="11">
        <v>0</v>
      </c>
      <c r="G21" s="11">
        <f t="shared" ref="G21" si="5">F21+D21-C21</f>
        <v>0</v>
      </c>
      <c r="H21" s="10">
        <v>24700</v>
      </c>
      <c r="I21" s="12">
        <f t="shared" si="1"/>
        <v>0</v>
      </c>
    </row>
    <row r="22" spans="1:31" ht="30" customHeight="1" x14ac:dyDescent="0.25">
      <c r="A22" s="16" t="s">
        <v>16</v>
      </c>
      <c r="B22" s="17"/>
      <c r="C22" s="17"/>
      <c r="D22" s="17"/>
      <c r="E22" s="25" t="s">
        <v>2</v>
      </c>
      <c r="F22" s="15" t="s">
        <v>3</v>
      </c>
      <c r="G22" s="25" t="s">
        <v>29</v>
      </c>
      <c r="H22" s="16"/>
      <c r="I22" s="42"/>
    </row>
    <row r="23" spans="1:31" ht="17.100000000000001" customHeight="1" x14ac:dyDescent="0.25">
      <c r="A23" s="107" t="s">
        <v>35</v>
      </c>
      <c r="B23" s="108"/>
      <c r="C23" s="108"/>
      <c r="D23" s="109"/>
      <c r="E23" s="13" t="s">
        <v>52</v>
      </c>
      <c r="F23" s="13">
        <v>1067</v>
      </c>
      <c r="G23" s="13">
        <f>SUM(E23:F23)</f>
        <v>1067</v>
      </c>
      <c r="H23" s="43"/>
      <c r="I23" s="44"/>
    </row>
    <row r="24" spans="1:31" ht="17.100000000000001" customHeight="1" x14ac:dyDescent="0.25">
      <c r="A24" s="107" t="s">
        <v>36</v>
      </c>
      <c r="B24" s="108"/>
      <c r="C24" s="108"/>
      <c r="D24" s="109"/>
      <c r="E24" s="13"/>
      <c r="F24" s="13">
        <v>192</v>
      </c>
      <c r="G24" s="13">
        <f t="shared" ref="G24:G27" si="6">SUM(E24:F24)</f>
        <v>192</v>
      </c>
      <c r="H24" s="47"/>
      <c r="I24" s="48"/>
    </row>
    <row r="25" spans="1:31" ht="17.100000000000001" customHeight="1" x14ac:dyDescent="0.25">
      <c r="A25" s="107" t="s">
        <v>37</v>
      </c>
      <c r="B25" s="108"/>
      <c r="C25" s="108"/>
      <c r="D25" s="109"/>
      <c r="E25" s="13"/>
      <c r="F25" s="13">
        <v>210</v>
      </c>
      <c r="G25" s="13">
        <f t="shared" si="6"/>
        <v>210</v>
      </c>
      <c r="H25" s="49"/>
      <c r="I25" s="50"/>
      <c r="L25" t="s">
        <v>52</v>
      </c>
    </row>
    <row r="26" spans="1:31" ht="17.100000000000001" customHeight="1" x14ac:dyDescent="0.25">
      <c r="A26" s="122" t="s">
        <v>164</v>
      </c>
      <c r="B26" s="123"/>
      <c r="C26" s="123"/>
      <c r="D26" s="124"/>
      <c r="E26" s="13">
        <v>0</v>
      </c>
      <c r="F26" s="13">
        <v>247</v>
      </c>
      <c r="G26" s="13">
        <f t="shared" si="6"/>
        <v>247</v>
      </c>
      <c r="H26" s="49"/>
      <c r="I26" s="50"/>
    </row>
    <row r="27" spans="1:31" s="5" customFormat="1" ht="17.100000000000001" customHeight="1" x14ac:dyDescent="0.25">
      <c r="A27" s="107" t="s">
        <v>20</v>
      </c>
      <c r="B27" s="108"/>
      <c r="C27" s="108"/>
      <c r="D27" s="109"/>
      <c r="E27" s="13">
        <v>0</v>
      </c>
      <c r="F27" s="13">
        <v>12</v>
      </c>
      <c r="G27" s="13">
        <f t="shared" si="6"/>
        <v>12</v>
      </c>
      <c r="H27" s="43"/>
      <c r="I27" s="44"/>
      <c r="L27"/>
      <c r="M27"/>
      <c r="N27" t="s">
        <v>56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s="5" customFormat="1" ht="17.100000000000001" customHeight="1" x14ac:dyDescent="0.25">
      <c r="A28" s="111" t="s">
        <v>49</v>
      </c>
      <c r="B28" s="112"/>
      <c r="C28" s="112"/>
      <c r="D28" s="113"/>
      <c r="E28" s="51" t="s">
        <v>52</v>
      </c>
      <c r="F28" s="51" t="s">
        <v>52</v>
      </c>
      <c r="G28" s="51">
        <v>5.4399999999999997E-2</v>
      </c>
      <c r="H28" s="45"/>
      <c r="I28" s="41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</row>
    <row r="29" spans="1:31" ht="30" customHeight="1" x14ac:dyDescent="0.25">
      <c r="A29" s="119" t="s">
        <v>101</v>
      </c>
      <c r="B29" s="120"/>
      <c r="C29" s="120"/>
      <c r="D29" s="121"/>
      <c r="E29" s="21" t="s">
        <v>2</v>
      </c>
      <c r="F29" s="21" t="s">
        <v>3</v>
      </c>
      <c r="G29" s="23" t="s">
        <v>31</v>
      </c>
      <c r="H29" s="21" t="s">
        <v>30</v>
      </c>
      <c r="I29" s="21" t="s">
        <v>6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</row>
    <row r="30" spans="1:31" ht="17.100000000000001" customHeight="1" x14ac:dyDescent="0.25">
      <c r="A30" s="114" t="s">
        <v>102</v>
      </c>
      <c r="B30" s="136"/>
      <c r="C30" s="136"/>
      <c r="D30" s="137"/>
      <c r="E30" s="13"/>
      <c r="F30" s="13">
        <v>3</v>
      </c>
      <c r="G30" s="13">
        <f>SUM(E30:F30)</f>
        <v>3</v>
      </c>
      <c r="H30" s="40">
        <f>Crossings!F39</f>
        <v>3</v>
      </c>
      <c r="I30" s="12">
        <f>G30/H30</f>
        <v>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</row>
    <row r="31" spans="1:31" ht="17.100000000000001" customHeight="1" x14ac:dyDescent="0.25">
      <c r="A31" s="114" t="s">
        <v>106</v>
      </c>
      <c r="B31" s="136"/>
      <c r="C31" s="136"/>
      <c r="D31" s="137"/>
      <c r="E31" s="13"/>
      <c r="F31" s="13">
        <v>31</v>
      </c>
      <c r="G31" s="13">
        <f>SUM(E31:F31)</f>
        <v>31</v>
      </c>
      <c r="H31" s="40">
        <v>31</v>
      </c>
      <c r="I31" s="12">
        <f>G31/H31</f>
        <v>1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</row>
    <row r="32" spans="1:31" ht="24" customHeight="1" x14ac:dyDescent="0.25">
      <c r="A32" s="119" t="s">
        <v>103</v>
      </c>
      <c r="B32" s="120"/>
      <c r="C32" s="120"/>
      <c r="D32" s="121"/>
      <c r="E32" s="21" t="s">
        <v>2</v>
      </c>
      <c r="F32" s="21" t="s">
        <v>3</v>
      </c>
      <c r="G32" s="23" t="s">
        <v>31</v>
      </c>
      <c r="H32" s="21" t="s">
        <v>21</v>
      </c>
      <c r="I32" s="21" t="s">
        <v>6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</row>
    <row r="33" spans="1:31" ht="17.100000000000001" customHeight="1" x14ac:dyDescent="0.25">
      <c r="A33" s="116" t="s">
        <v>143</v>
      </c>
      <c r="B33" s="117"/>
      <c r="C33" s="117"/>
      <c r="D33" s="118"/>
      <c r="E33" s="76"/>
      <c r="F33" s="76"/>
      <c r="G33" s="76"/>
      <c r="H33" s="77"/>
      <c r="I33" s="78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</row>
    <row r="34" spans="1:31" ht="17.100000000000001" customHeight="1" x14ac:dyDescent="0.25">
      <c r="A34" s="114" t="s">
        <v>104</v>
      </c>
      <c r="B34" s="115"/>
      <c r="C34" s="46"/>
      <c r="D34" s="46"/>
      <c r="E34" s="13"/>
      <c r="F34" s="13"/>
      <c r="G34" s="13"/>
      <c r="H34" s="40"/>
      <c r="I34" s="12">
        <v>1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</row>
    <row r="35" spans="1:31" ht="17.100000000000001" customHeight="1" x14ac:dyDescent="0.25">
      <c r="A35" s="114" t="s">
        <v>105</v>
      </c>
      <c r="B35" s="115"/>
      <c r="C35" s="138"/>
      <c r="D35" s="129"/>
      <c r="E35" s="13"/>
      <c r="F35" s="13"/>
      <c r="G35" s="13"/>
      <c r="H35" s="40"/>
      <c r="I35" s="12" t="s">
        <v>107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1:31" ht="17.100000000000001" customHeight="1" x14ac:dyDescent="0.25">
      <c r="A36" s="114" t="s">
        <v>53</v>
      </c>
      <c r="B36" s="115"/>
      <c r="C36" s="46"/>
      <c r="D36" s="46"/>
      <c r="E36" s="13"/>
      <c r="F36" s="13">
        <v>205</v>
      </c>
      <c r="G36" s="13">
        <f t="shared" ref="G36:G40" si="7">SUM(E36:F36)</f>
        <v>205</v>
      </c>
      <c r="H36" s="40">
        <v>205</v>
      </c>
      <c r="I36" s="12">
        <f>G36/H36</f>
        <v>1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1:31" ht="17.100000000000001" customHeight="1" x14ac:dyDescent="0.25">
      <c r="A37" s="73" t="s">
        <v>94</v>
      </c>
      <c r="B37" s="74"/>
      <c r="C37" s="46"/>
      <c r="D37" s="46"/>
      <c r="E37" s="13"/>
      <c r="F37" s="13">
        <v>205</v>
      </c>
      <c r="G37" s="13">
        <f t="shared" si="7"/>
        <v>205</v>
      </c>
      <c r="H37" s="40">
        <v>205</v>
      </c>
      <c r="I37" s="12">
        <f>G37/H37</f>
        <v>1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1:31" ht="17.100000000000001" customHeight="1" x14ac:dyDescent="0.25">
      <c r="A38" s="73" t="s">
        <v>95</v>
      </c>
      <c r="B38" s="74"/>
      <c r="C38" s="46"/>
      <c r="D38" s="46"/>
      <c r="E38" s="13"/>
      <c r="F38" s="13">
        <v>205</v>
      </c>
      <c r="G38" s="13">
        <f t="shared" si="7"/>
        <v>205</v>
      </c>
      <c r="H38" s="40">
        <v>205</v>
      </c>
      <c r="I38" s="12">
        <f>G38/H38</f>
        <v>1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1:31" ht="17.100000000000001" customHeight="1" x14ac:dyDescent="0.25">
      <c r="A39" s="114" t="s">
        <v>54</v>
      </c>
      <c r="B39" s="136"/>
      <c r="C39" s="136"/>
      <c r="D39" s="137"/>
      <c r="E39" s="13"/>
      <c r="F39" s="13">
        <v>205</v>
      </c>
      <c r="G39" s="13">
        <f t="shared" si="7"/>
        <v>205</v>
      </c>
      <c r="H39" s="40">
        <v>205</v>
      </c>
      <c r="I39" s="12">
        <f>G39/H39</f>
        <v>1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</row>
    <row r="40" spans="1:31" ht="17.100000000000001" customHeight="1" x14ac:dyDescent="0.25">
      <c r="A40" s="114" t="s">
        <v>163</v>
      </c>
      <c r="B40" s="136"/>
      <c r="C40" s="136"/>
      <c r="D40" s="137"/>
      <c r="E40" s="13"/>
      <c r="F40" s="13">
        <v>1</v>
      </c>
      <c r="G40" s="13">
        <f t="shared" si="7"/>
        <v>1</v>
      </c>
      <c r="H40" s="40"/>
      <c r="I40" s="12">
        <v>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</row>
    <row r="41" spans="1:31" ht="30" customHeight="1" x14ac:dyDescent="0.25">
      <c r="A41" s="18" t="s">
        <v>22</v>
      </c>
      <c r="B41" s="19"/>
      <c r="C41" s="19"/>
      <c r="D41" s="19"/>
      <c r="E41" s="22" t="s">
        <v>2</v>
      </c>
      <c r="F41" s="19" t="s">
        <v>23</v>
      </c>
      <c r="G41" s="23" t="s">
        <v>31</v>
      </c>
      <c r="H41" s="20" t="s">
        <v>30</v>
      </c>
      <c r="I41" s="24" t="s">
        <v>6</v>
      </c>
      <c r="AE41" s="57"/>
    </row>
    <row r="42" spans="1:31" ht="17.100000000000001" customHeight="1" x14ac:dyDescent="0.25">
      <c r="A42" s="114" t="s">
        <v>32</v>
      </c>
      <c r="B42" s="136"/>
      <c r="C42" s="136"/>
      <c r="D42" s="137"/>
      <c r="E42" s="29"/>
      <c r="F42" s="29"/>
      <c r="G42" s="29">
        <v>0</v>
      </c>
      <c r="H42" s="29">
        <v>0</v>
      </c>
      <c r="I42" s="14">
        <v>0</v>
      </c>
      <c r="AE42" s="57"/>
    </row>
    <row r="43" spans="1:31" ht="19.5" customHeight="1" x14ac:dyDescent="0.25">
      <c r="A43" s="151" t="s">
        <v>19</v>
      </c>
      <c r="B43" s="152"/>
      <c r="C43" s="152"/>
      <c r="D43" s="152"/>
      <c r="E43" s="152"/>
      <c r="F43" s="152"/>
      <c r="G43" s="152"/>
      <c r="H43" s="152"/>
      <c r="I43" s="153"/>
      <c r="K43" s="56" t="s">
        <v>52</v>
      </c>
      <c r="M43" t="s">
        <v>52</v>
      </c>
      <c r="AE43" s="57"/>
    </row>
    <row r="44" spans="1:31" ht="15.95" customHeight="1" x14ac:dyDescent="0.25">
      <c r="A44" s="154" t="s">
        <v>168</v>
      </c>
      <c r="B44" s="155"/>
      <c r="C44" s="155"/>
      <c r="D44" s="155"/>
      <c r="E44" s="155"/>
      <c r="F44" s="145"/>
      <c r="G44" s="145"/>
      <c r="H44" s="145"/>
      <c r="I44" s="146"/>
      <c r="L44" t="s">
        <v>52</v>
      </c>
    </row>
    <row r="45" spans="1:31" ht="15.95" customHeight="1" x14ac:dyDescent="0.25">
      <c r="A45" s="150" t="s">
        <v>169</v>
      </c>
      <c r="B45" s="148"/>
      <c r="C45" s="148"/>
      <c r="D45" s="148"/>
      <c r="E45" s="148"/>
      <c r="F45" s="148"/>
      <c r="G45" s="148"/>
      <c r="H45" s="148"/>
      <c r="I45" s="149"/>
    </row>
    <row r="46" spans="1:31" ht="15.95" customHeight="1" x14ac:dyDescent="0.25">
      <c r="A46" s="150" t="s">
        <v>170</v>
      </c>
      <c r="B46" s="148"/>
      <c r="C46" s="148"/>
      <c r="D46" s="148"/>
      <c r="E46" s="148"/>
      <c r="F46" s="148"/>
      <c r="G46" s="148"/>
      <c r="H46" s="148"/>
      <c r="I46" s="149"/>
    </row>
    <row r="47" spans="1:31" ht="15.95" customHeight="1" x14ac:dyDescent="0.25">
      <c r="A47" s="150" t="s">
        <v>171</v>
      </c>
      <c r="B47" s="148"/>
      <c r="C47" s="148"/>
      <c r="D47" s="148"/>
      <c r="E47" s="148"/>
      <c r="F47" s="148"/>
      <c r="G47" s="148"/>
      <c r="H47" s="148"/>
      <c r="I47" s="149"/>
    </row>
    <row r="48" spans="1:31" ht="15.95" customHeight="1" x14ac:dyDescent="0.25">
      <c r="A48" s="147" t="s">
        <v>166</v>
      </c>
      <c r="B48" s="156"/>
      <c r="C48" s="156"/>
      <c r="D48" s="156"/>
      <c r="E48" s="156"/>
      <c r="F48" s="156"/>
      <c r="G48" s="156"/>
      <c r="H48" s="156"/>
      <c r="I48" s="157"/>
    </row>
    <row r="49" spans="1:10" ht="15.95" customHeight="1" x14ac:dyDescent="0.25">
      <c r="A49" s="147" t="s">
        <v>165</v>
      </c>
      <c r="B49" s="148"/>
      <c r="C49" s="148"/>
      <c r="D49" s="148"/>
      <c r="E49" s="148"/>
      <c r="F49" s="148"/>
      <c r="G49" s="148"/>
      <c r="H49" s="148"/>
      <c r="I49" s="149"/>
    </row>
    <row r="50" spans="1:10" ht="15.95" customHeight="1" x14ac:dyDescent="0.25">
      <c r="A50" s="144" t="s">
        <v>167</v>
      </c>
      <c r="B50" s="145"/>
      <c r="C50" s="145"/>
      <c r="D50" s="145"/>
      <c r="E50" s="145"/>
      <c r="F50" s="145"/>
      <c r="G50" s="145"/>
      <c r="H50" s="145"/>
      <c r="I50" s="146"/>
    </row>
    <row r="51" spans="1:10" ht="20.25" customHeight="1" x14ac:dyDescent="0.25">
      <c r="A51" s="140" t="s">
        <v>10</v>
      </c>
      <c r="B51" s="141"/>
      <c r="C51" s="141"/>
      <c r="D51" s="141"/>
      <c r="E51" s="141"/>
      <c r="F51" s="141"/>
      <c r="G51" s="141"/>
      <c r="H51" s="141"/>
      <c r="I51" s="142"/>
    </row>
    <row r="52" spans="1:10" ht="17.25" customHeight="1" x14ac:dyDescent="0.25">
      <c r="A52" s="126" t="s">
        <v>172</v>
      </c>
      <c r="B52" s="143"/>
      <c r="C52" s="143"/>
      <c r="D52" s="143"/>
      <c r="E52" s="143"/>
      <c r="F52" s="53">
        <v>7</v>
      </c>
      <c r="G52" s="58" t="s">
        <v>162</v>
      </c>
      <c r="H52" s="53">
        <v>0</v>
      </c>
      <c r="I52" s="8" t="s">
        <v>11</v>
      </c>
      <c r="J52" t="s">
        <v>52</v>
      </c>
    </row>
    <row r="53" spans="1:10" ht="18.95" customHeight="1" x14ac:dyDescent="0.25">
      <c r="A53" s="140" t="s">
        <v>144</v>
      </c>
      <c r="B53" s="141"/>
      <c r="C53" s="141"/>
      <c r="D53" s="141"/>
      <c r="E53" s="141"/>
      <c r="F53" s="141"/>
      <c r="G53" s="141"/>
      <c r="H53" s="141"/>
      <c r="I53" s="142"/>
    </row>
    <row r="54" spans="1:10" x14ac:dyDescent="0.25">
      <c r="A54" s="139"/>
      <c r="B54" s="139"/>
      <c r="C54" s="139"/>
      <c r="D54" s="139"/>
      <c r="E54" s="139"/>
      <c r="F54" s="139"/>
      <c r="G54" s="7"/>
      <c r="H54" s="7"/>
      <c r="I54" s="7"/>
    </row>
  </sheetData>
  <mergeCells count="46">
    <mergeCell ref="A42:D42"/>
    <mergeCell ref="A49:I49"/>
    <mergeCell ref="A46:I46"/>
    <mergeCell ref="A43:I43"/>
    <mergeCell ref="A44:I44"/>
    <mergeCell ref="A48:I48"/>
    <mergeCell ref="A45:I45"/>
    <mergeCell ref="A47:I47"/>
    <mergeCell ref="A54:F54"/>
    <mergeCell ref="A53:I53"/>
    <mergeCell ref="A51:I51"/>
    <mergeCell ref="A52:E52"/>
    <mergeCell ref="A50:I50"/>
    <mergeCell ref="A40:D40"/>
    <mergeCell ref="A35:D35"/>
    <mergeCell ref="A36:B36"/>
    <mergeCell ref="A31:D31"/>
    <mergeCell ref="A30:D30"/>
    <mergeCell ref="A32:D32"/>
    <mergeCell ref="A39:D39"/>
    <mergeCell ref="A3:I3"/>
    <mergeCell ref="A4:I4"/>
    <mergeCell ref="H5:I5"/>
    <mergeCell ref="A7:B7"/>
    <mergeCell ref="A10:B10"/>
    <mergeCell ref="A9:B9"/>
    <mergeCell ref="A5:F5"/>
    <mergeCell ref="A8:B8"/>
    <mergeCell ref="A12:B12"/>
    <mergeCell ref="A13:B13"/>
    <mergeCell ref="A20:B20"/>
    <mergeCell ref="A14:B14"/>
    <mergeCell ref="A18:B18"/>
    <mergeCell ref="A16:B16"/>
    <mergeCell ref="A17:B17"/>
    <mergeCell ref="A19:B19"/>
    <mergeCell ref="A23:D23"/>
    <mergeCell ref="A21:B21"/>
    <mergeCell ref="A28:D28"/>
    <mergeCell ref="A27:D27"/>
    <mergeCell ref="A34:B34"/>
    <mergeCell ref="A33:D33"/>
    <mergeCell ref="A24:D24"/>
    <mergeCell ref="A25:D25"/>
    <mergeCell ref="A29:D29"/>
    <mergeCell ref="A26:D26"/>
  </mergeCells>
  <phoneticPr fontId="14" type="noConversion"/>
  <pageMargins left="0.71" right="0.71" top="0.31" bottom="0.55000000000000004" header="0.30000000000000004" footer="0.30000000000000004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M43"/>
  <sheetViews>
    <sheetView workbookViewId="0">
      <pane ySplit="2" topLeftCell="A3" activePane="bottomLeft" state="frozen"/>
      <selection activeCell="F64" sqref="F64"/>
      <selection pane="bottomLeft" activeCell="J38" sqref="J38"/>
    </sheetView>
  </sheetViews>
  <sheetFormatPr defaultColWidth="11.42578125" defaultRowHeight="15.75" x14ac:dyDescent="0.25"/>
  <cols>
    <col min="1" max="1" width="4.140625" customWidth="1"/>
    <col min="2" max="2" width="10.140625" style="33" customWidth="1"/>
    <col min="3" max="3" width="17.42578125" customWidth="1"/>
    <col min="4" max="4" width="47.140625" customWidth="1"/>
    <col min="5" max="5" width="16.28515625" customWidth="1"/>
    <col min="6" max="6" width="19.28515625" customWidth="1"/>
    <col min="7" max="7" width="11.42578125" style="31" customWidth="1"/>
    <col min="8" max="8" width="15.28515625" style="31" customWidth="1"/>
    <col min="9" max="9" width="12.85546875" style="31" customWidth="1"/>
    <col min="10" max="10" width="14.7109375" style="31" customWidth="1"/>
  </cols>
  <sheetData>
    <row r="1" spans="1:13" x14ac:dyDescent="0.25">
      <c r="B1" s="34"/>
      <c r="C1" s="35"/>
      <c r="D1" s="35"/>
      <c r="E1" s="35"/>
      <c r="F1" s="35"/>
    </row>
    <row r="2" spans="1:13" ht="35.25" customHeight="1" x14ac:dyDescent="0.25">
      <c r="B2" s="59" t="s">
        <v>43</v>
      </c>
      <c r="C2" s="59" t="s">
        <v>44</v>
      </c>
      <c r="D2" s="59" t="s">
        <v>1</v>
      </c>
      <c r="E2" s="59" t="s">
        <v>45</v>
      </c>
      <c r="F2" s="59" t="s">
        <v>46</v>
      </c>
      <c r="G2" s="60" t="s">
        <v>42</v>
      </c>
      <c r="H2" s="60" t="s">
        <v>39</v>
      </c>
      <c r="I2" s="61" t="s">
        <v>40</v>
      </c>
      <c r="J2" s="62" t="s">
        <v>41</v>
      </c>
    </row>
    <row r="3" spans="1:13" ht="18" customHeight="1" x14ac:dyDescent="0.25">
      <c r="A3" s="57">
        <v>1</v>
      </c>
      <c r="B3" s="64" t="s">
        <v>66</v>
      </c>
      <c r="C3" s="65" t="s">
        <v>67</v>
      </c>
      <c r="D3" s="66" t="s">
        <v>68</v>
      </c>
      <c r="E3" s="65"/>
      <c r="F3" s="65" t="s">
        <v>135</v>
      </c>
      <c r="G3" s="69">
        <v>47</v>
      </c>
      <c r="H3" s="67" t="s">
        <v>80</v>
      </c>
      <c r="I3" s="68">
        <v>42308</v>
      </c>
      <c r="J3" s="68">
        <v>42308</v>
      </c>
    </row>
    <row r="4" spans="1:13" ht="18" customHeight="1" x14ac:dyDescent="0.25">
      <c r="A4" s="57">
        <v>3</v>
      </c>
      <c r="B4" s="64" t="s">
        <v>86</v>
      </c>
      <c r="C4" s="65" t="s">
        <v>70</v>
      </c>
      <c r="D4" s="66" t="s">
        <v>88</v>
      </c>
      <c r="E4" s="65"/>
      <c r="F4" s="65" t="s">
        <v>135</v>
      </c>
      <c r="G4" s="70">
        <v>184</v>
      </c>
      <c r="H4" s="67" t="s">
        <v>80</v>
      </c>
      <c r="I4" s="68">
        <v>42314</v>
      </c>
      <c r="J4" s="68">
        <v>42315</v>
      </c>
      <c r="L4" s="71" t="s">
        <v>91</v>
      </c>
    </row>
    <row r="5" spans="1:13" ht="18" customHeight="1" x14ac:dyDescent="0.25">
      <c r="A5" s="57">
        <v>2</v>
      </c>
      <c r="B5" s="64" t="s">
        <v>81</v>
      </c>
      <c r="C5" s="65" t="s">
        <v>82</v>
      </c>
      <c r="D5" s="66" t="s">
        <v>83</v>
      </c>
      <c r="E5" s="65"/>
      <c r="F5" s="65" t="s">
        <v>135</v>
      </c>
      <c r="G5" s="69">
        <v>32</v>
      </c>
      <c r="H5" s="67" t="s">
        <v>80</v>
      </c>
      <c r="I5" s="68">
        <v>42310</v>
      </c>
      <c r="J5" s="68">
        <v>42310</v>
      </c>
      <c r="L5" s="72" t="s">
        <v>92</v>
      </c>
    </row>
    <row r="6" spans="1:13" ht="18" customHeight="1" x14ac:dyDescent="0.25">
      <c r="A6" s="57">
        <v>4</v>
      </c>
      <c r="B6" s="64" t="s">
        <v>85</v>
      </c>
      <c r="C6" s="65" t="s">
        <v>82</v>
      </c>
      <c r="D6" s="66" t="s">
        <v>87</v>
      </c>
      <c r="E6" s="65"/>
      <c r="F6" s="65" t="s">
        <v>135</v>
      </c>
      <c r="G6" s="70">
        <v>99</v>
      </c>
      <c r="H6" s="67" t="s">
        <v>80</v>
      </c>
      <c r="I6" s="68">
        <v>42313</v>
      </c>
      <c r="J6" s="68">
        <v>42313</v>
      </c>
    </row>
    <row r="7" spans="1:13" ht="18" customHeight="1" x14ac:dyDescent="0.25">
      <c r="A7" s="57">
        <v>5</v>
      </c>
      <c r="B7" s="64" t="s">
        <v>93</v>
      </c>
      <c r="C7" s="65" t="s">
        <v>89</v>
      </c>
      <c r="D7" s="66" t="s">
        <v>90</v>
      </c>
      <c r="E7" s="65"/>
      <c r="F7" s="65" t="s">
        <v>134</v>
      </c>
      <c r="G7" s="70">
        <v>303</v>
      </c>
      <c r="H7" s="67" t="s">
        <v>79</v>
      </c>
      <c r="I7" s="68">
        <v>42314</v>
      </c>
      <c r="J7" s="68">
        <v>42319</v>
      </c>
    </row>
    <row r="8" spans="1:13" ht="18" customHeight="1" x14ac:dyDescent="0.25">
      <c r="A8" s="57">
        <v>6</v>
      </c>
      <c r="B8" s="64" t="s">
        <v>100</v>
      </c>
      <c r="C8" s="65" t="s">
        <v>82</v>
      </c>
      <c r="D8" s="66" t="s">
        <v>96</v>
      </c>
      <c r="E8" s="65"/>
      <c r="F8" s="65" t="s">
        <v>135</v>
      </c>
      <c r="G8" s="70">
        <v>58</v>
      </c>
      <c r="H8" s="67" t="s">
        <v>80</v>
      </c>
      <c r="I8" s="68">
        <v>42317</v>
      </c>
      <c r="J8" s="75">
        <v>42317</v>
      </c>
    </row>
    <row r="9" spans="1:13" ht="18" customHeight="1" x14ac:dyDescent="0.25">
      <c r="A9" s="57">
        <v>7</v>
      </c>
      <c r="B9" s="64" t="s">
        <v>97</v>
      </c>
      <c r="C9" s="65" t="s">
        <v>89</v>
      </c>
      <c r="D9" s="66" t="s">
        <v>98</v>
      </c>
      <c r="E9" s="65"/>
      <c r="F9" s="65" t="s">
        <v>135</v>
      </c>
      <c r="G9" s="70">
        <v>214</v>
      </c>
      <c r="H9" s="67" t="s">
        <v>80</v>
      </c>
      <c r="I9" s="68">
        <v>42317</v>
      </c>
      <c r="J9" s="75">
        <v>42322</v>
      </c>
    </row>
    <row r="10" spans="1:13" ht="18" customHeight="1" x14ac:dyDescent="0.25">
      <c r="A10" s="57">
        <v>8</v>
      </c>
      <c r="B10" s="64" t="s">
        <v>99</v>
      </c>
      <c r="C10" s="65" t="s">
        <v>70</v>
      </c>
      <c r="D10" s="66" t="s">
        <v>71</v>
      </c>
      <c r="E10" s="65"/>
      <c r="F10" s="65" t="s">
        <v>135</v>
      </c>
      <c r="G10" s="69">
        <v>30</v>
      </c>
      <c r="H10" s="67" t="s">
        <v>80</v>
      </c>
      <c r="I10" s="68">
        <v>42318</v>
      </c>
      <c r="J10" s="68">
        <v>42318</v>
      </c>
    </row>
    <row r="11" spans="1:13" ht="18" customHeight="1" x14ac:dyDescent="0.25">
      <c r="A11" s="57">
        <v>9</v>
      </c>
      <c r="B11" s="64" t="s">
        <v>72</v>
      </c>
      <c r="C11" s="65" t="s">
        <v>73</v>
      </c>
      <c r="D11" s="66" t="s">
        <v>74</v>
      </c>
      <c r="E11" s="65"/>
      <c r="F11" s="65" t="s">
        <v>135</v>
      </c>
      <c r="G11" s="69">
        <v>61</v>
      </c>
      <c r="H11" s="67" t="s">
        <v>80</v>
      </c>
      <c r="I11" s="68">
        <v>42320</v>
      </c>
      <c r="J11" s="68">
        <v>42320</v>
      </c>
      <c r="M11" t="s">
        <v>52</v>
      </c>
    </row>
    <row r="12" spans="1:13" ht="18" customHeight="1" x14ac:dyDescent="0.25">
      <c r="A12" s="57">
        <v>10</v>
      </c>
      <c r="B12" s="64" t="s">
        <v>110</v>
      </c>
      <c r="C12" s="65" t="s">
        <v>69</v>
      </c>
      <c r="D12" s="66" t="s">
        <v>111</v>
      </c>
      <c r="E12" s="65"/>
      <c r="F12" s="65" t="s">
        <v>135</v>
      </c>
      <c r="G12" s="69">
        <v>169</v>
      </c>
      <c r="H12" s="67" t="s">
        <v>80</v>
      </c>
      <c r="I12" s="68">
        <v>42320</v>
      </c>
      <c r="J12" s="68">
        <v>42321</v>
      </c>
    </row>
    <row r="13" spans="1:13" ht="18" customHeight="1" x14ac:dyDescent="0.25">
      <c r="A13" s="57">
        <v>11</v>
      </c>
      <c r="B13" s="64" t="s">
        <v>75</v>
      </c>
      <c r="C13" s="65" t="s">
        <v>70</v>
      </c>
      <c r="D13" s="66" t="s">
        <v>76</v>
      </c>
      <c r="E13" s="65"/>
      <c r="F13" s="65" t="s">
        <v>135</v>
      </c>
      <c r="G13" s="69">
        <v>23</v>
      </c>
      <c r="H13" s="67" t="s">
        <v>80</v>
      </c>
      <c r="I13" s="68">
        <v>42319</v>
      </c>
      <c r="J13" s="68">
        <v>42319</v>
      </c>
    </row>
    <row r="14" spans="1:13" ht="18" customHeight="1" x14ac:dyDescent="0.25">
      <c r="A14" s="57">
        <v>12</v>
      </c>
      <c r="B14" s="64" t="s">
        <v>112</v>
      </c>
      <c r="C14" s="65" t="s">
        <v>70</v>
      </c>
      <c r="D14" s="80" t="s">
        <v>137</v>
      </c>
      <c r="E14" s="65"/>
      <c r="F14" s="65" t="s">
        <v>135</v>
      </c>
      <c r="G14" s="69">
        <v>95</v>
      </c>
      <c r="H14" s="67" t="s">
        <v>80</v>
      </c>
      <c r="I14" s="75">
        <v>42325</v>
      </c>
      <c r="J14" s="68">
        <v>42326</v>
      </c>
    </row>
    <row r="15" spans="1:13" ht="18" customHeight="1" x14ac:dyDescent="0.25">
      <c r="A15" s="57">
        <v>13</v>
      </c>
      <c r="B15" s="64" t="s">
        <v>77</v>
      </c>
      <c r="C15" s="65" t="s">
        <v>78</v>
      </c>
      <c r="D15" s="80" t="s">
        <v>132</v>
      </c>
      <c r="E15" s="65"/>
      <c r="F15" s="65" t="s">
        <v>135</v>
      </c>
      <c r="G15" s="69">
        <v>186</v>
      </c>
      <c r="H15" s="67" t="s">
        <v>80</v>
      </c>
      <c r="I15" s="75">
        <v>42324</v>
      </c>
      <c r="J15" s="68">
        <v>42325</v>
      </c>
    </row>
    <row r="16" spans="1:13" ht="18" customHeight="1" x14ac:dyDescent="0.25">
      <c r="A16" s="57">
        <v>14</v>
      </c>
      <c r="B16" s="64" t="s">
        <v>113</v>
      </c>
      <c r="C16" s="65" t="s">
        <v>69</v>
      </c>
      <c r="D16" s="80" t="s">
        <v>138</v>
      </c>
      <c r="E16" s="65"/>
      <c r="F16" s="65" t="s">
        <v>135</v>
      </c>
      <c r="G16" s="69">
        <v>136</v>
      </c>
      <c r="H16" s="67" t="s">
        <v>80</v>
      </c>
      <c r="I16" s="75">
        <v>42326</v>
      </c>
      <c r="J16" s="68">
        <v>42326</v>
      </c>
    </row>
    <row r="17" spans="1:10" ht="18" customHeight="1" x14ac:dyDescent="0.25">
      <c r="A17" s="57">
        <v>15</v>
      </c>
      <c r="B17" s="64" t="s">
        <v>114</v>
      </c>
      <c r="C17" s="65" t="s">
        <v>69</v>
      </c>
      <c r="D17" s="80" t="s">
        <v>115</v>
      </c>
      <c r="E17" s="65"/>
      <c r="F17" s="65" t="s">
        <v>135</v>
      </c>
      <c r="G17" s="69">
        <v>40</v>
      </c>
      <c r="H17" s="67" t="s">
        <v>80</v>
      </c>
      <c r="I17" s="75">
        <v>42326</v>
      </c>
      <c r="J17" s="68">
        <v>42327</v>
      </c>
    </row>
    <row r="18" spans="1:10" ht="18" customHeight="1" x14ac:dyDescent="0.25">
      <c r="A18" s="57">
        <v>16</v>
      </c>
      <c r="B18" s="64" t="s">
        <v>116</v>
      </c>
      <c r="C18" s="65" t="s">
        <v>69</v>
      </c>
      <c r="D18" s="80" t="s">
        <v>117</v>
      </c>
      <c r="E18" s="65"/>
      <c r="F18" s="65" t="s">
        <v>135</v>
      </c>
      <c r="G18" s="69">
        <v>22</v>
      </c>
      <c r="H18" s="67" t="s">
        <v>80</v>
      </c>
      <c r="I18" s="75">
        <v>42326</v>
      </c>
      <c r="J18" s="68">
        <v>42327</v>
      </c>
    </row>
    <row r="19" spans="1:10" ht="18" customHeight="1" x14ac:dyDescent="0.25">
      <c r="A19" s="57">
        <v>17</v>
      </c>
      <c r="B19" s="64" t="s">
        <v>140</v>
      </c>
      <c r="C19" s="65" t="s">
        <v>70</v>
      </c>
      <c r="D19" s="80" t="s">
        <v>139</v>
      </c>
      <c r="E19" s="65"/>
      <c r="F19" s="65" t="s">
        <v>135</v>
      </c>
      <c r="G19" s="69">
        <v>57</v>
      </c>
      <c r="H19" s="67" t="s">
        <v>80</v>
      </c>
      <c r="I19" s="75">
        <v>42327</v>
      </c>
      <c r="J19" s="68">
        <v>42328</v>
      </c>
    </row>
    <row r="20" spans="1:10" ht="18" customHeight="1" x14ac:dyDescent="0.25">
      <c r="A20" s="57">
        <v>18</v>
      </c>
      <c r="B20" s="64" t="s">
        <v>141</v>
      </c>
      <c r="C20" s="65" t="s">
        <v>70</v>
      </c>
      <c r="D20" s="80" t="s">
        <v>142</v>
      </c>
      <c r="E20" s="65"/>
      <c r="F20" s="65" t="s">
        <v>135</v>
      </c>
      <c r="G20" s="69">
        <v>42</v>
      </c>
      <c r="H20" s="67" t="s">
        <v>80</v>
      </c>
      <c r="I20" s="75">
        <v>42327</v>
      </c>
      <c r="J20" s="68">
        <v>42328</v>
      </c>
    </row>
    <row r="21" spans="1:10" ht="18" customHeight="1" x14ac:dyDescent="0.25">
      <c r="A21" s="57">
        <v>19</v>
      </c>
      <c r="B21" s="64" t="s">
        <v>153</v>
      </c>
      <c r="C21" s="65" t="s">
        <v>69</v>
      </c>
      <c r="D21" s="80" t="s">
        <v>152</v>
      </c>
      <c r="E21" s="65" t="s">
        <v>52</v>
      </c>
      <c r="F21" s="65" t="s">
        <v>135</v>
      </c>
      <c r="G21" s="69"/>
      <c r="H21" s="67" t="s">
        <v>80</v>
      </c>
      <c r="I21" s="75">
        <v>42338</v>
      </c>
      <c r="J21" s="75">
        <v>42342</v>
      </c>
    </row>
    <row r="22" spans="1:10" ht="18" customHeight="1" x14ac:dyDescent="0.25">
      <c r="A22" s="57">
        <v>20</v>
      </c>
      <c r="B22" s="64" t="s">
        <v>147</v>
      </c>
      <c r="C22" s="65" t="s">
        <v>70</v>
      </c>
      <c r="D22" s="80" t="s">
        <v>131</v>
      </c>
      <c r="E22" s="65"/>
      <c r="F22" s="65" t="s">
        <v>135</v>
      </c>
      <c r="G22" s="69">
        <v>215</v>
      </c>
      <c r="H22" s="67" t="s">
        <v>80</v>
      </c>
      <c r="I22" s="68">
        <v>42329</v>
      </c>
      <c r="J22" s="68">
        <v>42329</v>
      </c>
    </row>
    <row r="23" spans="1:10" ht="18" customHeight="1" x14ac:dyDescent="0.25">
      <c r="A23" s="57">
        <v>21</v>
      </c>
      <c r="B23" s="64" t="s">
        <v>145</v>
      </c>
      <c r="C23" s="65" t="s">
        <v>118</v>
      </c>
      <c r="D23" s="80" t="s">
        <v>119</v>
      </c>
      <c r="E23" s="65"/>
      <c r="F23" s="65" t="s">
        <v>135</v>
      </c>
      <c r="G23" s="69">
        <v>93</v>
      </c>
      <c r="H23" s="67" t="s">
        <v>80</v>
      </c>
      <c r="I23" s="75">
        <v>42328</v>
      </c>
      <c r="J23" s="68">
        <v>42330</v>
      </c>
    </row>
    <row r="24" spans="1:10" ht="18" customHeight="1" x14ac:dyDescent="0.25">
      <c r="A24" s="57">
        <v>22</v>
      </c>
      <c r="B24" s="64" t="s">
        <v>146</v>
      </c>
      <c r="C24" s="65" t="s">
        <v>70</v>
      </c>
      <c r="D24" s="80" t="s">
        <v>148</v>
      </c>
      <c r="E24" s="65"/>
      <c r="F24" s="65" t="s">
        <v>135</v>
      </c>
      <c r="G24" s="69">
        <v>34</v>
      </c>
      <c r="H24" s="67" t="s">
        <v>80</v>
      </c>
      <c r="I24" s="75">
        <v>42330</v>
      </c>
      <c r="J24" s="68">
        <v>42330</v>
      </c>
    </row>
    <row r="25" spans="1:10" ht="18" customHeight="1" x14ac:dyDescent="0.25">
      <c r="A25" s="57">
        <v>23</v>
      </c>
      <c r="B25" s="64" t="s">
        <v>150</v>
      </c>
      <c r="C25" s="65" t="s">
        <v>70</v>
      </c>
      <c r="D25" s="80" t="s">
        <v>154</v>
      </c>
      <c r="E25" s="65"/>
      <c r="F25" s="65" t="s">
        <v>135</v>
      </c>
      <c r="G25" s="69">
        <v>93</v>
      </c>
      <c r="H25" s="67" t="s">
        <v>80</v>
      </c>
      <c r="I25" s="68">
        <v>42331</v>
      </c>
      <c r="J25" s="68">
        <v>42331</v>
      </c>
    </row>
    <row r="26" spans="1:10" ht="18" customHeight="1" x14ac:dyDescent="0.25">
      <c r="A26" s="57">
        <v>24</v>
      </c>
      <c r="B26" s="64" t="s">
        <v>151</v>
      </c>
      <c r="C26" s="65" t="s">
        <v>70</v>
      </c>
      <c r="D26" s="80" t="s">
        <v>130</v>
      </c>
      <c r="E26" s="65"/>
      <c r="F26" s="65" t="s">
        <v>135</v>
      </c>
      <c r="G26" s="69">
        <v>141</v>
      </c>
      <c r="H26" s="67" t="s">
        <v>80</v>
      </c>
      <c r="I26" s="68">
        <v>42331</v>
      </c>
      <c r="J26" s="68">
        <v>42332</v>
      </c>
    </row>
    <row r="27" spans="1:10" ht="18" customHeight="1" x14ac:dyDescent="0.25">
      <c r="A27" s="57">
        <v>25</v>
      </c>
      <c r="B27" s="64" t="s">
        <v>156</v>
      </c>
      <c r="C27" s="65" t="s">
        <v>70</v>
      </c>
      <c r="D27" s="80" t="s">
        <v>157</v>
      </c>
      <c r="E27" s="65"/>
      <c r="F27" s="65" t="s">
        <v>135</v>
      </c>
      <c r="G27" s="69">
        <v>79</v>
      </c>
      <c r="H27" s="67" t="s">
        <v>80</v>
      </c>
      <c r="I27" s="68">
        <v>42333</v>
      </c>
      <c r="J27" s="68">
        <v>42333</v>
      </c>
    </row>
    <row r="28" spans="1:10" ht="18" customHeight="1" x14ac:dyDescent="0.25">
      <c r="A28" s="57">
        <v>26</v>
      </c>
      <c r="B28" s="64" t="s">
        <v>120</v>
      </c>
      <c r="C28" s="65" t="s">
        <v>70</v>
      </c>
      <c r="D28" s="80" t="s">
        <v>129</v>
      </c>
      <c r="E28" s="65"/>
      <c r="F28" s="65" t="s">
        <v>135</v>
      </c>
      <c r="G28" s="69">
        <v>57</v>
      </c>
      <c r="H28" s="67" t="s">
        <v>80</v>
      </c>
      <c r="I28" s="68">
        <v>42336</v>
      </c>
      <c r="J28" s="68">
        <v>42338</v>
      </c>
    </row>
    <row r="29" spans="1:10" ht="18" customHeight="1" x14ac:dyDescent="0.25">
      <c r="A29" s="57">
        <v>27</v>
      </c>
      <c r="B29" s="64" t="s">
        <v>121</v>
      </c>
      <c r="C29" s="65" t="s">
        <v>69</v>
      </c>
      <c r="D29" s="80" t="s">
        <v>122</v>
      </c>
      <c r="E29" s="65"/>
      <c r="F29" s="65" t="s">
        <v>135</v>
      </c>
      <c r="G29" s="69">
        <v>26</v>
      </c>
      <c r="H29" s="67" t="s">
        <v>80</v>
      </c>
      <c r="I29" s="68">
        <v>42339</v>
      </c>
      <c r="J29" s="68">
        <v>42340</v>
      </c>
    </row>
    <row r="30" spans="1:10" ht="18" customHeight="1" x14ac:dyDescent="0.25">
      <c r="A30" s="57">
        <v>28</v>
      </c>
      <c r="B30" s="64" t="s">
        <v>160</v>
      </c>
      <c r="C30" s="65" t="s">
        <v>78</v>
      </c>
      <c r="D30" s="80" t="s">
        <v>161</v>
      </c>
      <c r="E30" s="65"/>
      <c r="F30" s="65" t="s">
        <v>135</v>
      </c>
      <c r="G30" s="69">
        <v>298</v>
      </c>
      <c r="H30" s="67" t="s">
        <v>80</v>
      </c>
      <c r="I30" s="68">
        <v>42335</v>
      </c>
      <c r="J30" s="75">
        <v>42339</v>
      </c>
    </row>
    <row r="31" spans="1:10" ht="18" customHeight="1" x14ac:dyDescent="0.25">
      <c r="A31" s="57">
        <v>29</v>
      </c>
      <c r="B31" s="64" t="s">
        <v>123</v>
      </c>
      <c r="C31" s="65" t="s">
        <v>70</v>
      </c>
      <c r="D31" s="80" t="s">
        <v>128</v>
      </c>
      <c r="E31" s="65"/>
      <c r="F31" s="65" t="s">
        <v>135</v>
      </c>
      <c r="G31" s="69">
        <v>48</v>
      </c>
      <c r="H31" s="67" t="s">
        <v>80</v>
      </c>
      <c r="I31" s="68">
        <v>42335</v>
      </c>
      <c r="J31" s="68">
        <v>42336</v>
      </c>
    </row>
    <row r="32" spans="1:10" ht="18" customHeight="1" x14ac:dyDescent="0.25">
      <c r="A32" s="57">
        <v>30</v>
      </c>
      <c r="B32" s="64" t="s">
        <v>124</v>
      </c>
      <c r="C32" s="65" t="s">
        <v>78</v>
      </c>
      <c r="D32" s="80" t="s">
        <v>149</v>
      </c>
      <c r="E32" s="65"/>
      <c r="F32" s="65" t="s">
        <v>135</v>
      </c>
      <c r="G32" s="69">
        <v>131</v>
      </c>
      <c r="H32" s="67" t="s">
        <v>80</v>
      </c>
      <c r="I32" s="68">
        <v>42334</v>
      </c>
      <c r="J32" s="68">
        <v>42335</v>
      </c>
    </row>
    <row r="33" spans="1:11" ht="18" customHeight="1" x14ac:dyDescent="0.25">
      <c r="A33" s="57">
        <v>31</v>
      </c>
      <c r="B33" s="64" t="s">
        <v>158</v>
      </c>
      <c r="C33" s="65" t="s">
        <v>78</v>
      </c>
      <c r="D33" s="80" t="s">
        <v>127</v>
      </c>
      <c r="E33" s="65"/>
      <c r="F33" s="65" t="s">
        <v>135</v>
      </c>
      <c r="G33" s="69">
        <v>149</v>
      </c>
      <c r="H33" s="67" t="s">
        <v>80</v>
      </c>
      <c r="I33" s="68">
        <v>42333</v>
      </c>
      <c r="J33" s="68">
        <v>42335</v>
      </c>
    </row>
    <row r="34" spans="1:11" ht="18" customHeight="1" x14ac:dyDescent="0.25">
      <c r="A34" s="57">
        <v>32</v>
      </c>
      <c r="B34" s="64" t="s">
        <v>63</v>
      </c>
      <c r="C34" s="65" t="s">
        <v>69</v>
      </c>
      <c r="D34" s="80" t="s">
        <v>64</v>
      </c>
      <c r="E34" s="65" t="s">
        <v>65</v>
      </c>
      <c r="F34" s="65" t="s">
        <v>134</v>
      </c>
      <c r="G34" s="69">
        <v>399</v>
      </c>
      <c r="H34" s="67" t="s">
        <v>79</v>
      </c>
      <c r="I34" s="68">
        <v>42320</v>
      </c>
      <c r="J34" s="68">
        <v>42327</v>
      </c>
    </row>
    <row r="35" spans="1:11" ht="18" customHeight="1" x14ac:dyDescent="0.25">
      <c r="A35" s="57">
        <v>33</v>
      </c>
      <c r="B35" s="64" t="s">
        <v>155</v>
      </c>
      <c r="C35" s="65" t="s">
        <v>70</v>
      </c>
      <c r="D35" s="80" t="s">
        <v>133</v>
      </c>
      <c r="E35" s="65"/>
      <c r="F35" s="65" t="s">
        <v>135</v>
      </c>
      <c r="G35" s="69">
        <v>43</v>
      </c>
      <c r="H35" s="67" t="s">
        <v>80</v>
      </c>
      <c r="I35" s="68">
        <v>42332</v>
      </c>
      <c r="J35" s="68">
        <v>42333</v>
      </c>
    </row>
    <row r="36" spans="1:11" ht="18" customHeight="1" x14ac:dyDescent="0.25">
      <c r="A36" s="57">
        <v>34</v>
      </c>
      <c r="B36" s="64" t="s">
        <v>60</v>
      </c>
      <c r="C36" s="65" t="s">
        <v>69</v>
      </c>
      <c r="D36" s="80" t="s">
        <v>62</v>
      </c>
      <c r="E36" s="65" t="s">
        <v>61</v>
      </c>
      <c r="F36" s="65" t="s">
        <v>134</v>
      </c>
      <c r="G36" s="69">
        <v>233</v>
      </c>
      <c r="H36" s="67" t="s">
        <v>79</v>
      </c>
      <c r="I36" s="68">
        <v>42328</v>
      </c>
      <c r="J36" s="75">
        <v>42336</v>
      </c>
    </row>
    <row r="37" spans="1:11" ht="18" customHeight="1" x14ac:dyDescent="0.25">
      <c r="A37" t="s">
        <v>52</v>
      </c>
      <c r="K37" s="5"/>
    </row>
    <row r="38" spans="1:11" ht="18" customHeight="1" x14ac:dyDescent="0.25">
      <c r="A38" t="s">
        <v>52</v>
      </c>
      <c r="E38" s="36" t="s">
        <v>136</v>
      </c>
      <c r="F38" s="32">
        <f>COUNTIF(F3:F36,"HDD Bore")</f>
        <v>31</v>
      </c>
      <c r="G38" s="32"/>
      <c r="H38" s="32"/>
      <c r="I38" s="32" t="s">
        <v>47</v>
      </c>
      <c r="J38" s="32">
        <f>COUNT(J3:J36)</f>
        <v>34</v>
      </c>
    </row>
    <row r="39" spans="1:11" x14ac:dyDescent="0.25">
      <c r="E39" s="36" t="s">
        <v>134</v>
      </c>
      <c r="F39" s="32">
        <f>COUNTIF(F3:F36,"Site Specific HDD")</f>
        <v>3</v>
      </c>
      <c r="G39" s="32"/>
      <c r="H39" s="32"/>
      <c r="I39" s="32"/>
      <c r="J39" s="32"/>
    </row>
    <row r="40" spans="1:11" x14ac:dyDescent="0.25">
      <c r="B40" s="81" t="s">
        <v>159</v>
      </c>
      <c r="E40" s="55" t="s">
        <v>55</v>
      </c>
      <c r="F40" s="37">
        <f>SUM(F38:F39)</f>
        <v>34</v>
      </c>
      <c r="G40" s="32"/>
      <c r="H40" s="32"/>
      <c r="I40" s="32"/>
      <c r="J40" s="32"/>
    </row>
    <row r="41" spans="1:11" x14ac:dyDescent="0.25">
      <c r="E41" s="36"/>
      <c r="F41" s="38"/>
      <c r="G41" s="32"/>
      <c r="H41" s="32"/>
      <c r="I41" s="32"/>
      <c r="J41" s="32"/>
    </row>
    <row r="42" spans="1:11" x14ac:dyDescent="0.25">
      <c r="E42" s="36" t="s">
        <v>48</v>
      </c>
      <c r="F42" s="39">
        <f>J38/F40</f>
        <v>1</v>
      </c>
      <c r="G42" s="32"/>
      <c r="H42" s="32"/>
      <c r="I42" s="32"/>
      <c r="J42" s="32"/>
    </row>
    <row r="43" spans="1:11" x14ac:dyDescent="0.25">
      <c r="E43" s="38"/>
      <c r="F43" s="38"/>
    </row>
  </sheetData>
  <sortState ref="B3:J12">
    <sortCondition descending="1" ref="B3"/>
  </sortState>
  <pageMargins left="0.25" right="0.25" top="0.5" bottom="0.5" header="0.5" footer="0.5"/>
  <pageSetup scale="65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K345"/>
  <sheetViews>
    <sheetView workbookViewId="0">
      <pane ySplit="1" topLeftCell="A2" activePane="bottomLeft" state="frozen"/>
      <selection pane="bottomLeft" activeCell="E35" sqref="E35"/>
    </sheetView>
  </sheetViews>
  <sheetFormatPr defaultRowHeight="15" x14ac:dyDescent="0.25"/>
  <cols>
    <col min="1" max="1" width="13.28515625" style="83" customWidth="1"/>
    <col min="2" max="3" width="10.140625" style="84" customWidth="1"/>
    <col min="4" max="4" width="9.85546875" style="84" customWidth="1"/>
    <col min="5" max="5" width="12.28515625" style="85" customWidth="1"/>
    <col min="6" max="6" width="16.42578125" style="85" customWidth="1"/>
    <col min="7" max="7" width="24.140625" style="85" customWidth="1"/>
    <col min="8" max="11" width="16.42578125" style="85" customWidth="1"/>
    <col min="12" max="16384" width="9.140625" style="85"/>
  </cols>
  <sheetData>
    <row r="1" spans="1:11" x14ac:dyDescent="0.25">
      <c r="A1" s="87" t="s">
        <v>173</v>
      </c>
      <c r="B1" s="88" t="s">
        <v>174</v>
      </c>
      <c r="C1" s="88" t="s">
        <v>175</v>
      </c>
      <c r="D1" s="88" t="s">
        <v>181</v>
      </c>
      <c r="E1" s="89" t="s">
        <v>176</v>
      </c>
      <c r="F1" s="89" t="s">
        <v>178</v>
      </c>
      <c r="G1" s="89" t="s">
        <v>177</v>
      </c>
      <c r="H1" s="95" t="s">
        <v>35</v>
      </c>
      <c r="I1" s="95" t="s">
        <v>36</v>
      </c>
      <c r="J1" s="95" t="s">
        <v>14</v>
      </c>
      <c r="K1" s="95" t="s">
        <v>84</v>
      </c>
    </row>
    <row r="2" spans="1:11" x14ac:dyDescent="0.25">
      <c r="A2" s="83">
        <v>42282</v>
      </c>
      <c r="B2" s="84">
        <v>19100</v>
      </c>
      <c r="C2" s="84">
        <v>19900</v>
      </c>
      <c r="D2" s="86">
        <f>C2-B2</f>
        <v>800</v>
      </c>
      <c r="E2" s="85" t="s">
        <v>179</v>
      </c>
      <c r="F2" s="85" t="s">
        <v>211</v>
      </c>
    </row>
    <row r="3" spans="1:11" x14ac:dyDescent="0.25">
      <c r="A3" s="83">
        <v>42283</v>
      </c>
      <c r="B3" s="84">
        <v>17600</v>
      </c>
      <c r="C3" s="84">
        <v>19100</v>
      </c>
      <c r="D3" s="86">
        <f t="shared" ref="D3:D66" si="0">C3-B3</f>
        <v>1500</v>
      </c>
      <c r="E3" s="85" t="s">
        <v>179</v>
      </c>
      <c r="F3" s="85" t="s">
        <v>211</v>
      </c>
    </row>
    <row r="4" spans="1:11" x14ac:dyDescent="0.25">
      <c r="A4" s="83">
        <v>42283</v>
      </c>
      <c r="B4" s="84">
        <v>12200</v>
      </c>
      <c r="C4" s="84">
        <v>12800</v>
      </c>
      <c r="D4" s="86">
        <f t="shared" si="0"/>
        <v>600</v>
      </c>
      <c r="E4" s="85" t="s">
        <v>179</v>
      </c>
      <c r="F4" s="85" t="s">
        <v>211</v>
      </c>
    </row>
    <row r="5" spans="1:11" x14ac:dyDescent="0.25">
      <c r="A5" s="83">
        <v>42283</v>
      </c>
      <c r="B5" s="84">
        <v>19500</v>
      </c>
      <c r="C5" s="84">
        <v>19900</v>
      </c>
      <c r="D5" s="86">
        <f t="shared" si="0"/>
        <v>400</v>
      </c>
      <c r="E5" s="85" t="s">
        <v>179</v>
      </c>
      <c r="F5" s="85" t="s">
        <v>211</v>
      </c>
    </row>
    <row r="6" spans="1:11" x14ac:dyDescent="0.25">
      <c r="A6" s="83">
        <v>42283</v>
      </c>
      <c r="B6" s="84">
        <v>24000</v>
      </c>
      <c r="C6" s="84">
        <v>24200</v>
      </c>
      <c r="D6" s="86">
        <f t="shared" si="0"/>
        <v>200</v>
      </c>
      <c r="E6" s="85" t="s">
        <v>179</v>
      </c>
      <c r="F6" s="85" t="s">
        <v>211</v>
      </c>
    </row>
    <row r="7" spans="1:11" x14ac:dyDescent="0.25">
      <c r="A7" s="83">
        <v>42284</v>
      </c>
      <c r="B7" s="84">
        <v>17000</v>
      </c>
      <c r="C7" s="84">
        <v>17600</v>
      </c>
      <c r="D7" s="86">
        <f t="shared" si="0"/>
        <v>600</v>
      </c>
      <c r="E7" s="85" t="s">
        <v>179</v>
      </c>
      <c r="F7" s="85" t="s">
        <v>211</v>
      </c>
    </row>
    <row r="8" spans="1:11" x14ac:dyDescent="0.25">
      <c r="A8" s="83">
        <v>42284</v>
      </c>
      <c r="B8" s="84">
        <v>12800</v>
      </c>
      <c r="C8" s="84">
        <v>13100</v>
      </c>
      <c r="D8" s="86">
        <f t="shared" si="0"/>
        <v>300</v>
      </c>
      <c r="E8" s="85" t="s">
        <v>179</v>
      </c>
      <c r="F8" s="85" t="s">
        <v>211</v>
      </c>
    </row>
    <row r="9" spans="1:11" x14ac:dyDescent="0.25">
      <c r="A9" s="83">
        <v>42284</v>
      </c>
      <c r="B9" s="84">
        <v>17000</v>
      </c>
      <c r="C9" s="84">
        <v>19000</v>
      </c>
      <c r="D9" s="86">
        <f t="shared" si="0"/>
        <v>2000</v>
      </c>
      <c r="E9" s="85" t="s">
        <v>179</v>
      </c>
      <c r="F9" s="85" t="s">
        <v>211</v>
      </c>
    </row>
    <row r="10" spans="1:11" x14ac:dyDescent="0.25">
      <c r="A10" s="83">
        <v>42285</v>
      </c>
      <c r="B10" s="84">
        <v>13100</v>
      </c>
      <c r="C10" s="84">
        <v>14100</v>
      </c>
      <c r="D10" s="86">
        <f t="shared" si="0"/>
        <v>1000</v>
      </c>
      <c r="E10" s="85" t="s">
        <v>179</v>
      </c>
      <c r="F10" s="85" t="s">
        <v>211</v>
      </c>
    </row>
    <row r="11" spans="1:11" x14ac:dyDescent="0.25">
      <c r="A11" s="83">
        <v>42285</v>
      </c>
      <c r="B11" s="84">
        <v>12300</v>
      </c>
      <c r="C11" s="84">
        <v>12800</v>
      </c>
      <c r="D11" s="86">
        <f t="shared" si="0"/>
        <v>500</v>
      </c>
      <c r="E11" s="85" t="s">
        <v>179</v>
      </c>
      <c r="F11" s="85" t="s">
        <v>211</v>
      </c>
    </row>
    <row r="12" spans="1:11" x14ac:dyDescent="0.25">
      <c r="A12" s="83">
        <v>42286</v>
      </c>
      <c r="B12" s="84">
        <v>14100</v>
      </c>
      <c r="C12" s="84">
        <v>14900</v>
      </c>
      <c r="D12" s="86">
        <f t="shared" si="0"/>
        <v>800</v>
      </c>
      <c r="E12" s="85" t="s">
        <v>179</v>
      </c>
      <c r="F12" s="85" t="s">
        <v>211</v>
      </c>
    </row>
    <row r="13" spans="1:11" x14ac:dyDescent="0.25">
      <c r="A13" s="83">
        <v>42286</v>
      </c>
      <c r="B13" s="84">
        <v>12300</v>
      </c>
      <c r="C13" s="84">
        <v>12800</v>
      </c>
      <c r="D13" s="86">
        <f t="shared" si="0"/>
        <v>500</v>
      </c>
      <c r="E13" s="85" t="s">
        <v>179</v>
      </c>
      <c r="F13" s="85" t="s">
        <v>211</v>
      </c>
    </row>
    <row r="14" spans="1:11" x14ac:dyDescent="0.25">
      <c r="A14" s="83">
        <v>42287</v>
      </c>
      <c r="B14" s="84">
        <v>11600</v>
      </c>
      <c r="C14" s="84">
        <v>12300</v>
      </c>
      <c r="D14" s="86">
        <f t="shared" si="0"/>
        <v>700</v>
      </c>
      <c r="E14" s="85" t="s">
        <v>179</v>
      </c>
      <c r="F14" s="85" t="s">
        <v>211</v>
      </c>
    </row>
    <row r="15" spans="1:11" x14ac:dyDescent="0.25">
      <c r="A15" s="83">
        <v>42287</v>
      </c>
      <c r="B15" s="84">
        <v>12800</v>
      </c>
      <c r="C15" s="84">
        <v>13400</v>
      </c>
      <c r="D15" s="86">
        <f t="shared" si="0"/>
        <v>600</v>
      </c>
      <c r="E15" s="85" t="s">
        <v>179</v>
      </c>
      <c r="F15" s="85" t="s">
        <v>211</v>
      </c>
    </row>
    <row r="16" spans="1:11" x14ac:dyDescent="0.25">
      <c r="A16" s="83">
        <v>42290</v>
      </c>
      <c r="B16" s="84">
        <v>9700</v>
      </c>
      <c r="C16" s="84">
        <v>10200</v>
      </c>
      <c r="D16" s="86">
        <f t="shared" si="0"/>
        <v>500</v>
      </c>
      <c r="E16" s="85" t="s">
        <v>179</v>
      </c>
      <c r="F16" s="85" t="s">
        <v>211</v>
      </c>
    </row>
    <row r="17" spans="1:6" x14ac:dyDescent="0.25">
      <c r="A17" s="83">
        <v>42290</v>
      </c>
      <c r="B17" s="84">
        <v>11000</v>
      </c>
      <c r="C17" s="84">
        <v>11600</v>
      </c>
      <c r="D17" s="86">
        <f t="shared" si="0"/>
        <v>600</v>
      </c>
      <c r="E17" s="85" t="s">
        <v>179</v>
      </c>
      <c r="F17" s="85" t="s">
        <v>211</v>
      </c>
    </row>
    <row r="18" spans="1:6" x14ac:dyDescent="0.25">
      <c r="A18" s="83">
        <v>42290</v>
      </c>
      <c r="B18" s="84">
        <v>13400</v>
      </c>
      <c r="C18" s="84">
        <v>14400</v>
      </c>
      <c r="D18" s="86">
        <f t="shared" si="0"/>
        <v>1000</v>
      </c>
      <c r="E18" s="85" t="s">
        <v>179</v>
      </c>
      <c r="F18" s="85" t="s">
        <v>211</v>
      </c>
    </row>
    <row r="19" spans="1:6" x14ac:dyDescent="0.25">
      <c r="A19" s="83">
        <v>42291</v>
      </c>
      <c r="B19" s="84">
        <v>9100</v>
      </c>
      <c r="C19" s="84">
        <v>9700</v>
      </c>
      <c r="D19" s="86">
        <f t="shared" si="0"/>
        <v>600</v>
      </c>
      <c r="E19" s="85" t="s">
        <v>179</v>
      </c>
      <c r="F19" s="85" t="s">
        <v>211</v>
      </c>
    </row>
    <row r="20" spans="1:6" x14ac:dyDescent="0.25">
      <c r="A20" s="83">
        <v>42291</v>
      </c>
      <c r="B20" s="84">
        <v>10300</v>
      </c>
      <c r="C20" s="84">
        <v>11000</v>
      </c>
      <c r="D20" s="86">
        <f t="shared" si="0"/>
        <v>700</v>
      </c>
      <c r="E20" s="85" t="s">
        <v>179</v>
      </c>
      <c r="F20" s="85" t="s">
        <v>211</v>
      </c>
    </row>
    <row r="21" spans="1:6" x14ac:dyDescent="0.25">
      <c r="A21" s="83">
        <v>42291</v>
      </c>
      <c r="B21" s="84">
        <v>12000</v>
      </c>
      <c r="C21" s="84">
        <v>12300</v>
      </c>
      <c r="D21" s="86">
        <f t="shared" si="0"/>
        <v>300</v>
      </c>
      <c r="E21" s="85" t="s">
        <v>179</v>
      </c>
      <c r="F21" s="85" t="s">
        <v>211</v>
      </c>
    </row>
    <row r="22" spans="1:6" x14ac:dyDescent="0.25">
      <c r="A22" s="83">
        <v>42291</v>
      </c>
      <c r="B22" s="84">
        <v>14400</v>
      </c>
      <c r="C22" s="84">
        <v>14900</v>
      </c>
      <c r="D22" s="86">
        <f t="shared" si="0"/>
        <v>500</v>
      </c>
      <c r="E22" s="85" t="s">
        <v>179</v>
      </c>
      <c r="F22" s="85" t="s">
        <v>211</v>
      </c>
    </row>
    <row r="23" spans="1:6" x14ac:dyDescent="0.25">
      <c r="A23" s="83">
        <v>42292</v>
      </c>
      <c r="B23" s="84">
        <v>8400</v>
      </c>
      <c r="C23" s="84">
        <v>9100</v>
      </c>
      <c r="D23" s="86">
        <f t="shared" si="0"/>
        <v>700</v>
      </c>
      <c r="E23" s="85" t="s">
        <v>179</v>
      </c>
      <c r="F23" s="85" t="s">
        <v>211</v>
      </c>
    </row>
    <row r="24" spans="1:6" x14ac:dyDescent="0.25">
      <c r="A24" s="83">
        <v>42292</v>
      </c>
      <c r="B24" s="84">
        <v>10900</v>
      </c>
      <c r="C24" s="84">
        <v>12000</v>
      </c>
      <c r="D24" s="86">
        <f t="shared" si="0"/>
        <v>1100</v>
      </c>
      <c r="E24" s="85" t="s">
        <v>179</v>
      </c>
      <c r="F24" s="85" t="s">
        <v>211</v>
      </c>
    </row>
    <row r="25" spans="1:6" x14ac:dyDescent="0.25">
      <c r="A25" s="83">
        <v>42293</v>
      </c>
      <c r="B25" s="84">
        <v>7500</v>
      </c>
      <c r="C25" s="84">
        <v>8400</v>
      </c>
      <c r="D25" s="86">
        <f t="shared" si="0"/>
        <v>900</v>
      </c>
      <c r="E25" s="85" t="s">
        <v>179</v>
      </c>
      <c r="F25" s="85" t="s">
        <v>211</v>
      </c>
    </row>
    <row r="26" spans="1:6" x14ac:dyDescent="0.25">
      <c r="A26" s="83">
        <v>42293</v>
      </c>
      <c r="B26" s="84">
        <v>9800</v>
      </c>
      <c r="C26" s="84">
        <v>10900</v>
      </c>
      <c r="D26" s="86">
        <f t="shared" si="0"/>
        <v>1100</v>
      </c>
      <c r="E26" s="85" t="s">
        <v>179</v>
      </c>
      <c r="F26" s="85" t="s">
        <v>211</v>
      </c>
    </row>
    <row r="27" spans="1:6" x14ac:dyDescent="0.25">
      <c r="A27" s="83">
        <v>42294</v>
      </c>
      <c r="B27" s="84">
        <v>6000</v>
      </c>
      <c r="C27" s="84">
        <v>6700</v>
      </c>
      <c r="D27" s="86">
        <f t="shared" si="0"/>
        <v>700</v>
      </c>
      <c r="E27" s="85" t="s">
        <v>179</v>
      </c>
      <c r="F27" s="85" t="s">
        <v>211</v>
      </c>
    </row>
    <row r="28" spans="1:6" x14ac:dyDescent="0.25">
      <c r="A28" s="83">
        <v>42296</v>
      </c>
      <c r="B28" s="84">
        <v>16300</v>
      </c>
      <c r="C28" s="84">
        <v>17000</v>
      </c>
      <c r="D28" s="86">
        <f t="shared" si="0"/>
        <v>700</v>
      </c>
      <c r="E28" s="85" t="s">
        <v>179</v>
      </c>
      <c r="F28" s="85" t="s">
        <v>211</v>
      </c>
    </row>
    <row r="29" spans="1:6" x14ac:dyDescent="0.25">
      <c r="A29" s="83">
        <v>42297</v>
      </c>
      <c r="B29" s="84">
        <v>15300</v>
      </c>
      <c r="C29" s="84">
        <v>15800</v>
      </c>
      <c r="D29" s="86">
        <f t="shared" si="0"/>
        <v>500</v>
      </c>
      <c r="E29" s="85" t="s">
        <v>179</v>
      </c>
      <c r="F29" s="85" t="s">
        <v>211</v>
      </c>
    </row>
    <row r="30" spans="1:6" x14ac:dyDescent="0.25">
      <c r="A30" s="83">
        <v>42298</v>
      </c>
      <c r="B30" s="84">
        <v>300</v>
      </c>
      <c r="C30" s="84">
        <v>600</v>
      </c>
      <c r="D30" s="86">
        <f t="shared" si="0"/>
        <v>300</v>
      </c>
      <c r="E30" s="85" t="s">
        <v>179</v>
      </c>
      <c r="F30" s="85" t="s">
        <v>211</v>
      </c>
    </row>
    <row r="31" spans="1:6" x14ac:dyDescent="0.25">
      <c r="A31" s="83">
        <v>42299</v>
      </c>
      <c r="B31" s="84">
        <v>600</v>
      </c>
      <c r="C31" s="84">
        <v>900</v>
      </c>
      <c r="D31" s="86">
        <f t="shared" si="0"/>
        <v>300</v>
      </c>
      <c r="E31" s="85" t="s">
        <v>179</v>
      </c>
      <c r="F31" s="85" t="s">
        <v>211</v>
      </c>
    </row>
    <row r="32" spans="1:6" x14ac:dyDescent="0.25">
      <c r="A32" s="83">
        <v>42300</v>
      </c>
      <c r="B32" s="84">
        <v>1300</v>
      </c>
      <c r="C32" s="84">
        <v>1700</v>
      </c>
      <c r="D32" s="86">
        <f t="shared" si="0"/>
        <v>400</v>
      </c>
      <c r="E32" s="85" t="s">
        <v>179</v>
      </c>
      <c r="F32" s="85" t="s">
        <v>211</v>
      </c>
    </row>
    <row r="33" spans="1:6" x14ac:dyDescent="0.25">
      <c r="A33" s="83">
        <v>42301</v>
      </c>
      <c r="B33" s="84">
        <v>14900</v>
      </c>
      <c r="C33" s="84">
        <v>15300</v>
      </c>
      <c r="D33" s="86">
        <f t="shared" si="0"/>
        <v>400</v>
      </c>
      <c r="E33" s="85" t="s">
        <v>179</v>
      </c>
      <c r="F33" s="85" t="s">
        <v>211</v>
      </c>
    </row>
    <row r="34" spans="1:6" x14ac:dyDescent="0.25">
      <c r="A34" s="83">
        <v>42303</v>
      </c>
      <c r="B34" s="84">
        <v>2500</v>
      </c>
      <c r="C34" s="84">
        <v>2800</v>
      </c>
      <c r="D34" s="86">
        <f t="shared" si="0"/>
        <v>300</v>
      </c>
      <c r="E34" s="85" t="s">
        <v>179</v>
      </c>
      <c r="F34" s="85" t="s">
        <v>211</v>
      </c>
    </row>
    <row r="35" spans="1:6" x14ac:dyDescent="0.25">
      <c r="A35" s="83">
        <v>42304</v>
      </c>
      <c r="B35" s="84">
        <v>2800</v>
      </c>
      <c r="C35" s="84">
        <v>3000</v>
      </c>
      <c r="D35" s="86">
        <f t="shared" si="0"/>
        <v>200</v>
      </c>
      <c r="E35" s="85" t="s">
        <v>179</v>
      </c>
      <c r="F35" s="85" t="s">
        <v>211</v>
      </c>
    </row>
    <row r="36" spans="1:6" x14ac:dyDescent="0.25">
      <c r="A36" s="83">
        <v>42305</v>
      </c>
      <c r="B36" s="84">
        <v>3000</v>
      </c>
      <c r="C36" s="84">
        <v>3300</v>
      </c>
      <c r="D36" s="86">
        <f t="shared" si="0"/>
        <v>300</v>
      </c>
      <c r="E36" s="85" t="s">
        <v>179</v>
      </c>
      <c r="F36" s="85" t="s">
        <v>211</v>
      </c>
    </row>
    <row r="37" spans="1:6" x14ac:dyDescent="0.25">
      <c r="A37" s="83">
        <v>42306</v>
      </c>
      <c r="B37" s="84">
        <v>3300</v>
      </c>
      <c r="C37" s="84">
        <v>3400</v>
      </c>
      <c r="D37" s="86">
        <f t="shared" si="0"/>
        <v>100</v>
      </c>
      <c r="E37" s="85" t="s">
        <v>179</v>
      </c>
      <c r="F37" s="85" t="s">
        <v>211</v>
      </c>
    </row>
    <row r="38" spans="1:6" x14ac:dyDescent="0.25">
      <c r="A38" s="83">
        <v>42307</v>
      </c>
      <c r="B38" s="84">
        <v>3400</v>
      </c>
      <c r="C38" s="84">
        <v>3600</v>
      </c>
      <c r="D38" s="86">
        <f t="shared" si="0"/>
        <v>200</v>
      </c>
      <c r="E38" s="85" t="s">
        <v>179</v>
      </c>
      <c r="F38" s="85" t="s">
        <v>211</v>
      </c>
    </row>
    <row r="39" spans="1:6" x14ac:dyDescent="0.25">
      <c r="A39" s="83">
        <v>42308</v>
      </c>
      <c r="B39" s="84">
        <v>4500</v>
      </c>
      <c r="C39" s="84">
        <v>4700</v>
      </c>
      <c r="D39" s="86">
        <f t="shared" si="0"/>
        <v>200</v>
      </c>
      <c r="E39" s="85" t="s">
        <v>179</v>
      </c>
      <c r="F39" s="85" t="s">
        <v>211</v>
      </c>
    </row>
    <row r="40" spans="1:6" x14ac:dyDescent="0.25">
      <c r="A40" s="83">
        <v>42308</v>
      </c>
      <c r="B40" s="84">
        <v>7000</v>
      </c>
      <c r="C40" s="84">
        <v>7400</v>
      </c>
      <c r="D40" s="86">
        <f t="shared" si="0"/>
        <v>400</v>
      </c>
      <c r="E40" s="85" t="s">
        <v>179</v>
      </c>
      <c r="F40" s="85" t="s">
        <v>211</v>
      </c>
    </row>
    <row r="41" spans="1:6" x14ac:dyDescent="0.25">
      <c r="A41" s="83">
        <v>42308</v>
      </c>
      <c r="B41" s="84">
        <v>0</v>
      </c>
      <c r="C41" s="84">
        <v>300</v>
      </c>
      <c r="D41" s="86">
        <f t="shared" si="0"/>
        <v>300</v>
      </c>
      <c r="E41" s="85" t="s">
        <v>179</v>
      </c>
      <c r="F41" s="85" t="s">
        <v>211</v>
      </c>
    </row>
    <row r="42" spans="1:6" x14ac:dyDescent="0.25">
      <c r="A42" s="83">
        <v>42308</v>
      </c>
      <c r="B42" s="84">
        <v>5700</v>
      </c>
      <c r="C42" s="84">
        <v>6000</v>
      </c>
      <c r="D42" s="86">
        <f t="shared" si="0"/>
        <v>300</v>
      </c>
      <c r="E42" s="85" t="s">
        <v>179</v>
      </c>
      <c r="F42" s="85" t="s">
        <v>211</v>
      </c>
    </row>
    <row r="43" spans="1:6" x14ac:dyDescent="0.25">
      <c r="A43" s="83">
        <v>42311</v>
      </c>
      <c r="B43" s="84">
        <v>4700</v>
      </c>
      <c r="C43" s="84">
        <v>5300</v>
      </c>
      <c r="D43" s="86">
        <f t="shared" si="0"/>
        <v>600</v>
      </c>
      <c r="E43" s="85" t="s">
        <v>179</v>
      </c>
      <c r="F43" s="85" t="s">
        <v>211</v>
      </c>
    </row>
    <row r="44" spans="1:6" x14ac:dyDescent="0.25">
      <c r="A44" s="83">
        <v>42282</v>
      </c>
      <c r="B44" s="84">
        <v>23200</v>
      </c>
      <c r="C44" s="84">
        <v>24200</v>
      </c>
      <c r="D44" s="86">
        <f t="shared" si="0"/>
        <v>1000</v>
      </c>
      <c r="E44" s="85" t="s">
        <v>184</v>
      </c>
      <c r="F44" s="85" t="s">
        <v>208</v>
      </c>
    </row>
    <row r="45" spans="1:6" x14ac:dyDescent="0.25">
      <c r="A45" s="83">
        <v>42285</v>
      </c>
      <c r="B45" s="84">
        <v>23100</v>
      </c>
      <c r="C45" s="84">
        <v>23200</v>
      </c>
      <c r="D45" s="86">
        <f t="shared" si="0"/>
        <v>100</v>
      </c>
      <c r="E45" s="85" t="s">
        <v>184</v>
      </c>
      <c r="F45" s="85" t="s">
        <v>208</v>
      </c>
    </row>
    <row r="46" spans="1:6" x14ac:dyDescent="0.25">
      <c r="A46" s="83">
        <v>42286</v>
      </c>
      <c r="B46" s="84">
        <v>24200</v>
      </c>
      <c r="C46" s="84">
        <v>24500</v>
      </c>
      <c r="D46" s="86">
        <f t="shared" si="0"/>
        <v>300</v>
      </c>
      <c r="E46" s="85" t="s">
        <v>184</v>
      </c>
      <c r="F46" s="85" t="s">
        <v>208</v>
      </c>
    </row>
    <row r="47" spans="1:6" x14ac:dyDescent="0.25">
      <c r="A47" s="83">
        <v>42287</v>
      </c>
      <c r="B47" s="84">
        <v>24500</v>
      </c>
      <c r="C47" s="84">
        <v>24700</v>
      </c>
      <c r="D47" s="86">
        <f t="shared" si="0"/>
        <v>200</v>
      </c>
      <c r="E47" s="85" t="s">
        <v>184</v>
      </c>
      <c r="F47" s="85" t="s">
        <v>208</v>
      </c>
    </row>
    <row r="48" spans="1:6" x14ac:dyDescent="0.25">
      <c r="A48" s="83">
        <v>42290</v>
      </c>
      <c r="B48" s="84">
        <v>21500</v>
      </c>
      <c r="C48" s="84">
        <v>23100</v>
      </c>
      <c r="D48" s="86">
        <f t="shared" si="0"/>
        <v>1600</v>
      </c>
      <c r="E48" s="85" t="s">
        <v>184</v>
      </c>
      <c r="F48" s="85" t="s">
        <v>208</v>
      </c>
    </row>
    <row r="49" spans="1:6" x14ac:dyDescent="0.25">
      <c r="A49" s="83">
        <v>42291</v>
      </c>
      <c r="B49" s="84">
        <v>21000</v>
      </c>
      <c r="C49" s="84">
        <v>21500</v>
      </c>
      <c r="D49" s="86">
        <f t="shared" si="0"/>
        <v>500</v>
      </c>
      <c r="E49" s="85" t="s">
        <v>184</v>
      </c>
      <c r="F49" s="85" t="s">
        <v>208</v>
      </c>
    </row>
    <row r="50" spans="1:6" x14ac:dyDescent="0.25">
      <c r="A50" s="83">
        <v>42292</v>
      </c>
      <c r="B50" s="84">
        <v>19500</v>
      </c>
      <c r="C50" s="84">
        <v>21000</v>
      </c>
      <c r="D50" s="86">
        <f t="shared" si="0"/>
        <v>1500</v>
      </c>
      <c r="E50" s="85" t="s">
        <v>184</v>
      </c>
      <c r="F50" s="85" t="s">
        <v>208</v>
      </c>
    </row>
    <row r="51" spans="1:6" x14ac:dyDescent="0.25">
      <c r="A51" s="83">
        <v>42293</v>
      </c>
      <c r="B51" s="84">
        <v>17500</v>
      </c>
      <c r="C51" s="84">
        <v>19500</v>
      </c>
      <c r="D51" s="86">
        <f t="shared" si="0"/>
        <v>2000</v>
      </c>
      <c r="E51" s="85" t="s">
        <v>184</v>
      </c>
      <c r="F51" s="85" t="s">
        <v>208</v>
      </c>
    </row>
    <row r="52" spans="1:6" x14ac:dyDescent="0.25">
      <c r="A52" s="83">
        <v>42294</v>
      </c>
      <c r="B52" s="84">
        <v>17000</v>
      </c>
      <c r="C52" s="84">
        <v>17500</v>
      </c>
      <c r="D52" s="86">
        <f t="shared" si="0"/>
        <v>500</v>
      </c>
      <c r="E52" s="85" t="s">
        <v>184</v>
      </c>
      <c r="F52" s="85" t="s">
        <v>208</v>
      </c>
    </row>
    <row r="53" spans="1:6" x14ac:dyDescent="0.25">
      <c r="A53" s="83">
        <v>42296</v>
      </c>
      <c r="B53" s="84">
        <v>16500</v>
      </c>
      <c r="C53" s="84">
        <v>17000</v>
      </c>
      <c r="D53" s="86">
        <f t="shared" si="0"/>
        <v>500</v>
      </c>
      <c r="E53" s="85" t="s">
        <v>184</v>
      </c>
      <c r="F53" s="85" t="s">
        <v>208</v>
      </c>
    </row>
    <row r="54" spans="1:6" x14ac:dyDescent="0.25">
      <c r="A54" s="83">
        <v>42297</v>
      </c>
      <c r="B54" s="84">
        <v>10300</v>
      </c>
      <c r="C54" s="84">
        <v>10800</v>
      </c>
      <c r="D54" s="86">
        <f t="shared" si="0"/>
        <v>500</v>
      </c>
      <c r="E54" s="85" t="s">
        <v>184</v>
      </c>
      <c r="F54" s="85" t="s">
        <v>208</v>
      </c>
    </row>
    <row r="55" spans="1:6" x14ac:dyDescent="0.25">
      <c r="A55" s="83">
        <v>42298</v>
      </c>
      <c r="B55" s="84">
        <v>10800</v>
      </c>
      <c r="C55" s="84">
        <v>14800</v>
      </c>
      <c r="D55" s="86">
        <f t="shared" si="0"/>
        <v>4000</v>
      </c>
      <c r="E55" s="85" t="s">
        <v>184</v>
      </c>
      <c r="F55" s="85" t="s">
        <v>208</v>
      </c>
    </row>
    <row r="56" spans="1:6" x14ac:dyDescent="0.25">
      <c r="A56" s="83">
        <v>42299</v>
      </c>
      <c r="B56" s="84">
        <v>14800</v>
      </c>
      <c r="C56" s="84">
        <v>15000</v>
      </c>
      <c r="D56" s="86">
        <f t="shared" si="0"/>
        <v>200</v>
      </c>
      <c r="E56" s="85" t="s">
        <v>184</v>
      </c>
      <c r="F56" s="85" t="s">
        <v>208</v>
      </c>
    </row>
    <row r="57" spans="1:6" x14ac:dyDescent="0.25">
      <c r="A57" s="83">
        <v>42300</v>
      </c>
      <c r="B57" s="84">
        <v>15000</v>
      </c>
      <c r="C57" s="84">
        <v>15200</v>
      </c>
      <c r="D57" s="86">
        <f t="shared" si="0"/>
        <v>200</v>
      </c>
      <c r="E57" s="85" t="s">
        <v>184</v>
      </c>
      <c r="F57" s="85" t="s">
        <v>208</v>
      </c>
    </row>
    <row r="58" spans="1:6" x14ac:dyDescent="0.25">
      <c r="A58" s="83">
        <v>42301</v>
      </c>
      <c r="B58" s="84">
        <v>15200</v>
      </c>
      <c r="C58" s="84">
        <v>16500</v>
      </c>
      <c r="D58" s="86">
        <f t="shared" si="0"/>
        <v>1300</v>
      </c>
      <c r="E58" s="85" t="s">
        <v>184</v>
      </c>
      <c r="F58" s="85" t="s">
        <v>209</v>
      </c>
    </row>
    <row r="59" spans="1:6" x14ac:dyDescent="0.25">
      <c r="A59" s="83">
        <v>42303</v>
      </c>
      <c r="B59" s="84">
        <v>10000</v>
      </c>
      <c r="C59" s="84">
        <v>10500</v>
      </c>
      <c r="D59" s="86">
        <f t="shared" si="0"/>
        <v>500</v>
      </c>
      <c r="E59" s="85" t="s">
        <v>184</v>
      </c>
      <c r="F59" s="85" t="s">
        <v>209</v>
      </c>
    </row>
    <row r="60" spans="1:6" x14ac:dyDescent="0.25">
      <c r="A60" s="83">
        <v>42304</v>
      </c>
      <c r="B60" s="84">
        <v>9500</v>
      </c>
      <c r="C60" s="84">
        <v>10000</v>
      </c>
      <c r="D60" s="86">
        <f t="shared" si="0"/>
        <v>500</v>
      </c>
      <c r="E60" s="85" t="s">
        <v>184</v>
      </c>
      <c r="F60" s="85" t="s">
        <v>209</v>
      </c>
    </row>
    <row r="61" spans="1:6" x14ac:dyDescent="0.25">
      <c r="A61" s="83">
        <v>42305</v>
      </c>
      <c r="B61" s="84">
        <v>9000</v>
      </c>
      <c r="C61" s="84">
        <v>9500</v>
      </c>
      <c r="D61" s="86">
        <f t="shared" si="0"/>
        <v>500</v>
      </c>
      <c r="E61" s="85" t="s">
        <v>184</v>
      </c>
      <c r="F61" s="85" t="s">
        <v>209</v>
      </c>
    </row>
    <row r="62" spans="1:6" x14ac:dyDescent="0.25">
      <c r="A62" s="83">
        <v>42306</v>
      </c>
      <c r="B62" s="84">
        <v>8500</v>
      </c>
      <c r="C62" s="84">
        <v>9000</v>
      </c>
      <c r="D62" s="86">
        <f t="shared" si="0"/>
        <v>500</v>
      </c>
      <c r="E62" s="85" t="s">
        <v>184</v>
      </c>
      <c r="F62" s="85" t="s">
        <v>209</v>
      </c>
    </row>
    <row r="63" spans="1:6" x14ac:dyDescent="0.25">
      <c r="A63" s="83">
        <v>42307</v>
      </c>
      <c r="B63" s="84">
        <v>8000</v>
      </c>
      <c r="C63" s="84">
        <v>8500</v>
      </c>
      <c r="D63" s="86">
        <f t="shared" si="0"/>
        <v>500</v>
      </c>
      <c r="E63" s="85" t="s">
        <v>184</v>
      </c>
      <c r="F63" s="85" t="s">
        <v>209</v>
      </c>
    </row>
    <row r="64" spans="1:6" x14ac:dyDescent="0.25">
      <c r="A64" s="83">
        <v>42308</v>
      </c>
      <c r="B64" s="84">
        <v>7500</v>
      </c>
      <c r="C64" s="84">
        <v>8000</v>
      </c>
      <c r="D64" s="86">
        <f t="shared" si="0"/>
        <v>500</v>
      </c>
      <c r="E64" s="85" t="s">
        <v>184</v>
      </c>
      <c r="F64" s="85" t="s">
        <v>209</v>
      </c>
    </row>
    <row r="65" spans="1:6" x14ac:dyDescent="0.25">
      <c r="A65" s="83">
        <v>42308</v>
      </c>
      <c r="B65" s="84">
        <v>6500</v>
      </c>
      <c r="C65" s="84">
        <v>8000</v>
      </c>
      <c r="D65" s="86">
        <f t="shared" si="0"/>
        <v>1500</v>
      </c>
      <c r="E65" s="85" t="s">
        <v>184</v>
      </c>
      <c r="F65" s="85" t="s">
        <v>209</v>
      </c>
    </row>
    <row r="66" spans="1:6" x14ac:dyDescent="0.25">
      <c r="A66" s="83">
        <v>42310</v>
      </c>
      <c r="B66" s="84">
        <v>7000</v>
      </c>
      <c r="C66" s="84">
        <v>7500</v>
      </c>
      <c r="D66" s="86">
        <f t="shared" si="0"/>
        <v>500</v>
      </c>
      <c r="E66" s="85" t="s">
        <v>184</v>
      </c>
      <c r="F66" s="85" t="s">
        <v>209</v>
      </c>
    </row>
    <row r="67" spans="1:6" x14ac:dyDescent="0.25">
      <c r="A67" s="83">
        <v>42310</v>
      </c>
      <c r="B67" s="84">
        <v>1500</v>
      </c>
      <c r="C67" s="84">
        <v>3000</v>
      </c>
      <c r="D67" s="86">
        <f t="shared" ref="D67:D130" si="1">C67-B67</f>
        <v>1500</v>
      </c>
      <c r="E67" s="85" t="s">
        <v>184</v>
      </c>
      <c r="F67" s="85" t="s">
        <v>209</v>
      </c>
    </row>
    <row r="68" spans="1:6" x14ac:dyDescent="0.25">
      <c r="A68" s="83">
        <v>42311</v>
      </c>
      <c r="B68" s="84">
        <v>3000</v>
      </c>
      <c r="C68" s="84">
        <v>5000</v>
      </c>
      <c r="D68" s="86">
        <f t="shared" si="1"/>
        <v>2000</v>
      </c>
      <c r="E68" s="85" t="s">
        <v>184</v>
      </c>
      <c r="F68" s="85" t="s">
        <v>209</v>
      </c>
    </row>
    <row r="69" spans="1:6" x14ac:dyDescent="0.25">
      <c r="A69" s="83">
        <v>42312</v>
      </c>
      <c r="B69" s="84">
        <v>0</v>
      </c>
      <c r="C69" s="84">
        <v>1800</v>
      </c>
      <c r="D69" s="86">
        <f t="shared" si="1"/>
        <v>1800</v>
      </c>
      <c r="E69" s="85" t="s">
        <v>184</v>
      </c>
      <c r="F69" s="85" t="s">
        <v>209</v>
      </c>
    </row>
    <row r="70" spans="1:6" x14ac:dyDescent="0.25">
      <c r="A70" s="83">
        <v>42287</v>
      </c>
      <c r="B70" s="84">
        <v>23100</v>
      </c>
      <c r="C70" s="84">
        <v>24000</v>
      </c>
      <c r="D70" s="86">
        <f t="shared" si="1"/>
        <v>900</v>
      </c>
      <c r="E70" s="85" t="s">
        <v>185</v>
      </c>
      <c r="F70" s="85" t="s">
        <v>208</v>
      </c>
    </row>
    <row r="71" spans="1:6" x14ac:dyDescent="0.25">
      <c r="A71" s="83">
        <v>42290</v>
      </c>
      <c r="B71" s="84">
        <v>24000</v>
      </c>
      <c r="C71" s="84">
        <v>24600</v>
      </c>
      <c r="D71" s="86">
        <f t="shared" si="1"/>
        <v>600</v>
      </c>
      <c r="E71" s="85" t="s">
        <v>185</v>
      </c>
      <c r="F71" s="85" t="s">
        <v>208</v>
      </c>
    </row>
    <row r="72" spans="1:6" x14ac:dyDescent="0.25">
      <c r="A72" s="83">
        <v>42291</v>
      </c>
      <c r="B72" s="84">
        <v>24600</v>
      </c>
      <c r="C72" s="84">
        <v>24700</v>
      </c>
      <c r="D72" s="86">
        <f t="shared" si="1"/>
        <v>100</v>
      </c>
      <c r="E72" s="85" t="s">
        <v>185</v>
      </c>
      <c r="F72" s="85" t="s">
        <v>208</v>
      </c>
    </row>
    <row r="73" spans="1:6" x14ac:dyDescent="0.25">
      <c r="A73" s="83">
        <v>42292</v>
      </c>
      <c r="B73" s="84">
        <v>22300</v>
      </c>
      <c r="C73" s="84">
        <v>23100</v>
      </c>
      <c r="D73" s="86">
        <f t="shared" si="1"/>
        <v>800</v>
      </c>
      <c r="E73" s="85" t="s">
        <v>185</v>
      </c>
      <c r="F73" s="85" t="s">
        <v>208</v>
      </c>
    </row>
    <row r="74" spans="1:6" x14ac:dyDescent="0.25">
      <c r="A74" s="83">
        <v>42293</v>
      </c>
      <c r="B74" s="84">
        <v>21500</v>
      </c>
      <c r="C74" s="84">
        <v>22300</v>
      </c>
      <c r="D74" s="86">
        <f t="shared" si="1"/>
        <v>800</v>
      </c>
      <c r="E74" s="85" t="s">
        <v>185</v>
      </c>
      <c r="F74" s="85" t="s">
        <v>208</v>
      </c>
    </row>
    <row r="75" spans="1:6" x14ac:dyDescent="0.25">
      <c r="A75" s="83">
        <v>42294</v>
      </c>
      <c r="B75" s="84">
        <v>20200</v>
      </c>
      <c r="C75" s="84">
        <v>21500</v>
      </c>
      <c r="D75" s="86">
        <f t="shared" si="1"/>
        <v>1300</v>
      </c>
      <c r="E75" s="85" t="s">
        <v>185</v>
      </c>
      <c r="F75" s="85" t="s">
        <v>208</v>
      </c>
    </row>
    <row r="76" spans="1:6" x14ac:dyDescent="0.25">
      <c r="A76" s="83">
        <v>42296</v>
      </c>
      <c r="B76" s="84">
        <v>19500</v>
      </c>
      <c r="C76" s="84">
        <v>20200</v>
      </c>
      <c r="D76" s="86">
        <f t="shared" si="1"/>
        <v>700</v>
      </c>
      <c r="E76" s="85" t="s">
        <v>185</v>
      </c>
      <c r="F76" s="85" t="s">
        <v>208</v>
      </c>
    </row>
    <row r="77" spans="1:6" x14ac:dyDescent="0.25">
      <c r="A77" s="83">
        <v>42297</v>
      </c>
      <c r="B77" s="84">
        <v>18500</v>
      </c>
      <c r="C77" s="84">
        <v>19500</v>
      </c>
      <c r="D77" s="86">
        <f t="shared" si="1"/>
        <v>1000</v>
      </c>
      <c r="E77" s="85" t="s">
        <v>185</v>
      </c>
      <c r="F77" s="85" t="s">
        <v>208</v>
      </c>
    </row>
    <row r="78" spans="1:6" x14ac:dyDescent="0.25">
      <c r="A78" s="83">
        <v>42298</v>
      </c>
      <c r="B78" s="84">
        <v>18000</v>
      </c>
      <c r="C78" s="84">
        <v>18500</v>
      </c>
      <c r="D78" s="86">
        <f t="shared" si="1"/>
        <v>500</v>
      </c>
      <c r="E78" s="85" t="s">
        <v>185</v>
      </c>
      <c r="F78" s="85" t="s">
        <v>208</v>
      </c>
    </row>
    <row r="79" spans="1:6" x14ac:dyDescent="0.25">
      <c r="A79" s="83">
        <v>42299</v>
      </c>
      <c r="B79" s="84">
        <v>17000</v>
      </c>
      <c r="C79" s="84">
        <v>18000</v>
      </c>
      <c r="D79" s="86">
        <f t="shared" si="1"/>
        <v>1000</v>
      </c>
      <c r="E79" s="85" t="s">
        <v>185</v>
      </c>
      <c r="F79" s="85" t="s">
        <v>208</v>
      </c>
    </row>
    <row r="80" spans="1:6" x14ac:dyDescent="0.25">
      <c r="A80" s="83">
        <v>42300</v>
      </c>
      <c r="B80" s="84">
        <v>15300</v>
      </c>
      <c r="C80" s="84">
        <v>17000</v>
      </c>
      <c r="D80" s="86">
        <f t="shared" si="1"/>
        <v>1700</v>
      </c>
      <c r="E80" s="85" t="s">
        <v>185</v>
      </c>
      <c r="F80" s="85" t="s">
        <v>208</v>
      </c>
    </row>
    <row r="81" spans="1:6" x14ac:dyDescent="0.25">
      <c r="A81" s="83">
        <v>42301</v>
      </c>
      <c r="B81" s="84">
        <v>14800</v>
      </c>
      <c r="C81" s="84">
        <v>15300</v>
      </c>
      <c r="D81" s="86">
        <f t="shared" si="1"/>
        <v>500</v>
      </c>
      <c r="E81" s="85" t="s">
        <v>185</v>
      </c>
      <c r="F81" s="85" t="s">
        <v>208</v>
      </c>
    </row>
    <row r="82" spans="1:6" x14ac:dyDescent="0.25">
      <c r="A82" s="83">
        <v>42303</v>
      </c>
      <c r="B82" s="84">
        <v>13000</v>
      </c>
      <c r="C82" s="84">
        <v>14800</v>
      </c>
      <c r="D82" s="86">
        <f t="shared" si="1"/>
        <v>1800</v>
      </c>
      <c r="E82" s="85" t="s">
        <v>185</v>
      </c>
      <c r="F82" s="85" t="s">
        <v>208</v>
      </c>
    </row>
    <row r="83" spans="1:6" x14ac:dyDescent="0.25">
      <c r="A83" s="83">
        <v>42304</v>
      </c>
      <c r="B83" s="84">
        <v>12000</v>
      </c>
      <c r="C83" s="84">
        <v>13000</v>
      </c>
      <c r="D83" s="86">
        <f t="shared" si="1"/>
        <v>1000</v>
      </c>
      <c r="E83" s="85" t="s">
        <v>185</v>
      </c>
      <c r="F83" s="85" t="s">
        <v>208</v>
      </c>
    </row>
    <row r="84" spans="1:6" x14ac:dyDescent="0.25">
      <c r="A84" s="83">
        <v>42305</v>
      </c>
      <c r="B84" s="84">
        <v>11000</v>
      </c>
      <c r="C84" s="84">
        <v>12000</v>
      </c>
      <c r="D84" s="86">
        <f t="shared" si="1"/>
        <v>1000</v>
      </c>
      <c r="E84" s="85" t="s">
        <v>185</v>
      </c>
      <c r="F84" s="85" t="s">
        <v>208</v>
      </c>
    </row>
    <row r="85" spans="1:6" x14ac:dyDescent="0.25">
      <c r="A85" s="83">
        <v>42306</v>
      </c>
      <c r="B85" s="84">
        <v>10000</v>
      </c>
      <c r="C85" s="84">
        <v>11000</v>
      </c>
      <c r="D85" s="86">
        <f t="shared" si="1"/>
        <v>1000</v>
      </c>
      <c r="E85" s="85" t="s">
        <v>185</v>
      </c>
      <c r="F85" s="85" t="s">
        <v>208</v>
      </c>
    </row>
    <row r="86" spans="1:6" x14ac:dyDescent="0.25">
      <c r="A86" s="83">
        <v>42307</v>
      </c>
      <c r="B86" s="84">
        <v>8000</v>
      </c>
      <c r="C86" s="84">
        <v>10000</v>
      </c>
      <c r="D86" s="86">
        <f t="shared" si="1"/>
        <v>2000</v>
      </c>
      <c r="E86" s="85" t="s">
        <v>185</v>
      </c>
      <c r="F86" s="85" t="s">
        <v>208</v>
      </c>
    </row>
    <row r="87" spans="1:6" x14ac:dyDescent="0.25">
      <c r="A87" s="83">
        <v>42308</v>
      </c>
      <c r="B87" s="84">
        <v>7000</v>
      </c>
      <c r="C87" s="84">
        <v>8000</v>
      </c>
      <c r="D87" s="86">
        <f t="shared" si="1"/>
        <v>1000</v>
      </c>
      <c r="E87" s="85" t="s">
        <v>185</v>
      </c>
      <c r="F87" s="85" t="s">
        <v>208</v>
      </c>
    </row>
    <row r="88" spans="1:6" x14ac:dyDescent="0.25">
      <c r="A88" s="83">
        <v>42308</v>
      </c>
      <c r="B88" s="84">
        <v>0</v>
      </c>
      <c r="C88" s="84">
        <v>1000</v>
      </c>
      <c r="D88" s="86">
        <f t="shared" si="1"/>
        <v>1000</v>
      </c>
      <c r="E88" s="85" t="s">
        <v>185</v>
      </c>
      <c r="F88" s="85" t="s">
        <v>208</v>
      </c>
    </row>
    <row r="89" spans="1:6" x14ac:dyDescent="0.25">
      <c r="A89" s="83">
        <v>42310</v>
      </c>
      <c r="B89" s="84">
        <v>6000</v>
      </c>
      <c r="C89" s="84">
        <v>7000</v>
      </c>
      <c r="D89" s="86">
        <f t="shared" si="1"/>
        <v>1000</v>
      </c>
      <c r="E89" s="85" t="s">
        <v>185</v>
      </c>
      <c r="F89" s="85" t="s">
        <v>208</v>
      </c>
    </row>
    <row r="90" spans="1:6" x14ac:dyDescent="0.25">
      <c r="A90" s="83">
        <v>42310</v>
      </c>
      <c r="B90" s="84">
        <v>1000</v>
      </c>
      <c r="C90" s="84">
        <v>2000</v>
      </c>
      <c r="D90" s="86">
        <f t="shared" si="1"/>
        <v>1000</v>
      </c>
      <c r="E90" s="85" t="s">
        <v>185</v>
      </c>
      <c r="F90" s="85" t="s">
        <v>208</v>
      </c>
    </row>
    <row r="91" spans="1:6" x14ac:dyDescent="0.25">
      <c r="A91" s="83">
        <v>42311</v>
      </c>
      <c r="B91" s="84">
        <v>2000</v>
      </c>
      <c r="C91" s="84">
        <v>3000</v>
      </c>
      <c r="D91" s="86">
        <f t="shared" si="1"/>
        <v>1000</v>
      </c>
      <c r="E91" s="85" t="s">
        <v>185</v>
      </c>
      <c r="F91" s="85" t="s">
        <v>208</v>
      </c>
    </row>
    <row r="92" spans="1:6" x14ac:dyDescent="0.25">
      <c r="A92" s="83">
        <v>42312</v>
      </c>
      <c r="B92" s="84">
        <v>3000</v>
      </c>
      <c r="C92" s="84">
        <v>4000</v>
      </c>
      <c r="D92" s="86">
        <f t="shared" si="1"/>
        <v>1000</v>
      </c>
      <c r="E92" s="85" t="s">
        <v>185</v>
      </c>
      <c r="F92" s="85" t="s">
        <v>208</v>
      </c>
    </row>
    <row r="93" spans="1:6" x14ac:dyDescent="0.25">
      <c r="A93" s="83">
        <v>42313</v>
      </c>
      <c r="B93" s="84">
        <v>4000</v>
      </c>
      <c r="C93" s="84">
        <v>5000</v>
      </c>
      <c r="D93" s="86">
        <f t="shared" si="1"/>
        <v>1000</v>
      </c>
      <c r="E93" s="85" t="s">
        <v>185</v>
      </c>
      <c r="F93" s="85" t="s">
        <v>208</v>
      </c>
    </row>
    <row r="94" spans="1:6" x14ac:dyDescent="0.25">
      <c r="A94" s="83">
        <v>42314</v>
      </c>
      <c r="B94" s="84">
        <v>5000</v>
      </c>
      <c r="C94" s="84">
        <v>6000</v>
      </c>
      <c r="D94" s="86">
        <f t="shared" si="1"/>
        <v>1000</v>
      </c>
      <c r="E94" s="85" t="s">
        <v>185</v>
      </c>
      <c r="F94" s="85" t="s">
        <v>208</v>
      </c>
    </row>
    <row r="95" spans="1:6" x14ac:dyDescent="0.25">
      <c r="A95" s="83">
        <v>42300</v>
      </c>
      <c r="B95" s="84">
        <v>23500</v>
      </c>
      <c r="C95" s="84">
        <v>24700</v>
      </c>
      <c r="D95" s="86">
        <f t="shared" si="1"/>
        <v>1200</v>
      </c>
      <c r="E95" s="85" t="s">
        <v>187</v>
      </c>
      <c r="F95" s="85" t="s">
        <v>209</v>
      </c>
    </row>
    <row r="96" spans="1:6" x14ac:dyDescent="0.25">
      <c r="A96" s="83">
        <v>42301</v>
      </c>
      <c r="B96" s="84">
        <v>21900</v>
      </c>
      <c r="C96" s="84">
        <v>23500</v>
      </c>
      <c r="D96" s="86">
        <f t="shared" si="1"/>
        <v>1600</v>
      </c>
      <c r="E96" s="85" t="s">
        <v>187</v>
      </c>
      <c r="F96" s="85" t="s">
        <v>209</v>
      </c>
    </row>
    <row r="97" spans="1:6" x14ac:dyDescent="0.25">
      <c r="A97" s="83">
        <v>42303</v>
      </c>
      <c r="B97" s="84">
        <v>20200</v>
      </c>
      <c r="C97" s="84">
        <v>21900</v>
      </c>
      <c r="D97" s="86">
        <f t="shared" si="1"/>
        <v>1700</v>
      </c>
      <c r="E97" s="85" t="s">
        <v>187</v>
      </c>
      <c r="F97" s="85" t="s">
        <v>209</v>
      </c>
    </row>
    <row r="98" spans="1:6" x14ac:dyDescent="0.25">
      <c r="A98" s="83">
        <v>42304</v>
      </c>
      <c r="B98" s="84">
        <v>18300</v>
      </c>
      <c r="C98" s="84">
        <v>20200</v>
      </c>
      <c r="D98" s="86">
        <f t="shared" si="1"/>
        <v>1900</v>
      </c>
      <c r="E98" s="85" t="s">
        <v>187</v>
      </c>
      <c r="F98" s="85" t="s">
        <v>209</v>
      </c>
    </row>
    <row r="99" spans="1:6" x14ac:dyDescent="0.25">
      <c r="A99" s="83">
        <v>42305</v>
      </c>
      <c r="B99" s="84">
        <v>15700</v>
      </c>
      <c r="C99" s="84">
        <v>18300</v>
      </c>
      <c r="D99" s="86">
        <f t="shared" si="1"/>
        <v>2600</v>
      </c>
      <c r="E99" s="85" t="s">
        <v>187</v>
      </c>
      <c r="F99" s="85" t="s">
        <v>209</v>
      </c>
    </row>
    <row r="100" spans="1:6" x14ac:dyDescent="0.25">
      <c r="A100" s="83">
        <v>42306</v>
      </c>
      <c r="B100" s="84">
        <v>15500</v>
      </c>
      <c r="C100" s="84">
        <v>15700</v>
      </c>
      <c r="D100" s="86">
        <f t="shared" si="1"/>
        <v>200</v>
      </c>
      <c r="E100" s="85" t="s">
        <v>187</v>
      </c>
      <c r="F100" s="85" t="s">
        <v>209</v>
      </c>
    </row>
    <row r="101" spans="1:6" x14ac:dyDescent="0.25">
      <c r="A101" s="83">
        <v>42307</v>
      </c>
      <c r="B101" s="84">
        <v>13900</v>
      </c>
      <c r="C101" s="84">
        <v>15500</v>
      </c>
      <c r="D101" s="86">
        <f t="shared" si="1"/>
        <v>1600</v>
      </c>
      <c r="E101" s="85" t="s">
        <v>187</v>
      </c>
      <c r="F101" s="85" t="s">
        <v>209</v>
      </c>
    </row>
    <row r="102" spans="1:6" x14ac:dyDescent="0.25">
      <c r="A102" s="83">
        <v>42308</v>
      </c>
      <c r="B102" s="84">
        <v>12400</v>
      </c>
      <c r="C102" s="84">
        <v>13900</v>
      </c>
      <c r="D102" s="86">
        <f t="shared" si="1"/>
        <v>1500</v>
      </c>
      <c r="E102" s="85" t="s">
        <v>187</v>
      </c>
      <c r="F102" s="85" t="s">
        <v>209</v>
      </c>
    </row>
    <row r="103" spans="1:6" x14ac:dyDescent="0.25">
      <c r="A103" s="83">
        <v>42310</v>
      </c>
      <c r="B103" s="84">
        <v>10800</v>
      </c>
      <c r="C103" s="84">
        <v>12400</v>
      </c>
      <c r="D103" s="86">
        <f t="shared" si="1"/>
        <v>1600</v>
      </c>
      <c r="E103" s="85" t="s">
        <v>187</v>
      </c>
      <c r="F103" s="85" t="s">
        <v>209</v>
      </c>
    </row>
    <row r="104" spans="1:6" x14ac:dyDescent="0.25">
      <c r="A104" s="83">
        <v>42311</v>
      </c>
      <c r="B104" s="84">
        <v>8800</v>
      </c>
      <c r="C104" s="84">
        <v>10800</v>
      </c>
      <c r="D104" s="86">
        <f t="shared" si="1"/>
        <v>2000</v>
      </c>
      <c r="E104" s="85" t="s">
        <v>187</v>
      </c>
      <c r="F104" s="85" t="s">
        <v>209</v>
      </c>
    </row>
    <row r="105" spans="1:6" x14ac:dyDescent="0.25">
      <c r="A105" s="83">
        <v>42312</v>
      </c>
      <c r="B105" s="84">
        <v>7600</v>
      </c>
      <c r="C105" s="84">
        <v>8000</v>
      </c>
      <c r="D105" s="86">
        <f t="shared" si="1"/>
        <v>400</v>
      </c>
      <c r="E105" s="85" t="s">
        <v>187</v>
      </c>
      <c r="F105" s="85" t="s">
        <v>209</v>
      </c>
    </row>
    <row r="106" spans="1:6" x14ac:dyDescent="0.25">
      <c r="A106" s="83">
        <v>42313</v>
      </c>
      <c r="B106" s="84">
        <v>8000</v>
      </c>
      <c r="C106" s="84">
        <v>8800</v>
      </c>
      <c r="D106" s="86">
        <f t="shared" si="1"/>
        <v>800</v>
      </c>
      <c r="E106" s="85" t="s">
        <v>187</v>
      </c>
      <c r="F106" s="85" t="s">
        <v>209</v>
      </c>
    </row>
    <row r="107" spans="1:6" x14ac:dyDescent="0.25">
      <c r="A107" s="83">
        <v>42313</v>
      </c>
      <c r="B107" s="84">
        <v>7500</v>
      </c>
      <c r="C107" s="84">
        <v>7600</v>
      </c>
      <c r="D107" s="86">
        <f t="shared" si="1"/>
        <v>100</v>
      </c>
      <c r="E107" s="85" t="s">
        <v>187</v>
      </c>
      <c r="F107" s="85" t="s">
        <v>209</v>
      </c>
    </row>
    <row r="108" spans="1:6" x14ac:dyDescent="0.25">
      <c r="A108" s="83">
        <v>42314</v>
      </c>
      <c r="B108" s="84">
        <v>0</v>
      </c>
      <c r="C108" s="84">
        <v>2300</v>
      </c>
      <c r="D108" s="86">
        <f t="shared" si="1"/>
        <v>2300</v>
      </c>
      <c r="E108" s="85" t="s">
        <v>187</v>
      </c>
      <c r="F108" s="85" t="s">
        <v>209</v>
      </c>
    </row>
    <row r="109" spans="1:6" x14ac:dyDescent="0.25">
      <c r="A109" s="83">
        <v>42317</v>
      </c>
      <c r="B109" s="84">
        <v>2300</v>
      </c>
      <c r="C109" s="84">
        <v>3200</v>
      </c>
      <c r="D109" s="86">
        <f t="shared" si="1"/>
        <v>900</v>
      </c>
      <c r="E109" s="85" t="s">
        <v>187</v>
      </c>
      <c r="F109" s="85" t="s">
        <v>209</v>
      </c>
    </row>
    <row r="110" spans="1:6" x14ac:dyDescent="0.25">
      <c r="A110" s="83">
        <v>42318</v>
      </c>
      <c r="B110" s="84">
        <v>3200</v>
      </c>
      <c r="C110" s="84">
        <v>4700</v>
      </c>
      <c r="D110" s="86">
        <f t="shared" si="1"/>
        <v>1500</v>
      </c>
      <c r="E110" s="85" t="s">
        <v>187</v>
      </c>
      <c r="F110" s="85" t="s">
        <v>209</v>
      </c>
    </row>
    <row r="111" spans="1:6" x14ac:dyDescent="0.25">
      <c r="A111" s="83">
        <v>42319</v>
      </c>
      <c r="B111" s="84">
        <v>5200</v>
      </c>
      <c r="C111" s="84">
        <v>7500</v>
      </c>
      <c r="D111" s="86">
        <f t="shared" si="1"/>
        <v>2300</v>
      </c>
      <c r="E111" s="85" t="s">
        <v>187</v>
      </c>
      <c r="F111" s="85" t="s">
        <v>209</v>
      </c>
    </row>
    <row r="112" spans="1:6" x14ac:dyDescent="0.25">
      <c r="A112" s="83">
        <v>42320</v>
      </c>
      <c r="B112" s="84">
        <v>4700</v>
      </c>
      <c r="C112" s="84">
        <v>5200</v>
      </c>
      <c r="D112" s="86">
        <f t="shared" si="1"/>
        <v>500</v>
      </c>
      <c r="E112" s="85" t="s">
        <v>187</v>
      </c>
      <c r="F112" s="85" t="s">
        <v>209</v>
      </c>
    </row>
    <row r="113" spans="1:6" x14ac:dyDescent="0.25">
      <c r="A113" s="83">
        <v>42303</v>
      </c>
      <c r="B113" s="84">
        <v>23700</v>
      </c>
      <c r="C113" s="84">
        <v>24700</v>
      </c>
      <c r="D113" s="86">
        <f t="shared" si="1"/>
        <v>1000</v>
      </c>
      <c r="E113" s="85" t="s">
        <v>196</v>
      </c>
      <c r="F113" s="85" t="s">
        <v>210</v>
      </c>
    </row>
    <row r="114" spans="1:6" x14ac:dyDescent="0.25">
      <c r="A114" s="83">
        <v>42304</v>
      </c>
      <c r="B114" s="84">
        <v>19800</v>
      </c>
      <c r="C114" s="84">
        <v>23700</v>
      </c>
      <c r="D114" s="86">
        <f t="shared" si="1"/>
        <v>3900</v>
      </c>
      <c r="E114" s="85" t="s">
        <v>196</v>
      </c>
      <c r="F114" s="85" t="s">
        <v>210</v>
      </c>
    </row>
    <row r="115" spans="1:6" x14ac:dyDescent="0.25">
      <c r="A115" s="83">
        <v>42305</v>
      </c>
      <c r="B115" s="84">
        <v>16600</v>
      </c>
      <c r="C115" s="84">
        <v>19800</v>
      </c>
      <c r="D115" s="86">
        <f t="shared" si="1"/>
        <v>3200</v>
      </c>
      <c r="E115" s="85" t="s">
        <v>196</v>
      </c>
      <c r="F115" s="85" t="s">
        <v>210</v>
      </c>
    </row>
    <row r="116" spans="1:6" x14ac:dyDescent="0.25">
      <c r="A116" s="83">
        <v>42306</v>
      </c>
      <c r="B116" s="84">
        <v>15700</v>
      </c>
      <c r="C116" s="84">
        <v>16600</v>
      </c>
      <c r="D116" s="86">
        <f t="shared" si="1"/>
        <v>900</v>
      </c>
      <c r="E116" s="85" t="s">
        <v>196</v>
      </c>
      <c r="F116" s="85" t="s">
        <v>210</v>
      </c>
    </row>
    <row r="117" spans="1:6" x14ac:dyDescent="0.25">
      <c r="A117" s="83">
        <v>42307</v>
      </c>
      <c r="B117" s="84">
        <v>15400</v>
      </c>
      <c r="C117" s="84">
        <v>15700</v>
      </c>
      <c r="D117" s="86">
        <f t="shared" si="1"/>
        <v>300</v>
      </c>
      <c r="E117" s="85" t="s">
        <v>196</v>
      </c>
      <c r="F117" s="85" t="s">
        <v>210</v>
      </c>
    </row>
    <row r="118" spans="1:6" x14ac:dyDescent="0.25">
      <c r="A118" s="83">
        <v>42308</v>
      </c>
      <c r="B118" s="84">
        <v>14300</v>
      </c>
      <c r="C118" s="84">
        <v>15400</v>
      </c>
      <c r="D118" s="86">
        <f t="shared" si="1"/>
        <v>1100</v>
      </c>
      <c r="E118" s="85" t="s">
        <v>196</v>
      </c>
      <c r="F118" s="85" t="s">
        <v>210</v>
      </c>
    </row>
    <row r="119" spans="1:6" x14ac:dyDescent="0.25">
      <c r="A119" s="83">
        <v>42310</v>
      </c>
      <c r="B119" s="84">
        <v>13800</v>
      </c>
      <c r="C119" s="84">
        <v>14300</v>
      </c>
      <c r="D119" s="86">
        <f t="shared" si="1"/>
        <v>500</v>
      </c>
      <c r="E119" s="85" t="s">
        <v>196</v>
      </c>
      <c r="F119" s="85" t="s">
        <v>210</v>
      </c>
    </row>
    <row r="120" spans="1:6" x14ac:dyDescent="0.25">
      <c r="A120" s="83">
        <v>42311</v>
      </c>
      <c r="B120" s="84">
        <v>12600</v>
      </c>
      <c r="C120" s="84">
        <v>13800</v>
      </c>
      <c r="D120" s="86">
        <f t="shared" si="1"/>
        <v>1200</v>
      </c>
      <c r="E120" s="85" t="s">
        <v>196</v>
      </c>
      <c r="F120" s="85" t="s">
        <v>210</v>
      </c>
    </row>
    <row r="121" spans="1:6" x14ac:dyDescent="0.25">
      <c r="A121" s="83">
        <v>42312</v>
      </c>
      <c r="B121" s="84">
        <v>11800</v>
      </c>
      <c r="C121" s="84">
        <v>12600</v>
      </c>
      <c r="D121" s="86">
        <f t="shared" si="1"/>
        <v>800</v>
      </c>
      <c r="E121" s="85" t="s">
        <v>196</v>
      </c>
      <c r="F121" s="85" t="s">
        <v>210</v>
      </c>
    </row>
    <row r="122" spans="1:6" x14ac:dyDescent="0.25">
      <c r="A122" s="83">
        <v>42313</v>
      </c>
      <c r="B122" s="84">
        <v>11300</v>
      </c>
      <c r="C122" s="84">
        <v>11800</v>
      </c>
      <c r="D122" s="86">
        <f t="shared" si="1"/>
        <v>500</v>
      </c>
      <c r="E122" s="85" t="s">
        <v>196</v>
      </c>
      <c r="F122" s="85" t="s">
        <v>210</v>
      </c>
    </row>
    <row r="123" spans="1:6" x14ac:dyDescent="0.25">
      <c r="A123" s="83">
        <v>42314</v>
      </c>
      <c r="B123" s="84">
        <v>10400</v>
      </c>
      <c r="C123" s="84">
        <v>11300</v>
      </c>
      <c r="D123" s="86">
        <f t="shared" si="1"/>
        <v>900</v>
      </c>
      <c r="E123" s="85" t="s">
        <v>196</v>
      </c>
      <c r="F123" s="85" t="s">
        <v>210</v>
      </c>
    </row>
    <row r="124" spans="1:6" x14ac:dyDescent="0.25">
      <c r="A124" s="83">
        <v>42315</v>
      </c>
      <c r="B124" s="84">
        <v>8900</v>
      </c>
      <c r="C124" s="84">
        <v>10400</v>
      </c>
      <c r="D124" s="86">
        <f t="shared" si="1"/>
        <v>1500</v>
      </c>
      <c r="E124" s="85" t="s">
        <v>196</v>
      </c>
      <c r="F124" s="85" t="s">
        <v>210</v>
      </c>
    </row>
    <row r="125" spans="1:6" x14ac:dyDescent="0.25">
      <c r="A125" s="83">
        <v>42316</v>
      </c>
      <c r="B125" s="84">
        <v>7600</v>
      </c>
      <c r="C125" s="84">
        <v>8900</v>
      </c>
      <c r="D125" s="86">
        <f t="shared" si="1"/>
        <v>1300</v>
      </c>
      <c r="E125" s="85" t="s">
        <v>196</v>
      </c>
      <c r="F125" s="85" t="s">
        <v>210</v>
      </c>
    </row>
    <row r="126" spans="1:6" x14ac:dyDescent="0.25">
      <c r="A126" s="83">
        <v>42317</v>
      </c>
      <c r="B126" s="84">
        <v>0</v>
      </c>
      <c r="C126" s="84">
        <v>1000</v>
      </c>
      <c r="D126" s="86">
        <f t="shared" si="1"/>
        <v>1000</v>
      </c>
      <c r="E126" s="85" t="s">
        <v>196</v>
      </c>
      <c r="F126" s="85" t="s">
        <v>210</v>
      </c>
    </row>
    <row r="127" spans="1:6" x14ac:dyDescent="0.25">
      <c r="A127" s="83">
        <v>42318</v>
      </c>
      <c r="B127" s="84">
        <v>1000</v>
      </c>
      <c r="C127" s="84">
        <v>1900</v>
      </c>
      <c r="D127" s="86">
        <f t="shared" si="1"/>
        <v>900</v>
      </c>
      <c r="E127" s="85" t="s">
        <v>196</v>
      </c>
      <c r="F127" s="85" t="s">
        <v>210</v>
      </c>
    </row>
    <row r="128" spans="1:6" x14ac:dyDescent="0.25">
      <c r="A128" s="83">
        <v>42319</v>
      </c>
      <c r="B128" s="84">
        <v>1900</v>
      </c>
      <c r="C128" s="84">
        <v>3200</v>
      </c>
      <c r="D128" s="86">
        <f t="shared" si="1"/>
        <v>1300</v>
      </c>
      <c r="E128" s="85" t="s">
        <v>196</v>
      </c>
      <c r="F128" s="85" t="s">
        <v>210</v>
      </c>
    </row>
    <row r="129" spans="1:6" x14ac:dyDescent="0.25">
      <c r="A129" s="83">
        <v>42320</v>
      </c>
      <c r="B129" s="84">
        <v>3200</v>
      </c>
      <c r="C129" s="84">
        <v>4200</v>
      </c>
      <c r="D129" s="86">
        <f t="shared" si="1"/>
        <v>1000</v>
      </c>
      <c r="E129" s="85" t="s">
        <v>196</v>
      </c>
      <c r="F129" s="85" t="s">
        <v>210</v>
      </c>
    </row>
    <row r="130" spans="1:6" x14ac:dyDescent="0.25">
      <c r="A130" s="83">
        <v>42321</v>
      </c>
      <c r="B130" s="84">
        <v>4200</v>
      </c>
      <c r="C130" s="84">
        <v>5600</v>
      </c>
      <c r="D130" s="86">
        <f t="shared" si="1"/>
        <v>1400</v>
      </c>
      <c r="E130" s="85" t="s">
        <v>196</v>
      </c>
      <c r="F130" s="85" t="s">
        <v>210</v>
      </c>
    </row>
    <row r="131" spans="1:6" x14ac:dyDescent="0.25">
      <c r="A131" s="83">
        <v>42324</v>
      </c>
      <c r="B131" s="84">
        <v>5600</v>
      </c>
      <c r="C131" s="84">
        <v>6600</v>
      </c>
      <c r="D131" s="86">
        <f t="shared" ref="D131:D194" si="2">C131-B131</f>
        <v>1000</v>
      </c>
      <c r="E131" s="85" t="s">
        <v>196</v>
      </c>
      <c r="F131" s="85" t="s">
        <v>210</v>
      </c>
    </row>
    <row r="132" spans="1:6" x14ac:dyDescent="0.25">
      <c r="A132" s="83">
        <v>42325</v>
      </c>
      <c r="B132" s="84">
        <v>6600</v>
      </c>
      <c r="C132" s="84">
        <v>7600</v>
      </c>
      <c r="D132" s="86">
        <f t="shared" si="2"/>
        <v>1000</v>
      </c>
      <c r="E132" s="85" t="s">
        <v>196</v>
      </c>
      <c r="F132" s="85" t="s">
        <v>210</v>
      </c>
    </row>
    <row r="133" spans="1:6" x14ac:dyDescent="0.25">
      <c r="A133" s="83">
        <v>42306</v>
      </c>
      <c r="B133" s="84">
        <v>24100</v>
      </c>
      <c r="C133" s="84">
        <v>24700</v>
      </c>
      <c r="D133" s="86">
        <f t="shared" si="2"/>
        <v>600</v>
      </c>
      <c r="E133" s="85" t="s">
        <v>197</v>
      </c>
      <c r="F133" s="85" t="s">
        <v>208</v>
      </c>
    </row>
    <row r="134" spans="1:6" x14ac:dyDescent="0.25">
      <c r="A134" s="83">
        <v>42307</v>
      </c>
      <c r="B134" s="84">
        <v>22900</v>
      </c>
      <c r="C134" s="84">
        <v>24100</v>
      </c>
      <c r="D134" s="86">
        <f t="shared" si="2"/>
        <v>1200</v>
      </c>
      <c r="E134" s="85" t="s">
        <v>197</v>
      </c>
      <c r="F134" s="85" t="s">
        <v>208</v>
      </c>
    </row>
    <row r="135" spans="1:6" x14ac:dyDescent="0.25">
      <c r="A135" s="83">
        <v>42310</v>
      </c>
      <c r="B135" s="84">
        <v>21500</v>
      </c>
      <c r="C135" s="84">
        <v>22900</v>
      </c>
      <c r="D135" s="86">
        <f t="shared" si="2"/>
        <v>1400</v>
      </c>
      <c r="E135" s="85" t="s">
        <v>197</v>
      </c>
      <c r="F135" s="85" t="s">
        <v>208</v>
      </c>
    </row>
    <row r="136" spans="1:6" x14ac:dyDescent="0.25">
      <c r="A136" s="83">
        <v>42311</v>
      </c>
      <c r="B136" s="84">
        <v>19900</v>
      </c>
      <c r="C136" s="84">
        <v>21500</v>
      </c>
      <c r="D136" s="86">
        <f t="shared" si="2"/>
        <v>1600</v>
      </c>
      <c r="E136" s="85" t="s">
        <v>197</v>
      </c>
      <c r="F136" s="85" t="s">
        <v>208</v>
      </c>
    </row>
    <row r="137" spans="1:6" x14ac:dyDescent="0.25">
      <c r="A137" s="83">
        <v>42312</v>
      </c>
      <c r="B137" s="84">
        <v>17600</v>
      </c>
      <c r="C137" s="84">
        <v>19900</v>
      </c>
      <c r="D137" s="86">
        <f t="shared" si="2"/>
        <v>2300</v>
      </c>
      <c r="E137" s="85" t="s">
        <v>197</v>
      </c>
      <c r="F137" s="85" t="s">
        <v>208</v>
      </c>
    </row>
    <row r="138" spans="1:6" x14ac:dyDescent="0.25">
      <c r="A138" s="83">
        <v>42313</v>
      </c>
      <c r="B138" s="84">
        <v>15600</v>
      </c>
      <c r="C138" s="84">
        <v>17600</v>
      </c>
      <c r="D138" s="86">
        <f t="shared" si="2"/>
        <v>2000</v>
      </c>
      <c r="E138" s="85" t="s">
        <v>197</v>
      </c>
      <c r="F138" s="85" t="s">
        <v>208</v>
      </c>
    </row>
    <row r="139" spans="1:6" x14ac:dyDescent="0.25">
      <c r="A139" s="83">
        <v>42314</v>
      </c>
      <c r="B139" s="84">
        <v>14700</v>
      </c>
      <c r="C139" s="84">
        <v>15600</v>
      </c>
      <c r="D139" s="86">
        <f t="shared" si="2"/>
        <v>900</v>
      </c>
      <c r="E139" s="85" t="s">
        <v>197</v>
      </c>
      <c r="F139" s="85" t="s">
        <v>208</v>
      </c>
    </row>
    <row r="140" spans="1:6" x14ac:dyDescent="0.25">
      <c r="A140" s="83">
        <v>42315</v>
      </c>
      <c r="B140" s="84">
        <v>13300</v>
      </c>
      <c r="C140" s="84">
        <v>14700</v>
      </c>
      <c r="D140" s="86">
        <f t="shared" si="2"/>
        <v>1400</v>
      </c>
      <c r="E140" s="85" t="s">
        <v>197</v>
      </c>
      <c r="F140" s="85" t="s">
        <v>208</v>
      </c>
    </row>
    <row r="141" spans="1:6" x14ac:dyDescent="0.25">
      <c r="A141" s="83">
        <v>42317</v>
      </c>
      <c r="B141" s="84">
        <v>11700</v>
      </c>
      <c r="C141" s="84">
        <v>13300</v>
      </c>
      <c r="D141" s="86">
        <f t="shared" si="2"/>
        <v>1600</v>
      </c>
      <c r="E141" s="85" t="s">
        <v>197</v>
      </c>
      <c r="F141" s="85" t="s">
        <v>208</v>
      </c>
    </row>
    <row r="142" spans="1:6" x14ac:dyDescent="0.25">
      <c r="A142" s="83">
        <v>42318</v>
      </c>
      <c r="B142" s="84">
        <v>11000</v>
      </c>
      <c r="C142" s="84">
        <v>11700</v>
      </c>
      <c r="D142" s="86">
        <f t="shared" si="2"/>
        <v>700</v>
      </c>
      <c r="E142" s="85" t="s">
        <v>197</v>
      </c>
      <c r="F142" s="85" t="s">
        <v>208</v>
      </c>
    </row>
    <row r="143" spans="1:6" x14ac:dyDescent="0.25">
      <c r="A143" s="83">
        <v>42319</v>
      </c>
      <c r="B143" s="84">
        <v>10100</v>
      </c>
      <c r="C143" s="84">
        <v>11000</v>
      </c>
      <c r="D143" s="86">
        <f t="shared" si="2"/>
        <v>900</v>
      </c>
      <c r="E143" s="85" t="s">
        <v>197</v>
      </c>
      <c r="F143" s="85" t="s">
        <v>208</v>
      </c>
    </row>
    <row r="144" spans="1:6" x14ac:dyDescent="0.25">
      <c r="A144" s="83">
        <v>42320</v>
      </c>
      <c r="B144" s="84">
        <v>9200</v>
      </c>
      <c r="C144" s="84">
        <v>10100</v>
      </c>
      <c r="D144" s="86">
        <f t="shared" si="2"/>
        <v>900</v>
      </c>
      <c r="E144" s="85" t="s">
        <v>197</v>
      </c>
      <c r="F144" s="85" t="s">
        <v>208</v>
      </c>
    </row>
    <row r="145" spans="1:6" x14ac:dyDescent="0.25">
      <c r="A145" s="83">
        <v>42321</v>
      </c>
      <c r="B145" s="84">
        <v>7500</v>
      </c>
      <c r="C145" s="84">
        <v>9200</v>
      </c>
      <c r="D145" s="86">
        <f t="shared" si="2"/>
        <v>1700</v>
      </c>
      <c r="E145" s="85" t="s">
        <v>197</v>
      </c>
      <c r="F145" s="85" t="s">
        <v>208</v>
      </c>
    </row>
    <row r="146" spans="1:6" x14ac:dyDescent="0.25">
      <c r="A146" s="83">
        <v>42322</v>
      </c>
      <c r="B146" s="84">
        <v>0</v>
      </c>
      <c r="C146" s="84">
        <v>1500</v>
      </c>
      <c r="D146" s="86">
        <f t="shared" si="2"/>
        <v>1500</v>
      </c>
      <c r="E146" s="85" t="s">
        <v>197</v>
      </c>
      <c r="F146" s="85" t="s">
        <v>208</v>
      </c>
    </row>
    <row r="147" spans="1:6" x14ac:dyDescent="0.25">
      <c r="A147" s="83">
        <v>42324</v>
      </c>
      <c r="B147" s="84">
        <v>1500</v>
      </c>
      <c r="C147" s="84">
        <v>3400</v>
      </c>
      <c r="D147" s="86">
        <f t="shared" si="2"/>
        <v>1900</v>
      </c>
      <c r="E147" s="85" t="s">
        <v>197</v>
      </c>
      <c r="F147" s="85" t="s">
        <v>208</v>
      </c>
    </row>
    <row r="148" spans="1:6" x14ac:dyDescent="0.25">
      <c r="A148" s="83">
        <v>42325</v>
      </c>
      <c r="B148" s="84">
        <v>3400</v>
      </c>
      <c r="C148" s="84">
        <v>4100</v>
      </c>
      <c r="D148" s="86">
        <f t="shared" si="2"/>
        <v>700</v>
      </c>
      <c r="E148" s="85" t="s">
        <v>197</v>
      </c>
      <c r="F148" s="85" t="s">
        <v>208</v>
      </c>
    </row>
    <row r="149" spans="1:6" x14ac:dyDescent="0.25">
      <c r="A149" s="83">
        <v>42326</v>
      </c>
      <c r="B149" s="84">
        <v>4100</v>
      </c>
      <c r="C149" s="84">
        <v>5300</v>
      </c>
      <c r="D149" s="86">
        <f t="shared" si="2"/>
        <v>1200</v>
      </c>
      <c r="E149" s="85" t="s">
        <v>197</v>
      </c>
      <c r="F149" s="85" t="s">
        <v>208</v>
      </c>
    </row>
    <row r="150" spans="1:6" x14ac:dyDescent="0.25">
      <c r="A150" s="83">
        <v>42327</v>
      </c>
      <c r="B150" s="84">
        <v>5300</v>
      </c>
      <c r="C150" s="84">
        <v>6700</v>
      </c>
      <c r="D150" s="86">
        <f t="shared" si="2"/>
        <v>1400</v>
      </c>
      <c r="E150" s="85" t="s">
        <v>197</v>
      </c>
      <c r="F150" s="85" t="s">
        <v>208</v>
      </c>
    </row>
    <row r="151" spans="1:6" x14ac:dyDescent="0.25">
      <c r="A151" s="83">
        <v>42328</v>
      </c>
      <c r="B151" s="84">
        <v>6900</v>
      </c>
      <c r="C151" s="84">
        <v>7500</v>
      </c>
      <c r="D151" s="86">
        <f t="shared" si="2"/>
        <v>600</v>
      </c>
      <c r="E151" s="85" t="s">
        <v>197</v>
      </c>
      <c r="F151" s="85" t="s">
        <v>208</v>
      </c>
    </row>
    <row r="152" spans="1:6" x14ac:dyDescent="0.25">
      <c r="A152" s="83">
        <v>42329</v>
      </c>
      <c r="B152" s="84">
        <v>6700</v>
      </c>
      <c r="C152" s="84">
        <v>6900</v>
      </c>
      <c r="D152" s="86">
        <f t="shared" si="2"/>
        <v>200</v>
      </c>
      <c r="E152" s="85" t="s">
        <v>197</v>
      </c>
      <c r="F152" s="85" t="s">
        <v>208</v>
      </c>
    </row>
    <row r="153" spans="1:6" x14ac:dyDescent="0.25">
      <c r="A153" s="83">
        <v>42311</v>
      </c>
      <c r="B153" s="84">
        <v>24100</v>
      </c>
      <c r="C153" s="84">
        <v>24700</v>
      </c>
      <c r="D153" s="86">
        <f t="shared" si="2"/>
        <v>600</v>
      </c>
      <c r="E153" s="85" t="s">
        <v>13</v>
      </c>
      <c r="F153" s="85" t="s">
        <v>180</v>
      </c>
    </row>
    <row r="154" spans="1:6" x14ac:dyDescent="0.25">
      <c r="A154" s="83">
        <v>42312</v>
      </c>
      <c r="B154" s="84">
        <v>22900</v>
      </c>
      <c r="C154" s="84">
        <v>24100</v>
      </c>
      <c r="D154" s="86">
        <f t="shared" si="2"/>
        <v>1200</v>
      </c>
      <c r="E154" s="85" t="s">
        <v>13</v>
      </c>
      <c r="F154" s="85" t="s">
        <v>180</v>
      </c>
    </row>
    <row r="155" spans="1:6" x14ac:dyDescent="0.25">
      <c r="A155" s="83">
        <v>42313</v>
      </c>
      <c r="B155" s="84">
        <v>21700</v>
      </c>
      <c r="C155" s="84">
        <v>22900</v>
      </c>
      <c r="D155" s="86">
        <f t="shared" si="2"/>
        <v>1200</v>
      </c>
      <c r="E155" s="85" t="s">
        <v>13</v>
      </c>
      <c r="F155" s="85" t="s">
        <v>180</v>
      </c>
    </row>
    <row r="156" spans="1:6" x14ac:dyDescent="0.25">
      <c r="A156" s="83">
        <v>42314</v>
      </c>
      <c r="B156" s="84">
        <v>21000</v>
      </c>
      <c r="C156" s="84">
        <v>21700</v>
      </c>
      <c r="D156" s="86">
        <f t="shared" si="2"/>
        <v>700</v>
      </c>
      <c r="E156" s="85" t="s">
        <v>13</v>
      </c>
      <c r="F156" s="85" t="s">
        <v>180</v>
      </c>
    </row>
    <row r="157" spans="1:6" x14ac:dyDescent="0.25">
      <c r="A157" s="83">
        <v>42315</v>
      </c>
      <c r="B157" s="84">
        <v>20000</v>
      </c>
      <c r="C157" s="84">
        <v>21000</v>
      </c>
      <c r="D157" s="86">
        <f t="shared" si="2"/>
        <v>1000</v>
      </c>
      <c r="E157" s="85" t="s">
        <v>13</v>
      </c>
      <c r="F157" s="85" t="s">
        <v>180</v>
      </c>
    </row>
    <row r="158" spans="1:6" x14ac:dyDescent="0.25">
      <c r="A158" s="83">
        <v>42316</v>
      </c>
      <c r="B158" s="84">
        <v>19000</v>
      </c>
      <c r="C158" s="84">
        <v>20000</v>
      </c>
      <c r="D158" s="86">
        <f t="shared" si="2"/>
        <v>1000</v>
      </c>
      <c r="E158" s="85" t="s">
        <v>13</v>
      </c>
      <c r="F158" s="85" t="s">
        <v>180</v>
      </c>
    </row>
    <row r="159" spans="1:6" x14ac:dyDescent="0.25">
      <c r="A159" s="83">
        <v>42317</v>
      </c>
      <c r="B159" s="84">
        <v>17300</v>
      </c>
      <c r="C159" s="84">
        <v>19000</v>
      </c>
      <c r="D159" s="86">
        <f t="shared" si="2"/>
        <v>1700</v>
      </c>
      <c r="E159" s="85" t="s">
        <v>13</v>
      </c>
      <c r="F159" s="85" t="s">
        <v>180</v>
      </c>
    </row>
    <row r="160" spans="1:6" x14ac:dyDescent="0.25">
      <c r="A160" s="83">
        <v>42318</v>
      </c>
      <c r="B160" s="84">
        <v>16000</v>
      </c>
      <c r="C160" s="84">
        <v>17300</v>
      </c>
      <c r="D160" s="86">
        <f t="shared" si="2"/>
        <v>1300</v>
      </c>
      <c r="E160" s="85" t="s">
        <v>13</v>
      </c>
      <c r="F160" s="85" t="s">
        <v>180</v>
      </c>
    </row>
    <row r="161" spans="1:6" x14ac:dyDescent="0.25">
      <c r="A161" s="83">
        <v>42319</v>
      </c>
      <c r="B161" s="84">
        <v>15400</v>
      </c>
      <c r="C161" s="84">
        <v>16000</v>
      </c>
      <c r="D161" s="86">
        <f t="shared" si="2"/>
        <v>600</v>
      </c>
      <c r="E161" s="85" t="s">
        <v>13</v>
      </c>
      <c r="F161" s="85" t="s">
        <v>180</v>
      </c>
    </row>
    <row r="162" spans="1:6" x14ac:dyDescent="0.25">
      <c r="A162" s="83">
        <v>42320</v>
      </c>
      <c r="B162" s="84">
        <v>14000</v>
      </c>
      <c r="C162" s="84">
        <v>15400</v>
      </c>
      <c r="D162" s="86">
        <f t="shared" si="2"/>
        <v>1400</v>
      </c>
      <c r="E162" s="85" t="s">
        <v>13</v>
      </c>
      <c r="F162" s="85" t="s">
        <v>180</v>
      </c>
    </row>
    <row r="163" spans="1:6" x14ac:dyDescent="0.25">
      <c r="A163" s="83">
        <v>42321</v>
      </c>
      <c r="B163" s="84">
        <v>13500</v>
      </c>
      <c r="C163" s="84">
        <v>14000</v>
      </c>
      <c r="D163" s="86">
        <f t="shared" si="2"/>
        <v>500</v>
      </c>
      <c r="E163" s="85" t="s">
        <v>13</v>
      </c>
      <c r="F163" s="85" t="s">
        <v>180</v>
      </c>
    </row>
    <row r="164" spans="1:6" x14ac:dyDescent="0.25">
      <c r="A164" s="83">
        <v>42322</v>
      </c>
      <c r="B164" s="84">
        <v>12500</v>
      </c>
      <c r="C164" s="84">
        <v>13500</v>
      </c>
      <c r="D164" s="86">
        <f t="shared" si="2"/>
        <v>1000</v>
      </c>
      <c r="E164" s="85" t="s">
        <v>13</v>
      </c>
      <c r="F164" s="85" t="s">
        <v>180</v>
      </c>
    </row>
    <row r="165" spans="1:6" x14ac:dyDescent="0.25">
      <c r="A165" s="83">
        <v>42324</v>
      </c>
      <c r="B165" s="84">
        <v>10500</v>
      </c>
      <c r="C165" s="84">
        <v>12500</v>
      </c>
      <c r="D165" s="86">
        <f t="shared" si="2"/>
        <v>2000</v>
      </c>
      <c r="E165" s="85" t="s">
        <v>13</v>
      </c>
      <c r="F165" s="85" t="s">
        <v>180</v>
      </c>
    </row>
    <row r="166" spans="1:6" x14ac:dyDescent="0.25">
      <c r="A166" s="83">
        <v>42325</v>
      </c>
      <c r="B166" s="84">
        <v>9000</v>
      </c>
      <c r="C166" s="84">
        <v>10500</v>
      </c>
      <c r="D166" s="86">
        <f t="shared" si="2"/>
        <v>1500</v>
      </c>
      <c r="E166" s="85" t="s">
        <v>13</v>
      </c>
      <c r="F166" s="85" t="s">
        <v>180</v>
      </c>
    </row>
    <row r="167" spans="1:6" x14ac:dyDescent="0.25">
      <c r="A167" s="83">
        <v>42326</v>
      </c>
      <c r="B167" s="84">
        <v>7800</v>
      </c>
      <c r="C167" s="84">
        <v>9000</v>
      </c>
      <c r="D167" s="86">
        <f t="shared" si="2"/>
        <v>1200</v>
      </c>
      <c r="E167" s="85" t="s">
        <v>13</v>
      </c>
      <c r="F167" s="85" t="s">
        <v>180</v>
      </c>
    </row>
    <row r="168" spans="1:6" x14ac:dyDescent="0.25">
      <c r="A168" s="83">
        <v>42327</v>
      </c>
      <c r="B168" s="84">
        <v>6800</v>
      </c>
      <c r="C168" s="84">
        <v>7800</v>
      </c>
      <c r="D168" s="86">
        <f t="shared" si="2"/>
        <v>1000</v>
      </c>
      <c r="E168" s="85" t="s">
        <v>13</v>
      </c>
      <c r="F168" s="85" t="s">
        <v>180</v>
      </c>
    </row>
    <row r="169" spans="1:6" x14ac:dyDescent="0.25">
      <c r="A169" s="83">
        <v>42328</v>
      </c>
      <c r="B169" s="84">
        <v>4800</v>
      </c>
      <c r="C169" s="84">
        <v>6800</v>
      </c>
      <c r="D169" s="86">
        <f t="shared" si="2"/>
        <v>2000</v>
      </c>
      <c r="E169" s="85" t="s">
        <v>13</v>
      </c>
      <c r="F169" s="85" t="s">
        <v>180</v>
      </c>
    </row>
    <row r="170" spans="1:6" x14ac:dyDescent="0.25">
      <c r="A170" s="83">
        <v>42329</v>
      </c>
      <c r="B170" s="84">
        <v>3800</v>
      </c>
      <c r="C170" s="84">
        <v>4800</v>
      </c>
      <c r="D170" s="86">
        <f t="shared" si="2"/>
        <v>1000</v>
      </c>
      <c r="E170" s="85" t="s">
        <v>13</v>
      </c>
      <c r="F170" s="85" t="s">
        <v>180</v>
      </c>
    </row>
    <row r="171" spans="1:6" x14ac:dyDescent="0.25">
      <c r="A171" s="83">
        <v>42331</v>
      </c>
      <c r="B171" s="84">
        <v>3000</v>
      </c>
      <c r="C171" s="84">
        <v>3800</v>
      </c>
      <c r="D171" s="86">
        <f t="shared" si="2"/>
        <v>800</v>
      </c>
      <c r="E171" s="85" t="s">
        <v>13</v>
      </c>
      <c r="F171" s="85" t="s">
        <v>180</v>
      </c>
    </row>
    <row r="172" spans="1:6" x14ac:dyDescent="0.25">
      <c r="A172" s="83">
        <v>42332</v>
      </c>
      <c r="B172" s="84">
        <v>2000</v>
      </c>
      <c r="C172" s="84">
        <v>3000</v>
      </c>
      <c r="D172" s="86">
        <f t="shared" si="2"/>
        <v>1000</v>
      </c>
      <c r="E172" s="85" t="s">
        <v>13</v>
      </c>
      <c r="F172" s="85" t="s">
        <v>180</v>
      </c>
    </row>
    <row r="173" spans="1:6" x14ac:dyDescent="0.25">
      <c r="A173" s="83">
        <v>42333</v>
      </c>
      <c r="B173" s="84">
        <v>1000</v>
      </c>
      <c r="C173" s="84">
        <v>2000</v>
      </c>
      <c r="D173" s="86">
        <f t="shared" si="2"/>
        <v>1000</v>
      </c>
      <c r="E173" s="85" t="s">
        <v>13</v>
      </c>
      <c r="F173" s="85" t="s">
        <v>180</v>
      </c>
    </row>
    <row r="174" spans="1:6" x14ac:dyDescent="0.25">
      <c r="A174" s="83">
        <v>42334</v>
      </c>
      <c r="B174" s="84">
        <v>0</v>
      </c>
      <c r="C174" s="84">
        <v>1000</v>
      </c>
      <c r="D174" s="86">
        <f t="shared" si="2"/>
        <v>1000</v>
      </c>
      <c r="E174" s="85" t="s">
        <v>13</v>
      </c>
      <c r="F174" s="85" t="s">
        <v>180</v>
      </c>
    </row>
    <row r="175" spans="1:6" x14ac:dyDescent="0.25">
      <c r="A175" s="83">
        <v>42314</v>
      </c>
      <c r="B175" s="84">
        <v>24200</v>
      </c>
      <c r="C175" s="84">
        <v>24700</v>
      </c>
      <c r="D175" s="86">
        <f t="shared" si="2"/>
        <v>500</v>
      </c>
      <c r="E175" s="85" t="s">
        <v>8</v>
      </c>
      <c r="F175" s="85" t="s">
        <v>180</v>
      </c>
    </row>
    <row r="176" spans="1:6" x14ac:dyDescent="0.25">
      <c r="A176" s="83">
        <v>42315</v>
      </c>
      <c r="B176" s="84">
        <v>23000</v>
      </c>
      <c r="C176" s="84">
        <v>24200</v>
      </c>
      <c r="D176" s="86">
        <f t="shared" si="2"/>
        <v>1200</v>
      </c>
      <c r="E176" s="85" t="s">
        <v>8</v>
      </c>
      <c r="F176" s="85" t="s">
        <v>180</v>
      </c>
    </row>
    <row r="177" spans="1:6" x14ac:dyDescent="0.25">
      <c r="A177" s="83">
        <v>42317</v>
      </c>
      <c r="B177" s="84">
        <v>22300</v>
      </c>
      <c r="C177" s="84">
        <v>23000</v>
      </c>
      <c r="D177" s="86">
        <f t="shared" si="2"/>
        <v>700</v>
      </c>
      <c r="E177" s="85" t="s">
        <v>8</v>
      </c>
      <c r="F177" s="85" t="s">
        <v>180</v>
      </c>
    </row>
    <row r="178" spans="1:6" x14ac:dyDescent="0.25">
      <c r="A178" s="83">
        <v>42318</v>
      </c>
      <c r="B178" s="84">
        <v>21500</v>
      </c>
      <c r="C178" s="84">
        <v>22300</v>
      </c>
      <c r="D178" s="86">
        <f t="shared" si="2"/>
        <v>800</v>
      </c>
      <c r="E178" s="85" t="s">
        <v>8</v>
      </c>
      <c r="F178" s="85" t="s">
        <v>180</v>
      </c>
    </row>
    <row r="179" spans="1:6" x14ac:dyDescent="0.25">
      <c r="A179" s="83">
        <v>42318</v>
      </c>
      <c r="B179" s="84">
        <v>20200</v>
      </c>
      <c r="C179" s="84">
        <v>21500</v>
      </c>
      <c r="D179" s="86">
        <f t="shared" si="2"/>
        <v>1300</v>
      </c>
      <c r="E179" s="85" t="s">
        <v>8</v>
      </c>
      <c r="F179" s="85" t="s">
        <v>180</v>
      </c>
    </row>
    <row r="180" spans="1:6" x14ac:dyDescent="0.25">
      <c r="A180" s="83">
        <v>42319</v>
      </c>
      <c r="B180" s="84">
        <v>19200</v>
      </c>
      <c r="C180" s="84">
        <v>20200</v>
      </c>
      <c r="D180" s="86">
        <f t="shared" si="2"/>
        <v>1000</v>
      </c>
      <c r="E180" s="85" t="s">
        <v>8</v>
      </c>
      <c r="F180" s="85" t="s">
        <v>180</v>
      </c>
    </row>
    <row r="181" spans="1:6" x14ac:dyDescent="0.25">
      <c r="A181" s="83">
        <v>42320</v>
      </c>
      <c r="B181" s="84">
        <v>18200</v>
      </c>
      <c r="C181" s="84">
        <v>19200</v>
      </c>
      <c r="D181" s="86">
        <f t="shared" si="2"/>
        <v>1000</v>
      </c>
      <c r="E181" s="85" t="s">
        <v>8</v>
      </c>
      <c r="F181" s="85" t="s">
        <v>180</v>
      </c>
    </row>
    <row r="182" spans="1:6" x14ac:dyDescent="0.25">
      <c r="A182" s="83">
        <v>42321</v>
      </c>
      <c r="B182" s="84">
        <v>17500</v>
      </c>
      <c r="C182" s="84">
        <v>18200</v>
      </c>
      <c r="D182" s="86">
        <f t="shared" si="2"/>
        <v>700</v>
      </c>
      <c r="E182" s="85" t="s">
        <v>8</v>
      </c>
      <c r="F182" s="85" t="s">
        <v>180</v>
      </c>
    </row>
    <row r="183" spans="1:6" x14ac:dyDescent="0.25">
      <c r="A183" s="83">
        <v>42322</v>
      </c>
      <c r="B183" s="84">
        <v>17100</v>
      </c>
      <c r="C183" s="84">
        <v>17500</v>
      </c>
      <c r="D183" s="86">
        <f t="shared" si="2"/>
        <v>400</v>
      </c>
      <c r="E183" s="85" t="s">
        <v>8</v>
      </c>
      <c r="F183" s="85" t="s">
        <v>180</v>
      </c>
    </row>
    <row r="184" spans="1:6" x14ac:dyDescent="0.25">
      <c r="A184" s="83">
        <v>42324</v>
      </c>
      <c r="B184" s="84">
        <v>15400</v>
      </c>
      <c r="C184" s="84">
        <v>17100</v>
      </c>
      <c r="D184" s="86">
        <f t="shared" si="2"/>
        <v>1700</v>
      </c>
      <c r="E184" s="85" t="s">
        <v>8</v>
      </c>
      <c r="F184" s="85" t="s">
        <v>180</v>
      </c>
    </row>
    <row r="185" spans="1:6" x14ac:dyDescent="0.25">
      <c r="A185" s="83">
        <v>42325</v>
      </c>
      <c r="B185" s="84">
        <v>14500</v>
      </c>
      <c r="C185" s="84">
        <v>15400</v>
      </c>
      <c r="D185" s="86">
        <f t="shared" si="2"/>
        <v>900</v>
      </c>
      <c r="E185" s="85" t="s">
        <v>8</v>
      </c>
      <c r="F185" s="85" t="s">
        <v>180</v>
      </c>
    </row>
    <row r="186" spans="1:6" x14ac:dyDescent="0.25">
      <c r="A186" s="83">
        <v>42326</v>
      </c>
      <c r="B186" s="84">
        <v>14000</v>
      </c>
      <c r="C186" s="84">
        <v>14500</v>
      </c>
      <c r="D186" s="86">
        <f t="shared" si="2"/>
        <v>500</v>
      </c>
      <c r="E186" s="85" t="s">
        <v>8</v>
      </c>
      <c r="F186" s="85" t="s">
        <v>180</v>
      </c>
    </row>
    <row r="187" spans="1:6" x14ac:dyDescent="0.25">
      <c r="A187" s="83">
        <v>42327</v>
      </c>
      <c r="B187" s="84">
        <v>13000</v>
      </c>
      <c r="C187" s="84">
        <v>14000</v>
      </c>
      <c r="D187" s="86">
        <f t="shared" si="2"/>
        <v>1000</v>
      </c>
      <c r="E187" s="85" t="s">
        <v>8</v>
      </c>
      <c r="F187" s="85" t="s">
        <v>180</v>
      </c>
    </row>
    <row r="188" spans="1:6" x14ac:dyDescent="0.25">
      <c r="A188" s="83">
        <v>42328</v>
      </c>
      <c r="B188" s="84">
        <v>12000</v>
      </c>
      <c r="C188" s="84">
        <v>13000</v>
      </c>
      <c r="D188" s="86">
        <f t="shared" si="2"/>
        <v>1000</v>
      </c>
      <c r="E188" s="85" t="s">
        <v>8</v>
      </c>
      <c r="F188" s="85" t="s">
        <v>180</v>
      </c>
    </row>
    <row r="189" spans="1:6" x14ac:dyDescent="0.25">
      <c r="A189" s="83">
        <v>42329</v>
      </c>
      <c r="B189" s="84">
        <v>11500</v>
      </c>
      <c r="C189" s="84">
        <v>12000</v>
      </c>
      <c r="D189" s="86">
        <f t="shared" si="2"/>
        <v>500</v>
      </c>
      <c r="E189" s="85" t="s">
        <v>8</v>
      </c>
      <c r="F189" s="85" t="s">
        <v>180</v>
      </c>
    </row>
    <row r="190" spans="1:6" x14ac:dyDescent="0.25">
      <c r="A190" s="83">
        <v>42331</v>
      </c>
      <c r="B190" s="84">
        <v>9500</v>
      </c>
      <c r="C190" s="84">
        <v>11500</v>
      </c>
      <c r="D190" s="86">
        <f t="shared" si="2"/>
        <v>2000</v>
      </c>
      <c r="E190" s="85" t="s">
        <v>8</v>
      </c>
      <c r="F190" s="85" t="s">
        <v>180</v>
      </c>
    </row>
    <row r="191" spans="1:6" x14ac:dyDescent="0.25">
      <c r="A191" s="83">
        <v>42332</v>
      </c>
      <c r="B191" s="84">
        <v>9000</v>
      </c>
      <c r="C191" s="84">
        <v>9500</v>
      </c>
      <c r="D191" s="86">
        <f t="shared" si="2"/>
        <v>500</v>
      </c>
      <c r="E191" s="85" t="s">
        <v>8</v>
      </c>
      <c r="F191" s="85" t="s">
        <v>180</v>
      </c>
    </row>
    <row r="192" spans="1:6" x14ac:dyDescent="0.25">
      <c r="A192" s="83">
        <v>42332</v>
      </c>
      <c r="B192" s="84">
        <v>4000</v>
      </c>
      <c r="C192" s="84">
        <v>4500</v>
      </c>
      <c r="D192" s="86">
        <f t="shared" si="2"/>
        <v>500</v>
      </c>
      <c r="E192" s="85" t="s">
        <v>8</v>
      </c>
      <c r="F192" s="85" t="s">
        <v>180</v>
      </c>
    </row>
    <row r="193" spans="1:6" x14ac:dyDescent="0.25">
      <c r="A193" s="83">
        <v>42333</v>
      </c>
      <c r="B193" s="84">
        <v>2500</v>
      </c>
      <c r="C193" s="84">
        <v>4000</v>
      </c>
      <c r="D193" s="86">
        <f t="shared" si="2"/>
        <v>1500</v>
      </c>
      <c r="E193" s="85" t="s">
        <v>8</v>
      </c>
      <c r="F193" s="85" t="s">
        <v>180</v>
      </c>
    </row>
    <row r="194" spans="1:6" x14ac:dyDescent="0.25">
      <c r="A194" s="83">
        <v>42334</v>
      </c>
      <c r="B194" s="84">
        <v>1500</v>
      </c>
      <c r="C194" s="84">
        <v>2500</v>
      </c>
      <c r="D194" s="86">
        <f t="shared" si="2"/>
        <v>1000</v>
      </c>
      <c r="E194" s="85" t="s">
        <v>8</v>
      </c>
      <c r="F194" s="85" t="s">
        <v>180</v>
      </c>
    </row>
    <row r="195" spans="1:6" x14ac:dyDescent="0.25">
      <c r="A195" s="83">
        <v>42335</v>
      </c>
      <c r="B195" s="84">
        <v>300</v>
      </c>
      <c r="C195" s="84">
        <v>1500</v>
      </c>
      <c r="D195" s="86">
        <f t="shared" ref="D195:D258" si="3">C195-B195</f>
        <v>1200</v>
      </c>
      <c r="E195" s="85" t="s">
        <v>8</v>
      </c>
      <c r="F195" s="85" t="s">
        <v>180</v>
      </c>
    </row>
    <row r="196" spans="1:6" x14ac:dyDescent="0.25">
      <c r="A196" s="83">
        <v>42336</v>
      </c>
      <c r="B196" s="84">
        <v>4600</v>
      </c>
      <c r="C196" s="84">
        <v>5600</v>
      </c>
      <c r="D196" s="86">
        <f t="shared" si="3"/>
        <v>1000</v>
      </c>
      <c r="E196" s="85" t="s">
        <v>8</v>
      </c>
      <c r="F196" s="85" t="s">
        <v>180</v>
      </c>
    </row>
    <row r="197" spans="1:6" x14ac:dyDescent="0.25">
      <c r="A197" s="83">
        <v>42338</v>
      </c>
      <c r="B197" s="84">
        <v>5600</v>
      </c>
      <c r="C197" s="84">
        <v>6800</v>
      </c>
      <c r="D197" s="86">
        <f t="shared" si="3"/>
        <v>1200</v>
      </c>
      <c r="E197" s="85" t="s">
        <v>8</v>
      </c>
      <c r="F197" s="85" t="s">
        <v>180</v>
      </c>
    </row>
    <row r="198" spans="1:6" x14ac:dyDescent="0.25">
      <c r="A198" s="83">
        <v>42338</v>
      </c>
      <c r="B198" s="84">
        <v>0</v>
      </c>
      <c r="C198" s="84">
        <v>300</v>
      </c>
      <c r="D198" s="86">
        <f t="shared" si="3"/>
        <v>300</v>
      </c>
      <c r="E198" s="85" t="s">
        <v>8</v>
      </c>
      <c r="F198" s="85" t="s">
        <v>180</v>
      </c>
    </row>
    <row r="199" spans="1:6" x14ac:dyDescent="0.25">
      <c r="A199" s="83">
        <v>42339</v>
      </c>
      <c r="B199" s="84">
        <v>8000</v>
      </c>
      <c r="C199" s="84">
        <v>9000</v>
      </c>
      <c r="D199" s="86">
        <f t="shared" si="3"/>
        <v>1000</v>
      </c>
      <c r="E199" s="85" t="s">
        <v>8</v>
      </c>
      <c r="F199" s="85" t="s">
        <v>180</v>
      </c>
    </row>
    <row r="200" spans="1:6" x14ac:dyDescent="0.25">
      <c r="A200" s="83">
        <v>42340</v>
      </c>
      <c r="B200" s="84">
        <v>7000</v>
      </c>
      <c r="C200" s="84">
        <v>8000</v>
      </c>
      <c r="D200" s="86">
        <f t="shared" si="3"/>
        <v>1000</v>
      </c>
      <c r="E200" s="85" t="s">
        <v>8</v>
      </c>
      <c r="F200" s="85" t="s">
        <v>180</v>
      </c>
    </row>
    <row r="201" spans="1:6" x14ac:dyDescent="0.25">
      <c r="A201" s="83">
        <v>42341</v>
      </c>
      <c r="B201" s="84">
        <v>4500</v>
      </c>
      <c r="C201" s="84">
        <v>4600</v>
      </c>
      <c r="D201" s="86">
        <f t="shared" si="3"/>
        <v>100</v>
      </c>
      <c r="E201" s="85" t="s">
        <v>8</v>
      </c>
      <c r="F201" s="85" t="s">
        <v>180</v>
      </c>
    </row>
    <row r="202" spans="1:6" x14ac:dyDescent="0.25">
      <c r="A202" s="83">
        <v>42341</v>
      </c>
      <c r="B202" s="84">
        <v>6800</v>
      </c>
      <c r="C202" s="84">
        <v>7000</v>
      </c>
      <c r="D202" s="86">
        <f t="shared" si="3"/>
        <v>200</v>
      </c>
      <c r="E202" s="85" t="s">
        <v>8</v>
      </c>
      <c r="F202" s="85" t="s">
        <v>180</v>
      </c>
    </row>
    <row r="203" spans="1:6" x14ac:dyDescent="0.25">
      <c r="A203" s="83">
        <v>42315</v>
      </c>
      <c r="B203" s="84">
        <v>23200</v>
      </c>
      <c r="C203" s="84">
        <v>24700</v>
      </c>
      <c r="D203" s="86">
        <f t="shared" si="3"/>
        <v>1500</v>
      </c>
      <c r="E203" s="85" t="s">
        <v>51</v>
      </c>
      <c r="F203" s="85" t="s">
        <v>180</v>
      </c>
    </row>
    <row r="204" spans="1:6" x14ac:dyDescent="0.25">
      <c r="A204" s="83">
        <v>42317</v>
      </c>
      <c r="B204" s="84">
        <v>22300</v>
      </c>
      <c r="C204" s="84">
        <v>23200</v>
      </c>
      <c r="D204" s="86">
        <f t="shared" si="3"/>
        <v>900</v>
      </c>
      <c r="E204" s="85" t="s">
        <v>51</v>
      </c>
      <c r="F204" s="85" t="s">
        <v>180</v>
      </c>
    </row>
    <row r="205" spans="1:6" x14ac:dyDescent="0.25">
      <c r="A205" s="83">
        <v>42318</v>
      </c>
      <c r="B205" s="84">
        <v>21500</v>
      </c>
      <c r="C205" s="84">
        <v>22300</v>
      </c>
      <c r="D205" s="86">
        <f t="shared" si="3"/>
        <v>800</v>
      </c>
      <c r="E205" s="85" t="s">
        <v>51</v>
      </c>
      <c r="F205" s="85" t="s">
        <v>180</v>
      </c>
    </row>
    <row r="206" spans="1:6" x14ac:dyDescent="0.25">
      <c r="A206" s="83">
        <v>42318</v>
      </c>
      <c r="B206" s="84">
        <v>20800</v>
      </c>
      <c r="C206" s="84">
        <v>21500</v>
      </c>
      <c r="D206" s="86">
        <f t="shared" si="3"/>
        <v>700</v>
      </c>
      <c r="E206" s="85" t="s">
        <v>51</v>
      </c>
      <c r="F206" s="85" t="s">
        <v>180</v>
      </c>
    </row>
    <row r="207" spans="1:6" x14ac:dyDescent="0.25">
      <c r="A207" s="83">
        <v>42319</v>
      </c>
      <c r="B207" s="84">
        <v>19900</v>
      </c>
      <c r="C207" s="84">
        <v>20800</v>
      </c>
      <c r="D207" s="86">
        <f t="shared" si="3"/>
        <v>900</v>
      </c>
      <c r="E207" s="85" t="s">
        <v>51</v>
      </c>
      <c r="F207" s="85" t="s">
        <v>180</v>
      </c>
    </row>
    <row r="208" spans="1:6" x14ac:dyDescent="0.25">
      <c r="A208" s="83">
        <v>42320</v>
      </c>
      <c r="B208" s="84">
        <v>19500</v>
      </c>
      <c r="C208" s="84">
        <v>19900</v>
      </c>
      <c r="D208" s="86">
        <f t="shared" si="3"/>
        <v>400</v>
      </c>
      <c r="E208" s="85" t="s">
        <v>51</v>
      </c>
      <c r="F208" s="85" t="s">
        <v>180</v>
      </c>
    </row>
    <row r="209" spans="1:6" x14ac:dyDescent="0.25">
      <c r="A209" s="83">
        <v>42320</v>
      </c>
      <c r="B209" s="84">
        <v>18800</v>
      </c>
      <c r="C209" s="84">
        <v>19500</v>
      </c>
      <c r="D209" s="86">
        <f t="shared" si="3"/>
        <v>700</v>
      </c>
      <c r="E209" s="85" t="s">
        <v>51</v>
      </c>
      <c r="F209" s="85" t="s">
        <v>180</v>
      </c>
    </row>
    <row r="210" spans="1:6" x14ac:dyDescent="0.25">
      <c r="A210" s="83">
        <v>42321</v>
      </c>
      <c r="B210" s="84">
        <v>18200</v>
      </c>
      <c r="C210" s="84">
        <v>18800</v>
      </c>
      <c r="D210" s="86">
        <f t="shared" si="3"/>
        <v>600</v>
      </c>
      <c r="E210" s="85" t="s">
        <v>51</v>
      </c>
      <c r="F210" s="85" t="s">
        <v>180</v>
      </c>
    </row>
    <row r="211" spans="1:6" x14ac:dyDescent="0.25">
      <c r="A211" s="83">
        <v>42322</v>
      </c>
      <c r="B211" s="84">
        <v>17900</v>
      </c>
      <c r="C211" s="84">
        <v>18200</v>
      </c>
      <c r="D211" s="86">
        <f t="shared" si="3"/>
        <v>300</v>
      </c>
      <c r="E211" s="85" t="s">
        <v>51</v>
      </c>
      <c r="F211" s="85" t="s">
        <v>180</v>
      </c>
    </row>
    <row r="212" spans="1:6" x14ac:dyDescent="0.25">
      <c r="A212" s="83">
        <v>42324</v>
      </c>
      <c r="B212" s="84">
        <v>15500</v>
      </c>
      <c r="C212" s="84">
        <v>17900</v>
      </c>
      <c r="D212" s="86">
        <f t="shared" si="3"/>
        <v>2400</v>
      </c>
      <c r="E212" s="85" t="s">
        <v>51</v>
      </c>
      <c r="F212" s="85" t="s">
        <v>180</v>
      </c>
    </row>
    <row r="213" spans="1:6" x14ac:dyDescent="0.25">
      <c r="A213" s="83">
        <v>42325</v>
      </c>
      <c r="B213" s="84">
        <v>15000</v>
      </c>
      <c r="C213" s="84">
        <v>15500</v>
      </c>
      <c r="D213" s="86">
        <f t="shared" si="3"/>
        <v>500</v>
      </c>
      <c r="E213" s="85" t="s">
        <v>51</v>
      </c>
      <c r="F213" s="85" t="s">
        <v>180</v>
      </c>
    </row>
    <row r="214" spans="1:6" x14ac:dyDescent="0.25">
      <c r="A214" s="83">
        <v>42326</v>
      </c>
      <c r="B214" s="84">
        <v>14100</v>
      </c>
      <c r="C214" s="84">
        <v>15000</v>
      </c>
      <c r="D214" s="86">
        <f t="shared" si="3"/>
        <v>900</v>
      </c>
      <c r="E214" s="85" t="s">
        <v>51</v>
      </c>
      <c r="F214" s="85" t="s">
        <v>180</v>
      </c>
    </row>
    <row r="215" spans="1:6" x14ac:dyDescent="0.25">
      <c r="A215" s="83">
        <v>42328</v>
      </c>
      <c r="B215" s="84">
        <v>12500</v>
      </c>
      <c r="C215" s="84">
        <v>14100</v>
      </c>
      <c r="D215" s="86">
        <f t="shared" si="3"/>
        <v>1600</v>
      </c>
      <c r="E215" s="85" t="s">
        <v>51</v>
      </c>
      <c r="F215" s="85" t="s">
        <v>180</v>
      </c>
    </row>
    <row r="216" spans="1:6" x14ac:dyDescent="0.25">
      <c r="A216" s="83">
        <v>42329</v>
      </c>
      <c r="B216" s="84">
        <v>12100</v>
      </c>
      <c r="C216" s="84">
        <v>12500</v>
      </c>
      <c r="D216" s="86">
        <f t="shared" si="3"/>
        <v>400</v>
      </c>
      <c r="E216" s="85" t="s">
        <v>51</v>
      </c>
      <c r="F216" s="85" t="s">
        <v>180</v>
      </c>
    </row>
    <row r="217" spans="1:6" x14ac:dyDescent="0.25">
      <c r="A217" s="83">
        <v>42329</v>
      </c>
      <c r="B217" s="84">
        <v>11800</v>
      </c>
      <c r="C217" s="84">
        <v>12100</v>
      </c>
      <c r="D217" s="86">
        <f t="shared" si="3"/>
        <v>300</v>
      </c>
      <c r="E217" s="85" t="s">
        <v>51</v>
      </c>
      <c r="F217" s="85" t="s">
        <v>180</v>
      </c>
    </row>
    <row r="218" spans="1:6" x14ac:dyDescent="0.25">
      <c r="A218" s="83">
        <v>42331</v>
      </c>
      <c r="B218" s="84">
        <v>9800</v>
      </c>
      <c r="C218" s="84">
        <v>11800</v>
      </c>
      <c r="D218" s="86">
        <f t="shared" si="3"/>
        <v>2000</v>
      </c>
      <c r="E218" s="85" t="s">
        <v>51</v>
      </c>
      <c r="F218" s="85" t="s">
        <v>180</v>
      </c>
    </row>
    <row r="219" spans="1:6" x14ac:dyDescent="0.25">
      <c r="A219" s="83">
        <v>42332</v>
      </c>
      <c r="B219" s="84">
        <v>9500</v>
      </c>
      <c r="C219" s="84">
        <v>9800</v>
      </c>
      <c r="D219" s="86">
        <f t="shared" si="3"/>
        <v>300</v>
      </c>
      <c r="E219" s="85" t="s">
        <v>51</v>
      </c>
      <c r="F219" s="85" t="s">
        <v>180</v>
      </c>
    </row>
    <row r="220" spans="1:6" x14ac:dyDescent="0.25">
      <c r="A220" s="83">
        <v>42333</v>
      </c>
      <c r="B220" s="84">
        <v>9000</v>
      </c>
      <c r="C220" s="84">
        <v>9500</v>
      </c>
      <c r="D220" s="86">
        <f t="shared" si="3"/>
        <v>500</v>
      </c>
      <c r="E220" s="85" t="s">
        <v>51</v>
      </c>
      <c r="F220" s="85" t="s">
        <v>180</v>
      </c>
    </row>
    <row r="221" spans="1:6" x14ac:dyDescent="0.25">
      <c r="A221" s="83">
        <v>42334</v>
      </c>
      <c r="B221" s="84">
        <v>2500</v>
      </c>
      <c r="C221" s="84">
        <v>4500</v>
      </c>
      <c r="D221" s="86">
        <f t="shared" si="3"/>
        <v>2000</v>
      </c>
      <c r="E221" s="85" t="s">
        <v>51</v>
      </c>
      <c r="F221" s="85" t="s">
        <v>180</v>
      </c>
    </row>
    <row r="222" spans="1:6" x14ac:dyDescent="0.25">
      <c r="A222" s="83">
        <v>42335</v>
      </c>
      <c r="B222" s="84">
        <v>1500</v>
      </c>
      <c r="C222" s="84">
        <v>2500</v>
      </c>
      <c r="D222" s="86">
        <f t="shared" si="3"/>
        <v>1000</v>
      </c>
      <c r="E222" s="85" t="s">
        <v>51</v>
      </c>
      <c r="F222" s="85" t="s">
        <v>180</v>
      </c>
    </row>
    <row r="223" spans="1:6" x14ac:dyDescent="0.25">
      <c r="A223" s="83">
        <v>42336</v>
      </c>
      <c r="B223" s="84">
        <v>0</v>
      </c>
      <c r="C223" s="84">
        <v>300</v>
      </c>
      <c r="D223" s="86">
        <f t="shared" si="3"/>
        <v>300</v>
      </c>
      <c r="E223" s="85" t="s">
        <v>51</v>
      </c>
      <c r="F223" s="85" t="s">
        <v>180</v>
      </c>
    </row>
    <row r="224" spans="1:6" x14ac:dyDescent="0.25">
      <c r="A224" s="83">
        <v>42338</v>
      </c>
      <c r="B224" s="84">
        <v>300</v>
      </c>
      <c r="C224" s="84">
        <v>1500</v>
      </c>
      <c r="D224" s="86">
        <f t="shared" si="3"/>
        <v>1200</v>
      </c>
      <c r="E224" s="85" t="s">
        <v>51</v>
      </c>
      <c r="F224" s="85" t="s">
        <v>180</v>
      </c>
    </row>
    <row r="225" spans="1:6" x14ac:dyDescent="0.25">
      <c r="A225" s="83">
        <v>42338</v>
      </c>
      <c r="B225" s="84">
        <v>4500</v>
      </c>
      <c r="C225" s="84">
        <v>6000</v>
      </c>
      <c r="D225" s="86">
        <f t="shared" si="3"/>
        <v>1500</v>
      </c>
      <c r="E225" s="85" t="s">
        <v>51</v>
      </c>
      <c r="F225" s="85" t="s">
        <v>180</v>
      </c>
    </row>
    <row r="226" spans="1:6" x14ac:dyDescent="0.25">
      <c r="A226" s="83">
        <v>42339</v>
      </c>
      <c r="B226" s="84">
        <v>6900</v>
      </c>
      <c r="C226" s="84">
        <v>7300</v>
      </c>
      <c r="D226" s="86">
        <f t="shared" si="3"/>
        <v>400</v>
      </c>
      <c r="E226" s="85" t="s">
        <v>51</v>
      </c>
      <c r="F226" s="85" t="s">
        <v>180</v>
      </c>
    </row>
    <row r="227" spans="1:6" x14ac:dyDescent="0.25">
      <c r="A227" s="83">
        <v>42340</v>
      </c>
      <c r="B227" s="84">
        <v>8000</v>
      </c>
      <c r="C227" s="84">
        <v>8500</v>
      </c>
      <c r="D227" s="86">
        <f t="shared" si="3"/>
        <v>500</v>
      </c>
      <c r="E227" s="85" t="s">
        <v>51</v>
      </c>
      <c r="F227" s="85" t="s">
        <v>180</v>
      </c>
    </row>
    <row r="228" spans="1:6" x14ac:dyDescent="0.25">
      <c r="A228" s="83">
        <v>42341</v>
      </c>
      <c r="B228" s="84">
        <v>6000</v>
      </c>
      <c r="C228" s="84">
        <v>6900</v>
      </c>
      <c r="D228" s="86">
        <f t="shared" si="3"/>
        <v>900</v>
      </c>
      <c r="E228" s="85" t="s">
        <v>51</v>
      </c>
      <c r="F228" s="85" t="s">
        <v>180</v>
      </c>
    </row>
    <row r="229" spans="1:6" x14ac:dyDescent="0.25">
      <c r="A229" s="83">
        <v>42341</v>
      </c>
      <c r="B229" s="84">
        <v>7300</v>
      </c>
      <c r="C229" s="84">
        <v>8000</v>
      </c>
      <c r="D229" s="86">
        <f t="shared" si="3"/>
        <v>700</v>
      </c>
      <c r="E229" s="85" t="s">
        <v>51</v>
      </c>
      <c r="F229" s="85" t="s">
        <v>180</v>
      </c>
    </row>
    <row r="230" spans="1:6" x14ac:dyDescent="0.25">
      <c r="A230" s="83">
        <v>42343</v>
      </c>
      <c r="B230" s="84">
        <v>8500</v>
      </c>
      <c r="C230" s="84">
        <v>9000</v>
      </c>
      <c r="D230" s="86">
        <f t="shared" si="3"/>
        <v>500</v>
      </c>
      <c r="E230" s="85" t="s">
        <v>51</v>
      </c>
      <c r="F230" s="85" t="s">
        <v>180</v>
      </c>
    </row>
    <row r="231" spans="1:6" x14ac:dyDescent="0.25">
      <c r="A231" s="83">
        <v>42315</v>
      </c>
      <c r="B231" s="84">
        <v>23200</v>
      </c>
      <c r="C231" s="84">
        <v>24700</v>
      </c>
      <c r="D231" s="86">
        <f t="shared" si="3"/>
        <v>1500</v>
      </c>
      <c r="E231" s="85" t="s">
        <v>12</v>
      </c>
      <c r="F231" s="85" t="s">
        <v>180</v>
      </c>
    </row>
    <row r="232" spans="1:6" x14ac:dyDescent="0.25">
      <c r="A232" s="83">
        <v>42317</v>
      </c>
      <c r="B232" s="84">
        <v>22500</v>
      </c>
      <c r="C232" s="84">
        <v>23200</v>
      </c>
      <c r="D232" s="86">
        <f t="shared" si="3"/>
        <v>700</v>
      </c>
      <c r="E232" s="85" t="s">
        <v>12</v>
      </c>
      <c r="F232" s="85" t="s">
        <v>180</v>
      </c>
    </row>
    <row r="233" spans="1:6" x14ac:dyDescent="0.25">
      <c r="A233" s="83">
        <v>42318</v>
      </c>
      <c r="B233" s="84">
        <v>21700</v>
      </c>
      <c r="C233" s="84">
        <v>22500</v>
      </c>
      <c r="D233" s="86">
        <f t="shared" si="3"/>
        <v>800</v>
      </c>
      <c r="E233" s="85" t="s">
        <v>12</v>
      </c>
      <c r="F233" s="85" t="s">
        <v>180</v>
      </c>
    </row>
    <row r="234" spans="1:6" x14ac:dyDescent="0.25">
      <c r="A234" s="83">
        <v>42319</v>
      </c>
      <c r="B234" s="84">
        <v>20800</v>
      </c>
      <c r="C234" s="84">
        <v>21700</v>
      </c>
      <c r="D234" s="86">
        <f t="shared" si="3"/>
        <v>900</v>
      </c>
      <c r="E234" s="85" t="s">
        <v>12</v>
      </c>
      <c r="F234" s="85" t="s">
        <v>180</v>
      </c>
    </row>
    <row r="235" spans="1:6" x14ac:dyDescent="0.25">
      <c r="A235" s="83">
        <v>42320</v>
      </c>
      <c r="B235" s="84">
        <v>20400</v>
      </c>
      <c r="C235" s="84">
        <v>20800</v>
      </c>
      <c r="D235" s="86">
        <f t="shared" si="3"/>
        <v>400</v>
      </c>
      <c r="E235" s="85" t="s">
        <v>12</v>
      </c>
      <c r="F235" s="85" t="s">
        <v>180</v>
      </c>
    </row>
    <row r="236" spans="1:6" x14ac:dyDescent="0.25">
      <c r="A236" s="83">
        <v>42321</v>
      </c>
      <c r="B236" s="84">
        <v>18400</v>
      </c>
      <c r="C236" s="84">
        <v>20400</v>
      </c>
      <c r="D236" s="86">
        <f t="shared" si="3"/>
        <v>2000</v>
      </c>
      <c r="E236" s="85" t="s">
        <v>12</v>
      </c>
      <c r="F236" s="85" t="s">
        <v>180</v>
      </c>
    </row>
    <row r="237" spans="1:6" x14ac:dyDescent="0.25">
      <c r="A237" s="83">
        <v>42324</v>
      </c>
      <c r="B237" s="84">
        <v>15900</v>
      </c>
      <c r="C237" s="84">
        <v>16600</v>
      </c>
      <c r="D237" s="86">
        <f t="shared" si="3"/>
        <v>700</v>
      </c>
      <c r="E237" s="85" t="s">
        <v>12</v>
      </c>
      <c r="F237" s="85" t="s">
        <v>180</v>
      </c>
    </row>
    <row r="238" spans="1:6" x14ac:dyDescent="0.25">
      <c r="A238" s="83">
        <v>42325</v>
      </c>
      <c r="B238" s="84">
        <v>15100</v>
      </c>
      <c r="C238" s="84">
        <v>15900</v>
      </c>
      <c r="D238" s="86">
        <f t="shared" si="3"/>
        <v>800</v>
      </c>
      <c r="E238" s="85" t="s">
        <v>12</v>
      </c>
      <c r="F238" s="85" t="s">
        <v>180</v>
      </c>
    </row>
    <row r="239" spans="1:6" x14ac:dyDescent="0.25">
      <c r="A239" s="83">
        <v>42325</v>
      </c>
      <c r="B239" s="84">
        <v>16600</v>
      </c>
      <c r="C239" s="84">
        <v>18400</v>
      </c>
      <c r="D239" s="86">
        <f t="shared" si="3"/>
        <v>1800</v>
      </c>
      <c r="E239" s="85" t="s">
        <v>12</v>
      </c>
      <c r="F239" s="85" t="s">
        <v>180</v>
      </c>
    </row>
    <row r="240" spans="1:6" x14ac:dyDescent="0.25">
      <c r="A240" s="83">
        <v>42326</v>
      </c>
      <c r="B240" s="84">
        <v>14400</v>
      </c>
      <c r="C240" s="84">
        <v>15100</v>
      </c>
      <c r="D240" s="86">
        <f t="shared" si="3"/>
        <v>700</v>
      </c>
      <c r="E240" s="85" t="s">
        <v>12</v>
      </c>
      <c r="F240" s="85" t="s">
        <v>180</v>
      </c>
    </row>
    <row r="241" spans="1:6" x14ac:dyDescent="0.25">
      <c r="A241" s="83">
        <v>42328</v>
      </c>
      <c r="B241" s="84">
        <v>12800</v>
      </c>
      <c r="C241" s="84">
        <v>14400</v>
      </c>
      <c r="D241" s="86">
        <f t="shared" si="3"/>
        <v>1600</v>
      </c>
      <c r="E241" s="85" t="s">
        <v>12</v>
      </c>
      <c r="F241" s="85" t="s">
        <v>180</v>
      </c>
    </row>
    <row r="242" spans="1:6" x14ac:dyDescent="0.25">
      <c r="A242" s="83">
        <v>42329</v>
      </c>
      <c r="B242" s="84">
        <v>12300</v>
      </c>
      <c r="C242" s="84">
        <v>12800</v>
      </c>
      <c r="D242" s="86">
        <f t="shared" si="3"/>
        <v>500</v>
      </c>
      <c r="E242" s="85" t="s">
        <v>12</v>
      </c>
      <c r="F242" s="85" t="s">
        <v>180</v>
      </c>
    </row>
    <row r="243" spans="1:6" x14ac:dyDescent="0.25">
      <c r="A243" s="83">
        <v>42331</v>
      </c>
      <c r="B243" s="84">
        <v>11300</v>
      </c>
      <c r="C243" s="84">
        <v>12300</v>
      </c>
      <c r="D243" s="86">
        <f t="shared" si="3"/>
        <v>1000</v>
      </c>
      <c r="E243" s="85" t="s">
        <v>12</v>
      </c>
      <c r="F243" s="85" t="s">
        <v>180</v>
      </c>
    </row>
    <row r="244" spans="1:6" x14ac:dyDescent="0.25">
      <c r="A244" s="83">
        <v>42332</v>
      </c>
      <c r="B244" s="84">
        <v>9700</v>
      </c>
      <c r="C244" s="84">
        <v>10100</v>
      </c>
      <c r="D244" s="86">
        <f t="shared" si="3"/>
        <v>400</v>
      </c>
      <c r="E244" s="85" t="s">
        <v>12</v>
      </c>
      <c r="F244" s="85" t="s">
        <v>180</v>
      </c>
    </row>
    <row r="245" spans="1:6" x14ac:dyDescent="0.25">
      <c r="A245" s="83">
        <v>42333</v>
      </c>
      <c r="B245" s="84">
        <v>9000</v>
      </c>
      <c r="C245" s="84">
        <v>9700</v>
      </c>
      <c r="D245" s="86">
        <f t="shared" si="3"/>
        <v>700</v>
      </c>
      <c r="E245" s="85" t="s">
        <v>12</v>
      </c>
      <c r="F245" s="85" t="s">
        <v>180</v>
      </c>
    </row>
    <row r="246" spans="1:6" x14ac:dyDescent="0.25">
      <c r="A246" s="83">
        <v>42334</v>
      </c>
      <c r="B246" s="84">
        <v>3100</v>
      </c>
      <c r="C246" s="84">
        <v>4100</v>
      </c>
      <c r="D246" s="86">
        <f t="shared" si="3"/>
        <v>1000</v>
      </c>
      <c r="E246" s="85" t="s">
        <v>12</v>
      </c>
      <c r="F246" s="85" t="s">
        <v>180</v>
      </c>
    </row>
    <row r="247" spans="1:6" x14ac:dyDescent="0.25">
      <c r="A247" s="83">
        <v>42335</v>
      </c>
      <c r="B247" s="84">
        <v>2600</v>
      </c>
      <c r="C247" s="84">
        <v>3100</v>
      </c>
      <c r="D247" s="86">
        <f t="shared" si="3"/>
        <v>500</v>
      </c>
      <c r="E247" s="85" t="s">
        <v>12</v>
      </c>
      <c r="F247" s="85" t="s">
        <v>180</v>
      </c>
    </row>
    <row r="248" spans="1:6" x14ac:dyDescent="0.25">
      <c r="A248" s="83">
        <v>42336</v>
      </c>
      <c r="B248" s="84">
        <v>1600</v>
      </c>
      <c r="C248" s="84">
        <v>2600</v>
      </c>
      <c r="D248" s="86">
        <f t="shared" si="3"/>
        <v>1000</v>
      </c>
      <c r="E248" s="85" t="s">
        <v>12</v>
      </c>
      <c r="F248" s="85" t="s">
        <v>180</v>
      </c>
    </row>
    <row r="249" spans="1:6" x14ac:dyDescent="0.25">
      <c r="A249" s="83">
        <v>42338</v>
      </c>
      <c r="B249" s="84">
        <v>600</v>
      </c>
      <c r="C249" s="84">
        <v>1600</v>
      </c>
      <c r="D249" s="86">
        <f t="shared" si="3"/>
        <v>1000</v>
      </c>
      <c r="E249" s="85" t="s">
        <v>12</v>
      </c>
      <c r="F249" s="85" t="s">
        <v>180</v>
      </c>
    </row>
    <row r="250" spans="1:6" x14ac:dyDescent="0.25">
      <c r="A250" s="83">
        <v>42339</v>
      </c>
      <c r="B250" s="84">
        <v>4900</v>
      </c>
      <c r="C250" s="84">
        <v>5100</v>
      </c>
      <c r="D250" s="86">
        <f t="shared" si="3"/>
        <v>200</v>
      </c>
      <c r="E250" s="85" t="s">
        <v>12</v>
      </c>
      <c r="F250" s="85" t="s">
        <v>180</v>
      </c>
    </row>
    <row r="251" spans="1:6" x14ac:dyDescent="0.25">
      <c r="A251" s="83">
        <v>42340</v>
      </c>
      <c r="B251" s="84">
        <v>4100</v>
      </c>
      <c r="C251" s="84">
        <v>4900</v>
      </c>
      <c r="D251" s="86">
        <f t="shared" si="3"/>
        <v>800</v>
      </c>
      <c r="E251" s="85" t="s">
        <v>12</v>
      </c>
      <c r="F251" s="85" t="s">
        <v>180</v>
      </c>
    </row>
    <row r="252" spans="1:6" x14ac:dyDescent="0.25">
      <c r="A252" s="83">
        <v>42341</v>
      </c>
      <c r="B252" s="84">
        <v>0</v>
      </c>
      <c r="C252" s="84">
        <v>600</v>
      </c>
      <c r="D252" s="86">
        <f t="shared" si="3"/>
        <v>600</v>
      </c>
      <c r="E252" s="85" t="s">
        <v>12</v>
      </c>
      <c r="F252" s="85" t="s">
        <v>180</v>
      </c>
    </row>
    <row r="253" spans="1:6" x14ac:dyDescent="0.25">
      <c r="A253" s="83">
        <v>42341</v>
      </c>
      <c r="B253" s="84">
        <v>8100</v>
      </c>
      <c r="C253" s="84">
        <v>9000</v>
      </c>
      <c r="D253" s="86">
        <f t="shared" si="3"/>
        <v>900</v>
      </c>
      <c r="E253" s="85" t="s">
        <v>12</v>
      </c>
      <c r="F253" s="85" t="s">
        <v>180</v>
      </c>
    </row>
    <row r="254" spans="1:6" x14ac:dyDescent="0.25">
      <c r="A254" s="83">
        <v>42342</v>
      </c>
      <c r="B254" s="84">
        <v>5100</v>
      </c>
      <c r="C254" s="84">
        <v>6000</v>
      </c>
      <c r="D254" s="86">
        <f t="shared" si="3"/>
        <v>900</v>
      </c>
      <c r="E254" s="85" t="s">
        <v>12</v>
      </c>
      <c r="F254" s="85" t="s">
        <v>180</v>
      </c>
    </row>
    <row r="255" spans="1:6" x14ac:dyDescent="0.25">
      <c r="A255" s="83">
        <v>42342</v>
      </c>
      <c r="B255" s="84">
        <v>8000</v>
      </c>
      <c r="C255" s="84">
        <v>8300</v>
      </c>
      <c r="D255" s="86">
        <f t="shared" si="3"/>
        <v>300</v>
      </c>
      <c r="E255" s="85" t="s">
        <v>12</v>
      </c>
      <c r="F255" s="85" t="s">
        <v>180</v>
      </c>
    </row>
    <row r="256" spans="1:6" x14ac:dyDescent="0.25">
      <c r="A256" s="83">
        <v>42343</v>
      </c>
      <c r="B256" s="84">
        <v>10100</v>
      </c>
      <c r="C256" s="84">
        <v>11300</v>
      </c>
      <c r="D256" s="86">
        <f t="shared" si="3"/>
        <v>1200</v>
      </c>
      <c r="E256" s="85" t="s">
        <v>12</v>
      </c>
      <c r="F256" s="85" t="s">
        <v>180</v>
      </c>
    </row>
    <row r="257" spans="1:6" x14ac:dyDescent="0.25">
      <c r="A257" s="83">
        <v>42345</v>
      </c>
      <c r="B257" s="84">
        <v>6000</v>
      </c>
      <c r="C257" s="84">
        <v>7000</v>
      </c>
      <c r="D257" s="86">
        <f t="shared" si="3"/>
        <v>1000</v>
      </c>
      <c r="E257" s="85" t="s">
        <v>12</v>
      </c>
      <c r="F257" s="85" t="s">
        <v>180</v>
      </c>
    </row>
    <row r="258" spans="1:6" x14ac:dyDescent="0.25">
      <c r="A258" s="83">
        <v>42346</v>
      </c>
      <c r="B258" s="84">
        <v>7000</v>
      </c>
      <c r="C258" s="84">
        <v>7800</v>
      </c>
      <c r="D258" s="86">
        <f t="shared" si="3"/>
        <v>800</v>
      </c>
      <c r="E258" s="85" t="s">
        <v>12</v>
      </c>
      <c r="F258" s="85" t="s">
        <v>180</v>
      </c>
    </row>
    <row r="259" spans="1:6" x14ac:dyDescent="0.25">
      <c r="A259" s="83">
        <v>42317</v>
      </c>
      <c r="B259" s="84">
        <v>24400</v>
      </c>
      <c r="C259" s="84">
        <v>24700</v>
      </c>
      <c r="D259" s="86">
        <f t="shared" ref="D259:D322" si="4">C259-B259</f>
        <v>300</v>
      </c>
      <c r="E259" s="85" t="s">
        <v>216</v>
      </c>
      <c r="F259" s="85" t="s">
        <v>180</v>
      </c>
    </row>
    <row r="260" spans="1:6" x14ac:dyDescent="0.25">
      <c r="A260" s="83">
        <v>42318</v>
      </c>
      <c r="B260" s="84">
        <v>23100</v>
      </c>
      <c r="C260" s="84">
        <v>24400</v>
      </c>
      <c r="D260" s="86">
        <f t="shared" si="4"/>
        <v>1300</v>
      </c>
      <c r="E260" s="85" t="s">
        <v>216</v>
      </c>
      <c r="F260" s="85" t="s">
        <v>180</v>
      </c>
    </row>
    <row r="261" spans="1:6" x14ac:dyDescent="0.25">
      <c r="A261" s="83">
        <v>42319</v>
      </c>
      <c r="B261" s="84">
        <v>21500</v>
      </c>
      <c r="C261" s="84">
        <v>23100</v>
      </c>
      <c r="D261" s="86">
        <f t="shared" si="4"/>
        <v>1600</v>
      </c>
      <c r="E261" s="85" t="s">
        <v>216</v>
      </c>
      <c r="F261" s="85" t="s">
        <v>180</v>
      </c>
    </row>
    <row r="262" spans="1:6" x14ac:dyDescent="0.25">
      <c r="A262" s="83">
        <v>42320</v>
      </c>
      <c r="B262" s="84">
        <v>20500</v>
      </c>
      <c r="C262" s="84">
        <v>21500</v>
      </c>
      <c r="D262" s="86">
        <f t="shared" si="4"/>
        <v>1000</v>
      </c>
      <c r="E262" s="85" t="s">
        <v>216</v>
      </c>
      <c r="F262" s="85" t="s">
        <v>180</v>
      </c>
    </row>
    <row r="263" spans="1:6" x14ac:dyDescent="0.25">
      <c r="A263" s="83">
        <v>42321</v>
      </c>
      <c r="B263" s="84">
        <v>20200</v>
      </c>
      <c r="C263" s="84">
        <v>20500</v>
      </c>
      <c r="D263" s="86">
        <f t="shared" si="4"/>
        <v>300</v>
      </c>
      <c r="E263" s="85" t="s">
        <v>216</v>
      </c>
      <c r="F263" s="85" t="s">
        <v>180</v>
      </c>
    </row>
    <row r="264" spans="1:6" x14ac:dyDescent="0.25">
      <c r="A264" s="83">
        <v>42324</v>
      </c>
      <c r="B264" s="84">
        <v>18400</v>
      </c>
      <c r="C264" s="84">
        <v>20200</v>
      </c>
      <c r="D264" s="86">
        <f t="shared" si="4"/>
        <v>1800</v>
      </c>
      <c r="E264" s="85" t="s">
        <v>216</v>
      </c>
      <c r="F264" s="85" t="s">
        <v>180</v>
      </c>
    </row>
    <row r="265" spans="1:6" x14ac:dyDescent="0.25">
      <c r="A265" s="83">
        <v>42326</v>
      </c>
      <c r="B265" s="84">
        <v>17600</v>
      </c>
      <c r="C265" s="84">
        <v>18400</v>
      </c>
      <c r="D265" s="86">
        <f t="shared" si="4"/>
        <v>800</v>
      </c>
      <c r="E265" s="85" t="s">
        <v>216</v>
      </c>
      <c r="F265" s="85" t="s">
        <v>180</v>
      </c>
    </row>
    <row r="266" spans="1:6" x14ac:dyDescent="0.25">
      <c r="A266" s="83">
        <v>42328</v>
      </c>
      <c r="B266" s="84">
        <v>17200</v>
      </c>
      <c r="C266" s="84">
        <v>17600</v>
      </c>
      <c r="D266" s="86">
        <f t="shared" si="4"/>
        <v>400</v>
      </c>
      <c r="E266" s="85" t="s">
        <v>216</v>
      </c>
      <c r="F266" s="85" t="s">
        <v>180</v>
      </c>
    </row>
    <row r="267" spans="1:6" x14ac:dyDescent="0.25">
      <c r="A267" s="83">
        <v>42329</v>
      </c>
      <c r="B267" s="84">
        <v>16700</v>
      </c>
      <c r="C267" s="84">
        <v>17200</v>
      </c>
      <c r="D267" s="86">
        <f t="shared" si="4"/>
        <v>500</v>
      </c>
      <c r="E267" s="85" t="s">
        <v>216</v>
      </c>
      <c r="F267" s="85" t="s">
        <v>180</v>
      </c>
    </row>
    <row r="268" spans="1:6" x14ac:dyDescent="0.25">
      <c r="A268" s="83">
        <v>42331</v>
      </c>
      <c r="B268" s="84">
        <v>15500</v>
      </c>
      <c r="C268" s="84">
        <v>16700</v>
      </c>
      <c r="D268" s="86">
        <f t="shared" si="4"/>
        <v>1200</v>
      </c>
      <c r="E268" s="85" t="s">
        <v>216</v>
      </c>
      <c r="F268" s="85" t="s">
        <v>180</v>
      </c>
    </row>
    <row r="269" spans="1:6" x14ac:dyDescent="0.25">
      <c r="A269" s="83">
        <v>42332</v>
      </c>
      <c r="B269" s="84">
        <v>13000</v>
      </c>
      <c r="C269" s="84">
        <v>15500</v>
      </c>
      <c r="D269" s="86">
        <f t="shared" si="4"/>
        <v>2500</v>
      </c>
      <c r="E269" s="85" t="s">
        <v>216</v>
      </c>
      <c r="F269" s="85" t="s">
        <v>180</v>
      </c>
    </row>
    <row r="270" spans="1:6" x14ac:dyDescent="0.25">
      <c r="A270" s="83">
        <v>42334</v>
      </c>
      <c r="B270" s="84">
        <v>12000</v>
      </c>
      <c r="C270" s="84">
        <v>13000</v>
      </c>
      <c r="D270" s="86">
        <f t="shared" si="4"/>
        <v>1000</v>
      </c>
      <c r="E270" s="85" t="s">
        <v>216</v>
      </c>
      <c r="F270" s="85" t="s">
        <v>180</v>
      </c>
    </row>
    <row r="271" spans="1:6" x14ac:dyDescent="0.25">
      <c r="A271" s="83">
        <v>42335</v>
      </c>
      <c r="B271" s="84">
        <v>11600</v>
      </c>
      <c r="C271" s="84">
        <v>12000</v>
      </c>
      <c r="D271" s="86">
        <f t="shared" si="4"/>
        <v>400</v>
      </c>
      <c r="E271" s="85" t="s">
        <v>216</v>
      </c>
      <c r="F271" s="85" t="s">
        <v>180</v>
      </c>
    </row>
    <row r="272" spans="1:6" x14ac:dyDescent="0.25">
      <c r="A272" s="83">
        <v>42336</v>
      </c>
      <c r="B272" s="84">
        <v>9000</v>
      </c>
      <c r="C272" s="84">
        <v>11600</v>
      </c>
      <c r="D272" s="86">
        <f t="shared" si="4"/>
        <v>2600</v>
      </c>
      <c r="E272" s="85" t="s">
        <v>216</v>
      </c>
      <c r="F272" s="85" t="s">
        <v>180</v>
      </c>
    </row>
    <row r="273" spans="1:6" x14ac:dyDescent="0.25">
      <c r="A273" s="83">
        <v>42338</v>
      </c>
      <c r="B273" s="84">
        <v>3400</v>
      </c>
      <c r="C273" s="84">
        <v>4200</v>
      </c>
      <c r="D273" s="86">
        <f t="shared" si="4"/>
        <v>800</v>
      </c>
      <c r="E273" s="85" t="s">
        <v>216</v>
      </c>
      <c r="F273" s="85" t="s">
        <v>180</v>
      </c>
    </row>
    <row r="274" spans="1:6" x14ac:dyDescent="0.25">
      <c r="A274" s="83">
        <v>42339</v>
      </c>
      <c r="B274" s="84">
        <v>0</v>
      </c>
      <c r="C274" s="84">
        <v>1200</v>
      </c>
      <c r="D274" s="86">
        <f t="shared" si="4"/>
        <v>1200</v>
      </c>
      <c r="E274" s="85" t="s">
        <v>216</v>
      </c>
      <c r="F274" s="85" t="s">
        <v>180</v>
      </c>
    </row>
    <row r="275" spans="1:6" x14ac:dyDescent="0.25">
      <c r="A275" s="83">
        <v>42340</v>
      </c>
      <c r="B275" s="84">
        <v>1200</v>
      </c>
      <c r="C275" s="84">
        <v>2100</v>
      </c>
      <c r="D275" s="86">
        <f t="shared" si="4"/>
        <v>900</v>
      </c>
      <c r="E275" s="85" t="s">
        <v>216</v>
      </c>
      <c r="F275" s="85" t="s">
        <v>180</v>
      </c>
    </row>
    <row r="276" spans="1:6" x14ac:dyDescent="0.25">
      <c r="A276" s="83">
        <v>42341</v>
      </c>
      <c r="B276" s="84">
        <v>2100</v>
      </c>
      <c r="C276" s="84">
        <v>3400</v>
      </c>
      <c r="D276" s="86">
        <f t="shared" si="4"/>
        <v>1300</v>
      </c>
      <c r="E276" s="85" t="s">
        <v>216</v>
      </c>
      <c r="F276" s="85" t="s">
        <v>180</v>
      </c>
    </row>
    <row r="277" spans="1:6" x14ac:dyDescent="0.25">
      <c r="A277" s="83">
        <v>42343</v>
      </c>
      <c r="B277" s="84">
        <v>4200</v>
      </c>
      <c r="C277" s="84">
        <v>6400</v>
      </c>
      <c r="D277" s="86">
        <f t="shared" si="4"/>
        <v>2200</v>
      </c>
      <c r="E277" s="85" t="s">
        <v>216</v>
      </c>
      <c r="F277" s="85" t="s">
        <v>180</v>
      </c>
    </row>
    <row r="278" spans="1:6" x14ac:dyDescent="0.25">
      <c r="A278" s="83">
        <v>42346</v>
      </c>
      <c r="B278" s="84">
        <v>6400</v>
      </c>
      <c r="C278" s="84">
        <v>7000</v>
      </c>
      <c r="D278" s="86">
        <f t="shared" si="4"/>
        <v>600</v>
      </c>
      <c r="E278" s="85" t="s">
        <v>216</v>
      </c>
      <c r="F278" s="85" t="s">
        <v>180</v>
      </c>
    </row>
    <row r="279" spans="1:6" x14ac:dyDescent="0.25">
      <c r="A279" s="83">
        <v>42347</v>
      </c>
      <c r="B279" s="84">
        <v>7000</v>
      </c>
      <c r="C279" s="84">
        <v>8000</v>
      </c>
      <c r="D279" s="86">
        <f t="shared" si="4"/>
        <v>1000</v>
      </c>
      <c r="E279" s="85" t="s">
        <v>216</v>
      </c>
      <c r="F279" s="85" t="s">
        <v>180</v>
      </c>
    </row>
    <row r="280" spans="1:6" x14ac:dyDescent="0.25">
      <c r="A280" s="83">
        <v>42349</v>
      </c>
      <c r="B280" s="84">
        <v>8000</v>
      </c>
      <c r="C280" s="84">
        <v>8700</v>
      </c>
      <c r="D280" s="86">
        <f t="shared" si="4"/>
        <v>700</v>
      </c>
      <c r="E280" s="85" t="s">
        <v>216</v>
      </c>
      <c r="F280" s="85" t="s">
        <v>180</v>
      </c>
    </row>
    <row r="281" spans="1:6" x14ac:dyDescent="0.25">
      <c r="A281" s="83">
        <v>42350</v>
      </c>
      <c r="B281" s="84">
        <v>8700</v>
      </c>
      <c r="C281" s="84">
        <v>9000</v>
      </c>
      <c r="D281" s="86">
        <f t="shared" si="4"/>
        <v>300</v>
      </c>
      <c r="E281" s="85" t="s">
        <v>216</v>
      </c>
      <c r="F281" s="85" t="s">
        <v>180</v>
      </c>
    </row>
    <row r="282" spans="1:6" x14ac:dyDescent="0.25">
      <c r="A282" s="83">
        <v>42320</v>
      </c>
      <c r="B282" s="84">
        <v>23200</v>
      </c>
      <c r="C282" s="84">
        <v>24700</v>
      </c>
      <c r="D282" s="86">
        <f t="shared" si="4"/>
        <v>1500</v>
      </c>
      <c r="E282" s="85" t="s">
        <v>109</v>
      </c>
      <c r="F282" s="85" t="s">
        <v>180</v>
      </c>
    </row>
    <row r="283" spans="1:6" x14ac:dyDescent="0.25">
      <c r="A283" s="83">
        <v>42321</v>
      </c>
      <c r="B283" s="84">
        <v>22000</v>
      </c>
      <c r="C283" s="84">
        <v>23200</v>
      </c>
      <c r="D283" s="86">
        <f t="shared" si="4"/>
        <v>1200</v>
      </c>
      <c r="E283" s="85" t="s">
        <v>109</v>
      </c>
      <c r="F283" s="85" t="s">
        <v>180</v>
      </c>
    </row>
    <row r="284" spans="1:6" x14ac:dyDescent="0.25">
      <c r="A284" s="83">
        <v>42322</v>
      </c>
      <c r="B284" s="84">
        <v>20300</v>
      </c>
      <c r="C284" s="84">
        <v>22000</v>
      </c>
      <c r="D284" s="86">
        <f t="shared" si="4"/>
        <v>1700</v>
      </c>
      <c r="E284" s="85" t="s">
        <v>109</v>
      </c>
      <c r="F284" s="85" t="s">
        <v>180</v>
      </c>
    </row>
    <row r="285" spans="1:6" x14ac:dyDescent="0.25">
      <c r="A285" s="83">
        <v>42325</v>
      </c>
      <c r="B285" s="84">
        <v>20000</v>
      </c>
      <c r="C285" s="84">
        <v>20300</v>
      </c>
      <c r="D285" s="86">
        <f t="shared" si="4"/>
        <v>300</v>
      </c>
      <c r="E285" s="85" t="s">
        <v>109</v>
      </c>
      <c r="F285" s="85" t="s">
        <v>180</v>
      </c>
    </row>
    <row r="286" spans="1:6" x14ac:dyDescent="0.25">
      <c r="A286" s="83">
        <v>42326</v>
      </c>
      <c r="B286" s="84">
        <v>19000</v>
      </c>
      <c r="C286" s="84">
        <v>20000</v>
      </c>
      <c r="D286" s="86">
        <f t="shared" si="4"/>
        <v>1000</v>
      </c>
      <c r="E286" s="85" t="s">
        <v>109</v>
      </c>
      <c r="F286" s="85" t="s">
        <v>180</v>
      </c>
    </row>
    <row r="287" spans="1:6" x14ac:dyDescent="0.25">
      <c r="A287" s="83">
        <v>42327</v>
      </c>
      <c r="B287" s="84">
        <v>18000</v>
      </c>
      <c r="C287" s="84">
        <v>19000</v>
      </c>
      <c r="D287" s="86">
        <f t="shared" si="4"/>
        <v>1000</v>
      </c>
      <c r="E287" s="85" t="s">
        <v>109</v>
      </c>
      <c r="F287" s="85" t="s">
        <v>180</v>
      </c>
    </row>
    <row r="288" spans="1:6" x14ac:dyDescent="0.25">
      <c r="A288" s="83">
        <v>42328</v>
      </c>
      <c r="B288" s="84">
        <v>17700</v>
      </c>
      <c r="C288" s="84">
        <v>18000</v>
      </c>
      <c r="D288" s="86">
        <f t="shared" si="4"/>
        <v>300</v>
      </c>
      <c r="E288" s="85" t="s">
        <v>109</v>
      </c>
      <c r="F288" s="85" t="s">
        <v>180</v>
      </c>
    </row>
    <row r="289" spans="1:6" x14ac:dyDescent="0.25">
      <c r="A289" s="83">
        <v>42329</v>
      </c>
      <c r="B289" s="84">
        <v>17000</v>
      </c>
      <c r="C289" s="84">
        <v>17400</v>
      </c>
      <c r="D289" s="86">
        <f t="shared" si="4"/>
        <v>400</v>
      </c>
      <c r="E289" s="85" t="s">
        <v>109</v>
      </c>
      <c r="F289" s="85" t="s">
        <v>180</v>
      </c>
    </row>
    <row r="290" spans="1:6" x14ac:dyDescent="0.25">
      <c r="A290" s="83">
        <v>42331</v>
      </c>
      <c r="B290" s="84">
        <v>17400</v>
      </c>
      <c r="C290" s="84">
        <v>17700</v>
      </c>
      <c r="D290" s="86">
        <f t="shared" si="4"/>
        <v>300</v>
      </c>
      <c r="E290" s="85" t="s">
        <v>109</v>
      </c>
      <c r="F290" s="85" t="s">
        <v>180</v>
      </c>
    </row>
    <row r="291" spans="1:6" x14ac:dyDescent="0.25">
      <c r="A291" s="83">
        <v>42332</v>
      </c>
      <c r="B291" s="84">
        <v>16600</v>
      </c>
      <c r="C291" s="84">
        <v>17000</v>
      </c>
      <c r="D291" s="86">
        <f t="shared" si="4"/>
        <v>400</v>
      </c>
      <c r="E291" s="85" t="s">
        <v>109</v>
      </c>
      <c r="F291" s="85" t="s">
        <v>180</v>
      </c>
    </row>
    <row r="292" spans="1:6" x14ac:dyDescent="0.25">
      <c r="A292" s="83">
        <v>42332</v>
      </c>
      <c r="B292" s="84">
        <v>15100</v>
      </c>
      <c r="C292" s="84">
        <v>15200</v>
      </c>
      <c r="D292" s="86">
        <f t="shared" si="4"/>
        <v>100</v>
      </c>
      <c r="E292" s="85" t="s">
        <v>109</v>
      </c>
      <c r="F292" s="85" t="s">
        <v>180</v>
      </c>
    </row>
    <row r="293" spans="1:6" x14ac:dyDescent="0.25">
      <c r="A293" s="83">
        <v>42333</v>
      </c>
      <c r="B293" s="84">
        <v>15700</v>
      </c>
      <c r="C293" s="84">
        <v>16600</v>
      </c>
      <c r="D293" s="86">
        <f t="shared" si="4"/>
        <v>900</v>
      </c>
      <c r="E293" s="85" t="s">
        <v>109</v>
      </c>
      <c r="F293" s="85" t="s">
        <v>180</v>
      </c>
    </row>
    <row r="294" spans="1:6" x14ac:dyDescent="0.25">
      <c r="A294" s="83">
        <v>42334</v>
      </c>
      <c r="B294" s="84">
        <v>15500</v>
      </c>
      <c r="C294" s="84">
        <v>15700</v>
      </c>
      <c r="D294" s="86">
        <f t="shared" si="4"/>
        <v>200</v>
      </c>
      <c r="E294" s="85" t="s">
        <v>109</v>
      </c>
      <c r="F294" s="85" t="s">
        <v>180</v>
      </c>
    </row>
    <row r="295" spans="1:6" x14ac:dyDescent="0.25">
      <c r="A295" s="83">
        <v>42335</v>
      </c>
      <c r="B295" s="84">
        <v>15200</v>
      </c>
      <c r="C295" s="84">
        <v>15500</v>
      </c>
      <c r="D295" s="86">
        <f t="shared" si="4"/>
        <v>300</v>
      </c>
      <c r="E295" s="85" t="s">
        <v>109</v>
      </c>
      <c r="F295" s="85" t="s">
        <v>180</v>
      </c>
    </row>
    <row r="296" spans="1:6" x14ac:dyDescent="0.25">
      <c r="A296" s="83">
        <v>42335</v>
      </c>
      <c r="B296" s="84">
        <v>14500</v>
      </c>
      <c r="C296" s="84">
        <v>15100</v>
      </c>
      <c r="D296" s="86">
        <f t="shared" si="4"/>
        <v>600</v>
      </c>
      <c r="E296" s="85" t="s">
        <v>109</v>
      </c>
      <c r="F296" s="85" t="s">
        <v>180</v>
      </c>
    </row>
    <row r="297" spans="1:6" x14ac:dyDescent="0.25">
      <c r="A297" s="83">
        <v>42336</v>
      </c>
      <c r="B297" s="84">
        <v>14100</v>
      </c>
      <c r="C297" s="84">
        <v>14500</v>
      </c>
      <c r="D297" s="86">
        <f t="shared" si="4"/>
        <v>400</v>
      </c>
      <c r="E297" s="85" t="s">
        <v>109</v>
      </c>
      <c r="F297" s="85" t="s">
        <v>180</v>
      </c>
    </row>
    <row r="298" spans="1:6" x14ac:dyDescent="0.25">
      <c r="A298" s="83">
        <v>42338</v>
      </c>
      <c r="B298" s="84">
        <v>13000</v>
      </c>
      <c r="C298" s="84">
        <v>14100</v>
      </c>
      <c r="D298" s="86">
        <f t="shared" si="4"/>
        <v>1100</v>
      </c>
      <c r="E298" s="85" t="s">
        <v>109</v>
      </c>
      <c r="F298" s="85" t="s">
        <v>180</v>
      </c>
    </row>
    <row r="299" spans="1:6" x14ac:dyDescent="0.25">
      <c r="A299" s="83">
        <v>42339</v>
      </c>
      <c r="B299" s="84">
        <v>12700</v>
      </c>
      <c r="C299" s="84">
        <v>13000</v>
      </c>
      <c r="D299" s="86">
        <f t="shared" si="4"/>
        <v>300</v>
      </c>
      <c r="E299" s="85" t="s">
        <v>109</v>
      </c>
      <c r="F299" s="85" t="s">
        <v>180</v>
      </c>
    </row>
    <row r="300" spans="1:6" x14ac:dyDescent="0.25">
      <c r="A300" s="83">
        <v>42340</v>
      </c>
      <c r="B300" s="84">
        <v>12500</v>
      </c>
      <c r="C300" s="84">
        <v>12700</v>
      </c>
      <c r="D300" s="86">
        <f t="shared" si="4"/>
        <v>200</v>
      </c>
      <c r="E300" s="85" t="s">
        <v>109</v>
      </c>
      <c r="F300" s="85" t="s">
        <v>180</v>
      </c>
    </row>
    <row r="301" spans="1:6" x14ac:dyDescent="0.25">
      <c r="A301" s="83">
        <v>42341</v>
      </c>
      <c r="B301" s="84">
        <v>12000</v>
      </c>
      <c r="C301" s="84">
        <v>12500</v>
      </c>
      <c r="D301" s="86">
        <f t="shared" si="4"/>
        <v>500</v>
      </c>
      <c r="E301" s="85" t="s">
        <v>109</v>
      </c>
      <c r="F301" s="85" t="s">
        <v>180</v>
      </c>
    </row>
    <row r="302" spans="1:6" x14ac:dyDescent="0.25">
      <c r="A302" s="83">
        <v>42342</v>
      </c>
      <c r="B302" s="84">
        <v>11600</v>
      </c>
      <c r="C302" s="84">
        <v>12000</v>
      </c>
      <c r="D302" s="86">
        <f t="shared" si="4"/>
        <v>400</v>
      </c>
      <c r="E302" s="85" t="s">
        <v>109</v>
      </c>
      <c r="F302" s="85" t="s">
        <v>180</v>
      </c>
    </row>
    <row r="303" spans="1:6" x14ac:dyDescent="0.25">
      <c r="A303" s="83">
        <v>42343</v>
      </c>
      <c r="B303" s="84">
        <v>10700</v>
      </c>
      <c r="C303" s="84">
        <v>10900</v>
      </c>
      <c r="D303" s="86">
        <f t="shared" si="4"/>
        <v>200</v>
      </c>
      <c r="E303" s="85" t="s">
        <v>109</v>
      </c>
      <c r="F303" s="85" t="s">
        <v>180</v>
      </c>
    </row>
    <row r="304" spans="1:6" x14ac:dyDescent="0.25">
      <c r="A304" s="83">
        <v>42343</v>
      </c>
      <c r="B304" s="84">
        <v>9900</v>
      </c>
      <c r="C304" s="84">
        <v>10100</v>
      </c>
      <c r="D304" s="86">
        <f t="shared" si="4"/>
        <v>200</v>
      </c>
      <c r="E304" s="85" t="s">
        <v>109</v>
      </c>
      <c r="F304" s="85" t="s">
        <v>180</v>
      </c>
    </row>
    <row r="305" spans="1:6" x14ac:dyDescent="0.25">
      <c r="A305" s="83">
        <v>42345</v>
      </c>
      <c r="B305" s="84">
        <v>10900</v>
      </c>
      <c r="C305" s="84">
        <v>11600</v>
      </c>
      <c r="D305" s="86">
        <f t="shared" si="4"/>
        <v>700</v>
      </c>
      <c r="E305" s="85" t="s">
        <v>109</v>
      </c>
      <c r="F305" s="85" t="s">
        <v>180</v>
      </c>
    </row>
    <row r="306" spans="1:6" x14ac:dyDescent="0.25">
      <c r="A306" s="83">
        <v>42345</v>
      </c>
      <c r="B306" s="84">
        <v>0</v>
      </c>
      <c r="C306" s="84">
        <v>2000</v>
      </c>
      <c r="D306" s="86">
        <f t="shared" si="4"/>
        <v>2000</v>
      </c>
      <c r="E306" s="85" t="s">
        <v>109</v>
      </c>
      <c r="F306" s="85" t="s">
        <v>180</v>
      </c>
    </row>
    <row r="307" spans="1:6" x14ac:dyDescent="0.25">
      <c r="A307" s="83">
        <v>42346</v>
      </c>
      <c r="B307" s="84">
        <v>8900</v>
      </c>
      <c r="C307" s="84">
        <v>9900</v>
      </c>
      <c r="D307" s="86">
        <f t="shared" si="4"/>
        <v>1000</v>
      </c>
      <c r="E307" s="85" t="s">
        <v>109</v>
      </c>
      <c r="F307" s="85" t="s">
        <v>180</v>
      </c>
    </row>
    <row r="308" spans="1:6" x14ac:dyDescent="0.25">
      <c r="A308" s="83">
        <v>42346</v>
      </c>
      <c r="B308" s="84">
        <v>2000</v>
      </c>
      <c r="C308" s="84">
        <v>4000</v>
      </c>
      <c r="D308" s="86">
        <f t="shared" si="4"/>
        <v>2000</v>
      </c>
      <c r="E308" s="85" t="s">
        <v>109</v>
      </c>
      <c r="F308" s="85" t="s">
        <v>180</v>
      </c>
    </row>
    <row r="309" spans="1:6" x14ac:dyDescent="0.25">
      <c r="A309" s="83">
        <v>42347</v>
      </c>
      <c r="B309" s="84">
        <v>4000</v>
      </c>
      <c r="C309" s="84">
        <v>5000</v>
      </c>
      <c r="D309" s="86">
        <f t="shared" si="4"/>
        <v>1000</v>
      </c>
      <c r="E309" s="85" t="s">
        <v>109</v>
      </c>
      <c r="F309" s="85" t="s">
        <v>180</v>
      </c>
    </row>
    <row r="310" spans="1:6" x14ac:dyDescent="0.25">
      <c r="A310" s="83">
        <v>42347</v>
      </c>
      <c r="B310" s="84">
        <v>8500</v>
      </c>
      <c r="C310" s="84">
        <v>8900</v>
      </c>
      <c r="D310" s="86">
        <f t="shared" si="4"/>
        <v>400</v>
      </c>
      <c r="E310" s="85" t="s">
        <v>109</v>
      </c>
      <c r="F310" s="85" t="s">
        <v>180</v>
      </c>
    </row>
    <row r="311" spans="1:6" x14ac:dyDescent="0.25">
      <c r="A311" s="83">
        <v>42348</v>
      </c>
      <c r="B311" s="84">
        <v>5000</v>
      </c>
      <c r="C311" s="84">
        <v>5500</v>
      </c>
      <c r="D311" s="86">
        <f t="shared" si="4"/>
        <v>500</v>
      </c>
      <c r="E311" s="85" t="s">
        <v>109</v>
      </c>
      <c r="F311" s="85" t="s">
        <v>180</v>
      </c>
    </row>
    <row r="312" spans="1:6" x14ac:dyDescent="0.25">
      <c r="A312" s="83">
        <v>42348</v>
      </c>
      <c r="B312" s="84">
        <v>7400</v>
      </c>
      <c r="C312" s="84">
        <v>8500</v>
      </c>
      <c r="D312" s="86">
        <f t="shared" si="4"/>
        <v>1100</v>
      </c>
      <c r="E312" s="85" t="s">
        <v>109</v>
      </c>
      <c r="F312" s="85" t="s">
        <v>180</v>
      </c>
    </row>
    <row r="313" spans="1:6" x14ac:dyDescent="0.25">
      <c r="A313" s="83">
        <v>42349</v>
      </c>
      <c r="B313" s="84">
        <v>5500</v>
      </c>
      <c r="C313" s="84">
        <v>5900</v>
      </c>
      <c r="D313" s="86">
        <f t="shared" si="4"/>
        <v>400</v>
      </c>
      <c r="E313" s="85" t="s">
        <v>109</v>
      </c>
      <c r="F313" s="85" t="s">
        <v>180</v>
      </c>
    </row>
    <row r="314" spans="1:6" x14ac:dyDescent="0.25">
      <c r="A314" s="83">
        <v>42349</v>
      </c>
      <c r="B314" s="84">
        <v>7300</v>
      </c>
      <c r="C314" s="84">
        <v>7400</v>
      </c>
      <c r="D314" s="86">
        <f t="shared" si="4"/>
        <v>100</v>
      </c>
      <c r="E314" s="85" t="s">
        <v>109</v>
      </c>
      <c r="F314" s="85" t="s">
        <v>180</v>
      </c>
    </row>
    <row r="315" spans="1:6" x14ac:dyDescent="0.25">
      <c r="A315" s="83">
        <v>42350</v>
      </c>
      <c r="B315" s="84">
        <v>5900</v>
      </c>
      <c r="C315" s="84">
        <v>6900</v>
      </c>
      <c r="D315" s="86">
        <f t="shared" si="4"/>
        <v>1000</v>
      </c>
      <c r="E315" s="85" t="s">
        <v>109</v>
      </c>
      <c r="F315" s="85" t="s">
        <v>180</v>
      </c>
    </row>
    <row r="316" spans="1:6" x14ac:dyDescent="0.25">
      <c r="A316" s="83">
        <v>42351</v>
      </c>
      <c r="B316" s="84">
        <v>6900</v>
      </c>
      <c r="C316" s="84">
        <v>7300</v>
      </c>
      <c r="D316" s="86">
        <f t="shared" si="4"/>
        <v>400</v>
      </c>
      <c r="E316" s="85" t="s">
        <v>109</v>
      </c>
      <c r="F316" s="85" t="s">
        <v>180</v>
      </c>
    </row>
    <row r="317" spans="1:6" x14ac:dyDescent="0.25">
      <c r="A317" s="83">
        <v>42352</v>
      </c>
      <c r="B317" s="84">
        <v>10400</v>
      </c>
      <c r="C317" s="84">
        <v>10700</v>
      </c>
      <c r="D317" s="86">
        <f t="shared" si="4"/>
        <v>300</v>
      </c>
      <c r="E317" s="85" t="s">
        <v>109</v>
      </c>
      <c r="F317" s="85" t="s">
        <v>180</v>
      </c>
    </row>
    <row r="318" spans="1:6" x14ac:dyDescent="0.25">
      <c r="A318" s="83">
        <v>42352</v>
      </c>
      <c r="B318" s="84">
        <v>10100</v>
      </c>
      <c r="C318" s="84">
        <v>10300</v>
      </c>
      <c r="D318" s="86">
        <f t="shared" si="4"/>
        <v>200</v>
      </c>
      <c r="E318" s="85" t="s">
        <v>109</v>
      </c>
      <c r="F318" s="85" t="s">
        <v>180</v>
      </c>
    </row>
    <row r="319" spans="1:6" x14ac:dyDescent="0.25">
      <c r="A319" s="83">
        <v>42354</v>
      </c>
      <c r="B319" s="84">
        <v>10300</v>
      </c>
      <c r="C319" s="84">
        <v>10400</v>
      </c>
      <c r="D319" s="86">
        <f t="shared" si="4"/>
        <v>100</v>
      </c>
      <c r="E319" s="85" t="s">
        <v>109</v>
      </c>
      <c r="F319" s="85" t="s">
        <v>180</v>
      </c>
    </row>
    <row r="320" spans="1:6" x14ac:dyDescent="0.25">
      <c r="A320" s="83">
        <v>42336</v>
      </c>
      <c r="B320" s="84">
        <v>23200</v>
      </c>
      <c r="C320" s="84">
        <v>24700</v>
      </c>
      <c r="D320" s="86">
        <f t="shared" si="4"/>
        <v>1500</v>
      </c>
      <c r="E320" s="85" t="s">
        <v>17</v>
      </c>
      <c r="F320" s="85" t="s">
        <v>180</v>
      </c>
    </row>
    <row r="321" spans="1:6" x14ac:dyDescent="0.25">
      <c r="A321" s="83">
        <v>42338</v>
      </c>
      <c r="B321" s="84">
        <v>16700</v>
      </c>
      <c r="C321" s="84">
        <v>23200</v>
      </c>
      <c r="D321" s="86">
        <f t="shared" si="4"/>
        <v>6500</v>
      </c>
      <c r="E321" s="85" t="s">
        <v>17</v>
      </c>
      <c r="F321" s="85" t="s">
        <v>180</v>
      </c>
    </row>
    <row r="322" spans="1:6" x14ac:dyDescent="0.25">
      <c r="A322" s="83">
        <v>42339</v>
      </c>
      <c r="B322" s="84">
        <v>16600</v>
      </c>
      <c r="C322" s="84">
        <v>16700</v>
      </c>
      <c r="D322" s="86">
        <f t="shared" si="4"/>
        <v>100</v>
      </c>
      <c r="E322" s="85" t="s">
        <v>17</v>
      </c>
      <c r="F322" s="85" t="s">
        <v>180</v>
      </c>
    </row>
    <row r="323" spans="1:6" x14ac:dyDescent="0.25">
      <c r="A323" s="83">
        <v>42340</v>
      </c>
      <c r="B323" s="84">
        <v>16500</v>
      </c>
      <c r="C323" s="84">
        <v>16600</v>
      </c>
      <c r="D323" s="86">
        <f t="shared" ref="D323:D344" si="5">C323-B323</f>
        <v>100</v>
      </c>
      <c r="E323" s="85" t="s">
        <v>17</v>
      </c>
      <c r="F323" s="85" t="s">
        <v>180</v>
      </c>
    </row>
    <row r="324" spans="1:6" x14ac:dyDescent="0.25">
      <c r="A324" s="83">
        <v>42341</v>
      </c>
      <c r="B324" s="84">
        <v>16400</v>
      </c>
      <c r="C324" s="84">
        <v>16500</v>
      </c>
      <c r="D324" s="86">
        <f t="shared" si="5"/>
        <v>100</v>
      </c>
      <c r="E324" s="85" t="s">
        <v>17</v>
      </c>
      <c r="F324" s="85" t="s">
        <v>180</v>
      </c>
    </row>
    <row r="325" spans="1:6" x14ac:dyDescent="0.25">
      <c r="A325" s="83">
        <v>42342</v>
      </c>
      <c r="B325" s="84">
        <v>16300</v>
      </c>
      <c r="C325" s="84">
        <v>16400</v>
      </c>
      <c r="D325" s="86">
        <f t="shared" si="5"/>
        <v>100</v>
      </c>
      <c r="E325" s="85" t="s">
        <v>17</v>
      </c>
      <c r="F325" s="85" t="s">
        <v>180</v>
      </c>
    </row>
    <row r="326" spans="1:6" x14ac:dyDescent="0.25">
      <c r="A326" s="83">
        <v>42343</v>
      </c>
      <c r="B326" s="84">
        <v>15100</v>
      </c>
      <c r="C326" s="84">
        <v>16300</v>
      </c>
      <c r="D326" s="86">
        <f t="shared" si="5"/>
        <v>1200</v>
      </c>
      <c r="E326" s="85" t="s">
        <v>17</v>
      </c>
      <c r="F326" s="85" t="s">
        <v>180</v>
      </c>
    </row>
    <row r="327" spans="1:6" x14ac:dyDescent="0.25">
      <c r="A327" s="83">
        <v>42353</v>
      </c>
      <c r="B327" s="84">
        <v>12000</v>
      </c>
      <c r="C327" s="84">
        <v>15100</v>
      </c>
      <c r="D327" s="86">
        <f t="shared" si="5"/>
        <v>3100</v>
      </c>
      <c r="E327" s="85" t="s">
        <v>17</v>
      </c>
      <c r="F327" s="85" t="s">
        <v>180</v>
      </c>
    </row>
    <row r="328" spans="1:6" x14ac:dyDescent="0.25">
      <c r="A328" s="83">
        <v>42354</v>
      </c>
      <c r="B328" s="84">
        <v>11700</v>
      </c>
      <c r="C328" s="84">
        <v>12000</v>
      </c>
      <c r="D328" s="86">
        <f t="shared" si="5"/>
        <v>300</v>
      </c>
      <c r="E328" s="85" t="s">
        <v>17</v>
      </c>
      <c r="F328" s="85" t="s">
        <v>180</v>
      </c>
    </row>
    <row r="329" spans="1:6" x14ac:dyDescent="0.25">
      <c r="A329" s="83">
        <v>42355</v>
      </c>
      <c r="B329" s="84">
        <v>10100</v>
      </c>
      <c r="C329" s="84">
        <v>10700</v>
      </c>
      <c r="D329" s="86">
        <f t="shared" si="5"/>
        <v>600</v>
      </c>
      <c r="E329" s="85" t="s">
        <v>17</v>
      </c>
      <c r="F329" s="85" t="s">
        <v>180</v>
      </c>
    </row>
    <row r="330" spans="1:6" x14ac:dyDescent="0.25">
      <c r="A330" s="83">
        <v>42374</v>
      </c>
      <c r="B330" s="84">
        <v>9900</v>
      </c>
      <c r="C330" s="84">
        <v>10100</v>
      </c>
      <c r="D330" s="86">
        <f t="shared" si="5"/>
        <v>200</v>
      </c>
      <c r="E330" s="85" t="s">
        <v>17</v>
      </c>
      <c r="F330" s="85" t="s">
        <v>180</v>
      </c>
    </row>
    <row r="331" spans="1:6" x14ac:dyDescent="0.25">
      <c r="A331" s="83">
        <v>42375</v>
      </c>
      <c r="B331" s="84">
        <v>9600</v>
      </c>
      <c r="C331" s="84">
        <v>9900</v>
      </c>
      <c r="D331" s="86">
        <f t="shared" si="5"/>
        <v>300</v>
      </c>
      <c r="E331" s="85" t="s">
        <v>17</v>
      </c>
      <c r="F331" s="85" t="s">
        <v>180</v>
      </c>
    </row>
    <row r="332" spans="1:6" x14ac:dyDescent="0.25">
      <c r="A332" s="83">
        <v>42381</v>
      </c>
      <c r="B332" s="84">
        <v>9500</v>
      </c>
      <c r="C332" s="84">
        <v>9600</v>
      </c>
      <c r="D332" s="86">
        <f t="shared" si="5"/>
        <v>100</v>
      </c>
      <c r="E332" s="85" t="s">
        <v>17</v>
      </c>
      <c r="F332" s="85" t="s">
        <v>180</v>
      </c>
    </row>
    <row r="333" spans="1:6" x14ac:dyDescent="0.25">
      <c r="A333" s="83">
        <v>42382</v>
      </c>
      <c r="B333" s="84">
        <v>8600</v>
      </c>
      <c r="C333" s="84">
        <v>9500</v>
      </c>
      <c r="D333" s="86">
        <f t="shared" si="5"/>
        <v>900</v>
      </c>
      <c r="E333" s="85" t="s">
        <v>17</v>
      </c>
      <c r="F333" s="85" t="s">
        <v>180</v>
      </c>
    </row>
    <row r="334" spans="1:6" x14ac:dyDescent="0.25">
      <c r="A334" s="83">
        <v>42383</v>
      </c>
      <c r="B334" s="84">
        <v>7600</v>
      </c>
      <c r="C334" s="84">
        <v>8600</v>
      </c>
      <c r="D334" s="86">
        <f t="shared" si="5"/>
        <v>1000</v>
      </c>
      <c r="E334" s="85" t="s">
        <v>17</v>
      </c>
      <c r="F334" s="85" t="s">
        <v>180</v>
      </c>
    </row>
    <row r="335" spans="1:6" x14ac:dyDescent="0.25">
      <c r="A335" s="83">
        <v>42384</v>
      </c>
      <c r="B335" s="84">
        <v>7000</v>
      </c>
      <c r="C335" s="84">
        <v>7600</v>
      </c>
      <c r="D335" s="86">
        <f t="shared" si="5"/>
        <v>600</v>
      </c>
      <c r="E335" s="85" t="s">
        <v>17</v>
      </c>
      <c r="F335" s="85" t="s">
        <v>180</v>
      </c>
    </row>
    <row r="336" spans="1:6" x14ac:dyDescent="0.25">
      <c r="A336" s="83">
        <v>42385</v>
      </c>
      <c r="B336" s="84">
        <v>6000</v>
      </c>
      <c r="C336" s="84">
        <v>7000</v>
      </c>
      <c r="D336" s="86">
        <f t="shared" si="5"/>
        <v>1000</v>
      </c>
      <c r="E336" s="85" t="s">
        <v>17</v>
      </c>
      <c r="F336" s="85" t="s">
        <v>180</v>
      </c>
    </row>
    <row r="337" spans="1:6" x14ac:dyDescent="0.25">
      <c r="A337" s="83">
        <v>42386</v>
      </c>
      <c r="B337" s="84">
        <v>5000</v>
      </c>
      <c r="C337" s="84">
        <v>6000</v>
      </c>
      <c r="D337" s="86">
        <f t="shared" si="5"/>
        <v>1000</v>
      </c>
      <c r="E337" s="85" t="s">
        <v>17</v>
      </c>
      <c r="F337" s="85" t="s">
        <v>180</v>
      </c>
    </row>
    <row r="338" spans="1:6" x14ac:dyDescent="0.25">
      <c r="A338" s="83">
        <v>42388</v>
      </c>
      <c r="B338" s="84">
        <v>4500</v>
      </c>
      <c r="C338" s="84">
        <v>5000</v>
      </c>
      <c r="D338" s="86">
        <f t="shared" si="5"/>
        <v>500</v>
      </c>
      <c r="E338" s="85" t="s">
        <v>17</v>
      </c>
      <c r="F338" s="85" t="s">
        <v>180</v>
      </c>
    </row>
    <row r="339" spans="1:6" x14ac:dyDescent="0.25">
      <c r="A339" s="83">
        <v>42389</v>
      </c>
      <c r="B339" s="84">
        <v>4000</v>
      </c>
      <c r="C339" s="84">
        <v>4500</v>
      </c>
      <c r="D339" s="86">
        <f t="shared" si="5"/>
        <v>500</v>
      </c>
      <c r="E339" s="85" t="s">
        <v>17</v>
      </c>
      <c r="F339" s="85" t="s">
        <v>180</v>
      </c>
    </row>
    <row r="340" spans="1:6" x14ac:dyDescent="0.25">
      <c r="A340" s="83">
        <v>42390</v>
      </c>
      <c r="B340" s="84">
        <v>3500</v>
      </c>
      <c r="C340" s="84">
        <v>4000</v>
      </c>
      <c r="D340" s="86">
        <f t="shared" si="5"/>
        <v>500</v>
      </c>
      <c r="E340" s="85" t="s">
        <v>17</v>
      </c>
      <c r="F340" s="85" t="s">
        <v>180</v>
      </c>
    </row>
    <row r="341" spans="1:6" x14ac:dyDescent="0.25">
      <c r="A341" s="83">
        <v>42391</v>
      </c>
      <c r="B341" s="84">
        <v>10700</v>
      </c>
      <c r="C341" s="84">
        <v>11700</v>
      </c>
      <c r="D341" s="86">
        <f t="shared" si="5"/>
        <v>1000</v>
      </c>
      <c r="E341" s="85" t="s">
        <v>17</v>
      </c>
      <c r="F341" s="85" t="s">
        <v>180</v>
      </c>
    </row>
    <row r="342" spans="1:6" x14ac:dyDescent="0.25">
      <c r="A342" s="83">
        <v>42392</v>
      </c>
      <c r="B342" s="84">
        <v>2500</v>
      </c>
      <c r="C342" s="84">
        <v>3500</v>
      </c>
      <c r="D342" s="86">
        <f t="shared" si="5"/>
        <v>1000</v>
      </c>
      <c r="E342" s="85" t="s">
        <v>17</v>
      </c>
      <c r="F342" s="85" t="s">
        <v>180</v>
      </c>
    </row>
    <row r="343" spans="1:6" x14ac:dyDescent="0.25">
      <c r="A343" s="83">
        <v>42394</v>
      </c>
      <c r="B343" s="84">
        <v>2000</v>
      </c>
      <c r="C343" s="84">
        <v>2500</v>
      </c>
      <c r="D343" s="86">
        <f t="shared" si="5"/>
        <v>500</v>
      </c>
      <c r="E343" s="85" t="s">
        <v>17</v>
      </c>
      <c r="F343" s="85" t="s">
        <v>180</v>
      </c>
    </row>
    <row r="344" spans="1:6" x14ac:dyDescent="0.25">
      <c r="A344" s="83">
        <v>42395</v>
      </c>
      <c r="B344" s="84">
        <v>0</v>
      </c>
      <c r="C344" s="84">
        <v>2000</v>
      </c>
      <c r="D344" s="86">
        <f t="shared" si="5"/>
        <v>2000</v>
      </c>
      <c r="E344" s="85" t="s">
        <v>17</v>
      </c>
      <c r="F344" s="85" t="s">
        <v>180</v>
      </c>
    </row>
    <row r="345" spans="1:6" x14ac:dyDescent="0.25">
      <c r="B345" s="99"/>
      <c r="C345" s="99"/>
      <c r="D345" s="86"/>
    </row>
  </sheetData>
  <sheetProtection formatCells="0" formatColumns="0" formatRows="0" insertRows="0" deleteRows="0" sort="0" autoFilter="0"/>
  <autoFilter ref="A1:K152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39997558519241921"/>
  </sheetPr>
  <dimension ref="A1:BA12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7" sqref="D27"/>
    </sheetView>
  </sheetViews>
  <sheetFormatPr defaultColWidth="14.42578125" defaultRowHeight="15" x14ac:dyDescent="0.25"/>
  <sheetData>
    <row r="1" spans="1:53" ht="15.75" thickBot="1" x14ac:dyDescent="0.3">
      <c r="B1" s="105" t="s">
        <v>184</v>
      </c>
      <c r="C1" s="105"/>
      <c r="D1" s="106">
        <f>SUM(D3:D119)</f>
        <v>287500</v>
      </c>
      <c r="F1" s="105" t="s">
        <v>179</v>
      </c>
      <c r="G1" s="105"/>
      <c r="H1" s="106">
        <f>SUM(H3:H127)</f>
        <v>287500</v>
      </c>
      <c r="J1" s="105" t="s">
        <v>185</v>
      </c>
      <c r="K1" s="105"/>
      <c r="L1" s="106">
        <f>SUM(L3:L113)</f>
        <v>287500</v>
      </c>
      <c r="N1" s="105" t="s">
        <v>187</v>
      </c>
      <c r="O1" s="105"/>
      <c r="P1" s="106">
        <f>SUM(P3:P113)</f>
        <v>287500</v>
      </c>
      <c r="R1" s="105" t="s">
        <v>196</v>
      </c>
      <c r="S1" s="105"/>
      <c r="T1" s="106">
        <f>SUM(T3:T113)</f>
        <v>287500</v>
      </c>
      <c r="V1" s="105" t="s">
        <v>197</v>
      </c>
      <c r="W1" s="105"/>
      <c r="X1" s="106">
        <f>SUM(X3:X113)</f>
        <v>287500</v>
      </c>
      <c r="Z1" s="105" t="s">
        <v>212</v>
      </c>
      <c r="AA1" s="105"/>
      <c r="AB1" s="106">
        <f>SUM(AB3:AB113)</f>
        <v>287500</v>
      </c>
      <c r="AD1" s="105" t="s">
        <v>213</v>
      </c>
      <c r="AE1" s="105"/>
      <c r="AF1" s="106">
        <f>SUM(AF3:AF113)</f>
        <v>287500</v>
      </c>
      <c r="AH1" s="105" t="s">
        <v>215</v>
      </c>
      <c r="AI1" s="105"/>
      <c r="AJ1" s="106">
        <f>SUM(AJ3:AJ113)</f>
        <v>287500</v>
      </c>
      <c r="AL1" s="105" t="s">
        <v>214</v>
      </c>
      <c r="AM1" s="105"/>
      <c r="AN1" s="106">
        <f>SUM(AN3:AN117)</f>
        <v>287500</v>
      </c>
      <c r="AP1" s="105" t="s">
        <v>217</v>
      </c>
      <c r="AQ1" s="105"/>
      <c r="AR1" s="106">
        <f>SUM(AR3:AR113)</f>
        <v>287500</v>
      </c>
      <c r="AT1" s="105" t="s">
        <v>218</v>
      </c>
      <c r="AU1" s="105"/>
      <c r="AV1" s="106">
        <f>SUM(AV3:AV113)</f>
        <v>287500</v>
      </c>
      <c r="AX1" s="105" t="s">
        <v>219</v>
      </c>
      <c r="AY1" s="105"/>
      <c r="AZ1" s="106">
        <f>SUM(AZ3:AZ113)</f>
        <v>287500</v>
      </c>
    </row>
    <row r="2" spans="1:53" ht="15.75" thickTop="1" x14ac:dyDescent="0.25">
      <c r="B2" s="96" t="s">
        <v>174</v>
      </c>
      <c r="C2" s="97" t="s">
        <v>175</v>
      </c>
      <c r="D2" s="103" t="s">
        <v>181</v>
      </c>
      <c r="E2" s="90" t="s">
        <v>178</v>
      </c>
      <c r="F2" s="96" t="s">
        <v>174</v>
      </c>
      <c r="G2" s="97" t="s">
        <v>175</v>
      </c>
      <c r="H2" s="103" t="s">
        <v>181</v>
      </c>
      <c r="I2" s="90" t="s">
        <v>178</v>
      </c>
      <c r="J2" s="96" t="s">
        <v>174</v>
      </c>
      <c r="K2" s="97" t="s">
        <v>175</v>
      </c>
      <c r="L2" s="103" t="s">
        <v>181</v>
      </c>
      <c r="M2" s="90" t="s">
        <v>178</v>
      </c>
      <c r="N2" s="96" t="s">
        <v>174</v>
      </c>
      <c r="O2" s="97" t="s">
        <v>175</v>
      </c>
      <c r="P2" s="103" t="s">
        <v>181</v>
      </c>
      <c r="Q2" s="90" t="s">
        <v>178</v>
      </c>
      <c r="R2" s="96" t="s">
        <v>174</v>
      </c>
      <c r="S2" s="97" t="s">
        <v>175</v>
      </c>
      <c r="T2" s="103" t="s">
        <v>181</v>
      </c>
      <c r="U2" s="90" t="s">
        <v>178</v>
      </c>
      <c r="V2" s="96" t="s">
        <v>174</v>
      </c>
      <c r="W2" s="97" t="s">
        <v>175</v>
      </c>
      <c r="X2" s="103" t="s">
        <v>181</v>
      </c>
      <c r="Y2" s="90" t="s">
        <v>178</v>
      </c>
      <c r="Z2" s="96" t="s">
        <v>174</v>
      </c>
      <c r="AA2" s="97" t="s">
        <v>175</v>
      </c>
      <c r="AB2" s="103" t="s">
        <v>181</v>
      </c>
      <c r="AC2" s="90" t="s">
        <v>178</v>
      </c>
      <c r="AD2" s="96" t="s">
        <v>174</v>
      </c>
      <c r="AE2" s="97" t="s">
        <v>175</v>
      </c>
      <c r="AF2" s="103" t="s">
        <v>181</v>
      </c>
      <c r="AG2" s="90" t="s">
        <v>178</v>
      </c>
      <c r="AH2" s="96" t="s">
        <v>174</v>
      </c>
      <c r="AI2" s="97" t="s">
        <v>175</v>
      </c>
      <c r="AJ2" s="103" t="s">
        <v>181</v>
      </c>
      <c r="AK2" s="90" t="s">
        <v>178</v>
      </c>
      <c r="AL2" s="96" t="s">
        <v>174</v>
      </c>
      <c r="AM2" s="97" t="s">
        <v>175</v>
      </c>
      <c r="AN2" s="103" t="s">
        <v>181</v>
      </c>
      <c r="AO2" s="90" t="s">
        <v>178</v>
      </c>
      <c r="AP2" s="96" t="s">
        <v>174</v>
      </c>
      <c r="AQ2" s="97" t="s">
        <v>175</v>
      </c>
      <c r="AR2" s="103" t="s">
        <v>181</v>
      </c>
      <c r="AS2" s="90" t="s">
        <v>178</v>
      </c>
      <c r="AT2" s="96" t="s">
        <v>174</v>
      </c>
      <c r="AU2" s="97" t="s">
        <v>175</v>
      </c>
      <c r="AV2" s="103" t="s">
        <v>181</v>
      </c>
      <c r="AW2" s="90" t="s">
        <v>178</v>
      </c>
      <c r="AX2" s="96" t="s">
        <v>174</v>
      </c>
      <c r="AY2" s="97" t="s">
        <v>175</v>
      </c>
      <c r="AZ2" s="103" t="s">
        <v>181</v>
      </c>
      <c r="BA2" s="90" t="s">
        <v>178</v>
      </c>
    </row>
    <row r="3" spans="1:53" x14ac:dyDescent="0.25">
      <c r="A3" s="82">
        <v>42282</v>
      </c>
      <c r="B3" s="98">
        <v>23200</v>
      </c>
      <c r="C3" s="99">
        <v>24200</v>
      </c>
      <c r="D3" s="102">
        <v>1000</v>
      </c>
      <c r="E3" s="91" t="s">
        <v>208</v>
      </c>
      <c r="F3" s="98">
        <v>19100</v>
      </c>
      <c r="G3" s="99">
        <v>19900</v>
      </c>
      <c r="H3" s="102">
        <v>800</v>
      </c>
      <c r="I3" s="91" t="s">
        <v>211</v>
      </c>
      <c r="J3" s="98"/>
      <c r="K3" s="99"/>
      <c r="L3" s="102"/>
      <c r="M3" s="91"/>
      <c r="N3" s="98"/>
      <c r="O3" s="99"/>
      <c r="P3" s="102"/>
      <c r="Q3" s="91"/>
      <c r="R3" s="98"/>
      <c r="S3" s="99"/>
      <c r="T3" s="102"/>
      <c r="U3" s="91"/>
      <c r="V3" s="98"/>
      <c r="W3" s="99"/>
      <c r="X3" s="102"/>
      <c r="Y3" s="91"/>
      <c r="Z3" s="98"/>
      <c r="AA3" s="99"/>
      <c r="AB3" s="102"/>
      <c r="AC3" s="91"/>
      <c r="AD3" s="98"/>
      <c r="AE3" s="99"/>
      <c r="AF3" s="102"/>
      <c r="AG3" s="91"/>
      <c r="AH3" s="98"/>
      <c r="AI3" s="99"/>
      <c r="AJ3" s="102"/>
      <c r="AK3" s="91"/>
      <c r="AL3" s="98"/>
      <c r="AM3" s="99"/>
      <c r="AN3" s="102"/>
      <c r="AO3" s="91"/>
      <c r="AP3" s="98"/>
      <c r="AQ3" s="99"/>
      <c r="AR3" s="102"/>
      <c r="AS3" s="91"/>
      <c r="AT3" s="98"/>
      <c r="AU3" s="99"/>
      <c r="AV3" s="102"/>
      <c r="AW3" s="91"/>
      <c r="AX3" s="98"/>
      <c r="AY3" s="99"/>
      <c r="AZ3" s="102"/>
      <c r="BA3" s="91"/>
    </row>
    <row r="4" spans="1:53" x14ac:dyDescent="0.25">
      <c r="A4" s="82">
        <v>42283</v>
      </c>
      <c r="B4" s="98"/>
      <c r="C4" s="99"/>
      <c r="D4" s="102"/>
      <c r="E4" s="91"/>
      <c r="F4" s="98">
        <v>17600</v>
      </c>
      <c r="G4" s="99">
        <v>19100</v>
      </c>
      <c r="H4" s="102">
        <v>1500</v>
      </c>
      <c r="I4" s="91" t="s">
        <v>211</v>
      </c>
      <c r="J4" s="98"/>
      <c r="K4" s="99"/>
      <c r="L4" s="102"/>
      <c r="M4" s="91"/>
      <c r="N4" s="98"/>
      <c r="O4" s="99"/>
      <c r="P4" s="102"/>
      <c r="Q4" s="91"/>
      <c r="R4" s="98"/>
      <c r="S4" s="99"/>
      <c r="T4" s="102"/>
      <c r="U4" s="91"/>
      <c r="V4" s="98"/>
      <c r="W4" s="99"/>
      <c r="X4" s="102"/>
      <c r="Y4" s="91"/>
      <c r="Z4" s="98"/>
      <c r="AA4" s="99"/>
      <c r="AB4" s="102"/>
      <c r="AC4" s="91"/>
      <c r="AD4" s="98"/>
      <c r="AE4" s="99"/>
      <c r="AF4" s="102"/>
      <c r="AG4" s="91"/>
      <c r="AH4" s="98"/>
      <c r="AI4" s="99"/>
      <c r="AJ4" s="102"/>
      <c r="AK4" s="91"/>
      <c r="AL4" s="98"/>
      <c r="AM4" s="99"/>
      <c r="AN4" s="102"/>
      <c r="AO4" s="91"/>
      <c r="AP4" s="98"/>
      <c r="AQ4" s="99"/>
      <c r="AR4" s="102"/>
      <c r="AS4" s="91"/>
      <c r="AT4" s="98"/>
      <c r="AU4" s="99"/>
      <c r="AV4" s="102"/>
      <c r="AW4" s="91"/>
      <c r="AX4" s="98"/>
      <c r="AY4" s="99"/>
      <c r="AZ4" s="102"/>
      <c r="BA4" s="91"/>
    </row>
    <row r="5" spans="1:53" x14ac:dyDescent="0.25">
      <c r="A5" s="82">
        <v>42283</v>
      </c>
      <c r="B5" s="98"/>
      <c r="C5" s="99"/>
      <c r="D5" s="102"/>
      <c r="E5" s="91"/>
      <c r="F5" s="98">
        <v>12200</v>
      </c>
      <c r="G5" s="99">
        <v>12800</v>
      </c>
      <c r="H5" s="102">
        <v>600</v>
      </c>
      <c r="I5" s="91" t="s">
        <v>211</v>
      </c>
      <c r="J5" s="98"/>
      <c r="K5" s="99"/>
      <c r="L5" s="102"/>
      <c r="M5" s="91"/>
      <c r="N5" s="98"/>
      <c r="O5" s="99"/>
      <c r="P5" s="102"/>
      <c r="Q5" s="91"/>
      <c r="R5" s="98"/>
      <c r="S5" s="99"/>
      <c r="T5" s="102"/>
      <c r="U5" s="91"/>
      <c r="V5" s="98"/>
      <c r="W5" s="99"/>
      <c r="X5" s="102"/>
      <c r="Y5" s="91"/>
      <c r="Z5" s="98"/>
      <c r="AA5" s="99"/>
      <c r="AB5" s="102"/>
      <c r="AC5" s="91"/>
      <c r="AD5" s="98"/>
      <c r="AE5" s="99"/>
      <c r="AF5" s="102"/>
      <c r="AG5" s="91"/>
      <c r="AH5" s="98"/>
      <c r="AI5" s="99"/>
      <c r="AJ5" s="102"/>
      <c r="AK5" s="91"/>
      <c r="AL5" s="98"/>
      <c r="AM5" s="99"/>
      <c r="AN5" s="102"/>
      <c r="AO5" s="91"/>
      <c r="AP5" s="98"/>
      <c r="AQ5" s="99"/>
      <c r="AR5" s="102"/>
      <c r="AS5" s="91"/>
      <c r="AT5" s="98"/>
      <c r="AU5" s="99"/>
      <c r="AV5" s="102"/>
      <c r="AW5" s="91"/>
      <c r="AX5" s="98"/>
      <c r="AY5" s="99"/>
      <c r="AZ5" s="102"/>
      <c r="BA5" s="91"/>
    </row>
    <row r="6" spans="1:53" x14ac:dyDescent="0.25">
      <c r="A6" s="82">
        <v>42283</v>
      </c>
      <c r="B6" s="98"/>
      <c r="C6" s="99"/>
      <c r="D6" s="102"/>
      <c r="E6" s="91"/>
      <c r="F6" s="98">
        <v>24000</v>
      </c>
      <c r="G6" s="99">
        <v>24200</v>
      </c>
      <c r="H6" s="102">
        <v>200</v>
      </c>
      <c r="I6" s="91" t="s">
        <v>211</v>
      </c>
      <c r="J6" s="98"/>
      <c r="K6" s="99"/>
      <c r="L6" s="102"/>
      <c r="M6" s="91"/>
      <c r="N6" s="98"/>
      <c r="O6" s="99"/>
      <c r="P6" s="102"/>
      <c r="Q6" s="91"/>
      <c r="R6" s="98"/>
      <c r="S6" s="99"/>
      <c r="T6" s="102"/>
      <c r="U6" s="91"/>
      <c r="V6" s="98"/>
      <c r="W6" s="99"/>
      <c r="X6" s="102"/>
      <c r="Y6" s="91"/>
      <c r="Z6" s="98"/>
      <c r="AA6" s="99"/>
      <c r="AB6" s="102"/>
      <c r="AC6" s="91"/>
      <c r="AD6" s="98"/>
      <c r="AE6" s="99"/>
      <c r="AF6" s="102"/>
      <c r="AG6" s="91"/>
      <c r="AH6" s="98"/>
      <c r="AI6" s="99"/>
      <c r="AJ6" s="102"/>
      <c r="AK6" s="91"/>
      <c r="AL6" s="98"/>
      <c r="AM6" s="99"/>
      <c r="AN6" s="102"/>
      <c r="AO6" s="91"/>
      <c r="AP6" s="98"/>
      <c r="AQ6" s="99"/>
      <c r="AR6" s="102"/>
      <c r="AS6" s="91"/>
      <c r="AT6" s="98"/>
      <c r="AU6" s="99"/>
      <c r="AV6" s="102"/>
      <c r="AW6" s="91"/>
      <c r="AX6" s="98"/>
      <c r="AY6" s="99"/>
      <c r="AZ6" s="102"/>
      <c r="BA6" s="91"/>
    </row>
    <row r="7" spans="1:53" x14ac:dyDescent="0.25">
      <c r="A7" s="82">
        <v>42284</v>
      </c>
      <c r="B7" s="98"/>
      <c r="C7" s="99"/>
      <c r="D7" s="102"/>
      <c r="E7" s="91"/>
      <c r="F7" s="98">
        <v>12800</v>
      </c>
      <c r="G7" s="99">
        <v>13100</v>
      </c>
      <c r="H7" s="102">
        <v>300</v>
      </c>
      <c r="I7" s="91" t="s">
        <v>211</v>
      </c>
      <c r="J7" s="98"/>
      <c r="K7" s="99"/>
      <c r="L7" s="102"/>
      <c r="M7" s="91"/>
      <c r="N7" s="98"/>
      <c r="O7" s="99"/>
      <c r="P7" s="102"/>
      <c r="Q7" s="91"/>
      <c r="R7" s="98"/>
      <c r="S7" s="99"/>
      <c r="T7" s="102"/>
      <c r="U7" s="91"/>
      <c r="V7" s="98"/>
      <c r="W7" s="99"/>
      <c r="X7" s="102"/>
      <c r="Y7" s="91"/>
      <c r="Z7" s="98"/>
      <c r="AA7" s="99"/>
      <c r="AB7" s="102"/>
      <c r="AC7" s="91"/>
      <c r="AD7" s="98"/>
      <c r="AE7" s="99"/>
      <c r="AF7" s="102"/>
      <c r="AG7" s="91"/>
      <c r="AH7" s="98"/>
      <c r="AI7" s="99"/>
      <c r="AJ7" s="102"/>
      <c r="AK7" s="91"/>
      <c r="AL7" s="98"/>
      <c r="AM7" s="99"/>
      <c r="AN7" s="102"/>
      <c r="AO7" s="91"/>
      <c r="AP7" s="98"/>
      <c r="AQ7" s="99"/>
      <c r="AR7" s="102"/>
      <c r="AS7" s="91"/>
      <c r="AT7" s="98"/>
      <c r="AU7" s="99"/>
      <c r="AV7" s="102"/>
      <c r="AW7" s="91"/>
      <c r="AX7" s="98"/>
      <c r="AY7" s="99"/>
      <c r="AZ7" s="102"/>
      <c r="BA7" s="91"/>
    </row>
    <row r="8" spans="1:53" x14ac:dyDescent="0.25">
      <c r="A8" s="82">
        <v>42284</v>
      </c>
      <c r="B8" s="98"/>
      <c r="C8" s="99"/>
      <c r="D8" s="102"/>
      <c r="E8" s="91"/>
      <c r="F8" s="98">
        <v>17000</v>
      </c>
      <c r="G8" s="99">
        <v>19000</v>
      </c>
      <c r="H8" s="102">
        <v>2000</v>
      </c>
      <c r="I8" s="91" t="s">
        <v>211</v>
      </c>
      <c r="J8" s="98"/>
      <c r="K8" s="99"/>
      <c r="L8" s="102"/>
      <c r="M8" s="91"/>
      <c r="N8" s="98"/>
      <c r="O8" s="99"/>
      <c r="P8" s="102"/>
      <c r="Q8" s="91"/>
      <c r="R8" s="98"/>
      <c r="S8" s="99"/>
      <c r="T8" s="102"/>
      <c r="U8" s="91"/>
      <c r="V8" s="98"/>
      <c r="W8" s="99"/>
      <c r="X8" s="102"/>
      <c r="Y8" s="91"/>
      <c r="Z8" s="98"/>
      <c r="AA8" s="99"/>
      <c r="AB8" s="102"/>
      <c r="AC8" s="91"/>
      <c r="AD8" s="98"/>
      <c r="AE8" s="99"/>
      <c r="AF8" s="102"/>
      <c r="AG8" s="91"/>
      <c r="AH8" s="98"/>
      <c r="AI8" s="99"/>
      <c r="AJ8" s="102"/>
      <c r="AK8" s="91"/>
      <c r="AL8" s="98"/>
      <c r="AM8" s="99"/>
      <c r="AN8" s="102"/>
      <c r="AO8" s="91"/>
      <c r="AP8" s="98"/>
      <c r="AQ8" s="99"/>
      <c r="AR8" s="102"/>
      <c r="AS8" s="91"/>
      <c r="AT8" s="98"/>
      <c r="AU8" s="99"/>
      <c r="AV8" s="102"/>
      <c r="AW8" s="91"/>
      <c r="AX8" s="98"/>
      <c r="AY8" s="99"/>
      <c r="AZ8" s="102"/>
      <c r="BA8" s="91"/>
    </row>
    <row r="9" spans="1:53" x14ac:dyDescent="0.25">
      <c r="A9" s="82">
        <v>42285</v>
      </c>
      <c r="B9" s="98">
        <v>23100</v>
      </c>
      <c r="C9" s="99">
        <v>23200</v>
      </c>
      <c r="D9" s="102">
        <v>100</v>
      </c>
      <c r="E9" s="91" t="s">
        <v>208</v>
      </c>
      <c r="F9" s="98">
        <v>13100</v>
      </c>
      <c r="G9" s="99">
        <v>14100</v>
      </c>
      <c r="H9" s="102">
        <v>1000</v>
      </c>
      <c r="I9" s="91" t="s">
        <v>211</v>
      </c>
      <c r="J9" s="98"/>
      <c r="K9" s="99"/>
      <c r="L9" s="102"/>
      <c r="M9" s="91"/>
      <c r="N9" s="98"/>
      <c r="O9" s="99"/>
      <c r="P9" s="102"/>
      <c r="Q9" s="91"/>
      <c r="R9" s="98"/>
      <c r="S9" s="99"/>
      <c r="T9" s="102"/>
      <c r="U9" s="91"/>
      <c r="V9" s="98"/>
      <c r="W9" s="99"/>
      <c r="X9" s="102"/>
      <c r="Y9" s="91"/>
      <c r="Z9" s="98"/>
      <c r="AA9" s="99"/>
      <c r="AB9" s="102"/>
      <c r="AC9" s="91"/>
      <c r="AD9" s="98"/>
      <c r="AE9" s="99"/>
      <c r="AF9" s="102"/>
      <c r="AG9" s="91"/>
      <c r="AH9" s="98"/>
      <c r="AI9" s="99"/>
      <c r="AJ9" s="102"/>
      <c r="AK9" s="91"/>
      <c r="AL9" s="98"/>
      <c r="AM9" s="99"/>
      <c r="AN9" s="102"/>
      <c r="AO9" s="91"/>
      <c r="AP9" s="98"/>
      <c r="AQ9" s="99"/>
      <c r="AR9" s="102"/>
      <c r="AS9" s="91"/>
      <c r="AT9" s="98"/>
      <c r="AU9" s="99"/>
      <c r="AV9" s="102"/>
      <c r="AW9" s="91"/>
      <c r="AX9" s="98"/>
      <c r="AY9" s="99"/>
      <c r="AZ9" s="102"/>
      <c r="BA9" s="91"/>
    </row>
    <row r="10" spans="1:53" x14ac:dyDescent="0.25">
      <c r="A10" s="82">
        <v>42286</v>
      </c>
      <c r="B10" s="98">
        <v>24200</v>
      </c>
      <c r="C10" s="99">
        <v>24500</v>
      </c>
      <c r="D10" s="102">
        <v>300</v>
      </c>
      <c r="E10" s="91" t="s">
        <v>208</v>
      </c>
      <c r="F10" s="98">
        <v>14100</v>
      </c>
      <c r="G10" s="99">
        <v>14900</v>
      </c>
      <c r="H10" s="102">
        <v>800</v>
      </c>
      <c r="I10" s="91" t="s">
        <v>211</v>
      </c>
      <c r="J10" s="98"/>
      <c r="K10" s="99"/>
      <c r="L10" s="102"/>
      <c r="M10" s="91"/>
      <c r="N10" s="98"/>
      <c r="O10" s="99"/>
      <c r="P10" s="102"/>
      <c r="Q10" s="91"/>
      <c r="R10" s="98"/>
      <c r="S10" s="99"/>
      <c r="T10" s="102"/>
      <c r="U10" s="91"/>
      <c r="V10" s="98"/>
      <c r="W10" s="99"/>
      <c r="X10" s="102"/>
      <c r="Y10" s="91"/>
      <c r="Z10" s="98"/>
      <c r="AA10" s="99"/>
      <c r="AB10" s="102"/>
      <c r="AC10" s="91"/>
      <c r="AD10" s="98"/>
      <c r="AE10" s="99"/>
      <c r="AF10" s="102"/>
      <c r="AG10" s="91"/>
      <c r="AH10" s="98"/>
      <c r="AI10" s="99"/>
      <c r="AJ10" s="102"/>
      <c r="AK10" s="91"/>
      <c r="AL10" s="98"/>
      <c r="AM10" s="99"/>
      <c r="AN10" s="102"/>
      <c r="AO10" s="91"/>
      <c r="AP10" s="98"/>
      <c r="AQ10" s="99"/>
      <c r="AR10" s="102"/>
      <c r="AS10" s="91"/>
      <c r="AT10" s="98"/>
      <c r="AU10" s="99"/>
      <c r="AV10" s="102"/>
      <c r="AW10" s="91"/>
      <c r="AX10" s="98"/>
      <c r="AY10" s="99"/>
      <c r="AZ10" s="102"/>
      <c r="BA10" s="91"/>
    </row>
    <row r="11" spans="1:53" x14ac:dyDescent="0.25">
      <c r="A11" s="82">
        <v>42287</v>
      </c>
      <c r="B11" s="98">
        <v>24500</v>
      </c>
      <c r="C11" s="99">
        <v>24700</v>
      </c>
      <c r="D11" s="102">
        <v>200</v>
      </c>
      <c r="E11" s="91" t="s">
        <v>208</v>
      </c>
      <c r="F11" s="98">
        <v>11600</v>
      </c>
      <c r="G11" s="99">
        <v>12300</v>
      </c>
      <c r="H11" s="102">
        <v>700</v>
      </c>
      <c r="I11" s="91" t="s">
        <v>211</v>
      </c>
      <c r="J11" s="98">
        <v>23100</v>
      </c>
      <c r="K11" s="99">
        <v>24000</v>
      </c>
      <c r="L11" s="102">
        <v>900</v>
      </c>
      <c r="M11" s="91" t="s">
        <v>208</v>
      </c>
      <c r="N11" s="98"/>
      <c r="O11" s="99"/>
      <c r="P11" s="102"/>
      <c r="Q11" s="91"/>
      <c r="R11" s="98"/>
      <c r="S11" s="99"/>
      <c r="T11" s="102"/>
      <c r="U11" s="91"/>
      <c r="V11" s="98"/>
      <c r="W11" s="99"/>
      <c r="X11" s="102"/>
      <c r="Y11" s="91"/>
      <c r="Z11" s="98"/>
      <c r="AA11" s="99"/>
      <c r="AB11" s="102"/>
      <c r="AC11" s="91"/>
      <c r="AD11" s="98"/>
      <c r="AE11" s="99"/>
      <c r="AF11" s="102"/>
      <c r="AG11" s="91"/>
      <c r="AH11" s="98"/>
      <c r="AI11" s="99"/>
      <c r="AJ11" s="102"/>
      <c r="AK11" s="91"/>
      <c r="AL11" s="98"/>
      <c r="AM11" s="99"/>
      <c r="AN11" s="102"/>
      <c r="AO11" s="91"/>
      <c r="AP11" s="98"/>
      <c r="AQ11" s="99"/>
      <c r="AR11" s="102"/>
      <c r="AS11" s="91"/>
      <c r="AT11" s="98"/>
      <c r="AU11" s="99"/>
      <c r="AV11" s="102"/>
      <c r="AW11" s="91"/>
      <c r="AX11" s="98"/>
      <c r="AY11" s="99"/>
      <c r="AZ11" s="102"/>
      <c r="BA11" s="91"/>
    </row>
    <row r="12" spans="1:53" x14ac:dyDescent="0.25">
      <c r="A12" s="82">
        <v>42290</v>
      </c>
      <c r="B12" s="98">
        <v>21500</v>
      </c>
      <c r="C12" s="99">
        <v>23100</v>
      </c>
      <c r="D12" s="102">
        <v>1600</v>
      </c>
      <c r="E12" s="91" t="s">
        <v>208</v>
      </c>
      <c r="F12" s="98">
        <v>9700</v>
      </c>
      <c r="G12" s="99">
        <v>10200</v>
      </c>
      <c r="H12" s="102">
        <v>500</v>
      </c>
      <c r="I12" s="91" t="s">
        <v>211</v>
      </c>
      <c r="J12" s="98">
        <v>24000</v>
      </c>
      <c r="K12" s="99">
        <v>24600</v>
      </c>
      <c r="L12" s="102">
        <v>600</v>
      </c>
      <c r="M12" s="91" t="s">
        <v>208</v>
      </c>
      <c r="N12" s="98"/>
      <c r="O12" s="99"/>
      <c r="P12" s="102"/>
      <c r="Q12" s="91"/>
      <c r="R12" s="98"/>
      <c r="S12" s="99"/>
      <c r="T12" s="102"/>
      <c r="U12" s="91"/>
      <c r="V12" s="98"/>
      <c r="W12" s="99"/>
      <c r="X12" s="102"/>
      <c r="Y12" s="91"/>
      <c r="Z12" s="98"/>
      <c r="AA12" s="99"/>
      <c r="AB12" s="102"/>
      <c r="AC12" s="91"/>
      <c r="AD12" s="98"/>
      <c r="AE12" s="99"/>
      <c r="AF12" s="102"/>
      <c r="AG12" s="91"/>
      <c r="AH12" s="98"/>
      <c r="AI12" s="99"/>
      <c r="AJ12" s="102"/>
      <c r="AK12" s="91"/>
      <c r="AL12" s="98"/>
      <c r="AM12" s="99"/>
      <c r="AN12" s="102"/>
      <c r="AO12" s="91"/>
      <c r="AP12" s="98"/>
      <c r="AQ12" s="99"/>
      <c r="AR12" s="102"/>
      <c r="AS12" s="91"/>
      <c r="AT12" s="98"/>
      <c r="AU12" s="99"/>
      <c r="AV12" s="102"/>
      <c r="AW12" s="91"/>
      <c r="AX12" s="98"/>
      <c r="AY12" s="99"/>
      <c r="AZ12" s="102"/>
      <c r="BA12" s="91"/>
    </row>
    <row r="13" spans="1:53" x14ac:dyDescent="0.25">
      <c r="A13" s="82">
        <v>42290</v>
      </c>
      <c r="B13" s="98"/>
      <c r="C13" s="99"/>
      <c r="D13" s="102"/>
      <c r="E13" s="91"/>
      <c r="F13" s="98">
        <v>11000</v>
      </c>
      <c r="G13" s="99">
        <v>11600</v>
      </c>
      <c r="H13" s="102">
        <v>600</v>
      </c>
      <c r="I13" s="91" t="s">
        <v>211</v>
      </c>
      <c r="J13" s="98"/>
      <c r="K13" s="99"/>
      <c r="L13" s="102"/>
      <c r="M13" s="91"/>
      <c r="N13" s="98"/>
      <c r="O13" s="99"/>
      <c r="P13" s="102"/>
      <c r="Q13" s="91"/>
      <c r="R13" s="98"/>
      <c r="S13" s="99"/>
      <c r="T13" s="102"/>
      <c r="U13" s="91"/>
      <c r="V13" s="98"/>
      <c r="W13" s="99"/>
      <c r="X13" s="102"/>
      <c r="Y13" s="91"/>
      <c r="Z13" s="98"/>
      <c r="AA13" s="99"/>
      <c r="AB13" s="102"/>
      <c r="AC13" s="91"/>
      <c r="AD13" s="98"/>
      <c r="AE13" s="99"/>
      <c r="AF13" s="102"/>
      <c r="AG13" s="91"/>
      <c r="AH13" s="98"/>
      <c r="AI13" s="99"/>
      <c r="AJ13" s="102"/>
      <c r="AK13" s="91"/>
      <c r="AL13" s="98"/>
      <c r="AM13" s="99"/>
      <c r="AN13" s="102"/>
      <c r="AO13" s="91"/>
      <c r="AP13" s="98"/>
      <c r="AQ13" s="99"/>
      <c r="AR13" s="102"/>
      <c r="AS13" s="91"/>
      <c r="AT13" s="98"/>
      <c r="AU13" s="99"/>
      <c r="AV13" s="102"/>
      <c r="AW13" s="91"/>
      <c r="AX13" s="98"/>
      <c r="AY13" s="99"/>
      <c r="AZ13" s="102"/>
      <c r="BA13" s="91"/>
    </row>
    <row r="14" spans="1:53" x14ac:dyDescent="0.25">
      <c r="A14" s="82">
        <v>42291</v>
      </c>
      <c r="B14" s="98">
        <v>21000</v>
      </c>
      <c r="C14" s="99">
        <v>21500</v>
      </c>
      <c r="D14" s="102">
        <v>500</v>
      </c>
      <c r="E14" s="91" t="s">
        <v>208</v>
      </c>
      <c r="F14" s="98">
        <v>10300</v>
      </c>
      <c r="G14" s="99">
        <v>11000</v>
      </c>
      <c r="H14" s="102">
        <v>700</v>
      </c>
      <c r="I14" s="91" t="s">
        <v>211</v>
      </c>
      <c r="J14" s="98">
        <v>24600</v>
      </c>
      <c r="K14" s="99">
        <v>24700</v>
      </c>
      <c r="L14" s="102">
        <v>100</v>
      </c>
      <c r="M14" s="91" t="s">
        <v>208</v>
      </c>
      <c r="N14" s="98"/>
      <c r="O14" s="99"/>
      <c r="P14" s="102"/>
      <c r="Q14" s="91"/>
      <c r="R14" s="98"/>
      <c r="S14" s="99"/>
      <c r="T14" s="102"/>
      <c r="U14" s="91"/>
      <c r="V14" s="98"/>
      <c r="W14" s="99"/>
      <c r="X14" s="102"/>
      <c r="Y14" s="91"/>
      <c r="Z14" s="98"/>
      <c r="AA14" s="99"/>
      <c r="AB14" s="102"/>
      <c r="AC14" s="91"/>
      <c r="AD14" s="98"/>
      <c r="AE14" s="99"/>
      <c r="AF14" s="102"/>
      <c r="AG14" s="91"/>
      <c r="AH14" s="98"/>
      <c r="AI14" s="99"/>
      <c r="AJ14" s="102"/>
      <c r="AK14" s="91"/>
      <c r="AL14" s="98"/>
      <c r="AM14" s="99"/>
      <c r="AN14" s="102"/>
      <c r="AO14" s="91"/>
      <c r="AP14" s="98"/>
      <c r="AQ14" s="99"/>
      <c r="AR14" s="102"/>
      <c r="AS14" s="91"/>
      <c r="AT14" s="98"/>
      <c r="AU14" s="99"/>
      <c r="AV14" s="102"/>
      <c r="AW14" s="91"/>
      <c r="AX14" s="98"/>
      <c r="AY14" s="99"/>
      <c r="AZ14" s="102"/>
      <c r="BA14" s="91"/>
    </row>
    <row r="15" spans="1:53" x14ac:dyDescent="0.25">
      <c r="A15" s="82">
        <v>42291</v>
      </c>
      <c r="B15" s="98"/>
      <c r="C15" s="99"/>
      <c r="D15" s="102"/>
      <c r="E15" s="91"/>
      <c r="F15" s="98">
        <v>9100</v>
      </c>
      <c r="G15" s="99">
        <v>9700</v>
      </c>
      <c r="H15" s="102">
        <v>600</v>
      </c>
      <c r="I15" s="91" t="s">
        <v>211</v>
      </c>
      <c r="J15" s="98"/>
      <c r="K15" s="99"/>
      <c r="L15" s="102"/>
      <c r="M15" s="91"/>
      <c r="N15" s="98"/>
      <c r="O15" s="99"/>
      <c r="P15" s="102"/>
      <c r="Q15" s="91"/>
      <c r="R15" s="98"/>
      <c r="S15" s="99"/>
      <c r="T15" s="102"/>
      <c r="U15" s="91"/>
      <c r="V15" s="98"/>
      <c r="W15" s="99"/>
      <c r="X15" s="102"/>
      <c r="Y15" s="91"/>
      <c r="Z15" s="98"/>
      <c r="AA15" s="99"/>
      <c r="AB15" s="102"/>
      <c r="AC15" s="91"/>
      <c r="AD15" s="98"/>
      <c r="AE15" s="99"/>
      <c r="AF15" s="102"/>
      <c r="AG15" s="91"/>
      <c r="AH15" s="98"/>
      <c r="AI15" s="99"/>
      <c r="AJ15" s="102"/>
      <c r="AK15" s="91"/>
      <c r="AL15" s="98"/>
      <c r="AM15" s="99"/>
      <c r="AN15" s="102"/>
      <c r="AO15" s="91"/>
      <c r="AP15" s="98"/>
      <c r="AQ15" s="99"/>
      <c r="AR15" s="102"/>
      <c r="AS15" s="91"/>
      <c r="AT15" s="98"/>
      <c r="AU15" s="99"/>
      <c r="AV15" s="102"/>
      <c r="AW15" s="91"/>
      <c r="AX15" s="98"/>
      <c r="AY15" s="99"/>
      <c r="AZ15" s="102"/>
      <c r="BA15" s="91"/>
    </row>
    <row r="16" spans="1:53" x14ac:dyDescent="0.25">
      <c r="A16" s="82">
        <v>42292</v>
      </c>
      <c r="B16" s="98">
        <v>19500</v>
      </c>
      <c r="C16" s="99">
        <v>21000</v>
      </c>
      <c r="D16" s="102">
        <v>1500</v>
      </c>
      <c r="E16" s="91" t="s">
        <v>208</v>
      </c>
      <c r="F16" s="98">
        <v>8400</v>
      </c>
      <c r="G16" s="99">
        <v>9100</v>
      </c>
      <c r="H16" s="102">
        <v>700</v>
      </c>
      <c r="I16" s="91" t="s">
        <v>211</v>
      </c>
      <c r="J16" s="98">
        <v>22300</v>
      </c>
      <c r="K16" s="99">
        <v>23100</v>
      </c>
      <c r="L16" s="102">
        <v>800</v>
      </c>
      <c r="M16" s="91" t="s">
        <v>208</v>
      </c>
      <c r="N16" s="98"/>
      <c r="O16" s="99"/>
      <c r="P16" s="102"/>
      <c r="Q16" s="91"/>
      <c r="R16" s="98"/>
      <c r="S16" s="99"/>
      <c r="T16" s="102"/>
      <c r="U16" s="91"/>
      <c r="V16" s="98"/>
      <c r="W16" s="99"/>
      <c r="X16" s="102"/>
      <c r="Y16" s="91"/>
      <c r="Z16" s="98"/>
      <c r="AA16" s="99"/>
      <c r="AB16" s="102"/>
      <c r="AC16" s="91"/>
      <c r="AD16" s="98"/>
      <c r="AE16" s="99"/>
      <c r="AF16" s="102"/>
      <c r="AG16" s="91"/>
      <c r="AH16" s="98"/>
      <c r="AI16" s="99"/>
      <c r="AJ16" s="102"/>
      <c r="AK16" s="91"/>
      <c r="AL16" s="98"/>
      <c r="AM16" s="99"/>
      <c r="AN16" s="102"/>
      <c r="AO16" s="91"/>
      <c r="AP16" s="98"/>
      <c r="AQ16" s="99"/>
      <c r="AR16" s="102"/>
      <c r="AS16" s="91"/>
      <c r="AT16" s="98"/>
      <c r="AU16" s="99"/>
      <c r="AV16" s="102"/>
      <c r="AW16" s="91"/>
      <c r="AX16" s="98"/>
      <c r="AY16" s="99"/>
      <c r="AZ16" s="102"/>
      <c r="BA16" s="91"/>
    </row>
    <row r="17" spans="1:53" x14ac:dyDescent="0.25">
      <c r="A17" s="82">
        <v>42293</v>
      </c>
      <c r="B17" s="98">
        <v>17500</v>
      </c>
      <c r="C17" s="99">
        <v>19500</v>
      </c>
      <c r="D17" s="102">
        <v>2000</v>
      </c>
      <c r="E17" s="91" t="s">
        <v>208</v>
      </c>
      <c r="F17" s="98">
        <v>7500</v>
      </c>
      <c r="G17" s="99">
        <v>8400</v>
      </c>
      <c r="H17" s="102">
        <v>900</v>
      </c>
      <c r="I17" s="91" t="s">
        <v>211</v>
      </c>
      <c r="J17" s="98">
        <v>21500</v>
      </c>
      <c r="K17" s="99">
        <v>22300</v>
      </c>
      <c r="L17" s="102">
        <v>800</v>
      </c>
      <c r="M17" s="91" t="s">
        <v>208</v>
      </c>
      <c r="N17" s="98"/>
      <c r="O17" s="99"/>
      <c r="P17" s="102"/>
      <c r="Q17" s="91"/>
      <c r="R17" s="98"/>
      <c r="S17" s="99"/>
      <c r="T17" s="102"/>
      <c r="U17" s="91"/>
      <c r="V17" s="98"/>
      <c r="W17" s="99"/>
      <c r="X17" s="102"/>
      <c r="Y17" s="91"/>
      <c r="Z17" s="98"/>
      <c r="AA17" s="99"/>
      <c r="AB17" s="102"/>
      <c r="AC17" s="91"/>
      <c r="AD17" s="98"/>
      <c r="AE17" s="99"/>
      <c r="AF17" s="102"/>
      <c r="AG17" s="91"/>
      <c r="AH17" s="98"/>
      <c r="AI17" s="99"/>
      <c r="AJ17" s="102"/>
      <c r="AK17" s="91"/>
      <c r="AL17" s="98"/>
      <c r="AM17" s="99"/>
      <c r="AN17" s="102"/>
      <c r="AO17" s="91"/>
      <c r="AP17" s="98"/>
      <c r="AQ17" s="99"/>
      <c r="AR17" s="102"/>
      <c r="AS17" s="91"/>
      <c r="AT17" s="98"/>
      <c r="AU17" s="99"/>
      <c r="AV17" s="102"/>
      <c r="AW17" s="91"/>
      <c r="AX17" s="98"/>
      <c r="AY17" s="99"/>
      <c r="AZ17" s="102"/>
      <c r="BA17" s="91"/>
    </row>
    <row r="18" spans="1:53" x14ac:dyDescent="0.25">
      <c r="A18" s="82">
        <v>42293</v>
      </c>
      <c r="B18" s="98"/>
      <c r="C18" s="99"/>
      <c r="D18" s="102"/>
      <c r="E18" s="91"/>
      <c r="F18" s="98">
        <v>9800</v>
      </c>
      <c r="G18" s="99">
        <v>10900</v>
      </c>
      <c r="H18" s="102">
        <v>1100</v>
      </c>
      <c r="I18" s="91" t="s">
        <v>211</v>
      </c>
      <c r="J18" s="98"/>
      <c r="K18" s="99"/>
      <c r="L18" s="102"/>
      <c r="M18" s="91"/>
      <c r="N18" s="98"/>
      <c r="O18" s="99"/>
      <c r="P18" s="102"/>
      <c r="Q18" s="91"/>
      <c r="R18" s="98"/>
      <c r="S18" s="99"/>
      <c r="T18" s="102"/>
      <c r="U18" s="91"/>
      <c r="V18" s="98"/>
      <c r="W18" s="99"/>
      <c r="X18" s="102"/>
      <c r="Y18" s="91"/>
      <c r="Z18" s="98"/>
      <c r="AA18" s="99"/>
      <c r="AB18" s="102"/>
      <c r="AC18" s="91"/>
      <c r="AD18" s="98"/>
      <c r="AE18" s="99"/>
      <c r="AF18" s="102"/>
      <c r="AG18" s="91"/>
      <c r="AH18" s="98"/>
      <c r="AI18" s="99"/>
      <c r="AJ18" s="102"/>
      <c r="AK18" s="91"/>
      <c r="AL18" s="98"/>
      <c r="AM18" s="99"/>
      <c r="AN18" s="102"/>
      <c r="AO18" s="91"/>
      <c r="AP18" s="98"/>
      <c r="AQ18" s="99"/>
      <c r="AR18" s="102"/>
      <c r="AS18" s="91"/>
      <c r="AT18" s="98"/>
      <c r="AU18" s="99"/>
      <c r="AV18" s="102"/>
      <c r="AW18" s="91"/>
      <c r="AX18" s="98"/>
      <c r="AY18" s="99"/>
      <c r="AZ18" s="102"/>
      <c r="BA18" s="91"/>
    </row>
    <row r="19" spans="1:53" x14ac:dyDescent="0.25">
      <c r="A19" s="82">
        <v>42294</v>
      </c>
      <c r="B19" s="98">
        <v>17000</v>
      </c>
      <c r="C19" s="99">
        <v>17500</v>
      </c>
      <c r="D19" s="102">
        <v>500</v>
      </c>
      <c r="E19" s="91" t="s">
        <v>208</v>
      </c>
      <c r="F19" s="98">
        <v>6000</v>
      </c>
      <c r="G19" s="99">
        <v>6700</v>
      </c>
      <c r="H19" s="102">
        <v>700</v>
      </c>
      <c r="I19" s="91" t="s">
        <v>211</v>
      </c>
      <c r="J19" s="98">
        <v>20200</v>
      </c>
      <c r="K19" s="99">
        <v>21500</v>
      </c>
      <c r="L19" s="102">
        <v>1300</v>
      </c>
      <c r="M19" s="91" t="s">
        <v>208</v>
      </c>
      <c r="N19" s="98"/>
      <c r="O19" s="99"/>
      <c r="P19" s="102"/>
      <c r="Q19" s="91"/>
      <c r="R19" s="98"/>
      <c r="S19" s="99"/>
      <c r="T19" s="102"/>
      <c r="U19" s="91"/>
      <c r="V19" s="98"/>
      <c r="W19" s="99"/>
      <c r="X19" s="102"/>
      <c r="Y19" s="91"/>
      <c r="Z19" s="98"/>
      <c r="AA19" s="99"/>
      <c r="AB19" s="102"/>
      <c r="AC19" s="91"/>
      <c r="AD19" s="98"/>
      <c r="AE19" s="99"/>
      <c r="AF19" s="102"/>
      <c r="AG19" s="91"/>
      <c r="AH19" s="98"/>
      <c r="AI19" s="99"/>
      <c r="AJ19" s="102"/>
      <c r="AK19" s="91"/>
      <c r="AL19" s="98"/>
      <c r="AM19" s="99"/>
      <c r="AN19" s="102"/>
      <c r="AO19" s="91"/>
      <c r="AP19" s="98"/>
      <c r="AQ19" s="99"/>
      <c r="AR19" s="102"/>
      <c r="AS19" s="91"/>
      <c r="AT19" s="98"/>
      <c r="AU19" s="99"/>
      <c r="AV19" s="102"/>
      <c r="AW19" s="91"/>
      <c r="AX19" s="98"/>
      <c r="AY19" s="99"/>
      <c r="AZ19" s="102"/>
      <c r="BA19" s="91"/>
    </row>
    <row r="20" spans="1:53" x14ac:dyDescent="0.25">
      <c r="A20" s="82">
        <v>42296</v>
      </c>
      <c r="B20" s="98">
        <v>16500</v>
      </c>
      <c r="C20" s="99">
        <v>17000</v>
      </c>
      <c r="D20" s="102">
        <v>500</v>
      </c>
      <c r="E20" s="91" t="s">
        <v>208</v>
      </c>
      <c r="F20" s="98">
        <v>16300</v>
      </c>
      <c r="G20" s="99">
        <v>17000</v>
      </c>
      <c r="H20" s="102">
        <v>700</v>
      </c>
      <c r="I20" s="91" t="s">
        <v>211</v>
      </c>
      <c r="J20" s="98">
        <v>19500</v>
      </c>
      <c r="K20" s="99">
        <v>20200</v>
      </c>
      <c r="L20" s="102">
        <v>700</v>
      </c>
      <c r="M20" s="91" t="s">
        <v>208</v>
      </c>
      <c r="N20" s="98"/>
      <c r="O20" s="99"/>
      <c r="P20" s="102"/>
      <c r="Q20" s="91"/>
      <c r="R20" s="98"/>
      <c r="S20" s="99"/>
      <c r="T20" s="102"/>
      <c r="U20" s="91"/>
      <c r="V20" s="98"/>
      <c r="W20" s="99"/>
      <c r="X20" s="102"/>
      <c r="Y20" s="91"/>
      <c r="Z20" s="98"/>
      <c r="AA20" s="99"/>
      <c r="AB20" s="102"/>
      <c r="AC20" s="91"/>
      <c r="AD20" s="98"/>
      <c r="AE20" s="99"/>
      <c r="AF20" s="102"/>
      <c r="AG20" s="91"/>
      <c r="AH20" s="98"/>
      <c r="AI20" s="99"/>
      <c r="AJ20" s="102"/>
      <c r="AK20" s="91"/>
      <c r="AL20" s="98"/>
      <c r="AM20" s="99"/>
      <c r="AN20" s="102"/>
      <c r="AO20" s="91"/>
      <c r="AP20" s="98"/>
      <c r="AQ20" s="99"/>
      <c r="AR20" s="102"/>
      <c r="AS20" s="91"/>
      <c r="AT20" s="98"/>
      <c r="AU20" s="99"/>
      <c r="AV20" s="102"/>
      <c r="AW20" s="91"/>
      <c r="AX20" s="98"/>
      <c r="AY20" s="99"/>
      <c r="AZ20" s="102"/>
      <c r="BA20" s="91"/>
    </row>
    <row r="21" spans="1:53" x14ac:dyDescent="0.25">
      <c r="A21" s="82">
        <v>42297</v>
      </c>
      <c r="B21" s="98">
        <v>10300</v>
      </c>
      <c r="C21" s="99">
        <v>10800</v>
      </c>
      <c r="D21" s="102">
        <v>500</v>
      </c>
      <c r="E21" s="91" t="s">
        <v>208</v>
      </c>
      <c r="F21" s="98">
        <v>15300</v>
      </c>
      <c r="G21" s="99">
        <v>15800</v>
      </c>
      <c r="H21" s="102">
        <v>500</v>
      </c>
      <c r="I21" s="91" t="s">
        <v>211</v>
      </c>
      <c r="J21" s="98">
        <v>18500</v>
      </c>
      <c r="K21" s="99">
        <v>19500</v>
      </c>
      <c r="L21" s="102">
        <v>1000</v>
      </c>
      <c r="M21" s="91" t="s">
        <v>208</v>
      </c>
      <c r="N21" s="98"/>
      <c r="O21" s="99"/>
      <c r="P21" s="102"/>
      <c r="Q21" s="91"/>
      <c r="R21" s="98"/>
      <c r="S21" s="99"/>
      <c r="T21" s="102"/>
      <c r="U21" s="91"/>
      <c r="V21" s="98"/>
      <c r="W21" s="99"/>
      <c r="X21" s="102"/>
      <c r="Y21" s="91"/>
      <c r="Z21" s="98"/>
      <c r="AA21" s="99"/>
      <c r="AB21" s="102"/>
      <c r="AC21" s="91"/>
      <c r="AD21" s="98"/>
      <c r="AE21" s="99"/>
      <c r="AF21" s="102"/>
      <c r="AG21" s="91"/>
      <c r="AH21" s="98"/>
      <c r="AI21" s="99"/>
      <c r="AJ21" s="102"/>
      <c r="AK21" s="91"/>
      <c r="AL21" s="98"/>
      <c r="AM21" s="99"/>
      <c r="AN21" s="102"/>
      <c r="AO21" s="91"/>
      <c r="AP21" s="98"/>
      <c r="AQ21" s="99"/>
      <c r="AR21" s="102"/>
      <c r="AS21" s="91"/>
      <c r="AT21" s="98"/>
      <c r="AU21" s="99"/>
      <c r="AV21" s="102"/>
      <c r="AW21" s="91"/>
      <c r="AX21" s="98"/>
      <c r="AY21" s="99"/>
      <c r="AZ21" s="102"/>
      <c r="BA21" s="91"/>
    </row>
    <row r="22" spans="1:53" x14ac:dyDescent="0.25">
      <c r="A22" s="82">
        <v>42298</v>
      </c>
      <c r="B22" s="98">
        <v>10800</v>
      </c>
      <c r="C22" s="99">
        <v>14800</v>
      </c>
      <c r="D22" s="102">
        <v>4000</v>
      </c>
      <c r="E22" s="91" t="s">
        <v>208</v>
      </c>
      <c r="F22" s="98">
        <v>300</v>
      </c>
      <c r="G22" s="99">
        <v>600</v>
      </c>
      <c r="H22" s="102">
        <v>300</v>
      </c>
      <c r="I22" s="91" t="s">
        <v>211</v>
      </c>
      <c r="J22" s="98">
        <v>18000</v>
      </c>
      <c r="K22" s="99">
        <v>18500</v>
      </c>
      <c r="L22" s="102">
        <v>500</v>
      </c>
      <c r="M22" s="91" t="s">
        <v>208</v>
      </c>
      <c r="N22" s="98"/>
      <c r="O22" s="99"/>
      <c r="P22" s="102"/>
      <c r="Q22" s="91"/>
      <c r="R22" s="98"/>
      <c r="S22" s="99"/>
      <c r="T22" s="102"/>
      <c r="U22" s="91"/>
      <c r="V22" s="98"/>
      <c r="W22" s="99"/>
      <c r="X22" s="102"/>
      <c r="Y22" s="91"/>
      <c r="Z22" s="98"/>
      <c r="AA22" s="99"/>
      <c r="AB22" s="102"/>
      <c r="AC22" s="91"/>
      <c r="AD22" s="98"/>
      <c r="AE22" s="99"/>
      <c r="AF22" s="102"/>
      <c r="AG22" s="91"/>
      <c r="AH22" s="98"/>
      <c r="AI22" s="99"/>
      <c r="AJ22" s="102"/>
      <c r="AK22" s="91"/>
      <c r="AL22" s="98"/>
      <c r="AM22" s="99"/>
      <c r="AN22" s="102"/>
      <c r="AO22" s="91"/>
      <c r="AP22" s="98"/>
      <c r="AQ22" s="99"/>
      <c r="AR22" s="102"/>
      <c r="AS22" s="91"/>
      <c r="AT22" s="98"/>
      <c r="AU22" s="99"/>
      <c r="AV22" s="102"/>
      <c r="AW22" s="91"/>
      <c r="AX22" s="98"/>
      <c r="AY22" s="99"/>
      <c r="AZ22" s="102"/>
      <c r="BA22" s="91"/>
    </row>
    <row r="23" spans="1:53" x14ac:dyDescent="0.25">
      <c r="A23" s="82">
        <v>42299</v>
      </c>
      <c r="B23" s="98">
        <v>14800</v>
      </c>
      <c r="C23" s="99">
        <v>15000</v>
      </c>
      <c r="D23" s="102">
        <v>200</v>
      </c>
      <c r="E23" s="91" t="s">
        <v>208</v>
      </c>
      <c r="F23" s="98">
        <v>600</v>
      </c>
      <c r="G23" s="99">
        <v>900</v>
      </c>
      <c r="H23" s="102">
        <v>300</v>
      </c>
      <c r="I23" s="91" t="s">
        <v>211</v>
      </c>
      <c r="J23" s="98">
        <v>17000</v>
      </c>
      <c r="K23" s="99">
        <v>18000</v>
      </c>
      <c r="L23" s="102">
        <v>1000</v>
      </c>
      <c r="M23" s="91" t="s">
        <v>208</v>
      </c>
      <c r="N23" s="98"/>
      <c r="O23" s="99"/>
      <c r="P23" s="102"/>
      <c r="Q23" s="91"/>
      <c r="R23" s="98"/>
      <c r="S23" s="99"/>
      <c r="T23" s="102"/>
      <c r="U23" s="91"/>
      <c r="V23" s="98"/>
      <c r="W23" s="99"/>
      <c r="X23" s="102"/>
      <c r="Y23" s="91"/>
      <c r="Z23" s="98"/>
      <c r="AA23" s="99"/>
      <c r="AB23" s="102"/>
      <c r="AC23" s="91"/>
      <c r="AD23" s="98"/>
      <c r="AE23" s="99"/>
      <c r="AF23" s="102"/>
      <c r="AG23" s="91"/>
      <c r="AH23" s="98"/>
      <c r="AI23" s="99"/>
      <c r="AJ23" s="102"/>
      <c r="AK23" s="91"/>
      <c r="AL23" s="98"/>
      <c r="AM23" s="99"/>
      <c r="AN23" s="102"/>
      <c r="AO23" s="91"/>
      <c r="AP23" s="98"/>
      <c r="AQ23" s="99"/>
      <c r="AR23" s="102"/>
      <c r="AS23" s="91"/>
      <c r="AT23" s="98"/>
      <c r="AU23" s="99"/>
      <c r="AV23" s="102"/>
      <c r="AW23" s="91"/>
      <c r="AX23" s="98"/>
      <c r="AY23" s="99"/>
      <c r="AZ23" s="102"/>
      <c r="BA23" s="91"/>
    </row>
    <row r="24" spans="1:53" x14ac:dyDescent="0.25">
      <c r="A24" s="82">
        <v>42300</v>
      </c>
      <c r="B24" s="98">
        <v>15000</v>
      </c>
      <c r="C24" s="99">
        <v>15200</v>
      </c>
      <c r="D24" s="102">
        <v>200</v>
      </c>
      <c r="E24" s="91" t="s">
        <v>208</v>
      </c>
      <c r="F24" s="98">
        <v>1300</v>
      </c>
      <c r="G24" s="99">
        <v>1700</v>
      </c>
      <c r="H24" s="102">
        <v>400</v>
      </c>
      <c r="I24" s="91" t="s">
        <v>211</v>
      </c>
      <c r="J24" s="98">
        <v>15300</v>
      </c>
      <c r="K24" s="99">
        <v>17000</v>
      </c>
      <c r="L24" s="102">
        <v>1700</v>
      </c>
      <c r="M24" s="91" t="s">
        <v>208</v>
      </c>
      <c r="N24" s="98">
        <v>23500</v>
      </c>
      <c r="O24" s="99">
        <v>24700</v>
      </c>
      <c r="P24" s="102">
        <v>1200</v>
      </c>
      <c r="Q24" s="91" t="s">
        <v>209</v>
      </c>
      <c r="R24" s="98"/>
      <c r="S24" s="99"/>
      <c r="T24" s="102"/>
      <c r="U24" s="91"/>
      <c r="V24" s="98"/>
      <c r="W24" s="99"/>
      <c r="X24" s="102"/>
      <c r="Y24" s="91"/>
      <c r="Z24" s="98"/>
      <c r="AA24" s="99"/>
      <c r="AB24" s="102"/>
      <c r="AC24" s="91"/>
      <c r="AD24" s="98"/>
      <c r="AE24" s="99"/>
      <c r="AF24" s="102"/>
      <c r="AG24" s="91"/>
      <c r="AH24" s="98"/>
      <c r="AI24" s="99"/>
      <c r="AJ24" s="102"/>
      <c r="AK24" s="91"/>
      <c r="AL24" s="98"/>
      <c r="AM24" s="99"/>
      <c r="AN24" s="102"/>
      <c r="AO24" s="91"/>
      <c r="AP24" s="98"/>
      <c r="AQ24" s="99"/>
      <c r="AR24" s="102"/>
      <c r="AS24" s="91"/>
      <c r="AT24" s="98"/>
      <c r="AU24" s="99"/>
      <c r="AV24" s="102"/>
      <c r="AW24" s="91"/>
      <c r="AX24" s="98"/>
      <c r="AY24" s="99"/>
      <c r="AZ24" s="102"/>
      <c r="BA24" s="91"/>
    </row>
    <row r="25" spans="1:53" x14ac:dyDescent="0.25">
      <c r="A25" s="82">
        <v>42301</v>
      </c>
      <c r="B25" s="98">
        <v>15200</v>
      </c>
      <c r="C25" s="99">
        <v>16500</v>
      </c>
      <c r="D25" s="102">
        <v>1300</v>
      </c>
      <c r="E25" s="91" t="s">
        <v>209</v>
      </c>
      <c r="F25" s="98">
        <v>14900</v>
      </c>
      <c r="G25" s="99">
        <v>15300</v>
      </c>
      <c r="H25" s="102">
        <v>400</v>
      </c>
      <c r="I25" s="91" t="s">
        <v>211</v>
      </c>
      <c r="J25" s="98">
        <v>14800</v>
      </c>
      <c r="K25" s="99">
        <v>15300</v>
      </c>
      <c r="L25" s="102">
        <v>500</v>
      </c>
      <c r="M25" s="91" t="s">
        <v>208</v>
      </c>
      <c r="N25" s="98">
        <v>21900</v>
      </c>
      <c r="O25" s="99">
        <v>23500</v>
      </c>
      <c r="P25" s="102">
        <v>1600</v>
      </c>
      <c r="Q25" s="91" t="s">
        <v>209</v>
      </c>
      <c r="R25" s="98"/>
      <c r="S25" s="99"/>
      <c r="T25" s="102"/>
      <c r="U25" s="91"/>
      <c r="V25" s="98"/>
      <c r="W25" s="99"/>
      <c r="X25" s="102"/>
      <c r="Y25" s="91"/>
      <c r="Z25" s="98"/>
      <c r="AA25" s="99"/>
      <c r="AB25" s="102"/>
      <c r="AC25" s="91"/>
      <c r="AD25" s="98"/>
      <c r="AE25" s="99"/>
      <c r="AF25" s="102"/>
      <c r="AG25" s="91"/>
      <c r="AH25" s="98"/>
      <c r="AI25" s="99"/>
      <c r="AJ25" s="102"/>
      <c r="AK25" s="91"/>
      <c r="AL25" s="98"/>
      <c r="AM25" s="99"/>
      <c r="AN25" s="102"/>
      <c r="AO25" s="91"/>
      <c r="AP25" s="98"/>
      <c r="AQ25" s="99"/>
      <c r="AR25" s="102"/>
      <c r="AS25" s="91"/>
      <c r="AT25" s="98"/>
      <c r="AU25" s="99"/>
      <c r="AV25" s="102"/>
      <c r="AW25" s="91"/>
      <c r="AX25" s="98"/>
      <c r="AY25" s="99"/>
      <c r="AZ25" s="102"/>
      <c r="BA25" s="91"/>
    </row>
    <row r="26" spans="1:53" x14ac:dyDescent="0.25">
      <c r="A26" s="82">
        <v>42303</v>
      </c>
      <c r="B26" s="98">
        <v>10000</v>
      </c>
      <c r="C26" s="99">
        <v>10500</v>
      </c>
      <c r="D26" s="102">
        <v>500</v>
      </c>
      <c r="E26" s="91" t="s">
        <v>209</v>
      </c>
      <c r="F26" s="98">
        <v>2500</v>
      </c>
      <c r="G26" s="99">
        <v>2800</v>
      </c>
      <c r="H26" s="102">
        <v>300</v>
      </c>
      <c r="I26" s="91" t="s">
        <v>211</v>
      </c>
      <c r="J26" s="98">
        <v>13000</v>
      </c>
      <c r="K26" s="99">
        <v>14800</v>
      </c>
      <c r="L26" s="102">
        <v>1800</v>
      </c>
      <c r="M26" s="91" t="s">
        <v>208</v>
      </c>
      <c r="N26" s="98">
        <v>20200</v>
      </c>
      <c r="O26" s="99">
        <v>21900</v>
      </c>
      <c r="P26" s="102">
        <v>1700</v>
      </c>
      <c r="Q26" s="91" t="s">
        <v>209</v>
      </c>
      <c r="R26" s="98">
        <v>23700</v>
      </c>
      <c r="S26" s="99">
        <v>24700</v>
      </c>
      <c r="T26" s="102">
        <v>1000</v>
      </c>
      <c r="U26" s="91" t="s">
        <v>210</v>
      </c>
      <c r="V26" s="98"/>
      <c r="W26" s="99"/>
      <c r="X26" s="102"/>
      <c r="Y26" s="91"/>
      <c r="Z26" s="98"/>
      <c r="AA26" s="99"/>
      <c r="AB26" s="102"/>
      <c r="AC26" s="91"/>
      <c r="AD26" s="98"/>
      <c r="AE26" s="99"/>
      <c r="AF26" s="102"/>
      <c r="AG26" s="91"/>
      <c r="AH26" s="98"/>
      <c r="AI26" s="99"/>
      <c r="AJ26" s="102"/>
      <c r="AK26" s="91"/>
      <c r="AL26" s="98"/>
      <c r="AM26" s="99"/>
      <c r="AN26" s="102"/>
      <c r="AO26" s="91"/>
      <c r="AP26" s="98"/>
      <c r="AQ26" s="99"/>
      <c r="AR26" s="102"/>
      <c r="AS26" s="91"/>
      <c r="AT26" s="98"/>
      <c r="AU26" s="99"/>
      <c r="AV26" s="102"/>
      <c r="AW26" s="91"/>
      <c r="AX26" s="98"/>
      <c r="AY26" s="99"/>
      <c r="AZ26" s="102"/>
      <c r="BA26" s="91"/>
    </row>
    <row r="27" spans="1:53" x14ac:dyDescent="0.25">
      <c r="A27" s="82">
        <v>42304</v>
      </c>
      <c r="B27" s="98">
        <v>9500</v>
      </c>
      <c r="C27" s="99">
        <v>10000</v>
      </c>
      <c r="D27" s="102">
        <v>500</v>
      </c>
      <c r="E27" s="91" t="s">
        <v>209</v>
      </c>
      <c r="F27" s="98">
        <v>2800</v>
      </c>
      <c r="G27" s="99">
        <v>3000</v>
      </c>
      <c r="H27" s="102">
        <v>200</v>
      </c>
      <c r="I27" s="91" t="s">
        <v>211</v>
      </c>
      <c r="J27" s="98">
        <v>12000</v>
      </c>
      <c r="K27" s="99">
        <v>13000</v>
      </c>
      <c r="L27" s="102">
        <v>1000</v>
      </c>
      <c r="M27" s="91" t="s">
        <v>208</v>
      </c>
      <c r="N27" s="98">
        <v>18300</v>
      </c>
      <c r="O27" s="99">
        <v>20200</v>
      </c>
      <c r="P27" s="102">
        <v>1900</v>
      </c>
      <c r="Q27" s="91" t="s">
        <v>209</v>
      </c>
      <c r="R27" s="98">
        <v>19800</v>
      </c>
      <c r="S27" s="99">
        <v>23700</v>
      </c>
      <c r="T27" s="102">
        <v>3900</v>
      </c>
      <c r="U27" s="91" t="s">
        <v>210</v>
      </c>
      <c r="V27" s="98"/>
      <c r="W27" s="99"/>
      <c r="X27" s="102"/>
      <c r="Y27" s="91"/>
      <c r="Z27" s="98"/>
      <c r="AA27" s="99"/>
      <c r="AB27" s="102"/>
      <c r="AC27" s="91"/>
      <c r="AD27" s="98"/>
      <c r="AE27" s="99"/>
      <c r="AF27" s="102"/>
      <c r="AG27" s="91"/>
      <c r="AH27" s="98"/>
      <c r="AI27" s="99"/>
      <c r="AJ27" s="102"/>
      <c r="AK27" s="91"/>
      <c r="AL27" s="98"/>
      <c r="AM27" s="99"/>
      <c r="AN27" s="102"/>
      <c r="AO27" s="91"/>
      <c r="AP27" s="98"/>
      <c r="AQ27" s="99"/>
      <c r="AR27" s="102"/>
      <c r="AS27" s="91"/>
      <c r="AT27" s="98"/>
      <c r="AU27" s="99"/>
      <c r="AV27" s="102"/>
      <c r="AW27" s="91"/>
      <c r="AX27" s="98"/>
      <c r="AY27" s="99"/>
      <c r="AZ27" s="102"/>
      <c r="BA27" s="91"/>
    </row>
    <row r="28" spans="1:53" x14ac:dyDescent="0.25">
      <c r="A28" s="82">
        <v>42305</v>
      </c>
      <c r="B28" s="98">
        <v>9000</v>
      </c>
      <c r="C28" s="99">
        <v>9500</v>
      </c>
      <c r="D28" s="102">
        <v>500</v>
      </c>
      <c r="E28" s="91" t="s">
        <v>209</v>
      </c>
      <c r="F28" s="98">
        <v>3000</v>
      </c>
      <c r="G28" s="99">
        <v>3300</v>
      </c>
      <c r="H28" s="102">
        <v>300</v>
      </c>
      <c r="I28" s="91" t="s">
        <v>211</v>
      </c>
      <c r="J28" s="98">
        <v>11000</v>
      </c>
      <c r="K28" s="99">
        <v>12000</v>
      </c>
      <c r="L28" s="102">
        <v>1000</v>
      </c>
      <c r="M28" s="91" t="s">
        <v>208</v>
      </c>
      <c r="N28" s="98">
        <v>15700</v>
      </c>
      <c r="O28" s="99">
        <v>18300</v>
      </c>
      <c r="P28" s="102">
        <v>2600</v>
      </c>
      <c r="Q28" s="91" t="s">
        <v>209</v>
      </c>
      <c r="R28" s="98">
        <v>16600</v>
      </c>
      <c r="S28" s="99">
        <v>19800</v>
      </c>
      <c r="T28" s="102">
        <v>3200</v>
      </c>
      <c r="U28" s="91" t="s">
        <v>210</v>
      </c>
      <c r="V28" s="98"/>
      <c r="W28" s="99"/>
      <c r="X28" s="102"/>
      <c r="Y28" s="91"/>
      <c r="Z28" s="98"/>
      <c r="AA28" s="99"/>
      <c r="AB28" s="102"/>
      <c r="AC28" s="91"/>
      <c r="AD28" s="98"/>
      <c r="AE28" s="99"/>
      <c r="AF28" s="102"/>
      <c r="AG28" s="91"/>
      <c r="AH28" s="98"/>
      <c r="AI28" s="99"/>
      <c r="AJ28" s="102"/>
      <c r="AK28" s="91"/>
      <c r="AL28" s="98"/>
      <c r="AM28" s="99"/>
      <c r="AN28" s="102"/>
      <c r="AO28" s="91"/>
      <c r="AP28" s="98"/>
      <c r="AQ28" s="99"/>
      <c r="AR28" s="102"/>
      <c r="AS28" s="91"/>
      <c r="AT28" s="98"/>
      <c r="AU28" s="99"/>
      <c r="AV28" s="102"/>
      <c r="AW28" s="91"/>
      <c r="AX28" s="98"/>
      <c r="AY28" s="99"/>
      <c r="AZ28" s="102"/>
      <c r="BA28" s="91"/>
    </row>
    <row r="29" spans="1:53" x14ac:dyDescent="0.25">
      <c r="A29" s="82">
        <v>42306</v>
      </c>
      <c r="B29" s="98">
        <v>8500</v>
      </c>
      <c r="C29" s="99">
        <v>9000</v>
      </c>
      <c r="D29" s="102">
        <v>500</v>
      </c>
      <c r="E29" s="91" t="s">
        <v>209</v>
      </c>
      <c r="F29" s="98">
        <v>3300</v>
      </c>
      <c r="G29" s="99">
        <v>3400</v>
      </c>
      <c r="H29" s="102">
        <v>100</v>
      </c>
      <c r="I29" s="91" t="s">
        <v>211</v>
      </c>
      <c r="J29" s="98">
        <v>10000</v>
      </c>
      <c r="K29" s="99">
        <v>11000</v>
      </c>
      <c r="L29" s="102">
        <v>1000</v>
      </c>
      <c r="M29" s="91" t="s">
        <v>208</v>
      </c>
      <c r="N29" s="98">
        <v>15500</v>
      </c>
      <c r="O29" s="99">
        <v>15700</v>
      </c>
      <c r="P29" s="102">
        <v>200</v>
      </c>
      <c r="Q29" s="91" t="s">
        <v>209</v>
      </c>
      <c r="R29" s="98">
        <v>15700</v>
      </c>
      <c r="S29" s="99">
        <v>16600</v>
      </c>
      <c r="T29" s="102">
        <v>900</v>
      </c>
      <c r="U29" s="91" t="s">
        <v>210</v>
      </c>
      <c r="V29" s="98">
        <v>24100</v>
      </c>
      <c r="W29" s="99">
        <v>24700</v>
      </c>
      <c r="X29" s="102">
        <v>600</v>
      </c>
      <c r="Y29" s="91" t="s">
        <v>208</v>
      </c>
      <c r="Z29" s="98"/>
      <c r="AA29" s="99"/>
      <c r="AB29" s="102"/>
      <c r="AC29" s="91"/>
      <c r="AD29" s="98"/>
      <c r="AE29" s="99"/>
      <c r="AF29" s="102"/>
      <c r="AG29" s="91"/>
      <c r="AH29" s="98"/>
      <c r="AI29" s="99"/>
      <c r="AJ29" s="102"/>
      <c r="AK29" s="91"/>
      <c r="AL29" s="98"/>
      <c r="AM29" s="99"/>
      <c r="AN29" s="102"/>
      <c r="AO29" s="91"/>
      <c r="AP29" s="98"/>
      <c r="AQ29" s="99"/>
      <c r="AR29" s="102"/>
      <c r="AS29" s="91"/>
      <c r="AT29" s="98"/>
      <c r="AU29" s="99"/>
      <c r="AV29" s="102"/>
      <c r="AW29" s="91"/>
      <c r="AX29" s="98"/>
      <c r="AY29" s="99"/>
      <c r="AZ29" s="102"/>
      <c r="BA29" s="91"/>
    </row>
    <row r="30" spans="1:53" x14ac:dyDescent="0.25">
      <c r="A30" s="82">
        <v>42307</v>
      </c>
      <c r="B30" s="98">
        <v>8000</v>
      </c>
      <c r="C30" s="99">
        <v>8500</v>
      </c>
      <c r="D30" s="102">
        <v>500</v>
      </c>
      <c r="E30" s="91" t="s">
        <v>209</v>
      </c>
      <c r="F30" s="98">
        <v>3400</v>
      </c>
      <c r="G30" s="99">
        <v>3600</v>
      </c>
      <c r="H30" s="102">
        <v>200</v>
      </c>
      <c r="I30" s="91" t="s">
        <v>211</v>
      </c>
      <c r="J30" s="98">
        <v>8000</v>
      </c>
      <c r="K30" s="99">
        <v>10000</v>
      </c>
      <c r="L30" s="102">
        <v>2000</v>
      </c>
      <c r="M30" s="91" t="s">
        <v>208</v>
      </c>
      <c r="N30" s="98">
        <v>13900</v>
      </c>
      <c r="O30" s="99">
        <v>15500</v>
      </c>
      <c r="P30" s="102">
        <v>1600</v>
      </c>
      <c r="Q30" s="91" t="s">
        <v>209</v>
      </c>
      <c r="R30" s="98">
        <v>15400</v>
      </c>
      <c r="S30" s="99">
        <v>15700</v>
      </c>
      <c r="T30" s="102">
        <v>300</v>
      </c>
      <c r="U30" s="91" t="s">
        <v>210</v>
      </c>
      <c r="V30" s="98">
        <v>22900</v>
      </c>
      <c r="W30" s="99">
        <v>24100</v>
      </c>
      <c r="X30" s="102">
        <v>1200</v>
      </c>
      <c r="Y30" s="91" t="s">
        <v>208</v>
      </c>
      <c r="Z30" s="98"/>
      <c r="AA30" s="99"/>
      <c r="AB30" s="102"/>
      <c r="AC30" s="91"/>
      <c r="AD30" s="98"/>
      <c r="AE30" s="99"/>
      <c r="AF30" s="102"/>
      <c r="AG30" s="91"/>
      <c r="AH30" s="98"/>
      <c r="AI30" s="99"/>
      <c r="AJ30" s="102"/>
      <c r="AK30" s="91"/>
      <c r="AL30" s="98"/>
      <c r="AM30" s="99"/>
      <c r="AN30" s="102"/>
      <c r="AO30" s="91"/>
      <c r="AP30" s="98"/>
      <c r="AQ30" s="99"/>
      <c r="AR30" s="102"/>
      <c r="AS30" s="91"/>
      <c r="AT30" s="98"/>
      <c r="AU30" s="99"/>
      <c r="AV30" s="102"/>
      <c r="AW30" s="91"/>
      <c r="AX30" s="98"/>
      <c r="AY30" s="99"/>
      <c r="AZ30" s="102"/>
      <c r="BA30" s="91"/>
    </row>
    <row r="31" spans="1:53" x14ac:dyDescent="0.25">
      <c r="A31" s="82">
        <v>42308</v>
      </c>
      <c r="B31" s="98">
        <v>6500</v>
      </c>
      <c r="C31" s="99">
        <v>8000</v>
      </c>
      <c r="D31" s="102">
        <v>1500</v>
      </c>
      <c r="E31" s="91" t="s">
        <v>209</v>
      </c>
      <c r="F31" s="98">
        <v>7000</v>
      </c>
      <c r="G31" s="99">
        <v>7400</v>
      </c>
      <c r="H31" s="102">
        <v>400</v>
      </c>
      <c r="I31" s="91" t="s">
        <v>211</v>
      </c>
      <c r="J31" s="98">
        <v>7000</v>
      </c>
      <c r="K31" s="99">
        <v>8000</v>
      </c>
      <c r="L31" s="102">
        <v>1000</v>
      </c>
      <c r="M31" s="91" t="s">
        <v>208</v>
      </c>
      <c r="N31" s="98">
        <v>12400</v>
      </c>
      <c r="O31" s="99">
        <v>13900</v>
      </c>
      <c r="P31" s="102">
        <v>1500</v>
      </c>
      <c r="Q31" s="91" t="s">
        <v>209</v>
      </c>
      <c r="R31" s="98">
        <v>14300</v>
      </c>
      <c r="S31" s="99">
        <v>15400</v>
      </c>
      <c r="T31" s="102">
        <v>1100</v>
      </c>
      <c r="U31" s="91" t="s">
        <v>210</v>
      </c>
      <c r="V31" s="98"/>
      <c r="W31" s="99"/>
      <c r="X31" s="102"/>
      <c r="Y31" s="91"/>
      <c r="Z31" s="98"/>
      <c r="AA31" s="99"/>
      <c r="AB31" s="102"/>
      <c r="AC31" s="91"/>
      <c r="AD31" s="98"/>
      <c r="AE31" s="99"/>
      <c r="AF31" s="102"/>
      <c r="AG31" s="91"/>
      <c r="AH31" s="98"/>
      <c r="AI31" s="99"/>
      <c r="AJ31" s="102"/>
      <c r="AK31" s="91"/>
      <c r="AL31" s="98"/>
      <c r="AM31" s="99"/>
      <c r="AN31" s="102"/>
      <c r="AO31" s="91"/>
      <c r="AP31" s="98"/>
      <c r="AQ31" s="99"/>
      <c r="AR31" s="102"/>
      <c r="AS31" s="91"/>
      <c r="AT31" s="98"/>
      <c r="AU31" s="99"/>
      <c r="AV31" s="102"/>
      <c r="AW31" s="91"/>
      <c r="AX31" s="98"/>
      <c r="AY31" s="99"/>
      <c r="AZ31" s="102"/>
      <c r="BA31" s="91"/>
    </row>
    <row r="32" spans="1:53" x14ac:dyDescent="0.25">
      <c r="A32" s="82">
        <v>42308</v>
      </c>
      <c r="B32" s="98">
        <v>7500</v>
      </c>
      <c r="C32" s="99">
        <v>8000</v>
      </c>
      <c r="D32" s="102">
        <v>500</v>
      </c>
      <c r="E32" s="91" t="s">
        <v>209</v>
      </c>
      <c r="F32" s="98">
        <v>4500</v>
      </c>
      <c r="G32" s="99">
        <v>4700</v>
      </c>
      <c r="H32" s="102">
        <v>200</v>
      </c>
      <c r="I32" s="91" t="s">
        <v>211</v>
      </c>
      <c r="J32" s="98">
        <v>0</v>
      </c>
      <c r="K32" s="99">
        <v>1000</v>
      </c>
      <c r="L32" s="102">
        <v>1000</v>
      </c>
      <c r="M32" s="91" t="s">
        <v>208</v>
      </c>
      <c r="N32" s="98"/>
      <c r="O32" s="99"/>
      <c r="P32" s="102"/>
      <c r="Q32" s="91"/>
      <c r="R32" s="98"/>
      <c r="S32" s="99"/>
      <c r="T32" s="102"/>
      <c r="U32" s="91"/>
      <c r="V32" s="98"/>
      <c r="W32" s="99"/>
      <c r="X32" s="102"/>
      <c r="Y32" s="91"/>
      <c r="Z32" s="98"/>
      <c r="AA32" s="99"/>
      <c r="AB32" s="102"/>
      <c r="AC32" s="91"/>
      <c r="AD32" s="98"/>
      <c r="AE32" s="99"/>
      <c r="AF32" s="102"/>
      <c r="AG32" s="91"/>
      <c r="AH32" s="98"/>
      <c r="AI32" s="99"/>
      <c r="AJ32" s="102"/>
      <c r="AK32" s="91"/>
      <c r="AL32" s="98"/>
      <c r="AM32" s="99"/>
      <c r="AN32" s="102"/>
      <c r="AO32" s="91"/>
      <c r="AP32" s="98"/>
      <c r="AQ32" s="99"/>
      <c r="AR32" s="102"/>
      <c r="AS32" s="91"/>
      <c r="AT32" s="98"/>
      <c r="AU32" s="99"/>
      <c r="AV32" s="102"/>
      <c r="AW32" s="91"/>
      <c r="AX32" s="98"/>
      <c r="AY32" s="99"/>
      <c r="AZ32" s="102"/>
      <c r="BA32" s="91"/>
    </row>
    <row r="33" spans="1:53" x14ac:dyDescent="0.25">
      <c r="A33" s="82">
        <v>42308</v>
      </c>
      <c r="B33" s="98"/>
      <c r="C33" s="99"/>
      <c r="D33" s="102"/>
      <c r="E33" s="91"/>
      <c r="F33" s="98">
        <v>0</v>
      </c>
      <c r="G33" s="99">
        <v>300</v>
      </c>
      <c r="H33" s="102">
        <v>300</v>
      </c>
      <c r="I33" s="91" t="s">
        <v>211</v>
      </c>
      <c r="J33" s="98"/>
      <c r="K33" s="99"/>
      <c r="L33" s="102"/>
      <c r="M33" s="91"/>
      <c r="N33" s="98"/>
      <c r="O33" s="99"/>
      <c r="P33" s="102"/>
      <c r="Q33" s="91"/>
      <c r="R33" s="98"/>
      <c r="S33" s="99"/>
      <c r="T33" s="102"/>
      <c r="U33" s="91"/>
      <c r="V33" s="98"/>
      <c r="W33" s="99"/>
      <c r="X33" s="102"/>
      <c r="Y33" s="91"/>
      <c r="Z33" s="98"/>
      <c r="AA33" s="99"/>
      <c r="AB33" s="102"/>
      <c r="AC33" s="91"/>
      <c r="AD33" s="98"/>
      <c r="AE33" s="99"/>
      <c r="AF33" s="102"/>
      <c r="AG33" s="91"/>
      <c r="AH33" s="98"/>
      <c r="AI33" s="99"/>
      <c r="AJ33" s="102"/>
      <c r="AK33" s="91"/>
      <c r="AL33" s="98"/>
      <c r="AM33" s="99"/>
      <c r="AN33" s="102"/>
      <c r="AO33" s="91"/>
      <c r="AP33" s="98"/>
      <c r="AQ33" s="99"/>
      <c r="AR33" s="102"/>
      <c r="AS33" s="91"/>
      <c r="AT33" s="98"/>
      <c r="AU33" s="99"/>
      <c r="AV33" s="102"/>
      <c r="AW33" s="91"/>
      <c r="AX33" s="98"/>
      <c r="AY33" s="99"/>
      <c r="AZ33" s="102"/>
      <c r="BA33" s="91"/>
    </row>
    <row r="34" spans="1:53" x14ac:dyDescent="0.25">
      <c r="A34" s="82">
        <v>42308</v>
      </c>
      <c r="B34" s="98"/>
      <c r="C34" s="99"/>
      <c r="D34" s="102"/>
      <c r="E34" s="91"/>
      <c r="F34" s="98">
        <v>5700</v>
      </c>
      <c r="G34" s="99">
        <v>6000</v>
      </c>
      <c r="H34" s="102">
        <v>300</v>
      </c>
      <c r="I34" s="91" t="s">
        <v>211</v>
      </c>
      <c r="J34" s="98"/>
      <c r="K34" s="99"/>
      <c r="L34" s="102"/>
      <c r="M34" s="91"/>
      <c r="N34" s="98"/>
      <c r="O34" s="99"/>
      <c r="P34" s="102"/>
      <c r="Q34" s="91"/>
      <c r="R34" s="98"/>
      <c r="S34" s="99"/>
      <c r="T34" s="102"/>
      <c r="U34" s="91"/>
      <c r="V34" s="98"/>
      <c r="W34" s="99"/>
      <c r="X34" s="102"/>
      <c r="Y34" s="91"/>
      <c r="Z34" s="98"/>
      <c r="AA34" s="99"/>
      <c r="AB34" s="102"/>
      <c r="AC34" s="91"/>
      <c r="AD34" s="98"/>
      <c r="AE34" s="99"/>
      <c r="AF34" s="102"/>
      <c r="AG34" s="91"/>
      <c r="AH34" s="98"/>
      <c r="AI34" s="99"/>
      <c r="AJ34" s="102"/>
      <c r="AK34" s="91"/>
      <c r="AL34" s="98"/>
      <c r="AM34" s="99"/>
      <c r="AN34" s="102"/>
      <c r="AO34" s="91"/>
      <c r="AP34" s="98"/>
      <c r="AQ34" s="99"/>
      <c r="AR34" s="102"/>
      <c r="AS34" s="91"/>
      <c r="AT34" s="98"/>
      <c r="AU34" s="99"/>
      <c r="AV34" s="102"/>
      <c r="AW34" s="91"/>
      <c r="AX34" s="98"/>
      <c r="AY34" s="99"/>
      <c r="AZ34" s="102"/>
      <c r="BA34" s="91"/>
    </row>
    <row r="35" spans="1:53" x14ac:dyDescent="0.25">
      <c r="A35" s="82">
        <v>42310</v>
      </c>
      <c r="B35" s="98">
        <v>1500</v>
      </c>
      <c r="C35" s="99">
        <v>3000</v>
      </c>
      <c r="D35" s="102">
        <v>1500</v>
      </c>
      <c r="E35" s="91" t="s">
        <v>209</v>
      </c>
      <c r="F35" s="98"/>
      <c r="G35" s="99"/>
      <c r="H35" s="102"/>
      <c r="I35" s="91"/>
      <c r="J35" s="98">
        <v>6000</v>
      </c>
      <c r="K35" s="99">
        <v>7000</v>
      </c>
      <c r="L35" s="102">
        <v>1000</v>
      </c>
      <c r="M35" s="91" t="s">
        <v>208</v>
      </c>
      <c r="N35" s="98">
        <v>10800</v>
      </c>
      <c r="O35" s="99">
        <v>12400</v>
      </c>
      <c r="P35" s="102">
        <v>1600</v>
      </c>
      <c r="Q35" s="91" t="s">
        <v>209</v>
      </c>
      <c r="R35" s="98">
        <v>13800</v>
      </c>
      <c r="S35" s="99">
        <v>14300</v>
      </c>
      <c r="T35" s="102">
        <v>500</v>
      </c>
      <c r="U35" s="91" t="s">
        <v>210</v>
      </c>
      <c r="V35" s="98">
        <v>21500</v>
      </c>
      <c r="W35" s="99">
        <v>22900</v>
      </c>
      <c r="X35" s="102">
        <v>1400</v>
      </c>
      <c r="Y35" s="91" t="s">
        <v>208</v>
      </c>
      <c r="Z35" s="98"/>
      <c r="AA35" s="99"/>
      <c r="AB35" s="102"/>
      <c r="AC35" s="91"/>
      <c r="AD35" s="98"/>
      <c r="AE35" s="99"/>
      <c r="AF35" s="102"/>
      <c r="AG35" s="91"/>
      <c r="AH35" s="98"/>
      <c r="AI35" s="99"/>
      <c r="AJ35" s="102"/>
      <c r="AK35" s="91"/>
      <c r="AL35" s="98"/>
      <c r="AM35" s="99"/>
      <c r="AN35" s="102"/>
      <c r="AO35" s="91"/>
      <c r="AP35" s="98"/>
      <c r="AQ35" s="99"/>
      <c r="AR35" s="102"/>
      <c r="AS35" s="91"/>
      <c r="AT35" s="98"/>
      <c r="AU35" s="99"/>
      <c r="AV35" s="102"/>
      <c r="AW35" s="91"/>
      <c r="AX35" s="98"/>
      <c r="AY35" s="99"/>
      <c r="AZ35" s="102"/>
      <c r="BA35" s="91"/>
    </row>
    <row r="36" spans="1:53" x14ac:dyDescent="0.25">
      <c r="A36" s="82">
        <v>42310</v>
      </c>
      <c r="B36" s="98"/>
      <c r="C36" s="99"/>
      <c r="D36" s="102"/>
      <c r="E36" s="91"/>
      <c r="F36" s="98"/>
      <c r="G36" s="99"/>
      <c r="H36" s="102"/>
      <c r="I36" s="91"/>
      <c r="J36" s="98">
        <v>1000</v>
      </c>
      <c r="K36" s="99">
        <v>2000</v>
      </c>
      <c r="L36" s="102">
        <v>1000</v>
      </c>
      <c r="M36" s="91" t="s">
        <v>208</v>
      </c>
      <c r="N36" s="98"/>
      <c r="O36" s="99"/>
      <c r="P36" s="102"/>
      <c r="Q36" s="91"/>
      <c r="R36" s="98"/>
      <c r="S36" s="99"/>
      <c r="T36" s="102"/>
      <c r="U36" s="91"/>
      <c r="V36" s="98"/>
      <c r="W36" s="99"/>
      <c r="X36" s="102"/>
      <c r="Y36" s="91"/>
      <c r="Z36" s="98"/>
      <c r="AA36" s="99"/>
      <c r="AB36" s="102"/>
      <c r="AC36" s="91"/>
      <c r="AD36" s="98"/>
      <c r="AE36" s="99"/>
      <c r="AF36" s="102"/>
      <c r="AG36" s="91"/>
      <c r="AH36" s="98"/>
      <c r="AI36" s="99"/>
      <c r="AJ36" s="102"/>
      <c r="AK36" s="91"/>
      <c r="AL36" s="98"/>
      <c r="AM36" s="99"/>
      <c r="AN36" s="102"/>
      <c r="AO36" s="91"/>
      <c r="AP36" s="98"/>
      <c r="AQ36" s="99"/>
      <c r="AR36" s="102"/>
      <c r="AS36" s="91"/>
      <c r="AT36" s="98"/>
      <c r="AU36" s="99"/>
      <c r="AV36" s="102"/>
      <c r="AW36" s="91"/>
      <c r="AX36" s="98"/>
      <c r="AY36" s="99"/>
      <c r="AZ36" s="102"/>
      <c r="BA36" s="91"/>
    </row>
    <row r="37" spans="1:53" x14ac:dyDescent="0.25">
      <c r="A37" s="82">
        <v>42311</v>
      </c>
      <c r="B37" s="98">
        <v>3000</v>
      </c>
      <c r="C37" s="99">
        <v>5000</v>
      </c>
      <c r="D37" s="102">
        <v>2000</v>
      </c>
      <c r="E37" s="91" t="s">
        <v>209</v>
      </c>
      <c r="F37" s="98">
        <v>4700</v>
      </c>
      <c r="G37" s="99">
        <v>5300</v>
      </c>
      <c r="H37" s="102">
        <v>600</v>
      </c>
      <c r="I37" s="91" t="s">
        <v>211</v>
      </c>
      <c r="J37" s="98">
        <v>2000</v>
      </c>
      <c r="K37" s="99">
        <v>3000</v>
      </c>
      <c r="L37" s="102">
        <v>1000</v>
      </c>
      <c r="M37" s="91" t="s">
        <v>208</v>
      </c>
      <c r="N37" s="98">
        <v>8800</v>
      </c>
      <c r="O37" s="99">
        <v>10800</v>
      </c>
      <c r="P37" s="102">
        <v>2000</v>
      </c>
      <c r="Q37" s="91" t="s">
        <v>209</v>
      </c>
      <c r="R37" s="98">
        <v>12600</v>
      </c>
      <c r="S37" s="99">
        <v>13800</v>
      </c>
      <c r="T37" s="102">
        <v>1200</v>
      </c>
      <c r="U37" s="91" t="s">
        <v>210</v>
      </c>
      <c r="V37" s="98">
        <v>19900</v>
      </c>
      <c r="W37" s="99">
        <v>21500</v>
      </c>
      <c r="X37" s="102">
        <v>1600</v>
      </c>
      <c r="Y37" s="91" t="s">
        <v>208</v>
      </c>
      <c r="Z37" s="98">
        <v>24100</v>
      </c>
      <c r="AA37" s="99">
        <v>24700</v>
      </c>
      <c r="AB37" s="102">
        <v>600</v>
      </c>
      <c r="AC37" s="91" t="s">
        <v>180</v>
      </c>
      <c r="AD37" s="98"/>
      <c r="AE37" s="99"/>
      <c r="AF37" s="102"/>
      <c r="AG37" s="91"/>
      <c r="AH37" s="98"/>
      <c r="AI37" s="99"/>
      <c r="AJ37" s="102"/>
      <c r="AK37" s="91"/>
      <c r="AL37" s="98"/>
      <c r="AM37" s="99"/>
      <c r="AN37" s="102"/>
      <c r="AO37" s="91"/>
      <c r="AP37" s="98"/>
      <c r="AQ37" s="99"/>
      <c r="AR37" s="102"/>
      <c r="AS37" s="91"/>
      <c r="AT37" s="98"/>
      <c r="AU37" s="99"/>
      <c r="AV37" s="102"/>
      <c r="AW37" s="91"/>
      <c r="AX37" s="98"/>
      <c r="AY37" s="99"/>
      <c r="AZ37" s="102"/>
      <c r="BA37" s="91"/>
    </row>
    <row r="38" spans="1:53" x14ac:dyDescent="0.25">
      <c r="A38" s="82">
        <v>42312</v>
      </c>
      <c r="B38" s="98">
        <v>0</v>
      </c>
      <c r="C38" s="99">
        <v>1800</v>
      </c>
      <c r="D38" s="102">
        <v>1800</v>
      </c>
      <c r="E38" s="91" t="s">
        <v>209</v>
      </c>
      <c r="F38" s="98"/>
      <c r="G38" s="99"/>
      <c r="H38" s="102"/>
      <c r="I38" s="91"/>
      <c r="J38" s="98">
        <v>3000</v>
      </c>
      <c r="K38" s="99">
        <v>4000</v>
      </c>
      <c r="L38" s="102">
        <v>1000</v>
      </c>
      <c r="M38" s="91" t="s">
        <v>208</v>
      </c>
      <c r="N38" s="98">
        <v>7600</v>
      </c>
      <c r="O38" s="99">
        <v>8000</v>
      </c>
      <c r="P38" s="102">
        <v>400</v>
      </c>
      <c r="Q38" s="91" t="s">
        <v>209</v>
      </c>
      <c r="R38" s="98">
        <v>11800</v>
      </c>
      <c r="S38" s="99">
        <v>12600</v>
      </c>
      <c r="T38" s="102">
        <v>800</v>
      </c>
      <c r="U38" s="91" t="s">
        <v>210</v>
      </c>
      <c r="V38" s="98">
        <v>17600</v>
      </c>
      <c r="W38" s="99">
        <v>19900</v>
      </c>
      <c r="X38" s="102">
        <v>2300</v>
      </c>
      <c r="Y38" s="91" t="s">
        <v>208</v>
      </c>
      <c r="Z38" s="98">
        <v>22900</v>
      </c>
      <c r="AA38" s="99">
        <v>24100</v>
      </c>
      <c r="AB38" s="102">
        <v>1200</v>
      </c>
      <c r="AC38" s="91" t="s">
        <v>180</v>
      </c>
      <c r="AD38" s="98"/>
      <c r="AE38" s="99"/>
      <c r="AF38" s="102"/>
      <c r="AG38" s="91"/>
      <c r="AH38" s="98"/>
      <c r="AI38" s="99"/>
      <c r="AJ38" s="102"/>
      <c r="AK38" s="91"/>
      <c r="AL38" s="98"/>
      <c r="AM38" s="99"/>
      <c r="AN38" s="102"/>
      <c r="AO38" s="91"/>
      <c r="AP38" s="98"/>
      <c r="AQ38" s="99"/>
      <c r="AR38" s="102"/>
      <c r="AS38" s="91"/>
      <c r="AT38" s="98"/>
      <c r="AU38" s="99"/>
      <c r="AV38" s="102"/>
      <c r="AW38" s="91"/>
      <c r="AX38" s="98"/>
      <c r="AY38" s="99"/>
      <c r="AZ38" s="102"/>
      <c r="BA38" s="91"/>
    </row>
    <row r="39" spans="1:53" x14ac:dyDescent="0.25">
      <c r="A39" s="82">
        <v>42313</v>
      </c>
      <c r="B39" s="98"/>
      <c r="C39" s="99"/>
      <c r="D39" s="102"/>
      <c r="E39" s="91"/>
      <c r="F39" s="98"/>
      <c r="G39" s="99"/>
      <c r="H39" s="102"/>
      <c r="I39" s="91"/>
      <c r="J39" s="98">
        <v>4000</v>
      </c>
      <c r="K39" s="99">
        <v>5000</v>
      </c>
      <c r="L39" s="102">
        <v>1000</v>
      </c>
      <c r="M39" s="91" t="s">
        <v>208</v>
      </c>
      <c r="N39" s="98">
        <v>7500</v>
      </c>
      <c r="O39" s="99">
        <v>7600</v>
      </c>
      <c r="P39" s="102">
        <v>100</v>
      </c>
      <c r="Q39" s="91" t="s">
        <v>209</v>
      </c>
      <c r="R39" s="98">
        <v>11300</v>
      </c>
      <c r="S39" s="99">
        <v>11800</v>
      </c>
      <c r="T39" s="102">
        <v>500</v>
      </c>
      <c r="U39" s="91" t="s">
        <v>210</v>
      </c>
      <c r="V39" s="98">
        <v>15600</v>
      </c>
      <c r="W39" s="99">
        <v>17600</v>
      </c>
      <c r="X39" s="102">
        <v>2000</v>
      </c>
      <c r="Y39" s="91" t="s">
        <v>208</v>
      </c>
      <c r="Z39" s="98">
        <v>21700</v>
      </c>
      <c r="AA39" s="99">
        <v>22900</v>
      </c>
      <c r="AB39" s="102">
        <v>1200</v>
      </c>
      <c r="AC39" s="91" t="s">
        <v>180</v>
      </c>
      <c r="AD39" s="98"/>
      <c r="AE39" s="99"/>
      <c r="AF39" s="102"/>
      <c r="AG39" s="91"/>
      <c r="AH39" s="98"/>
      <c r="AI39" s="99"/>
      <c r="AJ39" s="102"/>
      <c r="AK39" s="91"/>
      <c r="AL39" s="98"/>
      <c r="AM39" s="99"/>
      <c r="AN39" s="102"/>
      <c r="AO39" s="91"/>
      <c r="AP39" s="98"/>
      <c r="AQ39" s="99"/>
      <c r="AR39" s="102"/>
      <c r="AS39" s="91"/>
      <c r="AT39" s="98"/>
      <c r="AU39" s="99"/>
      <c r="AV39" s="102"/>
      <c r="AW39" s="91"/>
      <c r="AX39" s="98"/>
      <c r="AY39" s="99"/>
      <c r="AZ39" s="102"/>
      <c r="BA39" s="91"/>
    </row>
    <row r="40" spans="1:53" x14ac:dyDescent="0.25">
      <c r="A40" s="82">
        <v>42313</v>
      </c>
      <c r="B40" s="98"/>
      <c r="C40" s="99"/>
      <c r="D40" s="102"/>
      <c r="E40" s="91"/>
      <c r="F40" s="98"/>
      <c r="G40" s="99"/>
      <c r="H40" s="102"/>
      <c r="I40" s="91"/>
      <c r="J40" s="98"/>
      <c r="K40" s="99"/>
      <c r="L40" s="102"/>
      <c r="M40" s="91"/>
      <c r="N40" s="98">
        <v>8000</v>
      </c>
      <c r="O40" s="99">
        <v>8800</v>
      </c>
      <c r="P40" s="102">
        <v>800</v>
      </c>
      <c r="Q40" s="91" t="s">
        <v>209</v>
      </c>
      <c r="R40" s="98"/>
      <c r="S40" s="99"/>
      <c r="T40" s="102"/>
      <c r="U40" s="91"/>
      <c r="V40" s="98"/>
      <c r="W40" s="99"/>
      <c r="X40" s="102"/>
      <c r="Y40" s="91"/>
      <c r="Z40" s="98"/>
      <c r="AA40" s="99"/>
      <c r="AB40" s="102"/>
      <c r="AC40" s="91"/>
      <c r="AD40" s="98"/>
      <c r="AE40" s="99"/>
      <c r="AF40" s="102"/>
      <c r="AG40" s="91"/>
      <c r="AH40" s="98"/>
      <c r="AI40" s="99"/>
      <c r="AJ40" s="102"/>
      <c r="AK40" s="91"/>
      <c r="AL40" s="98"/>
      <c r="AM40" s="99"/>
      <c r="AN40" s="102"/>
      <c r="AO40" s="91"/>
      <c r="AP40" s="98"/>
      <c r="AQ40" s="99"/>
      <c r="AR40" s="102"/>
      <c r="AS40" s="91"/>
      <c r="AT40" s="98"/>
      <c r="AU40" s="99"/>
      <c r="AV40" s="102"/>
      <c r="AW40" s="91"/>
      <c r="AX40" s="98"/>
      <c r="AY40" s="99"/>
      <c r="AZ40" s="102"/>
      <c r="BA40" s="91"/>
    </row>
    <row r="41" spans="1:53" x14ac:dyDescent="0.25">
      <c r="A41" s="82">
        <v>42314</v>
      </c>
      <c r="B41" s="98"/>
      <c r="C41" s="99"/>
      <c r="D41" s="102"/>
      <c r="E41" s="91"/>
      <c r="F41" s="98"/>
      <c r="G41" s="99"/>
      <c r="H41" s="102"/>
      <c r="I41" s="91"/>
      <c r="J41" s="98">
        <v>5000</v>
      </c>
      <c r="K41" s="99">
        <v>6000</v>
      </c>
      <c r="L41" s="102">
        <v>1000</v>
      </c>
      <c r="M41" s="91" t="s">
        <v>208</v>
      </c>
      <c r="N41" s="98">
        <v>0</v>
      </c>
      <c r="O41" s="99">
        <v>2300</v>
      </c>
      <c r="P41" s="102">
        <v>2300</v>
      </c>
      <c r="Q41" s="91" t="s">
        <v>209</v>
      </c>
      <c r="R41" s="98">
        <v>10400</v>
      </c>
      <c r="S41" s="99">
        <v>11300</v>
      </c>
      <c r="T41" s="102">
        <v>900</v>
      </c>
      <c r="U41" s="91" t="s">
        <v>210</v>
      </c>
      <c r="V41" s="98">
        <v>14700</v>
      </c>
      <c r="W41" s="99">
        <v>15600</v>
      </c>
      <c r="X41" s="102">
        <v>900</v>
      </c>
      <c r="Y41" s="91" t="s">
        <v>208</v>
      </c>
      <c r="Z41" s="98">
        <v>21000</v>
      </c>
      <c r="AA41" s="99">
        <v>21700</v>
      </c>
      <c r="AB41" s="102">
        <v>700</v>
      </c>
      <c r="AC41" s="91" t="s">
        <v>180</v>
      </c>
      <c r="AD41" s="98">
        <v>24200</v>
      </c>
      <c r="AE41" s="99">
        <v>24700</v>
      </c>
      <c r="AF41" s="102">
        <v>500</v>
      </c>
      <c r="AG41" s="91" t="s">
        <v>180</v>
      </c>
      <c r="AH41" s="98"/>
      <c r="AI41" s="99"/>
      <c r="AJ41" s="102"/>
      <c r="AK41" s="91"/>
      <c r="AL41" s="98"/>
      <c r="AM41" s="99"/>
      <c r="AN41" s="102"/>
      <c r="AO41" s="91"/>
      <c r="AP41" s="98"/>
      <c r="AQ41" s="99"/>
      <c r="AR41" s="102"/>
      <c r="AS41" s="91"/>
      <c r="AT41" s="98"/>
      <c r="AU41" s="99"/>
      <c r="AV41" s="102"/>
      <c r="AW41" s="91"/>
      <c r="AX41" s="98"/>
      <c r="AY41" s="99"/>
      <c r="AZ41" s="102"/>
      <c r="BA41" s="91"/>
    </row>
    <row r="42" spans="1:53" x14ac:dyDescent="0.25">
      <c r="A42" s="82">
        <v>42315</v>
      </c>
      <c r="B42" s="98"/>
      <c r="C42" s="99"/>
      <c r="D42" s="102"/>
      <c r="E42" s="91"/>
      <c r="F42" s="98"/>
      <c r="G42" s="99"/>
      <c r="H42" s="102"/>
      <c r="I42" s="91"/>
      <c r="J42" s="98"/>
      <c r="K42" s="99"/>
      <c r="L42" s="102"/>
      <c r="M42" s="91"/>
      <c r="N42" s="98"/>
      <c r="O42" s="99"/>
      <c r="P42" s="102"/>
      <c r="Q42" s="91"/>
      <c r="R42" s="98">
        <v>8900</v>
      </c>
      <c r="S42" s="99">
        <v>10400</v>
      </c>
      <c r="T42" s="102">
        <v>1500</v>
      </c>
      <c r="U42" s="91" t="s">
        <v>210</v>
      </c>
      <c r="V42" s="98">
        <v>13300</v>
      </c>
      <c r="W42" s="99">
        <v>14700</v>
      </c>
      <c r="X42" s="102">
        <v>1400</v>
      </c>
      <c r="Y42" s="91" t="s">
        <v>208</v>
      </c>
      <c r="Z42" s="98">
        <v>20000</v>
      </c>
      <c r="AA42" s="99">
        <v>21000</v>
      </c>
      <c r="AB42" s="102">
        <v>1000</v>
      </c>
      <c r="AC42" s="91" t="s">
        <v>180</v>
      </c>
      <c r="AD42" s="98">
        <v>23000</v>
      </c>
      <c r="AE42" s="99">
        <v>24200</v>
      </c>
      <c r="AF42" s="102">
        <v>1200</v>
      </c>
      <c r="AG42" s="91" t="s">
        <v>180</v>
      </c>
      <c r="AH42" s="98">
        <v>23200</v>
      </c>
      <c r="AI42" s="99">
        <v>24700</v>
      </c>
      <c r="AJ42" s="102">
        <v>1500</v>
      </c>
      <c r="AK42" s="91" t="s">
        <v>180</v>
      </c>
      <c r="AL42" s="98">
        <v>23200</v>
      </c>
      <c r="AM42" s="99">
        <v>24700</v>
      </c>
      <c r="AN42" s="102">
        <v>1500</v>
      </c>
      <c r="AO42" s="91" t="s">
        <v>180</v>
      </c>
      <c r="AP42" s="98"/>
      <c r="AQ42" s="99"/>
      <c r="AR42" s="102"/>
      <c r="AS42" s="91"/>
      <c r="AT42" s="98"/>
      <c r="AU42" s="99"/>
      <c r="AV42" s="102"/>
      <c r="AW42" s="91"/>
      <c r="AX42" s="98"/>
      <c r="AY42" s="99"/>
      <c r="AZ42" s="102"/>
      <c r="BA42" s="91"/>
    </row>
    <row r="43" spans="1:53" x14ac:dyDescent="0.25">
      <c r="A43" s="82">
        <v>42316</v>
      </c>
      <c r="B43" s="98"/>
      <c r="C43" s="99"/>
      <c r="D43" s="102"/>
      <c r="E43" s="91"/>
      <c r="F43" s="98"/>
      <c r="G43" s="99"/>
      <c r="H43" s="102"/>
      <c r="I43" s="91"/>
      <c r="J43" s="98"/>
      <c r="K43" s="99"/>
      <c r="L43" s="102"/>
      <c r="M43" s="91"/>
      <c r="N43" s="98"/>
      <c r="O43" s="99"/>
      <c r="P43" s="102"/>
      <c r="Q43" s="91"/>
      <c r="R43" s="98">
        <v>7600</v>
      </c>
      <c r="S43" s="99">
        <v>8900</v>
      </c>
      <c r="T43" s="102">
        <v>1300</v>
      </c>
      <c r="U43" s="91" t="s">
        <v>210</v>
      </c>
      <c r="V43" s="98"/>
      <c r="W43" s="99"/>
      <c r="X43" s="102"/>
      <c r="Y43" s="91"/>
      <c r="Z43" s="98">
        <v>19000</v>
      </c>
      <c r="AA43" s="99">
        <v>20000</v>
      </c>
      <c r="AB43" s="102">
        <v>1000</v>
      </c>
      <c r="AC43" s="91" t="s">
        <v>180</v>
      </c>
      <c r="AD43" s="98"/>
      <c r="AE43" s="99"/>
      <c r="AF43" s="102"/>
      <c r="AG43" s="91"/>
      <c r="AH43" s="98"/>
      <c r="AI43" s="99"/>
      <c r="AJ43" s="102"/>
      <c r="AK43" s="91"/>
      <c r="AL43" s="98"/>
      <c r="AM43" s="99"/>
      <c r="AN43" s="102"/>
      <c r="AO43" s="91"/>
      <c r="AP43" s="98"/>
      <c r="AQ43" s="99"/>
      <c r="AR43" s="102"/>
      <c r="AS43" s="91"/>
      <c r="AT43" s="98"/>
      <c r="AU43" s="99"/>
      <c r="AV43" s="102"/>
      <c r="AW43" s="91"/>
      <c r="AX43" s="98"/>
      <c r="AY43" s="99"/>
      <c r="AZ43" s="102"/>
      <c r="BA43" s="91"/>
    </row>
    <row r="44" spans="1:53" x14ac:dyDescent="0.25">
      <c r="A44" s="82">
        <v>42317</v>
      </c>
      <c r="B44" s="98"/>
      <c r="C44" s="99"/>
      <c r="D44" s="102"/>
      <c r="E44" s="91"/>
      <c r="F44" s="98"/>
      <c r="G44" s="99"/>
      <c r="H44" s="102"/>
      <c r="I44" s="91"/>
      <c r="J44" s="98"/>
      <c r="K44" s="99"/>
      <c r="L44" s="102"/>
      <c r="M44" s="91"/>
      <c r="N44" s="98">
        <v>2300</v>
      </c>
      <c r="O44" s="99">
        <v>3200</v>
      </c>
      <c r="P44" s="102">
        <v>900</v>
      </c>
      <c r="Q44" s="91" t="s">
        <v>209</v>
      </c>
      <c r="R44" s="98">
        <v>0</v>
      </c>
      <c r="S44" s="99">
        <v>1000</v>
      </c>
      <c r="T44" s="102">
        <v>1000</v>
      </c>
      <c r="U44" s="91" t="s">
        <v>210</v>
      </c>
      <c r="V44" s="98">
        <v>11700</v>
      </c>
      <c r="W44" s="99">
        <v>13300</v>
      </c>
      <c r="X44" s="102">
        <v>1600</v>
      </c>
      <c r="Y44" s="91" t="s">
        <v>208</v>
      </c>
      <c r="Z44" s="98">
        <v>17300</v>
      </c>
      <c r="AA44" s="99">
        <v>19000</v>
      </c>
      <c r="AB44" s="102">
        <v>1700</v>
      </c>
      <c r="AC44" s="91" t="s">
        <v>180</v>
      </c>
      <c r="AD44" s="98">
        <v>22300</v>
      </c>
      <c r="AE44" s="99">
        <v>23000</v>
      </c>
      <c r="AF44" s="102">
        <v>700</v>
      </c>
      <c r="AG44" s="91" t="s">
        <v>180</v>
      </c>
      <c r="AH44" s="98">
        <v>22300</v>
      </c>
      <c r="AI44" s="99">
        <v>23200</v>
      </c>
      <c r="AJ44" s="102">
        <v>900</v>
      </c>
      <c r="AK44" s="91" t="s">
        <v>180</v>
      </c>
      <c r="AL44" s="98">
        <v>22500</v>
      </c>
      <c r="AM44" s="99">
        <v>23200</v>
      </c>
      <c r="AN44" s="102">
        <v>700</v>
      </c>
      <c r="AO44" s="91" t="s">
        <v>180</v>
      </c>
      <c r="AP44" s="98">
        <v>24400</v>
      </c>
      <c r="AQ44" s="99">
        <v>24700</v>
      </c>
      <c r="AR44" s="102">
        <v>300</v>
      </c>
      <c r="AS44" s="91" t="s">
        <v>180</v>
      </c>
      <c r="AT44" s="98"/>
      <c r="AU44" s="99"/>
      <c r="AV44" s="102"/>
      <c r="AW44" s="91"/>
      <c r="AX44" s="98"/>
      <c r="AY44" s="99"/>
      <c r="AZ44" s="102"/>
      <c r="BA44" s="91"/>
    </row>
    <row r="45" spans="1:53" x14ac:dyDescent="0.25">
      <c r="A45" s="82">
        <v>42318</v>
      </c>
      <c r="B45" s="98"/>
      <c r="C45" s="99"/>
      <c r="D45" s="102"/>
      <c r="E45" s="91"/>
      <c r="F45" s="98"/>
      <c r="G45" s="99"/>
      <c r="H45" s="102"/>
      <c r="I45" s="91"/>
      <c r="J45" s="98"/>
      <c r="K45" s="99"/>
      <c r="L45" s="102"/>
      <c r="M45" s="91"/>
      <c r="N45" s="98">
        <v>3200</v>
      </c>
      <c r="O45" s="99">
        <v>4700</v>
      </c>
      <c r="P45" s="102">
        <v>1500</v>
      </c>
      <c r="Q45" s="91" t="s">
        <v>209</v>
      </c>
      <c r="R45" s="98">
        <v>1000</v>
      </c>
      <c r="S45" s="99">
        <v>1900</v>
      </c>
      <c r="T45" s="102">
        <v>900</v>
      </c>
      <c r="U45" s="91" t="s">
        <v>210</v>
      </c>
      <c r="V45" s="98">
        <v>11000</v>
      </c>
      <c r="W45" s="99">
        <v>11700</v>
      </c>
      <c r="X45" s="102">
        <v>700</v>
      </c>
      <c r="Y45" s="91" t="s">
        <v>208</v>
      </c>
      <c r="Z45" s="98">
        <v>16000</v>
      </c>
      <c r="AA45" s="99">
        <v>17300</v>
      </c>
      <c r="AB45" s="102">
        <v>1300</v>
      </c>
      <c r="AC45" s="91" t="s">
        <v>180</v>
      </c>
      <c r="AD45" s="98">
        <v>20200</v>
      </c>
      <c r="AE45" s="99">
        <v>21500</v>
      </c>
      <c r="AF45" s="102">
        <v>1300</v>
      </c>
      <c r="AG45" s="91" t="s">
        <v>180</v>
      </c>
      <c r="AH45" s="98">
        <v>21500</v>
      </c>
      <c r="AI45" s="99">
        <v>22300</v>
      </c>
      <c r="AJ45" s="102">
        <v>800</v>
      </c>
      <c r="AK45" s="91" t="s">
        <v>180</v>
      </c>
      <c r="AL45" s="98">
        <v>21700</v>
      </c>
      <c r="AM45" s="99">
        <v>22500</v>
      </c>
      <c r="AN45" s="102">
        <v>800</v>
      </c>
      <c r="AO45" s="91" t="s">
        <v>180</v>
      </c>
      <c r="AP45" s="98">
        <v>23100</v>
      </c>
      <c r="AQ45" s="99">
        <v>24400</v>
      </c>
      <c r="AR45" s="102">
        <v>1300</v>
      </c>
      <c r="AS45" s="91" t="s">
        <v>180</v>
      </c>
      <c r="AT45" s="98"/>
      <c r="AU45" s="99"/>
      <c r="AV45" s="102"/>
      <c r="AW45" s="91"/>
      <c r="AX45" s="98"/>
      <c r="AY45" s="99"/>
      <c r="AZ45" s="102"/>
      <c r="BA45" s="91"/>
    </row>
    <row r="46" spans="1:53" x14ac:dyDescent="0.25">
      <c r="A46" s="82">
        <v>42318</v>
      </c>
      <c r="B46" s="98"/>
      <c r="C46" s="99"/>
      <c r="D46" s="102"/>
      <c r="E46" s="91"/>
      <c r="F46" s="98"/>
      <c r="G46" s="99"/>
      <c r="H46" s="102"/>
      <c r="I46" s="91"/>
      <c r="J46" s="98"/>
      <c r="K46" s="99"/>
      <c r="L46" s="102"/>
      <c r="M46" s="91"/>
      <c r="N46" s="98"/>
      <c r="O46" s="99"/>
      <c r="P46" s="102"/>
      <c r="Q46" s="91"/>
      <c r="R46" s="98"/>
      <c r="S46" s="99"/>
      <c r="T46" s="102"/>
      <c r="U46" s="91"/>
      <c r="V46" s="98"/>
      <c r="W46" s="99"/>
      <c r="X46" s="102"/>
      <c r="Y46" s="91"/>
      <c r="Z46" s="98"/>
      <c r="AA46" s="99"/>
      <c r="AB46" s="102"/>
      <c r="AC46" s="91"/>
      <c r="AD46" s="98">
        <v>21500</v>
      </c>
      <c r="AE46" s="99">
        <v>22300</v>
      </c>
      <c r="AF46" s="102">
        <v>800</v>
      </c>
      <c r="AG46" s="91" t="s">
        <v>180</v>
      </c>
      <c r="AH46" s="98">
        <v>20800</v>
      </c>
      <c r="AI46" s="99">
        <v>21500</v>
      </c>
      <c r="AJ46" s="102">
        <v>700</v>
      </c>
      <c r="AK46" s="91" t="s">
        <v>180</v>
      </c>
      <c r="AL46" s="98"/>
      <c r="AM46" s="99"/>
      <c r="AN46" s="102"/>
      <c r="AO46" s="91"/>
      <c r="AP46" s="98"/>
      <c r="AQ46" s="99"/>
      <c r="AR46" s="102"/>
      <c r="AS46" s="91"/>
      <c r="AT46" s="98"/>
      <c r="AU46" s="99"/>
      <c r="AV46" s="102"/>
      <c r="AW46" s="91"/>
      <c r="AX46" s="98"/>
      <c r="AY46" s="99"/>
      <c r="AZ46" s="102"/>
      <c r="BA46" s="91"/>
    </row>
    <row r="47" spans="1:53" x14ac:dyDescent="0.25">
      <c r="A47" s="82">
        <v>42319</v>
      </c>
      <c r="B47" s="98"/>
      <c r="C47" s="99"/>
      <c r="D47" s="102"/>
      <c r="E47" s="91"/>
      <c r="F47" s="98"/>
      <c r="G47" s="99"/>
      <c r="H47" s="102"/>
      <c r="I47" s="91"/>
      <c r="J47" s="98"/>
      <c r="K47" s="99"/>
      <c r="L47" s="102"/>
      <c r="M47" s="91"/>
      <c r="N47" s="98">
        <v>5200</v>
      </c>
      <c r="O47" s="99">
        <v>7500</v>
      </c>
      <c r="P47" s="102">
        <v>2300</v>
      </c>
      <c r="Q47" s="91" t="s">
        <v>209</v>
      </c>
      <c r="R47" s="98">
        <v>1900</v>
      </c>
      <c r="S47" s="99">
        <v>3200</v>
      </c>
      <c r="T47" s="102">
        <v>1300</v>
      </c>
      <c r="U47" s="91" t="s">
        <v>210</v>
      </c>
      <c r="V47" s="98">
        <v>10100</v>
      </c>
      <c r="W47" s="99">
        <v>11000</v>
      </c>
      <c r="X47" s="102">
        <v>900</v>
      </c>
      <c r="Y47" s="91" t="s">
        <v>208</v>
      </c>
      <c r="Z47" s="98">
        <v>15400</v>
      </c>
      <c r="AA47" s="99">
        <v>16000</v>
      </c>
      <c r="AB47" s="102">
        <v>600</v>
      </c>
      <c r="AC47" s="91" t="s">
        <v>180</v>
      </c>
      <c r="AD47" s="98">
        <v>19200</v>
      </c>
      <c r="AE47" s="99">
        <v>20200</v>
      </c>
      <c r="AF47" s="102">
        <v>1000</v>
      </c>
      <c r="AG47" s="91" t="s">
        <v>180</v>
      </c>
      <c r="AH47" s="98">
        <v>19900</v>
      </c>
      <c r="AI47" s="99">
        <v>20800</v>
      </c>
      <c r="AJ47" s="102">
        <v>900</v>
      </c>
      <c r="AK47" s="91" t="s">
        <v>180</v>
      </c>
      <c r="AL47" s="98">
        <v>20800</v>
      </c>
      <c r="AM47" s="99">
        <v>21700</v>
      </c>
      <c r="AN47" s="102">
        <v>900</v>
      </c>
      <c r="AO47" s="91" t="s">
        <v>180</v>
      </c>
      <c r="AP47" s="98">
        <v>21500</v>
      </c>
      <c r="AQ47" s="99">
        <v>23100</v>
      </c>
      <c r="AR47" s="102">
        <v>1600</v>
      </c>
      <c r="AS47" s="91" t="s">
        <v>180</v>
      </c>
      <c r="AT47" s="98"/>
      <c r="AU47" s="99"/>
      <c r="AV47" s="102"/>
      <c r="AW47" s="91"/>
      <c r="AX47" s="98"/>
      <c r="AY47" s="99"/>
      <c r="AZ47" s="102"/>
      <c r="BA47" s="91"/>
    </row>
    <row r="48" spans="1:53" x14ac:dyDescent="0.25">
      <c r="A48" s="82">
        <v>42320</v>
      </c>
      <c r="B48" s="98"/>
      <c r="C48" s="99"/>
      <c r="D48" s="102"/>
      <c r="E48" s="91"/>
      <c r="F48" s="98"/>
      <c r="G48" s="99"/>
      <c r="H48" s="102"/>
      <c r="I48" s="91"/>
      <c r="J48" s="98"/>
      <c r="K48" s="99"/>
      <c r="L48" s="102"/>
      <c r="M48" s="91"/>
      <c r="N48" s="98">
        <v>4700</v>
      </c>
      <c r="O48" s="99">
        <v>5200</v>
      </c>
      <c r="P48" s="102">
        <v>500</v>
      </c>
      <c r="Q48" s="91" t="s">
        <v>209</v>
      </c>
      <c r="R48" s="98">
        <v>3200</v>
      </c>
      <c r="S48" s="99">
        <v>4200</v>
      </c>
      <c r="T48" s="102">
        <v>1000</v>
      </c>
      <c r="U48" s="91" t="s">
        <v>210</v>
      </c>
      <c r="V48" s="98">
        <v>9200</v>
      </c>
      <c r="W48" s="99">
        <v>10100</v>
      </c>
      <c r="X48" s="102">
        <v>900</v>
      </c>
      <c r="Y48" s="91" t="s">
        <v>208</v>
      </c>
      <c r="Z48" s="98">
        <v>14000</v>
      </c>
      <c r="AA48" s="99">
        <v>15400</v>
      </c>
      <c r="AB48" s="102">
        <v>1400</v>
      </c>
      <c r="AC48" s="91" t="s">
        <v>180</v>
      </c>
      <c r="AD48" s="98">
        <v>18200</v>
      </c>
      <c r="AE48" s="99">
        <v>19200</v>
      </c>
      <c r="AF48" s="102">
        <v>1000</v>
      </c>
      <c r="AG48" s="91" t="s">
        <v>180</v>
      </c>
      <c r="AH48" s="98">
        <v>18800</v>
      </c>
      <c r="AI48" s="99">
        <v>19500</v>
      </c>
      <c r="AJ48" s="102">
        <v>700</v>
      </c>
      <c r="AK48" s="91" t="s">
        <v>180</v>
      </c>
      <c r="AL48" s="98">
        <v>20400</v>
      </c>
      <c r="AM48" s="99">
        <v>20800</v>
      </c>
      <c r="AN48" s="102">
        <v>400</v>
      </c>
      <c r="AO48" s="91" t="s">
        <v>180</v>
      </c>
      <c r="AP48" s="98">
        <v>20500</v>
      </c>
      <c r="AQ48" s="99">
        <v>21500</v>
      </c>
      <c r="AR48" s="102">
        <v>1000</v>
      </c>
      <c r="AS48" s="91" t="s">
        <v>180</v>
      </c>
      <c r="AT48" s="98">
        <v>23200</v>
      </c>
      <c r="AU48" s="99">
        <v>24700</v>
      </c>
      <c r="AV48" s="102">
        <v>1500</v>
      </c>
      <c r="AW48" s="91" t="s">
        <v>180</v>
      </c>
      <c r="AX48" s="98"/>
      <c r="AY48" s="99"/>
      <c r="AZ48" s="102"/>
      <c r="BA48" s="91"/>
    </row>
    <row r="49" spans="1:53" x14ac:dyDescent="0.25">
      <c r="A49" s="82">
        <v>42320</v>
      </c>
      <c r="B49" s="98"/>
      <c r="C49" s="99"/>
      <c r="D49" s="102"/>
      <c r="E49" s="91"/>
      <c r="F49" s="98"/>
      <c r="G49" s="99"/>
      <c r="H49" s="102"/>
      <c r="I49" s="91"/>
      <c r="J49" s="98"/>
      <c r="K49" s="99"/>
      <c r="L49" s="102"/>
      <c r="M49" s="91"/>
      <c r="N49" s="98"/>
      <c r="O49" s="99"/>
      <c r="P49" s="102"/>
      <c r="Q49" s="91"/>
      <c r="R49" s="98"/>
      <c r="S49" s="99"/>
      <c r="T49" s="102"/>
      <c r="U49" s="91"/>
      <c r="V49" s="98"/>
      <c r="W49" s="99"/>
      <c r="X49" s="102"/>
      <c r="Y49" s="91"/>
      <c r="Z49" s="98"/>
      <c r="AA49" s="99"/>
      <c r="AB49" s="102"/>
      <c r="AC49" s="91"/>
      <c r="AD49" s="98"/>
      <c r="AE49" s="99"/>
      <c r="AF49" s="102"/>
      <c r="AG49" s="91"/>
      <c r="AH49" s="98">
        <v>19500</v>
      </c>
      <c r="AI49" s="99">
        <v>19900</v>
      </c>
      <c r="AJ49" s="102">
        <v>400</v>
      </c>
      <c r="AK49" s="91" t="s">
        <v>180</v>
      </c>
      <c r="AL49" s="98"/>
      <c r="AM49" s="99"/>
      <c r="AN49" s="102"/>
      <c r="AO49" s="91"/>
      <c r="AP49" s="98"/>
      <c r="AQ49" s="99"/>
      <c r="AR49" s="102"/>
      <c r="AS49" s="91"/>
      <c r="AT49" s="98"/>
      <c r="AU49" s="99"/>
      <c r="AV49" s="102"/>
      <c r="AW49" s="91"/>
      <c r="AX49" s="98"/>
      <c r="AY49" s="99"/>
      <c r="AZ49" s="102"/>
      <c r="BA49" s="91"/>
    </row>
    <row r="50" spans="1:53" x14ac:dyDescent="0.25">
      <c r="A50" s="82">
        <v>42321</v>
      </c>
      <c r="B50" s="98"/>
      <c r="C50" s="99"/>
      <c r="D50" s="102"/>
      <c r="E50" s="91"/>
      <c r="F50" s="98"/>
      <c r="G50" s="99"/>
      <c r="H50" s="102"/>
      <c r="I50" s="91"/>
      <c r="J50" s="98"/>
      <c r="K50" s="99"/>
      <c r="L50" s="102"/>
      <c r="M50" s="91"/>
      <c r="N50" s="98"/>
      <c r="O50" s="99"/>
      <c r="P50" s="102"/>
      <c r="Q50" s="91"/>
      <c r="R50" s="98">
        <v>4200</v>
      </c>
      <c r="S50" s="99">
        <v>5600</v>
      </c>
      <c r="T50" s="102">
        <v>1400</v>
      </c>
      <c r="U50" s="91" t="s">
        <v>210</v>
      </c>
      <c r="V50" s="98">
        <v>7500</v>
      </c>
      <c r="W50" s="99">
        <v>9200</v>
      </c>
      <c r="X50" s="102">
        <v>1700</v>
      </c>
      <c r="Y50" s="91" t="s">
        <v>208</v>
      </c>
      <c r="Z50" s="98">
        <v>13500</v>
      </c>
      <c r="AA50" s="99">
        <v>14000</v>
      </c>
      <c r="AB50" s="102">
        <v>500</v>
      </c>
      <c r="AC50" s="91" t="s">
        <v>180</v>
      </c>
      <c r="AD50" s="98">
        <v>17500</v>
      </c>
      <c r="AE50" s="99">
        <v>18200</v>
      </c>
      <c r="AF50" s="102">
        <v>700</v>
      </c>
      <c r="AG50" s="91" t="s">
        <v>180</v>
      </c>
      <c r="AH50" s="98">
        <v>18200</v>
      </c>
      <c r="AI50" s="99">
        <v>18800</v>
      </c>
      <c r="AJ50" s="102">
        <v>600</v>
      </c>
      <c r="AK50" s="91" t="s">
        <v>180</v>
      </c>
      <c r="AL50" s="98">
        <v>18400</v>
      </c>
      <c r="AM50" s="99">
        <v>20400</v>
      </c>
      <c r="AN50" s="102">
        <v>2000</v>
      </c>
      <c r="AO50" s="91" t="s">
        <v>180</v>
      </c>
      <c r="AP50" s="98">
        <v>20200</v>
      </c>
      <c r="AQ50" s="99">
        <v>20500</v>
      </c>
      <c r="AR50" s="102">
        <v>300</v>
      </c>
      <c r="AS50" s="91" t="s">
        <v>180</v>
      </c>
      <c r="AT50" s="98">
        <v>22000</v>
      </c>
      <c r="AU50" s="99">
        <v>23200</v>
      </c>
      <c r="AV50" s="102">
        <v>1200</v>
      </c>
      <c r="AW50" s="91" t="s">
        <v>180</v>
      </c>
      <c r="AX50" s="98"/>
      <c r="AY50" s="99"/>
      <c r="AZ50" s="102"/>
      <c r="BA50" s="91"/>
    </row>
    <row r="51" spans="1:53" x14ac:dyDescent="0.25">
      <c r="A51" s="82">
        <v>42322</v>
      </c>
      <c r="B51" s="98"/>
      <c r="C51" s="99"/>
      <c r="D51" s="102"/>
      <c r="E51" s="91"/>
      <c r="F51" s="98"/>
      <c r="G51" s="99"/>
      <c r="H51" s="102"/>
      <c r="I51" s="91"/>
      <c r="J51" s="98"/>
      <c r="K51" s="99"/>
      <c r="L51" s="102"/>
      <c r="M51" s="91"/>
      <c r="N51" s="98"/>
      <c r="O51" s="99"/>
      <c r="P51" s="102"/>
      <c r="Q51" s="91"/>
      <c r="R51" s="98"/>
      <c r="S51" s="99"/>
      <c r="T51" s="102"/>
      <c r="U51" s="91"/>
      <c r="V51" s="98">
        <v>0</v>
      </c>
      <c r="W51" s="99">
        <v>1500</v>
      </c>
      <c r="X51" s="102">
        <v>1500</v>
      </c>
      <c r="Y51" s="91" t="s">
        <v>208</v>
      </c>
      <c r="Z51" s="98">
        <v>12500</v>
      </c>
      <c r="AA51" s="99">
        <v>13500</v>
      </c>
      <c r="AB51" s="102">
        <v>1000</v>
      </c>
      <c r="AC51" s="91" t="s">
        <v>180</v>
      </c>
      <c r="AD51" s="98">
        <v>17100</v>
      </c>
      <c r="AE51" s="99">
        <v>17500</v>
      </c>
      <c r="AF51" s="102">
        <v>400</v>
      </c>
      <c r="AG51" s="91" t="s">
        <v>180</v>
      </c>
      <c r="AH51" s="98">
        <v>17900</v>
      </c>
      <c r="AI51" s="99">
        <v>18200</v>
      </c>
      <c r="AJ51" s="102">
        <v>300</v>
      </c>
      <c r="AK51" s="91" t="s">
        <v>180</v>
      </c>
      <c r="AL51" s="98"/>
      <c r="AM51" s="99"/>
      <c r="AN51" s="102"/>
      <c r="AO51" s="91"/>
      <c r="AP51" s="98"/>
      <c r="AQ51" s="99"/>
      <c r="AR51" s="102"/>
      <c r="AS51" s="91"/>
      <c r="AT51" s="98">
        <v>20300</v>
      </c>
      <c r="AU51" s="99">
        <v>22000</v>
      </c>
      <c r="AV51" s="102">
        <v>1700</v>
      </c>
      <c r="AW51" s="91" t="s">
        <v>180</v>
      </c>
      <c r="AX51" s="98"/>
      <c r="AY51" s="99"/>
      <c r="AZ51" s="102"/>
      <c r="BA51" s="91"/>
    </row>
    <row r="52" spans="1:53" x14ac:dyDescent="0.25">
      <c r="A52" s="82">
        <v>42324</v>
      </c>
      <c r="B52" s="98"/>
      <c r="C52" s="99"/>
      <c r="D52" s="102"/>
      <c r="E52" s="91"/>
      <c r="F52" s="98"/>
      <c r="G52" s="99"/>
      <c r="H52" s="102"/>
      <c r="I52" s="91"/>
      <c r="J52" s="98"/>
      <c r="K52" s="99"/>
      <c r="L52" s="102"/>
      <c r="M52" s="91"/>
      <c r="N52" s="98"/>
      <c r="O52" s="99"/>
      <c r="P52" s="102"/>
      <c r="Q52" s="91"/>
      <c r="R52" s="98">
        <v>5600</v>
      </c>
      <c r="S52" s="99">
        <v>6600</v>
      </c>
      <c r="T52" s="102">
        <v>1000</v>
      </c>
      <c r="U52" s="91" t="s">
        <v>210</v>
      </c>
      <c r="V52" s="98">
        <v>1500</v>
      </c>
      <c r="W52" s="99">
        <v>3400</v>
      </c>
      <c r="X52" s="102">
        <v>1900</v>
      </c>
      <c r="Y52" s="91" t="s">
        <v>208</v>
      </c>
      <c r="Z52" s="98">
        <v>10500</v>
      </c>
      <c r="AA52" s="99">
        <v>12500</v>
      </c>
      <c r="AB52" s="102">
        <v>2000</v>
      </c>
      <c r="AC52" s="91" t="s">
        <v>180</v>
      </c>
      <c r="AD52" s="98">
        <v>15400</v>
      </c>
      <c r="AE52" s="99">
        <v>17100</v>
      </c>
      <c r="AF52" s="102">
        <v>1700</v>
      </c>
      <c r="AG52" s="91" t="s">
        <v>180</v>
      </c>
      <c r="AH52" s="98">
        <v>15500</v>
      </c>
      <c r="AI52" s="99">
        <v>17900</v>
      </c>
      <c r="AJ52" s="102">
        <v>2400</v>
      </c>
      <c r="AK52" s="91" t="s">
        <v>180</v>
      </c>
      <c r="AL52" s="98">
        <v>15900</v>
      </c>
      <c r="AM52" s="99">
        <v>16600</v>
      </c>
      <c r="AN52" s="102">
        <v>700</v>
      </c>
      <c r="AO52" s="91" t="s">
        <v>180</v>
      </c>
      <c r="AP52" s="98">
        <v>18400</v>
      </c>
      <c r="AQ52" s="99">
        <v>20200</v>
      </c>
      <c r="AR52" s="102">
        <v>1800</v>
      </c>
      <c r="AS52" s="91" t="s">
        <v>180</v>
      </c>
      <c r="AT52" s="98"/>
      <c r="AU52" s="99"/>
      <c r="AV52" s="102"/>
      <c r="AW52" s="91"/>
      <c r="AX52" s="98"/>
      <c r="AY52" s="99"/>
      <c r="AZ52" s="102"/>
      <c r="BA52" s="91"/>
    </row>
    <row r="53" spans="1:53" x14ac:dyDescent="0.25">
      <c r="A53" s="82">
        <v>42325</v>
      </c>
      <c r="B53" s="98"/>
      <c r="C53" s="99"/>
      <c r="D53" s="102"/>
      <c r="E53" s="91"/>
      <c r="F53" s="98"/>
      <c r="G53" s="99"/>
      <c r="H53" s="102"/>
      <c r="I53" s="91"/>
      <c r="J53" s="98"/>
      <c r="K53" s="99"/>
      <c r="L53" s="102"/>
      <c r="M53" s="91"/>
      <c r="N53" s="98"/>
      <c r="O53" s="99"/>
      <c r="P53" s="102"/>
      <c r="Q53" s="91"/>
      <c r="R53" s="98">
        <v>6600</v>
      </c>
      <c r="S53" s="99">
        <v>7600</v>
      </c>
      <c r="T53" s="102">
        <v>1000</v>
      </c>
      <c r="U53" s="91" t="s">
        <v>210</v>
      </c>
      <c r="V53" s="98">
        <v>3400</v>
      </c>
      <c r="W53" s="99">
        <v>4100</v>
      </c>
      <c r="X53" s="102">
        <v>700</v>
      </c>
      <c r="Y53" s="91" t="s">
        <v>208</v>
      </c>
      <c r="Z53" s="98">
        <v>9000</v>
      </c>
      <c r="AA53" s="99">
        <v>10500</v>
      </c>
      <c r="AB53" s="102">
        <v>1500</v>
      </c>
      <c r="AC53" s="91" t="s">
        <v>180</v>
      </c>
      <c r="AD53" s="98">
        <v>14500</v>
      </c>
      <c r="AE53" s="99">
        <v>15400</v>
      </c>
      <c r="AF53" s="102">
        <v>900</v>
      </c>
      <c r="AG53" s="91" t="s">
        <v>180</v>
      </c>
      <c r="AH53" s="98">
        <v>15000</v>
      </c>
      <c r="AI53" s="99">
        <v>15500</v>
      </c>
      <c r="AJ53" s="102">
        <v>500</v>
      </c>
      <c r="AK53" s="91" t="s">
        <v>180</v>
      </c>
      <c r="AL53" s="98">
        <v>15100</v>
      </c>
      <c r="AM53" s="99">
        <v>15900</v>
      </c>
      <c r="AN53" s="102">
        <v>800</v>
      </c>
      <c r="AO53" s="91" t="s">
        <v>180</v>
      </c>
      <c r="AP53" s="98"/>
      <c r="AQ53" s="99"/>
      <c r="AR53" s="102"/>
      <c r="AS53" s="91"/>
      <c r="AT53" s="98">
        <v>20000</v>
      </c>
      <c r="AU53" s="99">
        <v>20300</v>
      </c>
      <c r="AV53" s="102">
        <v>300</v>
      </c>
      <c r="AW53" s="91" t="s">
        <v>180</v>
      </c>
      <c r="AX53" s="98"/>
      <c r="AY53" s="99"/>
      <c r="AZ53" s="102"/>
      <c r="BA53" s="91"/>
    </row>
    <row r="54" spans="1:53" x14ac:dyDescent="0.25">
      <c r="A54" s="82">
        <v>42325</v>
      </c>
      <c r="B54" s="98"/>
      <c r="C54" s="99"/>
      <c r="D54" s="102"/>
      <c r="E54" s="91"/>
      <c r="F54" s="98"/>
      <c r="G54" s="99"/>
      <c r="H54" s="102"/>
      <c r="I54" s="91"/>
      <c r="J54" s="98"/>
      <c r="K54" s="99"/>
      <c r="L54" s="102"/>
      <c r="M54" s="91"/>
      <c r="N54" s="98"/>
      <c r="O54" s="99"/>
      <c r="P54" s="102"/>
      <c r="Q54" s="91"/>
      <c r="R54" s="98"/>
      <c r="S54" s="99"/>
      <c r="T54" s="102"/>
      <c r="U54" s="91"/>
      <c r="V54" s="98"/>
      <c r="W54" s="99"/>
      <c r="X54" s="102"/>
      <c r="Y54" s="91"/>
      <c r="Z54" s="98"/>
      <c r="AA54" s="99"/>
      <c r="AB54" s="102"/>
      <c r="AC54" s="91"/>
      <c r="AD54" s="98"/>
      <c r="AE54" s="99"/>
      <c r="AF54" s="102"/>
      <c r="AG54" s="91"/>
      <c r="AH54" s="98"/>
      <c r="AI54" s="99"/>
      <c r="AJ54" s="102"/>
      <c r="AK54" s="91"/>
      <c r="AL54" s="98">
        <v>16600</v>
      </c>
      <c r="AM54" s="99">
        <v>18400</v>
      </c>
      <c r="AN54" s="102">
        <v>1800</v>
      </c>
      <c r="AO54" s="91" t="s">
        <v>180</v>
      </c>
      <c r="AP54" s="98"/>
      <c r="AQ54" s="99"/>
      <c r="AR54" s="102"/>
      <c r="AS54" s="91"/>
      <c r="AT54" s="98"/>
      <c r="AU54" s="99"/>
      <c r="AV54" s="102"/>
      <c r="AW54" s="91"/>
      <c r="AX54" s="98"/>
      <c r="AY54" s="99"/>
      <c r="AZ54" s="102"/>
      <c r="BA54" s="91"/>
    </row>
    <row r="55" spans="1:53" x14ac:dyDescent="0.25">
      <c r="A55" s="82">
        <v>42326</v>
      </c>
      <c r="B55" s="98"/>
      <c r="C55" s="99"/>
      <c r="D55" s="102"/>
      <c r="E55" s="91"/>
      <c r="F55" s="98"/>
      <c r="G55" s="99"/>
      <c r="H55" s="102"/>
      <c r="I55" s="91"/>
      <c r="J55" s="98"/>
      <c r="K55" s="99"/>
      <c r="L55" s="102"/>
      <c r="M55" s="91"/>
      <c r="N55" s="98"/>
      <c r="O55" s="99"/>
      <c r="P55" s="102"/>
      <c r="Q55" s="91"/>
      <c r="R55" s="98"/>
      <c r="S55" s="99"/>
      <c r="T55" s="102"/>
      <c r="U55" s="91"/>
      <c r="V55" s="98">
        <v>4100</v>
      </c>
      <c r="W55" s="99">
        <v>5300</v>
      </c>
      <c r="X55" s="102">
        <v>1200</v>
      </c>
      <c r="Y55" s="91" t="s">
        <v>208</v>
      </c>
      <c r="Z55" s="98">
        <v>7800</v>
      </c>
      <c r="AA55" s="99">
        <v>9000</v>
      </c>
      <c r="AB55" s="102">
        <v>1200</v>
      </c>
      <c r="AC55" s="91" t="s">
        <v>180</v>
      </c>
      <c r="AD55" s="98">
        <v>14000</v>
      </c>
      <c r="AE55" s="99">
        <v>14500</v>
      </c>
      <c r="AF55" s="102">
        <v>500</v>
      </c>
      <c r="AG55" s="91" t="s">
        <v>180</v>
      </c>
      <c r="AH55" s="98">
        <v>14100</v>
      </c>
      <c r="AI55" s="99">
        <v>15000</v>
      </c>
      <c r="AJ55" s="102">
        <v>900</v>
      </c>
      <c r="AK55" s="91" t="s">
        <v>180</v>
      </c>
      <c r="AL55" s="98">
        <v>14400</v>
      </c>
      <c r="AM55" s="99">
        <v>15100</v>
      </c>
      <c r="AN55" s="102">
        <v>700</v>
      </c>
      <c r="AO55" s="91" t="s">
        <v>180</v>
      </c>
      <c r="AP55" s="98">
        <v>17600</v>
      </c>
      <c r="AQ55" s="99">
        <v>18400</v>
      </c>
      <c r="AR55" s="102">
        <v>800</v>
      </c>
      <c r="AS55" s="91" t="s">
        <v>180</v>
      </c>
      <c r="AT55" s="98">
        <v>19000</v>
      </c>
      <c r="AU55" s="99">
        <v>20000</v>
      </c>
      <c r="AV55" s="102">
        <v>1000</v>
      </c>
      <c r="AW55" s="91" t="s">
        <v>180</v>
      </c>
      <c r="AX55" s="98"/>
      <c r="AY55" s="99"/>
      <c r="AZ55" s="102"/>
      <c r="BA55" s="91"/>
    </row>
    <row r="56" spans="1:53" x14ac:dyDescent="0.25">
      <c r="A56" s="82">
        <v>42327</v>
      </c>
      <c r="B56" s="98"/>
      <c r="C56" s="99"/>
      <c r="D56" s="102"/>
      <c r="E56" s="91"/>
      <c r="F56" s="98"/>
      <c r="G56" s="99"/>
      <c r="H56" s="102"/>
      <c r="I56" s="91"/>
      <c r="J56" s="98"/>
      <c r="K56" s="99"/>
      <c r="L56" s="102"/>
      <c r="M56" s="91"/>
      <c r="N56" s="98"/>
      <c r="O56" s="99"/>
      <c r="P56" s="102"/>
      <c r="Q56" s="91"/>
      <c r="R56" s="98"/>
      <c r="S56" s="99"/>
      <c r="T56" s="102"/>
      <c r="U56" s="91"/>
      <c r="V56" s="98">
        <v>5300</v>
      </c>
      <c r="W56" s="99">
        <v>6700</v>
      </c>
      <c r="X56" s="102">
        <v>1400</v>
      </c>
      <c r="Y56" s="91" t="s">
        <v>208</v>
      </c>
      <c r="Z56" s="98">
        <v>6800</v>
      </c>
      <c r="AA56" s="99">
        <v>7800</v>
      </c>
      <c r="AB56" s="102">
        <v>1000</v>
      </c>
      <c r="AC56" s="91" t="s">
        <v>180</v>
      </c>
      <c r="AD56" s="98">
        <v>13000</v>
      </c>
      <c r="AE56" s="99">
        <v>14000</v>
      </c>
      <c r="AF56" s="102">
        <v>1000</v>
      </c>
      <c r="AG56" s="91" t="s">
        <v>180</v>
      </c>
      <c r="AH56" s="98"/>
      <c r="AI56" s="99"/>
      <c r="AJ56" s="102"/>
      <c r="AK56" s="91"/>
      <c r="AL56" s="98"/>
      <c r="AM56" s="99"/>
      <c r="AN56" s="102"/>
      <c r="AO56" s="91"/>
      <c r="AP56" s="98"/>
      <c r="AQ56" s="99"/>
      <c r="AR56" s="102"/>
      <c r="AS56" s="91"/>
      <c r="AT56" s="98">
        <v>18000</v>
      </c>
      <c r="AU56" s="99">
        <v>19000</v>
      </c>
      <c r="AV56" s="102">
        <v>1000</v>
      </c>
      <c r="AW56" s="91" t="s">
        <v>180</v>
      </c>
      <c r="AX56" s="98"/>
      <c r="AY56" s="99"/>
      <c r="AZ56" s="102"/>
      <c r="BA56" s="91"/>
    </row>
    <row r="57" spans="1:53" x14ac:dyDescent="0.25">
      <c r="A57" s="82">
        <v>42328</v>
      </c>
      <c r="B57" s="98"/>
      <c r="C57" s="99"/>
      <c r="D57" s="102"/>
      <c r="E57" s="91"/>
      <c r="F57" s="98"/>
      <c r="G57" s="99"/>
      <c r="H57" s="102"/>
      <c r="I57" s="91"/>
      <c r="J57" s="98"/>
      <c r="K57" s="99"/>
      <c r="L57" s="102"/>
      <c r="M57" s="91"/>
      <c r="N57" s="98"/>
      <c r="O57" s="99"/>
      <c r="P57" s="102"/>
      <c r="Q57" s="91"/>
      <c r="R57" s="98"/>
      <c r="S57" s="99"/>
      <c r="T57" s="102"/>
      <c r="U57" s="91"/>
      <c r="V57" s="98">
        <v>6900</v>
      </c>
      <c r="W57" s="99">
        <v>7500</v>
      </c>
      <c r="X57" s="102">
        <v>600</v>
      </c>
      <c r="Y57" s="91" t="s">
        <v>208</v>
      </c>
      <c r="Z57" s="98">
        <v>4800</v>
      </c>
      <c r="AA57" s="99">
        <v>6800</v>
      </c>
      <c r="AB57" s="102">
        <v>2000</v>
      </c>
      <c r="AC57" s="91" t="s">
        <v>180</v>
      </c>
      <c r="AD57" s="98">
        <v>12000</v>
      </c>
      <c r="AE57" s="99">
        <v>13000</v>
      </c>
      <c r="AF57" s="102">
        <v>1000</v>
      </c>
      <c r="AG57" s="91" t="s">
        <v>180</v>
      </c>
      <c r="AH57" s="98">
        <v>12500</v>
      </c>
      <c r="AI57" s="99">
        <v>14100</v>
      </c>
      <c r="AJ57" s="102">
        <v>1600</v>
      </c>
      <c r="AK57" s="91" t="s">
        <v>180</v>
      </c>
      <c r="AL57" s="98">
        <v>12800</v>
      </c>
      <c r="AM57" s="99">
        <v>14400</v>
      </c>
      <c r="AN57" s="102">
        <v>1600</v>
      </c>
      <c r="AO57" s="91" t="s">
        <v>180</v>
      </c>
      <c r="AP57" s="98">
        <v>17200</v>
      </c>
      <c r="AQ57" s="99">
        <v>17600</v>
      </c>
      <c r="AR57" s="102">
        <v>400</v>
      </c>
      <c r="AS57" s="91" t="s">
        <v>180</v>
      </c>
      <c r="AT57" s="98">
        <v>17700</v>
      </c>
      <c r="AU57" s="99">
        <v>18000</v>
      </c>
      <c r="AV57" s="102">
        <v>300</v>
      </c>
      <c r="AW57" s="91" t="s">
        <v>180</v>
      </c>
      <c r="AX57" s="98"/>
      <c r="AY57" s="99"/>
      <c r="AZ57" s="102"/>
      <c r="BA57" s="91"/>
    </row>
    <row r="58" spans="1:53" x14ac:dyDescent="0.25">
      <c r="A58" s="82">
        <v>42329</v>
      </c>
      <c r="B58" s="98"/>
      <c r="C58" s="99"/>
      <c r="D58" s="102"/>
      <c r="E58" s="91"/>
      <c r="F58" s="98"/>
      <c r="G58" s="99"/>
      <c r="H58" s="102"/>
      <c r="I58" s="91"/>
      <c r="J58" s="98"/>
      <c r="K58" s="99"/>
      <c r="L58" s="102"/>
      <c r="M58" s="91"/>
      <c r="N58" s="98"/>
      <c r="O58" s="99"/>
      <c r="P58" s="102"/>
      <c r="Q58" s="91"/>
      <c r="R58" s="98"/>
      <c r="S58" s="99"/>
      <c r="T58" s="102"/>
      <c r="U58" s="91"/>
      <c r="V58" s="98">
        <v>6700</v>
      </c>
      <c r="W58" s="99">
        <v>6900</v>
      </c>
      <c r="X58" s="102">
        <v>200</v>
      </c>
      <c r="Y58" s="91" t="s">
        <v>208</v>
      </c>
      <c r="Z58" s="98">
        <v>3800</v>
      </c>
      <c r="AA58" s="99">
        <v>4800</v>
      </c>
      <c r="AB58" s="102">
        <v>1000</v>
      </c>
      <c r="AC58" s="91" t="s">
        <v>180</v>
      </c>
      <c r="AD58" s="98">
        <v>11500</v>
      </c>
      <c r="AE58" s="99">
        <v>12000</v>
      </c>
      <c r="AF58" s="102">
        <v>500</v>
      </c>
      <c r="AG58" s="91" t="s">
        <v>180</v>
      </c>
      <c r="AH58" s="98">
        <v>12100</v>
      </c>
      <c r="AI58" s="99">
        <v>12500</v>
      </c>
      <c r="AJ58" s="102">
        <v>400</v>
      </c>
      <c r="AK58" s="91" t="s">
        <v>180</v>
      </c>
      <c r="AL58" s="98">
        <v>12300</v>
      </c>
      <c r="AM58" s="99">
        <v>12800</v>
      </c>
      <c r="AN58" s="102">
        <v>500</v>
      </c>
      <c r="AO58" s="91" t="s">
        <v>180</v>
      </c>
      <c r="AP58" s="98">
        <v>16700</v>
      </c>
      <c r="AQ58" s="99">
        <v>17200</v>
      </c>
      <c r="AR58" s="102">
        <v>500</v>
      </c>
      <c r="AS58" s="91" t="s">
        <v>180</v>
      </c>
      <c r="AT58" s="98">
        <v>17000</v>
      </c>
      <c r="AU58" s="99">
        <v>17400</v>
      </c>
      <c r="AV58" s="102">
        <v>400</v>
      </c>
      <c r="AW58" s="91" t="s">
        <v>180</v>
      </c>
      <c r="AX58" s="98"/>
      <c r="AY58" s="99"/>
      <c r="AZ58" s="102"/>
      <c r="BA58" s="91"/>
    </row>
    <row r="59" spans="1:53" x14ac:dyDescent="0.25">
      <c r="A59" s="82">
        <v>42329</v>
      </c>
      <c r="B59" s="98"/>
      <c r="C59" s="99"/>
      <c r="D59" s="102"/>
      <c r="E59" s="91"/>
      <c r="F59" s="98"/>
      <c r="G59" s="99"/>
      <c r="H59" s="102"/>
      <c r="I59" s="91"/>
      <c r="J59" s="98"/>
      <c r="K59" s="99"/>
      <c r="L59" s="102"/>
      <c r="M59" s="91"/>
      <c r="N59" s="98"/>
      <c r="O59" s="99"/>
      <c r="P59" s="102"/>
      <c r="Q59" s="91"/>
      <c r="R59" s="98"/>
      <c r="S59" s="99"/>
      <c r="T59" s="102"/>
      <c r="U59" s="91"/>
      <c r="V59" s="98"/>
      <c r="W59" s="99"/>
      <c r="X59" s="102"/>
      <c r="Y59" s="91"/>
      <c r="Z59" s="98"/>
      <c r="AA59" s="99"/>
      <c r="AB59" s="102"/>
      <c r="AC59" s="91"/>
      <c r="AD59" s="98"/>
      <c r="AE59" s="99"/>
      <c r="AF59" s="102"/>
      <c r="AG59" s="91"/>
      <c r="AH59" s="98">
        <v>11800</v>
      </c>
      <c r="AI59" s="99">
        <v>12100</v>
      </c>
      <c r="AJ59" s="102">
        <v>300</v>
      </c>
      <c r="AK59" s="91" t="s">
        <v>180</v>
      </c>
      <c r="AL59" s="98"/>
      <c r="AM59" s="99"/>
      <c r="AN59" s="102"/>
      <c r="AO59" s="91"/>
      <c r="AP59" s="98"/>
      <c r="AQ59" s="99"/>
      <c r="AR59" s="102"/>
      <c r="AS59" s="91"/>
      <c r="AT59" s="98"/>
      <c r="AU59" s="99"/>
      <c r="AV59" s="102"/>
      <c r="AW59" s="91"/>
      <c r="AX59" s="98"/>
      <c r="AY59" s="99"/>
      <c r="AZ59" s="102"/>
      <c r="BA59" s="91"/>
    </row>
    <row r="60" spans="1:53" x14ac:dyDescent="0.25">
      <c r="A60" s="82">
        <v>42331</v>
      </c>
      <c r="B60" s="98"/>
      <c r="C60" s="99"/>
      <c r="D60" s="102"/>
      <c r="E60" s="91"/>
      <c r="F60" s="98"/>
      <c r="G60" s="99"/>
      <c r="H60" s="102"/>
      <c r="I60" s="91"/>
      <c r="J60" s="98"/>
      <c r="K60" s="99"/>
      <c r="L60" s="102"/>
      <c r="M60" s="91"/>
      <c r="N60" s="98"/>
      <c r="O60" s="99"/>
      <c r="P60" s="102"/>
      <c r="Q60" s="91"/>
      <c r="R60" s="98"/>
      <c r="S60" s="99"/>
      <c r="T60" s="102"/>
      <c r="U60" s="91"/>
      <c r="V60" s="98"/>
      <c r="W60" s="99"/>
      <c r="X60" s="102"/>
      <c r="Y60" s="91"/>
      <c r="Z60" s="98">
        <v>3000</v>
      </c>
      <c r="AA60" s="99">
        <v>3800</v>
      </c>
      <c r="AB60" s="102">
        <v>800</v>
      </c>
      <c r="AC60" s="91" t="s">
        <v>180</v>
      </c>
      <c r="AD60" s="98">
        <v>9500</v>
      </c>
      <c r="AE60" s="99">
        <v>11500</v>
      </c>
      <c r="AF60" s="102">
        <v>2000</v>
      </c>
      <c r="AG60" s="91" t="s">
        <v>180</v>
      </c>
      <c r="AH60" s="98">
        <v>9800</v>
      </c>
      <c r="AI60" s="99">
        <v>11800</v>
      </c>
      <c r="AJ60" s="102">
        <v>2000</v>
      </c>
      <c r="AK60" s="91" t="s">
        <v>180</v>
      </c>
      <c r="AL60" s="98">
        <v>11300</v>
      </c>
      <c r="AM60" s="99">
        <v>12300</v>
      </c>
      <c r="AN60" s="102">
        <v>1000</v>
      </c>
      <c r="AO60" s="91" t="s">
        <v>180</v>
      </c>
      <c r="AP60" s="98">
        <v>15500</v>
      </c>
      <c r="AQ60" s="99">
        <v>16700</v>
      </c>
      <c r="AR60" s="102">
        <v>1200</v>
      </c>
      <c r="AS60" s="91" t="s">
        <v>180</v>
      </c>
      <c r="AT60" s="98">
        <v>17400</v>
      </c>
      <c r="AU60" s="99">
        <v>17700</v>
      </c>
      <c r="AV60" s="102">
        <v>300</v>
      </c>
      <c r="AW60" s="91" t="s">
        <v>180</v>
      </c>
      <c r="AX60" s="98"/>
      <c r="AY60" s="99"/>
      <c r="AZ60" s="102"/>
      <c r="BA60" s="91"/>
    </row>
    <row r="61" spans="1:53" x14ac:dyDescent="0.25">
      <c r="A61" s="82">
        <v>42332</v>
      </c>
      <c r="B61" s="98"/>
      <c r="C61" s="99"/>
      <c r="D61" s="102"/>
      <c r="E61" s="91"/>
      <c r="F61" s="98"/>
      <c r="G61" s="99"/>
      <c r="H61" s="102"/>
      <c r="I61" s="91"/>
      <c r="J61" s="98"/>
      <c r="K61" s="99"/>
      <c r="L61" s="102"/>
      <c r="M61" s="91"/>
      <c r="N61" s="98"/>
      <c r="O61" s="99"/>
      <c r="P61" s="102"/>
      <c r="Q61" s="91"/>
      <c r="R61" s="98"/>
      <c r="S61" s="99"/>
      <c r="T61" s="102"/>
      <c r="U61" s="91"/>
      <c r="V61" s="98"/>
      <c r="W61" s="99"/>
      <c r="X61" s="102"/>
      <c r="Y61" s="91"/>
      <c r="Z61" s="98">
        <v>2000</v>
      </c>
      <c r="AA61" s="99">
        <v>3000</v>
      </c>
      <c r="AB61" s="102">
        <v>1000</v>
      </c>
      <c r="AC61" s="91" t="s">
        <v>180</v>
      </c>
      <c r="AD61" s="98">
        <v>9000</v>
      </c>
      <c r="AE61" s="99">
        <v>9500</v>
      </c>
      <c r="AF61" s="102">
        <v>500</v>
      </c>
      <c r="AG61" s="91" t="s">
        <v>180</v>
      </c>
      <c r="AH61" s="98">
        <v>9500</v>
      </c>
      <c r="AI61" s="99">
        <v>9800</v>
      </c>
      <c r="AJ61" s="102">
        <v>300</v>
      </c>
      <c r="AK61" s="91" t="s">
        <v>180</v>
      </c>
      <c r="AL61" s="98">
        <v>9700</v>
      </c>
      <c r="AM61" s="99">
        <v>10100</v>
      </c>
      <c r="AN61" s="102">
        <v>400</v>
      </c>
      <c r="AO61" s="91" t="s">
        <v>180</v>
      </c>
      <c r="AP61" s="98">
        <v>13000</v>
      </c>
      <c r="AQ61" s="99">
        <v>15500</v>
      </c>
      <c r="AR61" s="102">
        <v>2500</v>
      </c>
      <c r="AS61" s="91" t="s">
        <v>180</v>
      </c>
      <c r="AT61" s="98">
        <v>15100</v>
      </c>
      <c r="AU61" s="99">
        <v>15200</v>
      </c>
      <c r="AV61" s="102">
        <v>100</v>
      </c>
      <c r="AW61" s="91" t="s">
        <v>180</v>
      </c>
      <c r="AX61" s="98"/>
      <c r="AY61" s="99"/>
      <c r="AZ61" s="102"/>
      <c r="BA61" s="91"/>
    </row>
    <row r="62" spans="1:53" x14ac:dyDescent="0.25">
      <c r="A62" s="82">
        <v>42332</v>
      </c>
      <c r="B62" s="98"/>
      <c r="C62" s="99"/>
      <c r="D62" s="102"/>
      <c r="E62" s="91"/>
      <c r="F62" s="98"/>
      <c r="G62" s="99"/>
      <c r="H62" s="102"/>
      <c r="I62" s="91"/>
      <c r="J62" s="98"/>
      <c r="K62" s="99"/>
      <c r="L62" s="102"/>
      <c r="M62" s="91"/>
      <c r="N62" s="98"/>
      <c r="O62" s="99"/>
      <c r="P62" s="102"/>
      <c r="Q62" s="91"/>
      <c r="R62" s="98"/>
      <c r="S62" s="99"/>
      <c r="T62" s="102"/>
      <c r="U62" s="91"/>
      <c r="V62" s="98"/>
      <c r="W62" s="99"/>
      <c r="X62" s="102"/>
      <c r="Y62" s="91"/>
      <c r="Z62" s="98"/>
      <c r="AA62" s="99"/>
      <c r="AB62" s="102"/>
      <c r="AC62" s="91"/>
      <c r="AD62" s="98">
        <v>4000</v>
      </c>
      <c r="AE62" s="99">
        <v>4500</v>
      </c>
      <c r="AF62" s="102">
        <v>500</v>
      </c>
      <c r="AG62" s="91" t="s">
        <v>180</v>
      </c>
      <c r="AH62" s="98"/>
      <c r="AI62" s="99"/>
      <c r="AJ62" s="102"/>
      <c r="AK62" s="91"/>
      <c r="AL62" s="98"/>
      <c r="AM62" s="99"/>
      <c r="AN62" s="102"/>
      <c r="AO62" s="91"/>
      <c r="AP62" s="98"/>
      <c r="AQ62" s="99"/>
      <c r="AR62" s="102"/>
      <c r="AS62" s="91"/>
      <c r="AT62" s="98">
        <v>16600</v>
      </c>
      <c r="AU62" s="99">
        <v>17000</v>
      </c>
      <c r="AV62" s="102">
        <v>400</v>
      </c>
      <c r="AW62" s="91" t="s">
        <v>180</v>
      </c>
      <c r="AX62" s="98"/>
      <c r="AY62" s="99"/>
      <c r="AZ62" s="102"/>
      <c r="BA62" s="91"/>
    </row>
    <row r="63" spans="1:53" x14ac:dyDescent="0.25">
      <c r="A63" s="82">
        <v>42333</v>
      </c>
      <c r="B63" s="98"/>
      <c r="C63" s="99"/>
      <c r="D63" s="102"/>
      <c r="E63" s="91"/>
      <c r="F63" s="98"/>
      <c r="G63" s="99"/>
      <c r="H63" s="102"/>
      <c r="I63" s="91"/>
      <c r="J63" s="98"/>
      <c r="K63" s="99"/>
      <c r="L63" s="102"/>
      <c r="M63" s="91"/>
      <c r="N63" s="98"/>
      <c r="O63" s="99"/>
      <c r="P63" s="102"/>
      <c r="Q63" s="91"/>
      <c r="R63" s="98"/>
      <c r="S63" s="99"/>
      <c r="T63" s="102"/>
      <c r="U63" s="91"/>
      <c r="V63" s="98"/>
      <c r="W63" s="99"/>
      <c r="X63" s="102"/>
      <c r="Y63" s="91"/>
      <c r="Z63" s="98">
        <v>1000</v>
      </c>
      <c r="AA63" s="99">
        <v>2000</v>
      </c>
      <c r="AB63" s="102">
        <v>1000</v>
      </c>
      <c r="AC63" s="91" t="s">
        <v>180</v>
      </c>
      <c r="AD63" s="98">
        <v>2500</v>
      </c>
      <c r="AE63" s="99">
        <v>4000</v>
      </c>
      <c r="AF63" s="102">
        <v>1500</v>
      </c>
      <c r="AG63" s="91" t="s">
        <v>180</v>
      </c>
      <c r="AH63" s="98">
        <v>9000</v>
      </c>
      <c r="AI63" s="99">
        <v>9500</v>
      </c>
      <c r="AJ63" s="102">
        <v>500</v>
      </c>
      <c r="AK63" s="91" t="s">
        <v>180</v>
      </c>
      <c r="AL63" s="98">
        <v>9000</v>
      </c>
      <c r="AM63" s="99">
        <v>9700</v>
      </c>
      <c r="AN63" s="102">
        <v>700</v>
      </c>
      <c r="AO63" s="91" t="s">
        <v>180</v>
      </c>
      <c r="AP63" s="98"/>
      <c r="AQ63" s="99"/>
      <c r="AR63" s="102"/>
      <c r="AS63" s="91"/>
      <c r="AT63" s="98">
        <v>15700</v>
      </c>
      <c r="AU63" s="99">
        <v>16600</v>
      </c>
      <c r="AV63" s="102">
        <v>900</v>
      </c>
      <c r="AW63" s="91" t="s">
        <v>180</v>
      </c>
      <c r="AX63" s="98"/>
      <c r="AY63" s="99"/>
      <c r="AZ63" s="102"/>
      <c r="BA63" s="91"/>
    </row>
    <row r="64" spans="1:53" x14ac:dyDescent="0.25">
      <c r="A64" s="82">
        <v>42334</v>
      </c>
      <c r="B64" s="98"/>
      <c r="C64" s="99"/>
      <c r="D64" s="102"/>
      <c r="E64" s="91"/>
      <c r="F64" s="98"/>
      <c r="G64" s="99"/>
      <c r="H64" s="102"/>
      <c r="I64" s="91"/>
      <c r="J64" s="98"/>
      <c r="K64" s="99"/>
      <c r="L64" s="102"/>
      <c r="M64" s="91"/>
      <c r="N64" s="98"/>
      <c r="O64" s="99"/>
      <c r="P64" s="102"/>
      <c r="Q64" s="91"/>
      <c r="R64" s="98"/>
      <c r="S64" s="99"/>
      <c r="T64" s="102"/>
      <c r="U64" s="91"/>
      <c r="V64" s="98"/>
      <c r="W64" s="99"/>
      <c r="X64" s="102"/>
      <c r="Y64" s="91"/>
      <c r="Z64" s="98">
        <v>0</v>
      </c>
      <c r="AA64" s="99">
        <v>1000</v>
      </c>
      <c r="AB64" s="102">
        <v>1000</v>
      </c>
      <c r="AC64" s="91" t="s">
        <v>180</v>
      </c>
      <c r="AD64" s="98">
        <v>1500</v>
      </c>
      <c r="AE64" s="99">
        <v>2500</v>
      </c>
      <c r="AF64" s="102">
        <v>1000</v>
      </c>
      <c r="AG64" s="91" t="s">
        <v>180</v>
      </c>
      <c r="AH64" s="98">
        <v>2500</v>
      </c>
      <c r="AI64" s="99">
        <v>4500</v>
      </c>
      <c r="AJ64" s="102">
        <v>2000</v>
      </c>
      <c r="AK64" s="91" t="s">
        <v>180</v>
      </c>
      <c r="AL64" s="98">
        <v>3100</v>
      </c>
      <c r="AM64" s="99">
        <v>4100</v>
      </c>
      <c r="AN64" s="102">
        <v>1000</v>
      </c>
      <c r="AO64" s="91" t="s">
        <v>180</v>
      </c>
      <c r="AP64" s="98">
        <v>12000</v>
      </c>
      <c r="AQ64" s="99">
        <v>13000</v>
      </c>
      <c r="AR64" s="102">
        <v>1000</v>
      </c>
      <c r="AS64" s="91" t="s">
        <v>180</v>
      </c>
      <c r="AT64" s="98">
        <v>15500</v>
      </c>
      <c r="AU64" s="99">
        <v>15700</v>
      </c>
      <c r="AV64" s="102">
        <v>200</v>
      </c>
      <c r="AW64" s="91" t="s">
        <v>180</v>
      </c>
      <c r="AX64" s="98"/>
      <c r="AY64" s="99"/>
      <c r="AZ64" s="102"/>
      <c r="BA64" s="91"/>
    </row>
    <row r="65" spans="1:53" x14ac:dyDescent="0.25">
      <c r="A65" s="82">
        <v>42335</v>
      </c>
      <c r="B65" s="98"/>
      <c r="C65" s="99"/>
      <c r="D65" s="102"/>
      <c r="E65" s="91"/>
      <c r="F65" s="98"/>
      <c r="G65" s="99"/>
      <c r="H65" s="102"/>
      <c r="I65" s="91"/>
      <c r="J65" s="98"/>
      <c r="K65" s="99"/>
      <c r="L65" s="102"/>
      <c r="M65" s="91"/>
      <c r="N65" s="98"/>
      <c r="O65" s="99"/>
      <c r="P65" s="102"/>
      <c r="Q65" s="91"/>
      <c r="R65" s="98"/>
      <c r="S65" s="99"/>
      <c r="T65" s="102"/>
      <c r="U65" s="91"/>
      <c r="V65" s="98"/>
      <c r="W65" s="99"/>
      <c r="X65" s="102"/>
      <c r="Y65" s="91"/>
      <c r="Z65" s="98"/>
      <c r="AA65" s="99"/>
      <c r="AB65" s="102"/>
      <c r="AC65" s="91"/>
      <c r="AD65" s="98">
        <v>300</v>
      </c>
      <c r="AE65" s="99">
        <v>1500</v>
      </c>
      <c r="AF65" s="102">
        <v>1200</v>
      </c>
      <c r="AG65" s="91" t="s">
        <v>180</v>
      </c>
      <c r="AH65" s="98">
        <v>1500</v>
      </c>
      <c r="AI65" s="99">
        <v>2500</v>
      </c>
      <c r="AJ65" s="102">
        <v>1000</v>
      </c>
      <c r="AK65" s="91" t="s">
        <v>180</v>
      </c>
      <c r="AL65" s="98">
        <v>2600</v>
      </c>
      <c r="AM65" s="99">
        <v>3100</v>
      </c>
      <c r="AN65" s="102">
        <v>500</v>
      </c>
      <c r="AO65" s="91" t="s">
        <v>180</v>
      </c>
      <c r="AP65" s="98">
        <v>11600</v>
      </c>
      <c r="AQ65" s="99">
        <v>12000</v>
      </c>
      <c r="AR65" s="102">
        <v>400</v>
      </c>
      <c r="AS65" s="91" t="s">
        <v>180</v>
      </c>
      <c r="AT65" s="98">
        <v>14500</v>
      </c>
      <c r="AU65" s="99">
        <v>15100</v>
      </c>
      <c r="AV65" s="102">
        <v>600</v>
      </c>
      <c r="AW65" s="91" t="s">
        <v>180</v>
      </c>
      <c r="AX65" s="98"/>
      <c r="AY65" s="99"/>
      <c r="AZ65" s="102"/>
      <c r="BA65" s="91"/>
    </row>
    <row r="66" spans="1:53" x14ac:dyDescent="0.25">
      <c r="A66" s="82">
        <v>42335</v>
      </c>
      <c r="B66" s="98"/>
      <c r="C66" s="99"/>
      <c r="D66" s="102"/>
      <c r="E66" s="91"/>
      <c r="F66" s="98"/>
      <c r="G66" s="99"/>
      <c r="H66" s="102"/>
      <c r="I66" s="91"/>
      <c r="J66" s="98"/>
      <c r="K66" s="99"/>
      <c r="L66" s="102"/>
      <c r="M66" s="91"/>
      <c r="N66" s="98"/>
      <c r="O66" s="99"/>
      <c r="P66" s="102"/>
      <c r="Q66" s="91"/>
      <c r="R66" s="98"/>
      <c r="S66" s="99"/>
      <c r="T66" s="102"/>
      <c r="U66" s="91"/>
      <c r="V66" s="98"/>
      <c r="W66" s="99"/>
      <c r="X66" s="102"/>
      <c r="Y66" s="91"/>
      <c r="Z66" s="98"/>
      <c r="AA66" s="99"/>
      <c r="AB66" s="102"/>
      <c r="AC66" s="91"/>
      <c r="AD66" s="98"/>
      <c r="AE66" s="99"/>
      <c r="AF66" s="102"/>
      <c r="AG66" s="91"/>
      <c r="AH66" s="98"/>
      <c r="AI66" s="99"/>
      <c r="AJ66" s="102"/>
      <c r="AK66" s="91"/>
      <c r="AL66" s="98"/>
      <c r="AM66" s="99"/>
      <c r="AN66" s="102"/>
      <c r="AO66" s="91"/>
      <c r="AP66" s="98"/>
      <c r="AQ66" s="99"/>
      <c r="AR66" s="102"/>
      <c r="AS66" s="91"/>
      <c r="AT66" s="98">
        <v>15200</v>
      </c>
      <c r="AU66" s="99">
        <v>15500</v>
      </c>
      <c r="AV66" s="102">
        <v>300</v>
      </c>
      <c r="AW66" s="91" t="s">
        <v>180</v>
      </c>
      <c r="AX66" s="98"/>
      <c r="AY66" s="99"/>
      <c r="AZ66" s="102"/>
      <c r="BA66" s="91"/>
    </row>
    <row r="67" spans="1:53" x14ac:dyDescent="0.25">
      <c r="A67" s="82">
        <v>42336</v>
      </c>
      <c r="B67" s="98"/>
      <c r="C67" s="99"/>
      <c r="D67" s="102"/>
      <c r="E67" s="91"/>
      <c r="F67" s="98"/>
      <c r="G67" s="99"/>
      <c r="H67" s="102"/>
      <c r="I67" s="91"/>
      <c r="J67" s="98"/>
      <c r="K67" s="99"/>
      <c r="L67" s="102"/>
      <c r="M67" s="91"/>
      <c r="N67" s="98"/>
      <c r="O67" s="99"/>
      <c r="P67" s="102"/>
      <c r="Q67" s="91"/>
      <c r="R67" s="98"/>
      <c r="S67" s="99"/>
      <c r="T67" s="102"/>
      <c r="U67" s="91"/>
      <c r="V67" s="98"/>
      <c r="W67" s="99"/>
      <c r="X67" s="102"/>
      <c r="Y67" s="91"/>
      <c r="Z67" s="98"/>
      <c r="AA67" s="99"/>
      <c r="AB67" s="102"/>
      <c r="AC67" s="91"/>
      <c r="AD67" s="98">
        <v>4600</v>
      </c>
      <c r="AE67" s="99">
        <v>5600</v>
      </c>
      <c r="AF67" s="102">
        <v>1000</v>
      </c>
      <c r="AG67" s="91" t="s">
        <v>180</v>
      </c>
      <c r="AH67" s="98">
        <v>0</v>
      </c>
      <c r="AI67" s="99">
        <v>300</v>
      </c>
      <c r="AJ67" s="102">
        <v>300</v>
      </c>
      <c r="AK67" s="91" t="s">
        <v>180</v>
      </c>
      <c r="AL67" s="98">
        <v>1600</v>
      </c>
      <c r="AM67" s="99">
        <v>2600</v>
      </c>
      <c r="AN67" s="102">
        <v>1000</v>
      </c>
      <c r="AO67" s="91" t="s">
        <v>180</v>
      </c>
      <c r="AP67" s="98">
        <v>9000</v>
      </c>
      <c r="AQ67" s="99">
        <v>11600</v>
      </c>
      <c r="AR67" s="102">
        <v>2600</v>
      </c>
      <c r="AS67" s="91" t="s">
        <v>180</v>
      </c>
      <c r="AT67" s="98">
        <v>14100</v>
      </c>
      <c r="AU67" s="99">
        <v>14500</v>
      </c>
      <c r="AV67" s="102">
        <v>400</v>
      </c>
      <c r="AW67" s="91" t="s">
        <v>180</v>
      </c>
      <c r="AX67" s="98">
        <v>23200</v>
      </c>
      <c r="AY67" s="99">
        <v>24700</v>
      </c>
      <c r="AZ67" s="102">
        <v>1500</v>
      </c>
      <c r="BA67" s="91" t="s">
        <v>180</v>
      </c>
    </row>
    <row r="68" spans="1:53" x14ac:dyDescent="0.25">
      <c r="A68" s="82">
        <v>42338</v>
      </c>
      <c r="B68" s="98"/>
      <c r="C68" s="99"/>
      <c r="D68" s="102"/>
      <c r="E68" s="91"/>
      <c r="F68" s="98"/>
      <c r="G68" s="99"/>
      <c r="H68" s="102"/>
      <c r="I68" s="91"/>
      <c r="J68" s="98"/>
      <c r="K68" s="99"/>
      <c r="L68" s="102"/>
      <c r="M68" s="91"/>
      <c r="N68" s="98"/>
      <c r="O68" s="99"/>
      <c r="P68" s="102"/>
      <c r="Q68" s="91"/>
      <c r="R68" s="98"/>
      <c r="S68" s="99"/>
      <c r="T68" s="102"/>
      <c r="U68" s="91"/>
      <c r="V68" s="98"/>
      <c r="W68" s="99"/>
      <c r="X68" s="102"/>
      <c r="Y68" s="91"/>
      <c r="Z68" s="98"/>
      <c r="AA68" s="99"/>
      <c r="AB68" s="102"/>
      <c r="AC68" s="91"/>
      <c r="AD68" s="98">
        <v>5600</v>
      </c>
      <c r="AE68" s="99">
        <v>6800</v>
      </c>
      <c r="AF68" s="102">
        <v>1200</v>
      </c>
      <c r="AG68" s="91" t="s">
        <v>180</v>
      </c>
      <c r="AH68" s="98">
        <v>300</v>
      </c>
      <c r="AI68" s="99">
        <v>1500</v>
      </c>
      <c r="AJ68" s="102">
        <v>1200</v>
      </c>
      <c r="AK68" s="91" t="s">
        <v>180</v>
      </c>
      <c r="AL68" s="98">
        <v>600</v>
      </c>
      <c r="AM68" s="99">
        <v>1600</v>
      </c>
      <c r="AN68" s="102">
        <v>1000</v>
      </c>
      <c r="AO68" s="91" t="s">
        <v>180</v>
      </c>
      <c r="AP68" s="98">
        <v>3400</v>
      </c>
      <c r="AQ68" s="99">
        <v>4200</v>
      </c>
      <c r="AR68" s="102">
        <v>800</v>
      </c>
      <c r="AS68" s="91" t="s">
        <v>180</v>
      </c>
      <c r="AT68" s="98">
        <v>13000</v>
      </c>
      <c r="AU68" s="99">
        <v>14100</v>
      </c>
      <c r="AV68" s="102">
        <v>1100</v>
      </c>
      <c r="AW68" s="91" t="s">
        <v>180</v>
      </c>
      <c r="AX68" s="98">
        <v>16700</v>
      </c>
      <c r="AY68" s="99">
        <v>23200</v>
      </c>
      <c r="AZ68" s="102">
        <v>6500</v>
      </c>
      <c r="BA68" s="91" t="s">
        <v>180</v>
      </c>
    </row>
    <row r="69" spans="1:53" x14ac:dyDescent="0.25">
      <c r="A69" s="82">
        <v>42338</v>
      </c>
      <c r="B69" s="98"/>
      <c r="C69" s="99"/>
      <c r="D69" s="102"/>
      <c r="E69" s="91"/>
      <c r="F69" s="98"/>
      <c r="G69" s="99"/>
      <c r="H69" s="102"/>
      <c r="I69" s="91"/>
      <c r="J69" s="98"/>
      <c r="K69" s="99"/>
      <c r="L69" s="102"/>
      <c r="M69" s="91"/>
      <c r="N69" s="98"/>
      <c r="O69" s="99"/>
      <c r="P69" s="102"/>
      <c r="Q69" s="91"/>
      <c r="R69" s="98"/>
      <c r="S69" s="99"/>
      <c r="T69" s="102"/>
      <c r="U69" s="91"/>
      <c r="V69" s="98"/>
      <c r="W69" s="99"/>
      <c r="X69" s="102"/>
      <c r="Y69" s="91"/>
      <c r="Z69" s="98"/>
      <c r="AA69" s="99"/>
      <c r="AB69" s="102"/>
      <c r="AC69" s="91"/>
      <c r="AD69" s="98">
        <v>0</v>
      </c>
      <c r="AE69" s="99">
        <v>300</v>
      </c>
      <c r="AF69" s="102">
        <v>300</v>
      </c>
      <c r="AG69" s="91" t="s">
        <v>180</v>
      </c>
      <c r="AH69" s="98">
        <v>4500</v>
      </c>
      <c r="AI69" s="99">
        <v>6000</v>
      </c>
      <c r="AJ69" s="102">
        <v>1500</v>
      </c>
      <c r="AK69" s="91" t="s">
        <v>180</v>
      </c>
      <c r="AL69" s="98"/>
      <c r="AM69" s="99"/>
      <c r="AN69" s="102"/>
      <c r="AO69" s="91"/>
      <c r="AP69" s="98"/>
      <c r="AQ69" s="99"/>
      <c r="AR69" s="102"/>
      <c r="AS69" s="91"/>
      <c r="AT69" s="98"/>
      <c r="AU69" s="99"/>
      <c r="AV69" s="102"/>
      <c r="AW69" s="91"/>
      <c r="AX69" s="98"/>
      <c r="AY69" s="99"/>
      <c r="AZ69" s="102"/>
      <c r="BA69" s="91"/>
    </row>
    <row r="70" spans="1:53" x14ac:dyDescent="0.25">
      <c r="A70" s="82">
        <v>42339</v>
      </c>
      <c r="B70" s="98"/>
      <c r="C70" s="99"/>
      <c r="D70" s="102"/>
      <c r="E70" s="91"/>
      <c r="F70" s="98"/>
      <c r="G70" s="99"/>
      <c r="H70" s="102"/>
      <c r="I70" s="91"/>
      <c r="J70" s="98"/>
      <c r="K70" s="99"/>
      <c r="L70" s="102"/>
      <c r="M70" s="91"/>
      <c r="N70" s="98"/>
      <c r="O70" s="99"/>
      <c r="P70" s="102"/>
      <c r="Q70" s="91"/>
      <c r="R70" s="98"/>
      <c r="S70" s="99"/>
      <c r="T70" s="102"/>
      <c r="U70" s="91"/>
      <c r="V70" s="98"/>
      <c r="W70" s="99"/>
      <c r="X70" s="102"/>
      <c r="Y70" s="91"/>
      <c r="Z70" s="98"/>
      <c r="AA70" s="99"/>
      <c r="AB70" s="102"/>
      <c r="AC70" s="91"/>
      <c r="AD70" s="98">
        <v>8000</v>
      </c>
      <c r="AE70" s="99">
        <v>9000</v>
      </c>
      <c r="AF70" s="102">
        <v>1000</v>
      </c>
      <c r="AG70" s="91" t="s">
        <v>180</v>
      </c>
      <c r="AH70" s="98">
        <v>6900</v>
      </c>
      <c r="AI70" s="99">
        <v>7300</v>
      </c>
      <c r="AJ70" s="102">
        <v>400</v>
      </c>
      <c r="AK70" s="91" t="s">
        <v>180</v>
      </c>
      <c r="AL70" s="98">
        <v>4900</v>
      </c>
      <c r="AM70" s="99">
        <v>5100</v>
      </c>
      <c r="AN70" s="102">
        <v>200</v>
      </c>
      <c r="AO70" s="91" t="s">
        <v>180</v>
      </c>
      <c r="AP70" s="98">
        <v>0</v>
      </c>
      <c r="AQ70" s="99">
        <v>1200</v>
      </c>
      <c r="AR70" s="102">
        <v>1200</v>
      </c>
      <c r="AS70" s="91" t="s">
        <v>180</v>
      </c>
      <c r="AT70" s="98">
        <v>12700</v>
      </c>
      <c r="AU70" s="99">
        <v>13000</v>
      </c>
      <c r="AV70" s="102">
        <v>300</v>
      </c>
      <c r="AW70" s="91" t="s">
        <v>180</v>
      </c>
      <c r="AX70" s="98">
        <v>16600</v>
      </c>
      <c r="AY70" s="99">
        <v>16700</v>
      </c>
      <c r="AZ70" s="102">
        <v>100</v>
      </c>
      <c r="BA70" s="91" t="s">
        <v>180</v>
      </c>
    </row>
    <row r="71" spans="1:53" x14ac:dyDescent="0.25">
      <c r="A71" s="82">
        <v>42340</v>
      </c>
      <c r="B71" s="98"/>
      <c r="C71" s="99"/>
      <c r="D71" s="102"/>
      <c r="E71" s="91"/>
      <c r="F71" s="98"/>
      <c r="G71" s="99"/>
      <c r="H71" s="102"/>
      <c r="I71" s="91"/>
      <c r="J71" s="98"/>
      <c r="K71" s="99"/>
      <c r="L71" s="102"/>
      <c r="M71" s="91"/>
      <c r="N71" s="98"/>
      <c r="O71" s="99"/>
      <c r="P71" s="102"/>
      <c r="Q71" s="91"/>
      <c r="R71" s="98"/>
      <c r="S71" s="99"/>
      <c r="T71" s="102"/>
      <c r="U71" s="91"/>
      <c r="V71" s="98"/>
      <c r="W71" s="99"/>
      <c r="X71" s="102"/>
      <c r="Y71" s="91"/>
      <c r="Z71" s="98"/>
      <c r="AA71" s="99"/>
      <c r="AB71" s="102"/>
      <c r="AC71" s="91"/>
      <c r="AD71" s="98">
        <v>7000</v>
      </c>
      <c r="AE71" s="99">
        <v>8000</v>
      </c>
      <c r="AF71" s="102">
        <v>1000</v>
      </c>
      <c r="AG71" s="91" t="s">
        <v>180</v>
      </c>
      <c r="AH71" s="98">
        <v>8000</v>
      </c>
      <c r="AI71" s="99">
        <v>8500</v>
      </c>
      <c r="AJ71" s="102">
        <v>500</v>
      </c>
      <c r="AK71" s="91" t="s">
        <v>180</v>
      </c>
      <c r="AL71" s="98">
        <v>4100</v>
      </c>
      <c r="AM71" s="99">
        <v>4900</v>
      </c>
      <c r="AN71" s="102">
        <v>800</v>
      </c>
      <c r="AO71" s="91" t="s">
        <v>180</v>
      </c>
      <c r="AP71" s="98">
        <v>1200</v>
      </c>
      <c r="AQ71" s="99">
        <v>2100</v>
      </c>
      <c r="AR71" s="102">
        <v>900</v>
      </c>
      <c r="AS71" s="91" t="s">
        <v>180</v>
      </c>
      <c r="AT71" s="98">
        <v>12500</v>
      </c>
      <c r="AU71" s="99">
        <v>12700</v>
      </c>
      <c r="AV71" s="102">
        <v>200</v>
      </c>
      <c r="AW71" s="91" t="s">
        <v>180</v>
      </c>
      <c r="AX71" s="98">
        <v>16500</v>
      </c>
      <c r="AY71" s="99">
        <v>16600</v>
      </c>
      <c r="AZ71" s="102">
        <v>100</v>
      </c>
      <c r="BA71" s="91" t="s">
        <v>180</v>
      </c>
    </row>
    <row r="72" spans="1:53" x14ac:dyDescent="0.25">
      <c r="A72" s="82">
        <v>42341</v>
      </c>
      <c r="B72" s="98"/>
      <c r="C72" s="99"/>
      <c r="D72" s="102"/>
      <c r="E72" s="91"/>
      <c r="F72" s="98"/>
      <c r="G72" s="99"/>
      <c r="H72" s="102"/>
      <c r="I72" s="91"/>
      <c r="J72" s="98"/>
      <c r="K72" s="99"/>
      <c r="L72" s="102"/>
      <c r="M72" s="91"/>
      <c r="N72" s="98"/>
      <c r="O72" s="99"/>
      <c r="P72" s="102"/>
      <c r="Q72" s="91"/>
      <c r="R72" s="98"/>
      <c r="S72" s="99"/>
      <c r="T72" s="102"/>
      <c r="U72" s="91"/>
      <c r="V72" s="98"/>
      <c r="W72" s="99"/>
      <c r="X72" s="102"/>
      <c r="Y72" s="91"/>
      <c r="Z72" s="98"/>
      <c r="AA72" s="99"/>
      <c r="AB72" s="102"/>
      <c r="AC72" s="91"/>
      <c r="AD72" s="98">
        <v>6800</v>
      </c>
      <c r="AE72" s="99">
        <v>7000</v>
      </c>
      <c r="AF72" s="102">
        <v>200</v>
      </c>
      <c r="AG72" s="91" t="s">
        <v>180</v>
      </c>
      <c r="AH72" s="98">
        <v>6000</v>
      </c>
      <c r="AI72" s="99">
        <v>6900</v>
      </c>
      <c r="AJ72" s="102">
        <v>900</v>
      </c>
      <c r="AK72" s="91" t="s">
        <v>180</v>
      </c>
      <c r="AL72" s="98">
        <v>8100</v>
      </c>
      <c r="AM72" s="99">
        <v>9000</v>
      </c>
      <c r="AN72" s="102">
        <v>900</v>
      </c>
      <c r="AO72" s="91" t="s">
        <v>180</v>
      </c>
      <c r="AP72" s="98">
        <v>2100</v>
      </c>
      <c r="AQ72" s="99">
        <v>3400</v>
      </c>
      <c r="AR72" s="102">
        <v>1300</v>
      </c>
      <c r="AS72" s="91" t="s">
        <v>180</v>
      </c>
      <c r="AT72" s="98">
        <v>12000</v>
      </c>
      <c r="AU72" s="99">
        <v>12500</v>
      </c>
      <c r="AV72" s="102">
        <v>500</v>
      </c>
      <c r="AW72" s="91" t="s">
        <v>180</v>
      </c>
      <c r="AX72" s="98">
        <v>16400</v>
      </c>
      <c r="AY72" s="99">
        <v>16500</v>
      </c>
      <c r="AZ72" s="102">
        <v>100</v>
      </c>
      <c r="BA72" s="91" t="s">
        <v>180</v>
      </c>
    </row>
    <row r="73" spans="1:53" x14ac:dyDescent="0.25">
      <c r="A73" s="82">
        <v>42341</v>
      </c>
      <c r="B73" s="98"/>
      <c r="C73" s="99"/>
      <c r="D73" s="102"/>
      <c r="E73" s="91"/>
      <c r="F73" s="98"/>
      <c r="G73" s="99"/>
      <c r="H73" s="102"/>
      <c r="I73" s="91"/>
      <c r="J73" s="98"/>
      <c r="K73" s="99"/>
      <c r="L73" s="102"/>
      <c r="M73" s="91"/>
      <c r="N73" s="98"/>
      <c r="O73" s="99"/>
      <c r="P73" s="102"/>
      <c r="Q73" s="91"/>
      <c r="R73" s="98"/>
      <c r="S73" s="99"/>
      <c r="T73" s="102"/>
      <c r="U73" s="91"/>
      <c r="V73" s="98"/>
      <c r="W73" s="99"/>
      <c r="X73" s="102"/>
      <c r="Y73" s="91"/>
      <c r="Z73" s="98"/>
      <c r="AA73" s="99"/>
      <c r="AB73" s="102"/>
      <c r="AC73" s="91"/>
      <c r="AD73" s="98">
        <v>4500</v>
      </c>
      <c r="AE73" s="99">
        <v>4600</v>
      </c>
      <c r="AF73" s="102">
        <v>100</v>
      </c>
      <c r="AG73" s="91" t="s">
        <v>180</v>
      </c>
      <c r="AH73" s="98">
        <v>7300</v>
      </c>
      <c r="AI73" s="99">
        <v>8000</v>
      </c>
      <c r="AJ73" s="102">
        <v>700</v>
      </c>
      <c r="AK73" s="91" t="s">
        <v>180</v>
      </c>
      <c r="AL73" s="98">
        <v>0</v>
      </c>
      <c r="AM73" s="99">
        <v>600</v>
      </c>
      <c r="AN73" s="102">
        <v>600</v>
      </c>
      <c r="AO73" s="91" t="s">
        <v>180</v>
      </c>
      <c r="AP73" s="98"/>
      <c r="AQ73" s="99"/>
      <c r="AR73" s="102"/>
      <c r="AS73" s="91"/>
      <c r="AT73" s="98"/>
      <c r="AU73" s="99"/>
      <c r="AV73" s="102"/>
      <c r="AW73" s="91"/>
      <c r="AX73" s="98"/>
      <c r="AY73" s="99"/>
      <c r="AZ73" s="102"/>
      <c r="BA73" s="91"/>
    </row>
    <row r="74" spans="1:53" x14ac:dyDescent="0.25">
      <c r="A74" s="82">
        <v>42342</v>
      </c>
      <c r="B74" s="98"/>
      <c r="C74" s="99"/>
      <c r="D74" s="102"/>
      <c r="E74" s="91"/>
      <c r="F74" s="98"/>
      <c r="G74" s="99"/>
      <c r="H74" s="102"/>
      <c r="I74" s="91"/>
      <c r="J74" s="98"/>
      <c r="K74" s="99"/>
      <c r="L74" s="102"/>
      <c r="M74" s="91"/>
      <c r="N74" s="98"/>
      <c r="O74" s="99"/>
      <c r="P74" s="102"/>
      <c r="Q74" s="91"/>
      <c r="R74" s="98"/>
      <c r="S74" s="99"/>
      <c r="T74" s="102"/>
      <c r="U74" s="91"/>
      <c r="V74" s="98"/>
      <c r="W74" s="99"/>
      <c r="X74" s="102"/>
      <c r="Y74" s="91"/>
      <c r="Z74" s="98"/>
      <c r="AA74" s="99"/>
      <c r="AB74" s="102"/>
      <c r="AC74" s="91"/>
      <c r="AD74" s="98"/>
      <c r="AE74" s="99"/>
      <c r="AF74" s="102"/>
      <c r="AG74" s="91"/>
      <c r="AH74" s="98"/>
      <c r="AI74" s="99"/>
      <c r="AJ74" s="102"/>
      <c r="AK74" s="91"/>
      <c r="AL74" s="98">
        <v>8000</v>
      </c>
      <c r="AM74" s="99">
        <v>8300</v>
      </c>
      <c r="AN74" s="102">
        <v>300</v>
      </c>
      <c r="AO74" s="91" t="s">
        <v>180</v>
      </c>
      <c r="AP74" s="98"/>
      <c r="AQ74" s="99"/>
      <c r="AR74" s="102"/>
      <c r="AS74" s="91"/>
      <c r="AT74" s="98">
        <v>11600</v>
      </c>
      <c r="AU74" s="99">
        <v>12000</v>
      </c>
      <c r="AV74" s="102">
        <v>400</v>
      </c>
      <c r="AW74" s="91" t="s">
        <v>180</v>
      </c>
      <c r="AX74" s="98">
        <v>16300</v>
      </c>
      <c r="AY74" s="99">
        <v>16400</v>
      </c>
      <c r="AZ74" s="102">
        <v>100</v>
      </c>
      <c r="BA74" s="91" t="s">
        <v>180</v>
      </c>
    </row>
    <row r="75" spans="1:53" x14ac:dyDescent="0.25">
      <c r="A75" s="82">
        <v>42342</v>
      </c>
      <c r="B75" s="98"/>
      <c r="C75" s="99"/>
      <c r="D75" s="102"/>
      <c r="E75" s="91"/>
      <c r="F75" s="98"/>
      <c r="G75" s="99"/>
      <c r="H75" s="102"/>
      <c r="I75" s="91"/>
      <c r="J75" s="98"/>
      <c r="K75" s="99"/>
      <c r="L75" s="102"/>
      <c r="M75" s="91"/>
      <c r="N75" s="98"/>
      <c r="O75" s="99"/>
      <c r="P75" s="102"/>
      <c r="Q75" s="91"/>
      <c r="R75" s="98"/>
      <c r="S75" s="99"/>
      <c r="T75" s="102"/>
      <c r="U75" s="91"/>
      <c r="V75" s="98"/>
      <c r="W75" s="99"/>
      <c r="X75" s="102"/>
      <c r="Y75" s="91"/>
      <c r="Z75" s="98"/>
      <c r="AA75" s="99"/>
      <c r="AB75" s="102"/>
      <c r="AC75" s="91"/>
      <c r="AD75" s="98"/>
      <c r="AE75" s="99"/>
      <c r="AF75" s="102"/>
      <c r="AG75" s="91"/>
      <c r="AH75" s="98"/>
      <c r="AI75" s="99"/>
      <c r="AJ75" s="102"/>
      <c r="AK75" s="91"/>
      <c r="AL75" s="98">
        <v>5100</v>
      </c>
      <c r="AM75" s="99">
        <v>6000</v>
      </c>
      <c r="AN75" s="102">
        <v>900</v>
      </c>
      <c r="AO75" s="91" t="s">
        <v>180</v>
      </c>
      <c r="AP75" s="98"/>
      <c r="AQ75" s="99"/>
      <c r="AR75" s="102"/>
      <c r="AS75" s="91"/>
      <c r="AT75" s="98"/>
      <c r="AU75" s="99"/>
      <c r="AV75" s="102"/>
      <c r="AW75" s="91"/>
      <c r="AX75" s="98"/>
      <c r="AY75" s="99"/>
      <c r="AZ75" s="102"/>
      <c r="BA75" s="91"/>
    </row>
    <row r="76" spans="1:53" x14ac:dyDescent="0.25">
      <c r="A76" s="82">
        <v>42343</v>
      </c>
      <c r="B76" s="98"/>
      <c r="C76" s="99"/>
      <c r="D76" s="102"/>
      <c r="E76" s="91"/>
      <c r="F76" s="98"/>
      <c r="G76" s="99"/>
      <c r="H76" s="102"/>
      <c r="I76" s="91"/>
      <c r="J76" s="98"/>
      <c r="K76" s="99"/>
      <c r="L76" s="102"/>
      <c r="M76" s="91"/>
      <c r="N76" s="98"/>
      <c r="O76" s="99"/>
      <c r="P76" s="102"/>
      <c r="Q76" s="91"/>
      <c r="R76" s="98"/>
      <c r="S76" s="99"/>
      <c r="T76" s="102"/>
      <c r="U76" s="91"/>
      <c r="V76" s="98"/>
      <c r="W76" s="99"/>
      <c r="X76" s="102"/>
      <c r="Y76" s="91"/>
      <c r="Z76" s="98"/>
      <c r="AA76" s="99"/>
      <c r="AB76" s="102"/>
      <c r="AC76" s="91"/>
      <c r="AD76" s="98"/>
      <c r="AE76" s="99"/>
      <c r="AF76" s="102"/>
      <c r="AG76" s="91"/>
      <c r="AH76" s="98">
        <v>8500</v>
      </c>
      <c r="AI76" s="99">
        <v>9000</v>
      </c>
      <c r="AJ76" s="102">
        <v>500</v>
      </c>
      <c r="AK76" s="91" t="s">
        <v>180</v>
      </c>
      <c r="AL76" s="98">
        <v>10100</v>
      </c>
      <c r="AM76" s="99">
        <v>11300</v>
      </c>
      <c r="AN76" s="102">
        <v>1200</v>
      </c>
      <c r="AO76" s="91" t="s">
        <v>180</v>
      </c>
      <c r="AP76" s="98">
        <v>4200</v>
      </c>
      <c r="AQ76" s="99">
        <v>6400</v>
      </c>
      <c r="AR76" s="102">
        <v>2200</v>
      </c>
      <c r="AS76" s="91" t="s">
        <v>180</v>
      </c>
      <c r="AT76" s="98">
        <v>9900</v>
      </c>
      <c r="AU76" s="99">
        <v>10100</v>
      </c>
      <c r="AV76" s="102">
        <v>200</v>
      </c>
      <c r="AW76" s="91" t="s">
        <v>180</v>
      </c>
      <c r="AX76" s="98">
        <v>15100</v>
      </c>
      <c r="AY76" s="99">
        <v>16300</v>
      </c>
      <c r="AZ76" s="102">
        <v>1200</v>
      </c>
      <c r="BA76" s="91" t="s">
        <v>180</v>
      </c>
    </row>
    <row r="77" spans="1:53" x14ac:dyDescent="0.25">
      <c r="A77" s="82">
        <v>42343</v>
      </c>
      <c r="B77" s="98"/>
      <c r="C77" s="99"/>
      <c r="D77" s="102"/>
      <c r="E77" s="91"/>
      <c r="F77" s="98"/>
      <c r="G77" s="99"/>
      <c r="H77" s="102"/>
      <c r="I77" s="91"/>
      <c r="J77" s="98"/>
      <c r="K77" s="99"/>
      <c r="L77" s="102"/>
      <c r="M77" s="91"/>
      <c r="N77" s="98"/>
      <c r="O77" s="99"/>
      <c r="P77" s="102"/>
      <c r="Q77" s="91"/>
      <c r="R77" s="98"/>
      <c r="S77" s="99"/>
      <c r="T77" s="102"/>
      <c r="U77" s="91"/>
      <c r="V77" s="98"/>
      <c r="W77" s="99"/>
      <c r="X77" s="102"/>
      <c r="Y77" s="91"/>
      <c r="Z77" s="98"/>
      <c r="AA77" s="99"/>
      <c r="AB77" s="102"/>
      <c r="AC77" s="91"/>
      <c r="AD77" s="98"/>
      <c r="AE77" s="99"/>
      <c r="AF77" s="102"/>
      <c r="AG77" s="91"/>
      <c r="AH77" s="98"/>
      <c r="AI77" s="99"/>
      <c r="AJ77" s="102"/>
      <c r="AK77" s="91"/>
      <c r="AL77" s="98"/>
      <c r="AM77" s="99"/>
      <c r="AN77" s="102"/>
      <c r="AO77" s="91"/>
      <c r="AP77" s="98"/>
      <c r="AQ77" s="99"/>
      <c r="AR77" s="102"/>
      <c r="AS77" s="91"/>
      <c r="AT77" s="98">
        <v>10700</v>
      </c>
      <c r="AU77" s="99">
        <v>10900</v>
      </c>
      <c r="AV77" s="102">
        <v>200</v>
      </c>
      <c r="AW77" s="91" t="s">
        <v>180</v>
      </c>
      <c r="AX77" s="98"/>
      <c r="AY77" s="99"/>
      <c r="AZ77" s="102"/>
      <c r="BA77" s="91"/>
    </row>
    <row r="78" spans="1:53" x14ac:dyDescent="0.25">
      <c r="A78" s="82">
        <v>42345</v>
      </c>
      <c r="B78" s="98"/>
      <c r="C78" s="99"/>
      <c r="D78" s="102"/>
      <c r="E78" s="91"/>
      <c r="F78" s="98"/>
      <c r="G78" s="99"/>
      <c r="H78" s="102"/>
      <c r="I78" s="91"/>
      <c r="J78" s="98"/>
      <c r="K78" s="99"/>
      <c r="L78" s="102"/>
      <c r="M78" s="91"/>
      <c r="N78" s="98"/>
      <c r="O78" s="99"/>
      <c r="P78" s="102"/>
      <c r="Q78" s="91"/>
      <c r="R78" s="98"/>
      <c r="S78" s="99"/>
      <c r="T78" s="102"/>
      <c r="U78" s="91"/>
      <c r="V78" s="98"/>
      <c r="W78" s="99"/>
      <c r="X78" s="102"/>
      <c r="Y78" s="91"/>
      <c r="Z78" s="98"/>
      <c r="AA78" s="99"/>
      <c r="AB78" s="102"/>
      <c r="AC78" s="91"/>
      <c r="AD78" s="98"/>
      <c r="AE78" s="99"/>
      <c r="AF78" s="102"/>
      <c r="AG78" s="91"/>
      <c r="AH78" s="98"/>
      <c r="AI78" s="99"/>
      <c r="AJ78" s="102"/>
      <c r="AK78" s="91"/>
      <c r="AL78" s="98">
        <v>6000</v>
      </c>
      <c r="AM78" s="99">
        <v>7000</v>
      </c>
      <c r="AN78" s="102">
        <v>1000</v>
      </c>
      <c r="AO78" s="91" t="s">
        <v>180</v>
      </c>
      <c r="AP78" s="98"/>
      <c r="AQ78" s="99"/>
      <c r="AR78" s="102"/>
      <c r="AS78" s="91"/>
      <c r="AT78" s="98">
        <v>0</v>
      </c>
      <c r="AU78" s="99">
        <v>2000</v>
      </c>
      <c r="AV78" s="102">
        <v>2000</v>
      </c>
      <c r="AW78" s="91" t="s">
        <v>180</v>
      </c>
      <c r="AX78" s="98"/>
      <c r="AY78" s="99"/>
      <c r="AZ78" s="102"/>
      <c r="BA78" s="91"/>
    </row>
    <row r="79" spans="1:53" x14ac:dyDescent="0.25">
      <c r="A79" s="82">
        <v>42345</v>
      </c>
      <c r="B79" s="98"/>
      <c r="C79" s="99"/>
      <c r="D79" s="102"/>
      <c r="E79" s="91"/>
      <c r="F79" s="98"/>
      <c r="G79" s="99"/>
      <c r="H79" s="102"/>
      <c r="I79" s="91"/>
      <c r="J79" s="98"/>
      <c r="K79" s="99"/>
      <c r="L79" s="102"/>
      <c r="M79" s="91"/>
      <c r="N79" s="98"/>
      <c r="O79" s="99"/>
      <c r="P79" s="102"/>
      <c r="Q79" s="91"/>
      <c r="R79" s="98"/>
      <c r="S79" s="99"/>
      <c r="T79" s="102"/>
      <c r="U79" s="91"/>
      <c r="V79" s="98"/>
      <c r="W79" s="99"/>
      <c r="X79" s="102"/>
      <c r="Y79" s="91"/>
      <c r="Z79" s="98"/>
      <c r="AA79" s="99"/>
      <c r="AB79" s="102"/>
      <c r="AC79" s="91"/>
      <c r="AD79" s="98"/>
      <c r="AE79" s="99"/>
      <c r="AF79" s="102"/>
      <c r="AG79" s="91"/>
      <c r="AH79" s="98"/>
      <c r="AI79" s="99"/>
      <c r="AJ79" s="102"/>
      <c r="AK79" s="91"/>
      <c r="AL79" s="98"/>
      <c r="AM79" s="99"/>
      <c r="AN79" s="102"/>
      <c r="AO79" s="91"/>
      <c r="AP79" s="98"/>
      <c r="AQ79" s="99"/>
      <c r="AR79" s="102"/>
      <c r="AS79" s="91"/>
      <c r="AT79" s="98">
        <v>10900</v>
      </c>
      <c r="AU79" s="99">
        <v>11600</v>
      </c>
      <c r="AV79" s="102">
        <v>700</v>
      </c>
      <c r="AW79" s="91" t="s">
        <v>180</v>
      </c>
      <c r="AX79" s="98"/>
      <c r="AY79" s="99"/>
      <c r="AZ79" s="102"/>
      <c r="BA79" s="91"/>
    </row>
    <row r="80" spans="1:53" x14ac:dyDescent="0.25">
      <c r="A80" s="82">
        <v>42346</v>
      </c>
      <c r="B80" s="98"/>
      <c r="C80" s="99"/>
      <c r="D80" s="102"/>
      <c r="E80" s="91"/>
      <c r="F80" s="98"/>
      <c r="G80" s="99"/>
      <c r="H80" s="102"/>
      <c r="I80" s="91"/>
      <c r="J80" s="98"/>
      <c r="K80" s="99"/>
      <c r="L80" s="102"/>
      <c r="M80" s="91"/>
      <c r="N80" s="98"/>
      <c r="O80" s="99"/>
      <c r="P80" s="102"/>
      <c r="Q80" s="91"/>
      <c r="R80" s="98"/>
      <c r="S80" s="99"/>
      <c r="T80" s="102"/>
      <c r="U80" s="91"/>
      <c r="V80" s="98"/>
      <c r="W80" s="99"/>
      <c r="X80" s="102"/>
      <c r="Y80" s="91"/>
      <c r="Z80" s="98"/>
      <c r="AA80" s="99"/>
      <c r="AB80" s="102"/>
      <c r="AC80" s="91"/>
      <c r="AD80" s="98"/>
      <c r="AE80" s="99"/>
      <c r="AF80" s="102"/>
      <c r="AG80" s="91"/>
      <c r="AH80" s="98"/>
      <c r="AI80" s="99"/>
      <c r="AJ80" s="102"/>
      <c r="AK80" s="91"/>
      <c r="AL80" s="98">
        <v>7000</v>
      </c>
      <c r="AM80" s="99">
        <v>7800</v>
      </c>
      <c r="AN80" s="102">
        <v>800</v>
      </c>
      <c r="AO80" s="91" t="s">
        <v>180</v>
      </c>
      <c r="AP80" s="98">
        <v>6400</v>
      </c>
      <c r="AQ80" s="99">
        <v>7000</v>
      </c>
      <c r="AR80" s="102">
        <v>600</v>
      </c>
      <c r="AS80" s="91" t="s">
        <v>180</v>
      </c>
      <c r="AT80" s="98">
        <v>2000</v>
      </c>
      <c r="AU80" s="99">
        <v>4000</v>
      </c>
      <c r="AV80" s="102">
        <v>2000</v>
      </c>
      <c r="AW80" s="91" t="s">
        <v>180</v>
      </c>
      <c r="AX80" s="98"/>
      <c r="AY80" s="99"/>
      <c r="AZ80" s="102"/>
      <c r="BA80" s="91"/>
    </row>
    <row r="81" spans="1:53" x14ac:dyDescent="0.25">
      <c r="A81" s="82">
        <v>42346</v>
      </c>
      <c r="B81" s="98"/>
      <c r="C81" s="99"/>
      <c r="D81" s="102"/>
      <c r="E81" s="91"/>
      <c r="F81" s="98"/>
      <c r="G81" s="99"/>
      <c r="H81" s="102"/>
      <c r="I81" s="91"/>
      <c r="J81" s="98"/>
      <c r="K81" s="99"/>
      <c r="L81" s="102"/>
      <c r="M81" s="91"/>
      <c r="N81" s="98"/>
      <c r="O81" s="99"/>
      <c r="P81" s="102"/>
      <c r="Q81" s="91"/>
      <c r="R81" s="98"/>
      <c r="S81" s="99"/>
      <c r="T81" s="102"/>
      <c r="U81" s="91"/>
      <c r="V81" s="98"/>
      <c r="W81" s="99"/>
      <c r="X81" s="102"/>
      <c r="Y81" s="91"/>
      <c r="Z81" s="98"/>
      <c r="AA81" s="99"/>
      <c r="AB81" s="102"/>
      <c r="AC81" s="91"/>
      <c r="AD81" s="98"/>
      <c r="AE81" s="99"/>
      <c r="AF81" s="102"/>
      <c r="AG81" s="91"/>
      <c r="AH81" s="98"/>
      <c r="AI81" s="99"/>
      <c r="AJ81" s="102"/>
      <c r="AK81" s="91"/>
      <c r="AL81" s="98"/>
      <c r="AM81" s="99"/>
      <c r="AN81" s="102"/>
      <c r="AO81" s="91"/>
      <c r="AP81" s="98"/>
      <c r="AQ81" s="99"/>
      <c r="AR81" s="102"/>
      <c r="AS81" s="91"/>
      <c r="AT81" s="98">
        <v>8900</v>
      </c>
      <c r="AU81" s="99">
        <v>9900</v>
      </c>
      <c r="AV81" s="102">
        <v>1000</v>
      </c>
      <c r="AW81" s="91" t="s">
        <v>180</v>
      </c>
      <c r="AX81" s="98"/>
      <c r="AY81" s="99"/>
      <c r="AZ81" s="102"/>
      <c r="BA81" s="91"/>
    </row>
    <row r="82" spans="1:53" x14ac:dyDescent="0.25">
      <c r="A82" s="82">
        <v>42347</v>
      </c>
      <c r="B82" s="98"/>
      <c r="C82" s="99"/>
      <c r="D82" s="102"/>
      <c r="E82" s="91"/>
      <c r="F82" s="98"/>
      <c r="G82" s="99"/>
      <c r="H82" s="102"/>
      <c r="I82" s="91"/>
      <c r="J82" s="98"/>
      <c r="K82" s="99"/>
      <c r="L82" s="102"/>
      <c r="M82" s="91"/>
      <c r="N82" s="98"/>
      <c r="O82" s="99"/>
      <c r="P82" s="102"/>
      <c r="Q82" s="91"/>
      <c r="R82" s="98"/>
      <c r="S82" s="99"/>
      <c r="T82" s="102"/>
      <c r="U82" s="91"/>
      <c r="V82" s="98"/>
      <c r="W82" s="99"/>
      <c r="X82" s="102"/>
      <c r="Y82" s="91"/>
      <c r="Z82" s="98"/>
      <c r="AA82" s="99"/>
      <c r="AB82" s="102"/>
      <c r="AC82" s="91"/>
      <c r="AD82" s="98"/>
      <c r="AE82" s="99"/>
      <c r="AF82" s="102"/>
      <c r="AG82" s="91"/>
      <c r="AH82" s="98"/>
      <c r="AI82" s="99"/>
      <c r="AJ82" s="102"/>
      <c r="AK82" s="91"/>
      <c r="AL82" s="98"/>
      <c r="AM82" s="99"/>
      <c r="AN82" s="102"/>
      <c r="AO82" s="91"/>
      <c r="AP82" s="98">
        <v>7000</v>
      </c>
      <c r="AQ82" s="99">
        <v>8000</v>
      </c>
      <c r="AR82" s="102">
        <v>1000</v>
      </c>
      <c r="AS82" s="91" t="s">
        <v>180</v>
      </c>
      <c r="AT82" s="98">
        <v>4000</v>
      </c>
      <c r="AU82" s="99">
        <v>5000</v>
      </c>
      <c r="AV82" s="102">
        <v>1000</v>
      </c>
      <c r="AW82" s="91" t="s">
        <v>180</v>
      </c>
      <c r="AX82" s="98"/>
      <c r="AY82" s="99"/>
      <c r="AZ82" s="102"/>
      <c r="BA82" s="91"/>
    </row>
    <row r="83" spans="1:53" x14ac:dyDescent="0.25">
      <c r="A83" s="82">
        <v>42347</v>
      </c>
      <c r="B83" s="98"/>
      <c r="C83" s="99"/>
      <c r="D83" s="102"/>
      <c r="E83" s="91"/>
      <c r="F83" s="98"/>
      <c r="G83" s="99"/>
      <c r="H83" s="102"/>
      <c r="I83" s="91"/>
      <c r="J83" s="98"/>
      <c r="K83" s="99"/>
      <c r="L83" s="102"/>
      <c r="M83" s="91"/>
      <c r="N83" s="98"/>
      <c r="O83" s="99"/>
      <c r="P83" s="102"/>
      <c r="Q83" s="91"/>
      <c r="R83" s="98"/>
      <c r="S83" s="99"/>
      <c r="T83" s="102"/>
      <c r="U83" s="91"/>
      <c r="V83" s="98"/>
      <c r="W83" s="99"/>
      <c r="X83" s="102"/>
      <c r="Y83" s="91"/>
      <c r="Z83" s="98"/>
      <c r="AA83" s="99"/>
      <c r="AB83" s="102"/>
      <c r="AC83" s="91"/>
      <c r="AD83" s="98"/>
      <c r="AE83" s="99"/>
      <c r="AF83" s="102"/>
      <c r="AG83" s="91"/>
      <c r="AH83" s="98"/>
      <c r="AI83" s="99"/>
      <c r="AJ83" s="102"/>
      <c r="AK83" s="91"/>
      <c r="AL83" s="98"/>
      <c r="AM83" s="99"/>
      <c r="AN83" s="102"/>
      <c r="AO83" s="91"/>
      <c r="AP83" s="98"/>
      <c r="AQ83" s="99"/>
      <c r="AR83" s="102"/>
      <c r="AS83" s="91"/>
      <c r="AT83" s="98">
        <v>8500</v>
      </c>
      <c r="AU83" s="99">
        <v>8900</v>
      </c>
      <c r="AV83" s="102">
        <v>400</v>
      </c>
      <c r="AW83" s="91" t="s">
        <v>180</v>
      </c>
      <c r="AX83" s="98"/>
      <c r="AY83" s="99"/>
      <c r="AZ83" s="102"/>
      <c r="BA83" s="91"/>
    </row>
    <row r="84" spans="1:53" x14ac:dyDescent="0.25">
      <c r="A84" s="82">
        <v>42348</v>
      </c>
      <c r="B84" s="98"/>
      <c r="C84" s="99"/>
      <c r="D84" s="102"/>
      <c r="E84" s="91"/>
      <c r="F84" s="98"/>
      <c r="G84" s="99"/>
      <c r="H84" s="102"/>
      <c r="I84" s="91"/>
      <c r="J84" s="98"/>
      <c r="K84" s="99"/>
      <c r="L84" s="102"/>
      <c r="M84" s="91"/>
      <c r="N84" s="98"/>
      <c r="O84" s="99"/>
      <c r="P84" s="102"/>
      <c r="Q84" s="91"/>
      <c r="R84" s="98"/>
      <c r="S84" s="99"/>
      <c r="T84" s="102"/>
      <c r="U84" s="91"/>
      <c r="V84" s="98"/>
      <c r="W84" s="99"/>
      <c r="X84" s="102"/>
      <c r="Y84" s="91"/>
      <c r="Z84" s="98"/>
      <c r="AA84" s="99"/>
      <c r="AB84" s="102"/>
      <c r="AC84" s="91"/>
      <c r="AD84" s="98"/>
      <c r="AE84" s="99"/>
      <c r="AF84" s="102"/>
      <c r="AG84" s="91"/>
      <c r="AH84" s="98"/>
      <c r="AI84" s="99"/>
      <c r="AJ84" s="102"/>
      <c r="AK84" s="91"/>
      <c r="AL84" s="98"/>
      <c r="AM84" s="99"/>
      <c r="AN84" s="102"/>
      <c r="AO84" s="91"/>
      <c r="AP84" s="98"/>
      <c r="AQ84" s="99"/>
      <c r="AR84" s="102"/>
      <c r="AS84" s="91"/>
      <c r="AT84" s="98">
        <v>7400</v>
      </c>
      <c r="AU84" s="99">
        <v>8500</v>
      </c>
      <c r="AV84" s="102">
        <v>1100</v>
      </c>
      <c r="AW84" s="91" t="s">
        <v>180</v>
      </c>
      <c r="AX84" s="98"/>
      <c r="AY84" s="99"/>
      <c r="AZ84" s="102"/>
      <c r="BA84" s="91"/>
    </row>
    <row r="85" spans="1:53" x14ac:dyDescent="0.25">
      <c r="A85" s="82">
        <v>42348</v>
      </c>
      <c r="B85" s="98"/>
      <c r="C85" s="99"/>
      <c r="D85" s="102"/>
      <c r="E85" s="91"/>
      <c r="F85" s="98"/>
      <c r="G85" s="99"/>
      <c r="H85" s="102"/>
      <c r="I85" s="91"/>
      <c r="J85" s="98"/>
      <c r="K85" s="99"/>
      <c r="L85" s="102"/>
      <c r="M85" s="91"/>
      <c r="N85" s="98"/>
      <c r="O85" s="99"/>
      <c r="P85" s="102"/>
      <c r="Q85" s="91"/>
      <c r="R85" s="98"/>
      <c r="S85" s="99"/>
      <c r="T85" s="102"/>
      <c r="U85" s="91"/>
      <c r="V85" s="98"/>
      <c r="W85" s="99"/>
      <c r="X85" s="102"/>
      <c r="Y85" s="91"/>
      <c r="Z85" s="98"/>
      <c r="AA85" s="99"/>
      <c r="AB85" s="102"/>
      <c r="AC85" s="91"/>
      <c r="AD85" s="98"/>
      <c r="AE85" s="99"/>
      <c r="AF85" s="102"/>
      <c r="AG85" s="91"/>
      <c r="AH85" s="98"/>
      <c r="AI85" s="99"/>
      <c r="AJ85" s="102"/>
      <c r="AK85" s="91"/>
      <c r="AL85" s="98"/>
      <c r="AM85" s="99"/>
      <c r="AN85" s="102"/>
      <c r="AO85" s="91"/>
      <c r="AP85" s="98"/>
      <c r="AQ85" s="99"/>
      <c r="AR85" s="102"/>
      <c r="AS85" s="91"/>
      <c r="AT85" s="98">
        <v>5000</v>
      </c>
      <c r="AU85" s="99">
        <v>5500</v>
      </c>
      <c r="AV85" s="102">
        <v>500</v>
      </c>
      <c r="AW85" s="91" t="s">
        <v>180</v>
      </c>
      <c r="AX85" s="98"/>
      <c r="AY85" s="99"/>
      <c r="AZ85" s="102"/>
      <c r="BA85" s="91"/>
    </row>
    <row r="86" spans="1:53" x14ac:dyDescent="0.25">
      <c r="A86" s="82">
        <v>42349</v>
      </c>
      <c r="B86" s="98"/>
      <c r="C86" s="99"/>
      <c r="D86" s="102"/>
      <c r="E86" s="91"/>
      <c r="F86" s="98"/>
      <c r="G86" s="99"/>
      <c r="H86" s="102"/>
      <c r="I86" s="91"/>
      <c r="J86" s="98"/>
      <c r="K86" s="99"/>
      <c r="L86" s="102"/>
      <c r="M86" s="91"/>
      <c r="N86" s="98"/>
      <c r="O86" s="99"/>
      <c r="P86" s="102"/>
      <c r="Q86" s="91"/>
      <c r="R86" s="98"/>
      <c r="S86" s="99"/>
      <c r="T86" s="102"/>
      <c r="U86" s="91"/>
      <c r="V86" s="98"/>
      <c r="W86" s="99"/>
      <c r="X86" s="102"/>
      <c r="Y86" s="91"/>
      <c r="Z86" s="98"/>
      <c r="AA86" s="99"/>
      <c r="AB86" s="102"/>
      <c r="AC86" s="91"/>
      <c r="AD86" s="98"/>
      <c r="AE86" s="99"/>
      <c r="AF86" s="102"/>
      <c r="AG86" s="91"/>
      <c r="AH86" s="98"/>
      <c r="AI86" s="99"/>
      <c r="AJ86" s="102"/>
      <c r="AK86" s="91"/>
      <c r="AL86" s="98"/>
      <c r="AM86" s="99"/>
      <c r="AN86" s="102"/>
      <c r="AO86" s="91"/>
      <c r="AP86" s="98">
        <v>8000</v>
      </c>
      <c r="AQ86" s="99">
        <v>8700</v>
      </c>
      <c r="AR86" s="102">
        <v>700</v>
      </c>
      <c r="AS86" s="91" t="s">
        <v>180</v>
      </c>
      <c r="AT86" s="98">
        <v>5500</v>
      </c>
      <c r="AU86" s="99">
        <v>5900</v>
      </c>
      <c r="AV86" s="102">
        <v>400</v>
      </c>
      <c r="AW86" s="91" t="s">
        <v>180</v>
      </c>
      <c r="AX86" s="98"/>
      <c r="AY86" s="99"/>
      <c r="AZ86" s="102"/>
      <c r="BA86" s="91"/>
    </row>
    <row r="87" spans="1:53" x14ac:dyDescent="0.25">
      <c r="A87" s="82">
        <v>42349</v>
      </c>
      <c r="B87" s="98"/>
      <c r="C87" s="99"/>
      <c r="D87" s="102"/>
      <c r="E87" s="91"/>
      <c r="F87" s="98"/>
      <c r="G87" s="99"/>
      <c r="H87" s="102"/>
      <c r="I87" s="91"/>
      <c r="J87" s="98"/>
      <c r="K87" s="99"/>
      <c r="L87" s="102"/>
      <c r="M87" s="91"/>
      <c r="N87" s="98"/>
      <c r="O87" s="99"/>
      <c r="P87" s="102"/>
      <c r="Q87" s="91"/>
      <c r="R87" s="98"/>
      <c r="S87" s="99"/>
      <c r="T87" s="102"/>
      <c r="U87" s="91"/>
      <c r="V87" s="98"/>
      <c r="W87" s="99"/>
      <c r="X87" s="102"/>
      <c r="Y87" s="91"/>
      <c r="Z87" s="98"/>
      <c r="AA87" s="99"/>
      <c r="AB87" s="102"/>
      <c r="AC87" s="91"/>
      <c r="AD87" s="98"/>
      <c r="AE87" s="99"/>
      <c r="AF87" s="102"/>
      <c r="AG87" s="91"/>
      <c r="AH87" s="98"/>
      <c r="AI87" s="99"/>
      <c r="AJ87" s="102"/>
      <c r="AK87" s="91"/>
      <c r="AL87" s="98"/>
      <c r="AM87" s="99"/>
      <c r="AN87" s="102"/>
      <c r="AO87" s="91"/>
      <c r="AP87" s="98"/>
      <c r="AQ87" s="99"/>
      <c r="AR87" s="102"/>
      <c r="AS87" s="91"/>
      <c r="AT87" s="98">
        <v>7300</v>
      </c>
      <c r="AU87" s="99">
        <v>7400</v>
      </c>
      <c r="AV87" s="102">
        <v>100</v>
      </c>
      <c r="AW87" s="91" t="s">
        <v>180</v>
      </c>
      <c r="AX87" s="98"/>
      <c r="AY87" s="99"/>
      <c r="AZ87" s="102"/>
      <c r="BA87" s="91"/>
    </row>
    <row r="88" spans="1:53" x14ac:dyDescent="0.25">
      <c r="A88" s="82">
        <v>42350</v>
      </c>
      <c r="B88" s="98"/>
      <c r="C88" s="99"/>
      <c r="D88" s="102"/>
      <c r="E88" s="91"/>
      <c r="F88" s="98"/>
      <c r="G88" s="99"/>
      <c r="H88" s="102"/>
      <c r="I88" s="91"/>
      <c r="J88" s="98"/>
      <c r="K88" s="99"/>
      <c r="L88" s="102"/>
      <c r="M88" s="91"/>
      <c r="N88" s="98"/>
      <c r="O88" s="99"/>
      <c r="P88" s="102"/>
      <c r="Q88" s="91"/>
      <c r="R88" s="98"/>
      <c r="S88" s="99"/>
      <c r="T88" s="102"/>
      <c r="U88" s="91"/>
      <c r="V88" s="98"/>
      <c r="W88" s="99"/>
      <c r="X88" s="102"/>
      <c r="Y88" s="91"/>
      <c r="Z88" s="98"/>
      <c r="AA88" s="99"/>
      <c r="AB88" s="102"/>
      <c r="AC88" s="91"/>
      <c r="AD88" s="98"/>
      <c r="AE88" s="99"/>
      <c r="AF88" s="102"/>
      <c r="AG88" s="91"/>
      <c r="AH88" s="98"/>
      <c r="AI88" s="99"/>
      <c r="AJ88" s="102"/>
      <c r="AK88" s="91"/>
      <c r="AL88" s="98"/>
      <c r="AM88" s="99"/>
      <c r="AN88" s="102"/>
      <c r="AO88" s="91"/>
      <c r="AP88" s="98">
        <v>8700</v>
      </c>
      <c r="AQ88" s="99">
        <v>9000</v>
      </c>
      <c r="AR88" s="102">
        <v>300</v>
      </c>
      <c r="AS88" s="91" t="s">
        <v>180</v>
      </c>
      <c r="AT88" s="98">
        <v>5900</v>
      </c>
      <c r="AU88" s="99">
        <v>6900</v>
      </c>
      <c r="AV88" s="102">
        <v>1000</v>
      </c>
      <c r="AW88" s="91" t="s">
        <v>180</v>
      </c>
      <c r="AX88" s="98"/>
      <c r="AY88" s="99"/>
      <c r="AZ88" s="102"/>
      <c r="BA88" s="91"/>
    </row>
    <row r="89" spans="1:53" x14ac:dyDescent="0.25">
      <c r="A89" s="82">
        <v>42351</v>
      </c>
      <c r="B89" s="98"/>
      <c r="C89" s="99"/>
      <c r="D89" s="102"/>
      <c r="E89" s="91"/>
      <c r="F89" s="98"/>
      <c r="G89" s="99"/>
      <c r="H89" s="102"/>
      <c r="I89" s="91"/>
      <c r="J89" s="98"/>
      <c r="K89" s="99"/>
      <c r="L89" s="102"/>
      <c r="M89" s="91"/>
      <c r="N89" s="98"/>
      <c r="O89" s="99"/>
      <c r="P89" s="102"/>
      <c r="Q89" s="91"/>
      <c r="R89" s="98"/>
      <c r="S89" s="99"/>
      <c r="T89" s="102"/>
      <c r="U89" s="91"/>
      <c r="V89" s="98"/>
      <c r="W89" s="99"/>
      <c r="X89" s="102"/>
      <c r="Y89" s="91"/>
      <c r="Z89" s="98"/>
      <c r="AA89" s="99"/>
      <c r="AB89" s="102"/>
      <c r="AC89" s="91"/>
      <c r="AD89" s="98"/>
      <c r="AE89" s="99"/>
      <c r="AF89" s="102"/>
      <c r="AG89" s="91"/>
      <c r="AH89" s="98"/>
      <c r="AI89" s="99"/>
      <c r="AJ89" s="102"/>
      <c r="AK89" s="91"/>
      <c r="AL89" s="98"/>
      <c r="AM89" s="99"/>
      <c r="AN89" s="102"/>
      <c r="AO89" s="91"/>
      <c r="AP89" s="98"/>
      <c r="AQ89" s="99"/>
      <c r="AR89" s="102"/>
      <c r="AS89" s="91"/>
      <c r="AT89" s="98">
        <v>6900</v>
      </c>
      <c r="AU89" s="99">
        <v>7300</v>
      </c>
      <c r="AV89" s="102">
        <v>400</v>
      </c>
      <c r="AW89" s="91" t="s">
        <v>180</v>
      </c>
      <c r="AX89" s="98"/>
      <c r="AY89" s="99"/>
      <c r="AZ89" s="102"/>
      <c r="BA89" s="91"/>
    </row>
    <row r="90" spans="1:53" x14ac:dyDescent="0.25">
      <c r="A90" s="82">
        <v>42352</v>
      </c>
      <c r="B90" s="98"/>
      <c r="C90" s="99"/>
      <c r="D90" s="102"/>
      <c r="E90" s="91"/>
      <c r="F90" s="98"/>
      <c r="G90" s="99"/>
      <c r="H90" s="102"/>
      <c r="I90" s="91"/>
      <c r="J90" s="98"/>
      <c r="K90" s="99"/>
      <c r="L90" s="102"/>
      <c r="M90" s="91"/>
      <c r="N90" s="98"/>
      <c r="O90" s="99"/>
      <c r="P90" s="102"/>
      <c r="Q90" s="91"/>
      <c r="R90" s="98"/>
      <c r="S90" s="99"/>
      <c r="T90" s="102"/>
      <c r="U90" s="91"/>
      <c r="V90" s="98"/>
      <c r="W90" s="99"/>
      <c r="X90" s="102"/>
      <c r="Y90" s="91"/>
      <c r="Z90" s="98"/>
      <c r="AA90" s="99"/>
      <c r="AB90" s="102"/>
      <c r="AC90" s="91"/>
      <c r="AD90" s="98"/>
      <c r="AE90" s="99"/>
      <c r="AF90" s="102"/>
      <c r="AG90" s="91"/>
      <c r="AH90" s="98"/>
      <c r="AI90" s="99"/>
      <c r="AJ90" s="102"/>
      <c r="AK90" s="91"/>
      <c r="AL90" s="98"/>
      <c r="AM90" s="99"/>
      <c r="AN90" s="102"/>
      <c r="AO90" s="91"/>
      <c r="AP90" s="98"/>
      <c r="AQ90" s="99"/>
      <c r="AR90" s="102"/>
      <c r="AS90" s="91"/>
      <c r="AT90" s="98">
        <v>10100</v>
      </c>
      <c r="AU90" s="99">
        <v>10300</v>
      </c>
      <c r="AV90" s="102">
        <v>200</v>
      </c>
      <c r="AW90" s="91" t="s">
        <v>180</v>
      </c>
      <c r="AX90" s="98"/>
      <c r="AY90" s="99"/>
      <c r="AZ90" s="102"/>
      <c r="BA90" s="91"/>
    </row>
    <row r="91" spans="1:53" x14ac:dyDescent="0.25">
      <c r="A91" s="82">
        <v>42352</v>
      </c>
      <c r="B91" s="98"/>
      <c r="C91" s="99"/>
      <c r="D91" s="102"/>
      <c r="E91" s="91"/>
      <c r="F91" s="98"/>
      <c r="G91" s="99"/>
      <c r="H91" s="102"/>
      <c r="I91" s="91"/>
      <c r="J91" s="98"/>
      <c r="K91" s="99"/>
      <c r="L91" s="102"/>
      <c r="M91" s="91"/>
      <c r="N91" s="98"/>
      <c r="O91" s="99"/>
      <c r="P91" s="102"/>
      <c r="Q91" s="91"/>
      <c r="R91" s="98"/>
      <c r="S91" s="99"/>
      <c r="T91" s="102"/>
      <c r="U91" s="91"/>
      <c r="V91" s="98"/>
      <c r="W91" s="99"/>
      <c r="X91" s="102"/>
      <c r="Y91" s="91"/>
      <c r="Z91" s="98"/>
      <c r="AA91" s="99"/>
      <c r="AB91" s="102"/>
      <c r="AC91" s="91"/>
      <c r="AD91" s="98"/>
      <c r="AE91" s="99"/>
      <c r="AF91" s="102"/>
      <c r="AG91" s="91"/>
      <c r="AH91" s="98"/>
      <c r="AI91" s="99"/>
      <c r="AJ91" s="102"/>
      <c r="AK91" s="91"/>
      <c r="AL91" s="98"/>
      <c r="AM91" s="99"/>
      <c r="AN91" s="102"/>
      <c r="AO91" s="91"/>
      <c r="AP91" s="98"/>
      <c r="AQ91" s="99"/>
      <c r="AR91" s="102"/>
      <c r="AS91" s="91"/>
      <c r="AT91" s="98">
        <v>10400</v>
      </c>
      <c r="AU91" s="99">
        <v>10700</v>
      </c>
      <c r="AV91" s="102">
        <v>300</v>
      </c>
      <c r="AW91" s="91" t="s">
        <v>180</v>
      </c>
      <c r="AX91" s="98"/>
      <c r="AY91" s="99"/>
      <c r="AZ91" s="102"/>
      <c r="BA91" s="91"/>
    </row>
    <row r="92" spans="1:53" x14ac:dyDescent="0.25">
      <c r="A92" s="82">
        <v>42353</v>
      </c>
      <c r="B92" s="98"/>
      <c r="C92" s="99"/>
      <c r="D92" s="102"/>
      <c r="E92" s="91"/>
      <c r="F92" s="98"/>
      <c r="G92" s="99"/>
      <c r="H92" s="102"/>
      <c r="I92" s="91"/>
      <c r="J92" s="98"/>
      <c r="K92" s="99"/>
      <c r="L92" s="102"/>
      <c r="M92" s="91"/>
      <c r="N92" s="98"/>
      <c r="O92" s="99"/>
      <c r="P92" s="102"/>
      <c r="Q92" s="91"/>
      <c r="R92" s="98"/>
      <c r="S92" s="99"/>
      <c r="T92" s="102"/>
      <c r="U92" s="91"/>
      <c r="V92" s="98"/>
      <c r="W92" s="99"/>
      <c r="X92" s="102"/>
      <c r="Y92" s="91"/>
      <c r="Z92" s="98"/>
      <c r="AA92" s="99"/>
      <c r="AB92" s="102"/>
      <c r="AC92" s="91"/>
      <c r="AD92" s="98"/>
      <c r="AE92" s="99"/>
      <c r="AF92" s="102"/>
      <c r="AG92" s="91"/>
      <c r="AH92" s="98"/>
      <c r="AI92" s="99"/>
      <c r="AJ92" s="102"/>
      <c r="AK92" s="91"/>
      <c r="AL92" s="98"/>
      <c r="AM92" s="99"/>
      <c r="AN92" s="102"/>
      <c r="AO92" s="91"/>
      <c r="AP92" s="98"/>
      <c r="AQ92" s="99"/>
      <c r="AR92" s="102"/>
      <c r="AS92" s="91"/>
      <c r="AT92" s="98"/>
      <c r="AU92" s="99"/>
      <c r="AV92" s="102"/>
      <c r="AW92" s="91"/>
      <c r="AX92" s="98">
        <v>12000</v>
      </c>
      <c r="AY92" s="99">
        <v>15100</v>
      </c>
      <c r="AZ92" s="102">
        <v>3100</v>
      </c>
      <c r="BA92" s="91" t="s">
        <v>180</v>
      </c>
    </row>
    <row r="93" spans="1:53" x14ac:dyDescent="0.25">
      <c r="A93" s="82">
        <v>42354</v>
      </c>
      <c r="B93" s="98"/>
      <c r="C93" s="99"/>
      <c r="D93" s="102"/>
      <c r="E93" s="91"/>
      <c r="F93" s="98"/>
      <c r="G93" s="99"/>
      <c r="H93" s="102"/>
      <c r="I93" s="91"/>
      <c r="J93" s="98"/>
      <c r="K93" s="99"/>
      <c r="L93" s="102"/>
      <c r="M93" s="91"/>
      <c r="N93" s="98"/>
      <c r="O93" s="99"/>
      <c r="P93" s="102"/>
      <c r="Q93" s="91"/>
      <c r="R93" s="98"/>
      <c r="S93" s="99"/>
      <c r="T93" s="102"/>
      <c r="U93" s="91"/>
      <c r="V93" s="98"/>
      <c r="W93" s="99"/>
      <c r="X93" s="102"/>
      <c r="Y93" s="91"/>
      <c r="Z93" s="98"/>
      <c r="AA93" s="99"/>
      <c r="AB93" s="102"/>
      <c r="AC93" s="91"/>
      <c r="AD93" s="98"/>
      <c r="AE93" s="99"/>
      <c r="AF93" s="102"/>
      <c r="AG93" s="91"/>
      <c r="AH93" s="98"/>
      <c r="AI93" s="99"/>
      <c r="AJ93" s="102"/>
      <c r="AK93" s="91"/>
      <c r="AL93" s="98"/>
      <c r="AM93" s="99"/>
      <c r="AN93" s="102"/>
      <c r="AO93" s="91"/>
      <c r="AP93" s="98"/>
      <c r="AQ93" s="99"/>
      <c r="AR93" s="102"/>
      <c r="AS93" s="91"/>
      <c r="AT93" s="98">
        <v>10300</v>
      </c>
      <c r="AU93" s="99">
        <v>10400</v>
      </c>
      <c r="AV93" s="102">
        <v>100</v>
      </c>
      <c r="AW93" s="91" t="s">
        <v>180</v>
      </c>
      <c r="AX93" s="98">
        <v>11700</v>
      </c>
      <c r="AY93" s="99">
        <v>12000</v>
      </c>
      <c r="AZ93" s="102">
        <v>300</v>
      </c>
      <c r="BA93" s="91" t="s">
        <v>180</v>
      </c>
    </row>
    <row r="94" spans="1:53" x14ac:dyDescent="0.25">
      <c r="A94" s="82">
        <v>42355</v>
      </c>
      <c r="B94" s="98"/>
      <c r="C94" s="99"/>
      <c r="D94" s="102"/>
      <c r="E94" s="91"/>
      <c r="F94" s="98"/>
      <c r="G94" s="99"/>
      <c r="H94" s="102"/>
      <c r="I94" s="91"/>
      <c r="J94" s="98"/>
      <c r="K94" s="99"/>
      <c r="L94" s="102"/>
      <c r="M94" s="91"/>
      <c r="N94" s="98"/>
      <c r="O94" s="99"/>
      <c r="P94" s="102"/>
      <c r="Q94" s="91"/>
      <c r="R94" s="98"/>
      <c r="S94" s="99"/>
      <c r="T94" s="102"/>
      <c r="U94" s="91"/>
      <c r="V94" s="98"/>
      <c r="W94" s="99"/>
      <c r="X94" s="102"/>
      <c r="Y94" s="91"/>
      <c r="Z94" s="98"/>
      <c r="AA94" s="99"/>
      <c r="AB94" s="102"/>
      <c r="AC94" s="91"/>
      <c r="AD94" s="98"/>
      <c r="AE94" s="99"/>
      <c r="AF94" s="102"/>
      <c r="AG94" s="91"/>
      <c r="AH94" s="98"/>
      <c r="AI94" s="99"/>
      <c r="AJ94" s="102"/>
      <c r="AK94" s="91"/>
      <c r="AL94" s="98"/>
      <c r="AM94" s="99"/>
      <c r="AN94" s="102"/>
      <c r="AO94" s="91"/>
      <c r="AP94" s="98"/>
      <c r="AQ94" s="99"/>
      <c r="AR94" s="102"/>
      <c r="AS94" s="91"/>
      <c r="AT94" s="98"/>
      <c r="AU94" s="99"/>
      <c r="AV94" s="102"/>
      <c r="AW94" s="91"/>
      <c r="AX94" s="98">
        <v>10100</v>
      </c>
      <c r="AY94" s="99">
        <v>10700</v>
      </c>
      <c r="AZ94" s="102">
        <v>600</v>
      </c>
      <c r="BA94" s="91" t="s">
        <v>180</v>
      </c>
    </row>
    <row r="95" spans="1:53" x14ac:dyDescent="0.25">
      <c r="A95" s="82">
        <v>42374</v>
      </c>
      <c r="B95" s="98"/>
      <c r="C95" s="99"/>
      <c r="D95" s="102"/>
      <c r="E95" s="91"/>
      <c r="F95" s="98"/>
      <c r="G95" s="99"/>
      <c r="H95" s="102"/>
      <c r="I95" s="91"/>
      <c r="J95" s="98"/>
      <c r="K95" s="99"/>
      <c r="L95" s="102"/>
      <c r="M95" s="91"/>
      <c r="N95" s="98"/>
      <c r="O95" s="99"/>
      <c r="P95" s="102"/>
      <c r="Q95" s="91"/>
      <c r="R95" s="98"/>
      <c r="S95" s="99"/>
      <c r="T95" s="102"/>
      <c r="U95" s="91"/>
      <c r="V95" s="98"/>
      <c r="W95" s="99"/>
      <c r="X95" s="102"/>
      <c r="Y95" s="91"/>
      <c r="Z95" s="98"/>
      <c r="AA95" s="99"/>
      <c r="AB95" s="102"/>
      <c r="AC95" s="91"/>
      <c r="AD95" s="98"/>
      <c r="AE95" s="99"/>
      <c r="AF95" s="102"/>
      <c r="AG95" s="91"/>
      <c r="AH95" s="98"/>
      <c r="AI95" s="99"/>
      <c r="AJ95" s="102"/>
      <c r="AK95" s="91"/>
      <c r="AL95" s="98"/>
      <c r="AM95" s="99"/>
      <c r="AN95" s="102"/>
      <c r="AO95" s="91"/>
      <c r="AP95" s="98"/>
      <c r="AQ95" s="99"/>
      <c r="AR95" s="102"/>
      <c r="AS95" s="91"/>
      <c r="AT95" s="98"/>
      <c r="AU95" s="99"/>
      <c r="AV95" s="102"/>
      <c r="AW95" s="91"/>
      <c r="AX95" s="98">
        <v>9900</v>
      </c>
      <c r="AY95" s="99">
        <v>10100</v>
      </c>
      <c r="AZ95" s="102">
        <v>200</v>
      </c>
      <c r="BA95" s="91" t="s">
        <v>180</v>
      </c>
    </row>
    <row r="96" spans="1:53" x14ac:dyDescent="0.25">
      <c r="A96" s="82">
        <v>42375</v>
      </c>
      <c r="B96" s="98"/>
      <c r="C96" s="99"/>
      <c r="D96" s="102"/>
      <c r="E96" s="91"/>
      <c r="F96" s="98"/>
      <c r="G96" s="99"/>
      <c r="H96" s="102"/>
      <c r="I96" s="91"/>
      <c r="J96" s="98"/>
      <c r="K96" s="99"/>
      <c r="L96" s="102"/>
      <c r="M96" s="91"/>
      <c r="N96" s="98"/>
      <c r="O96" s="99"/>
      <c r="P96" s="102"/>
      <c r="Q96" s="91"/>
      <c r="R96" s="98"/>
      <c r="S96" s="99"/>
      <c r="T96" s="102"/>
      <c r="U96" s="91"/>
      <c r="V96" s="98"/>
      <c r="W96" s="99"/>
      <c r="X96" s="102"/>
      <c r="Y96" s="91"/>
      <c r="Z96" s="98"/>
      <c r="AA96" s="99"/>
      <c r="AB96" s="102"/>
      <c r="AC96" s="91"/>
      <c r="AD96" s="98"/>
      <c r="AE96" s="99"/>
      <c r="AF96" s="102"/>
      <c r="AG96" s="91"/>
      <c r="AH96" s="98"/>
      <c r="AI96" s="99"/>
      <c r="AJ96" s="102"/>
      <c r="AK96" s="91"/>
      <c r="AL96" s="98"/>
      <c r="AM96" s="99"/>
      <c r="AN96" s="102"/>
      <c r="AO96" s="91"/>
      <c r="AP96" s="98"/>
      <c r="AQ96" s="99"/>
      <c r="AR96" s="102"/>
      <c r="AS96" s="91"/>
      <c r="AT96" s="98"/>
      <c r="AU96" s="99"/>
      <c r="AV96" s="102"/>
      <c r="AW96" s="91"/>
      <c r="AX96" s="98">
        <v>9600</v>
      </c>
      <c r="AY96" s="99">
        <v>9900</v>
      </c>
      <c r="AZ96" s="102">
        <v>300</v>
      </c>
      <c r="BA96" s="91" t="s">
        <v>180</v>
      </c>
    </row>
    <row r="97" spans="1:53" x14ac:dyDescent="0.25">
      <c r="A97" s="82">
        <v>42381</v>
      </c>
      <c r="B97" s="98"/>
      <c r="C97" s="99"/>
      <c r="D97" s="102"/>
      <c r="E97" s="91"/>
      <c r="F97" s="98"/>
      <c r="G97" s="99"/>
      <c r="H97" s="102"/>
      <c r="I97" s="91"/>
      <c r="J97" s="98"/>
      <c r="K97" s="99"/>
      <c r="L97" s="102"/>
      <c r="M97" s="91"/>
      <c r="N97" s="98"/>
      <c r="O97" s="99"/>
      <c r="P97" s="102"/>
      <c r="Q97" s="91"/>
      <c r="R97" s="98"/>
      <c r="S97" s="99"/>
      <c r="T97" s="102"/>
      <c r="U97" s="91"/>
      <c r="V97" s="98"/>
      <c r="W97" s="99"/>
      <c r="X97" s="102"/>
      <c r="Y97" s="91"/>
      <c r="Z97" s="98"/>
      <c r="AA97" s="99"/>
      <c r="AB97" s="102"/>
      <c r="AC97" s="91"/>
      <c r="AD97" s="98"/>
      <c r="AE97" s="99"/>
      <c r="AF97" s="102"/>
      <c r="AG97" s="91"/>
      <c r="AH97" s="98"/>
      <c r="AI97" s="99"/>
      <c r="AJ97" s="102"/>
      <c r="AK97" s="91"/>
      <c r="AL97" s="98"/>
      <c r="AM97" s="99"/>
      <c r="AN97" s="102"/>
      <c r="AO97" s="91"/>
      <c r="AP97" s="98"/>
      <c r="AQ97" s="99"/>
      <c r="AR97" s="102"/>
      <c r="AS97" s="91"/>
      <c r="AT97" s="98"/>
      <c r="AU97" s="99"/>
      <c r="AV97" s="102"/>
      <c r="AW97" s="91"/>
      <c r="AX97" s="98">
        <v>9500</v>
      </c>
      <c r="AY97" s="99">
        <v>9600</v>
      </c>
      <c r="AZ97" s="102">
        <v>100</v>
      </c>
      <c r="BA97" s="91" t="s">
        <v>180</v>
      </c>
    </row>
    <row r="98" spans="1:53" x14ac:dyDescent="0.25">
      <c r="A98" s="82">
        <v>42382</v>
      </c>
      <c r="B98" s="98"/>
      <c r="C98" s="99"/>
      <c r="D98" s="102"/>
      <c r="E98" s="91"/>
      <c r="F98" s="98"/>
      <c r="G98" s="99"/>
      <c r="H98" s="102"/>
      <c r="I98" s="91"/>
      <c r="J98" s="98"/>
      <c r="K98" s="99"/>
      <c r="L98" s="102"/>
      <c r="M98" s="91"/>
      <c r="N98" s="98"/>
      <c r="O98" s="99"/>
      <c r="P98" s="102"/>
      <c r="Q98" s="91"/>
      <c r="R98" s="98"/>
      <c r="S98" s="99"/>
      <c r="T98" s="102"/>
      <c r="U98" s="91"/>
      <c r="V98" s="98"/>
      <c r="W98" s="99"/>
      <c r="X98" s="102"/>
      <c r="Y98" s="91"/>
      <c r="Z98" s="98"/>
      <c r="AA98" s="99"/>
      <c r="AB98" s="102"/>
      <c r="AC98" s="91"/>
      <c r="AD98" s="98"/>
      <c r="AE98" s="99"/>
      <c r="AF98" s="102"/>
      <c r="AG98" s="91"/>
      <c r="AH98" s="98"/>
      <c r="AI98" s="99"/>
      <c r="AJ98" s="102"/>
      <c r="AK98" s="91"/>
      <c r="AL98" s="98"/>
      <c r="AM98" s="99"/>
      <c r="AN98" s="102"/>
      <c r="AO98" s="91"/>
      <c r="AP98" s="98"/>
      <c r="AQ98" s="99"/>
      <c r="AR98" s="102"/>
      <c r="AS98" s="91"/>
      <c r="AT98" s="98"/>
      <c r="AU98" s="99"/>
      <c r="AV98" s="102"/>
      <c r="AW98" s="91"/>
      <c r="AX98" s="98">
        <v>8600</v>
      </c>
      <c r="AY98" s="99">
        <v>9500</v>
      </c>
      <c r="AZ98" s="102">
        <v>900</v>
      </c>
      <c r="BA98" s="91" t="s">
        <v>180</v>
      </c>
    </row>
    <row r="99" spans="1:53" x14ac:dyDescent="0.25">
      <c r="A99" s="82">
        <v>42383</v>
      </c>
      <c r="B99" s="98"/>
      <c r="C99" s="99"/>
      <c r="D99" s="102"/>
      <c r="E99" s="91"/>
      <c r="F99" s="98"/>
      <c r="G99" s="99"/>
      <c r="H99" s="102"/>
      <c r="I99" s="91"/>
      <c r="J99" s="98"/>
      <c r="K99" s="99"/>
      <c r="L99" s="102"/>
      <c r="M99" s="91"/>
      <c r="N99" s="98"/>
      <c r="O99" s="99"/>
      <c r="P99" s="102"/>
      <c r="Q99" s="91"/>
      <c r="R99" s="98"/>
      <c r="S99" s="99"/>
      <c r="T99" s="102"/>
      <c r="U99" s="91"/>
      <c r="V99" s="98"/>
      <c r="W99" s="99"/>
      <c r="X99" s="102"/>
      <c r="Y99" s="91"/>
      <c r="Z99" s="98"/>
      <c r="AA99" s="99"/>
      <c r="AB99" s="102"/>
      <c r="AC99" s="91"/>
      <c r="AD99" s="98"/>
      <c r="AE99" s="99"/>
      <c r="AF99" s="102"/>
      <c r="AG99" s="91"/>
      <c r="AH99" s="98"/>
      <c r="AI99" s="99"/>
      <c r="AJ99" s="102"/>
      <c r="AK99" s="91"/>
      <c r="AL99" s="98"/>
      <c r="AM99" s="99"/>
      <c r="AN99" s="102"/>
      <c r="AO99" s="91"/>
      <c r="AP99" s="98"/>
      <c r="AQ99" s="99"/>
      <c r="AR99" s="102"/>
      <c r="AS99" s="91"/>
      <c r="AT99" s="98"/>
      <c r="AU99" s="99"/>
      <c r="AV99" s="102"/>
      <c r="AW99" s="91"/>
      <c r="AX99" s="98">
        <v>7600</v>
      </c>
      <c r="AY99" s="99">
        <v>8600</v>
      </c>
      <c r="AZ99" s="102">
        <v>1000</v>
      </c>
      <c r="BA99" s="91" t="s">
        <v>180</v>
      </c>
    </row>
    <row r="100" spans="1:53" x14ac:dyDescent="0.25">
      <c r="A100" s="82">
        <v>42384</v>
      </c>
      <c r="B100" s="98"/>
      <c r="C100" s="99"/>
      <c r="D100" s="102"/>
      <c r="E100" s="91"/>
      <c r="F100" s="98"/>
      <c r="G100" s="99"/>
      <c r="H100" s="102"/>
      <c r="I100" s="91"/>
      <c r="J100" s="98"/>
      <c r="K100" s="99"/>
      <c r="L100" s="102"/>
      <c r="M100" s="91"/>
      <c r="N100" s="98"/>
      <c r="O100" s="99"/>
      <c r="P100" s="102"/>
      <c r="Q100" s="91"/>
      <c r="R100" s="98"/>
      <c r="S100" s="99"/>
      <c r="T100" s="102"/>
      <c r="U100" s="91"/>
      <c r="V100" s="98"/>
      <c r="W100" s="99"/>
      <c r="X100" s="102"/>
      <c r="Y100" s="91"/>
      <c r="Z100" s="98"/>
      <c r="AA100" s="99"/>
      <c r="AB100" s="102"/>
      <c r="AC100" s="91"/>
      <c r="AD100" s="98"/>
      <c r="AE100" s="99"/>
      <c r="AF100" s="102"/>
      <c r="AG100" s="91"/>
      <c r="AH100" s="98"/>
      <c r="AI100" s="99"/>
      <c r="AJ100" s="102"/>
      <c r="AK100" s="91"/>
      <c r="AL100" s="98"/>
      <c r="AM100" s="99"/>
      <c r="AN100" s="102"/>
      <c r="AO100" s="91"/>
      <c r="AP100" s="98"/>
      <c r="AQ100" s="99"/>
      <c r="AR100" s="102"/>
      <c r="AS100" s="91"/>
      <c r="AT100" s="98"/>
      <c r="AU100" s="99"/>
      <c r="AV100" s="102"/>
      <c r="AW100" s="91"/>
      <c r="AX100" s="98">
        <v>7000</v>
      </c>
      <c r="AY100" s="99">
        <v>7600</v>
      </c>
      <c r="AZ100" s="102">
        <v>600</v>
      </c>
      <c r="BA100" s="91" t="s">
        <v>180</v>
      </c>
    </row>
    <row r="101" spans="1:53" x14ac:dyDescent="0.25">
      <c r="A101" s="82">
        <v>42385</v>
      </c>
      <c r="B101" s="98"/>
      <c r="C101" s="99"/>
      <c r="D101" s="102"/>
      <c r="E101" s="91"/>
      <c r="F101" s="98"/>
      <c r="G101" s="99"/>
      <c r="H101" s="102"/>
      <c r="I101" s="91"/>
      <c r="J101" s="98"/>
      <c r="K101" s="99"/>
      <c r="L101" s="102"/>
      <c r="M101" s="91"/>
      <c r="N101" s="98"/>
      <c r="O101" s="99"/>
      <c r="P101" s="102"/>
      <c r="Q101" s="91"/>
      <c r="R101" s="98"/>
      <c r="S101" s="99"/>
      <c r="T101" s="102"/>
      <c r="U101" s="91"/>
      <c r="V101" s="98"/>
      <c r="W101" s="99"/>
      <c r="X101" s="102"/>
      <c r="Y101" s="91"/>
      <c r="Z101" s="98"/>
      <c r="AA101" s="99"/>
      <c r="AB101" s="102"/>
      <c r="AC101" s="91"/>
      <c r="AD101" s="98"/>
      <c r="AE101" s="99"/>
      <c r="AF101" s="102"/>
      <c r="AG101" s="91"/>
      <c r="AH101" s="98"/>
      <c r="AI101" s="99"/>
      <c r="AJ101" s="102"/>
      <c r="AK101" s="91"/>
      <c r="AL101" s="98"/>
      <c r="AM101" s="99"/>
      <c r="AN101" s="102"/>
      <c r="AO101" s="91"/>
      <c r="AP101" s="98"/>
      <c r="AQ101" s="99"/>
      <c r="AR101" s="102"/>
      <c r="AS101" s="91"/>
      <c r="AT101" s="98"/>
      <c r="AU101" s="99"/>
      <c r="AV101" s="102"/>
      <c r="AW101" s="91"/>
      <c r="AX101" s="98">
        <v>6000</v>
      </c>
      <c r="AY101" s="99">
        <v>7000</v>
      </c>
      <c r="AZ101" s="102">
        <v>1000</v>
      </c>
      <c r="BA101" s="91" t="s">
        <v>180</v>
      </c>
    </row>
    <row r="102" spans="1:53" x14ac:dyDescent="0.25">
      <c r="A102" s="82">
        <v>42386</v>
      </c>
      <c r="B102" s="98"/>
      <c r="C102" s="99"/>
      <c r="D102" s="102"/>
      <c r="E102" s="91"/>
      <c r="F102" s="98"/>
      <c r="G102" s="99"/>
      <c r="H102" s="102"/>
      <c r="I102" s="91"/>
      <c r="J102" s="98"/>
      <c r="K102" s="99"/>
      <c r="L102" s="102"/>
      <c r="M102" s="91"/>
      <c r="N102" s="98"/>
      <c r="O102" s="99"/>
      <c r="P102" s="102"/>
      <c r="Q102" s="91"/>
      <c r="R102" s="98"/>
      <c r="S102" s="99"/>
      <c r="T102" s="102"/>
      <c r="U102" s="91"/>
      <c r="V102" s="98"/>
      <c r="W102" s="99"/>
      <c r="X102" s="102"/>
      <c r="Y102" s="91"/>
      <c r="Z102" s="98"/>
      <c r="AA102" s="99"/>
      <c r="AB102" s="102"/>
      <c r="AC102" s="91"/>
      <c r="AD102" s="98"/>
      <c r="AE102" s="99"/>
      <c r="AF102" s="102"/>
      <c r="AG102" s="91"/>
      <c r="AH102" s="98"/>
      <c r="AI102" s="99"/>
      <c r="AJ102" s="102"/>
      <c r="AK102" s="91"/>
      <c r="AL102" s="98"/>
      <c r="AM102" s="99"/>
      <c r="AN102" s="102"/>
      <c r="AO102" s="91"/>
      <c r="AP102" s="98"/>
      <c r="AQ102" s="99"/>
      <c r="AR102" s="102"/>
      <c r="AS102" s="91"/>
      <c r="AT102" s="98"/>
      <c r="AU102" s="99"/>
      <c r="AV102" s="102"/>
      <c r="AW102" s="91"/>
      <c r="AX102" s="98">
        <v>5000</v>
      </c>
      <c r="AY102" s="99">
        <v>6000</v>
      </c>
      <c r="AZ102" s="102">
        <v>1000</v>
      </c>
      <c r="BA102" s="91" t="s">
        <v>180</v>
      </c>
    </row>
    <row r="103" spans="1:53" x14ac:dyDescent="0.25">
      <c r="A103" s="82">
        <v>42388</v>
      </c>
      <c r="B103" s="98"/>
      <c r="C103" s="99"/>
      <c r="D103" s="102"/>
      <c r="E103" s="91"/>
      <c r="F103" s="98"/>
      <c r="G103" s="99"/>
      <c r="H103" s="102"/>
      <c r="I103" s="91"/>
      <c r="J103" s="98"/>
      <c r="K103" s="99"/>
      <c r="L103" s="102"/>
      <c r="M103" s="91"/>
      <c r="N103" s="98"/>
      <c r="O103" s="99"/>
      <c r="P103" s="102"/>
      <c r="Q103" s="91"/>
      <c r="R103" s="98"/>
      <c r="S103" s="99"/>
      <c r="T103" s="102"/>
      <c r="U103" s="91"/>
      <c r="V103" s="98"/>
      <c r="W103" s="99"/>
      <c r="X103" s="102"/>
      <c r="Y103" s="91"/>
      <c r="Z103" s="98"/>
      <c r="AA103" s="99"/>
      <c r="AB103" s="102"/>
      <c r="AC103" s="91"/>
      <c r="AD103" s="98"/>
      <c r="AE103" s="99"/>
      <c r="AF103" s="102"/>
      <c r="AG103" s="91"/>
      <c r="AH103" s="98"/>
      <c r="AI103" s="99"/>
      <c r="AJ103" s="102"/>
      <c r="AK103" s="91"/>
      <c r="AL103" s="98"/>
      <c r="AM103" s="99"/>
      <c r="AN103" s="102"/>
      <c r="AO103" s="91"/>
      <c r="AP103" s="98"/>
      <c r="AQ103" s="99"/>
      <c r="AR103" s="102"/>
      <c r="AS103" s="91"/>
      <c r="AT103" s="98"/>
      <c r="AU103" s="99"/>
      <c r="AV103" s="102"/>
      <c r="AW103" s="91"/>
      <c r="AX103" s="98">
        <v>4500</v>
      </c>
      <c r="AY103" s="99">
        <v>5000</v>
      </c>
      <c r="AZ103" s="102">
        <v>500</v>
      </c>
      <c r="BA103" s="91" t="s">
        <v>180</v>
      </c>
    </row>
    <row r="104" spans="1:53" x14ac:dyDescent="0.25">
      <c r="A104" s="82">
        <v>42389</v>
      </c>
      <c r="B104" s="98"/>
      <c r="C104" s="99"/>
      <c r="D104" s="102"/>
      <c r="E104" s="91"/>
      <c r="F104" s="98"/>
      <c r="G104" s="99"/>
      <c r="H104" s="102"/>
      <c r="I104" s="91"/>
      <c r="J104" s="98"/>
      <c r="K104" s="99"/>
      <c r="L104" s="102"/>
      <c r="M104" s="91"/>
      <c r="N104" s="98"/>
      <c r="O104" s="99"/>
      <c r="P104" s="102"/>
      <c r="Q104" s="91"/>
      <c r="R104" s="98"/>
      <c r="S104" s="99"/>
      <c r="T104" s="102"/>
      <c r="U104" s="91"/>
      <c r="V104" s="98"/>
      <c r="W104" s="99"/>
      <c r="X104" s="102"/>
      <c r="Y104" s="91"/>
      <c r="Z104" s="98"/>
      <c r="AA104" s="99"/>
      <c r="AB104" s="102"/>
      <c r="AC104" s="91"/>
      <c r="AD104" s="98"/>
      <c r="AE104" s="99"/>
      <c r="AF104" s="102"/>
      <c r="AG104" s="91"/>
      <c r="AH104" s="98"/>
      <c r="AI104" s="99"/>
      <c r="AJ104" s="102"/>
      <c r="AK104" s="91"/>
      <c r="AL104" s="98"/>
      <c r="AM104" s="99"/>
      <c r="AN104" s="102"/>
      <c r="AO104" s="91"/>
      <c r="AP104" s="98"/>
      <c r="AQ104" s="99"/>
      <c r="AR104" s="102"/>
      <c r="AS104" s="91"/>
      <c r="AT104" s="98"/>
      <c r="AU104" s="99"/>
      <c r="AV104" s="102"/>
      <c r="AW104" s="91"/>
      <c r="AX104" s="98">
        <v>4000</v>
      </c>
      <c r="AY104" s="99">
        <v>4500</v>
      </c>
      <c r="AZ104" s="102">
        <v>500</v>
      </c>
      <c r="BA104" s="91" t="s">
        <v>180</v>
      </c>
    </row>
    <row r="105" spans="1:53" x14ac:dyDescent="0.25">
      <c r="A105" s="82">
        <v>42390</v>
      </c>
      <c r="B105" s="98"/>
      <c r="C105" s="99"/>
      <c r="D105" s="102"/>
      <c r="E105" s="91"/>
      <c r="F105" s="98"/>
      <c r="G105" s="99"/>
      <c r="H105" s="102"/>
      <c r="I105" s="91"/>
      <c r="J105" s="98"/>
      <c r="K105" s="99"/>
      <c r="L105" s="102"/>
      <c r="M105" s="91"/>
      <c r="N105" s="98"/>
      <c r="O105" s="99"/>
      <c r="P105" s="102"/>
      <c r="Q105" s="91"/>
      <c r="R105" s="98"/>
      <c r="S105" s="99"/>
      <c r="T105" s="102"/>
      <c r="U105" s="91"/>
      <c r="V105" s="98"/>
      <c r="W105" s="99"/>
      <c r="X105" s="102"/>
      <c r="Y105" s="91"/>
      <c r="Z105" s="98"/>
      <c r="AA105" s="99"/>
      <c r="AB105" s="102"/>
      <c r="AC105" s="91"/>
      <c r="AD105" s="98"/>
      <c r="AE105" s="99"/>
      <c r="AF105" s="102"/>
      <c r="AG105" s="91"/>
      <c r="AH105" s="98"/>
      <c r="AI105" s="99"/>
      <c r="AJ105" s="102"/>
      <c r="AK105" s="91"/>
      <c r="AL105" s="98"/>
      <c r="AM105" s="99"/>
      <c r="AN105" s="102"/>
      <c r="AO105" s="91"/>
      <c r="AP105" s="98"/>
      <c r="AQ105" s="99"/>
      <c r="AR105" s="102"/>
      <c r="AS105" s="91"/>
      <c r="AT105" s="98"/>
      <c r="AU105" s="99"/>
      <c r="AV105" s="102"/>
      <c r="AW105" s="91"/>
      <c r="AX105" s="98">
        <v>3500</v>
      </c>
      <c r="AY105" s="99">
        <v>4000</v>
      </c>
      <c r="AZ105" s="102">
        <v>500</v>
      </c>
      <c r="BA105" s="91" t="s">
        <v>180</v>
      </c>
    </row>
    <row r="106" spans="1:53" x14ac:dyDescent="0.25">
      <c r="A106" s="82">
        <v>42391</v>
      </c>
      <c r="B106" s="98"/>
      <c r="C106" s="99"/>
      <c r="D106" s="102"/>
      <c r="E106" s="91"/>
      <c r="F106" s="98"/>
      <c r="G106" s="99"/>
      <c r="H106" s="102"/>
      <c r="I106" s="91"/>
      <c r="J106" s="98"/>
      <c r="K106" s="99"/>
      <c r="L106" s="102"/>
      <c r="M106" s="91"/>
      <c r="N106" s="98"/>
      <c r="O106" s="99"/>
      <c r="P106" s="102"/>
      <c r="Q106" s="91"/>
      <c r="R106" s="98"/>
      <c r="S106" s="99"/>
      <c r="T106" s="102"/>
      <c r="U106" s="91"/>
      <c r="V106" s="98"/>
      <c r="W106" s="99"/>
      <c r="X106" s="102"/>
      <c r="Y106" s="91"/>
      <c r="Z106" s="98"/>
      <c r="AA106" s="99"/>
      <c r="AB106" s="102"/>
      <c r="AC106" s="91"/>
      <c r="AD106" s="98"/>
      <c r="AE106" s="99"/>
      <c r="AF106" s="102"/>
      <c r="AG106" s="91"/>
      <c r="AH106" s="98"/>
      <c r="AI106" s="99"/>
      <c r="AJ106" s="102"/>
      <c r="AK106" s="91"/>
      <c r="AL106" s="98"/>
      <c r="AM106" s="99"/>
      <c r="AN106" s="102"/>
      <c r="AO106" s="91"/>
      <c r="AP106" s="98"/>
      <c r="AQ106" s="99"/>
      <c r="AR106" s="102"/>
      <c r="AS106" s="91"/>
      <c r="AT106" s="98"/>
      <c r="AU106" s="99"/>
      <c r="AV106" s="102"/>
      <c r="AW106" s="91"/>
      <c r="AX106" s="98">
        <v>10700</v>
      </c>
      <c r="AY106" s="99">
        <v>11700</v>
      </c>
      <c r="AZ106" s="102">
        <v>1000</v>
      </c>
      <c r="BA106" s="91" t="s">
        <v>180</v>
      </c>
    </row>
    <row r="107" spans="1:53" x14ac:dyDescent="0.25">
      <c r="A107" s="82">
        <v>42392</v>
      </c>
      <c r="B107" s="98"/>
      <c r="C107" s="99"/>
      <c r="D107" s="102"/>
      <c r="E107" s="91"/>
      <c r="F107" s="98"/>
      <c r="G107" s="99"/>
      <c r="H107" s="102"/>
      <c r="I107" s="91"/>
      <c r="J107" s="98"/>
      <c r="K107" s="99"/>
      <c r="L107" s="102"/>
      <c r="M107" s="91"/>
      <c r="N107" s="98"/>
      <c r="O107" s="99"/>
      <c r="P107" s="102"/>
      <c r="Q107" s="91"/>
      <c r="R107" s="98"/>
      <c r="S107" s="99"/>
      <c r="T107" s="102"/>
      <c r="U107" s="91"/>
      <c r="V107" s="98"/>
      <c r="W107" s="99"/>
      <c r="X107" s="102"/>
      <c r="Y107" s="91"/>
      <c r="Z107" s="98"/>
      <c r="AA107" s="99"/>
      <c r="AB107" s="102"/>
      <c r="AC107" s="91"/>
      <c r="AD107" s="98"/>
      <c r="AE107" s="99"/>
      <c r="AF107" s="102"/>
      <c r="AG107" s="91"/>
      <c r="AH107" s="98"/>
      <c r="AI107" s="99"/>
      <c r="AJ107" s="102"/>
      <c r="AK107" s="91"/>
      <c r="AL107" s="98"/>
      <c r="AM107" s="99"/>
      <c r="AN107" s="102"/>
      <c r="AO107" s="91"/>
      <c r="AP107" s="98"/>
      <c r="AQ107" s="99"/>
      <c r="AR107" s="102"/>
      <c r="AS107" s="91"/>
      <c r="AT107" s="98"/>
      <c r="AU107" s="99"/>
      <c r="AV107" s="102"/>
      <c r="AW107" s="91"/>
      <c r="AX107" s="98">
        <v>2500</v>
      </c>
      <c r="AY107" s="99">
        <v>3500</v>
      </c>
      <c r="AZ107" s="102">
        <v>1000</v>
      </c>
      <c r="BA107" s="91" t="s">
        <v>180</v>
      </c>
    </row>
    <row r="108" spans="1:53" x14ac:dyDescent="0.25">
      <c r="A108" s="82">
        <v>42394</v>
      </c>
      <c r="B108" s="98"/>
      <c r="C108" s="99"/>
      <c r="D108" s="102"/>
      <c r="E108" s="91"/>
      <c r="F108" s="98"/>
      <c r="G108" s="99"/>
      <c r="H108" s="102"/>
      <c r="I108" s="91"/>
      <c r="J108" s="98"/>
      <c r="K108" s="99"/>
      <c r="L108" s="102"/>
      <c r="M108" s="91"/>
      <c r="N108" s="98"/>
      <c r="O108" s="99"/>
      <c r="P108" s="102"/>
      <c r="Q108" s="91"/>
      <c r="R108" s="98"/>
      <c r="S108" s="99"/>
      <c r="T108" s="102"/>
      <c r="U108" s="91"/>
      <c r="V108" s="98"/>
      <c r="W108" s="99"/>
      <c r="X108" s="102"/>
      <c r="Y108" s="91"/>
      <c r="Z108" s="98"/>
      <c r="AA108" s="99"/>
      <c r="AB108" s="102"/>
      <c r="AC108" s="91"/>
      <c r="AD108" s="98"/>
      <c r="AE108" s="99"/>
      <c r="AF108" s="102"/>
      <c r="AG108" s="91"/>
      <c r="AH108" s="98"/>
      <c r="AI108" s="99"/>
      <c r="AJ108" s="102"/>
      <c r="AK108" s="91"/>
      <c r="AL108" s="98"/>
      <c r="AM108" s="99"/>
      <c r="AN108" s="102"/>
      <c r="AO108" s="91"/>
      <c r="AP108" s="98"/>
      <c r="AQ108" s="99"/>
      <c r="AR108" s="102"/>
      <c r="AS108" s="91"/>
      <c r="AT108" s="98"/>
      <c r="AU108" s="99"/>
      <c r="AV108" s="102"/>
      <c r="AW108" s="91"/>
      <c r="AX108" s="98">
        <v>2000</v>
      </c>
      <c r="AY108" s="99">
        <v>2500</v>
      </c>
      <c r="AZ108" s="102">
        <v>500</v>
      </c>
      <c r="BA108" s="91" t="s">
        <v>180</v>
      </c>
    </row>
    <row r="109" spans="1:53" x14ac:dyDescent="0.25">
      <c r="A109" s="82">
        <v>42395</v>
      </c>
      <c r="B109" s="98"/>
      <c r="C109" s="99"/>
      <c r="D109" s="102"/>
      <c r="E109" s="91"/>
      <c r="F109" s="98"/>
      <c r="G109" s="99"/>
      <c r="H109" s="102"/>
      <c r="I109" s="91"/>
      <c r="J109" s="98"/>
      <c r="K109" s="99"/>
      <c r="L109" s="102"/>
      <c r="M109" s="91"/>
      <c r="N109" s="98"/>
      <c r="O109" s="99"/>
      <c r="P109" s="102"/>
      <c r="Q109" s="91"/>
      <c r="R109" s="98"/>
      <c r="S109" s="99"/>
      <c r="T109" s="102"/>
      <c r="U109" s="91"/>
      <c r="V109" s="98"/>
      <c r="W109" s="99"/>
      <c r="X109" s="102"/>
      <c r="Y109" s="91"/>
      <c r="Z109" s="98"/>
      <c r="AA109" s="99"/>
      <c r="AB109" s="102"/>
      <c r="AC109" s="91"/>
      <c r="AD109" s="98"/>
      <c r="AE109" s="99"/>
      <c r="AF109" s="102"/>
      <c r="AG109" s="91"/>
      <c r="AH109" s="98"/>
      <c r="AI109" s="99"/>
      <c r="AJ109" s="102"/>
      <c r="AK109" s="91"/>
      <c r="AL109" s="98"/>
      <c r="AM109" s="99"/>
      <c r="AN109" s="102"/>
      <c r="AO109" s="91"/>
      <c r="AP109" s="98"/>
      <c r="AQ109" s="99"/>
      <c r="AR109" s="102"/>
      <c r="AS109" s="91"/>
      <c r="AT109" s="98"/>
      <c r="AU109" s="99"/>
      <c r="AV109" s="102"/>
      <c r="AW109" s="91"/>
      <c r="AX109" s="98">
        <v>0</v>
      </c>
      <c r="AY109" s="99">
        <v>2000</v>
      </c>
      <c r="AZ109" s="102">
        <v>2000</v>
      </c>
      <c r="BA109" s="91" t="s">
        <v>180</v>
      </c>
    </row>
    <row r="110" spans="1:53" x14ac:dyDescent="0.25">
      <c r="B110" s="98"/>
      <c r="C110" s="99"/>
      <c r="D110" s="102"/>
      <c r="E110" s="91"/>
      <c r="F110" s="98"/>
      <c r="G110" s="99"/>
      <c r="H110" s="102"/>
      <c r="I110" s="91"/>
      <c r="J110" s="98"/>
      <c r="K110" s="99"/>
      <c r="L110" s="102"/>
      <c r="M110" s="91"/>
      <c r="N110" s="98"/>
      <c r="O110" s="99"/>
      <c r="P110" s="102"/>
      <c r="Q110" s="91"/>
      <c r="R110" s="98"/>
      <c r="S110" s="99"/>
      <c r="T110" s="102"/>
      <c r="U110" s="91"/>
      <c r="V110" s="98"/>
      <c r="W110" s="99"/>
      <c r="X110" s="102"/>
      <c r="Y110" s="91"/>
      <c r="Z110" s="98"/>
      <c r="AA110" s="99"/>
      <c r="AB110" s="102"/>
      <c r="AC110" s="91"/>
      <c r="AD110" s="98"/>
      <c r="AE110" s="99"/>
      <c r="AF110" s="102"/>
      <c r="AG110" s="91"/>
      <c r="AH110" s="98"/>
      <c r="AI110" s="99"/>
      <c r="AJ110" s="102"/>
      <c r="AK110" s="91"/>
      <c r="AL110" s="98"/>
      <c r="AM110" s="99"/>
      <c r="AN110" s="102"/>
      <c r="AO110" s="91"/>
      <c r="AP110" s="98"/>
      <c r="AQ110" s="99"/>
      <c r="AR110" s="102"/>
      <c r="AS110" s="91"/>
      <c r="AT110" s="98"/>
      <c r="AU110" s="99"/>
      <c r="AV110" s="102"/>
      <c r="AW110" s="91"/>
      <c r="AX110" s="98"/>
      <c r="AY110" s="99"/>
      <c r="AZ110" s="102"/>
      <c r="BA110" s="91"/>
    </row>
    <row r="111" spans="1:53" x14ac:dyDescent="0.25">
      <c r="B111" s="98" t="s">
        <v>206</v>
      </c>
      <c r="C111" s="99"/>
      <c r="D111" s="102"/>
      <c r="E111" s="91"/>
      <c r="F111" s="98" t="s">
        <v>206</v>
      </c>
      <c r="G111" s="99"/>
      <c r="H111" s="102"/>
      <c r="I111" s="91"/>
      <c r="J111" s="98" t="s">
        <v>206</v>
      </c>
      <c r="K111" s="99"/>
      <c r="L111" s="102"/>
      <c r="M111" s="91"/>
      <c r="N111" s="98" t="s">
        <v>206</v>
      </c>
      <c r="O111" s="99"/>
      <c r="P111" s="102"/>
      <c r="Q111" s="91"/>
      <c r="R111" s="98" t="s">
        <v>206</v>
      </c>
      <c r="S111" s="99"/>
      <c r="T111" s="102"/>
      <c r="U111" s="91"/>
      <c r="V111" s="98" t="s">
        <v>206</v>
      </c>
      <c r="W111" s="99"/>
      <c r="X111" s="102"/>
      <c r="Y111" s="91"/>
      <c r="Z111" s="98" t="s">
        <v>206</v>
      </c>
      <c r="AA111" s="99"/>
      <c r="AB111" s="102"/>
      <c r="AC111" s="91"/>
      <c r="AD111" s="98" t="s">
        <v>206</v>
      </c>
      <c r="AE111" s="99"/>
      <c r="AF111" s="102"/>
      <c r="AG111" s="91"/>
      <c r="AH111" s="98" t="s">
        <v>206</v>
      </c>
      <c r="AI111" s="99"/>
      <c r="AJ111" s="102"/>
      <c r="AK111" s="91"/>
      <c r="AL111" s="98" t="s">
        <v>206</v>
      </c>
      <c r="AM111" s="99"/>
      <c r="AN111" s="102"/>
      <c r="AO111" s="91"/>
      <c r="AP111" s="98" t="s">
        <v>206</v>
      </c>
      <c r="AQ111" s="99"/>
      <c r="AR111" s="102"/>
      <c r="AS111" s="91"/>
      <c r="AT111" s="98" t="s">
        <v>206</v>
      </c>
      <c r="AU111" s="99"/>
      <c r="AV111" s="102"/>
      <c r="AW111" s="91"/>
      <c r="AX111" s="98" t="s">
        <v>206</v>
      </c>
      <c r="AY111" s="99"/>
      <c r="AZ111" s="102"/>
      <c r="BA111" s="91"/>
    </row>
    <row r="112" spans="1:53" x14ac:dyDescent="0.25">
      <c r="B112" s="98" t="s">
        <v>174</v>
      </c>
      <c r="C112" s="99" t="s">
        <v>175</v>
      </c>
      <c r="D112" s="102" t="s">
        <v>181</v>
      </c>
      <c r="E112" s="91" t="s">
        <v>178</v>
      </c>
      <c r="F112" s="98" t="s">
        <v>174</v>
      </c>
      <c r="G112" s="99" t="s">
        <v>175</v>
      </c>
      <c r="H112" s="102" t="s">
        <v>181</v>
      </c>
      <c r="I112" s="91" t="s">
        <v>178</v>
      </c>
      <c r="J112" s="98" t="s">
        <v>174</v>
      </c>
      <c r="K112" s="99" t="s">
        <v>175</v>
      </c>
      <c r="L112" s="102" t="s">
        <v>181</v>
      </c>
      <c r="M112" s="91" t="s">
        <v>178</v>
      </c>
      <c r="N112" s="98" t="s">
        <v>174</v>
      </c>
      <c r="O112" s="99" t="s">
        <v>175</v>
      </c>
      <c r="P112" s="102" t="s">
        <v>181</v>
      </c>
      <c r="Q112" s="91" t="s">
        <v>178</v>
      </c>
      <c r="R112" s="98" t="s">
        <v>174</v>
      </c>
      <c r="S112" s="99" t="s">
        <v>175</v>
      </c>
      <c r="T112" s="102" t="s">
        <v>181</v>
      </c>
      <c r="U112" s="91" t="s">
        <v>178</v>
      </c>
      <c r="V112" s="98" t="s">
        <v>174</v>
      </c>
      <c r="W112" s="99" t="s">
        <v>175</v>
      </c>
      <c r="X112" s="102" t="s">
        <v>181</v>
      </c>
      <c r="Y112" s="91" t="s">
        <v>178</v>
      </c>
      <c r="Z112" s="98" t="s">
        <v>174</v>
      </c>
      <c r="AA112" s="99" t="s">
        <v>175</v>
      </c>
      <c r="AB112" s="102" t="s">
        <v>181</v>
      </c>
      <c r="AC112" s="91" t="s">
        <v>178</v>
      </c>
      <c r="AD112" s="98" t="s">
        <v>174</v>
      </c>
      <c r="AE112" s="99" t="s">
        <v>175</v>
      </c>
      <c r="AF112" s="102" t="s">
        <v>181</v>
      </c>
      <c r="AG112" s="91" t="s">
        <v>178</v>
      </c>
      <c r="AH112" s="98" t="s">
        <v>174</v>
      </c>
      <c r="AI112" s="99" t="s">
        <v>175</v>
      </c>
      <c r="AJ112" s="102" t="s">
        <v>181</v>
      </c>
      <c r="AK112" s="91" t="s">
        <v>178</v>
      </c>
      <c r="AL112" s="98" t="s">
        <v>174</v>
      </c>
      <c r="AM112" s="99" t="s">
        <v>175</v>
      </c>
      <c r="AN112" s="102" t="s">
        <v>181</v>
      </c>
      <c r="AO112" s="91" t="s">
        <v>178</v>
      </c>
      <c r="AP112" s="98" t="s">
        <v>174</v>
      </c>
      <c r="AQ112" s="99" t="s">
        <v>175</v>
      </c>
      <c r="AR112" s="102" t="s">
        <v>181</v>
      </c>
      <c r="AS112" s="91" t="s">
        <v>178</v>
      </c>
      <c r="AT112" s="98" t="s">
        <v>174</v>
      </c>
      <c r="AU112" s="99" t="s">
        <v>175</v>
      </c>
      <c r="AV112" s="102" t="s">
        <v>181</v>
      </c>
      <c r="AW112" s="91" t="s">
        <v>178</v>
      </c>
      <c r="AX112" s="98" t="s">
        <v>174</v>
      </c>
      <c r="AY112" s="99" t="s">
        <v>175</v>
      </c>
      <c r="AZ112" s="102" t="s">
        <v>181</v>
      </c>
      <c r="BA112" s="91" t="s">
        <v>178</v>
      </c>
    </row>
    <row r="113" spans="2:53" ht="15.75" thickBot="1" x14ac:dyDescent="0.3">
      <c r="B113" s="98">
        <v>5000</v>
      </c>
      <c r="C113" s="99">
        <v>6500</v>
      </c>
      <c r="D113" s="102">
        <v>1500</v>
      </c>
      <c r="E113" s="91"/>
      <c r="F113" s="98">
        <v>900</v>
      </c>
      <c r="G113" s="99">
        <v>1300</v>
      </c>
      <c r="H113" s="102">
        <v>400</v>
      </c>
      <c r="I113" s="91"/>
      <c r="J113" s="100">
        <v>24700</v>
      </c>
      <c r="K113" s="101">
        <v>287500</v>
      </c>
      <c r="L113" s="104">
        <v>262800</v>
      </c>
      <c r="M113" s="92"/>
      <c r="N113" s="100">
        <v>24700</v>
      </c>
      <c r="O113" s="101">
        <v>287500</v>
      </c>
      <c r="P113" s="104">
        <v>262800</v>
      </c>
      <c r="Q113" s="92"/>
      <c r="R113" s="100">
        <v>24700</v>
      </c>
      <c r="S113" s="101">
        <v>287500</v>
      </c>
      <c r="T113" s="104">
        <v>262800</v>
      </c>
      <c r="U113" s="92"/>
      <c r="V113" s="100">
        <v>24700</v>
      </c>
      <c r="W113" s="101">
        <v>287500</v>
      </c>
      <c r="X113" s="104">
        <v>262800</v>
      </c>
      <c r="Y113" s="92"/>
      <c r="Z113" s="100">
        <v>24700</v>
      </c>
      <c r="AA113" s="101">
        <v>287500</v>
      </c>
      <c r="AB113" s="104">
        <v>262800</v>
      </c>
      <c r="AC113" s="92"/>
      <c r="AD113" s="100">
        <v>24700</v>
      </c>
      <c r="AE113" s="101">
        <v>287500</v>
      </c>
      <c r="AF113" s="104">
        <v>262800</v>
      </c>
      <c r="AG113" s="92"/>
      <c r="AH113" s="100">
        <v>24700</v>
      </c>
      <c r="AI113" s="101">
        <v>287500</v>
      </c>
      <c r="AJ113" s="104">
        <v>262800</v>
      </c>
      <c r="AK113" s="92"/>
      <c r="AL113" s="98">
        <v>7800</v>
      </c>
      <c r="AM113" s="99">
        <v>8000</v>
      </c>
      <c r="AN113" s="102">
        <v>200</v>
      </c>
      <c r="AO113" s="91"/>
      <c r="AP113" s="100">
        <v>24700</v>
      </c>
      <c r="AQ113" s="101">
        <v>287500</v>
      </c>
      <c r="AR113" s="104">
        <v>262800</v>
      </c>
      <c r="AS113" s="92"/>
      <c r="AT113" s="100">
        <v>24700</v>
      </c>
      <c r="AU113" s="101">
        <v>287500</v>
      </c>
      <c r="AV113" s="104">
        <v>262800</v>
      </c>
      <c r="AW113" s="92"/>
      <c r="AX113" s="100">
        <v>24700</v>
      </c>
      <c r="AY113" s="101">
        <v>287500</v>
      </c>
      <c r="AZ113" s="104">
        <v>262800</v>
      </c>
      <c r="BA113" s="92"/>
    </row>
    <row r="114" spans="2:53" ht="15.75" thickTop="1" x14ac:dyDescent="0.25">
      <c r="B114" s="98">
        <v>24700</v>
      </c>
      <c r="C114" s="99">
        <v>287500</v>
      </c>
      <c r="D114" s="102">
        <v>262800</v>
      </c>
      <c r="E114" s="91"/>
      <c r="F114" s="98">
        <v>1700</v>
      </c>
      <c r="G114" s="99">
        <v>2500</v>
      </c>
      <c r="H114" s="102">
        <v>800</v>
      </c>
      <c r="I114" s="91"/>
      <c r="AL114" s="98">
        <v>24700</v>
      </c>
      <c r="AM114" s="99">
        <v>287500</v>
      </c>
      <c r="AN114" s="102">
        <v>262800</v>
      </c>
      <c r="AO114" s="91"/>
    </row>
    <row r="115" spans="2:53" x14ac:dyDescent="0.25">
      <c r="B115" s="98" t="s">
        <v>207</v>
      </c>
      <c r="C115" s="99"/>
      <c r="D115" s="102"/>
      <c r="E115" s="91"/>
      <c r="F115" s="98">
        <v>3600</v>
      </c>
      <c r="G115" s="99">
        <v>4500</v>
      </c>
      <c r="H115" s="102">
        <v>900</v>
      </c>
      <c r="I115" s="91"/>
      <c r="AL115" s="98" t="s">
        <v>207</v>
      </c>
      <c r="AM115" s="99"/>
      <c r="AN115" s="102"/>
      <c r="AO115" s="91"/>
    </row>
    <row r="116" spans="2:53" x14ac:dyDescent="0.25">
      <c r="B116" s="98" t="s">
        <v>174</v>
      </c>
      <c r="C116" s="99" t="s">
        <v>175</v>
      </c>
      <c r="D116" s="102" t="s">
        <v>181</v>
      </c>
      <c r="E116" s="91" t="s">
        <v>178</v>
      </c>
      <c r="F116" s="98">
        <v>5300</v>
      </c>
      <c r="G116" s="99">
        <v>5700</v>
      </c>
      <c r="H116" s="102">
        <v>400</v>
      </c>
      <c r="I116" s="91"/>
      <c r="AL116" s="98" t="s">
        <v>174</v>
      </c>
      <c r="AM116" s="99" t="s">
        <v>175</v>
      </c>
      <c r="AN116" s="102" t="s">
        <v>181</v>
      </c>
      <c r="AO116" s="91" t="s">
        <v>178</v>
      </c>
    </row>
    <row r="117" spans="2:53" ht="15.75" thickBot="1" x14ac:dyDescent="0.3">
      <c r="B117" s="98">
        <v>1800</v>
      </c>
      <c r="C117" s="99">
        <v>1500</v>
      </c>
      <c r="D117" s="102">
        <v>-300</v>
      </c>
      <c r="E117" s="91" t="s">
        <v>209</v>
      </c>
      <c r="F117" s="98">
        <v>6700</v>
      </c>
      <c r="G117" s="99">
        <v>7000</v>
      </c>
      <c r="H117" s="102">
        <v>300</v>
      </c>
      <c r="I117" s="91"/>
      <c r="AL117" s="100">
        <v>8300</v>
      </c>
      <c r="AM117" s="101">
        <v>8100</v>
      </c>
      <c r="AN117" s="104">
        <v>-200</v>
      </c>
      <c r="AO117" s="92" t="s">
        <v>180</v>
      </c>
    </row>
    <row r="118" spans="2:53" ht="15.75" thickTop="1" x14ac:dyDescent="0.25">
      <c r="B118" s="98">
        <v>8000</v>
      </c>
      <c r="C118" s="99">
        <v>7500</v>
      </c>
      <c r="D118" s="102">
        <v>-500</v>
      </c>
      <c r="E118" s="91" t="s">
        <v>209</v>
      </c>
      <c r="F118" s="98">
        <v>7400</v>
      </c>
      <c r="G118" s="99">
        <v>7500</v>
      </c>
      <c r="H118" s="102">
        <v>100</v>
      </c>
      <c r="I118" s="91"/>
    </row>
    <row r="119" spans="2:53" ht="15.75" thickBot="1" x14ac:dyDescent="0.3">
      <c r="B119" s="100">
        <v>10500</v>
      </c>
      <c r="C119" s="101">
        <v>10300</v>
      </c>
      <c r="D119" s="104">
        <v>-200</v>
      </c>
      <c r="E119" s="92" t="s">
        <v>209</v>
      </c>
      <c r="F119" s="98">
        <v>15800</v>
      </c>
      <c r="G119" s="99">
        <v>16300</v>
      </c>
      <c r="H119" s="102">
        <v>500</v>
      </c>
      <c r="I119" s="91"/>
    </row>
    <row r="120" spans="2:53" ht="15.75" thickTop="1" x14ac:dyDescent="0.25">
      <c r="F120" s="98">
        <v>19900</v>
      </c>
      <c r="G120" s="99">
        <v>24000</v>
      </c>
      <c r="H120" s="102">
        <v>4100</v>
      </c>
      <c r="I120" s="91"/>
    </row>
    <row r="121" spans="2:53" x14ac:dyDescent="0.25">
      <c r="F121" s="98">
        <v>24200</v>
      </c>
      <c r="G121" s="99">
        <v>287500</v>
      </c>
      <c r="H121" s="102">
        <v>263300</v>
      </c>
      <c r="I121" s="91"/>
    </row>
    <row r="122" spans="2:53" x14ac:dyDescent="0.25">
      <c r="F122" s="98" t="s">
        <v>207</v>
      </c>
      <c r="G122" s="99"/>
      <c r="H122" s="102"/>
      <c r="I122" s="91"/>
    </row>
    <row r="123" spans="2:53" x14ac:dyDescent="0.25">
      <c r="F123" s="98" t="s">
        <v>174</v>
      </c>
      <c r="G123" s="99" t="s">
        <v>175</v>
      </c>
      <c r="H123" s="102" t="s">
        <v>181</v>
      </c>
      <c r="I123" s="91" t="s">
        <v>178</v>
      </c>
    </row>
    <row r="124" spans="2:53" x14ac:dyDescent="0.25">
      <c r="F124" s="98">
        <v>10200</v>
      </c>
      <c r="G124" s="99">
        <v>9800</v>
      </c>
      <c r="H124" s="102">
        <v>-400</v>
      </c>
      <c r="I124" s="91" t="s">
        <v>211</v>
      </c>
    </row>
    <row r="125" spans="2:53" x14ac:dyDescent="0.25">
      <c r="F125" s="98">
        <v>10900</v>
      </c>
      <c r="G125" s="99">
        <v>10300</v>
      </c>
      <c r="H125" s="102">
        <v>-600</v>
      </c>
      <c r="I125" s="91" t="s">
        <v>211</v>
      </c>
    </row>
    <row r="126" spans="2:53" x14ac:dyDescent="0.25">
      <c r="F126" s="98">
        <v>12300</v>
      </c>
      <c r="G126" s="99">
        <v>12200</v>
      </c>
      <c r="H126" s="102">
        <v>-100</v>
      </c>
      <c r="I126" s="91" t="s">
        <v>211</v>
      </c>
    </row>
    <row r="127" spans="2:53" ht="15.75" thickBot="1" x14ac:dyDescent="0.3">
      <c r="F127" s="100">
        <v>19000</v>
      </c>
      <c r="G127" s="101">
        <v>17600</v>
      </c>
      <c r="H127" s="104">
        <v>-1400</v>
      </c>
      <c r="I127" s="92" t="s">
        <v>211</v>
      </c>
    </row>
    <row r="128" spans="2:53" ht="15.75" thickTop="1" x14ac:dyDescent="0.25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39997558519241921"/>
  </sheetPr>
  <dimension ref="A1:L357"/>
  <sheetViews>
    <sheetView workbookViewId="0">
      <pane ySplit="1" topLeftCell="A2" activePane="bottomLeft" state="frozen"/>
      <selection pane="bottomLeft" activeCell="E39" sqref="E39"/>
    </sheetView>
  </sheetViews>
  <sheetFormatPr defaultRowHeight="15" x14ac:dyDescent="0.25"/>
  <cols>
    <col min="1" max="10" width="13.5703125" customWidth="1"/>
    <col min="18" max="19" width="25.5703125" customWidth="1"/>
  </cols>
  <sheetData>
    <row r="1" spans="1:12" x14ac:dyDescent="0.25">
      <c r="A1" t="s">
        <v>189</v>
      </c>
      <c r="B1" t="s">
        <v>182</v>
      </c>
      <c r="C1" t="s">
        <v>183</v>
      </c>
      <c r="D1" t="s">
        <v>59</v>
      </c>
      <c r="E1" t="s">
        <v>190</v>
      </c>
      <c r="F1" t="s">
        <v>15</v>
      </c>
      <c r="G1" t="s">
        <v>188</v>
      </c>
      <c r="H1" t="s">
        <v>186</v>
      </c>
      <c r="I1" t="s">
        <v>191</v>
      </c>
      <c r="J1" t="s">
        <v>192</v>
      </c>
      <c r="K1" t="s">
        <v>194</v>
      </c>
      <c r="L1" t="s">
        <v>195</v>
      </c>
    </row>
    <row r="2" spans="1:12" x14ac:dyDescent="0.25">
      <c r="A2">
        <v>68</v>
      </c>
      <c r="B2">
        <v>0</v>
      </c>
      <c r="C2">
        <v>1500</v>
      </c>
      <c r="D2">
        <v>1500</v>
      </c>
      <c r="E2" t="s">
        <v>184</v>
      </c>
      <c r="F2" s="82">
        <v>42312</v>
      </c>
      <c r="G2" t="s">
        <v>209</v>
      </c>
      <c r="H2">
        <v>1</v>
      </c>
      <c r="I2">
        <v>0</v>
      </c>
      <c r="J2">
        <v>1800</v>
      </c>
      <c r="K2">
        <v>1800</v>
      </c>
      <c r="L2">
        <v>300</v>
      </c>
    </row>
    <row r="3" spans="1:12" x14ac:dyDescent="0.25">
      <c r="A3">
        <v>66</v>
      </c>
      <c r="B3">
        <v>1500</v>
      </c>
      <c r="C3">
        <v>3000</v>
      </c>
      <c r="D3">
        <v>1500</v>
      </c>
      <c r="E3" t="s">
        <v>184</v>
      </c>
      <c r="F3" s="82">
        <v>42310</v>
      </c>
      <c r="G3" t="s">
        <v>209</v>
      </c>
      <c r="H3">
        <v>1</v>
      </c>
      <c r="I3">
        <v>1500</v>
      </c>
      <c r="J3">
        <v>3000</v>
      </c>
      <c r="K3">
        <v>1500</v>
      </c>
      <c r="L3">
        <v>0</v>
      </c>
    </row>
    <row r="4" spans="1:12" x14ac:dyDescent="0.25">
      <c r="A4">
        <v>67</v>
      </c>
      <c r="B4">
        <v>3000</v>
      </c>
      <c r="C4">
        <v>5000</v>
      </c>
      <c r="D4">
        <v>2000</v>
      </c>
      <c r="E4" t="s">
        <v>184</v>
      </c>
      <c r="F4" s="82">
        <v>42311</v>
      </c>
      <c r="G4" t="s">
        <v>209</v>
      </c>
      <c r="H4">
        <v>1</v>
      </c>
      <c r="I4">
        <v>3000</v>
      </c>
      <c r="J4">
        <v>5000</v>
      </c>
      <c r="K4">
        <v>2000</v>
      </c>
      <c r="L4">
        <v>0</v>
      </c>
    </row>
    <row r="5" spans="1:12" x14ac:dyDescent="0.25">
      <c r="B5">
        <v>5000</v>
      </c>
      <c r="C5">
        <v>6500</v>
      </c>
      <c r="D5">
        <v>1500</v>
      </c>
      <c r="E5" t="s">
        <v>184</v>
      </c>
      <c r="G5" t="s">
        <v>193</v>
      </c>
    </row>
    <row r="6" spans="1:12" x14ac:dyDescent="0.25">
      <c r="A6">
        <v>64</v>
      </c>
      <c r="B6">
        <v>6500</v>
      </c>
      <c r="C6">
        <v>7500</v>
      </c>
      <c r="D6">
        <v>1000</v>
      </c>
      <c r="E6" t="s">
        <v>184</v>
      </c>
      <c r="F6" s="82">
        <v>42308</v>
      </c>
      <c r="G6" t="s">
        <v>209</v>
      </c>
      <c r="H6">
        <v>1</v>
      </c>
      <c r="I6">
        <v>6500</v>
      </c>
      <c r="J6">
        <v>8000</v>
      </c>
      <c r="K6">
        <v>1500</v>
      </c>
      <c r="L6">
        <v>500</v>
      </c>
    </row>
    <row r="7" spans="1:12" x14ac:dyDescent="0.25">
      <c r="A7">
        <v>63</v>
      </c>
      <c r="B7">
        <v>7500</v>
      </c>
      <c r="C7">
        <v>8000</v>
      </c>
      <c r="D7">
        <v>500</v>
      </c>
      <c r="E7" t="s">
        <v>184</v>
      </c>
      <c r="F7" s="82">
        <v>42308</v>
      </c>
      <c r="G7" t="s">
        <v>209</v>
      </c>
      <c r="H7">
        <v>2</v>
      </c>
      <c r="I7">
        <v>7500</v>
      </c>
      <c r="J7">
        <v>8000</v>
      </c>
      <c r="K7">
        <v>500</v>
      </c>
      <c r="L7">
        <v>0</v>
      </c>
    </row>
    <row r="8" spans="1:12" x14ac:dyDescent="0.25">
      <c r="A8">
        <v>62</v>
      </c>
      <c r="B8">
        <v>8000</v>
      </c>
      <c r="C8">
        <v>8500</v>
      </c>
      <c r="D8">
        <v>500</v>
      </c>
      <c r="E8" t="s">
        <v>184</v>
      </c>
      <c r="F8" s="82">
        <v>42307</v>
      </c>
      <c r="G8" t="s">
        <v>209</v>
      </c>
      <c r="H8">
        <v>1</v>
      </c>
      <c r="I8">
        <v>8000</v>
      </c>
      <c r="J8">
        <v>8500</v>
      </c>
      <c r="K8">
        <v>500</v>
      </c>
      <c r="L8">
        <v>0</v>
      </c>
    </row>
    <row r="9" spans="1:12" x14ac:dyDescent="0.25">
      <c r="A9">
        <v>61</v>
      </c>
      <c r="B9">
        <v>8500</v>
      </c>
      <c r="C9">
        <v>9000</v>
      </c>
      <c r="D9">
        <v>500</v>
      </c>
      <c r="E9" t="s">
        <v>184</v>
      </c>
      <c r="F9" s="82">
        <v>42306</v>
      </c>
      <c r="G9" t="s">
        <v>209</v>
      </c>
      <c r="H9">
        <v>1</v>
      </c>
      <c r="I9">
        <v>8500</v>
      </c>
      <c r="J9">
        <v>9000</v>
      </c>
      <c r="K9">
        <v>500</v>
      </c>
      <c r="L9">
        <v>0</v>
      </c>
    </row>
    <row r="10" spans="1:12" x14ac:dyDescent="0.25">
      <c r="A10">
        <v>60</v>
      </c>
      <c r="B10">
        <v>9000</v>
      </c>
      <c r="C10">
        <v>9500</v>
      </c>
      <c r="D10">
        <v>500</v>
      </c>
      <c r="E10" t="s">
        <v>184</v>
      </c>
      <c r="F10" s="82">
        <v>42305</v>
      </c>
      <c r="G10" t="s">
        <v>209</v>
      </c>
      <c r="H10">
        <v>1</v>
      </c>
      <c r="I10">
        <v>9000</v>
      </c>
      <c r="J10">
        <v>9500</v>
      </c>
      <c r="K10">
        <v>500</v>
      </c>
      <c r="L10">
        <v>0</v>
      </c>
    </row>
    <row r="11" spans="1:12" x14ac:dyDescent="0.25">
      <c r="A11">
        <v>59</v>
      </c>
      <c r="B11">
        <v>9500</v>
      </c>
      <c r="C11">
        <v>10000</v>
      </c>
      <c r="D11">
        <v>500</v>
      </c>
      <c r="E11" t="s">
        <v>184</v>
      </c>
      <c r="F11" s="82">
        <v>42304</v>
      </c>
      <c r="G11" t="s">
        <v>209</v>
      </c>
      <c r="H11">
        <v>1</v>
      </c>
      <c r="I11">
        <v>9500</v>
      </c>
      <c r="J11">
        <v>10000</v>
      </c>
      <c r="K11">
        <v>500</v>
      </c>
      <c r="L11">
        <v>0</v>
      </c>
    </row>
    <row r="12" spans="1:12" x14ac:dyDescent="0.25">
      <c r="A12">
        <v>58</v>
      </c>
      <c r="B12">
        <v>10000</v>
      </c>
      <c r="C12">
        <v>10300</v>
      </c>
      <c r="D12">
        <v>300</v>
      </c>
      <c r="E12" t="s">
        <v>184</v>
      </c>
      <c r="F12" s="82">
        <v>42303</v>
      </c>
      <c r="G12" t="s">
        <v>209</v>
      </c>
      <c r="H12">
        <v>1</v>
      </c>
      <c r="I12">
        <v>10000</v>
      </c>
      <c r="J12">
        <v>10500</v>
      </c>
      <c r="K12">
        <v>500</v>
      </c>
      <c r="L12">
        <v>200</v>
      </c>
    </row>
    <row r="13" spans="1:12" x14ac:dyDescent="0.25">
      <c r="A13">
        <v>53</v>
      </c>
      <c r="B13">
        <v>10300</v>
      </c>
      <c r="C13">
        <v>10800</v>
      </c>
      <c r="D13">
        <v>500</v>
      </c>
      <c r="E13" t="s">
        <v>184</v>
      </c>
      <c r="F13" s="82">
        <v>42297</v>
      </c>
      <c r="G13" t="s">
        <v>208</v>
      </c>
      <c r="H13">
        <v>1</v>
      </c>
      <c r="I13">
        <v>10300</v>
      </c>
      <c r="J13">
        <v>10800</v>
      </c>
      <c r="K13">
        <v>500</v>
      </c>
      <c r="L13">
        <v>0</v>
      </c>
    </row>
    <row r="14" spans="1:12" x14ac:dyDescent="0.25">
      <c r="A14">
        <v>54</v>
      </c>
      <c r="B14">
        <v>10800</v>
      </c>
      <c r="C14">
        <v>14800</v>
      </c>
      <c r="D14">
        <v>4000</v>
      </c>
      <c r="E14" t="s">
        <v>184</v>
      </c>
      <c r="F14" s="82">
        <v>42298</v>
      </c>
      <c r="G14" t="s">
        <v>208</v>
      </c>
      <c r="H14">
        <v>1</v>
      </c>
      <c r="I14">
        <v>10800</v>
      </c>
      <c r="J14">
        <v>14800</v>
      </c>
      <c r="K14">
        <v>4000</v>
      </c>
      <c r="L14">
        <v>0</v>
      </c>
    </row>
    <row r="15" spans="1:12" x14ac:dyDescent="0.25">
      <c r="A15">
        <v>55</v>
      </c>
      <c r="B15">
        <v>14800</v>
      </c>
      <c r="C15">
        <v>15000</v>
      </c>
      <c r="D15">
        <v>200</v>
      </c>
      <c r="E15" t="s">
        <v>184</v>
      </c>
      <c r="F15" s="82">
        <v>42299</v>
      </c>
      <c r="G15" t="s">
        <v>208</v>
      </c>
      <c r="H15">
        <v>1</v>
      </c>
      <c r="I15">
        <v>14800</v>
      </c>
      <c r="J15">
        <v>15000</v>
      </c>
      <c r="K15">
        <v>200</v>
      </c>
      <c r="L15">
        <v>0</v>
      </c>
    </row>
    <row r="16" spans="1:12" x14ac:dyDescent="0.25">
      <c r="A16">
        <v>56</v>
      </c>
      <c r="B16">
        <v>15000</v>
      </c>
      <c r="C16">
        <v>15200</v>
      </c>
      <c r="D16">
        <v>200</v>
      </c>
      <c r="E16" t="s">
        <v>184</v>
      </c>
      <c r="F16" s="82">
        <v>42300</v>
      </c>
      <c r="G16" t="s">
        <v>208</v>
      </c>
      <c r="H16">
        <v>1</v>
      </c>
      <c r="I16">
        <v>15000</v>
      </c>
      <c r="J16">
        <v>15200</v>
      </c>
      <c r="K16">
        <v>200</v>
      </c>
      <c r="L16">
        <v>0</v>
      </c>
    </row>
    <row r="17" spans="1:12" x14ac:dyDescent="0.25">
      <c r="A17">
        <v>57</v>
      </c>
      <c r="B17">
        <v>15200</v>
      </c>
      <c r="C17">
        <v>16500</v>
      </c>
      <c r="D17">
        <v>1300</v>
      </c>
      <c r="E17" t="s">
        <v>184</v>
      </c>
      <c r="F17" s="82">
        <v>42301</v>
      </c>
      <c r="G17" t="s">
        <v>209</v>
      </c>
      <c r="H17">
        <v>1</v>
      </c>
      <c r="I17">
        <v>15200</v>
      </c>
      <c r="J17">
        <v>16500</v>
      </c>
      <c r="K17">
        <v>1300</v>
      </c>
      <c r="L17">
        <v>0</v>
      </c>
    </row>
    <row r="18" spans="1:12" x14ac:dyDescent="0.25">
      <c r="A18">
        <v>52</v>
      </c>
      <c r="B18">
        <v>16500</v>
      </c>
      <c r="C18">
        <v>17000</v>
      </c>
      <c r="D18">
        <v>500</v>
      </c>
      <c r="E18" t="s">
        <v>184</v>
      </c>
      <c r="F18" s="82">
        <v>42296</v>
      </c>
      <c r="G18" t="s">
        <v>208</v>
      </c>
      <c r="H18">
        <v>1</v>
      </c>
      <c r="I18">
        <v>16500</v>
      </c>
      <c r="J18">
        <v>17000</v>
      </c>
      <c r="K18">
        <v>500</v>
      </c>
      <c r="L18">
        <v>0</v>
      </c>
    </row>
    <row r="19" spans="1:12" x14ac:dyDescent="0.25">
      <c r="A19">
        <v>51</v>
      </c>
      <c r="B19">
        <v>17000</v>
      </c>
      <c r="C19">
        <v>17500</v>
      </c>
      <c r="D19">
        <v>500</v>
      </c>
      <c r="E19" t="s">
        <v>184</v>
      </c>
      <c r="F19" s="82">
        <v>42294</v>
      </c>
      <c r="G19" t="s">
        <v>208</v>
      </c>
      <c r="H19">
        <v>1</v>
      </c>
      <c r="I19">
        <v>17000</v>
      </c>
      <c r="J19">
        <v>17500</v>
      </c>
      <c r="K19">
        <v>500</v>
      </c>
      <c r="L19">
        <v>0</v>
      </c>
    </row>
    <row r="20" spans="1:12" x14ac:dyDescent="0.25">
      <c r="A20">
        <v>50</v>
      </c>
      <c r="B20">
        <v>17500</v>
      </c>
      <c r="C20">
        <v>19500</v>
      </c>
      <c r="D20">
        <v>2000</v>
      </c>
      <c r="E20" t="s">
        <v>184</v>
      </c>
      <c r="F20" s="82">
        <v>42293</v>
      </c>
      <c r="G20" t="s">
        <v>208</v>
      </c>
      <c r="H20">
        <v>1</v>
      </c>
      <c r="I20">
        <v>17500</v>
      </c>
      <c r="J20">
        <v>19500</v>
      </c>
      <c r="K20">
        <v>2000</v>
      </c>
      <c r="L20">
        <v>0</v>
      </c>
    </row>
    <row r="21" spans="1:12" x14ac:dyDescent="0.25">
      <c r="A21">
        <v>49</v>
      </c>
      <c r="B21">
        <v>19500</v>
      </c>
      <c r="C21">
        <v>21000</v>
      </c>
      <c r="D21">
        <v>1500</v>
      </c>
      <c r="E21" t="s">
        <v>184</v>
      </c>
      <c r="F21" s="82">
        <v>42292</v>
      </c>
      <c r="G21" t="s">
        <v>208</v>
      </c>
      <c r="H21">
        <v>1</v>
      </c>
      <c r="I21">
        <v>19500</v>
      </c>
      <c r="J21">
        <v>21000</v>
      </c>
      <c r="K21">
        <v>1500</v>
      </c>
      <c r="L21">
        <v>0</v>
      </c>
    </row>
    <row r="22" spans="1:12" x14ac:dyDescent="0.25">
      <c r="A22">
        <v>48</v>
      </c>
      <c r="B22">
        <v>21000</v>
      </c>
      <c r="C22">
        <v>21500</v>
      </c>
      <c r="D22">
        <v>500</v>
      </c>
      <c r="E22" t="s">
        <v>184</v>
      </c>
      <c r="F22" s="82">
        <v>42291</v>
      </c>
      <c r="G22" t="s">
        <v>208</v>
      </c>
      <c r="H22">
        <v>1</v>
      </c>
      <c r="I22">
        <v>21000</v>
      </c>
      <c r="J22">
        <v>21500</v>
      </c>
      <c r="K22">
        <v>500</v>
      </c>
      <c r="L22">
        <v>0</v>
      </c>
    </row>
    <row r="23" spans="1:12" x14ac:dyDescent="0.25">
      <c r="A23">
        <v>47</v>
      </c>
      <c r="B23">
        <v>21500</v>
      </c>
      <c r="C23">
        <v>23100</v>
      </c>
      <c r="D23">
        <v>1600</v>
      </c>
      <c r="E23" t="s">
        <v>184</v>
      </c>
      <c r="F23" s="82">
        <v>42290</v>
      </c>
      <c r="G23" t="s">
        <v>208</v>
      </c>
      <c r="H23">
        <v>1</v>
      </c>
      <c r="I23">
        <v>21500</v>
      </c>
      <c r="J23">
        <v>23100</v>
      </c>
      <c r="K23">
        <v>1600</v>
      </c>
      <c r="L23">
        <v>0</v>
      </c>
    </row>
    <row r="24" spans="1:12" x14ac:dyDescent="0.25">
      <c r="A24">
        <v>44</v>
      </c>
      <c r="B24">
        <v>23100</v>
      </c>
      <c r="C24">
        <v>23200</v>
      </c>
      <c r="D24">
        <v>100</v>
      </c>
      <c r="E24" t="s">
        <v>184</v>
      </c>
      <c r="F24" s="82">
        <v>42285</v>
      </c>
      <c r="G24" t="s">
        <v>208</v>
      </c>
      <c r="H24">
        <v>1</v>
      </c>
      <c r="I24">
        <v>23100</v>
      </c>
      <c r="J24">
        <v>23200</v>
      </c>
      <c r="K24">
        <v>100</v>
      </c>
      <c r="L24">
        <v>0</v>
      </c>
    </row>
    <row r="25" spans="1:12" x14ac:dyDescent="0.25">
      <c r="A25">
        <v>43</v>
      </c>
      <c r="B25">
        <v>23200</v>
      </c>
      <c r="C25">
        <v>24200</v>
      </c>
      <c r="D25">
        <v>1000</v>
      </c>
      <c r="E25" t="s">
        <v>184</v>
      </c>
      <c r="F25" s="82">
        <v>42282</v>
      </c>
      <c r="G25" t="s">
        <v>208</v>
      </c>
      <c r="H25">
        <v>1</v>
      </c>
      <c r="I25">
        <v>23200</v>
      </c>
      <c r="J25">
        <v>24200</v>
      </c>
      <c r="K25">
        <v>1000</v>
      </c>
      <c r="L25">
        <v>0</v>
      </c>
    </row>
    <row r="26" spans="1:12" x14ac:dyDescent="0.25">
      <c r="A26">
        <v>45</v>
      </c>
      <c r="B26">
        <v>24200</v>
      </c>
      <c r="C26">
        <v>24500</v>
      </c>
      <c r="D26">
        <v>300</v>
      </c>
      <c r="E26" t="s">
        <v>184</v>
      </c>
      <c r="F26" s="82">
        <v>42286</v>
      </c>
      <c r="G26" t="s">
        <v>208</v>
      </c>
      <c r="H26">
        <v>1</v>
      </c>
      <c r="I26">
        <v>24200</v>
      </c>
      <c r="J26">
        <v>24500</v>
      </c>
      <c r="K26">
        <v>300</v>
      </c>
      <c r="L26">
        <v>0</v>
      </c>
    </row>
    <row r="27" spans="1:12" x14ac:dyDescent="0.25">
      <c r="A27">
        <v>46</v>
      </c>
      <c r="B27">
        <v>24500</v>
      </c>
      <c r="C27">
        <v>24700</v>
      </c>
      <c r="D27">
        <v>200</v>
      </c>
      <c r="E27" t="s">
        <v>184</v>
      </c>
      <c r="F27" s="82">
        <v>42287</v>
      </c>
      <c r="G27" t="s">
        <v>208</v>
      </c>
      <c r="H27">
        <v>1</v>
      </c>
      <c r="I27">
        <v>24500</v>
      </c>
      <c r="J27">
        <v>24700</v>
      </c>
      <c r="K27">
        <v>200</v>
      </c>
      <c r="L27">
        <v>0</v>
      </c>
    </row>
    <row r="28" spans="1:12" x14ac:dyDescent="0.25">
      <c r="B28">
        <v>24700</v>
      </c>
      <c r="C28">
        <v>287500</v>
      </c>
      <c r="D28">
        <v>262800</v>
      </c>
      <c r="E28" t="s">
        <v>184</v>
      </c>
      <c r="G28" t="s">
        <v>193</v>
      </c>
    </row>
    <row r="29" spans="1:12" x14ac:dyDescent="0.25">
      <c r="A29">
        <v>40</v>
      </c>
      <c r="B29">
        <v>0</v>
      </c>
      <c r="C29">
        <v>300</v>
      </c>
      <c r="D29">
        <v>300</v>
      </c>
      <c r="E29" t="s">
        <v>179</v>
      </c>
      <c r="F29" s="82">
        <v>42308</v>
      </c>
      <c r="G29" t="s">
        <v>211</v>
      </c>
      <c r="H29">
        <v>3</v>
      </c>
      <c r="I29">
        <v>0</v>
      </c>
      <c r="J29">
        <v>300</v>
      </c>
      <c r="K29">
        <v>300</v>
      </c>
      <c r="L29">
        <v>0</v>
      </c>
    </row>
    <row r="30" spans="1:12" x14ac:dyDescent="0.25">
      <c r="A30">
        <v>29</v>
      </c>
      <c r="B30">
        <v>300</v>
      </c>
      <c r="C30">
        <v>600</v>
      </c>
      <c r="D30">
        <v>300</v>
      </c>
      <c r="E30" t="s">
        <v>179</v>
      </c>
      <c r="F30" s="82">
        <v>42298</v>
      </c>
      <c r="G30" t="s">
        <v>211</v>
      </c>
      <c r="H30">
        <v>1</v>
      </c>
      <c r="I30">
        <v>300</v>
      </c>
      <c r="J30">
        <v>600</v>
      </c>
      <c r="K30">
        <v>300</v>
      </c>
      <c r="L30">
        <v>0</v>
      </c>
    </row>
    <row r="31" spans="1:12" x14ac:dyDescent="0.25">
      <c r="A31">
        <v>30</v>
      </c>
      <c r="B31">
        <v>600</v>
      </c>
      <c r="C31">
        <v>900</v>
      </c>
      <c r="D31">
        <v>300</v>
      </c>
      <c r="E31" t="s">
        <v>179</v>
      </c>
      <c r="F31" s="82">
        <v>42299</v>
      </c>
      <c r="G31" t="s">
        <v>211</v>
      </c>
      <c r="H31">
        <v>1</v>
      </c>
      <c r="I31">
        <v>600</v>
      </c>
      <c r="J31">
        <v>900</v>
      </c>
      <c r="K31">
        <v>300</v>
      </c>
      <c r="L31">
        <v>0</v>
      </c>
    </row>
    <row r="32" spans="1:12" x14ac:dyDescent="0.25">
      <c r="B32">
        <v>900</v>
      </c>
      <c r="C32">
        <v>1300</v>
      </c>
      <c r="D32">
        <v>400</v>
      </c>
      <c r="E32" t="s">
        <v>179</v>
      </c>
      <c r="G32" t="s">
        <v>193</v>
      </c>
    </row>
    <row r="33" spans="1:12" x14ac:dyDescent="0.25">
      <c r="A33">
        <v>31</v>
      </c>
      <c r="B33">
        <v>1300</v>
      </c>
      <c r="C33">
        <v>1700</v>
      </c>
      <c r="D33">
        <v>400</v>
      </c>
      <c r="E33" t="s">
        <v>179</v>
      </c>
      <c r="F33" s="82">
        <v>42300</v>
      </c>
      <c r="G33" t="s">
        <v>211</v>
      </c>
      <c r="H33">
        <v>1</v>
      </c>
      <c r="I33">
        <v>1300</v>
      </c>
      <c r="J33">
        <v>1700</v>
      </c>
      <c r="K33">
        <v>400</v>
      </c>
      <c r="L33">
        <v>0</v>
      </c>
    </row>
    <row r="34" spans="1:12" x14ac:dyDescent="0.25">
      <c r="B34">
        <v>1700</v>
      </c>
      <c r="C34">
        <v>2500</v>
      </c>
      <c r="D34">
        <v>800</v>
      </c>
      <c r="E34" t="s">
        <v>179</v>
      </c>
      <c r="G34" t="s">
        <v>193</v>
      </c>
    </row>
    <row r="35" spans="1:12" x14ac:dyDescent="0.25">
      <c r="A35">
        <v>33</v>
      </c>
      <c r="B35">
        <v>2500</v>
      </c>
      <c r="C35">
        <v>2800</v>
      </c>
      <c r="D35">
        <v>300</v>
      </c>
      <c r="E35" t="s">
        <v>179</v>
      </c>
      <c r="F35" s="82">
        <v>42303</v>
      </c>
      <c r="G35" t="s">
        <v>211</v>
      </c>
      <c r="H35">
        <v>1</v>
      </c>
      <c r="I35">
        <v>2500</v>
      </c>
      <c r="J35">
        <v>2800</v>
      </c>
      <c r="K35">
        <v>300</v>
      </c>
      <c r="L35">
        <v>0</v>
      </c>
    </row>
    <row r="36" spans="1:12" x14ac:dyDescent="0.25">
      <c r="A36">
        <v>34</v>
      </c>
      <c r="B36">
        <v>2800</v>
      </c>
      <c r="C36">
        <v>3000</v>
      </c>
      <c r="D36">
        <v>200</v>
      </c>
      <c r="E36" t="s">
        <v>179</v>
      </c>
      <c r="F36" s="82">
        <v>42304</v>
      </c>
      <c r="G36" t="s">
        <v>211</v>
      </c>
      <c r="H36">
        <v>1</v>
      </c>
      <c r="I36">
        <v>2800</v>
      </c>
      <c r="J36">
        <v>3000</v>
      </c>
      <c r="K36">
        <v>200</v>
      </c>
      <c r="L36">
        <v>0</v>
      </c>
    </row>
    <row r="37" spans="1:12" x14ac:dyDescent="0.25">
      <c r="A37">
        <v>35</v>
      </c>
      <c r="B37">
        <v>3000</v>
      </c>
      <c r="C37">
        <v>3300</v>
      </c>
      <c r="D37">
        <v>300</v>
      </c>
      <c r="E37" t="s">
        <v>179</v>
      </c>
      <c r="F37" s="82">
        <v>42305</v>
      </c>
      <c r="G37" t="s">
        <v>211</v>
      </c>
      <c r="H37">
        <v>1</v>
      </c>
      <c r="I37">
        <v>3000</v>
      </c>
      <c r="J37">
        <v>3300</v>
      </c>
      <c r="K37">
        <v>300</v>
      </c>
      <c r="L37">
        <v>0</v>
      </c>
    </row>
    <row r="38" spans="1:12" x14ac:dyDescent="0.25">
      <c r="A38">
        <v>36</v>
      </c>
      <c r="B38">
        <v>3300</v>
      </c>
      <c r="C38">
        <v>3400</v>
      </c>
      <c r="D38">
        <v>100</v>
      </c>
      <c r="E38" t="s">
        <v>179</v>
      </c>
      <c r="F38" s="82">
        <v>42306</v>
      </c>
      <c r="G38" t="s">
        <v>211</v>
      </c>
      <c r="H38">
        <v>1</v>
      </c>
      <c r="I38">
        <v>3300</v>
      </c>
      <c r="J38">
        <v>3400</v>
      </c>
      <c r="K38">
        <v>100</v>
      </c>
      <c r="L38">
        <v>0</v>
      </c>
    </row>
    <row r="39" spans="1:12" x14ac:dyDescent="0.25">
      <c r="A39">
        <v>37</v>
      </c>
      <c r="B39">
        <v>3400</v>
      </c>
      <c r="C39">
        <v>3600</v>
      </c>
      <c r="D39">
        <v>200</v>
      </c>
      <c r="E39" t="s">
        <v>179</v>
      </c>
      <c r="F39" s="82">
        <v>42307</v>
      </c>
      <c r="G39" t="s">
        <v>211</v>
      </c>
      <c r="H39">
        <v>1</v>
      </c>
      <c r="I39">
        <v>3400</v>
      </c>
      <c r="J39">
        <v>3600</v>
      </c>
      <c r="K39">
        <v>200</v>
      </c>
      <c r="L39">
        <v>0</v>
      </c>
    </row>
    <row r="40" spans="1:12" x14ac:dyDescent="0.25">
      <c r="B40">
        <v>3600</v>
      </c>
      <c r="C40">
        <v>4500</v>
      </c>
      <c r="D40">
        <v>900</v>
      </c>
      <c r="E40" t="s">
        <v>179</v>
      </c>
      <c r="G40" t="s">
        <v>193</v>
      </c>
    </row>
    <row r="41" spans="1:12" x14ac:dyDescent="0.25">
      <c r="A41">
        <v>38</v>
      </c>
      <c r="B41">
        <v>4500</v>
      </c>
      <c r="C41">
        <v>4700</v>
      </c>
      <c r="D41">
        <v>200</v>
      </c>
      <c r="E41" t="s">
        <v>179</v>
      </c>
      <c r="F41" s="82">
        <v>42308</v>
      </c>
      <c r="G41" t="s">
        <v>211</v>
      </c>
      <c r="H41">
        <v>2</v>
      </c>
      <c r="I41">
        <v>4500</v>
      </c>
      <c r="J41">
        <v>4700</v>
      </c>
      <c r="K41">
        <v>200</v>
      </c>
      <c r="L41">
        <v>0</v>
      </c>
    </row>
    <row r="42" spans="1:12" x14ac:dyDescent="0.25">
      <c r="A42">
        <v>42</v>
      </c>
      <c r="B42">
        <v>4700</v>
      </c>
      <c r="C42">
        <v>5300</v>
      </c>
      <c r="D42">
        <v>600</v>
      </c>
      <c r="E42" t="s">
        <v>179</v>
      </c>
      <c r="F42" s="82">
        <v>42311</v>
      </c>
      <c r="G42" t="s">
        <v>211</v>
      </c>
      <c r="H42">
        <v>1</v>
      </c>
      <c r="I42">
        <v>4700</v>
      </c>
      <c r="J42">
        <v>5300</v>
      </c>
      <c r="K42">
        <v>600</v>
      </c>
      <c r="L42">
        <v>0</v>
      </c>
    </row>
    <row r="43" spans="1:12" x14ac:dyDescent="0.25">
      <c r="B43">
        <v>5300</v>
      </c>
      <c r="C43">
        <v>5700</v>
      </c>
      <c r="D43">
        <v>400</v>
      </c>
      <c r="E43" t="s">
        <v>179</v>
      </c>
      <c r="G43" t="s">
        <v>193</v>
      </c>
    </row>
    <row r="44" spans="1:12" x14ac:dyDescent="0.25">
      <c r="A44">
        <v>41</v>
      </c>
      <c r="B44">
        <v>5700</v>
      </c>
      <c r="C44">
        <v>6000</v>
      </c>
      <c r="D44">
        <v>300</v>
      </c>
      <c r="E44" t="s">
        <v>179</v>
      </c>
      <c r="F44" s="82">
        <v>42308</v>
      </c>
      <c r="G44" t="s">
        <v>211</v>
      </c>
      <c r="H44">
        <v>4</v>
      </c>
      <c r="I44">
        <v>5700</v>
      </c>
      <c r="J44">
        <v>6000</v>
      </c>
      <c r="K44">
        <v>300</v>
      </c>
      <c r="L44">
        <v>0</v>
      </c>
    </row>
    <row r="45" spans="1:12" x14ac:dyDescent="0.25">
      <c r="A45">
        <v>26</v>
      </c>
      <c r="B45">
        <v>6000</v>
      </c>
      <c r="C45">
        <v>6700</v>
      </c>
      <c r="D45">
        <v>700</v>
      </c>
      <c r="E45" t="s">
        <v>179</v>
      </c>
      <c r="F45" s="82">
        <v>42294</v>
      </c>
      <c r="G45" t="s">
        <v>211</v>
      </c>
      <c r="H45">
        <v>1</v>
      </c>
      <c r="I45">
        <v>6000</v>
      </c>
      <c r="J45">
        <v>6700</v>
      </c>
      <c r="K45">
        <v>700</v>
      </c>
      <c r="L45">
        <v>0</v>
      </c>
    </row>
    <row r="46" spans="1:12" x14ac:dyDescent="0.25">
      <c r="B46">
        <v>6700</v>
      </c>
      <c r="C46">
        <v>7000</v>
      </c>
      <c r="D46">
        <v>300</v>
      </c>
      <c r="E46" t="s">
        <v>179</v>
      </c>
      <c r="G46" t="s">
        <v>193</v>
      </c>
    </row>
    <row r="47" spans="1:12" x14ac:dyDescent="0.25">
      <c r="A47">
        <v>39</v>
      </c>
      <c r="B47">
        <v>7000</v>
      </c>
      <c r="C47">
        <v>7400</v>
      </c>
      <c r="D47">
        <v>400</v>
      </c>
      <c r="E47" t="s">
        <v>179</v>
      </c>
      <c r="F47" s="82">
        <v>42308</v>
      </c>
      <c r="G47" t="s">
        <v>211</v>
      </c>
      <c r="H47">
        <v>1</v>
      </c>
      <c r="I47">
        <v>7000</v>
      </c>
      <c r="J47">
        <v>7400</v>
      </c>
      <c r="K47">
        <v>400</v>
      </c>
      <c r="L47">
        <v>0</v>
      </c>
    </row>
    <row r="48" spans="1:12" x14ac:dyDescent="0.25">
      <c r="B48">
        <v>7400</v>
      </c>
      <c r="C48">
        <v>7500</v>
      </c>
      <c r="D48">
        <v>100</v>
      </c>
      <c r="E48" t="s">
        <v>179</v>
      </c>
      <c r="G48" t="s">
        <v>193</v>
      </c>
    </row>
    <row r="49" spans="1:12" x14ac:dyDescent="0.25">
      <c r="A49">
        <v>24</v>
      </c>
      <c r="B49">
        <v>7500</v>
      </c>
      <c r="C49">
        <v>8400</v>
      </c>
      <c r="D49">
        <v>900</v>
      </c>
      <c r="E49" t="s">
        <v>179</v>
      </c>
      <c r="F49" s="82">
        <v>42293</v>
      </c>
      <c r="G49" t="s">
        <v>211</v>
      </c>
      <c r="H49">
        <v>1</v>
      </c>
      <c r="I49">
        <v>7500</v>
      </c>
      <c r="J49">
        <v>8400</v>
      </c>
      <c r="K49">
        <v>900</v>
      </c>
      <c r="L49">
        <v>0</v>
      </c>
    </row>
    <row r="50" spans="1:12" x14ac:dyDescent="0.25">
      <c r="A50">
        <v>22</v>
      </c>
      <c r="B50">
        <v>8400</v>
      </c>
      <c r="C50">
        <v>9100</v>
      </c>
      <c r="D50">
        <v>700</v>
      </c>
      <c r="E50" t="s">
        <v>179</v>
      </c>
      <c r="F50" s="82">
        <v>42292</v>
      </c>
      <c r="G50" t="s">
        <v>211</v>
      </c>
      <c r="H50">
        <v>1</v>
      </c>
      <c r="I50">
        <v>8400</v>
      </c>
      <c r="J50">
        <v>9100</v>
      </c>
      <c r="K50">
        <v>700</v>
      </c>
      <c r="L50">
        <v>0</v>
      </c>
    </row>
    <row r="51" spans="1:12" x14ac:dyDescent="0.25">
      <c r="A51">
        <v>18</v>
      </c>
      <c r="B51">
        <v>9100</v>
      </c>
      <c r="C51">
        <v>9700</v>
      </c>
      <c r="D51">
        <v>600</v>
      </c>
      <c r="E51" t="s">
        <v>179</v>
      </c>
      <c r="F51" s="82">
        <v>42291</v>
      </c>
      <c r="G51" t="s">
        <v>211</v>
      </c>
      <c r="H51">
        <v>2</v>
      </c>
      <c r="I51">
        <v>9100</v>
      </c>
      <c r="J51">
        <v>9700</v>
      </c>
      <c r="K51">
        <v>600</v>
      </c>
      <c r="L51">
        <v>0</v>
      </c>
    </row>
    <row r="52" spans="1:12" x14ac:dyDescent="0.25">
      <c r="A52">
        <v>15</v>
      </c>
      <c r="B52">
        <v>9700</v>
      </c>
      <c r="C52">
        <v>10200</v>
      </c>
      <c r="D52">
        <v>500</v>
      </c>
      <c r="E52" t="s">
        <v>179</v>
      </c>
      <c r="F52" s="82">
        <v>42290</v>
      </c>
      <c r="G52" t="s">
        <v>211</v>
      </c>
      <c r="H52">
        <v>1</v>
      </c>
      <c r="I52">
        <v>9700</v>
      </c>
      <c r="J52">
        <v>10200</v>
      </c>
      <c r="K52">
        <v>500</v>
      </c>
      <c r="L52">
        <v>0</v>
      </c>
    </row>
    <row r="53" spans="1:12" x14ac:dyDescent="0.25">
      <c r="A53">
        <v>25</v>
      </c>
      <c r="B53">
        <v>10200</v>
      </c>
      <c r="C53">
        <v>10300</v>
      </c>
      <c r="D53">
        <v>100</v>
      </c>
      <c r="E53" t="s">
        <v>179</v>
      </c>
      <c r="F53" s="82">
        <v>42293</v>
      </c>
      <c r="G53" t="s">
        <v>211</v>
      </c>
      <c r="H53">
        <v>2</v>
      </c>
      <c r="I53">
        <v>9800</v>
      </c>
      <c r="J53">
        <v>10900</v>
      </c>
      <c r="K53">
        <v>1100</v>
      </c>
      <c r="L53">
        <v>1000</v>
      </c>
    </row>
    <row r="54" spans="1:12" x14ac:dyDescent="0.25">
      <c r="A54">
        <v>19</v>
      </c>
      <c r="B54">
        <v>10300</v>
      </c>
      <c r="C54">
        <v>11000</v>
      </c>
      <c r="D54">
        <v>700</v>
      </c>
      <c r="E54" t="s">
        <v>179</v>
      </c>
      <c r="F54" s="82">
        <v>42291</v>
      </c>
      <c r="G54" t="s">
        <v>211</v>
      </c>
      <c r="H54">
        <v>1</v>
      </c>
      <c r="I54">
        <v>10300</v>
      </c>
      <c r="J54">
        <v>11000</v>
      </c>
      <c r="K54">
        <v>700</v>
      </c>
      <c r="L54">
        <v>0</v>
      </c>
    </row>
    <row r="55" spans="1:12" x14ac:dyDescent="0.25">
      <c r="A55">
        <v>16</v>
      </c>
      <c r="B55">
        <v>11000</v>
      </c>
      <c r="C55">
        <v>11600</v>
      </c>
      <c r="D55">
        <v>600</v>
      </c>
      <c r="E55" t="s">
        <v>179</v>
      </c>
      <c r="F55" s="82">
        <v>42290</v>
      </c>
      <c r="G55" t="s">
        <v>211</v>
      </c>
      <c r="H55">
        <v>2</v>
      </c>
      <c r="I55">
        <v>11000</v>
      </c>
      <c r="J55">
        <v>11600</v>
      </c>
      <c r="K55">
        <v>600</v>
      </c>
      <c r="L55">
        <v>0</v>
      </c>
    </row>
    <row r="56" spans="1:12" x14ac:dyDescent="0.25">
      <c r="A56">
        <v>13</v>
      </c>
      <c r="B56">
        <v>11600</v>
      </c>
      <c r="C56">
        <v>12200</v>
      </c>
      <c r="D56">
        <v>600</v>
      </c>
      <c r="E56" t="s">
        <v>179</v>
      </c>
      <c r="F56" s="82">
        <v>42287</v>
      </c>
      <c r="G56" t="s">
        <v>211</v>
      </c>
      <c r="H56">
        <v>1</v>
      </c>
      <c r="I56">
        <v>11600</v>
      </c>
      <c r="J56">
        <v>12300</v>
      </c>
      <c r="K56">
        <v>700</v>
      </c>
      <c r="L56">
        <v>100</v>
      </c>
    </row>
    <row r="57" spans="1:12" x14ac:dyDescent="0.25">
      <c r="A57">
        <v>3</v>
      </c>
      <c r="B57">
        <v>12200</v>
      </c>
      <c r="C57">
        <v>12800</v>
      </c>
      <c r="D57">
        <v>600</v>
      </c>
      <c r="E57" t="s">
        <v>179</v>
      </c>
      <c r="F57" s="82">
        <v>42283</v>
      </c>
      <c r="G57" t="s">
        <v>211</v>
      </c>
      <c r="H57">
        <v>2</v>
      </c>
      <c r="I57">
        <v>12200</v>
      </c>
      <c r="J57">
        <v>12800</v>
      </c>
      <c r="K57">
        <v>600</v>
      </c>
      <c r="L57">
        <v>0</v>
      </c>
    </row>
    <row r="58" spans="1:12" x14ac:dyDescent="0.25">
      <c r="A58">
        <v>7</v>
      </c>
      <c r="B58">
        <v>12800</v>
      </c>
      <c r="C58">
        <v>13100</v>
      </c>
      <c r="D58">
        <v>300</v>
      </c>
      <c r="E58" t="s">
        <v>179</v>
      </c>
      <c r="F58" s="82">
        <v>42284</v>
      </c>
      <c r="G58" t="s">
        <v>211</v>
      </c>
      <c r="H58">
        <v>1</v>
      </c>
      <c r="I58">
        <v>12800</v>
      </c>
      <c r="J58">
        <v>13100</v>
      </c>
      <c r="K58">
        <v>300</v>
      </c>
      <c r="L58">
        <v>0</v>
      </c>
    </row>
    <row r="59" spans="1:12" x14ac:dyDescent="0.25">
      <c r="A59">
        <v>9</v>
      </c>
      <c r="B59">
        <v>13100</v>
      </c>
      <c r="C59">
        <v>14100</v>
      </c>
      <c r="D59">
        <v>1000</v>
      </c>
      <c r="E59" t="s">
        <v>179</v>
      </c>
      <c r="F59" s="82">
        <v>42285</v>
      </c>
      <c r="G59" t="s">
        <v>211</v>
      </c>
      <c r="H59">
        <v>1</v>
      </c>
      <c r="I59">
        <v>13100</v>
      </c>
      <c r="J59">
        <v>14100</v>
      </c>
      <c r="K59">
        <v>1000</v>
      </c>
      <c r="L59">
        <v>0</v>
      </c>
    </row>
    <row r="60" spans="1:12" x14ac:dyDescent="0.25">
      <c r="A60">
        <v>11</v>
      </c>
      <c r="B60">
        <v>14100</v>
      </c>
      <c r="C60">
        <v>14900</v>
      </c>
      <c r="D60">
        <v>800</v>
      </c>
      <c r="E60" t="s">
        <v>179</v>
      </c>
      <c r="F60" s="82">
        <v>42286</v>
      </c>
      <c r="G60" t="s">
        <v>211</v>
      </c>
      <c r="H60">
        <v>1</v>
      </c>
      <c r="I60">
        <v>14100</v>
      </c>
      <c r="J60">
        <v>14900</v>
      </c>
      <c r="K60">
        <v>800</v>
      </c>
      <c r="L60">
        <v>0</v>
      </c>
    </row>
    <row r="61" spans="1:12" x14ac:dyDescent="0.25">
      <c r="A61">
        <v>32</v>
      </c>
      <c r="B61">
        <v>14900</v>
      </c>
      <c r="C61">
        <v>15300</v>
      </c>
      <c r="D61">
        <v>400</v>
      </c>
      <c r="E61" t="s">
        <v>179</v>
      </c>
      <c r="F61" s="82">
        <v>42301</v>
      </c>
      <c r="G61" t="s">
        <v>211</v>
      </c>
      <c r="H61">
        <v>1</v>
      </c>
      <c r="I61">
        <v>14900</v>
      </c>
      <c r="J61">
        <v>15300</v>
      </c>
      <c r="K61">
        <v>400</v>
      </c>
      <c r="L61">
        <v>0</v>
      </c>
    </row>
    <row r="62" spans="1:12" x14ac:dyDescent="0.25">
      <c r="A62">
        <v>28</v>
      </c>
      <c r="B62">
        <v>15300</v>
      </c>
      <c r="C62">
        <v>15800</v>
      </c>
      <c r="D62">
        <v>500</v>
      </c>
      <c r="E62" t="s">
        <v>179</v>
      </c>
      <c r="F62" s="82">
        <v>42297</v>
      </c>
      <c r="G62" t="s">
        <v>211</v>
      </c>
      <c r="H62">
        <v>1</v>
      </c>
      <c r="I62">
        <v>15300</v>
      </c>
      <c r="J62">
        <v>15800</v>
      </c>
      <c r="K62">
        <v>500</v>
      </c>
      <c r="L62">
        <v>0</v>
      </c>
    </row>
    <row r="63" spans="1:12" x14ac:dyDescent="0.25">
      <c r="B63">
        <v>15800</v>
      </c>
      <c r="C63">
        <v>16300</v>
      </c>
      <c r="D63">
        <v>500</v>
      </c>
      <c r="E63" t="s">
        <v>179</v>
      </c>
      <c r="G63" t="s">
        <v>193</v>
      </c>
    </row>
    <row r="64" spans="1:12" x14ac:dyDescent="0.25">
      <c r="A64">
        <v>27</v>
      </c>
      <c r="B64">
        <v>16300</v>
      </c>
      <c r="C64">
        <v>17000</v>
      </c>
      <c r="D64">
        <v>700</v>
      </c>
      <c r="E64" t="s">
        <v>179</v>
      </c>
      <c r="F64" s="82">
        <v>42296</v>
      </c>
      <c r="G64" t="s">
        <v>211</v>
      </c>
      <c r="H64">
        <v>1</v>
      </c>
      <c r="I64">
        <v>16300</v>
      </c>
      <c r="J64">
        <v>17000</v>
      </c>
      <c r="K64">
        <v>700</v>
      </c>
      <c r="L64">
        <v>0</v>
      </c>
    </row>
    <row r="65" spans="1:12" x14ac:dyDescent="0.25">
      <c r="A65">
        <v>8</v>
      </c>
      <c r="B65">
        <v>17000</v>
      </c>
      <c r="C65">
        <v>17600</v>
      </c>
      <c r="D65">
        <v>600</v>
      </c>
      <c r="E65" t="s">
        <v>179</v>
      </c>
      <c r="F65" s="82">
        <v>42284</v>
      </c>
      <c r="G65" t="s">
        <v>211</v>
      </c>
      <c r="H65">
        <v>2</v>
      </c>
      <c r="I65">
        <v>17000</v>
      </c>
      <c r="J65">
        <v>19000</v>
      </c>
      <c r="K65">
        <v>2000</v>
      </c>
      <c r="L65">
        <v>1400</v>
      </c>
    </row>
    <row r="66" spans="1:12" x14ac:dyDescent="0.25">
      <c r="A66">
        <v>2</v>
      </c>
      <c r="B66">
        <v>17600</v>
      </c>
      <c r="C66">
        <v>19100</v>
      </c>
      <c r="D66">
        <v>1500</v>
      </c>
      <c r="E66" t="s">
        <v>179</v>
      </c>
      <c r="F66" s="82">
        <v>42283</v>
      </c>
      <c r="G66" t="s">
        <v>211</v>
      </c>
      <c r="H66">
        <v>1</v>
      </c>
      <c r="I66">
        <v>17600</v>
      </c>
      <c r="J66">
        <v>19100</v>
      </c>
      <c r="K66">
        <v>1500</v>
      </c>
      <c r="L66">
        <v>0</v>
      </c>
    </row>
    <row r="67" spans="1:12" x14ac:dyDescent="0.25">
      <c r="A67">
        <v>1</v>
      </c>
      <c r="B67">
        <v>19100</v>
      </c>
      <c r="C67">
        <v>19900</v>
      </c>
      <c r="D67">
        <v>800</v>
      </c>
      <c r="E67" t="s">
        <v>179</v>
      </c>
      <c r="F67" s="82">
        <v>42282</v>
      </c>
      <c r="G67" t="s">
        <v>211</v>
      </c>
      <c r="H67">
        <v>1</v>
      </c>
      <c r="I67">
        <v>19100</v>
      </c>
      <c r="J67">
        <v>19900</v>
      </c>
      <c r="K67">
        <v>800</v>
      </c>
      <c r="L67">
        <v>0</v>
      </c>
    </row>
    <row r="68" spans="1:12" x14ac:dyDescent="0.25">
      <c r="B68">
        <v>19900</v>
      </c>
      <c r="C68">
        <v>24000</v>
      </c>
      <c r="D68">
        <v>4100</v>
      </c>
      <c r="E68" t="s">
        <v>179</v>
      </c>
      <c r="G68" t="s">
        <v>193</v>
      </c>
    </row>
    <row r="69" spans="1:12" x14ac:dyDescent="0.25">
      <c r="A69">
        <v>5</v>
      </c>
      <c r="B69">
        <v>24000</v>
      </c>
      <c r="C69">
        <v>24200</v>
      </c>
      <c r="D69">
        <v>200</v>
      </c>
      <c r="E69" t="s">
        <v>179</v>
      </c>
      <c r="F69" s="82">
        <v>42283</v>
      </c>
      <c r="G69" t="s">
        <v>211</v>
      </c>
      <c r="H69">
        <v>3</v>
      </c>
      <c r="I69">
        <v>24000</v>
      </c>
      <c r="J69">
        <v>24200</v>
      </c>
      <c r="K69">
        <v>200</v>
      </c>
      <c r="L69">
        <v>0</v>
      </c>
    </row>
    <row r="70" spans="1:12" x14ac:dyDescent="0.25">
      <c r="B70">
        <v>24200</v>
      </c>
      <c r="C70">
        <v>287500</v>
      </c>
      <c r="D70">
        <v>263300</v>
      </c>
      <c r="E70" t="s">
        <v>179</v>
      </c>
      <c r="G70" t="s">
        <v>193</v>
      </c>
    </row>
    <row r="71" spans="1:12" x14ac:dyDescent="0.25">
      <c r="A71">
        <v>87</v>
      </c>
      <c r="B71">
        <v>0</v>
      </c>
      <c r="C71">
        <v>1000</v>
      </c>
      <c r="D71">
        <v>1000</v>
      </c>
      <c r="E71" t="s">
        <v>185</v>
      </c>
      <c r="F71" s="82">
        <v>42308</v>
      </c>
      <c r="G71" t="s">
        <v>208</v>
      </c>
      <c r="H71">
        <v>2</v>
      </c>
      <c r="I71">
        <v>0</v>
      </c>
      <c r="J71">
        <v>1000</v>
      </c>
      <c r="K71">
        <v>1000</v>
      </c>
      <c r="L71">
        <v>0</v>
      </c>
    </row>
    <row r="72" spans="1:12" x14ac:dyDescent="0.25">
      <c r="A72">
        <v>89</v>
      </c>
      <c r="B72">
        <v>1000</v>
      </c>
      <c r="C72">
        <v>2000</v>
      </c>
      <c r="D72">
        <v>1000</v>
      </c>
      <c r="E72" t="s">
        <v>185</v>
      </c>
      <c r="F72" s="82">
        <v>42310</v>
      </c>
      <c r="G72" t="s">
        <v>208</v>
      </c>
      <c r="H72">
        <v>2</v>
      </c>
      <c r="I72">
        <v>1000</v>
      </c>
      <c r="J72">
        <v>2000</v>
      </c>
      <c r="K72">
        <v>1000</v>
      </c>
      <c r="L72">
        <v>0</v>
      </c>
    </row>
    <row r="73" spans="1:12" x14ac:dyDescent="0.25">
      <c r="A73">
        <v>90</v>
      </c>
      <c r="B73">
        <v>2000</v>
      </c>
      <c r="C73">
        <v>3000</v>
      </c>
      <c r="D73">
        <v>1000</v>
      </c>
      <c r="E73" t="s">
        <v>185</v>
      </c>
      <c r="F73" s="82">
        <v>42311</v>
      </c>
      <c r="G73" t="s">
        <v>208</v>
      </c>
      <c r="H73">
        <v>1</v>
      </c>
      <c r="I73">
        <v>2000</v>
      </c>
      <c r="J73">
        <v>3000</v>
      </c>
      <c r="K73">
        <v>1000</v>
      </c>
      <c r="L73">
        <v>0</v>
      </c>
    </row>
    <row r="74" spans="1:12" x14ac:dyDescent="0.25">
      <c r="A74">
        <v>91</v>
      </c>
      <c r="B74">
        <v>3000</v>
      </c>
      <c r="C74">
        <v>4000</v>
      </c>
      <c r="D74">
        <v>1000</v>
      </c>
      <c r="E74" t="s">
        <v>185</v>
      </c>
      <c r="F74" s="82">
        <v>42312</v>
      </c>
      <c r="G74" t="s">
        <v>208</v>
      </c>
      <c r="H74">
        <v>1</v>
      </c>
      <c r="I74">
        <v>3000</v>
      </c>
      <c r="J74">
        <v>4000</v>
      </c>
      <c r="K74">
        <v>1000</v>
      </c>
      <c r="L74">
        <v>0</v>
      </c>
    </row>
    <row r="75" spans="1:12" x14ac:dyDescent="0.25">
      <c r="A75">
        <v>92</v>
      </c>
      <c r="B75">
        <v>4000</v>
      </c>
      <c r="C75">
        <v>5000</v>
      </c>
      <c r="D75">
        <v>1000</v>
      </c>
      <c r="E75" t="s">
        <v>185</v>
      </c>
      <c r="F75" s="82">
        <v>42313</v>
      </c>
      <c r="G75" t="s">
        <v>208</v>
      </c>
      <c r="H75">
        <v>1</v>
      </c>
      <c r="I75">
        <v>4000</v>
      </c>
      <c r="J75">
        <v>5000</v>
      </c>
      <c r="K75">
        <v>1000</v>
      </c>
      <c r="L75">
        <v>0</v>
      </c>
    </row>
    <row r="76" spans="1:12" x14ac:dyDescent="0.25">
      <c r="A76">
        <v>93</v>
      </c>
      <c r="B76">
        <v>5000</v>
      </c>
      <c r="C76">
        <v>6000</v>
      </c>
      <c r="D76">
        <v>1000</v>
      </c>
      <c r="E76" t="s">
        <v>185</v>
      </c>
      <c r="F76" s="82">
        <v>42314</v>
      </c>
      <c r="G76" t="s">
        <v>208</v>
      </c>
      <c r="H76">
        <v>1</v>
      </c>
      <c r="I76">
        <v>5000</v>
      </c>
      <c r="J76">
        <v>6000</v>
      </c>
      <c r="K76">
        <v>1000</v>
      </c>
      <c r="L76">
        <v>0</v>
      </c>
    </row>
    <row r="77" spans="1:12" x14ac:dyDescent="0.25">
      <c r="A77">
        <v>88</v>
      </c>
      <c r="B77">
        <v>6000</v>
      </c>
      <c r="C77">
        <v>7000</v>
      </c>
      <c r="D77">
        <v>1000</v>
      </c>
      <c r="E77" t="s">
        <v>185</v>
      </c>
      <c r="F77" s="82">
        <v>42310</v>
      </c>
      <c r="G77" t="s">
        <v>208</v>
      </c>
      <c r="H77">
        <v>1</v>
      </c>
      <c r="I77">
        <v>6000</v>
      </c>
      <c r="J77">
        <v>7000</v>
      </c>
      <c r="K77">
        <v>1000</v>
      </c>
      <c r="L77">
        <v>0</v>
      </c>
    </row>
    <row r="78" spans="1:12" x14ac:dyDescent="0.25">
      <c r="A78">
        <v>86</v>
      </c>
      <c r="B78">
        <v>7000</v>
      </c>
      <c r="C78">
        <v>8000</v>
      </c>
      <c r="D78">
        <v>1000</v>
      </c>
      <c r="E78" t="s">
        <v>185</v>
      </c>
      <c r="F78" s="82">
        <v>42308</v>
      </c>
      <c r="G78" t="s">
        <v>208</v>
      </c>
      <c r="H78">
        <v>1</v>
      </c>
      <c r="I78">
        <v>7000</v>
      </c>
      <c r="J78">
        <v>8000</v>
      </c>
      <c r="K78">
        <v>1000</v>
      </c>
      <c r="L78">
        <v>0</v>
      </c>
    </row>
    <row r="79" spans="1:12" x14ac:dyDescent="0.25">
      <c r="A79">
        <v>85</v>
      </c>
      <c r="B79">
        <v>8000</v>
      </c>
      <c r="C79">
        <v>10000</v>
      </c>
      <c r="D79">
        <v>2000</v>
      </c>
      <c r="E79" t="s">
        <v>185</v>
      </c>
      <c r="F79" s="82">
        <v>42307</v>
      </c>
      <c r="G79" t="s">
        <v>208</v>
      </c>
      <c r="H79">
        <v>1</v>
      </c>
      <c r="I79">
        <v>8000</v>
      </c>
      <c r="J79">
        <v>10000</v>
      </c>
      <c r="K79">
        <v>2000</v>
      </c>
      <c r="L79">
        <v>0</v>
      </c>
    </row>
    <row r="80" spans="1:12" x14ac:dyDescent="0.25">
      <c r="A80">
        <v>84</v>
      </c>
      <c r="B80">
        <v>10000</v>
      </c>
      <c r="C80">
        <v>11000</v>
      </c>
      <c r="D80">
        <v>1000</v>
      </c>
      <c r="E80" t="s">
        <v>185</v>
      </c>
      <c r="F80" s="82">
        <v>42306</v>
      </c>
      <c r="G80" t="s">
        <v>208</v>
      </c>
      <c r="H80">
        <v>1</v>
      </c>
      <c r="I80">
        <v>10000</v>
      </c>
      <c r="J80">
        <v>11000</v>
      </c>
      <c r="K80">
        <v>1000</v>
      </c>
      <c r="L80">
        <v>0</v>
      </c>
    </row>
    <row r="81" spans="1:12" x14ac:dyDescent="0.25">
      <c r="A81">
        <v>83</v>
      </c>
      <c r="B81">
        <v>11000</v>
      </c>
      <c r="C81">
        <v>12000</v>
      </c>
      <c r="D81">
        <v>1000</v>
      </c>
      <c r="E81" t="s">
        <v>185</v>
      </c>
      <c r="F81" s="82">
        <v>42305</v>
      </c>
      <c r="G81" t="s">
        <v>208</v>
      </c>
      <c r="H81">
        <v>1</v>
      </c>
      <c r="I81">
        <v>11000</v>
      </c>
      <c r="J81">
        <v>12000</v>
      </c>
      <c r="K81">
        <v>1000</v>
      </c>
      <c r="L81">
        <v>0</v>
      </c>
    </row>
    <row r="82" spans="1:12" x14ac:dyDescent="0.25">
      <c r="A82">
        <v>82</v>
      </c>
      <c r="B82">
        <v>12000</v>
      </c>
      <c r="C82">
        <v>13000</v>
      </c>
      <c r="D82">
        <v>1000</v>
      </c>
      <c r="E82" t="s">
        <v>185</v>
      </c>
      <c r="F82" s="82">
        <v>42304</v>
      </c>
      <c r="G82" t="s">
        <v>208</v>
      </c>
      <c r="H82">
        <v>1</v>
      </c>
      <c r="I82">
        <v>12000</v>
      </c>
      <c r="J82">
        <v>13000</v>
      </c>
      <c r="K82">
        <v>1000</v>
      </c>
      <c r="L82">
        <v>0</v>
      </c>
    </row>
    <row r="83" spans="1:12" x14ac:dyDescent="0.25">
      <c r="A83">
        <v>81</v>
      </c>
      <c r="B83">
        <v>13000</v>
      </c>
      <c r="C83">
        <v>14800</v>
      </c>
      <c r="D83">
        <v>1800</v>
      </c>
      <c r="E83" t="s">
        <v>185</v>
      </c>
      <c r="F83" s="82">
        <v>42303</v>
      </c>
      <c r="G83" t="s">
        <v>208</v>
      </c>
      <c r="H83">
        <v>1</v>
      </c>
      <c r="I83">
        <v>13000</v>
      </c>
      <c r="J83">
        <v>14800</v>
      </c>
      <c r="K83">
        <v>1800</v>
      </c>
      <c r="L83">
        <v>0</v>
      </c>
    </row>
    <row r="84" spans="1:12" x14ac:dyDescent="0.25">
      <c r="A84">
        <v>80</v>
      </c>
      <c r="B84">
        <v>14800</v>
      </c>
      <c r="C84">
        <v>15300</v>
      </c>
      <c r="D84">
        <v>500</v>
      </c>
      <c r="E84" t="s">
        <v>185</v>
      </c>
      <c r="F84" s="82">
        <v>42301</v>
      </c>
      <c r="G84" t="s">
        <v>208</v>
      </c>
      <c r="H84">
        <v>1</v>
      </c>
      <c r="I84">
        <v>14800</v>
      </c>
      <c r="J84">
        <v>15300</v>
      </c>
      <c r="K84">
        <v>500</v>
      </c>
      <c r="L84">
        <v>0</v>
      </c>
    </row>
    <row r="85" spans="1:12" x14ac:dyDescent="0.25">
      <c r="A85">
        <v>79</v>
      </c>
      <c r="B85">
        <v>15300</v>
      </c>
      <c r="C85">
        <v>17000</v>
      </c>
      <c r="D85">
        <v>1700</v>
      </c>
      <c r="E85" t="s">
        <v>185</v>
      </c>
      <c r="F85" s="82">
        <v>42300</v>
      </c>
      <c r="G85" t="s">
        <v>208</v>
      </c>
      <c r="H85">
        <v>1</v>
      </c>
      <c r="I85">
        <v>15300</v>
      </c>
      <c r="J85">
        <v>17000</v>
      </c>
      <c r="K85">
        <v>1700</v>
      </c>
      <c r="L85">
        <v>0</v>
      </c>
    </row>
    <row r="86" spans="1:12" x14ac:dyDescent="0.25">
      <c r="A86">
        <v>78</v>
      </c>
      <c r="B86">
        <v>17000</v>
      </c>
      <c r="C86">
        <v>18000</v>
      </c>
      <c r="D86">
        <v>1000</v>
      </c>
      <c r="E86" t="s">
        <v>185</v>
      </c>
      <c r="F86" s="82">
        <v>42299</v>
      </c>
      <c r="G86" t="s">
        <v>208</v>
      </c>
      <c r="H86">
        <v>1</v>
      </c>
      <c r="I86">
        <v>17000</v>
      </c>
      <c r="J86">
        <v>18000</v>
      </c>
      <c r="K86">
        <v>1000</v>
      </c>
      <c r="L86">
        <v>0</v>
      </c>
    </row>
    <row r="87" spans="1:12" x14ac:dyDescent="0.25">
      <c r="A87">
        <v>77</v>
      </c>
      <c r="B87">
        <v>18000</v>
      </c>
      <c r="C87">
        <v>18500</v>
      </c>
      <c r="D87">
        <v>500</v>
      </c>
      <c r="E87" t="s">
        <v>185</v>
      </c>
      <c r="F87" s="82">
        <v>42298</v>
      </c>
      <c r="G87" t="s">
        <v>208</v>
      </c>
      <c r="H87">
        <v>1</v>
      </c>
      <c r="I87">
        <v>18000</v>
      </c>
      <c r="J87">
        <v>18500</v>
      </c>
      <c r="K87">
        <v>500</v>
      </c>
      <c r="L87">
        <v>0</v>
      </c>
    </row>
    <row r="88" spans="1:12" x14ac:dyDescent="0.25">
      <c r="A88">
        <v>76</v>
      </c>
      <c r="B88">
        <v>18500</v>
      </c>
      <c r="C88">
        <v>19500</v>
      </c>
      <c r="D88">
        <v>1000</v>
      </c>
      <c r="E88" t="s">
        <v>185</v>
      </c>
      <c r="F88" s="82">
        <v>42297</v>
      </c>
      <c r="G88" t="s">
        <v>208</v>
      </c>
      <c r="H88">
        <v>1</v>
      </c>
      <c r="I88">
        <v>18500</v>
      </c>
      <c r="J88">
        <v>19500</v>
      </c>
      <c r="K88">
        <v>1000</v>
      </c>
      <c r="L88">
        <v>0</v>
      </c>
    </row>
    <row r="89" spans="1:12" x14ac:dyDescent="0.25">
      <c r="A89">
        <v>75</v>
      </c>
      <c r="B89">
        <v>19500</v>
      </c>
      <c r="C89">
        <v>20200</v>
      </c>
      <c r="D89">
        <v>700</v>
      </c>
      <c r="E89" t="s">
        <v>185</v>
      </c>
      <c r="F89" s="82">
        <v>42296</v>
      </c>
      <c r="G89" t="s">
        <v>208</v>
      </c>
      <c r="H89">
        <v>1</v>
      </c>
      <c r="I89">
        <v>19500</v>
      </c>
      <c r="J89">
        <v>20200</v>
      </c>
      <c r="K89">
        <v>700</v>
      </c>
      <c r="L89">
        <v>0</v>
      </c>
    </row>
    <row r="90" spans="1:12" x14ac:dyDescent="0.25">
      <c r="A90">
        <v>74</v>
      </c>
      <c r="B90">
        <v>20200</v>
      </c>
      <c r="C90">
        <v>21500</v>
      </c>
      <c r="D90">
        <v>1300</v>
      </c>
      <c r="E90" t="s">
        <v>185</v>
      </c>
      <c r="F90" s="82">
        <v>42294</v>
      </c>
      <c r="G90" t="s">
        <v>208</v>
      </c>
      <c r="H90">
        <v>1</v>
      </c>
      <c r="I90">
        <v>20200</v>
      </c>
      <c r="J90">
        <v>21500</v>
      </c>
      <c r="K90">
        <v>1300</v>
      </c>
      <c r="L90">
        <v>0</v>
      </c>
    </row>
    <row r="91" spans="1:12" x14ac:dyDescent="0.25">
      <c r="A91">
        <v>73</v>
      </c>
      <c r="B91">
        <v>21500</v>
      </c>
      <c r="C91">
        <v>22300</v>
      </c>
      <c r="D91">
        <v>800</v>
      </c>
      <c r="E91" t="s">
        <v>185</v>
      </c>
      <c r="F91" s="82">
        <v>42293</v>
      </c>
      <c r="G91" t="s">
        <v>208</v>
      </c>
      <c r="H91">
        <v>1</v>
      </c>
      <c r="I91">
        <v>21500</v>
      </c>
      <c r="J91">
        <v>22300</v>
      </c>
      <c r="K91">
        <v>800</v>
      </c>
      <c r="L91">
        <v>0</v>
      </c>
    </row>
    <row r="92" spans="1:12" x14ac:dyDescent="0.25">
      <c r="A92">
        <v>72</v>
      </c>
      <c r="B92">
        <v>22300</v>
      </c>
      <c r="C92">
        <v>23100</v>
      </c>
      <c r="D92">
        <v>800</v>
      </c>
      <c r="E92" t="s">
        <v>185</v>
      </c>
      <c r="F92" s="82">
        <v>42292</v>
      </c>
      <c r="G92" t="s">
        <v>208</v>
      </c>
      <c r="H92">
        <v>1</v>
      </c>
      <c r="I92">
        <v>22300</v>
      </c>
      <c r="J92">
        <v>23100</v>
      </c>
      <c r="K92">
        <v>800</v>
      </c>
      <c r="L92">
        <v>0</v>
      </c>
    </row>
    <row r="93" spans="1:12" x14ac:dyDescent="0.25">
      <c r="A93">
        <v>69</v>
      </c>
      <c r="B93">
        <v>23100</v>
      </c>
      <c r="C93">
        <v>24000</v>
      </c>
      <c r="D93">
        <v>900</v>
      </c>
      <c r="E93" t="s">
        <v>185</v>
      </c>
      <c r="F93" s="82">
        <v>42287</v>
      </c>
      <c r="G93" t="s">
        <v>208</v>
      </c>
      <c r="H93">
        <v>1</v>
      </c>
      <c r="I93">
        <v>23100</v>
      </c>
      <c r="J93">
        <v>24000</v>
      </c>
      <c r="K93">
        <v>900</v>
      </c>
      <c r="L93">
        <v>0</v>
      </c>
    </row>
    <row r="94" spans="1:12" x14ac:dyDescent="0.25">
      <c r="A94">
        <v>70</v>
      </c>
      <c r="B94">
        <v>24000</v>
      </c>
      <c r="C94">
        <v>24600</v>
      </c>
      <c r="D94">
        <v>600</v>
      </c>
      <c r="E94" t="s">
        <v>185</v>
      </c>
      <c r="F94" s="82">
        <v>42290</v>
      </c>
      <c r="G94" t="s">
        <v>208</v>
      </c>
      <c r="H94">
        <v>1</v>
      </c>
      <c r="I94">
        <v>24000</v>
      </c>
      <c r="J94">
        <v>24600</v>
      </c>
      <c r="K94">
        <v>600</v>
      </c>
      <c r="L94">
        <v>0</v>
      </c>
    </row>
    <row r="95" spans="1:12" x14ac:dyDescent="0.25">
      <c r="A95">
        <v>71</v>
      </c>
      <c r="B95">
        <v>24600</v>
      </c>
      <c r="C95">
        <v>24700</v>
      </c>
      <c r="D95">
        <v>100</v>
      </c>
      <c r="E95" t="s">
        <v>185</v>
      </c>
      <c r="F95" s="82">
        <v>42291</v>
      </c>
      <c r="G95" t="s">
        <v>208</v>
      </c>
      <c r="H95">
        <v>1</v>
      </c>
      <c r="I95">
        <v>24600</v>
      </c>
      <c r="J95">
        <v>24700</v>
      </c>
      <c r="K95">
        <v>100</v>
      </c>
      <c r="L95">
        <v>0</v>
      </c>
    </row>
    <row r="96" spans="1:12" x14ac:dyDescent="0.25">
      <c r="B96">
        <v>24700</v>
      </c>
      <c r="C96">
        <v>287500</v>
      </c>
      <c r="D96">
        <v>262800</v>
      </c>
      <c r="E96" t="s">
        <v>185</v>
      </c>
      <c r="G96" t="s">
        <v>193</v>
      </c>
    </row>
    <row r="97" spans="1:12" x14ac:dyDescent="0.25">
      <c r="A97">
        <v>107</v>
      </c>
      <c r="B97">
        <v>0</v>
      </c>
      <c r="C97">
        <v>2300</v>
      </c>
      <c r="D97">
        <v>2300</v>
      </c>
      <c r="E97" t="s">
        <v>187</v>
      </c>
      <c r="F97" s="82">
        <v>42314</v>
      </c>
      <c r="G97" t="s">
        <v>209</v>
      </c>
      <c r="H97">
        <v>1</v>
      </c>
      <c r="I97">
        <v>0</v>
      </c>
      <c r="J97">
        <v>2300</v>
      </c>
      <c r="K97">
        <v>2300</v>
      </c>
      <c r="L97">
        <v>0</v>
      </c>
    </row>
    <row r="98" spans="1:12" x14ac:dyDescent="0.25">
      <c r="A98">
        <v>108</v>
      </c>
      <c r="B98">
        <v>2300</v>
      </c>
      <c r="C98">
        <v>3200</v>
      </c>
      <c r="D98">
        <v>900</v>
      </c>
      <c r="E98" t="s">
        <v>187</v>
      </c>
      <c r="F98" s="82">
        <v>42317</v>
      </c>
      <c r="G98" t="s">
        <v>209</v>
      </c>
      <c r="H98">
        <v>1</v>
      </c>
      <c r="I98">
        <v>2300</v>
      </c>
      <c r="J98">
        <v>3200</v>
      </c>
      <c r="K98">
        <v>900</v>
      </c>
      <c r="L98">
        <v>0</v>
      </c>
    </row>
    <row r="99" spans="1:12" x14ac:dyDescent="0.25">
      <c r="A99">
        <v>109</v>
      </c>
      <c r="B99">
        <v>3200</v>
      </c>
      <c r="C99">
        <v>4700</v>
      </c>
      <c r="D99">
        <v>1500</v>
      </c>
      <c r="E99" t="s">
        <v>187</v>
      </c>
      <c r="F99" s="82">
        <v>42318</v>
      </c>
      <c r="G99" t="s">
        <v>209</v>
      </c>
      <c r="H99">
        <v>1</v>
      </c>
      <c r="I99">
        <v>3200</v>
      </c>
      <c r="J99">
        <v>4700</v>
      </c>
      <c r="K99">
        <v>1500</v>
      </c>
      <c r="L99">
        <v>0</v>
      </c>
    </row>
    <row r="100" spans="1:12" x14ac:dyDescent="0.25">
      <c r="A100">
        <v>111</v>
      </c>
      <c r="B100">
        <v>4700</v>
      </c>
      <c r="C100">
        <v>5200</v>
      </c>
      <c r="D100">
        <v>500</v>
      </c>
      <c r="E100" t="s">
        <v>187</v>
      </c>
      <c r="F100" s="82">
        <v>42320</v>
      </c>
      <c r="G100" t="s">
        <v>209</v>
      </c>
      <c r="H100">
        <v>1</v>
      </c>
      <c r="I100">
        <v>4700</v>
      </c>
      <c r="J100">
        <v>5200</v>
      </c>
      <c r="K100">
        <v>500</v>
      </c>
      <c r="L100">
        <v>0</v>
      </c>
    </row>
    <row r="101" spans="1:12" x14ac:dyDescent="0.25">
      <c r="A101">
        <v>110</v>
      </c>
      <c r="B101">
        <v>5200</v>
      </c>
      <c r="C101">
        <v>7500</v>
      </c>
      <c r="D101">
        <v>2300</v>
      </c>
      <c r="E101" t="s">
        <v>187</v>
      </c>
      <c r="F101" s="82">
        <v>42319</v>
      </c>
      <c r="G101" t="s">
        <v>209</v>
      </c>
      <c r="H101">
        <v>1</v>
      </c>
      <c r="I101">
        <v>5200</v>
      </c>
      <c r="J101">
        <v>7500</v>
      </c>
      <c r="K101">
        <v>2300</v>
      </c>
      <c r="L101">
        <v>0</v>
      </c>
    </row>
    <row r="102" spans="1:12" x14ac:dyDescent="0.25">
      <c r="A102">
        <v>106</v>
      </c>
      <c r="B102">
        <v>7500</v>
      </c>
      <c r="C102">
        <v>7600</v>
      </c>
      <c r="D102">
        <v>100</v>
      </c>
      <c r="E102" t="s">
        <v>187</v>
      </c>
      <c r="F102" s="82">
        <v>42313</v>
      </c>
      <c r="G102" t="s">
        <v>209</v>
      </c>
      <c r="H102">
        <v>1</v>
      </c>
      <c r="I102">
        <v>7500</v>
      </c>
      <c r="J102">
        <v>7600</v>
      </c>
      <c r="K102">
        <v>100</v>
      </c>
      <c r="L102">
        <v>0</v>
      </c>
    </row>
    <row r="103" spans="1:12" x14ac:dyDescent="0.25">
      <c r="A103">
        <v>104</v>
      </c>
      <c r="B103">
        <v>7600</v>
      </c>
      <c r="C103">
        <v>8000</v>
      </c>
      <c r="D103">
        <v>400</v>
      </c>
      <c r="E103" t="s">
        <v>187</v>
      </c>
      <c r="F103" s="82">
        <v>42312</v>
      </c>
      <c r="G103" t="s">
        <v>209</v>
      </c>
      <c r="H103">
        <v>1</v>
      </c>
      <c r="I103">
        <v>7600</v>
      </c>
      <c r="J103">
        <v>8000</v>
      </c>
      <c r="K103">
        <v>400</v>
      </c>
      <c r="L103">
        <v>0</v>
      </c>
    </row>
    <row r="104" spans="1:12" x14ac:dyDescent="0.25">
      <c r="A104">
        <v>105</v>
      </c>
      <c r="B104">
        <v>8000</v>
      </c>
      <c r="C104">
        <v>8800</v>
      </c>
      <c r="D104">
        <v>800</v>
      </c>
      <c r="E104" t="s">
        <v>187</v>
      </c>
      <c r="F104" s="82">
        <v>42313</v>
      </c>
      <c r="G104" t="s">
        <v>209</v>
      </c>
      <c r="H104">
        <v>2</v>
      </c>
      <c r="I104">
        <v>8000</v>
      </c>
      <c r="J104">
        <v>8800</v>
      </c>
      <c r="K104">
        <v>800</v>
      </c>
      <c r="L104">
        <v>0</v>
      </c>
    </row>
    <row r="105" spans="1:12" x14ac:dyDescent="0.25">
      <c r="A105">
        <v>103</v>
      </c>
      <c r="B105">
        <v>8800</v>
      </c>
      <c r="C105">
        <v>10800</v>
      </c>
      <c r="D105">
        <v>2000</v>
      </c>
      <c r="E105" t="s">
        <v>187</v>
      </c>
      <c r="F105" s="82">
        <v>42311</v>
      </c>
      <c r="G105" t="s">
        <v>209</v>
      </c>
      <c r="H105">
        <v>1</v>
      </c>
      <c r="I105">
        <v>8800</v>
      </c>
      <c r="J105">
        <v>10800</v>
      </c>
      <c r="K105">
        <v>2000</v>
      </c>
      <c r="L105">
        <v>0</v>
      </c>
    </row>
    <row r="106" spans="1:12" x14ac:dyDescent="0.25">
      <c r="A106">
        <v>102</v>
      </c>
      <c r="B106">
        <v>10800</v>
      </c>
      <c r="C106">
        <v>12400</v>
      </c>
      <c r="D106">
        <v>1600</v>
      </c>
      <c r="E106" t="s">
        <v>187</v>
      </c>
      <c r="F106" s="82">
        <v>42310</v>
      </c>
      <c r="G106" t="s">
        <v>209</v>
      </c>
      <c r="H106">
        <v>1</v>
      </c>
      <c r="I106">
        <v>10800</v>
      </c>
      <c r="J106">
        <v>12400</v>
      </c>
      <c r="K106">
        <v>1600</v>
      </c>
      <c r="L106">
        <v>0</v>
      </c>
    </row>
    <row r="107" spans="1:12" x14ac:dyDescent="0.25">
      <c r="A107">
        <v>101</v>
      </c>
      <c r="B107">
        <v>12400</v>
      </c>
      <c r="C107">
        <v>13900</v>
      </c>
      <c r="D107">
        <v>1500</v>
      </c>
      <c r="E107" t="s">
        <v>187</v>
      </c>
      <c r="F107" s="82">
        <v>42308</v>
      </c>
      <c r="G107" t="s">
        <v>209</v>
      </c>
      <c r="H107">
        <v>1</v>
      </c>
      <c r="I107">
        <v>12400</v>
      </c>
      <c r="J107">
        <v>13900</v>
      </c>
      <c r="K107">
        <v>1500</v>
      </c>
      <c r="L107">
        <v>0</v>
      </c>
    </row>
    <row r="108" spans="1:12" x14ac:dyDescent="0.25">
      <c r="A108">
        <v>100</v>
      </c>
      <c r="B108">
        <v>13900</v>
      </c>
      <c r="C108">
        <v>15500</v>
      </c>
      <c r="D108">
        <v>1600</v>
      </c>
      <c r="E108" t="s">
        <v>187</v>
      </c>
      <c r="F108" s="82">
        <v>42307</v>
      </c>
      <c r="G108" t="s">
        <v>209</v>
      </c>
      <c r="H108">
        <v>1</v>
      </c>
      <c r="I108">
        <v>13900</v>
      </c>
      <c r="J108">
        <v>15500</v>
      </c>
      <c r="K108">
        <v>1600</v>
      </c>
      <c r="L108">
        <v>0</v>
      </c>
    </row>
    <row r="109" spans="1:12" x14ac:dyDescent="0.25">
      <c r="A109">
        <v>99</v>
      </c>
      <c r="B109">
        <v>15500</v>
      </c>
      <c r="C109">
        <v>15700</v>
      </c>
      <c r="D109">
        <v>200</v>
      </c>
      <c r="E109" t="s">
        <v>187</v>
      </c>
      <c r="F109" s="82">
        <v>42306</v>
      </c>
      <c r="G109" t="s">
        <v>209</v>
      </c>
      <c r="H109">
        <v>1</v>
      </c>
      <c r="I109">
        <v>15500</v>
      </c>
      <c r="J109">
        <v>15700</v>
      </c>
      <c r="K109">
        <v>200</v>
      </c>
      <c r="L109">
        <v>0</v>
      </c>
    </row>
    <row r="110" spans="1:12" x14ac:dyDescent="0.25">
      <c r="A110">
        <v>98</v>
      </c>
      <c r="B110">
        <v>15700</v>
      </c>
      <c r="C110">
        <v>18300</v>
      </c>
      <c r="D110">
        <v>2600</v>
      </c>
      <c r="E110" t="s">
        <v>187</v>
      </c>
      <c r="F110" s="82">
        <v>42305</v>
      </c>
      <c r="G110" t="s">
        <v>209</v>
      </c>
      <c r="H110">
        <v>1</v>
      </c>
      <c r="I110">
        <v>15700</v>
      </c>
      <c r="J110">
        <v>18300</v>
      </c>
      <c r="K110">
        <v>2600</v>
      </c>
      <c r="L110">
        <v>0</v>
      </c>
    </row>
    <row r="111" spans="1:12" x14ac:dyDescent="0.25">
      <c r="A111">
        <v>97</v>
      </c>
      <c r="B111">
        <v>18300</v>
      </c>
      <c r="C111">
        <v>20200</v>
      </c>
      <c r="D111">
        <v>1900</v>
      </c>
      <c r="E111" t="s">
        <v>187</v>
      </c>
      <c r="F111" s="82">
        <v>42304</v>
      </c>
      <c r="G111" t="s">
        <v>209</v>
      </c>
      <c r="H111">
        <v>1</v>
      </c>
      <c r="I111">
        <v>18300</v>
      </c>
      <c r="J111">
        <v>20200</v>
      </c>
      <c r="K111">
        <v>1900</v>
      </c>
      <c r="L111">
        <v>0</v>
      </c>
    </row>
    <row r="112" spans="1:12" x14ac:dyDescent="0.25">
      <c r="A112">
        <v>96</v>
      </c>
      <c r="B112">
        <v>20200</v>
      </c>
      <c r="C112">
        <v>21900</v>
      </c>
      <c r="D112">
        <v>1700</v>
      </c>
      <c r="E112" t="s">
        <v>187</v>
      </c>
      <c r="F112" s="82">
        <v>42303</v>
      </c>
      <c r="G112" t="s">
        <v>209</v>
      </c>
      <c r="H112">
        <v>1</v>
      </c>
      <c r="I112">
        <v>20200</v>
      </c>
      <c r="J112">
        <v>21900</v>
      </c>
      <c r="K112">
        <v>1700</v>
      </c>
      <c r="L112">
        <v>0</v>
      </c>
    </row>
    <row r="113" spans="1:12" x14ac:dyDescent="0.25">
      <c r="A113">
        <v>95</v>
      </c>
      <c r="B113">
        <v>21900</v>
      </c>
      <c r="C113">
        <v>23500</v>
      </c>
      <c r="D113">
        <v>1600</v>
      </c>
      <c r="E113" t="s">
        <v>187</v>
      </c>
      <c r="F113" s="82">
        <v>42301</v>
      </c>
      <c r="G113" t="s">
        <v>209</v>
      </c>
      <c r="H113">
        <v>1</v>
      </c>
      <c r="I113">
        <v>21900</v>
      </c>
      <c r="J113">
        <v>23500</v>
      </c>
      <c r="K113">
        <v>1600</v>
      </c>
      <c r="L113">
        <v>0</v>
      </c>
    </row>
    <row r="114" spans="1:12" x14ac:dyDescent="0.25">
      <c r="A114">
        <v>94</v>
      </c>
      <c r="B114">
        <v>23500</v>
      </c>
      <c r="C114">
        <v>24700</v>
      </c>
      <c r="D114">
        <v>1200</v>
      </c>
      <c r="E114" t="s">
        <v>187</v>
      </c>
      <c r="F114" s="82">
        <v>42300</v>
      </c>
      <c r="G114" t="s">
        <v>209</v>
      </c>
      <c r="H114">
        <v>1</v>
      </c>
      <c r="I114">
        <v>23500</v>
      </c>
      <c r="J114">
        <v>24700</v>
      </c>
      <c r="K114">
        <v>1200</v>
      </c>
      <c r="L114">
        <v>0</v>
      </c>
    </row>
    <row r="115" spans="1:12" x14ac:dyDescent="0.25">
      <c r="B115">
        <v>24700</v>
      </c>
      <c r="C115">
        <v>287500</v>
      </c>
      <c r="D115">
        <v>262800</v>
      </c>
      <c r="E115" t="s">
        <v>187</v>
      </c>
      <c r="G115" t="s">
        <v>193</v>
      </c>
    </row>
    <row r="116" spans="1:12" x14ac:dyDescent="0.25">
      <c r="A116">
        <v>125</v>
      </c>
      <c r="B116">
        <v>0</v>
      </c>
      <c r="C116">
        <v>1000</v>
      </c>
      <c r="D116">
        <v>1000</v>
      </c>
      <c r="E116" t="s">
        <v>196</v>
      </c>
      <c r="F116" s="82">
        <v>42317</v>
      </c>
      <c r="G116" t="s">
        <v>210</v>
      </c>
      <c r="H116">
        <v>1</v>
      </c>
      <c r="I116">
        <v>0</v>
      </c>
      <c r="J116">
        <v>1000</v>
      </c>
      <c r="K116">
        <v>1000</v>
      </c>
      <c r="L116">
        <v>0</v>
      </c>
    </row>
    <row r="117" spans="1:12" x14ac:dyDescent="0.25">
      <c r="A117">
        <v>126</v>
      </c>
      <c r="B117">
        <v>1000</v>
      </c>
      <c r="C117">
        <v>1900</v>
      </c>
      <c r="D117">
        <v>900</v>
      </c>
      <c r="E117" t="s">
        <v>196</v>
      </c>
      <c r="F117" s="82">
        <v>42318</v>
      </c>
      <c r="G117" t="s">
        <v>210</v>
      </c>
      <c r="H117">
        <v>1</v>
      </c>
      <c r="I117">
        <v>1000</v>
      </c>
      <c r="J117">
        <v>1900</v>
      </c>
      <c r="K117">
        <v>900</v>
      </c>
      <c r="L117">
        <v>0</v>
      </c>
    </row>
    <row r="118" spans="1:12" x14ac:dyDescent="0.25">
      <c r="A118">
        <v>127</v>
      </c>
      <c r="B118">
        <v>1900</v>
      </c>
      <c r="C118">
        <v>3200</v>
      </c>
      <c r="D118">
        <v>1300</v>
      </c>
      <c r="E118" t="s">
        <v>196</v>
      </c>
      <c r="F118" s="82">
        <v>42319</v>
      </c>
      <c r="G118" t="s">
        <v>210</v>
      </c>
      <c r="H118">
        <v>1</v>
      </c>
      <c r="I118">
        <v>1900</v>
      </c>
      <c r="J118">
        <v>3200</v>
      </c>
      <c r="K118">
        <v>1300</v>
      </c>
      <c r="L118">
        <v>0</v>
      </c>
    </row>
    <row r="119" spans="1:12" x14ac:dyDescent="0.25">
      <c r="A119">
        <v>128</v>
      </c>
      <c r="B119">
        <v>3200</v>
      </c>
      <c r="C119">
        <v>4200</v>
      </c>
      <c r="D119">
        <v>1000</v>
      </c>
      <c r="E119" t="s">
        <v>196</v>
      </c>
      <c r="F119" s="82">
        <v>42320</v>
      </c>
      <c r="G119" t="s">
        <v>210</v>
      </c>
      <c r="H119">
        <v>1</v>
      </c>
      <c r="I119">
        <v>3200</v>
      </c>
      <c r="J119">
        <v>4200</v>
      </c>
      <c r="K119">
        <v>1000</v>
      </c>
      <c r="L119">
        <v>0</v>
      </c>
    </row>
    <row r="120" spans="1:12" x14ac:dyDescent="0.25">
      <c r="A120">
        <v>129</v>
      </c>
      <c r="B120">
        <v>4200</v>
      </c>
      <c r="C120">
        <v>5600</v>
      </c>
      <c r="D120">
        <v>1400</v>
      </c>
      <c r="E120" t="s">
        <v>196</v>
      </c>
      <c r="F120" s="82">
        <v>42321</v>
      </c>
      <c r="G120" t="s">
        <v>210</v>
      </c>
      <c r="H120">
        <v>1</v>
      </c>
      <c r="I120">
        <v>4200</v>
      </c>
      <c r="J120">
        <v>5600</v>
      </c>
      <c r="K120">
        <v>1400</v>
      </c>
      <c r="L120">
        <v>0</v>
      </c>
    </row>
    <row r="121" spans="1:12" x14ac:dyDescent="0.25">
      <c r="A121">
        <v>130</v>
      </c>
      <c r="B121">
        <v>5600</v>
      </c>
      <c r="C121">
        <v>6600</v>
      </c>
      <c r="D121">
        <v>1000</v>
      </c>
      <c r="E121" t="s">
        <v>196</v>
      </c>
      <c r="F121" s="82">
        <v>42324</v>
      </c>
      <c r="G121" t="s">
        <v>210</v>
      </c>
      <c r="H121">
        <v>1</v>
      </c>
      <c r="I121">
        <v>5600</v>
      </c>
      <c r="J121">
        <v>6600</v>
      </c>
      <c r="K121">
        <v>1000</v>
      </c>
      <c r="L121">
        <v>0</v>
      </c>
    </row>
    <row r="122" spans="1:12" x14ac:dyDescent="0.25">
      <c r="A122">
        <v>131</v>
      </c>
      <c r="B122">
        <v>6600</v>
      </c>
      <c r="C122">
        <v>7600</v>
      </c>
      <c r="D122">
        <v>1000</v>
      </c>
      <c r="E122" t="s">
        <v>196</v>
      </c>
      <c r="F122" s="82">
        <v>42325</v>
      </c>
      <c r="G122" t="s">
        <v>210</v>
      </c>
      <c r="H122">
        <v>1</v>
      </c>
      <c r="I122">
        <v>6600</v>
      </c>
      <c r="J122">
        <v>7600</v>
      </c>
      <c r="K122">
        <v>1000</v>
      </c>
      <c r="L122">
        <v>0</v>
      </c>
    </row>
    <row r="123" spans="1:12" x14ac:dyDescent="0.25">
      <c r="A123">
        <v>124</v>
      </c>
      <c r="B123">
        <v>7600</v>
      </c>
      <c r="C123">
        <v>8900</v>
      </c>
      <c r="D123">
        <v>1300</v>
      </c>
      <c r="E123" t="s">
        <v>196</v>
      </c>
      <c r="F123" s="82">
        <v>42316</v>
      </c>
      <c r="G123" t="s">
        <v>210</v>
      </c>
      <c r="H123">
        <v>1</v>
      </c>
      <c r="I123">
        <v>7600</v>
      </c>
      <c r="J123">
        <v>8900</v>
      </c>
      <c r="K123">
        <v>1300</v>
      </c>
      <c r="L123">
        <v>0</v>
      </c>
    </row>
    <row r="124" spans="1:12" x14ac:dyDescent="0.25">
      <c r="A124">
        <v>123</v>
      </c>
      <c r="B124">
        <v>8900</v>
      </c>
      <c r="C124">
        <v>10400</v>
      </c>
      <c r="D124">
        <v>1500</v>
      </c>
      <c r="E124" t="s">
        <v>196</v>
      </c>
      <c r="F124" s="82">
        <v>42315</v>
      </c>
      <c r="G124" t="s">
        <v>210</v>
      </c>
      <c r="H124">
        <v>1</v>
      </c>
      <c r="I124">
        <v>8900</v>
      </c>
      <c r="J124">
        <v>10400</v>
      </c>
      <c r="K124">
        <v>1500</v>
      </c>
      <c r="L124">
        <v>0</v>
      </c>
    </row>
    <row r="125" spans="1:12" x14ac:dyDescent="0.25">
      <c r="A125">
        <v>122</v>
      </c>
      <c r="B125">
        <v>10400</v>
      </c>
      <c r="C125">
        <v>11300</v>
      </c>
      <c r="D125">
        <v>900</v>
      </c>
      <c r="E125" t="s">
        <v>196</v>
      </c>
      <c r="F125" s="82">
        <v>42314</v>
      </c>
      <c r="G125" t="s">
        <v>210</v>
      </c>
      <c r="H125">
        <v>1</v>
      </c>
      <c r="I125">
        <v>10400</v>
      </c>
      <c r="J125">
        <v>11300</v>
      </c>
      <c r="K125">
        <v>900</v>
      </c>
      <c r="L125">
        <v>0</v>
      </c>
    </row>
    <row r="126" spans="1:12" x14ac:dyDescent="0.25">
      <c r="A126">
        <v>121</v>
      </c>
      <c r="B126">
        <v>11300</v>
      </c>
      <c r="C126">
        <v>11800</v>
      </c>
      <c r="D126">
        <v>500</v>
      </c>
      <c r="E126" t="s">
        <v>196</v>
      </c>
      <c r="F126" s="82">
        <v>42313</v>
      </c>
      <c r="G126" t="s">
        <v>210</v>
      </c>
      <c r="H126">
        <v>1</v>
      </c>
      <c r="I126">
        <v>11300</v>
      </c>
      <c r="J126">
        <v>11800</v>
      </c>
      <c r="K126">
        <v>500</v>
      </c>
      <c r="L126">
        <v>0</v>
      </c>
    </row>
    <row r="127" spans="1:12" x14ac:dyDescent="0.25">
      <c r="A127">
        <v>120</v>
      </c>
      <c r="B127">
        <v>11800</v>
      </c>
      <c r="C127">
        <v>12600</v>
      </c>
      <c r="D127">
        <v>800</v>
      </c>
      <c r="E127" t="s">
        <v>196</v>
      </c>
      <c r="F127" s="82">
        <v>42312</v>
      </c>
      <c r="G127" t="s">
        <v>210</v>
      </c>
      <c r="H127">
        <v>1</v>
      </c>
      <c r="I127">
        <v>11800</v>
      </c>
      <c r="J127">
        <v>12600</v>
      </c>
      <c r="K127">
        <v>800</v>
      </c>
      <c r="L127">
        <v>0</v>
      </c>
    </row>
    <row r="128" spans="1:12" x14ac:dyDescent="0.25">
      <c r="A128">
        <v>119</v>
      </c>
      <c r="B128">
        <v>12600</v>
      </c>
      <c r="C128">
        <v>13800</v>
      </c>
      <c r="D128">
        <v>1200</v>
      </c>
      <c r="E128" t="s">
        <v>196</v>
      </c>
      <c r="F128" s="82">
        <v>42311</v>
      </c>
      <c r="G128" t="s">
        <v>210</v>
      </c>
      <c r="H128">
        <v>1</v>
      </c>
      <c r="I128">
        <v>12600</v>
      </c>
      <c r="J128">
        <v>13800</v>
      </c>
      <c r="K128">
        <v>1200</v>
      </c>
      <c r="L128">
        <v>0</v>
      </c>
    </row>
    <row r="129" spans="1:12" x14ac:dyDescent="0.25">
      <c r="A129">
        <v>118</v>
      </c>
      <c r="B129">
        <v>13800</v>
      </c>
      <c r="C129">
        <v>14300</v>
      </c>
      <c r="D129">
        <v>500</v>
      </c>
      <c r="E129" t="s">
        <v>196</v>
      </c>
      <c r="F129" s="82">
        <v>42310</v>
      </c>
      <c r="G129" t="s">
        <v>210</v>
      </c>
      <c r="H129">
        <v>1</v>
      </c>
      <c r="I129">
        <v>13800</v>
      </c>
      <c r="J129">
        <v>14300</v>
      </c>
      <c r="K129">
        <v>500</v>
      </c>
      <c r="L129">
        <v>0</v>
      </c>
    </row>
    <row r="130" spans="1:12" x14ac:dyDescent="0.25">
      <c r="A130">
        <v>117</v>
      </c>
      <c r="B130">
        <v>14300</v>
      </c>
      <c r="C130">
        <v>15400</v>
      </c>
      <c r="D130">
        <v>1100</v>
      </c>
      <c r="E130" t="s">
        <v>196</v>
      </c>
      <c r="F130" s="82">
        <v>42308</v>
      </c>
      <c r="G130" t="s">
        <v>210</v>
      </c>
      <c r="H130">
        <v>1</v>
      </c>
      <c r="I130">
        <v>14300</v>
      </c>
      <c r="J130">
        <v>15400</v>
      </c>
      <c r="K130">
        <v>1100</v>
      </c>
      <c r="L130">
        <v>0</v>
      </c>
    </row>
    <row r="131" spans="1:12" x14ac:dyDescent="0.25">
      <c r="A131">
        <v>116</v>
      </c>
      <c r="B131">
        <v>15400</v>
      </c>
      <c r="C131">
        <v>15700</v>
      </c>
      <c r="D131">
        <v>300</v>
      </c>
      <c r="E131" t="s">
        <v>196</v>
      </c>
      <c r="F131" s="82">
        <v>42307</v>
      </c>
      <c r="G131" t="s">
        <v>210</v>
      </c>
      <c r="H131">
        <v>1</v>
      </c>
      <c r="I131">
        <v>15400</v>
      </c>
      <c r="J131">
        <v>15700</v>
      </c>
      <c r="K131">
        <v>300</v>
      </c>
      <c r="L131">
        <v>0</v>
      </c>
    </row>
    <row r="132" spans="1:12" x14ac:dyDescent="0.25">
      <c r="A132">
        <v>115</v>
      </c>
      <c r="B132">
        <v>15700</v>
      </c>
      <c r="C132">
        <v>16600</v>
      </c>
      <c r="D132">
        <v>900</v>
      </c>
      <c r="E132" t="s">
        <v>196</v>
      </c>
      <c r="F132" s="82">
        <v>42306</v>
      </c>
      <c r="G132" t="s">
        <v>210</v>
      </c>
      <c r="H132">
        <v>1</v>
      </c>
      <c r="I132">
        <v>15700</v>
      </c>
      <c r="J132">
        <v>16600</v>
      </c>
      <c r="K132">
        <v>900</v>
      </c>
      <c r="L132">
        <v>0</v>
      </c>
    </row>
    <row r="133" spans="1:12" x14ac:dyDescent="0.25">
      <c r="A133">
        <v>114</v>
      </c>
      <c r="B133">
        <v>16600</v>
      </c>
      <c r="C133">
        <v>19800</v>
      </c>
      <c r="D133">
        <v>3200</v>
      </c>
      <c r="E133" t="s">
        <v>196</v>
      </c>
      <c r="F133" s="82">
        <v>42305</v>
      </c>
      <c r="G133" t="s">
        <v>210</v>
      </c>
      <c r="H133">
        <v>1</v>
      </c>
      <c r="I133">
        <v>16600</v>
      </c>
      <c r="J133">
        <v>19800</v>
      </c>
      <c r="K133">
        <v>3200</v>
      </c>
      <c r="L133">
        <v>0</v>
      </c>
    </row>
    <row r="134" spans="1:12" x14ac:dyDescent="0.25">
      <c r="A134">
        <v>113</v>
      </c>
      <c r="B134">
        <v>19800</v>
      </c>
      <c r="C134">
        <v>23700</v>
      </c>
      <c r="D134">
        <v>3900</v>
      </c>
      <c r="E134" t="s">
        <v>196</v>
      </c>
      <c r="F134" s="82">
        <v>42304</v>
      </c>
      <c r="G134" t="s">
        <v>210</v>
      </c>
      <c r="H134">
        <v>1</v>
      </c>
      <c r="I134">
        <v>19800</v>
      </c>
      <c r="J134">
        <v>23700</v>
      </c>
      <c r="K134">
        <v>3900</v>
      </c>
      <c r="L134">
        <v>0</v>
      </c>
    </row>
    <row r="135" spans="1:12" x14ac:dyDescent="0.25">
      <c r="A135">
        <v>112</v>
      </c>
      <c r="B135">
        <v>23700</v>
      </c>
      <c r="C135">
        <v>24700</v>
      </c>
      <c r="D135">
        <v>1000</v>
      </c>
      <c r="E135" t="s">
        <v>196</v>
      </c>
      <c r="F135" s="82">
        <v>42303</v>
      </c>
      <c r="G135" t="s">
        <v>210</v>
      </c>
      <c r="H135">
        <v>1</v>
      </c>
      <c r="I135">
        <v>23700</v>
      </c>
      <c r="J135">
        <v>24700</v>
      </c>
      <c r="K135">
        <v>1000</v>
      </c>
      <c r="L135">
        <v>0</v>
      </c>
    </row>
    <row r="136" spans="1:12" x14ac:dyDescent="0.25">
      <c r="B136">
        <v>24700</v>
      </c>
      <c r="C136">
        <v>287500</v>
      </c>
      <c r="D136">
        <v>262800</v>
      </c>
      <c r="E136" t="s">
        <v>196</v>
      </c>
      <c r="G136" t="s">
        <v>193</v>
      </c>
    </row>
    <row r="137" spans="1:12" x14ac:dyDescent="0.25">
      <c r="A137">
        <v>145</v>
      </c>
      <c r="B137">
        <v>0</v>
      </c>
      <c r="C137">
        <v>1500</v>
      </c>
      <c r="D137">
        <v>1500</v>
      </c>
      <c r="E137" t="s">
        <v>197</v>
      </c>
      <c r="F137" s="82">
        <v>42322</v>
      </c>
      <c r="G137" t="s">
        <v>208</v>
      </c>
      <c r="H137">
        <v>1</v>
      </c>
      <c r="I137">
        <v>0</v>
      </c>
      <c r="J137">
        <v>1500</v>
      </c>
      <c r="K137">
        <v>1500</v>
      </c>
      <c r="L137">
        <v>0</v>
      </c>
    </row>
    <row r="138" spans="1:12" x14ac:dyDescent="0.25">
      <c r="A138">
        <v>146</v>
      </c>
      <c r="B138">
        <v>1500</v>
      </c>
      <c r="C138">
        <v>3400</v>
      </c>
      <c r="D138">
        <v>1900</v>
      </c>
      <c r="E138" t="s">
        <v>197</v>
      </c>
      <c r="F138" s="82">
        <v>42324</v>
      </c>
      <c r="G138" t="s">
        <v>208</v>
      </c>
      <c r="H138">
        <v>1</v>
      </c>
      <c r="I138">
        <v>1500</v>
      </c>
      <c r="J138">
        <v>3400</v>
      </c>
      <c r="K138">
        <v>1900</v>
      </c>
      <c r="L138">
        <v>0</v>
      </c>
    </row>
    <row r="139" spans="1:12" x14ac:dyDescent="0.25">
      <c r="A139">
        <v>147</v>
      </c>
      <c r="B139">
        <v>3400</v>
      </c>
      <c r="C139">
        <v>4100</v>
      </c>
      <c r="D139">
        <v>700</v>
      </c>
      <c r="E139" t="s">
        <v>197</v>
      </c>
      <c r="F139" s="82">
        <v>42325</v>
      </c>
      <c r="G139" t="s">
        <v>208</v>
      </c>
      <c r="H139">
        <v>1</v>
      </c>
      <c r="I139">
        <v>3400</v>
      </c>
      <c r="J139">
        <v>4100</v>
      </c>
      <c r="K139">
        <v>700</v>
      </c>
      <c r="L139">
        <v>0</v>
      </c>
    </row>
    <row r="140" spans="1:12" x14ac:dyDescent="0.25">
      <c r="A140">
        <v>148</v>
      </c>
      <c r="B140">
        <v>4100</v>
      </c>
      <c r="C140">
        <v>5300</v>
      </c>
      <c r="D140">
        <v>1200</v>
      </c>
      <c r="E140" t="s">
        <v>197</v>
      </c>
      <c r="F140" s="82">
        <v>42326</v>
      </c>
      <c r="G140" t="s">
        <v>208</v>
      </c>
      <c r="H140">
        <v>1</v>
      </c>
      <c r="I140">
        <v>4100</v>
      </c>
      <c r="J140">
        <v>5300</v>
      </c>
      <c r="K140">
        <v>1200</v>
      </c>
      <c r="L140">
        <v>0</v>
      </c>
    </row>
    <row r="141" spans="1:12" x14ac:dyDescent="0.25">
      <c r="A141">
        <v>149</v>
      </c>
      <c r="B141">
        <v>5300</v>
      </c>
      <c r="C141">
        <v>6700</v>
      </c>
      <c r="D141">
        <v>1400</v>
      </c>
      <c r="E141" t="s">
        <v>197</v>
      </c>
      <c r="F141" s="82">
        <v>42327</v>
      </c>
      <c r="G141" t="s">
        <v>208</v>
      </c>
      <c r="H141">
        <v>1</v>
      </c>
      <c r="I141">
        <v>5300</v>
      </c>
      <c r="J141">
        <v>6700</v>
      </c>
      <c r="K141">
        <v>1400</v>
      </c>
      <c r="L141">
        <v>0</v>
      </c>
    </row>
    <row r="142" spans="1:12" x14ac:dyDescent="0.25">
      <c r="A142">
        <v>151</v>
      </c>
      <c r="B142">
        <v>6700</v>
      </c>
      <c r="C142">
        <v>6900</v>
      </c>
      <c r="D142">
        <v>200</v>
      </c>
      <c r="E142" t="s">
        <v>197</v>
      </c>
      <c r="F142" s="82">
        <v>42329</v>
      </c>
      <c r="G142" t="s">
        <v>208</v>
      </c>
      <c r="H142">
        <v>1</v>
      </c>
      <c r="I142">
        <v>6700</v>
      </c>
      <c r="J142">
        <v>6900</v>
      </c>
      <c r="K142">
        <v>200</v>
      </c>
      <c r="L142">
        <v>0</v>
      </c>
    </row>
    <row r="143" spans="1:12" x14ac:dyDescent="0.25">
      <c r="A143">
        <v>150</v>
      </c>
      <c r="B143">
        <v>6900</v>
      </c>
      <c r="C143">
        <v>7500</v>
      </c>
      <c r="D143">
        <v>600</v>
      </c>
      <c r="E143" t="s">
        <v>197</v>
      </c>
      <c r="F143" s="82">
        <v>42328</v>
      </c>
      <c r="G143" t="s">
        <v>208</v>
      </c>
      <c r="H143">
        <v>1</v>
      </c>
      <c r="I143">
        <v>6900</v>
      </c>
      <c r="J143">
        <v>7500</v>
      </c>
      <c r="K143">
        <v>600</v>
      </c>
      <c r="L143">
        <v>0</v>
      </c>
    </row>
    <row r="144" spans="1:12" x14ac:dyDescent="0.25">
      <c r="A144">
        <v>144</v>
      </c>
      <c r="B144">
        <v>7500</v>
      </c>
      <c r="C144">
        <v>9200</v>
      </c>
      <c r="D144">
        <v>1700</v>
      </c>
      <c r="E144" t="s">
        <v>197</v>
      </c>
      <c r="F144" s="82">
        <v>42321</v>
      </c>
      <c r="G144" t="s">
        <v>208</v>
      </c>
      <c r="H144">
        <v>1</v>
      </c>
      <c r="I144">
        <v>7500</v>
      </c>
      <c r="J144">
        <v>9200</v>
      </c>
      <c r="K144">
        <v>1700</v>
      </c>
      <c r="L144">
        <v>0</v>
      </c>
    </row>
    <row r="145" spans="1:12" x14ac:dyDescent="0.25">
      <c r="A145">
        <v>143</v>
      </c>
      <c r="B145">
        <v>9200</v>
      </c>
      <c r="C145">
        <v>10100</v>
      </c>
      <c r="D145">
        <v>900</v>
      </c>
      <c r="E145" t="s">
        <v>197</v>
      </c>
      <c r="F145" s="82">
        <v>42320</v>
      </c>
      <c r="G145" t="s">
        <v>208</v>
      </c>
      <c r="H145">
        <v>1</v>
      </c>
      <c r="I145">
        <v>9200</v>
      </c>
      <c r="J145">
        <v>10100</v>
      </c>
      <c r="K145">
        <v>900</v>
      </c>
      <c r="L145">
        <v>0</v>
      </c>
    </row>
    <row r="146" spans="1:12" x14ac:dyDescent="0.25">
      <c r="A146">
        <v>142</v>
      </c>
      <c r="B146">
        <v>10100</v>
      </c>
      <c r="C146">
        <v>11000</v>
      </c>
      <c r="D146">
        <v>900</v>
      </c>
      <c r="E146" t="s">
        <v>197</v>
      </c>
      <c r="F146" s="82">
        <v>42319</v>
      </c>
      <c r="G146" t="s">
        <v>208</v>
      </c>
      <c r="H146">
        <v>1</v>
      </c>
      <c r="I146">
        <v>10100</v>
      </c>
      <c r="J146">
        <v>11000</v>
      </c>
      <c r="K146">
        <v>900</v>
      </c>
      <c r="L146">
        <v>0</v>
      </c>
    </row>
    <row r="147" spans="1:12" x14ac:dyDescent="0.25">
      <c r="A147">
        <v>141</v>
      </c>
      <c r="B147">
        <v>11000</v>
      </c>
      <c r="C147">
        <v>11700</v>
      </c>
      <c r="D147">
        <v>700</v>
      </c>
      <c r="E147" t="s">
        <v>197</v>
      </c>
      <c r="F147" s="82">
        <v>42318</v>
      </c>
      <c r="G147" t="s">
        <v>208</v>
      </c>
      <c r="H147">
        <v>1</v>
      </c>
      <c r="I147">
        <v>11000</v>
      </c>
      <c r="J147">
        <v>11700</v>
      </c>
      <c r="K147">
        <v>700</v>
      </c>
      <c r="L147">
        <v>0</v>
      </c>
    </row>
    <row r="148" spans="1:12" x14ac:dyDescent="0.25">
      <c r="A148">
        <v>140</v>
      </c>
      <c r="B148">
        <v>11700</v>
      </c>
      <c r="C148">
        <v>13300</v>
      </c>
      <c r="D148">
        <v>1600</v>
      </c>
      <c r="E148" t="s">
        <v>197</v>
      </c>
      <c r="F148" s="82">
        <v>42317</v>
      </c>
      <c r="G148" t="s">
        <v>208</v>
      </c>
      <c r="H148">
        <v>1</v>
      </c>
      <c r="I148">
        <v>11700</v>
      </c>
      <c r="J148">
        <v>13300</v>
      </c>
      <c r="K148">
        <v>1600</v>
      </c>
      <c r="L148">
        <v>0</v>
      </c>
    </row>
    <row r="149" spans="1:12" x14ac:dyDescent="0.25">
      <c r="A149">
        <v>139</v>
      </c>
      <c r="B149">
        <v>13300</v>
      </c>
      <c r="C149">
        <v>14700</v>
      </c>
      <c r="D149">
        <v>1400</v>
      </c>
      <c r="E149" t="s">
        <v>197</v>
      </c>
      <c r="F149" s="82">
        <v>42315</v>
      </c>
      <c r="G149" t="s">
        <v>208</v>
      </c>
      <c r="H149">
        <v>1</v>
      </c>
      <c r="I149">
        <v>13300</v>
      </c>
      <c r="J149">
        <v>14700</v>
      </c>
      <c r="K149">
        <v>1400</v>
      </c>
      <c r="L149">
        <v>0</v>
      </c>
    </row>
    <row r="150" spans="1:12" x14ac:dyDescent="0.25">
      <c r="A150">
        <v>138</v>
      </c>
      <c r="B150">
        <v>14700</v>
      </c>
      <c r="C150">
        <v>15600</v>
      </c>
      <c r="D150">
        <v>900</v>
      </c>
      <c r="E150" t="s">
        <v>197</v>
      </c>
      <c r="F150" s="82">
        <v>42314</v>
      </c>
      <c r="G150" t="s">
        <v>208</v>
      </c>
      <c r="H150">
        <v>1</v>
      </c>
      <c r="I150">
        <v>14700</v>
      </c>
      <c r="J150">
        <v>15600</v>
      </c>
      <c r="K150">
        <v>900</v>
      </c>
      <c r="L150">
        <v>0</v>
      </c>
    </row>
    <row r="151" spans="1:12" x14ac:dyDescent="0.25">
      <c r="A151">
        <v>137</v>
      </c>
      <c r="B151">
        <v>15600</v>
      </c>
      <c r="C151">
        <v>17600</v>
      </c>
      <c r="D151">
        <v>2000</v>
      </c>
      <c r="E151" t="s">
        <v>197</v>
      </c>
      <c r="F151" s="82">
        <v>42313</v>
      </c>
      <c r="G151" t="s">
        <v>208</v>
      </c>
      <c r="H151">
        <v>1</v>
      </c>
      <c r="I151">
        <v>15600</v>
      </c>
      <c r="J151">
        <v>17600</v>
      </c>
      <c r="K151">
        <v>2000</v>
      </c>
      <c r="L151">
        <v>0</v>
      </c>
    </row>
    <row r="152" spans="1:12" x14ac:dyDescent="0.25">
      <c r="A152">
        <v>136</v>
      </c>
      <c r="B152">
        <v>17600</v>
      </c>
      <c r="C152">
        <v>19900</v>
      </c>
      <c r="D152">
        <v>2300</v>
      </c>
      <c r="E152" t="s">
        <v>197</v>
      </c>
      <c r="F152" s="82">
        <v>42312</v>
      </c>
      <c r="G152" t="s">
        <v>208</v>
      </c>
      <c r="H152">
        <v>1</v>
      </c>
      <c r="I152">
        <v>17600</v>
      </c>
      <c r="J152">
        <v>19900</v>
      </c>
      <c r="K152">
        <v>2300</v>
      </c>
      <c r="L152">
        <v>0</v>
      </c>
    </row>
    <row r="153" spans="1:12" x14ac:dyDescent="0.25">
      <c r="A153">
        <v>135</v>
      </c>
      <c r="B153">
        <v>19900</v>
      </c>
      <c r="C153">
        <v>21500</v>
      </c>
      <c r="D153">
        <v>1600</v>
      </c>
      <c r="E153" t="s">
        <v>197</v>
      </c>
      <c r="F153" s="82">
        <v>42311</v>
      </c>
      <c r="G153" t="s">
        <v>208</v>
      </c>
      <c r="H153">
        <v>1</v>
      </c>
      <c r="I153">
        <v>19900</v>
      </c>
      <c r="J153">
        <v>21500</v>
      </c>
      <c r="K153">
        <v>1600</v>
      </c>
      <c r="L153">
        <v>0</v>
      </c>
    </row>
    <row r="154" spans="1:12" x14ac:dyDescent="0.25">
      <c r="A154">
        <v>134</v>
      </c>
      <c r="B154">
        <v>21500</v>
      </c>
      <c r="C154">
        <v>22900</v>
      </c>
      <c r="D154">
        <v>1400</v>
      </c>
      <c r="E154" t="s">
        <v>197</v>
      </c>
      <c r="F154" s="82">
        <v>42310</v>
      </c>
      <c r="G154" t="s">
        <v>208</v>
      </c>
      <c r="H154">
        <v>1</v>
      </c>
      <c r="I154">
        <v>21500</v>
      </c>
      <c r="J154">
        <v>22900</v>
      </c>
      <c r="K154">
        <v>1400</v>
      </c>
      <c r="L154">
        <v>0</v>
      </c>
    </row>
    <row r="155" spans="1:12" x14ac:dyDescent="0.25">
      <c r="A155">
        <v>133</v>
      </c>
      <c r="B155">
        <v>22900</v>
      </c>
      <c r="C155">
        <v>24100</v>
      </c>
      <c r="D155">
        <v>1200</v>
      </c>
      <c r="E155" t="s">
        <v>197</v>
      </c>
      <c r="F155" s="82">
        <v>42307</v>
      </c>
      <c r="G155" t="s">
        <v>208</v>
      </c>
      <c r="H155">
        <v>1</v>
      </c>
      <c r="I155">
        <v>22900</v>
      </c>
      <c r="J155">
        <v>24100</v>
      </c>
      <c r="K155">
        <v>1200</v>
      </c>
      <c r="L155">
        <v>0</v>
      </c>
    </row>
    <row r="156" spans="1:12" x14ac:dyDescent="0.25">
      <c r="A156">
        <v>132</v>
      </c>
      <c r="B156">
        <v>24100</v>
      </c>
      <c r="C156">
        <v>24700</v>
      </c>
      <c r="D156">
        <v>600</v>
      </c>
      <c r="E156" t="s">
        <v>197</v>
      </c>
      <c r="F156" s="82">
        <v>42306</v>
      </c>
      <c r="G156" t="s">
        <v>208</v>
      </c>
      <c r="H156">
        <v>1</v>
      </c>
      <c r="I156">
        <v>24100</v>
      </c>
      <c r="J156">
        <v>24700</v>
      </c>
      <c r="K156">
        <v>600</v>
      </c>
      <c r="L156">
        <v>0</v>
      </c>
    </row>
    <row r="157" spans="1:12" x14ac:dyDescent="0.25">
      <c r="B157">
        <v>24700</v>
      </c>
      <c r="C157">
        <v>287500</v>
      </c>
      <c r="D157">
        <v>262800</v>
      </c>
      <c r="E157" t="s">
        <v>197</v>
      </c>
      <c r="G157" t="s">
        <v>193</v>
      </c>
    </row>
    <row r="158" spans="1:12" x14ac:dyDescent="0.25">
      <c r="A158">
        <v>173</v>
      </c>
      <c r="B158">
        <v>0</v>
      </c>
      <c r="C158">
        <v>1000</v>
      </c>
      <c r="D158">
        <v>1000</v>
      </c>
      <c r="E158" t="s">
        <v>212</v>
      </c>
      <c r="F158" s="82">
        <v>42334</v>
      </c>
      <c r="G158" t="s">
        <v>180</v>
      </c>
      <c r="H158">
        <v>1</v>
      </c>
      <c r="I158">
        <v>0</v>
      </c>
      <c r="J158">
        <v>1000</v>
      </c>
      <c r="K158">
        <v>1000</v>
      </c>
      <c r="L158">
        <v>0</v>
      </c>
    </row>
    <row r="159" spans="1:12" x14ac:dyDescent="0.25">
      <c r="A159">
        <v>172</v>
      </c>
      <c r="B159">
        <v>1000</v>
      </c>
      <c r="C159">
        <v>2000</v>
      </c>
      <c r="D159">
        <v>1000</v>
      </c>
      <c r="E159" t="s">
        <v>212</v>
      </c>
      <c r="F159" s="82">
        <v>42333</v>
      </c>
      <c r="G159" t="s">
        <v>180</v>
      </c>
      <c r="H159">
        <v>1</v>
      </c>
      <c r="I159">
        <v>1000</v>
      </c>
      <c r="J159">
        <v>2000</v>
      </c>
      <c r="K159">
        <v>1000</v>
      </c>
      <c r="L159">
        <v>0</v>
      </c>
    </row>
    <row r="160" spans="1:12" x14ac:dyDescent="0.25">
      <c r="A160">
        <v>171</v>
      </c>
      <c r="B160">
        <v>2000</v>
      </c>
      <c r="C160">
        <v>3000</v>
      </c>
      <c r="D160">
        <v>1000</v>
      </c>
      <c r="E160" t="s">
        <v>212</v>
      </c>
      <c r="F160" s="82">
        <v>42332</v>
      </c>
      <c r="G160" t="s">
        <v>180</v>
      </c>
      <c r="H160">
        <v>1</v>
      </c>
      <c r="I160">
        <v>2000</v>
      </c>
      <c r="J160">
        <v>3000</v>
      </c>
      <c r="K160">
        <v>1000</v>
      </c>
      <c r="L160">
        <v>0</v>
      </c>
    </row>
    <row r="161" spans="1:12" x14ac:dyDescent="0.25">
      <c r="A161">
        <v>170</v>
      </c>
      <c r="B161">
        <v>3000</v>
      </c>
      <c r="C161">
        <v>3800</v>
      </c>
      <c r="D161">
        <v>800</v>
      </c>
      <c r="E161" t="s">
        <v>212</v>
      </c>
      <c r="F161" s="82">
        <v>42331</v>
      </c>
      <c r="G161" t="s">
        <v>180</v>
      </c>
      <c r="H161">
        <v>1</v>
      </c>
      <c r="I161">
        <v>3000</v>
      </c>
      <c r="J161">
        <v>3800</v>
      </c>
      <c r="K161">
        <v>800</v>
      </c>
      <c r="L161">
        <v>0</v>
      </c>
    </row>
    <row r="162" spans="1:12" x14ac:dyDescent="0.25">
      <c r="A162">
        <v>169</v>
      </c>
      <c r="B162">
        <v>3800</v>
      </c>
      <c r="C162">
        <v>4800</v>
      </c>
      <c r="D162">
        <v>1000</v>
      </c>
      <c r="E162" t="s">
        <v>212</v>
      </c>
      <c r="F162" s="82">
        <v>42329</v>
      </c>
      <c r="G162" t="s">
        <v>180</v>
      </c>
      <c r="H162">
        <v>1</v>
      </c>
      <c r="I162">
        <v>3800</v>
      </c>
      <c r="J162">
        <v>4800</v>
      </c>
      <c r="K162">
        <v>1000</v>
      </c>
      <c r="L162">
        <v>0</v>
      </c>
    </row>
    <row r="163" spans="1:12" x14ac:dyDescent="0.25">
      <c r="A163">
        <v>168</v>
      </c>
      <c r="B163">
        <v>4800</v>
      </c>
      <c r="C163">
        <v>6800</v>
      </c>
      <c r="D163">
        <v>2000</v>
      </c>
      <c r="E163" t="s">
        <v>212</v>
      </c>
      <c r="F163" s="82">
        <v>42328</v>
      </c>
      <c r="G163" t="s">
        <v>180</v>
      </c>
      <c r="H163">
        <v>1</v>
      </c>
      <c r="I163">
        <v>4800</v>
      </c>
      <c r="J163">
        <v>6800</v>
      </c>
      <c r="K163">
        <v>2000</v>
      </c>
      <c r="L163">
        <v>0</v>
      </c>
    </row>
    <row r="164" spans="1:12" x14ac:dyDescent="0.25">
      <c r="A164">
        <v>167</v>
      </c>
      <c r="B164">
        <v>6800</v>
      </c>
      <c r="C164">
        <v>7800</v>
      </c>
      <c r="D164">
        <v>1000</v>
      </c>
      <c r="E164" t="s">
        <v>212</v>
      </c>
      <c r="F164" s="82">
        <v>42327</v>
      </c>
      <c r="G164" t="s">
        <v>180</v>
      </c>
      <c r="H164">
        <v>1</v>
      </c>
      <c r="I164">
        <v>6800</v>
      </c>
      <c r="J164">
        <v>7800</v>
      </c>
      <c r="K164">
        <v>1000</v>
      </c>
      <c r="L164">
        <v>0</v>
      </c>
    </row>
    <row r="165" spans="1:12" x14ac:dyDescent="0.25">
      <c r="A165">
        <v>166</v>
      </c>
      <c r="B165">
        <v>7800</v>
      </c>
      <c r="C165">
        <v>9000</v>
      </c>
      <c r="D165">
        <v>1200</v>
      </c>
      <c r="E165" t="s">
        <v>212</v>
      </c>
      <c r="F165" s="82">
        <v>42326</v>
      </c>
      <c r="G165" t="s">
        <v>180</v>
      </c>
      <c r="H165">
        <v>1</v>
      </c>
      <c r="I165">
        <v>7800</v>
      </c>
      <c r="J165">
        <v>9000</v>
      </c>
      <c r="K165">
        <v>1200</v>
      </c>
      <c r="L165">
        <v>0</v>
      </c>
    </row>
    <row r="166" spans="1:12" x14ac:dyDescent="0.25">
      <c r="A166">
        <v>165</v>
      </c>
      <c r="B166">
        <v>9000</v>
      </c>
      <c r="C166">
        <v>10500</v>
      </c>
      <c r="D166">
        <v>1500</v>
      </c>
      <c r="E166" t="s">
        <v>212</v>
      </c>
      <c r="F166" s="82">
        <v>42325</v>
      </c>
      <c r="G166" t="s">
        <v>180</v>
      </c>
      <c r="H166">
        <v>1</v>
      </c>
      <c r="I166">
        <v>9000</v>
      </c>
      <c r="J166">
        <v>10500</v>
      </c>
      <c r="K166">
        <v>1500</v>
      </c>
      <c r="L166">
        <v>0</v>
      </c>
    </row>
    <row r="167" spans="1:12" x14ac:dyDescent="0.25">
      <c r="A167">
        <v>164</v>
      </c>
      <c r="B167">
        <v>10500</v>
      </c>
      <c r="C167">
        <v>12500</v>
      </c>
      <c r="D167">
        <v>2000</v>
      </c>
      <c r="E167" t="s">
        <v>212</v>
      </c>
      <c r="F167" s="82">
        <v>42324</v>
      </c>
      <c r="G167" t="s">
        <v>180</v>
      </c>
      <c r="H167">
        <v>1</v>
      </c>
      <c r="I167">
        <v>10500</v>
      </c>
      <c r="J167">
        <v>12500</v>
      </c>
      <c r="K167">
        <v>2000</v>
      </c>
      <c r="L167">
        <v>0</v>
      </c>
    </row>
    <row r="168" spans="1:12" x14ac:dyDescent="0.25">
      <c r="A168">
        <v>163</v>
      </c>
      <c r="B168">
        <v>12500</v>
      </c>
      <c r="C168">
        <v>13500</v>
      </c>
      <c r="D168">
        <v>1000</v>
      </c>
      <c r="E168" t="s">
        <v>212</v>
      </c>
      <c r="F168" s="82">
        <v>42322</v>
      </c>
      <c r="G168" t="s">
        <v>180</v>
      </c>
      <c r="H168">
        <v>1</v>
      </c>
      <c r="I168">
        <v>12500</v>
      </c>
      <c r="J168">
        <v>13500</v>
      </c>
      <c r="K168">
        <v>1000</v>
      </c>
      <c r="L168">
        <v>0</v>
      </c>
    </row>
    <row r="169" spans="1:12" x14ac:dyDescent="0.25">
      <c r="A169">
        <v>162</v>
      </c>
      <c r="B169">
        <v>13500</v>
      </c>
      <c r="C169">
        <v>14000</v>
      </c>
      <c r="D169">
        <v>500</v>
      </c>
      <c r="E169" t="s">
        <v>212</v>
      </c>
      <c r="F169" s="82">
        <v>42321</v>
      </c>
      <c r="G169" t="s">
        <v>180</v>
      </c>
      <c r="H169">
        <v>1</v>
      </c>
      <c r="I169">
        <v>13500</v>
      </c>
      <c r="J169">
        <v>14000</v>
      </c>
      <c r="K169">
        <v>500</v>
      </c>
      <c r="L169">
        <v>0</v>
      </c>
    </row>
    <row r="170" spans="1:12" x14ac:dyDescent="0.25">
      <c r="A170">
        <v>161</v>
      </c>
      <c r="B170">
        <v>14000</v>
      </c>
      <c r="C170">
        <v>15400</v>
      </c>
      <c r="D170">
        <v>1400</v>
      </c>
      <c r="E170" t="s">
        <v>212</v>
      </c>
      <c r="F170" s="82">
        <v>42320</v>
      </c>
      <c r="G170" t="s">
        <v>180</v>
      </c>
      <c r="H170">
        <v>1</v>
      </c>
      <c r="I170">
        <v>14000</v>
      </c>
      <c r="J170">
        <v>15400</v>
      </c>
      <c r="K170">
        <v>1400</v>
      </c>
      <c r="L170">
        <v>0</v>
      </c>
    </row>
    <row r="171" spans="1:12" x14ac:dyDescent="0.25">
      <c r="A171">
        <v>160</v>
      </c>
      <c r="B171">
        <v>15400</v>
      </c>
      <c r="C171">
        <v>16000</v>
      </c>
      <c r="D171">
        <v>600</v>
      </c>
      <c r="E171" t="s">
        <v>212</v>
      </c>
      <c r="F171" s="82">
        <v>42319</v>
      </c>
      <c r="G171" t="s">
        <v>180</v>
      </c>
      <c r="H171">
        <v>1</v>
      </c>
      <c r="I171">
        <v>15400</v>
      </c>
      <c r="J171">
        <v>16000</v>
      </c>
      <c r="K171">
        <v>600</v>
      </c>
      <c r="L171">
        <v>0</v>
      </c>
    </row>
    <row r="172" spans="1:12" x14ac:dyDescent="0.25">
      <c r="A172">
        <v>159</v>
      </c>
      <c r="B172">
        <v>16000</v>
      </c>
      <c r="C172">
        <v>17300</v>
      </c>
      <c r="D172">
        <v>1300</v>
      </c>
      <c r="E172" t="s">
        <v>212</v>
      </c>
      <c r="F172" s="82">
        <v>42318</v>
      </c>
      <c r="G172" t="s">
        <v>180</v>
      </c>
      <c r="H172">
        <v>1</v>
      </c>
      <c r="I172">
        <v>16000</v>
      </c>
      <c r="J172">
        <v>17300</v>
      </c>
      <c r="K172">
        <v>1300</v>
      </c>
      <c r="L172">
        <v>0</v>
      </c>
    </row>
    <row r="173" spans="1:12" x14ac:dyDescent="0.25">
      <c r="A173">
        <v>158</v>
      </c>
      <c r="B173">
        <v>17300</v>
      </c>
      <c r="C173">
        <v>19000</v>
      </c>
      <c r="D173">
        <v>1700</v>
      </c>
      <c r="E173" t="s">
        <v>212</v>
      </c>
      <c r="F173" s="82">
        <v>42317</v>
      </c>
      <c r="G173" t="s">
        <v>180</v>
      </c>
      <c r="H173">
        <v>1</v>
      </c>
      <c r="I173">
        <v>17300</v>
      </c>
      <c r="J173">
        <v>19000</v>
      </c>
      <c r="K173">
        <v>1700</v>
      </c>
      <c r="L173">
        <v>0</v>
      </c>
    </row>
    <row r="174" spans="1:12" x14ac:dyDescent="0.25">
      <c r="A174">
        <v>157</v>
      </c>
      <c r="B174">
        <v>19000</v>
      </c>
      <c r="C174">
        <v>20000</v>
      </c>
      <c r="D174">
        <v>1000</v>
      </c>
      <c r="E174" t="s">
        <v>212</v>
      </c>
      <c r="F174" s="82">
        <v>42316</v>
      </c>
      <c r="G174" t="s">
        <v>180</v>
      </c>
      <c r="H174">
        <v>1</v>
      </c>
      <c r="I174">
        <v>19000</v>
      </c>
      <c r="J174">
        <v>20000</v>
      </c>
      <c r="K174">
        <v>1000</v>
      </c>
      <c r="L174">
        <v>0</v>
      </c>
    </row>
    <row r="175" spans="1:12" x14ac:dyDescent="0.25">
      <c r="A175">
        <v>156</v>
      </c>
      <c r="B175">
        <v>20000</v>
      </c>
      <c r="C175">
        <v>21000</v>
      </c>
      <c r="D175">
        <v>1000</v>
      </c>
      <c r="E175" t="s">
        <v>212</v>
      </c>
      <c r="F175" s="82">
        <v>42315</v>
      </c>
      <c r="G175" t="s">
        <v>180</v>
      </c>
      <c r="H175">
        <v>1</v>
      </c>
      <c r="I175">
        <v>20000</v>
      </c>
      <c r="J175">
        <v>21000</v>
      </c>
      <c r="K175">
        <v>1000</v>
      </c>
      <c r="L175">
        <v>0</v>
      </c>
    </row>
    <row r="176" spans="1:12" x14ac:dyDescent="0.25">
      <c r="A176">
        <v>155</v>
      </c>
      <c r="B176">
        <v>21000</v>
      </c>
      <c r="C176">
        <v>21700</v>
      </c>
      <c r="D176">
        <v>700</v>
      </c>
      <c r="E176" t="s">
        <v>212</v>
      </c>
      <c r="F176" s="82">
        <v>42314</v>
      </c>
      <c r="G176" t="s">
        <v>180</v>
      </c>
      <c r="H176">
        <v>1</v>
      </c>
      <c r="I176">
        <v>21000</v>
      </c>
      <c r="J176">
        <v>21700</v>
      </c>
      <c r="K176">
        <v>700</v>
      </c>
      <c r="L176">
        <v>0</v>
      </c>
    </row>
    <row r="177" spans="1:12" x14ac:dyDescent="0.25">
      <c r="A177">
        <v>154</v>
      </c>
      <c r="B177">
        <v>21700</v>
      </c>
      <c r="C177">
        <v>22900</v>
      </c>
      <c r="D177">
        <v>1200</v>
      </c>
      <c r="E177" t="s">
        <v>212</v>
      </c>
      <c r="F177" s="82">
        <v>42313</v>
      </c>
      <c r="G177" t="s">
        <v>180</v>
      </c>
      <c r="H177">
        <v>1</v>
      </c>
      <c r="I177">
        <v>21700</v>
      </c>
      <c r="J177">
        <v>22900</v>
      </c>
      <c r="K177">
        <v>1200</v>
      </c>
      <c r="L177">
        <v>0</v>
      </c>
    </row>
    <row r="178" spans="1:12" x14ac:dyDescent="0.25">
      <c r="A178">
        <v>153</v>
      </c>
      <c r="B178">
        <v>22900</v>
      </c>
      <c r="C178">
        <v>24100</v>
      </c>
      <c r="D178">
        <v>1200</v>
      </c>
      <c r="E178" t="s">
        <v>212</v>
      </c>
      <c r="F178" s="82">
        <v>42312</v>
      </c>
      <c r="G178" t="s">
        <v>180</v>
      </c>
      <c r="H178">
        <v>1</v>
      </c>
      <c r="I178">
        <v>22900</v>
      </c>
      <c r="J178">
        <v>24100</v>
      </c>
      <c r="K178">
        <v>1200</v>
      </c>
      <c r="L178">
        <v>0</v>
      </c>
    </row>
    <row r="179" spans="1:12" x14ac:dyDescent="0.25">
      <c r="A179">
        <v>152</v>
      </c>
      <c r="B179">
        <v>24100</v>
      </c>
      <c r="C179">
        <v>24700</v>
      </c>
      <c r="D179">
        <v>600</v>
      </c>
      <c r="E179" t="s">
        <v>212</v>
      </c>
      <c r="F179" s="82">
        <v>42311</v>
      </c>
      <c r="G179" t="s">
        <v>180</v>
      </c>
      <c r="H179">
        <v>1</v>
      </c>
      <c r="I179">
        <v>24100</v>
      </c>
      <c r="J179">
        <v>24700</v>
      </c>
      <c r="K179">
        <v>600</v>
      </c>
      <c r="L179">
        <v>0</v>
      </c>
    </row>
    <row r="180" spans="1:12" x14ac:dyDescent="0.25">
      <c r="B180">
        <v>24700</v>
      </c>
      <c r="C180">
        <v>287500</v>
      </c>
      <c r="D180">
        <v>262800</v>
      </c>
      <c r="E180" t="s">
        <v>212</v>
      </c>
      <c r="G180" t="s">
        <v>193</v>
      </c>
    </row>
    <row r="181" spans="1:12" x14ac:dyDescent="0.25">
      <c r="A181">
        <v>197</v>
      </c>
      <c r="B181">
        <v>0</v>
      </c>
      <c r="C181">
        <v>300</v>
      </c>
      <c r="D181">
        <v>300</v>
      </c>
      <c r="E181" t="s">
        <v>213</v>
      </c>
      <c r="F181" s="82">
        <v>42338</v>
      </c>
      <c r="G181" t="s">
        <v>180</v>
      </c>
      <c r="H181">
        <v>2</v>
      </c>
      <c r="I181">
        <v>0</v>
      </c>
      <c r="J181">
        <v>300</v>
      </c>
      <c r="K181">
        <v>300</v>
      </c>
      <c r="L181">
        <v>0</v>
      </c>
    </row>
    <row r="182" spans="1:12" x14ac:dyDescent="0.25">
      <c r="A182">
        <v>194</v>
      </c>
      <c r="B182">
        <v>300</v>
      </c>
      <c r="C182">
        <v>1500</v>
      </c>
      <c r="D182">
        <v>1200</v>
      </c>
      <c r="E182" t="s">
        <v>213</v>
      </c>
      <c r="F182" s="82">
        <v>42335</v>
      </c>
      <c r="G182" t="s">
        <v>180</v>
      </c>
      <c r="H182">
        <v>1</v>
      </c>
      <c r="I182">
        <v>300</v>
      </c>
      <c r="J182">
        <v>1500</v>
      </c>
      <c r="K182">
        <v>1200</v>
      </c>
      <c r="L182">
        <v>0</v>
      </c>
    </row>
    <row r="183" spans="1:12" x14ac:dyDescent="0.25">
      <c r="A183">
        <v>193</v>
      </c>
      <c r="B183">
        <v>1500</v>
      </c>
      <c r="C183">
        <v>2500</v>
      </c>
      <c r="D183">
        <v>1000</v>
      </c>
      <c r="E183" t="s">
        <v>213</v>
      </c>
      <c r="F183" s="82">
        <v>42334</v>
      </c>
      <c r="G183" t="s">
        <v>180</v>
      </c>
      <c r="H183">
        <v>1</v>
      </c>
      <c r="I183">
        <v>1500</v>
      </c>
      <c r="J183">
        <v>2500</v>
      </c>
      <c r="K183">
        <v>1000</v>
      </c>
      <c r="L183">
        <v>0</v>
      </c>
    </row>
    <row r="184" spans="1:12" x14ac:dyDescent="0.25">
      <c r="A184">
        <v>192</v>
      </c>
      <c r="B184">
        <v>2500</v>
      </c>
      <c r="C184">
        <v>4000</v>
      </c>
      <c r="D184">
        <v>1500</v>
      </c>
      <c r="E184" t="s">
        <v>213</v>
      </c>
      <c r="F184" s="82">
        <v>42333</v>
      </c>
      <c r="G184" t="s">
        <v>180</v>
      </c>
      <c r="H184">
        <v>1</v>
      </c>
      <c r="I184">
        <v>2500</v>
      </c>
      <c r="J184">
        <v>4000</v>
      </c>
      <c r="K184">
        <v>1500</v>
      </c>
      <c r="L184">
        <v>0</v>
      </c>
    </row>
    <row r="185" spans="1:12" x14ac:dyDescent="0.25">
      <c r="A185">
        <v>191</v>
      </c>
      <c r="B185">
        <v>4000</v>
      </c>
      <c r="C185">
        <v>4500</v>
      </c>
      <c r="D185">
        <v>500</v>
      </c>
      <c r="E185" t="s">
        <v>213</v>
      </c>
      <c r="F185" s="82">
        <v>42332</v>
      </c>
      <c r="G185" t="s">
        <v>180</v>
      </c>
      <c r="H185">
        <v>2</v>
      </c>
      <c r="I185">
        <v>4000</v>
      </c>
      <c r="J185">
        <v>4500</v>
      </c>
      <c r="K185">
        <v>500</v>
      </c>
      <c r="L185">
        <v>0</v>
      </c>
    </row>
    <row r="186" spans="1:12" x14ac:dyDescent="0.25">
      <c r="A186">
        <v>200</v>
      </c>
      <c r="B186">
        <v>4500</v>
      </c>
      <c r="C186">
        <v>4600</v>
      </c>
      <c r="D186">
        <v>100</v>
      </c>
      <c r="E186" t="s">
        <v>213</v>
      </c>
      <c r="F186" s="82">
        <v>42341</v>
      </c>
      <c r="G186" t="s">
        <v>180</v>
      </c>
      <c r="H186">
        <v>2</v>
      </c>
      <c r="I186">
        <v>4500</v>
      </c>
      <c r="J186">
        <v>4600</v>
      </c>
      <c r="K186">
        <v>100</v>
      </c>
      <c r="L186">
        <v>0</v>
      </c>
    </row>
    <row r="187" spans="1:12" x14ac:dyDescent="0.25">
      <c r="A187">
        <v>195</v>
      </c>
      <c r="B187">
        <v>4600</v>
      </c>
      <c r="C187">
        <v>5600</v>
      </c>
      <c r="D187">
        <v>1000</v>
      </c>
      <c r="E187" t="s">
        <v>213</v>
      </c>
      <c r="F187" s="82">
        <v>42336</v>
      </c>
      <c r="G187" t="s">
        <v>180</v>
      </c>
      <c r="H187">
        <v>1</v>
      </c>
      <c r="I187">
        <v>4600</v>
      </c>
      <c r="J187">
        <v>5600</v>
      </c>
      <c r="K187">
        <v>1000</v>
      </c>
      <c r="L187">
        <v>0</v>
      </c>
    </row>
    <row r="188" spans="1:12" x14ac:dyDescent="0.25">
      <c r="A188">
        <v>196</v>
      </c>
      <c r="B188">
        <v>5600</v>
      </c>
      <c r="C188">
        <v>6800</v>
      </c>
      <c r="D188">
        <v>1200</v>
      </c>
      <c r="E188" t="s">
        <v>213</v>
      </c>
      <c r="F188" s="82">
        <v>42338</v>
      </c>
      <c r="G188" t="s">
        <v>180</v>
      </c>
      <c r="H188">
        <v>1</v>
      </c>
      <c r="I188">
        <v>5600</v>
      </c>
      <c r="J188">
        <v>6800</v>
      </c>
      <c r="K188">
        <v>1200</v>
      </c>
      <c r="L188">
        <v>0</v>
      </c>
    </row>
    <row r="189" spans="1:12" x14ac:dyDescent="0.25">
      <c r="A189">
        <v>201</v>
      </c>
      <c r="B189">
        <v>6800</v>
      </c>
      <c r="C189">
        <v>7000</v>
      </c>
      <c r="D189">
        <v>200</v>
      </c>
      <c r="E189" t="s">
        <v>213</v>
      </c>
      <c r="F189" s="82">
        <v>42341</v>
      </c>
      <c r="G189" t="s">
        <v>180</v>
      </c>
      <c r="H189">
        <v>1</v>
      </c>
      <c r="I189">
        <v>6800</v>
      </c>
      <c r="J189">
        <v>7000</v>
      </c>
      <c r="K189">
        <v>200</v>
      </c>
      <c r="L189">
        <v>0</v>
      </c>
    </row>
    <row r="190" spans="1:12" x14ac:dyDescent="0.25">
      <c r="A190">
        <v>199</v>
      </c>
      <c r="B190">
        <v>7000</v>
      </c>
      <c r="C190">
        <v>8000</v>
      </c>
      <c r="D190">
        <v>1000</v>
      </c>
      <c r="E190" t="s">
        <v>213</v>
      </c>
      <c r="F190" s="82">
        <v>42340</v>
      </c>
      <c r="G190" t="s">
        <v>180</v>
      </c>
      <c r="H190">
        <v>1</v>
      </c>
      <c r="I190">
        <v>7000</v>
      </c>
      <c r="J190">
        <v>8000</v>
      </c>
      <c r="K190">
        <v>1000</v>
      </c>
      <c r="L190">
        <v>0</v>
      </c>
    </row>
    <row r="191" spans="1:12" x14ac:dyDescent="0.25">
      <c r="A191">
        <v>198</v>
      </c>
      <c r="B191">
        <v>8000</v>
      </c>
      <c r="C191">
        <v>9000</v>
      </c>
      <c r="D191">
        <v>1000</v>
      </c>
      <c r="E191" t="s">
        <v>213</v>
      </c>
      <c r="F191" s="82">
        <v>42339</v>
      </c>
      <c r="G191" t="s">
        <v>180</v>
      </c>
      <c r="H191">
        <v>1</v>
      </c>
      <c r="I191">
        <v>8000</v>
      </c>
      <c r="J191">
        <v>9000</v>
      </c>
      <c r="K191">
        <v>1000</v>
      </c>
      <c r="L191">
        <v>0</v>
      </c>
    </row>
    <row r="192" spans="1:12" x14ac:dyDescent="0.25">
      <c r="A192">
        <v>190</v>
      </c>
      <c r="B192">
        <v>9000</v>
      </c>
      <c r="C192">
        <v>9500</v>
      </c>
      <c r="D192">
        <v>500</v>
      </c>
      <c r="E192" t="s">
        <v>213</v>
      </c>
      <c r="F192" s="82">
        <v>42332</v>
      </c>
      <c r="G192" t="s">
        <v>180</v>
      </c>
      <c r="H192">
        <v>1</v>
      </c>
      <c r="I192">
        <v>9000</v>
      </c>
      <c r="J192">
        <v>9500</v>
      </c>
      <c r="K192">
        <v>500</v>
      </c>
      <c r="L192">
        <v>0</v>
      </c>
    </row>
    <row r="193" spans="1:12" x14ac:dyDescent="0.25">
      <c r="A193">
        <v>189</v>
      </c>
      <c r="B193">
        <v>9500</v>
      </c>
      <c r="C193">
        <v>11500</v>
      </c>
      <c r="D193">
        <v>2000</v>
      </c>
      <c r="E193" t="s">
        <v>213</v>
      </c>
      <c r="F193" s="82">
        <v>42331</v>
      </c>
      <c r="G193" t="s">
        <v>180</v>
      </c>
      <c r="H193">
        <v>1</v>
      </c>
      <c r="I193">
        <v>9500</v>
      </c>
      <c r="J193">
        <v>11500</v>
      </c>
      <c r="K193">
        <v>2000</v>
      </c>
      <c r="L193">
        <v>0</v>
      </c>
    </row>
    <row r="194" spans="1:12" x14ac:dyDescent="0.25">
      <c r="A194">
        <v>188</v>
      </c>
      <c r="B194">
        <v>11500</v>
      </c>
      <c r="C194">
        <v>12000</v>
      </c>
      <c r="D194">
        <v>500</v>
      </c>
      <c r="E194" t="s">
        <v>213</v>
      </c>
      <c r="F194" s="82">
        <v>42329</v>
      </c>
      <c r="G194" t="s">
        <v>180</v>
      </c>
      <c r="H194">
        <v>1</v>
      </c>
      <c r="I194">
        <v>11500</v>
      </c>
      <c r="J194">
        <v>12000</v>
      </c>
      <c r="K194">
        <v>500</v>
      </c>
      <c r="L194">
        <v>0</v>
      </c>
    </row>
    <row r="195" spans="1:12" x14ac:dyDescent="0.25">
      <c r="A195">
        <v>187</v>
      </c>
      <c r="B195">
        <v>12000</v>
      </c>
      <c r="C195">
        <v>13000</v>
      </c>
      <c r="D195">
        <v>1000</v>
      </c>
      <c r="E195" t="s">
        <v>213</v>
      </c>
      <c r="F195" s="82">
        <v>42328</v>
      </c>
      <c r="G195" t="s">
        <v>180</v>
      </c>
      <c r="H195">
        <v>1</v>
      </c>
      <c r="I195">
        <v>12000</v>
      </c>
      <c r="J195">
        <v>13000</v>
      </c>
      <c r="K195">
        <v>1000</v>
      </c>
      <c r="L195">
        <v>0</v>
      </c>
    </row>
    <row r="196" spans="1:12" x14ac:dyDescent="0.25">
      <c r="A196">
        <v>186</v>
      </c>
      <c r="B196">
        <v>13000</v>
      </c>
      <c r="C196">
        <v>14000</v>
      </c>
      <c r="D196">
        <v>1000</v>
      </c>
      <c r="E196" t="s">
        <v>213</v>
      </c>
      <c r="F196" s="82">
        <v>42327</v>
      </c>
      <c r="G196" t="s">
        <v>180</v>
      </c>
      <c r="H196">
        <v>1</v>
      </c>
      <c r="I196">
        <v>13000</v>
      </c>
      <c r="J196">
        <v>14000</v>
      </c>
      <c r="K196">
        <v>1000</v>
      </c>
      <c r="L196">
        <v>0</v>
      </c>
    </row>
    <row r="197" spans="1:12" x14ac:dyDescent="0.25">
      <c r="A197">
        <v>185</v>
      </c>
      <c r="B197">
        <v>14000</v>
      </c>
      <c r="C197">
        <v>14500</v>
      </c>
      <c r="D197">
        <v>500</v>
      </c>
      <c r="E197" t="s">
        <v>213</v>
      </c>
      <c r="F197" s="82">
        <v>42326</v>
      </c>
      <c r="G197" t="s">
        <v>180</v>
      </c>
      <c r="H197">
        <v>1</v>
      </c>
      <c r="I197">
        <v>14000</v>
      </c>
      <c r="J197">
        <v>14500</v>
      </c>
      <c r="K197">
        <v>500</v>
      </c>
      <c r="L197">
        <v>0</v>
      </c>
    </row>
    <row r="198" spans="1:12" x14ac:dyDescent="0.25">
      <c r="A198">
        <v>184</v>
      </c>
      <c r="B198">
        <v>14500</v>
      </c>
      <c r="C198">
        <v>15400</v>
      </c>
      <c r="D198">
        <v>900</v>
      </c>
      <c r="E198" t="s">
        <v>213</v>
      </c>
      <c r="F198" s="82">
        <v>42325</v>
      </c>
      <c r="G198" t="s">
        <v>180</v>
      </c>
      <c r="H198">
        <v>1</v>
      </c>
      <c r="I198">
        <v>14500</v>
      </c>
      <c r="J198">
        <v>15400</v>
      </c>
      <c r="K198">
        <v>900</v>
      </c>
      <c r="L198">
        <v>0</v>
      </c>
    </row>
    <row r="199" spans="1:12" x14ac:dyDescent="0.25">
      <c r="A199">
        <v>183</v>
      </c>
      <c r="B199">
        <v>15400</v>
      </c>
      <c r="C199">
        <v>17100</v>
      </c>
      <c r="D199">
        <v>1700</v>
      </c>
      <c r="E199" t="s">
        <v>213</v>
      </c>
      <c r="F199" s="82">
        <v>42324</v>
      </c>
      <c r="G199" t="s">
        <v>180</v>
      </c>
      <c r="H199">
        <v>1</v>
      </c>
      <c r="I199">
        <v>15400</v>
      </c>
      <c r="J199">
        <v>17100</v>
      </c>
      <c r="K199">
        <v>1700</v>
      </c>
      <c r="L199">
        <v>0</v>
      </c>
    </row>
    <row r="200" spans="1:12" x14ac:dyDescent="0.25">
      <c r="A200">
        <v>182</v>
      </c>
      <c r="B200">
        <v>17100</v>
      </c>
      <c r="C200">
        <v>17500</v>
      </c>
      <c r="D200">
        <v>400</v>
      </c>
      <c r="E200" t="s">
        <v>213</v>
      </c>
      <c r="F200" s="82">
        <v>42322</v>
      </c>
      <c r="G200" t="s">
        <v>180</v>
      </c>
      <c r="H200">
        <v>1</v>
      </c>
      <c r="I200">
        <v>17100</v>
      </c>
      <c r="J200">
        <v>17500</v>
      </c>
      <c r="K200">
        <v>400</v>
      </c>
      <c r="L200">
        <v>0</v>
      </c>
    </row>
    <row r="201" spans="1:12" x14ac:dyDescent="0.25">
      <c r="A201">
        <v>181</v>
      </c>
      <c r="B201">
        <v>17500</v>
      </c>
      <c r="C201">
        <v>18200</v>
      </c>
      <c r="D201">
        <v>700</v>
      </c>
      <c r="E201" t="s">
        <v>213</v>
      </c>
      <c r="F201" s="82">
        <v>42321</v>
      </c>
      <c r="G201" t="s">
        <v>180</v>
      </c>
      <c r="H201">
        <v>1</v>
      </c>
      <c r="I201">
        <v>17500</v>
      </c>
      <c r="J201">
        <v>18200</v>
      </c>
      <c r="K201">
        <v>700</v>
      </c>
      <c r="L201">
        <v>0</v>
      </c>
    </row>
    <row r="202" spans="1:12" x14ac:dyDescent="0.25">
      <c r="A202">
        <v>180</v>
      </c>
      <c r="B202">
        <v>18200</v>
      </c>
      <c r="C202">
        <v>19200</v>
      </c>
      <c r="D202">
        <v>1000</v>
      </c>
      <c r="E202" t="s">
        <v>213</v>
      </c>
      <c r="F202" s="82">
        <v>42320</v>
      </c>
      <c r="G202" t="s">
        <v>180</v>
      </c>
      <c r="H202">
        <v>1</v>
      </c>
      <c r="I202">
        <v>18200</v>
      </c>
      <c r="J202">
        <v>19200</v>
      </c>
      <c r="K202">
        <v>1000</v>
      </c>
      <c r="L202">
        <v>0</v>
      </c>
    </row>
    <row r="203" spans="1:12" x14ac:dyDescent="0.25">
      <c r="A203">
        <v>179</v>
      </c>
      <c r="B203">
        <v>19200</v>
      </c>
      <c r="C203">
        <v>20200</v>
      </c>
      <c r="D203">
        <v>1000</v>
      </c>
      <c r="E203" t="s">
        <v>213</v>
      </c>
      <c r="F203" s="82">
        <v>42319</v>
      </c>
      <c r="G203" t="s">
        <v>180</v>
      </c>
      <c r="H203">
        <v>1</v>
      </c>
      <c r="I203">
        <v>19200</v>
      </c>
      <c r="J203">
        <v>20200</v>
      </c>
      <c r="K203">
        <v>1000</v>
      </c>
      <c r="L203">
        <v>0</v>
      </c>
    </row>
    <row r="204" spans="1:12" x14ac:dyDescent="0.25">
      <c r="A204">
        <v>178</v>
      </c>
      <c r="B204">
        <v>20200</v>
      </c>
      <c r="C204">
        <v>21500</v>
      </c>
      <c r="D204">
        <v>1300</v>
      </c>
      <c r="E204" t="s">
        <v>213</v>
      </c>
      <c r="F204" s="82">
        <v>42318</v>
      </c>
      <c r="G204" t="s">
        <v>180</v>
      </c>
      <c r="H204">
        <v>1</v>
      </c>
      <c r="I204">
        <v>20200</v>
      </c>
      <c r="J204">
        <v>21500</v>
      </c>
      <c r="K204">
        <v>1300</v>
      </c>
      <c r="L204">
        <v>0</v>
      </c>
    </row>
    <row r="205" spans="1:12" x14ac:dyDescent="0.25">
      <c r="A205">
        <v>177</v>
      </c>
      <c r="B205">
        <v>21500</v>
      </c>
      <c r="C205">
        <v>22300</v>
      </c>
      <c r="D205">
        <v>800</v>
      </c>
      <c r="E205" t="s">
        <v>213</v>
      </c>
      <c r="F205" s="82">
        <v>42318</v>
      </c>
      <c r="G205" t="s">
        <v>180</v>
      </c>
      <c r="H205">
        <v>2</v>
      </c>
      <c r="I205">
        <v>21500</v>
      </c>
      <c r="J205">
        <v>22300</v>
      </c>
      <c r="K205">
        <v>800</v>
      </c>
      <c r="L205">
        <v>0</v>
      </c>
    </row>
    <row r="206" spans="1:12" x14ac:dyDescent="0.25">
      <c r="A206">
        <v>176</v>
      </c>
      <c r="B206">
        <v>22300</v>
      </c>
      <c r="C206">
        <v>23000</v>
      </c>
      <c r="D206">
        <v>700</v>
      </c>
      <c r="E206" t="s">
        <v>213</v>
      </c>
      <c r="F206" s="82">
        <v>42317</v>
      </c>
      <c r="G206" t="s">
        <v>180</v>
      </c>
      <c r="H206">
        <v>1</v>
      </c>
      <c r="I206">
        <v>22300</v>
      </c>
      <c r="J206">
        <v>23000</v>
      </c>
      <c r="K206">
        <v>700</v>
      </c>
      <c r="L206">
        <v>0</v>
      </c>
    </row>
    <row r="207" spans="1:12" x14ac:dyDescent="0.25">
      <c r="A207">
        <v>175</v>
      </c>
      <c r="B207">
        <v>23000</v>
      </c>
      <c r="C207">
        <v>24200</v>
      </c>
      <c r="D207">
        <v>1200</v>
      </c>
      <c r="E207" t="s">
        <v>213</v>
      </c>
      <c r="F207" s="82">
        <v>42315</v>
      </c>
      <c r="G207" t="s">
        <v>180</v>
      </c>
      <c r="H207">
        <v>1</v>
      </c>
      <c r="I207">
        <v>23000</v>
      </c>
      <c r="J207">
        <v>24200</v>
      </c>
      <c r="K207">
        <v>1200</v>
      </c>
      <c r="L207">
        <v>0</v>
      </c>
    </row>
    <row r="208" spans="1:12" x14ac:dyDescent="0.25">
      <c r="A208">
        <v>174</v>
      </c>
      <c r="B208">
        <v>24200</v>
      </c>
      <c r="C208">
        <v>24700</v>
      </c>
      <c r="D208">
        <v>500</v>
      </c>
      <c r="E208" t="s">
        <v>213</v>
      </c>
      <c r="F208" s="82">
        <v>42314</v>
      </c>
      <c r="G208" t="s">
        <v>180</v>
      </c>
      <c r="H208">
        <v>1</v>
      </c>
      <c r="I208">
        <v>24200</v>
      </c>
      <c r="J208">
        <v>24700</v>
      </c>
      <c r="K208">
        <v>500</v>
      </c>
      <c r="L208">
        <v>0</v>
      </c>
    </row>
    <row r="209" spans="1:12" x14ac:dyDescent="0.25">
      <c r="B209">
        <v>24700</v>
      </c>
      <c r="C209">
        <v>287500</v>
      </c>
      <c r="D209">
        <v>262800</v>
      </c>
      <c r="E209" t="s">
        <v>213</v>
      </c>
      <c r="G209" t="s">
        <v>193</v>
      </c>
    </row>
    <row r="210" spans="1:12" x14ac:dyDescent="0.25">
      <c r="A210">
        <v>222</v>
      </c>
      <c r="B210">
        <v>0</v>
      </c>
      <c r="C210">
        <v>300</v>
      </c>
      <c r="D210">
        <v>300</v>
      </c>
      <c r="E210" t="s">
        <v>215</v>
      </c>
      <c r="F210" s="82">
        <v>42336</v>
      </c>
      <c r="G210" t="s">
        <v>180</v>
      </c>
      <c r="H210">
        <v>1</v>
      </c>
      <c r="I210">
        <v>0</v>
      </c>
      <c r="J210">
        <v>300</v>
      </c>
      <c r="K210">
        <v>300</v>
      </c>
      <c r="L210">
        <v>0</v>
      </c>
    </row>
    <row r="211" spans="1:12" x14ac:dyDescent="0.25">
      <c r="A211">
        <v>223</v>
      </c>
      <c r="B211">
        <v>300</v>
      </c>
      <c r="C211">
        <v>1500</v>
      </c>
      <c r="D211">
        <v>1200</v>
      </c>
      <c r="E211" t="s">
        <v>215</v>
      </c>
      <c r="F211" s="82">
        <v>42338</v>
      </c>
      <c r="G211" t="s">
        <v>180</v>
      </c>
      <c r="H211">
        <v>1</v>
      </c>
      <c r="I211">
        <v>300</v>
      </c>
      <c r="J211">
        <v>1500</v>
      </c>
      <c r="K211">
        <v>1200</v>
      </c>
      <c r="L211">
        <v>0</v>
      </c>
    </row>
    <row r="212" spans="1:12" x14ac:dyDescent="0.25">
      <c r="A212">
        <v>221</v>
      </c>
      <c r="B212">
        <v>1500</v>
      </c>
      <c r="C212">
        <v>2500</v>
      </c>
      <c r="D212">
        <v>1000</v>
      </c>
      <c r="E212" t="s">
        <v>215</v>
      </c>
      <c r="F212" s="82">
        <v>42335</v>
      </c>
      <c r="G212" t="s">
        <v>180</v>
      </c>
      <c r="H212">
        <v>1</v>
      </c>
      <c r="I212">
        <v>1500</v>
      </c>
      <c r="J212">
        <v>2500</v>
      </c>
      <c r="K212">
        <v>1000</v>
      </c>
      <c r="L212">
        <v>0</v>
      </c>
    </row>
    <row r="213" spans="1:12" x14ac:dyDescent="0.25">
      <c r="A213">
        <v>220</v>
      </c>
      <c r="B213">
        <v>2500</v>
      </c>
      <c r="C213">
        <v>4500</v>
      </c>
      <c r="D213">
        <v>2000</v>
      </c>
      <c r="E213" t="s">
        <v>215</v>
      </c>
      <c r="F213" s="82">
        <v>42334</v>
      </c>
      <c r="G213" t="s">
        <v>180</v>
      </c>
      <c r="H213">
        <v>1</v>
      </c>
      <c r="I213">
        <v>2500</v>
      </c>
      <c r="J213">
        <v>4500</v>
      </c>
      <c r="K213">
        <v>2000</v>
      </c>
      <c r="L213">
        <v>0</v>
      </c>
    </row>
    <row r="214" spans="1:12" x14ac:dyDescent="0.25">
      <c r="A214">
        <v>224</v>
      </c>
      <c r="B214">
        <v>4500</v>
      </c>
      <c r="C214">
        <v>6000</v>
      </c>
      <c r="D214">
        <v>1500</v>
      </c>
      <c r="E214" t="s">
        <v>215</v>
      </c>
      <c r="F214" s="82">
        <v>42338</v>
      </c>
      <c r="G214" t="s">
        <v>180</v>
      </c>
      <c r="H214">
        <v>2</v>
      </c>
      <c r="I214">
        <v>4500</v>
      </c>
      <c r="J214">
        <v>6000</v>
      </c>
      <c r="K214">
        <v>1500</v>
      </c>
      <c r="L214">
        <v>0</v>
      </c>
    </row>
    <row r="215" spans="1:12" x14ac:dyDescent="0.25">
      <c r="A215">
        <v>227</v>
      </c>
      <c r="B215">
        <v>6000</v>
      </c>
      <c r="C215">
        <v>6900</v>
      </c>
      <c r="D215">
        <v>900</v>
      </c>
      <c r="E215" t="s">
        <v>215</v>
      </c>
      <c r="F215" s="82">
        <v>42341</v>
      </c>
      <c r="G215" t="s">
        <v>180</v>
      </c>
      <c r="H215">
        <v>1</v>
      </c>
      <c r="I215">
        <v>6000</v>
      </c>
      <c r="J215">
        <v>6900</v>
      </c>
      <c r="K215">
        <v>900</v>
      </c>
      <c r="L215">
        <v>0</v>
      </c>
    </row>
    <row r="216" spans="1:12" x14ac:dyDescent="0.25">
      <c r="A216">
        <v>225</v>
      </c>
      <c r="B216">
        <v>6900</v>
      </c>
      <c r="C216">
        <v>7300</v>
      </c>
      <c r="D216">
        <v>400</v>
      </c>
      <c r="E216" t="s">
        <v>215</v>
      </c>
      <c r="F216" s="82">
        <v>42339</v>
      </c>
      <c r="G216" t="s">
        <v>180</v>
      </c>
      <c r="H216">
        <v>1</v>
      </c>
      <c r="I216">
        <v>6900</v>
      </c>
      <c r="J216">
        <v>7300</v>
      </c>
      <c r="K216">
        <v>400</v>
      </c>
      <c r="L216">
        <v>0</v>
      </c>
    </row>
    <row r="217" spans="1:12" x14ac:dyDescent="0.25">
      <c r="A217">
        <v>228</v>
      </c>
      <c r="B217">
        <v>7300</v>
      </c>
      <c r="C217">
        <v>8000</v>
      </c>
      <c r="D217">
        <v>700</v>
      </c>
      <c r="E217" t="s">
        <v>215</v>
      </c>
      <c r="F217" s="82">
        <v>42341</v>
      </c>
      <c r="G217" t="s">
        <v>180</v>
      </c>
      <c r="H217">
        <v>2</v>
      </c>
      <c r="I217">
        <v>7300</v>
      </c>
      <c r="J217">
        <v>8000</v>
      </c>
      <c r="K217">
        <v>700</v>
      </c>
      <c r="L217">
        <v>0</v>
      </c>
    </row>
    <row r="218" spans="1:12" x14ac:dyDescent="0.25">
      <c r="A218">
        <v>226</v>
      </c>
      <c r="B218">
        <v>8000</v>
      </c>
      <c r="C218">
        <v>8500</v>
      </c>
      <c r="D218">
        <v>500</v>
      </c>
      <c r="E218" t="s">
        <v>215</v>
      </c>
      <c r="F218" s="82">
        <v>42340</v>
      </c>
      <c r="G218" t="s">
        <v>180</v>
      </c>
      <c r="H218">
        <v>1</v>
      </c>
      <c r="I218">
        <v>8000</v>
      </c>
      <c r="J218">
        <v>8500</v>
      </c>
      <c r="K218">
        <v>500</v>
      </c>
      <c r="L218">
        <v>0</v>
      </c>
    </row>
    <row r="219" spans="1:12" x14ac:dyDescent="0.25">
      <c r="A219">
        <v>229</v>
      </c>
      <c r="B219">
        <v>8500</v>
      </c>
      <c r="C219">
        <v>9000</v>
      </c>
      <c r="D219">
        <v>500</v>
      </c>
      <c r="E219" t="s">
        <v>215</v>
      </c>
      <c r="F219" s="82">
        <v>42343</v>
      </c>
      <c r="G219" t="s">
        <v>180</v>
      </c>
      <c r="H219">
        <v>1</v>
      </c>
      <c r="I219">
        <v>8500</v>
      </c>
      <c r="J219">
        <v>9000</v>
      </c>
      <c r="K219">
        <v>500</v>
      </c>
      <c r="L219">
        <v>0</v>
      </c>
    </row>
    <row r="220" spans="1:12" x14ac:dyDescent="0.25">
      <c r="A220">
        <v>219</v>
      </c>
      <c r="B220">
        <v>9000</v>
      </c>
      <c r="C220">
        <v>9500</v>
      </c>
      <c r="D220">
        <v>500</v>
      </c>
      <c r="E220" t="s">
        <v>215</v>
      </c>
      <c r="F220" s="82">
        <v>42333</v>
      </c>
      <c r="G220" t="s">
        <v>180</v>
      </c>
      <c r="H220">
        <v>1</v>
      </c>
      <c r="I220">
        <v>9000</v>
      </c>
      <c r="J220">
        <v>9500</v>
      </c>
      <c r="K220">
        <v>500</v>
      </c>
      <c r="L220">
        <v>0</v>
      </c>
    </row>
    <row r="221" spans="1:12" x14ac:dyDescent="0.25">
      <c r="A221">
        <v>218</v>
      </c>
      <c r="B221">
        <v>9500</v>
      </c>
      <c r="C221">
        <v>9800</v>
      </c>
      <c r="D221">
        <v>300</v>
      </c>
      <c r="E221" t="s">
        <v>215</v>
      </c>
      <c r="F221" s="82">
        <v>42332</v>
      </c>
      <c r="G221" t="s">
        <v>180</v>
      </c>
      <c r="H221">
        <v>1</v>
      </c>
      <c r="I221">
        <v>9500</v>
      </c>
      <c r="J221">
        <v>9800</v>
      </c>
      <c r="K221">
        <v>300</v>
      </c>
      <c r="L221">
        <v>0</v>
      </c>
    </row>
    <row r="222" spans="1:12" x14ac:dyDescent="0.25">
      <c r="A222">
        <v>217</v>
      </c>
      <c r="B222">
        <v>9800</v>
      </c>
      <c r="C222">
        <v>11800</v>
      </c>
      <c r="D222">
        <v>2000</v>
      </c>
      <c r="E222" t="s">
        <v>215</v>
      </c>
      <c r="F222" s="82">
        <v>42331</v>
      </c>
      <c r="G222" t="s">
        <v>180</v>
      </c>
      <c r="H222">
        <v>1</v>
      </c>
      <c r="I222">
        <v>9800</v>
      </c>
      <c r="J222">
        <v>11800</v>
      </c>
      <c r="K222">
        <v>2000</v>
      </c>
      <c r="L222">
        <v>0</v>
      </c>
    </row>
    <row r="223" spans="1:12" x14ac:dyDescent="0.25">
      <c r="A223">
        <v>216</v>
      </c>
      <c r="B223">
        <v>11800</v>
      </c>
      <c r="C223">
        <v>12100</v>
      </c>
      <c r="D223">
        <v>300</v>
      </c>
      <c r="E223" t="s">
        <v>215</v>
      </c>
      <c r="F223" s="82">
        <v>42329</v>
      </c>
      <c r="G223" t="s">
        <v>180</v>
      </c>
      <c r="H223">
        <v>2</v>
      </c>
      <c r="I223">
        <v>11800</v>
      </c>
      <c r="J223">
        <v>12100</v>
      </c>
      <c r="K223">
        <v>300</v>
      </c>
      <c r="L223">
        <v>0</v>
      </c>
    </row>
    <row r="224" spans="1:12" x14ac:dyDescent="0.25">
      <c r="A224">
        <v>215</v>
      </c>
      <c r="B224">
        <v>12100</v>
      </c>
      <c r="C224">
        <v>12500</v>
      </c>
      <c r="D224">
        <v>400</v>
      </c>
      <c r="E224" t="s">
        <v>215</v>
      </c>
      <c r="F224" s="82">
        <v>42329</v>
      </c>
      <c r="G224" t="s">
        <v>180</v>
      </c>
      <c r="H224">
        <v>1</v>
      </c>
      <c r="I224">
        <v>12100</v>
      </c>
      <c r="J224">
        <v>12500</v>
      </c>
      <c r="K224">
        <v>400</v>
      </c>
      <c r="L224">
        <v>0</v>
      </c>
    </row>
    <row r="225" spans="1:12" x14ac:dyDescent="0.25">
      <c r="A225">
        <v>214</v>
      </c>
      <c r="B225">
        <v>12500</v>
      </c>
      <c r="C225">
        <v>14100</v>
      </c>
      <c r="D225">
        <v>1600</v>
      </c>
      <c r="E225" t="s">
        <v>215</v>
      </c>
      <c r="F225" s="82">
        <v>42328</v>
      </c>
      <c r="G225" t="s">
        <v>180</v>
      </c>
      <c r="H225">
        <v>1</v>
      </c>
      <c r="I225">
        <v>12500</v>
      </c>
      <c r="J225">
        <v>14100</v>
      </c>
      <c r="K225">
        <v>1600</v>
      </c>
      <c r="L225">
        <v>0</v>
      </c>
    </row>
    <row r="226" spans="1:12" x14ac:dyDescent="0.25">
      <c r="A226">
        <v>213</v>
      </c>
      <c r="B226">
        <v>14100</v>
      </c>
      <c r="C226">
        <v>15000</v>
      </c>
      <c r="D226">
        <v>900</v>
      </c>
      <c r="E226" t="s">
        <v>215</v>
      </c>
      <c r="F226" s="82">
        <v>42326</v>
      </c>
      <c r="G226" t="s">
        <v>180</v>
      </c>
      <c r="H226">
        <v>1</v>
      </c>
      <c r="I226">
        <v>14100</v>
      </c>
      <c r="J226">
        <v>15000</v>
      </c>
      <c r="K226">
        <v>900</v>
      </c>
      <c r="L226">
        <v>0</v>
      </c>
    </row>
    <row r="227" spans="1:12" x14ac:dyDescent="0.25">
      <c r="A227">
        <v>212</v>
      </c>
      <c r="B227">
        <v>15000</v>
      </c>
      <c r="C227">
        <v>15500</v>
      </c>
      <c r="D227">
        <v>500</v>
      </c>
      <c r="E227" t="s">
        <v>215</v>
      </c>
      <c r="F227" s="82">
        <v>42325</v>
      </c>
      <c r="G227" t="s">
        <v>180</v>
      </c>
      <c r="H227">
        <v>1</v>
      </c>
      <c r="I227">
        <v>15000</v>
      </c>
      <c r="J227">
        <v>15500</v>
      </c>
      <c r="K227">
        <v>500</v>
      </c>
      <c r="L227">
        <v>0</v>
      </c>
    </row>
    <row r="228" spans="1:12" x14ac:dyDescent="0.25">
      <c r="A228">
        <v>211</v>
      </c>
      <c r="B228">
        <v>15500</v>
      </c>
      <c r="C228">
        <v>17900</v>
      </c>
      <c r="D228">
        <v>2400</v>
      </c>
      <c r="E228" t="s">
        <v>215</v>
      </c>
      <c r="F228" s="82">
        <v>42324</v>
      </c>
      <c r="G228" t="s">
        <v>180</v>
      </c>
      <c r="H228">
        <v>1</v>
      </c>
      <c r="I228">
        <v>15500</v>
      </c>
      <c r="J228">
        <v>17900</v>
      </c>
      <c r="K228">
        <v>2400</v>
      </c>
      <c r="L228">
        <v>0</v>
      </c>
    </row>
    <row r="229" spans="1:12" x14ac:dyDescent="0.25">
      <c r="A229">
        <v>210</v>
      </c>
      <c r="B229">
        <v>17900</v>
      </c>
      <c r="C229">
        <v>18200</v>
      </c>
      <c r="D229">
        <v>300</v>
      </c>
      <c r="E229" t="s">
        <v>215</v>
      </c>
      <c r="F229" s="82">
        <v>42322</v>
      </c>
      <c r="G229" t="s">
        <v>180</v>
      </c>
      <c r="H229">
        <v>1</v>
      </c>
      <c r="I229">
        <v>17900</v>
      </c>
      <c r="J229">
        <v>18200</v>
      </c>
      <c r="K229">
        <v>300</v>
      </c>
      <c r="L229">
        <v>0</v>
      </c>
    </row>
    <row r="230" spans="1:12" x14ac:dyDescent="0.25">
      <c r="A230">
        <v>209</v>
      </c>
      <c r="B230">
        <v>18200</v>
      </c>
      <c r="C230">
        <v>18800</v>
      </c>
      <c r="D230">
        <v>600</v>
      </c>
      <c r="E230" t="s">
        <v>215</v>
      </c>
      <c r="F230" s="82">
        <v>42321</v>
      </c>
      <c r="G230" t="s">
        <v>180</v>
      </c>
      <c r="H230">
        <v>1</v>
      </c>
      <c r="I230">
        <v>18200</v>
      </c>
      <c r="J230">
        <v>18800</v>
      </c>
      <c r="K230">
        <v>600</v>
      </c>
      <c r="L230">
        <v>0</v>
      </c>
    </row>
    <row r="231" spans="1:12" x14ac:dyDescent="0.25">
      <c r="A231">
        <v>208</v>
      </c>
      <c r="B231">
        <v>18800</v>
      </c>
      <c r="C231">
        <v>19500</v>
      </c>
      <c r="D231">
        <v>700</v>
      </c>
      <c r="E231" t="s">
        <v>215</v>
      </c>
      <c r="F231" s="82">
        <v>42320</v>
      </c>
      <c r="G231" t="s">
        <v>180</v>
      </c>
      <c r="H231">
        <v>1</v>
      </c>
      <c r="I231">
        <v>18800</v>
      </c>
      <c r="J231">
        <v>19500</v>
      </c>
      <c r="K231">
        <v>700</v>
      </c>
      <c r="L231">
        <v>0</v>
      </c>
    </row>
    <row r="232" spans="1:12" x14ac:dyDescent="0.25">
      <c r="A232">
        <v>207</v>
      </c>
      <c r="B232">
        <v>19500</v>
      </c>
      <c r="C232">
        <v>19900</v>
      </c>
      <c r="D232">
        <v>400</v>
      </c>
      <c r="E232" t="s">
        <v>215</v>
      </c>
      <c r="F232" s="82">
        <v>42320</v>
      </c>
      <c r="G232" t="s">
        <v>180</v>
      </c>
      <c r="H232">
        <v>2</v>
      </c>
      <c r="I232">
        <v>19500</v>
      </c>
      <c r="J232">
        <v>19900</v>
      </c>
      <c r="K232">
        <v>400</v>
      </c>
      <c r="L232">
        <v>0</v>
      </c>
    </row>
    <row r="233" spans="1:12" x14ac:dyDescent="0.25">
      <c r="A233">
        <v>206</v>
      </c>
      <c r="B233">
        <v>19900</v>
      </c>
      <c r="C233">
        <v>20800</v>
      </c>
      <c r="D233">
        <v>900</v>
      </c>
      <c r="E233" t="s">
        <v>215</v>
      </c>
      <c r="F233" s="82">
        <v>42319</v>
      </c>
      <c r="G233" t="s">
        <v>180</v>
      </c>
      <c r="H233">
        <v>1</v>
      </c>
      <c r="I233">
        <v>19900</v>
      </c>
      <c r="J233">
        <v>20800</v>
      </c>
      <c r="K233">
        <v>900</v>
      </c>
      <c r="L233">
        <v>0</v>
      </c>
    </row>
    <row r="234" spans="1:12" x14ac:dyDescent="0.25">
      <c r="A234">
        <v>205</v>
      </c>
      <c r="B234">
        <v>20800</v>
      </c>
      <c r="C234">
        <v>21500</v>
      </c>
      <c r="D234">
        <v>700</v>
      </c>
      <c r="E234" t="s">
        <v>215</v>
      </c>
      <c r="F234" s="82">
        <v>42318</v>
      </c>
      <c r="G234" t="s">
        <v>180</v>
      </c>
      <c r="H234">
        <v>2</v>
      </c>
      <c r="I234">
        <v>20800</v>
      </c>
      <c r="J234">
        <v>21500</v>
      </c>
      <c r="K234">
        <v>700</v>
      </c>
      <c r="L234">
        <v>0</v>
      </c>
    </row>
    <row r="235" spans="1:12" x14ac:dyDescent="0.25">
      <c r="A235">
        <v>204</v>
      </c>
      <c r="B235">
        <v>21500</v>
      </c>
      <c r="C235">
        <v>22300</v>
      </c>
      <c r="D235">
        <v>800</v>
      </c>
      <c r="E235" t="s">
        <v>215</v>
      </c>
      <c r="F235" s="82">
        <v>42318</v>
      </c>
      <c r="G235" t="s">
        <v>180</v>
      </c>
      <c r="H235">
        <v>1</v>
      </c>
      <c r="I235">
        <v>21500</v>
      </c>
      <c r="J235">
        <v>22300</v>
      </c>
      <c r="K235">
        <v>800</v>
      </c>
      <c r="L235">
        <v>0</v>
      </c>
    </row>
    <row r="236" spans="1:12" x14ac:dyDescent="0.25">
      <c r="A236">
        <v>203</v>
      </c>
      <c r="B236">
        <v>22300</v>
      </c>
      <c r="C236">
        <v>23200</v>
      </c>
      <c r="D236">
        <v>900</v>
      </c>
      <c r="E236" t="s">
        <v>215</v>
      </c>
      <c r="F236" s="82">
        <v>42317</v>
      </c>
      <c r="G236" t="s">
        <v>180</v>
      </c>
      <c r="H236">
        <v>1</v>
      </c>
      <c r="I236">
        <v>22300</v>
      </c>
      <c r="J236">
        <v>23200</v>
      </c>
      <c r="K236">
        <v>900</v>
      </c>
      <c r="L236">
        <v>0</v>
      </c>
    </row>
    <row r="237" spans="1:12" x14ac:dyDescent="0.25">
      <c r="A237">
        <v>202</v>
      </c>
      <c r="B237">
        <v>23200</v>
      </c>
      <c r="C237">
        <v>24700</v>
      </c>
      <c r="D237">
        <v>1500</v>
      </c>
      <c r="E237" t="s">
        <v>215</v>
      </c>
      <c r="F237" s="82">
        <v>42315</v>
      </c>
      <c r="G237" t="s">
        <v>180</v>
      </c>
      <c r="H237">
        <v>1</v>
      </c>
      <c r="I237">
        <v>23200</v>
      </c>
      <c r="J237">
        <v>24700</v>
      </c>
      <c r="K237">
        <v>1500</v>
      </c>
      <c r="L237">
        <v>0</v>
      </c>
    </row>
    <row r="238" spans="1:12" x14ac:dyDescent="0.25">
      <c r="B238">
        <v>24700</v>
      </c>
      <c r="C238">
        <v>287500</v>
      </c>
      <c r="D238">
        <v>262800</v>
      </c>
      <c r="E238" t="s">
        <v>215</v>
      </c>
      <c r="G238" t="s">
        <v>193</v>
      </c>
    </row>
    <row r="239" spans="1:12" x14ac:dyDescent="0.25">
      <c r="A239">
        <v>251</v>
      </c>
      <c r="B239">
        <v>0</v>
      </c>
      <c r="C239">
        <v>600</v>
      </c>
      <c r="D239">
        <v>600</v>
      </c>
      <c r="E239" t="s">
        <v>214</v>
      </c>
      <c r="F239" s="82">
        <v>42341</v>
      </c>
      <c r="G239" t="s">
        <v>180</v>
      </c>
      <c r="H239">
        <v>2</v>
      </c>
      <c r="I239">
        <v>0</v>
      </c>
      <c r="J239">
        <v>600</v>
      </c>
      <c r="K239">
        <v>600</v>
      </c>
      <c r="L239">
        <v>0</v>
      </c>
    </row>
    <row r="240" spans="1:12" x14ac:dyDescent="0.25">
      <c r="A240">
        <v>248</v>
      </c>
      <c r="B240">
        <v>600</v>
      </c>
      <c r="C240">
        <v>1600</v>
      </c>
      <c r="D240">
        <v>1000</v>
      </c>
      <c r="E240" t="s">
        <v>214</v>
      </c>
      <c r="F240" s="82">
        <v>42338</v>
      </c>
      <c r="G240" t="s">
        <v>180</v>
      </c>
      <c r="H240">
        <v>1</v>
      </c>
      <c r="I240">
        <v>600</v>
      </c>
      <c r="J240">
        <v>1600</v>
      </c>
      <c r="K240">
        <v>1000</v>
      </c>
      <c r="L240">
        <v>0</v>
      </c>
    </row>
    <row r="241" spans="1:12" x14ac:dyDescent="0.25">
      <c r="A241">
        <v>247</v>
      </c>
      <c r="B241">
        <v>1600</v>
      </c>
      <c r="C241">
        <v>2600</v>
      </c>
      <c r="D241">
        <v>1000</v>
      </c>
      <c r="E241" t="s">
        <v>214</v>
      </c>
      <c r="F241" s="82">
        <v>42336</v>
      </c>
      <c r="G241" t="s">
        <v>180</v>
      </c>
      <c r="H241">
        <v>1</v>
      </c>
      <c r="I241">
        <v>1600</v>
      </c>
      <c r="J241">
        <v>2600</v>
      </c>
      <c r="K241">
        <v>1000</v>
      </c>
      <c r="L241">
        <v>0</v>
      </c>
    </row>
    <row r="242" spans="1:12" x14ac:dyDescent="0.25">
      <c r="A242">
        <v>246</v>
      </c>
      <c r="B242">
        <v>2600</v>
      </c>
      <c r="C242">
        <v>3100</v>
      </c>
      <c r="D242">
        <v>500</v>
      </c>
      <c r="E242" t="s">
        <v>214</v>
      </c>
      <c r="F242" s="82">
        <v>42335</v>
      </c>
      <c r="G242" t="s">
        <v>180</v>
      </c>
      <c r="H242">
        <v>1</v>
      </c>
      <c r="I242">
        <v>2600</v>
      </c>
      <c r="J242">
        <v>3100</v>
      </c>
      <c r="K242">
        <v>500</v>
      </c>
      <c r="L242">
        <v>0</v>
      </c>
    </row>
    <row r="243" spans="1:12" x14ac:dyDescent="0.25">
      <c r="A243">
        <v>245</v>
      </c>
      <c r="B243">
        <v>3100</v>
      </c>
      <c r="C243">
        <v>4100</v>
      </c>
      <c r="D243">
        <v>1000</v>
      </c>
      <c r="E243" t="s">
        <v>214</v>
      </c>
      <c r="F243" s="82">
        <v>42334</v>
      </c>
      <c r="G243" t="s">
        <v>180</v>
      </c>
      <c r="H243">
        <v>1</v>
      </c>
      <c r="I243">
        <v>3100</v>
      </c>
      <c r="J243">
        <v>4100</v>
      </c>
      <c r="K243">
        <v>1000</v>
      </c>
      <c r="L243">
        <v>0</v>
      </c>
    </row>
    <row r="244" spans="1:12" x14ac:dyDescent="0.25">
      <c r="A244">
        <v>250</v>
      </c>
      <c r="B244">
        <v>4100</v>
      </c>
      <c r="C244">
        <v>4900</v>
      </c>
      <c r="D244">
        <v>800</v>
      </c>
      <c r="E244" t="s">
        <v>214</v>
      </c>
      <c r="F244" s="82">
        <v>42340</v>
      </c>
      <c r="G244" t="s">
        <v>180</v>
      </c>
      <c r="H244">
        <v>1</v>
      </c>
      <c r="I244">
        <v>4100</v>
      </c>
      <c r="J244">
        <v>4900</v>
      </c>
      <c r="K244">
        <v>800</v>
      </c>
      <c r="L244">
        <v>0</v>
      </c>
    </row>
    <row r="245" spans="1:12" x14ac:dyDescent="0.25">
      <c r="A245">
        <v>249</v>
      </c>
      <c r="B245">
        <v>4900</v>
      </c>
      <c r="C245">
        <v>5100</v>
      </c>
      <c r="D245">
        <v>200</v>
      </c>
      <c r="E245" t="s">
        <v>214</v>
      </c>
      <c r="F245" s="82">
        <v>42339</v>
      </c>
      <c r="G245" t="s">
        <v>180</v>
      </c>
      <c r="H245">
        <v>1</v>
      </c>
      <c r="I245">
        <v>4900</v>
      </c>
      <c r="J245">
        <v>5100</v>
      </c>
      <c r="K245">
        <v>200</v>
      </c>
      <c r="L245">
        <v>0</v>
      </c>
    </row>
    <row r="246" spans="1:12" x14ac:dyDescent="0.25">
      <c r="A246">
        <v>253</v>
      </c>
      <c r="B246">
        <v>5100</v>
      </c>
      <c r="C246">
        <v>6000</v>
      </c>
      <c r="D246">
        <v>900</v>
      </c>
      <c r="E246" t="s">
        <v>214</v>
      </c>
      <c r="F246" s="82">
        <v>42342</v>
      </c>
      <c r="G246" t="s">
        <v>180</v>
      </c>
      <c r="H246">
        <v>2</v>
      </c>
      <c r="I246">
        <v>5100</v>
      </c>
      <c r="J246">
        <v>6000</v>
      </c>
      <c r="K246">
        <v>900</v>
      </c>
      <c r="L246">
        <v>0</v>
      </c>
    </row>
    <row r="247" spans="1:12" x14ac:dyDescent="0.25">
      <c r="A247">
        <v>256</v>
      </c>
      <c r="B247">
        <v>6000</v>
      </c>
      <c r="C247">
        <v>7000</v>
      </c>
      <c r="D247">
        <v>1000</v>
      </c>
      <c r="E247" t="s">
        <v>214</v>
      </c>
      <c r="F247" s="82">
        <v>42345</v>
      </c>
      <c r="G247" t="s">
        <v>180</v>
      </c>
      <c r="H247">
        <v>1</v>
      </c>
      <c r="I247">
        <v>6000</v>
      </c>
      <c r="J247">
        <v>7000</v>
      </c>
      <c r="K247">
        <v>1000</v>
      </c>
      <c r="L247">
        <v>0</v>
      </c>
    </row>
    <row r="248" spans="1:12" x14ac:dyDescent="0.25">
      <c r="A248">
        <v>257</v>
      </c>
      <c r="B248">
        <v>7000</v>
      </c>
      <c r="C248">
        <v>7800</v>
      </c>
      <c r="D248">
        <v>800</v>
      </c>
      <c r="E248" t="s">
        <v>214</v>
      </c>
      <c r="F248" s="82">
        <v>42346</v>
      </c>
      <c r="G248" t="s">
        <v>180</v>
      </c>
      <c r="H248">
        <v>1</v>
      </c>
      <c r="I248">
        <v>7000</v>
      </c>
      <c r="J248">
        <v>7800</v>
      </c>
      <c r="K248">
        <v>800</v>
      </c>
      <c r="L248">
        <v>0</v>
      </c>
    </row>
    <row r="249" spans="1:12" x14ac:dyDescent="0.25">
      <c r="B249">
        <v>7800</v>
      </c>
      <c r="C249">
        <v>8000</v>
      </c>
      <c r="D249">
        <v>200</v>
      </c>
      <c r="E249" t="s">
        <v>214</v>
      </c>
      <c r="G249" t="s">
        <v>193</v>
      </c>
    </row>
    <row r="250" spans="1:12" x14ac:dyDescent="0.25">
      <c r="A250">
        <v>254</v>
      </c>
      <c r="B250">
        <v>8000</v>
      </c>
      <c r="C250">
        <v>8100</v>
      </c>
      <c r="D250">
        <v>100</v>
      </c>
      <c r="E250" t="s">
        <v>214</v>
      </c>
      <c r="F250" s="82">
        <v>42342</v>
      </c>
      <c r="G250" t="s">
        <v>180</v>
      </c>
      <c r="H250">
        <v>1</v>
      </c>
      <c r="I250">
        <v>8000</v>
      </c>
      <c r="J250">
        <v>8300</v>
      </c>
      <c r="K250">
        <v>300</v>
      </c>
      <c r="L250">
        <v>200</v>
      </c>
    </row>
    <row r="251" spans="1:12" x14ac:dyDescent="0.25">
      <c r="A251">
        <v>252</v>
      </c>
      <c r="B251">
        <v>8100</v>
      </c>
      <c r="C251">
        <v>9000</v>
      </c>
      <c r="D251">
        <v>900</v>
      </c>
      <c r="E251" t="s">
        <v>214</v>
      </c>
      <c r="F251" s="82">
        <v>42341</v>
      </c>
      <c r="G251" t="s">
        <v>180</v>
      </c>
      <c r="H251">
        <v>1</v>
      </c>
      <c r="I251">
        <v>8100</v>
      </c>
      <c r="J251">
        <v>9000</v>
      </c>
      <c r="K251">
        <v>900</v>
      </c>
      <c r="L251">
        <v>0</v>
      </c>
    </row>
    <row r="252" spans="1:12" x14ac:dyDescent="0.25">
      <c r="A252">
        <v>244</v>
      </c>
      <c r="B252">
        <v>9000</v>
      </c>
      <c r="C252">
        <v>9700</v>
      </c>
      <c r="D252">
        <v>700</v>
      </c>
      <c r="E252" t="s">
        <v>214</v>
      </c>
      <c r="F252" s="82">
        <v>42333</v>
      </c>
      <c r="G252" t="s">
        <v>180</v>
      </c>
      <c r="H252">
        <v>1</v>
      </c>
      <c r="I252">
        <v>9000</v>
      </c>
      <c r="J252">
        <v>9700</v>
      </c>
      <c r="K252">
        <v>700</v>
      </c>
      <c r="L252">
        <v>0</v>
      </c>
    </row>
    <row r="253" spans="1:12" x14ac:dyDescent="0.25">
      <c r="A253">
        <v>243</v>
      </c>
      <c r="B253">
        <v>9700</v>
      </c>
      <c r="C253">
        <v>10100</v>
      </c>
      <c r="D253">
        <v>400</v>
      </c>
      <c r="E253" t="s">
        <v>214</v>
      </c>
      <c r="F253" s="82">
        <v>42332</v>
      </c>
      <c r="G253" t="s">
        <v>180</v>
      </c>
      <c r="H253">
        <v>1</v>
      </c>
      <c r="I253">
        <v>9700</v>
      </c>
      <c r="J253">
        <v>10100</v>
      </c>
      <c r="K253">
        <v>400</v>
      </c>
      <c r="L253">
        <v>0</v>
      </c>
    </row>
    <row r="254" spans="1:12" x14ac:dyDescent="0.25">
      <c r="A254">
        <v>255</v>
      </c>
      <c r="B254">
        <v>10100</v>
      </c>
      <c r="C254">
        <v>11300</v>
      </c>
      <c r="D254">
        <v>1200</v>
      </c>
      <c r="E254" t="s">
        <v>214</v>
      </c>
      <c r="F254" s="82">
        <v>42343</v>
      </c>
      <c r="G254" t="s">
        <v>180</v>
      </c>
      <c r="H254">
        <v>1</v>
      </c>
      <c r="I254">
        <v>10100</v>
      </c>
      <c r="J254">
        <v>11300</v>
      </c>
      <c r="K254">
        <v>1200</v>
      </c>
      <c r="L254">
        <v>0</v>
      </c>
    </row>
    <row r="255" spans="1:12" x14ac:dyDescent="0.25">
      <c r="A255">
        <v>242</v>
      </c>
      <c r="B255">
        <v>11300</v>
      </c>
      <c r="C255">
        <v>12300</v>
      </c>
      <c r="D255">
        <v>1000</v>
      </c>
      <c r="E255" t="s">
        <v>214</v>
      </c>
      <c r="F255" s="82">
        <v>42331</v>
      </c>
      <c r="G255" t="s">
        <v>180</v>
      </c>
      <c r="H255">
        <v>1</v>
      </c>
      <c r="I255">
        <v>11300</v>
      </c>
      <c r="J255">
        <v>12300</v>
      </c>
      <c r="K255">
        <v>1000</v>
      </c>
      <c r="L255">
        <v>0</v>
      </c>
    </row>
    <row r="256" spans="1:12" x14ac:dyDescent="0.25">
      <c r="A256">
        <v>241</v>
      </c>
      <c r="B256">
        <v>12300</v>
      </c>
      <c r="C256">
        <v>12800</v>
      </c>
      <c r="D256">
        <v>500</v>
      </c>
      <c r="E256" t="s">
        <v>214</v>
      </c>
      <c r="F256" s="82">
        <v>42329</v>
      </c>
      <c r="G256" t="s">
        <v>180</v>
      </c>
      <c r="H256">
        <v>1</v>
      </c>
      <c r="I256">
        <v>12300</v>
      </c>
      <c r="J256">
        <v>12800</v>
      </c>
      <c r="K256">
        <v>500</v>
      </c>
      <c r="L256">
        <v>0</v>
      </c>
    </row>
    <row r="257" spans="1:12" x14ac:dyDescent="0.25">
      <c r="A257">
        <v>240</v>
      </c>
      <c r="B257">
        <v>12800</v>
      </c>
      <c r="C257">
        <v>14400</v>
      </c>
      <c r="D257">
        <v>1600</v>
      </c>
      <c r="E257" t="s">
        <v>214</v>
      </c>
      <c r="F257" s="82">
        <v>42328</v>
      </c>
      <c r="G257" t="s">
        <v>180</v>
      </c>
      <c r="H257">
        <v>1</v>
      </c>
      <c r="I257">
        <v>12800</v>
      </c>
      <c r="J257">
        <v>14400</v>
      </c>
      <c r="K257">
        <v>1600</v>
      </c>
      <c r="L257">
        <v>0</v>
      </c>
    </row>
    <row r="258" spans="1:12" x14ac:dyDescent="0.25">
      <c r="A258">
        <v>239</v>
      </c>
      <c r="B258">
        <v>14400</v>
      </c>
      <c r="C258">
        <v>15100</v>
      </c>
      <c r="D258">
        <v>700</v>
      </c>
      <c r="E258" t="s">
        <v>214</v>
      </c>
      <c r="F258" s="82">
        <v>42326</v>
      </c>
      <c r="G258" t="s">
        <v>180</v>
      </c>
      <c r="H258">
        <v>1</v>
      </c>
      <c r="I258">
        <v>14400</v>
      </c>
      <c r="J258">
        <v>15100</v>
      </c>
      <c r="K258">
        <v>700</v>
      </c>
      <c r="L258">
        <v>0</v>
      </c>
    </row>
    <row r="259" spans="1:12" x14ac:dyDescent="0.25">
      <c r="A259">
        <v>237</v>
      </c>
      <c r="B259">
        <v>15100</v>
      </c>
      <c r="C259">
        <v>15900</v>
      </c>
      <c r="D259">
        <v>800</v>
      </c>
      <c r="E259" t="s">
        <v>214</v>
      </c>
      <c r="F259" s="82">
        <v>42325</v>
      </c>
      <c r="G259" t="s">
        <v>180</v>
      </c>
      <c r="H259">
        <v>1</v>
      </c>
      <c r="I259">
        <v>15100</v>
      </c>
      <c r="J259">
        <v>15900</v>
      </c>
      <c r="K259">
        <v>800</v>
      </c>
      <c r="L259">
        <v>0</v>
      </c>
    </row>
    <row r="260" spans="1:12" x14ac:dyDescent="0.25">
      <c r="A260">
        <v>236</v>
      </c>
      <c r="B260">
        <v>15900</v>
      </c>
      <c r="C260">
        <v>16600</v>
      </c>
      <c r="D260">
        <v>700</v>
      </c>
      <c r="E260" t="s">
        <v>214</v>
      </c>
      <c r="F260" s="82">
        <v>42324</v>
      </c>
      <c r="G260" t="s">
        <v>180</v>
      </c>
      <c r="H260">
        <v>1</v>
      </c>
      <c r="I260">
        <v>15900</v>
      </c>
      <c r="J260">
        <v>16600</v>
      </c>
      <c r="K260">
        <v>700</v>
      </c>
      <c r="L260">
        <v>0</v>
      </c>
    </row>
    <row r="261" spans="1:12" x14ac:dyDescent="0.25">
      <c r="A261">
        <v>238</v>
      </c>
      <c r="B261">
        <v>16600</v>
      </c>
      <c r="C261">
        <v>18400</v>
      </c>
      <c r="D261">
        <v>1800</v>
      </c>
      <c r="E261" t="s">
        <v>214</v>
      </c>
      <c r="F261" s="82">
        <v>42325</v>
      </c>
      <c r="G261" t="s">
        <v>180</v>
      </c>
      <c r="H261">
        <v>2</v>
      </c>
      <c r="I261">
        <v>16600</v>
      </c>
      <c r="J261">
        <v>18400</v>
      </c>
      <c r="K261">
        <v>1800</v>
      </c>
      <c r="L261">
        <v>0</v>
      </c>
    </row>
    <row r="262" spans="1:12" x14ac:dyDescent="0.25">
      <c r="A262">
        <v>235</v>
      </c>
      <c r="B262">
        <v>18400</v>
      </c>
      <c r="C262">
        <v>20400</v>
      </c>
      <c r="D262">
        <v>2000</v>
      </c>
      <c r="E262" t="s">
        <v>214</v>
      </c>
      <c r="F262" s="82">
        <v>42321</v>
      </c>
      <c r="G262" t="s">
        <v>180</v>
      </c>
      <c r="H262">
        <v>1</v>
      </c>
      <c r="I262">
        <v>18400</v>
      </c>
      <c r="J262">
        <v>20400</v>
      </c>
      <c r="K262">
        <v>2000</v>
      </c>
      <c r="L262">
        <v>0</v>
      </c>
    </row>
    <row r="263" spans="1:12" x14ac:dyDescent="0.25">
      <c r="A263">
        <v>234</v>
      </c>
      <c r="B263">
        <v>20400</v>
      </c>
      <c r="C263">
        <v>20800</v>
      </c>
      <c r="D263">
        <v>400</v>
      </c>
      <c r="E263" t="s">
        <v>214</v>
      </c>
      <c r="F263" s="82">
        <v>42320</v>
      </c>
      <c r="G263" t="s">
        <v>180</v>
      </c>
      <c r="H263">
        <v>1</v>
      </c>
      <c r="I263">
        <v>20400</v>
      </c>
      <c r="J263">
        <v>20800</v>
      </c>
      <c r="K263">
        <v>400</v>
      </c>
      <c r="L263">
        <v>0</v>
      </c>
    </row>
    <row r="264" spans="1:12" x14ac:dyDescent="0.25">
      <c r="A264">
        <v>233</v>
      </c>
      <c r="B264">
        <v>20800</v>
      </c>
      <c r="C264">
        <v>21700</v>
      </c>
      <c r="D264">
        <v>900</v>
      </c>
      <c r="E264" t="s">
        <v>214</v>
      </c>
      <c r="F264" s="82">
        <v>42319</v>
      </c>
      <c r="G264" t="s">
        <v>180</v>
      </c>
      <c r="H264">
        <v>1</v>
      </c>
      <c r="I264">
        <v>20800</v>
      </c>
      <c r="J264">
        <v>21700</v>
      </c>
      <c r="K264">
        <v>900</v>
      </c>
      <c r="L264">
        <v>0</v>
      </c>
    </row>
    <row r="265" spans="1:12" x14ac:dyDescent="0.25">
      <c r="A265">
        <v>232</v>
      </c>
      <c r="B265">
        <v>21700</v>
      </c>
      <c r="C265">
        <v>22500</v>
      </c>
      <c r="D265">
        <v>800</v>
      </c>
      <c r="E265" t="s">
        <v>214</v>
      </c>
      <c r="F265" s="82">
        <v>42318</v>
      </c>
      <c r="G265" t="s">
        <v>180</v>
      </c>
      <c r="H265">
        <v>1</v>
      </c>
      <c r="I265">
        <v>21700</v>
      </c>
      <c r="J265">
        <v>22500</v>
      </c>
      <c r="K265">
        <v>800</v>
      </c>
      <c r="L265">
        <v>0</v>
      </c>
    </row>
    <row r="266" spans="1:12" x14ac:dyDescent="0.25">
      <c r="A266">
        <v>231</v>
      </c>
      <c r="B266">
        <v>22500</v>
      </c>
      <c r="C266">
        <v>23200</v>
      </c>
      <c r="D266">
        <v>700</v>
      </c>
      <c r="E266" t="s">
        <v>214</v>
      </c>
      <c r="F266" s="82">
        <v>42317</v>
      </c>
      <c r="G266" t="s">
        <v>180</v>
      </c>
      <c r="H266">
        <v>1</v>
      </c>
      <c r="I266">
        <v>22500</v>
      </c>
      <c r="J266">
        <v>23200</v>
      </c>
      <c r="K266">
        <v>700</v>
      </c>
      <c r="L266">
        <v>0</v>
      </c>
    </row>
    <row r="267" spans="1:12" x14ac:dyDescent="0.25">
      <c r="A267">
        <v>230</v>
      </c>
      <c r="B267">
        <v>23200</v>
      </c>
      <c r="C267">
        <v>24700</v>
      </c>
      <c r="D267">
        <v>1500</v>
      </c>
      <c r="E267" t="s">
        <v>214</v>
      </c>
      <c r="F267" s="82">
        <v>42315</v>
      </c>
      <c r="G267" t="s">
        <v>180</v>
      </c>
      <c r="H267">
        <v>1</v>
      </c>
      <c r="I267">
        <v>23200</v>
      </c>
      <c r="J267">
        <v>24700</v>
      </c>
      <c r="K267">
        <v>1500</v>
      </c>
      <c r="L267">
        <v>0</v>
      </c>
    </row>
    <row r="268" spans="1:12" x14ac:dyDescent="0.25">
      <c r="B268">
        <v>24700</v>
      </c>
      <c r="C268">
        <v>287500</v>
      </c>
      <c r="D268">
        <v>262800</v>
      </c>
      <c r="E268" t="s">
        <v>214</v>
      </c>
      <c r="G268" t="s">
        <v>193</v>
      </c>
    </row>
    <row r="269" spans="1:12" x14ac:dyDescent="0.25">
      <c r="A269">
        <v>273</v>
      </c>
      <c r="B269">
        <v>0</v>
      </c>
      <c r="C269">
        <v>1200</v>
      </c>
      <c r="D269">
        <v>1200</v>
      </c>
      <c r="E269" t="s">
        <v>217</v>
      </c>
      <c r="F269" s="82">
        <v>42339</v>
      </c>
      <c r="G269" t="s">
        <v>180</v>
      </c>
      <c r="H269">
        <v>1</v>
      </c>
      <c r="I269">
        <v>0</v>
      </c>
      <c r="J269">
        <v>1200</v>
      </c>
      <c r="K269">
        <v>1200</v>
      </c>
      <c r="L269">
        <v>0</v>
      </c>
    </row>
    <row r="270" spans="1:12" x14ac:dyDescent="0.25">
      <c r="A270">
        <v>274</v>
      </c>
      <c r="B270">
        <v>1200</v>
      </c>
      <c r="C270">
        <v>2100</v>
      </c>
      <c r="D270">
        <v>900</v>
      </c>
      <c r="E270" t="s">
        <v>217</v>
      </c>
      <c r="F270" s="82">
        <v>42340</v>
      </c>
      <c r="G270" t="s">
        <v>180</v>
      </c>
      <c r="H270">
        <v>1</v>
      </c>
      <c r="I270">
        <v>1200</v>
      </c>
      <c r="J270">
        <v>2100</v>
      </c>
      <c r="K270">
        <v>900</v>
      </c>
      <c r="L270">
        <v>0</v>
      </c>
    </row>
    <row r="271" spans="1:12" x14ac:dyDescent="0.25">
      <c r="A271">
        <v>275</v>
      </c>
      <c r="B271">
        <v>2100</v>
      </c>
      <c r="C271">
        <v>3400</v>
      </c>
      <c r="D271">
        <v>1300</v>
      </c>
      <c r="E271" t="s">
        <v>217</v>
      </c>
      <c r="F271" s="82">
        <v>42341</v>
      </c>
      <c r="G271" t="s">
        <v>180</v>
      </c>
      <c r="H271">
        <v>1</v>
      </c>
      <c r="I271">
        <v>2100</v>
      </c>
      <c r="J271">
        <v>3400</v>
      </c>
      <c r="K271">
        <v>1300</v>
      </c>
      <c r="L271">
        <v>0</v>
      </c>
    </row>
    <row r="272" spans="1:12" x14ac:dyDescent="0.25">
      <c r="A272">
        <v>272</v>
      </c>
      <c r="B272">
        <v>3400</v>
      </c>
      <c r="C272">
        <v>4200</v>
      </c>
      <c r="D272">
        <v>800</v>
      </c>
      <c r="E272" t="s">
        <v>217</v>
      </c>
      <c r="F272" s="82">
        <v>42338</v>
      </c>
      <c r="G272" t="s">
        <v>180</v>
      </c>
      <c r="H272">
        <v>1</v>
      </c>
      <c r="I272">
        <v>3400</v>
      </c>
      <c r="J272">
        <v>4200</v>
      </c>
      <c r="K272">
        <v>800</v>
      </c>
      <c r="L272">
        <v>0</v>
      </c>
    </row>
    <row r="273" spans="1:12" x14ac:dyDescent="0.25">
      <c r="A273">
        <v>276</v>
      </c>
      <c r="B273">
        <v>4200</v>
      </c>
      <c r="C273">
        <v>6400</v>
      </c>
      <c r="D273">
        <v>2200</v>
      </c>
      <c r="E273" t="s">
        <v>217</v>
      </c>
      <c r="F273" s="82">
        <v>42343</v>
      </c>
      <c r="G273" t="s">
        <v>180</v>
      </c>
      <c r="H273">
        <v>1</v>
      </c>
      <c r="I273">
        <v>4200</v>
      </c>
      <c r="J273">
        <v>6400</v>
      </c>
      <c r="K273">
        <v>2200</v>
      </c>
      <c r="L273">
        <v>0</v>
      </c>
    </row>
    <row r="274" spans="1:12" x14ac:dyDescent="0.25">
      <c r="A274">
        <v>277</v>
      </c>
      <c r="B274">
        <v>6400</v>
      </c>
      <c r="C274">
        <v>7000</v>
      </c>
      <c r="D274">
        <v>600</v>
      </c>
      <c r="E274" t="s">
        <v>217</v>
      </c>
      <c r="F274" s="82">
        <v>42346</v>
      </c>
      <c r="G274" t="s">
        <v>180</v>
      </c>
      <c r="H274">
        <v>1</v>
      </c>
      <c r="I274">
        <v>6400</v>
      </c>
      <c r="J274">
        <v>7000</v>
      </c>
      <c r="K274">
        <v>600</v>
      </c>
      <c r="L274">
        <v>0</v>
      </c>
    </row>
    <row r="275" spans="1:12" x14ac:dyDescent="0.25">
      <c r="A275">
        <v>278</v>
      </c>
      <c r="B275">
        <v>7000</v>
      </c>
      <c r="C275">
        <v>8000</v>
      </c>
      <c r="D275">
        <v>1000</v>
      </c>
      <c r="E275" t="s">
        <v>217</v>
      </c>
      <c r="F275" s="82">
        <v>42347</v>
      </c>
      <c r="G275" t="s">
        <v>180</v>
      </c>
      <c r="H275">
        <v>1</v>
      </c>
      <c r="I275">
        <v>7000</v>
      </c>
      <c r="J275">
        <v>8000</v>
      </c>
      <c r="K275">
        <v>1000</v>
      </c>
      <c r="L275">
        <v>0</v>
      </c>
    </row>
    <row r="276" spans="1:12" x14ac:dyDescent="0.25">
      <c r="A276">
        <v>279</v>
      </c>
      <c r="B276">
        <v>8000</v>
      </c>
      <c r="C276">
        <v>8700</v>
      </c>
      <c r="D276">
        <v>700</v>
      </c>
      <c r="E276" t="s">
        <v>217</v>
      </c>
      <c r="F276" s="82">
        <v>42349</v>
      </c>
      <c r="G276" t="s">
        <v>180</v>
      </c>
      <c r="H276">
        <v>1</v>
      </c>
      <c r="I276">
        <v>8000</v>
      </c>
      <c r="J276">
        <v>8700</v>
      </c>
      <c r="K276">
        <v>700</v>
      </c>
      <c r="L276">
        <v>0</v>
      </c>
    </row>
    <row r="277" spans="1:12" x14ac:dyDescent="0.25">
      <c r="A277">
        <v>280</v>
      </c>
      <c r="B277">
        <v>8700</v>
      </c>
      <c r="C277">
        <v>9000</v>
      </c>
      <c r="D277">
        <v>300</v>
      </c>
      <c r="E277" t="s">
        <v>217</v>
      </c>
      <c r="F277" s="82">
        <v>42350</v>
      </c>
      <c r="G277" t="s">
        <v>180</v>
      </c>
      <c r="H277">
        <v>1</v>
      </c>
      <c r="I277">
        <v>8700</v>
      </c>
      <c r="J277">
        <v>9000</v>
      </c>
      <c r="K277">
        <v>300</v>
      </c>
      <c r="L277">
        <v>0</v>
      </c>
    </row>
    <row r="278" spans="1:12" x14ac:dyDescent="0.25">
      <c r="A278">
        <v>271</v>
      </c>
      <c r="B278">
        <v>9000</v>
      </c>
      <c r="C278">
        <v>11600</v>
      </c>
      <c r="D278">
        <v>2600</v>
      </c>
      <c r="E278" t="s">
        <v>217</v>
      </c>
      <c r="F278" s="82">
        <v>42336</v>
      </c>
      <c r="G278" t="s">
        <v>180</v>
      </c>
      <c r="H278">
        <v>1</v>
      </c>
      <c r="I278">
        <v>9000</v>
      </c>
      <c r="J278">
        <v>11600</v>
      </c>
      <c r="K278">
        <v>2600</v>
      </c>
      <c r="L278">
        <v>0</v>
      </c>
    </row>
    <row r="279" spans="1:12" x14ac:dyDescent="0.25">
      <c r="A279">
        <v>270</v>
      </c>
      <c r="B279">
        <v>11600</v>
      </c>
      <c r="C279">
        <v>12000</v>
      </c>
      <c r="D279">
        <v>400</v>
      </c>
      <c r="E279" t="s">
        <v>217</v>
      </c>
      <c r="F279" s="82">
        <v>42335</v>
      </c>
      <c r="G279" t="s">
        <v>180</v>
      </c>
      <c r="H279">
        <v>1</v>
      </c>
      <c r="I279">
        <v>11600</v>
      </c>
      <c r="J279">
        <v>12000</v>
      </c>
      <c r="K279">
        <v>400</v>
      </c>
      <c r="L279">
        <v>0</v>
      </c>
    </row>
    <row r="280" spans="1:12" x14ac:dyDescent="0.25">
      <c r="A280">
        <v>269</v>
      </c>
      <c r="B280">
        <v>12000</v>
      </c>
      <c r="C280">
        <v>13000</v>
      </c>
      <c r="D280">
        <v>1000</v>
      </c>
      <c r="E280" t="s">
        <v>217</v>
      </c>
      <c r="F280" s="82">
        <v>42334</v>
      </c>
      <c r="G280" t="s">
        <v>180</v>
      </c>
      <c r="H280">
        <v>1</v>
      </c>
      <c r="I280">
        <v>12000</v>
      </c>
      <c r="J280">
        <v>13000</v>
      </c>
      <c r="K280">
        <v>1000</v>
      </c>
      <c r="L280">
        <v>0</v>
      </c>
    </row>
    <row r="281" spans="1:12" x14ac:dyDescent="0.25">
      <c r="A281">
        <v>268</v>
      </c>
      <c r="B281">
        <v>13000</v>
      </c>
      <c r="C281">
        <v>15500</v>
      </c>
      <c r="D281">
        <v>2500</v>
      </c>
      <c r="E281" t="s">
        <v>217</v>
      </c>
      <c r="F281" s="82">
        <v>42332</v>
      </c>
      <c r="G281" t="s">
        <v>180</v>
      </c>
      <c r="H281">
        <v>1</v>
      </c>
      <c r="I281">
        <v>13000</v>
      </c>
      <c r="J281">
        <v>15500</v>
      </c>
      <c r="K281">
        <v>2500</v>
      </c>
      <c r="L281">
        <v>0</v>
      </c>
    </row>
    <row r="282" spans="1:12" x14ac:dyDescent="0.25">
      <c r="A282">
        <v>267</v>
      </c>
      <c r="B282">
        <v>15500</v>
      </c>
      <c r="C282">
        <v>16700</v>
      </c>
      <c r="D282">
        <v>1200</v>
      </c>
      <c r="E282" t="s">
        <v>217</v>
      </c>
      <c r="F282" s="82">
        <v>42331</v>
      </c>
      <c r="G282" t="s">
        <v>180</v>
      </c>
      <c r="H282">
        <v>1</v>
      </c>
      <c r="I282">
        <v>15500</v>
      </c>
      <c r="J282">
        <v>16700</v>
      </c>
      <c r="K282">
        <v>1200</v>
      </c>
      <c r="L282">
        <v>0</v>
      </c>
    </row>
    <row r="283" spans="1:12" x14ac:dyDescent="0.25">
      <c r="A283">
        <v>266</v>
      </c>
      <c r="B283">
        <v>16700</v>
      </c>
      <c r="C283">
        <v>17200</v>
      </c>
      <c r="D283">
        <v>500</v>
      </c>
      <c r="E283" t="s">
        <v>217</v>
      </c>
      <c r="F283" s="82">
        <v>42329</v>
      </c>
      <c r="G283" t="s">
        <v>180</v>
      </c>
      <c r="H283">
        <v>1</v>
      </c>
      <c r="I283">
        <v>16700</v>
      </c>
      <c r="J283">
        <v>17200</v>
      </c>
      <c r="K283">
        <v>500</v>
      </c>
      <c r="L283">
        <v>0</v>
      </c>
    </row>
    <row r="284" spans="1:12" x14ac:dyDescent="0.25">
      <c r="A284">
        <v>265</v>
      </c>
      <c r="B284">
        <v>17200</v>
      </c>
      <c r="C284">
        <v>17600</v>
      </c>
      <c r="D284">
        <v>400</v>
      </c>
      <c r="E284" t="s">
        <v>217</v>
      </c>
      <c r="F284" s="82">
        <v>42328</v>
      </c>
      <c r="G284" t="s">
        <v>180</v>
      </c>
      <c r="H284">
        <v>1</v>
      </c>
      <c r="I284">
        <v>17200</v>
      </c>
      <c r="J284">
        <v>17600</v>
      </c>
      <c r="K284">
        <v>400</v>
      </c>
      <c r="L284">
        <v>0</v>
      </c>
    </row>
    <row r="285" spans="1:12" x14ac:dyDescent="0.25">
      <c r="A285">
        <v>264</v>
      </c>
      <c r="B285">
        <v>17600</v>
      </c>
      <c r="C285">
        <v>18400</v>
      </c>
      <c r="D285">
        <v>800</v>
      </c>
      <c r="E285" t="s">
        <v>217</v>
      </c>
      <c r="F285" s="82">
        <v>42326</v>
      </c>
      <c r="G285" t="s">
        <v>180</v>
      </c>
      <c r="H285">
        <v>1</v>
      </c>
      <c r="I285">
        <v>17600</v>
      </c>
      <c r="J285">
        <v>18400</v>
      </c>
      <c r="K285">
        <v>800</v>
      </c>
      <c r="L285">
        <v>0</v>
      </c>
    </row>
    <row r="286" spans="1:12" x14ac:dyDescent="0.25">
      <c r="A286">
        <v>263</v>
      </c>
      <c r="B286">
        <v>18400</v>
      </c>
      <c r="C286">
        <v>20200</v>
      </c>
      <c r="D286">
        <v>1800</v>
      </c>
      <c r="E286" t="s">
        <v>217</v>
      </c>
      <c r="F286" s="82">
        <v>42324</v>
      </c>
      <c r="G286" t="s">
        <v>180</v>
      </c>
      <c r="H286">
        <v>1</v>
      </c>
      <c r="I286">
        <v>18400</v>
      </c>
      <c r="J286">
        <v>20200</v>
      </c>
      <c r="K286">
        <v>1800</v>
      </c>
      <c r="L286">
        <v>0</v>
      </c>
    </row>
    <row r="287" spans="1:12" x14ac:dyDescent="0.25">
      <c r="A287">
        <v>262</v>
      </c>
      <c r="B287">
        <v>20200</v>
      </c>
      <c r="C287">
        <v>20500</v>
      </c>
      <c r="D287">
        <v>300</v>
      </c>
      <c r="E287" t="s">
        <v>217</v>
      </c>
      <c r="F287" s="82">
        <v>42321</v>
      </c>
      <c r="G287" t="s">
        <v>180</v>
      </c>
      <c r="H287">
        <v>1</v>
      </c>
      <c r="I287">
        <v>20200</v>
      </c>
      <c r="J287">
        <v>20500</v>
      </c>
      <c r="K287">
        <v>300</v>
      </c>
      <c r="L287">
        <v>0</v>
      </c>
    </row>
    <row r="288" spans="1:12" x14ac:dyDescent="0.25">
      <c r="A288">
        <v>261</v>
      </c>
      <c r="B288">
        <v>20500</v>
      </c>
      <c r="C288">
        <v>21500</v>
      </c>
      <c r="D288">
        <v>1000</v>
      </c>
      <c r="E288" t="s">
        <v>217</v>
      </c>
      <c r="F288" s="82">
        <v>42320</v>
      </c>
      <c r="G288" t="s">
        <v>180</v>
      </c>
      <c r="H288">
        <v>1</v>
      </c>
      <c r="I288">
        <v>20500</v>
      </c>
      <c r="J288">
        <v>21500</v>
      </c>
      <c r="K288">
        <v>1000</v>
      </c>
      <c r="L288">
        <v>0</v>
      </c>
    </row>
    <row r="289" spans="1:12" x14ac:dyDescent="0.25">
      <c r="A289">
        <v>260</v>
      </c>
      <c r="B289">
        <v>21500</v>
      </c>
      <c r="C289">
        <v>23100</v>
      </c>
      <c r="D289">
        <v>1600</v>
      </c>
      <c r="E289" t="s">
        <v>217</v>
      </c>
      <c r="F289" s="82">
        <v>42319</v>
      </c>
      <c r="G289" t="s">
        <v>180</v>
      </c>
      <c r="H289">
        <v>1</v>
      </c>
      <c r="I289">
        <v>21500</v>
      </c>
      <c r="J289">
        <v>23100</v>
      </c>
      <c r="K289">
        <v>1600</v>
      </c>
      <c r="L289">
        <v>0</v>
      </c>
    </row>
    <row r="290" spans="1:12" x14ac:dyDescent="0.25">
      <c r="A290">
        <v>259</v>
      </c>
      <c r="B290">
        <v>23100</v>
      </c>
      <c r="C290">
        <v>24400</v>
      </c>
      <c r="D290">
        <v>1300</v>
      </c>
      <c r="E290" t="s">
        <v>217</v>
      </c>
      <c r="F290" s="82">
        <v>42318</v>
      </c>
      <c r="G290" t="s">
        <v>180</v>
      </c>
      <c r="H290">
        <v>1</v>
      </c>
      <c r="I290">
        <v>23100</v>
      </c>
      <c r="J290">
        <v>24400</v>
      </c>
      <c r="K290">
        <v>1300</v>
      </c>
      <c r="L290">
        <v>0</v>
      </c>
    </row>
    <row r="291" spans="1:12" x14ac:dyDescent="0.25">
      <c r="A291">
        <v>258</v>
      </c>
      <c r="B291">
        <v>24400</v>
      </c>
      <c r="C291">
        <v>24700</v>
      </c>
      <c r="D291">
        <v>300</v>
      </c>
      <c r="E291" t="s">
        <v>217</v>
      </c>
      <c r="F291" s="82">
        <v>42317</v>
      </c>
      <c r="G291" t="s">
        <v>180</v>
      </c>
      <c r="H291">
        <v>1</v>
      </c>
      <c r="I291">
        <v>24400</v>
      </c>
      <c r="J291">
        <v>24700</v>
      </c>
      <c r="K291">
        <v>300</v>
      </c>
      <c r="L291">
        <v>0</v>
      </c>
    </row>
    <row r="292" spans="1:12" x14ac:dyDescent="0.25">
      <c r="B292">
        <v>24700</v>
      </c>
      <c r="C292">
        <v>287500</v>
      </c>
      <c r="D292">
        <v>262800</v>
      </c>
      <c r="E292" t="s">
        <v>217</v>
      </c>
      <c r="G292" t="s">
        <v>193</v>
      </c>
    </row>
    <row r="293" spans="1:12" x14ac:dyDescent="0.25">
      <c r="A293">
        <v>305</v>
      </c>
      <c r="B293">
        <v>0</v>
      </c>
      <c r="C293">
        <v>2000</v>
      </c>
      <c r="D293">
        <v>2000</v>
      </c>
      <c r="E293" t="s">
        <v>218</v>
      </c>
      <c r="F293" s="82">
        <v>42345</v>
      </c>
      <c r="G293" t="s">
        <v>180</v>
      </c>
      <c r="H293">
        <v>1</v>
      </c>
      <c r="I293">
        <v>0</v>
      </c>
      <c r="J293">
        <v>2000</v>
      </c>
      <c r="K293">
        <v>2000</v>
      </c>
      <c r="L293">
        <v>0</v>
      </c>
    </row>
    <row r="294" spans="1:12" x14ac:dyDescent="0.25">
      <c r="A294">
        <v>307</v>
      </c>
      <c r="B294">
        <v>2000</v>
      </c>
      <c r="C294">
        <v>4000</v>
      </c>
      <c r="D294">
        <v>2000</v>
      </c>
      <c r="E294" t="s">
        <v>218</v>
      </c>
      <c r="F294" s="82">
        <v>42346</v>
      </c>
      <c r="G294" t="s">
        <v>180</v>
      </c>
      <c r="H294">
        <v>1</v>
      </c>
      <c r="I294">
        <v>2000</v>
      </c>
      <c r="J294">
        <v>4000</v>
      </c>
      <c r="K294">
        <v>2000</v>
      </c>
      <c r="L294">
        <v>0</v>
      </c>
    </row>
    <row r="295" spans="1:12" x14ac:dyDescent="0.25">
      <c r="A295">
        <v>308</v>
      </c>
      <c r="B295">
        <v>4000</v>
      </c>
      <c r="C295">
        <v>5000</v>
      </c>
      <c r="D295">
        <v>1000</v>
      </c>
      <c r="E295" t="s">
        <v>218</v>
      </c>
      <c r="F295" s="82">
        <v>42347</v>
      </c>
      <c r="G295" t="s">
        <v>180</v>
      </c>
      <c r="H295">
        <v>1</v>
      </c>
      <c r="I295">
        <v>4000</v>
      </c>
      <c r="J295">
        <v>5000</v>
      </c>
      <c r="K295">
        <v>1000</v>
      </c>
      <c r="L295">
        <v>0</v>
      </c>
    </row>
    <row r="296" spans="1:12" x14ac:dyDescent="0.25">
      <c r="A296">
        <v>310</v>
      </c>
      <c r="B296">
        <v>5000</v>
      </c>
      <c r="C296">
        <v>5500</v>
      </c>
      <c r="D296">
        <v>500</v>
      </c>
      <c r="E296" t="s">
        <v>218</v>
      </c>
      <c r="F296" s="82">
        <v>42348</v>
      </c>
      <c r="G296" t="s">
        <v>180</v>
      </c>
      <c r="H296">
        <v>2</v>
      </c>
      <c r="I296">
        <v>5000</v>
      </c>
      <c r="J296">
        <v>5500</v>
      </c>
      <c r="K296">
        <v>500</v>
      </c>
      <c r="L296">
        <v>0</v>
      </c>
    </row>
    <row r="297" spans="1:12" x14ac:dyDescent="0.25">
      <c r="A297">
        <v>312</v>
      </c>
      <c r="B297">
        <v>5500</v>
      </c>
      <c r="C297">
        <v>5900</v>
      </c>
      <c r="D297">
        <v>400</v>
      </c>
      <c r="E297" t="s">
        <v>218</v>
      </c>
      <c r="F297" s="82">
        <v>42349</v>
      </c>
      <c r="G297" t="s">
        <v>180</v>
      </c>
      <c r="H297">
        <v>1</v>
      </c>
      <c r="I297">
        <v>5500</v>
      </c>
      <c r="J297">
        <v>5900</v>
      </c>
      <c r="K297">
        <v>400</v>
      </c>
      <c r="L297">
        <v>0</v>
      </c>
    </row>
    <row r="298" spans="1:12" x14ac:dyDescent="0.25">
      <c r="A298">
        <v>314</v>
      </c>
      <c r="B298">
        <v>5900</v>
      </c>
      <c r="C298">
        <v>6900</v>
      </c>
      <c r="D298">
        <v>1000</v>
      </c>
      <c r="E298" t="s">
        <v>218</v>
      </c>
      <c r="F298" s="82">
        <v>42350</v>
      </c>
      <c r="G298" t="s">
        <v>180</v>
      </c>
      <c r="H298">
        <v>1</v>
      </c>
      <c r="I298">
        <v>5900</v>
      </c>
      <c r="J298">
        <v>6900</v>
      </c>
      <c r="K298">
        <v>1000</v>
      </c>
      <c r="L298">
        <v>0</v>
      </c>
    </row>
    <row r="299" spans="1:12" x14ac:dyDescent="0.25">
      <c r="A299">
        <v>315</v>
      </c>
      <c r="B299">
        <v>6900</v>
      </c>
      <c r="C299">
        <v>7300</v>
      </c>
      <c r="D299">
        <v>400</v>
      </c>
      <c r="E299" t="s">
        <v>218</v>
      </c>
      <c r="F299" s="82">
        <v>42351</v>
      </c>
      <c r="G299" t="s">
        <v>180</v>
      </c>
      <c r="H299">
        <v>1</v>
      </c>
      <c r="I299">
        <v>6900</v>
      </c>
      <c r="J299">
        <v>7300</v>
      </c>
      <c r="K299">
        <v>400</v>
      </c>
      <c r="L299">
        <v>0</v>
      </c>
    </row>
    <row r="300" spans="1:12" x14ac:dyDescent="0.25">
      <c r="A300">
        <v>313</v>
      </c>
      <c r="B300">
        <v>7300</v>
      </c>
      <c r="C300">
        <v>7400</v>
      </c>
      <c r="D300">
        <v>100</v>
      </c>
      <c r="E300" t="s">
        <v>218</v>
      </c>
      <c r="F300" s="82">
        <v>42349</v>
      </c>
      <c r="G300" t="s">
        <v>180</v>
      </c>
      <c r="H300">
        <v>2</v>
      </c>
      <c r="I300">
        <v>7300</v>
      </c>
      <c r="J300">
        <v>7400</v>
      </c>
      <c r="K300">
        <v>100</v>
      </c>
      <c r="L300">
        <v>0</v>
      </c>
    </row>
    <row r="301" spans="1:12" x14ac:dyDescent="0.25">
      <c r="A301">
        <v>311</v>
      </c>
      <c r="B301">
        <v>7400</v>
      </c>
      <c r="C301">
        <v>8500</v>
      </c>
      <c r="D301">
        <v>1100</v>
      </c>
      <c r="E301" t="s">
        <v>218</v>
      </c>
      <c r="F301" s="82">
        <v>42348</v>
      </c>
      <c r="G301" t="s">
        <v>180</v>
      </c>
      <c r="H301">
        <v>1</v>
      </c>
      <c r="I301">
        <v>7400</v>
      </c>
      <c r="J301">
        <v>8500</v>
      </c>
      <c r="K301">
        <v>1100</v>
      </c>
      <c r="L301">
        <v>0</v>
      </c>
    </row>
    <row r="302" spans="1:12" x14ac:dyDescent="0.25">
      <c r="A302">
        <v>309</v>
      </c>
      <c r="B302">
        <v>8500</v>
      </c>
      <c r="C302">
        <v>8900</v>
      </c>
      <c r="D302">
        <v>400</v>
      </c>
      <c r="E302" t="s">
        <v>218</v>
      </c>
      <c r="F302" s="82">
        <v>42347</v>
      </c>
      <c r="G302" t="s">
        <v>180</v>
      </c>
      <c r="H302">
        <v>2</v>
      </c>
      <c r="I302">
        <v>8500</v>
      </c>
      <c r="J302">
        <v>8900</v>
      </c>
      <c r="K302">
        <v>400</v>
      </c>
      <c r="L302">
        <v>0</v>
      </c>
    </row>
    <row r="303" spans="1:12" x14ac:dyDescent="0.25">
      <c r="A303">
        <v>306</v>
      </c>
      <c r="B303">
        <v>8900</v>
      </c>
      <c r="C303">
        <v>9900</v>
      </c>
      <c r="D303">
        <v>1000</v>
      </c>
      <c r="E303" t="s">
        <v>218</v>
      </c>
      <c r="F303" s="82">
        <v>42346</v>
      </c>
      <c r="G303" t="s">
        <v>180</v>
      </c>
      <c r="H303">
        <v>2</v>
      </c>
      <c r="I303">
        <v>8900</v>
      </c>
      <c r="J303">
        <v>9900</v>
      </c>
      <c r="K303">
        <v>1000</v>
      </c>
      <c r="L303">
        <v>0</v>
      </c>
    </row>
    <row r="304" spans="1:12" x14ac:dyDescent="0.25">
      <c r="A304">
        <v>303</v>
      </c>
      <c r="B304">
        <v>9900</v>
      </c>
      <c r="C304">
        <v>10100</v>
      </c>
      <c r="D304">
        <v>200</v>
      </c>
      <c r="E304" t="s">
        <v>218</v>
      </c>
      <c r="F304" s="82">
        <v>42343</v>
      </c>
      <c r="G304" t="s">
        <v>180</v>
      </c>
      <c r="H304">
        <v>1</v>
      </c>
      <c r="I304">
        <v>9900</v>
      </c>
      <c r="J304">
        <v>10100</v>
      </c>
      <c r="K304">
        <v>200</v>
      </c>
      <c r="L304">
        <v>0</v>
      </c>
    </row>
    <row r="305" spans="1:12" x14ac:dyDescent="0.25">
      <c r="A305">
        <v>317</v>
      </c>
      <c r="B305">
        <v>10100</v>
      </c>
      <c r="C305">
        <v>10300</v>
      </c>
      <c r="D305">
        <v>200</v>
      </c>
      <c r="E305" t="s">
        <v>218</v>
      </c>
      <c r="F305" s="82">
        <v>42352</v>
      </c>
      <c r="G305" t="s">
        <v>180</v>
      </c>
      <c r="H305">
        <v>1</v>
      </c>
      <c r="I305">
        <v>10100</v>
      </c>
      <c r="J305">
        <v>10300</v>
      </c>
      <c r="K305">
        <v>200</v>
      </c>
      <c r="L305">
        <v>0</v>
      </c>
    </row>
    <row r="306" spans="1:12" x14ac:dyDescent="0.25">
      <c r="A306">
        <v>318</v>
      </c>
      <c r="B306">
        <v>10300</v>
      </c>
      <c r="C306">
        <v>10400</v>
      </c>
      <c r="D306">
        <v>100</v>
      </c>
      <c r="E306" t="s">
        <v>218</v>
      </c>
      <c r="F306" s="82">
        <v>42354</v>
      </c>
      <c r="G306" t="s">
        <v>180</v>
      </c>
      <c r="H306">
        <v>1</v>
      </c>
      <c r="I306">
        <v>10300</v>
      </c>
      <c r="J306">
        <v>10400</v>
      </c>
      <c r="K306">
        <v>100</v>
      </c>
      <c r="L306">
        <v>0</v>
      </c>
    </row>
    <row r="307" spans="1:12" x14ac:dyDescent="0.25">
      <c r="A307">
        <v>316</v>
      </c>
      <c r="B307">
        <v>10400</v>
      </c>
      <c r="C307">
        <v>10700</v>
      </c>
      <c r="D307">
        <v>300</v>
      </c>
      <c r="E307" t="s">
        <v>218</v>
      </c>
      <c r="F307" s="82">
        <v>42352</v>
      </c>
      <c r="G307" t="s">
        <v>180</v>
      </c>
      <c r="H307">
        <v>2</v>
      </c>
      <c r="I307">
        <v>10400</v>
      </c>
      <c r="J307">
        <v>10700</v>
      </c>
      <c r="K307">
        <v>300</v>
      </c>
      <c r="L307">
        <v>0</v>
      </c>
    </row>
    <row r="308" spans="1:12" x14ac:dyDescent="0.25">
      <c r="A308">
        <v>302</v>
      </c>
      <c r="B308">
        <v>10700</v>
      </c>
      <c r="C308">
        <v>10900</v>
      </c>
      <c r="D308">
        <v>200</v>
      </c>
      <c r="E308" t="s">
        <v>218</v>
      </c>
      <c r="F308" s="82">
        <v>42343</v>
      </c>
      <c r="G308" t="s">
        <v>180</v>
      </c>
      <c r="H308">
        <v>2</v>
      </c>
      <c r="I308">
        <v>10700</v>
      </c>
      <c r="J308">
        <v>10900</v>
      </c>
      <c r="K308">
        <v>200</v>
      </c>
      <c r="L308">
        <v>0</v>
      </c>
    </row>
    <row r="309" spans="1:12" x14ac:dyDescent="0.25">
      <c r="A309">
        <v>304</v>
      </c>
      <c r="B309">
        <v>10900</v>
      </c>
      <c r="C309">
        <v>11600</v>
      </c>
      <c r="D309">
        <v>700</v>
      </c>
      <c r="E309" t="s">
        <v>218</v>
      </c>
      <c r="F309" s="82">
        <v>42345</v>
      </c>
      <c r="G309" t="s">
        <v>180</v>
      </c>
      <c r="H309">
        <v>2</v>
      </c>
      <c r="I309">
        <v>10900</v>
      </c>
      <c r="J309">
        <v>11600</v>
      </c>
      <c r="K309">
        <v>700</v>
      </c>
      <c r="L309">
        <v>0</v>
      </c>
    </row>
    <row r="310" spans="1:12" x14ac:dyDescent="0.25">
      <c r="A310">
        <v>301</v>
      </c>
      <c r="B310">
        <v>11600</v>
      </c>
      <c r="C310">
        <v>12000</v>
      </c>
      <c r="D310">
        <v>400</v>
      </c>
      <c r="E310" t="s">
        <v>218</v>
      </c>
      <c r="F310" s="82">
        <v>42342</v>
      </c>
      <c r="G310" t="s">
        <v>180</v>
      </c>
      <c r="H310">
        <v>1</v>
      </c>
      <c r="I310">
        <v>11600</v>
      </c>
      <c r="J310">
        <v>12000</v>
      </c>
      <c r="K310">
        <v>400</v>
      </c>
      <c r="L310">
        <v>0</v>
      </c>
    </row>
    <row r="311" spans="1:12" x14ac:dyDescent="0.25">
      <c r="A311">
        <v>300</v>
      </c>
      <c r="B311">
        <v>12000</v>
      </c>
      <c r="C311">
        <v>12500</v>
      </c>
      <c r="D311">
        <v>500</v>
      </c>
      <c r="E311" t="s">
        <v>218</v>
      </c>
      <c r="F311" s="82">
        <v>42341</v>
      </c>
      <c r="G311" t="s">
        <v>180</v>
      </c>
      <c r="H311">
        <v>1</v>
      </c>
      <c r="I311">
        <v>12000</v>
      </c>
      <c r="J311">
        <v>12500</v>
      </c>
      <c r="K311">
        <v>500</v>
      </c>
      <c r="L311">
        <v>0</v>
      </c>
    </row>
    <row r="312" spans="1:12" x14ac:dyDescent="0.25">
      <c r="A312">
        <v>299</v>
      </c>
      <c r="B312">
        <v>12500</v>
      </c>
      <c r="C312">
        <v>12700</v>
      </c>
      <c r="D312">
        <v>200</v>
      </c>
      <c r="E312" t="s">
        <v>218</v>
      </c>
      <c r="F312" s="82">
        <v>42340</v>
      </c>
      <c r="G312" t="s">
        <v>180</v>
      </c>
      <c r="H312">
        <v>1</v>
      </c>
      <c r="I312">
        <v>12500</v>
      </c>
      <c r="J312">
        <v>12700</v>
      </c>
      <c r="K312">
        <v>200</v>
      </c>
      <c r="L312">
        <v>0</v>
      </c>
    </row>
    <row r="313" spans="1:12" x14ac:dyDescent="0.25">
      <c r="A313">
        <v>298</v>
      </c>
      <c r="B313">
        <v>12700</v>
      </c>
      <c r="C313">
        <v>13000</v>
      </c>
      <c r="D313">
        <v>300</v>
      </c>
      <c r="E313" t="s">
        <v>218</v>
      </c>
      <c r="F313" s="82">
        <v>42339</v>
      </c>
      <c r="G313" t="s">
        <v>180</v>
      </c>
      <c r="H313">
        <v>1</v>
      </c>
      <c r="I313">
        <v>12700</v>
      </c>
      <c r="J313">
        <v>13000</v>
      </c>
      <c r="K313">
        <v>300</v>
      </c>
      <c r="L313">
        <v>0</v>
      </c>
    </row>
    <row r="314" spans="1:12" x14ac:dyDescent="0.25">
      <c r="A314">
        <v>297</v>
      </c>
      <c r="B314">
        <v>13000</v>
      </c>
      <c r="C314">
        <v>14100</v>
      </c>
      <c r="D314">
        <v>1100</v>
      </c>
      <c r="E314" t="s">
        <v>218</v>
      </c>
      <c r="F314" s="82">
        <v>42338</v>
      </c>
      <c r="G314" t="s">
        <v>180</v>
      </c>
      <c r="H314">
        <v>1</v>
      </c>
      <c r="I314">
        <v>13000</v>
      </c>
      <c r="J314">
        <v>14100</v>
      </c>
      <c r="K314">
        <v>1100</v>
      </c>
      <c r="L314">
        <v>0</v>
      </c>
    </row>
    <row r="315" spans="1:12" x14ac:dyDescent="0.25">
      <c r="A315">
        <v>296</v>
      </c>
      <c r="B315">
        <v>14100</v>
      </c>
      <c r="C315">
        <v>14500</v>
      </c>
      <c r="D315">
        <v>400</v>
      </c>
      <c r="E315" t="s">
        <v>218</v>
      </c>
      <c r="F315" s="82">
        <v>42336</v>
      </c>
      <c r="G315" t="s">
        <v>180</v>
      </c>
      <c r="H315">
        <v>1</v>
      </c>
      <c r="I315">
        <v>14100</v>
      </c>
      <c r="J315">
        <v>14500</v>
      </c>
      <c r="K315">
        <v>400</v>
      </c>
      <c r="L315">
        <v>0</v>
      </c>
    </row>
    <row r="316" spans="1:12" x14ac:dyDescent="0.25">
      <c r="A316">
        <v>295</v>
      </c>
      <c r="B316">
        <v>14500</v>
      </c>
      <c r="C316">
        <v>15100</v>
      </c>
      <c r="D316">
        <v>600</v>
      </c>
      <c r="E316" t="s">
        <v>218</v>
      </c>
      <c r="F316" s="82">
        <v>42335</v>
      </c>
      <c r="G316" t="s">
        <v>180</v>
      </c>
      <c r="H316">
        <v>1</v>
      </c>
      <c r="I316">
        <v>14500</v>
      </c>
      <c r="J316">
        <v>15100</v>
      </c>
      <c r="K316">
        <v>600</v>
      </c>
      <c r="L316">
        <v>0</v>
      </c>
    </row>
    <row r="317" spans="1:12" x14ac:dyDescent="0.25">
      <c r="A317">
        <v>291</v>
      </c>
      <c r="B317">
        <v>15100</v>
      </c>
      <c r="C317">
        <v>15200</v>
      </c>
      <c r="D317">
        <v>100</v>
      </c>
      <c r="E317" t="s">
        <v>218</v>
      </c>
      <c r="F317" s="82">
        <v>42332</v>
      </c>
      <c r="G317" t="s">
        <v>180</v>
      </c>
      <c r="H317">
        <v>1</v>
      </c>
      <c r="I317">
        <v>15100</v>
      </c>
      <c r="J317">
        <v>15200</v>
      </c>
      <c r="K317">
        <v>100</v>
      </c>
      <c r="L317">
        <v>0</v>
      </c>
    </row>
    <row r="318" spans="1:12" x14ac:dyDescent="0.25">
      <c r="A318">
        <v>294</v>
      </c>
      <c r="B318">
        <v>15200</v>
      </c>
      <c r="C318">
        <v>15500</v>
      </c>
      <c r="D318">
        <v>300</v>
      </c>
      <c r="E318" t="s">
        <v>218</v>
      </c>
      <c r="F318" s="82">
        <v>42335</v>
      </c>
      <c r="G318" t="s">
        <v>180</v>
      </c>
      <c r="H318">
        <v>2</v>
      </c>
      <c r="I318">
        <v>15200</v>
      </c>
      <c r="J318">
        <v>15500</v>
      </c>
      <c r="K318">
        <v>300</v>
      </c>
      <c r="L318">
        <v>0</v>
      </c>
    </row>
    <row r="319" spans="1:12" x14ac:dyDescent="0.25">
      <c r="A319">
        <v>293</v>
      </c>
      <c r="B319">
        <v>15500</v>
      </c>
      <c r="C319">
        <v>15700</v>
      </c>
      <c r="D319">
        <v>200</v>
      </c>
      <c r="E319" t="s">
        <v>218</v>
      </c>
      <c r="F319" s="82">
        <v>42334</v>
      </c>
      <c r="G319" t="s">
        <v>180</v>
      </c>
      <c r="H319">
        <v>1</v>
      </c>
      <c r="I319">
        <v>15500</v>
      </c>
      <c r="J319">
        <v>15700</v>
      </c>
      <c r="K319">
        <v>200</v>
      </c>
      <c r="L319">
        <v>0</v>
      </c>
    </row>
    <row r="320" spans="1:12" x14ac:dyDescent="0.25">
      <c r="A320">
        <v>292</v>
      </c>
      <c r="B320">
        <v>15700</v>
      </c>
      <c r="C320">
        <v>16600</v>
      </c>
      <c r="D320">
        <v>900</v>
      </c>
      <c r="E320" t="s">
        <v>218</v>
      </c>
      <c r="F320" s="82">
        <v>42333</v>
      </c>
      <c r="G320" t="s">
        <v>180</v>
      </c>
      <c r="H320">
        <v>1</v>
      </c>
      <c r="I320">
        <v>15700</v>
      </c>
      <c r="J320">
        <v>16600</v>
      </c>
      <c r="K320">
        <v>900</v>
      </c>
      <c r="L320">
        <v>0</v>
      </c>
    </row>
    <row r="321" spans="1:12" x14ac:dyDescent="0.25">
      <c r="A321">
        <v>290</v>
      </c>
      <c r="B321">
        <v>16600</v>
      </c>
      <c r="C321">
        <v>17000</v>
      </c>
      <c r="D321">
        <v>400</v>
      </c>
      <c r="E321" t="s">
        <v>218</v>
      </c>
      <c r="F321" s="82">
        <v>42332</v>
      </c>
      <c r="G321" t="s">
        <v>180</v>
      </c>
      <c r="H321">
        <v>2</v>
      </c>
      <c r="I321">
        <v>16600</v>
      </c>
      <c r="J321">
        <v>17000</v>
      </c>
      <c r="K321">
        <v>400</v>
      </c>
      <c r="L321">
        <v>0</v>
      </c>
    </row>
    <row r="322" spans="1:12" x14ac:dyDescent="0.25">
      <c r="A322">
        <v>288</v>
      </c>
      <c r="B322">
        <v>17000</v>
      </c>
      <c r="C322">
        <v>17400</v>
      </c>
      <c r="D322">
        <v>400</v>
      </c>
      <c r="E322" t="s">
        <v>218</v>
      </c>
      <c r="F322" s="82">
        <v>42329</v>
      </c>
      <c r="G322" t="s">
        <v>180</v>
      </c>
      <c r="H322">
        <v>1</v>
      </c>
      <c r="I322">
        <v>17000</v>
      </c>
      <c r="J322">
        <v>17400</v>
      </c>
      <c r="K322">
        <v>400</v>
      </c>
      <c r="L322">
        <v>0</v>
      </c>
    </row>
    <row r="323" spans="1:12" x14ac:dyDescent="0.25">
      <c r="A323">
        <v>289</v>
      </c>
      <c r="B323">
        <v>17400</v>
      </c>
      <c r="C323">
        <v>17700</v>
      </c>
      <c r="D323">
        <v>300</v>
      </c>
      <c r="E323" t="s">
        <v>218</v>
      </c>
      <c r="F323" s="82">
        <v>42331</v>
      </c>
      <c r="G323" t="s">
        <v>180</v>
      </c>
      <c r="H323">
        <v>1</v>
      </c>
      <c r="I323">
        <v>17400</v>
      </c>
      <c r="J323">
        <v>17700</v>
      </c>
      <c r="K323">
        <v>300</v>
      </c>
      <c r="L323">
        <v>0</v>
      </c>
    </row>
    <row r="324" spans="1:12" x14ac:dyDescent="0.25">
      <c r="A324">
        <v>287</v>
      </c>
      <c r="B324">
        <v>17700</v>
      </c>
      <c r="C324">
        <v>18000</v>
      </c>
      <c r="D324">
        <v>300</v>
      </c>
      <c r="E324" t="s">
        <v>218</v>
      </c>
      <c r="F324" s="82">
        <v>42328</v>
      </c>
      <c r="G324" t="s">
        <v>180</v>
      </c>
      <c r="H324">
        <v>1</v>
      </c>
      <c r="I324">
        <v>17700</v>
      </c>
      <c r="J324">
        <v>18000</v>
      </c>
      <c r="K324">
        <v>300</v>
      </c>
      <c r="L324">
        <v>0</v>
      </c>
    </row>
    <row r="325" spans="1:12" x14ac:dyDescent="0.25">
      <c r="A325">
        <v>286</v>
      </c>
      <c r="B325">
        <v>18000</v>
      </c>
      <c r="C325">
        <v>19000</v>
      </c>
      <c r="D325">
        <v>1000</v>
      </c>
      <c r="E325" t="s">
        <v>218</v>
      </c>
      <c r="F325" s="82">
        <v>42327</v>
      </c>
      <c r="G325" t="s">
        <v>180</v>
      </c>
      <c r="H325">
        <v>1</v>
      </c>
      <c r="I325">
        <v>18000</v>
      </c>
      <c r="J325">
        <v>19000</v>
      </c>
      <c r="K325">
        <v>1000</v>
      </c>
      <c r="L325">
        <v>0</v>
      </c>
    </row>
    <row r="326" spans="1:12" x14ac:dyDescent="0.25">
      <c r="A326">
        <v>285</v>
      </c>
      <c r="B326">
        <v>19000</v>
      </c>
      <c r="C326">
        <v>20000</v>
      </c>
      <c r="D326">
        <v>1000</v>
      </c>
      <c r="E326" t="s">
        <v>218</v>
      </c>
      <c r="F326" s="82">
        <v>42326</v>
      </c>
      <c r="G326" t="s">
        <v>180</v>
      </c>
      <c r="H326">
        <v>1</v>
      </c>
      <c r="I326">
        <v>19000</v>
      </c>
      <c r="J326">
        <v>20000</v>
      </c>
      <c r="K326">
        <v>1000</v>
      </c>
      <c r="L326">
        <v>0</v>
      </c>
    </row>
    <row r="327" spans="1:12" x14ac:dyDescent="0.25">
      <c r="A327">
        <v>284</v>
      </c>
      <c r="B327">
        <v>20000</v>
      </c>
      <c r="C327">
        <v>20300</v>
      </c>
      <c r="D327">
        <v>300</v>
      </c>
      <c r="E327" t="s">
        <v>218</v>
      </c>
      <c r="F327" s="82">
        <v>42325</v>
      </c>
      <c r="G327" t="s">
        <v>180</v>
      </c>
      <c r="H327">
        <v>1</v>
      </c>
      <c r="I327">
        <v>20000</v>
      </c>
      <c r="J327">
        <v>20300</v>
      </c>
      <c r="K327">
        <v>300</v>
      </c>
      <c r="L327">
        <v>0</v>
      </c>
    </row>
    <row r="328" spans="1:12" x14ac:dyDescent="0.25">
      <c r="A328">
        <v>283</v>
      </c>
      <c r="B328">
        <v>20300</v>
      </c>
      <c r="C328">
        <v>22000</v>
      </c>
      <c r="D328">
        <v>1700</v>
      </c>
      <c r="E328" t="s">
        <v>218</v>
      </c>
      <c r="F328" s="82">
        <v>42322</v>
      </c>
      <c r="G328" t="s">
        <v>180</v>
      </c>
      <c r="H328">
        <v>1</v>
      </c>
      <c r="I328">
        <v>20300</v>
      </c>
      <c r="J328">
        <v>22000</v>
      </c>
      <c r="K328">
        <v>1700</v>
      </c>
      <c r="L328">
        <v>0</v>
      </c>
    </row>
    <row r="329" spans="1:12" x14ac:dyDescent="0.25">
      <c r="A329">
        <v>282</v>
      </c>
      <c r="B329">
        <v>22000</v>
      </c>
      <c r="C329">
        <v>23200</v>
      </c>
      <c r="D329">
        <v>1200</v>
      </c>
      <c r="E329" t="s">
        <v>218</v>
      </c>
      <c r="F329" s="82">
        <v>42321</v>
      </c>
      <c r="G329" t="s">
        <v>180</v>
      </c>
      <c r="H329">
        <v>1</v>
      </c>
      <c r="I329">
        <v>22000</v>
      </c>
      <c r="J329">
        <v>23200</v>
      </c>
      <c r="K329">
        <v>1200</v>
      </c>
      <c r="L329">
        <v>0</v>
      </c>
    </row>
    <row r="330" spans="1:12" x14ac:dyDescent="0.25">
      <c r="A330">
        <v>281</v>
      </c>
      <c r="B330">
        <v>23200</v>
      </c>
      <c r="C330">
        <v>24700</v>
      </c>
      <c r="D330">
        <v>1500</v>
      </c>
      <c r="E330" t="s">
        <v>218</v>
      </c>
      <c r="F330" s="82">
        <v>42320</v>
      </c>
      <c r="G330" t="s">
        <v>180</v>
      </c>
      <c r="H330">
        <v>1</v>
      </c>
      <c r="I330">
        <v>23200</v>
      </c>
      <c r="J330">
        <v>24700</v>
      </c>
      <c r="K330">
        <v>1500</v>
      </c>
      <c r="L330">
        <v>0</v>
      </c>
    </row>
    <row r="331" spans="1:12" x14ac:dyDescent="0.25">
      <c r="B331">
        <v>24700</v>
      </c>
      <c r="C331">
        <v>287500</v>
      </c>
      <c r="D331">
        <v>262800</v>
      </c>
      <c r="E331" t="s">
        <v>218</v>
      </c>
      <c r="G331" t="s">
        <v>193</v>
      </c>
    </row>
    <row r="332" spans="1:12" x14ac:dyDescent="0.25">
      <c r="A332">
        <v>343</v>
      </c>
      <c r="B332">
        <v>0</v>
      </c>
      <c r="C332">
        <v>2000</v>
      </c>
      <c r="D332">
        <v>2000</v>
      </c>
      <c r="E332" t="s">
        <v>219</v>
      </c>
      <c r="F332" s="82">
        <v>42395</v>
      </c>
      <c r="G332" t="s">
        <v>180</v>
      </c>
      <c r="H332">
        <v>1</v>
      </c>
      <c r="I332">
        <v>0</v>
      </c>
      <c r="J332">
        <v>2000</v>
      </c>
      <c r="K332">
        <v>2000</v>
      </c>
      <c r="L332">
        <v>0</v>
      </c>
    </row>
    <row r="333" spans="1:12" x14ac:dyDescent="0.25">
      <c r="A333">
        <v>342</v>
      </c>
      <c r="B333">
        <v>2000</v>
      </c>
      <c r="C333">
        <v>2500</v>
      </c>
      <c r="D333">
        <v>500</v>
      </c>
      <c r="E333" t="s">
        <v>219</v>
      </c>
      <c r="F333" s="82">
        <v>42394</v>
      </c>
      <c r="G333" t="s">
        <v>180</v>
      </c>
      <c r="H333">
        <v>1</v>
      </c>
      <c r="I333">
        <v>2000</v>
      </c>
      <c r="J333">
        <v>2500</v>
      </c>
      <c r="K333">
        <v>500</v>
      </c>
      <c r="L333">
        <v>0</v>
      </c>
    </row>
    <row r="334" spans="1:12" x14ac:dyDescent="0.25">
      <c r="A334">
        <v>341</v>
      </c>
      <c r="B334">
        <v>2500</v>
      </c>
      <c r="C334">
        <v>3500</v>
      </c>
      <c r="D334">
        <v>1000</v>
      </c>
      <c r="E334" t="s">
        <v>219</v>
      </c>
      <c r="F334" s="82">
        <v>42392</v>
      </c>
      <c r="G334" t="s">
        <v>180</v>
      </c>
      <c r="H334">
        <v>1</v>
      </c>
      <c r="I334">
        <v>2500</v>
      </c>
      <c r="J334">
        <v>3500</v>
      </c>
      <c r="K334">
        <v>1000</v>
      </c>
      <c r="L334">
        <v>0</v>
      </c>
    </row>
    <row r="335" spans="1:12" x14ac:dyDescent="0.25">
      <c r="A335">
        <v>339</v>
      </c>
      <c r="B335">
        <v>3500</v>
      </c>
      <c r="C335">
        <v>4000</v>
      </c>
      <c r="D335">
        <v>500</v>
      </c>
      <c r="E335" t="s">
        <v>219</v>
      </c>
      <c r="F335" s="82">
        <v>42390</v>
      </c>
      <c r="G335" t="s">
        <v>180</v>
      </c>
      <c r="H335">
        <v>1</v>
      </c>
      <c r="I335">
        <v>3500</v>
      </c>
      <c r="J335">
        <v>4000</v>
      </c>
      <c r="K335">
        <v>500</v>
      </c>
      <c r="L335">
        <v>0</v>
      </c>
    </row>
    <row r="336" spans="1:12" x14ac:dyDescent="0.25">
      <c r="A336">
        <v>338</v>
      </c>
      <c r="B336">
        <v>4000</v>
      </c>
      <c r="C336">
        <v>4500</v>
      </c>
      <c r="D336">
        <v>500</v>
      </c>
      <c r="E336" t="s">
        <v>219</v>
      </c>
      <c r="F336" s="82">
        <v>42389</v>
      </c>
      <c r="G336" t="s">
        <v>180</v>
      </c>
      <c r="H336">
        <v>1</v>
      </c>
      <c r="I336">
        <v>4000</v>
      </c>
      <c r="J336">
        <v>4500</v>
      </c>
      <c r="K336">
        <v>500</v>
      </c>
      <c r="L336">
        <v>0</v>
      </c>
    </row>
    <row r="337" spans="1:12" x14ac:dyDescent="0.25">
      <c r="A337">
        <v>337</v>
      </c>
      <c r="B337">
        <v>4500</v>
      </c>
      <c r="C337">
        <v>5000</v>
      </c>
      <c r="D337">
        <v>500</v>
      </c>
      <c r="E337" t="s">
        <v>219</v>
      </c>
      <c r="F337" s="82">
        <v>42388</v>
      </c>
      <c r="G337" t="s">
        <v>180</v>
      </c>
      <c r="H337">
        <v>1</v>
      </c>
      <c r="I337">
        <v>4500</v>
      </c>
      <c r="J337">
        <v>5000</v>
      </c>
      <c r="K337">
        <v>500</v>
      </c>
      <c r="L337">
        <v>0</v>
      </c>
    </row>
    <row r="338" spans="1:12" x14ac:dyDescent="0.25">
      <c r="A338">
        <v>336</v>
      </c>
      <c r="B338">
        <v>5000</v>
      </c>
      <c r="C338">
        <v>6000</v>
      </c>
      <c r="D338">
        <v>1000</v>
      </c>
      <c r="E338" t="s">
        <v>219</v>
      </c>
      <c r="F338" s="82">
        <v>42386</v>
      </c>
      <c r="G338" t="s">
        <v>180</v>
      </c>
      <c r="H338">
        <v>1</v>
      </c>
      <c r="I338">
        <v>5000</v>
      </c>
      <c r="J338">
        <v>6000</v>
      </c>
      <c r="K338">
        <v>1000</v>
      </c>
      <c r="L338">
        <v>0</v>
      </c>
    </row>
    <row r="339" spans="1:12" x14ac:dyDescent="0.25">
      <c r="A339">
        <v>335</v>
      </c>
      <c r="B339">
        <v>6000</v>
      </c>
      <c r="C339">
        <v>7000</v>
      </c>
      <c r="D339">
        <v>1000</v>
      </c>
      <c r="E339" t="s">
        <v>219</v>
      </c>
      <c r="F339" s="82">
        <v>42385</v>
      </c>
      <c r="G339" t="s">
        <v>180</v>
      </c>
      <c r="H339">
        <v>1</v>
      </c>
      <c r="I339">
        <v>6000</v>
      </c>
      <c r="J339">
        <v>7000</v>
      </c>
      <c r="K339">
        <v>1000</v>
      </c>
      <c r="L339">
        <v>0</v>
      </c>
    </row>
    <row r="340" spans="1:12" x14ac:dyDescent="0.25">
      <c r="A340">
        <v>334</v>
      </c>
      <c r="B340">
        <v>7000</v>
      </c>
      <c r="C340">
        <v>7600</v>
      </c>
      <c r="D340">
        <v>600</v>
      </c>
      <c r="E340" t="s">
        <v>219</v>
      </c>
      <c r="F340" s="82">
        <v>42384</v>
      </c>
      <c r="G340" t="s">
        <v>180</v>
      </c>
      <c r="H340">
        <v>1</v>
      </c>
      <c r="I340">
        <v>7000</v>
      </c>
      <c r="J340">
        <v>7600</v>
      </c>
      <c r="K340">
        <v>600</v>
      </c>
      <c r="L340">
        <v>0</v>
      </c>
    </row>
    <row r="341" spans="1:12" x14ac:dyDescent="0.25">
      <c r="A341">
        <v>333</v>
      </c>
      <c r="B341">
        <v>7600</v>
      </c>
      <c r="C341">
        <v>8600</v>
      </c>
      <c r="D341">
        <v>1000</v>
      </c>
      <c r="E341" t="s">
        <v>219</v>
      </c>
      <c r="F341" s="82">
        <v>42383</v>
      </c>
      <c r="G341" t="s">
        <v>180</v>
      </c>
      <c r="H341">
        <v>1</v>
      </c>
      <c r="I341">
        <v>7600</v>
      </c>
      <c r="J341">
        <v>8600</v>
      </c>
      <c r="K341">
        <v>1000</v>
      </c>
      <c r="L341">
        <v>0</v>
      </c>
    </row>
    <row r="342" spans="1:12" x14ac:dyDescent="0.25">
      <c r="A342">
        <v>332</v>
      </c>
      <c r="B342">
        <v>8600</v>
      </c>
      <c r="C342">
        <v>9500</v>
      </c>
      <c r="D342">
        <v>900</v>
      </c>
      <c r="E342" t="s">
        <v>219</v>
      </c>
      <c r="F342" s="82">
        <v>42382</v>
      </c>
      <c r="G342" t="s">
        <v>180</v>
      </c>
      <c r="H342">
        <v>1</v>
      </c>
      <c r="I342">
        <v>8600</v>
      </c>
      <c r="J342">
        <v>9500</v>
      </c>
      <c r="K342">
        <v>900</v>
      </c>
      <c r="L342">
        <v>0</v>
      </c>
    </row>
    <row r="343" spans="1:12" x14ac:dyDescent="0.25">
      <c r="A343">
        <v>331</v>
      </c>
      <c r="B343">
        <v>9500</v>
      </c>
      <c r="C343">
        <v>9600</v>
      </c>
      <c r="D343">
        <v>100</v>
      </c>
      <c r="E343" t="s">
        <v>219</v>
      </c>
      <c r="F343" s="82">
        <v>42381</v>
      </c>
      <c r="G343" t="s">
        <v>180</v>
      </c>
      <c r="H343">
        <v>1</v>
      </c>
      <c r="I343">
        <v>9500</v>
      </c>
      <c r="J343">
        <v>9600</v>
      </c>
      <c r="K343">
        <v>100</v>
      </c>
      <c r="L343">
        <v>0</v>
      </c>
    </row>
    <row r="344" spans="1:12" x14ac:dyDescent="0.25">
      <c r="A344">
        <v>330</v>
      </c>
      <c r="B344">
        <v>9600</v>
      </c>
      <c r="C344">
        <v>9900</v>
      </c>
      <c r="D344">
        <v>300</v>
      </c>
      <c r="E344" t="s">
        <v>219</v>
      </c>
      <c r="F344" s="82">
        <v>42375</v>
      </c>
      <c r="G344" t="s">
        <v>180</v>
      </c>
      <c r="H344">
        <v>1</v>
      </c>
      <c r="I344">
        <v>9600</v>
      </c>
      <c r="J344">
        <v>9900</v>
      </c>
      <c r="K344">
        <v>300</v>
      </c>
      <c r="L344">
        <v>0</v>
      </c>
    </row>
    <row r="345" spans="1:12" x14ac:dyDescent="0.25">
      <c r="A345">
        <v>329</v>
      </c>
      <c r="B345">
        <v>9900</v>
      </c>
      <c r="C345">
        <v>10100</v>
      </c>
      <c r="D345">
        <v>200</v>
      </c>
      <c r="E345" t="s">
        <v>219</v>
      </c>
      <c r="F345" s="82">
        <v>42374</v>
      </c>
      <c r="G345" t="s">
        <v>180</v>
      </c>
      <c r="H345">
        <v>1</v>
      </c>
      <c r="I345">
        <v>9900</v>
      </c>
      <c r="J345">
        <v>10100</v>
      </c>
      <c r="K345">
        <v>200</v>
      </c>
      <c r="L345">
        <v>0</v>
      </c>
    </row>
    <row r="346" spans="1:12" x14ac:dyDescent="0.25">
      <c r="A346">
        <v>328</v>
      </c>
      <c r="B346">
        <v>10100</v>
      </c>
      <c r="C346">
        <v>10700</v>
      </c>
      <c r="D346">
        <v>600</v>
      </c>
      <c r="E346" t="s">
        <v>219</v>
      </c>
      <c r="F346" s="82">
        <v>42355</v>
      </c>
      <c r="G346" t="s">
        <v>180</v>
      </c>
      <c r="H346">
        <v>1</v>
      </c>
      <c r="I346">
        <v>10100</v>
      </c>
      <c r="J346">
        <v>10700</v>
      </c>
      <c r="K346">
        <v>600</v>
      </c>
      <c r="L346">
        <v>0</v>
      </c>
    </row>
    <row r="347" spans="1:12" x14ac:dyDescent="0.25">
      <c r="A347">
        <v>340</v>
      </c>
      <c r="B347">
        <v>10700</v>
      </c>
      <c r="C347">
        <v>11700</v>
      </c>
      <c r="D347">
        <v>1000</v>
      </c>
      <c r="E347" t="s">
        <v>219</v>
      </c>
      <c r="F347" s="82">
        <v>42391</v>
      </c>
      <c r="G347" t="s">
        <v>180</v>
      </c>
      <c r="H347">
        <v>1</v>
      </c>
      <c r="I347">
        <v>10700</v>
      </c>
      <c r="J347">
        <v>11700</v>
      </c>
      <c r="K347">
        <v>1000</v>
      </c>
      <c r="L347">
        <v>0</v>
      </c>
    </row>
    <row r="348" spans="1:12" x14ac:dyDescent="0.25">
      <c r="A348">
        <v>327</v>
      </c>
      <c r="B348">
        <v>11700</v>
      </c>
      <c r="C348">
        <v>12000</v>
      </c>
      <c r="D348">
        <v>300</v>
      </c>
      <c r="E348" t="s">
        <v>219</v>
      </c>
      <c r="F348" s="82">
        <v>42354</v>
      </c>
      <c r="G348" t="s">
        <v>180</v>
      </c>
      <c r="H348">
        <v>1</v>
      </c>
      <c r="I348">
        <v>11700</v>
      </c>
      <c r="J348">
        <v>12000</v>
      </c>
      <c r="K348">
        <v>300</v>
      </c>
      <c r="L348">
        <v>0</v>
      </c>
    </row>
    <row r="349" spans="1:12" x14ac:dyDescent="0.25">
      <c r="A349">
        <v>326</v>
      </c>
      <c r="B349">
        <v>12000</v>
      </c>
      <c r="C349">
        <v>15100</v>
      </c>
      <c r="D349">
        <v>3100</v>
      </c>
      <c r="E349" t="s">
        <v>219</v>
      </c>
      <c r="F349" s="82">
        <v>42353</v>
      </c>
      <c r="G349" t="s">
        <v>180</v>
      </c>
      <c r="H349">
        <v>1</v>
      </c>
      <c r="I349">
        <v>12000</v>
      </c>
      <c r="J349">
        <v>15100</v>
      </c>
      <c r="K349">
        <v>3100</v>
      </c>
      <c r="L349">
        <v>0</v>
      </c>
    </row>
    <row r="350" spans="1:12" x14ac:dyDescent="0.25">
      <c r="A350">
        <v>325</v>
      </c>
      <c r="B350">
        <v>15100</v>
      </c>
      <c r="C350">
        <v>16300</v>
      </c>
      <c r="D350">
        <v>1200</v>
      </c>
      <c r="E350" t="s">
        <v>219</v>
      </c>
      <c r="F350" s="82">
        <v>42343</v>
      </c>
      <c r="G350" t="s">
        <v>180</v>
      </c>
      <c r="H350">
        <v>1</v>
      </c>
      <c r="I350">
        <v>15100</v>
      </c>
      <c r="J350">
        <v>16300</v>
      </c>
      <c r="K350">
        <v>1200</v>
      </c>
      <c r="L350">
        <v>0</v>
      </c>
    </row>
    <row r="351" spans="1:12" x14ac:dyDescent="0.25">
      <c r="A351">
        <v>324</v>
      </c>
      <c r="B351">
        <v>16300</v>
      </c>
      <c r="C351">
        <v>16400</v>
      </c>
      <c r="D351">
        <v>100</v>
      </c>
      <c r="E351" t="s">
        <v>219</v>
      </c>
      <c r="F351" s="82">
        <v>42342</v>
      </c>
      <c r="G351" t="s">
        <v>180</v>
      </c>
      <c r="H351">
        <v>1</v>
      </c>
      <c r="I351">
        <v>16300</v>
      </c>
      <c r="J351">
        <v>16400</v>
      </c>
      <c r="K351">
        <v>100</v>
      </c>
      <c r="L351">
        <v>0</v>
      </c>
    </row>
    <row r="352" spans="1:12" x14ac:dyDescent="0.25">
      <c r="A352">
        <v>323</v>
      </c>
      <c r="B352">
        <v>16400</v>
      </c>
      <c r="C352">
        <v>16500</v>
      </c>
      <c r="D352">
        <v>100</v>
      </c>
      <c r="E352" t="s">
        <v>219</v>
      </c>
      <c r="F352" s="82">
        <v>42341</v>
      </c>
      <c r="G352" t="s">
        <v>180</v>
      </c>
      <c r="H352">
        <v>1</v>
      </c>
      <c r="I352">
        <v>16400</v>
      </c>
      <c r="J352">
        <v>16500</v>
      </c>
      <c r="K352">
        <v>100</v>
      </c>
      <c r="L352">
        <v>0</v>
      </c>
    </row>
    <row r="353" spans="1:12" x14ac:dyDescent="0.25">
      <c r="A353">
        <v>322</v>
      </c>
      <c r="B353">
        <v>16500</v>
      </c>
      <c r="C353">
        <v>16600</v>
      </c>
      <c r="D353">
        <v>100</v>
      </c>
      <c r="E353" t="s">
        <v>219</v>
      </c>
      <c r="F353" s="82">
        <v>42340</v>
      </c>
      <c r="G353" t="s">
        <v>180</v>
      </c>
      <c r="H353">
        <v>1</v>
      </c>
      <c r="I353">
        <v>16500</v>
      </c>
      <c r="J353">
        <v>16600</v>
      </c>
      <c r="K353">
        <v>100</v>
      </c>
      <c r="L353">
        <v>0</v>
      </c>
    </row>
    <row r="354" spans="1:12" x14ac:dyDescent="0.25">
      <c r="A354">
        <v>321</v>
      </c>
      <c r="B354">
        <v>16600</v>
      </c>
      <c r="C354">
        <v>16700</v>
      </c>
      <c r="D354">
        <v>100</v>
      </c>
      <c r="E354" t="s">
        <v>219</v>
      </c>
      <c r="F354" s="82">
        <v>42339</v>
      </c>
      <c r="G354" t="s">
        <v>180</v>
      </c>
      <c r="H354">
        <v>1</v>
      </c>
      <c r="I354">
        <v>16600</v>
      </c>
      <c r="J354">
        <v>16700</v>
      </c>
      <c r="K354">
        <v>100</v>
      </c>
      <c r="L354">
        <v>0</v>
      </c>
    </row>
    <row r="355" spans="1:12" x14ac:dyDescent="0.25">
      <c r="A355">
        <v>320</v>
      </c>
      <c r="B355">
        <v>16700</v>
      </c>
      <c r="C355">
        <v>23200</v>
      </c>
      <c r="D355">
        <v>6500</v>
      </c>
      <c r="E355" t="s">
        <v>219</v>
      </c>
      <c r="F355" s="82">
        <v>42338</v>
      </c>
      <c r="G355" t="s">
        <v>180</v>
      </c>
      <c r="H355">
        <v>1</v>
      </c>
      <c r="I355">
        <v>16700</v>
      </c>
      <c r="J355">
        <v>23200</v>
      </c>
      <c r="K355">
        <v>6500</v>
      </c>
      <c r="L355">
        <v>0</v>
      </c>
    </row>
    <row r="356" spans="1:12" x14ac:dyDescent="0.25">
      <c r="A356">
        <v>319</v>
      </c>
      <c r="B356">
        <v>23200</v>
      </c>
      <c r="C356">
        <v>24700</v>
      </c>
      <c r="D356">
        <v>1500</v>
      </c>
      <c r="E356" t="s">
        <v>219</v>
      </c>
      <c r="F356" s="82">
        <v>42336</v>
      </c>
      <c r="G356" t="s">
        <v>180</v>
      </c>
      <c r="H356">
        <v>1</v>
      </c>
      <c r="I356">
        <v>23200</v>
      </c>
      <c r="J356">
        <v>24700</v>
      </c>
      <c r="K356">
        <v>1500</v>
      </c>
      <c r="L356">
        <v>0</v>
      </c>
    </row>
    <row r="357" spans="1:12" x14ac:dyDescent="0.25">
      <c r="B357">
        <v>24700</v>
      </c>
      <c r="C357">
        <v>287500</v>
      </c>
      <c r="D357">
        <v>262800</v>
      </c>
      <c r="E357" t="s">
        <v>219</v>
      </c>
      <c r="G357" t="s">
        <v>193</v>
      </c>
    </row>
  </sheetData>
  <autoFilter ref="A1:L357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GUIDE</vt:lpstr>
      <vt:lpstr>Production</vt:lpstr>
      <vt:lpstr>Crossings</vt:lpstr>
      <vt:lpstr>Baselay Reports</vt:lpstr>
      <vt:lpstr>KP's</vt:lpstr>
      <vt:lpstr>Gaps and Overlaps</vt:lpstr>
      <vt:lpstr>Production!Print_Area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Judson</dc:creator>
  <cp:lastModifiedBy>rjudson</cp:lastModifiedBy>
  <cp:lastPrinted>2016-07-22T14:06:12Z</cp:lastPrinted>
  <dcterms:created xsi:type="dcterms:W3CDTF">2011-01-06T22:15:22Z</dcterms:created>
  <dcterms:modified xsi:type="dcterms:W3CDTF">2016-07-22T14:06:25Z</dcterms:modified>
</cp:coreProperties>
</file>