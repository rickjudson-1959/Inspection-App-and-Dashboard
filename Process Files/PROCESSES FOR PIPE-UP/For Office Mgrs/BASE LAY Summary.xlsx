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24540" yWindow="160" windowWidth="28160" windowHeight="16740" tabRatio="500"/>
  </bookViews>
  <sheets>
    <sheet name="1.0 BaseLay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2" i="1" l="1"/>
  <c r="J28" i="1"/>
  <c r="J122" i="1"/>
  <c r="I35" i="1"/>
  <c r="K35" i="1"/>
  <c r="K51" i="1"/>
  <c r="I58" i="1"/>
  <c r="K58" i="1"/>
  <c r="K74" i="1"/>
  <c r="I81" i="1"/>
  <c r="K81" i="1"/>
  <c r="K97" i="1"/>
  <c r="I104" i="1"/>
  <c r="K104" i="1"/>
  <c r="K120" i="1"/>
  <c r="I12" i="1"/>
  <c r="K12" i="1"/>
  <c r="K28" i="1"/>
  <c r="K122" i="1"/>
  <c r="I51" i="1"/>
  <c r="I74" i="1"/>
  <c r="I97" i="1"/>
  <c r="I120" i="1"/>
  <c r="I28" i="1"/>
  <c r="I122" i="1"/>
  <c r="J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8" i="1"/>
  <c r="J118" i="1"/>
  <c r="K118" i="1"/>
  <c r="I119" i="1"/>
  <c r="J119" i="1"/>
  <c r="K119" i="1"/>
  <c r="J120" i="1"/>
  <c r="E120" i="1"/>
  <c r="D120" i="1"/>
  <c r="F119" i="1"/>
  <c r="F118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J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5" i="1"/>
  <c r="J95" i="1"/>
  <c r="K95" i="1"/>
  <c r="I96" i="1"/>
  <c r="J96" i="1"/>
  <c r="K96" i="1"/>
  <c r="J97" i="1"/>
  <c r="E97" i="1"/>
  <c r="D97" i="1"/>
  <c r="F96" i="1"/>
  <c r="F95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E74" i="1"/>
  <c r="J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2" i="1"/>
  <c r="J72" i="1"/>
  <c r="K72" i="1"/>
  <c r="I73" i="1"/>
  <c r="J73" i="1"/>
  <c r="K73" i="1"/>
  <c r="J74" i="1"/>
  <c r="D74" i="1"/>
  <c r="F73" i="1"/>
  <c r="F72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35" i="1"/>
  <c r="F12" i="1"/>
  <c r="E51" i="1"/>
  <c r="J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9" i="1"/>
  <c r="J49" i="1"/>
  <c r="K49" i="1"/>
  <c r="I50" i="1"/>
  <c r="J50" i="1"/>
  <c r="K50" i="1"/>
  <c r="J51" i="1"/>
  <c r="D51" i="1"/>
  <c r="F50" i="1"/>
  <c r="F49" i="1"/>
  <c r="F47" i="1"/>
  <c r="F46" i="1"/>
  <c r="F45" i="1"/>
  <c r="F44" i="1"/>
  <c r="F43" i="1"/>
  <c r="F42" i="1"/>
  <c r="F41" i="1"/>
  <c r="F40" i="1"/>
  <c r="F39" i="1"/>
  <c r="F38" i="1"/>
  <c r="F37" i="1"/>
  <c r="F36" i="1"/>
  <c r="D28" i="1"/>
  <c r="I26" i="1"/>
  <c r="J26" i="1"/>
  <c r="K26" i="1"/>
  <c r="F26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7" i="1"/>
  <c r="J27" i="1"/>
  <c r="K27" i="1"/>
  <c r="E28" i="1"/>
  <c r="F27" i="1"/>
  <c r="F24" i="1"/>
  <c r="F23" i="1"/>
  <c r="F22" i="1"/>
  <c r="F21" i="1"/>
  <c r="F20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<sst xmlns="http://schemas.openxmlformats.org/spreadsheetml/2006/main" count="221" uniqueCount="43">
  <si>
    <t>%</t>
  </si>
  <si>
    <t>Total To Date</t>
  </si>
  <si>
    <t>Previous</t>
  </si>
  <si>
    <t>This Period</t>
  </si>
  <si>
    <t>Amount This Period ($)</t>
  </si>
  <si>
    <t>Total Earned Previously ($)</t>
  </si>
  <si>
    <t>Amount Earned To Date ($)</t>
  </si>
  <si>
    <t>Mobilization</t>
  </si>
  <si>
    <t>Per Lin. m</t>
  </si>
  <si>
    <t>Grade ROW</t>
  </si>
  <si>
    <t>Haul and String Ppipe</t>
  </si>
  <si>
    <t xml:space="preserve">Bending </t>
  </si>
  <si>
    <t>Welding</t>
  </si>
  <si>
    <t>Excavate Pipe Trench</t>
  </si>
  <si>
    <t>Lower-In Pipe</t>
  </si>
  <si>
    <t>Backfill</t>
  </si>
  <si>
    <t>Tie-Ins</t>
  </si>
  <si>
    <t>Testing</t>
  </si>
  <si>
    <t>Final Tie-Ins</t>
  </si>
  <si>
    <t>Demobilization</t>
  </si>
  <si>
    <t xml:space="preserve">Total For Base Lay Price:  </t>
  </si>
  <si>
    <t>SUNRISE LATERAL</t>
  </si>
  <si>
    <t>C-2.1. BASELAY INDIVIDUAL SPREADS SEGMENT 1</t>
  </si>
  <si>
    <t>2.1</t>
  </si>
  <si>
    <t>Machine Clean Up</t>
  </si>
  <si>
    <t>Mechanical Completion/Initial Clean Up</t>
  </si>
  <si>
    <t>Regan Schafer- Chief Inspector</t>
  </si>
  <si>
    <t>Release Of Holdback</t>
  </si>
  <si>
    <t>Final Clean Up Fall 2016</t>
  </si>
  <si>
    <t>Final Clean Up Summer 2017</t>
  </si>
  <si>
    <t>C-2.1. BASELAY COMBINED SPREADS SEGMENT 1,3,4</t>
  </si>
  <si>
    <t xml:space="preserve"> Date:</t>
  </si>
  <si>
    <t>10102 95th Avenue</t>
  </si>
  <si>
    <t>Clairmont, AB</t>
  </si>
  <si>
    <t>T8X 0M6</t>
  </si>
  <si>
    <t>Tel: 780-814-2332</t>
  </si>
  <si>
    <t>accountsreceivable@ntlpipelines.com</t>
  </si>
  <si>
    <t>C-2.1. BASELAY COMBINED SPREADS SEGMENT 1,2,3</t>
  </si>
  <si>
    <t>C-2.1. BASELAY COMBINED SPREADS SEGMENT 2,4</t>
  </si>
  <si>
    <t>C-2.1. BASELAY COMBINED SPREADS SEGMENT 3,4</t>
  </si>
  <si>
    <t xml:space="preserve">Total All Segments: </t>
  </si>
  <si>
    <t>Page 1 of 2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</si>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</sst>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  <numFmt numFmtId="167" formatCode="[$-409]mmmm\ d\,\ yyyy;@"/>
    <numFmt numFmtId="168" formatCode="#,##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scheme val="minor"/>
    </font>
    <font>
      <b/>
      <sz val="1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0"/>
      <color rgb="FFFF0000"/>
      <name val="Calibri"/>
      <scheme val="minor"/>
    </font>
    <font>
      <b/>
      <sz val="15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3">
    <xf numFmtId="0" fontId="0" fillId="0" borderId="0"/>
    <xf numFmtId="164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5" fillId="2" borderId="0" applyNumberFormat="0" applyBorder="0" applyAlignment="0" applyProtection="0"/>
    <xf numFmtId="0" fontId="1" fillId="0" borderId="0"/>
    <xf numFmtId="167" fontId="1" fillId="0" borderId="0"/>
    <xf numFmtId="0" fontId="14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0" xfId="0" applyFont="1"/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5" fillId="3" borderId="1" xfId="0" applyFont="1" applyFill="1" applyBorder="1"/>
    <xf numFmtId="0" fontId="6" fillId="3" borderId="2" xfId="0" applyFont="1" applyFill="1" applyBorder="1" applyAlignment="1">
      <alignment wrapText="1"/>
    </xf>
    <xf numFmtId="3" fontId="6" fillId="3" borderId="2" xfId="0" applyNumberFormat="1" applyFont="1" applyFill="1" applyBorder="1" applyAlignment="1">
      <alignment horizontal="center" wrapText="1" shrinkToFit="1"/>
    </xf>
    <xf numFmtId="3" fontId="6" fillId="3" borderId="2" xfId="0" applyNumberFormat="1" applyFont="1" applyFill="1" applyBorder="1" applyAlignment="1">
      <alignment horizontal="center" shrinkToFit="1"/>
    </xf>
    <xf numFmtId="44" fontId="7" fillId="4" borderId="2" xfId="1" applyNumberFormat="1" applyFont="1" applyFill="1" applyBorder="1" applyAlignment="1"/>
    <xf numFmtId="0" fontId="8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5" fillId="0" borderId="0" xfId="0" applyFont="1"/>
    <xf numFmtId="49" fontId="7" fillId="5" borderId="4" xfId="0" applyNumberFormat="1" applyFont="1" applyFill="1" applyBorder="1" applyAlignment="1">
      <alignment horizontal="left"/>
    </xf>
    <xf numFmtId="0" fontId="6" fillId="5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wrapText="1" shrinkToFit="1"/>
    </xf>
    <xf numFmtId="9" fontId="6" fillId="5" borderId="5" xfId="0" quotePrefix="1" applyNumberFormat="1" applyFont="1" applyFill="1" applyBorder="1" applyAlignment="1">
      <alignment horizontal="center" shrinkToFit="1"/>
    </xf>
    <xf numFmtId="44" fontId="6" fillId="5" borderId="5" xfId="1" applyNumberFormat="1" applyFont="1" applyFill="1" applyBorder="1" applyAlignment="1">
      <alignment horizontal="center"/>
    </xf>
    <xf numFmtId="3" fontId="6" fillId="0" borderId="5" xfId="0" applyNumberFormat="1" applyFont="1" applyFill="1" applyBorder="1" applyAlignment="1">
      <alignment horizontal="center"/>
    </xf>
    <xf numFmtId="165" fontId="6" fillId="6" borderId="5" xfId="0" applyNumberFormat="1" applyFont="1" applyFill="1" applyBorder="1" applyAlignment="1"/>
    <xf numFmtId="165" fontId="6" fillId="0" borderId="5" xfId="0" applyNumberFormat="1" applyFont="1" applyFill="1" applyBorder="1" applyAlignment="1"/>
    <xf numFmtId="165" fontId="6" fillId="0" borderId="6" xfId="0" applyNumberFormat="1" applyFont="1" applyFill="1" applyBorder="1" applyAlignment="1"/>
    <xf numFmtId="49" fontId="7" fillId="5" borderId="7" xfId="0" applyNumberFormat="1" applyFont="1" applyFill="1" applyBorder="1" applyAlignment="1">
      <alignment horizontal="left"/>
    </xf>
    <xf numFmtId="0" fontId="6" fillId="5" borderId="0" xfId="0" applyFont="1" applyFill="1" applyBorder="1" applyAlignment="1">
      <alignment wrapText="1"/>
    </xf>
    <xf numFmtId="0" fontId="6" fillId="5" borderId="0" xfId="0" applyFont="1" applyFill="1" applyBorder="1" applyAlignment="1">
      <alignment horizontal="center" wrapText="1" shrinkToFit="1"/>
    </xf>
    <xf numFmtId="9" fontId="6" fillId="5" borderId="0" xfId="0" quotePrefix="1" applyNumberFormat="1" applyFont="1" applyFill="1" applyBorder="1" applyAlignment="1">
      <alignment horizontal="center" shrinkToFit="1"/>
    </xf>
    <xf numFmtId="44" fontId="6" fillId="5" borderId="0" xfId="1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165" fontId="6" fillId="6" borderId="0" xfId="0" applyNumberFormat="1" applyFont="1" applyFill="1" applyBorder="1" applyAlignment="1"/>
    <xf numFmtId="165" fontId="6" fillId="0" borderId="0" xfId="0" applyNumberFormat="1" applyFont="1" applyFill="1" applyBorder="1" applyAlignment="1"/>
    <xf numFmtId="165" fontId="6" fillId="0" borderId="8" xfId="0" applyNumberFormat="1" applyFont="1" applyFill="1" applyBorder="1" applyAlignment="1"/>
    <xf numFmtId="0" fontId="6" fillId="5" borderId="0" xfId="0" applyFont="1" applyFill="1" applyBorder="1" applyAlignment="1">
      <alignment horizontal="left" wrapText="1"/>
    </xf>
    <xf numFmtId="0" fontId="6" fillId="5" borderId="0" xfId="0" quotePrefix="1" applyFont="1" applyFill="1" applyBorder="1" applyAlignment="1">
      <alignment horizontal="center" wrapText="1" shrinkToFit="1"/>
    </xf>
    <xf numFmtId="49" fontId="7" fillId="3" borderId="9" xfId="0" applyNumberFormat="1" applyFont="1" applyFill="1" applyBorder="1" applyAlignment="1">
      <alignment horizontal="left"/>
    </xf>
    <xf numFmtId="0" fontId="6" fillId="3" borderId="10" xfId="0" applyFont="1" applyFill="1" applyBorder="1" applyAlignment="1">
      <alignment wrapText="1"/>
    </xf>
    <xf numFmtId="0" fontId="6" fillId="3" borderId="10" xfId="0" applyFont="1" applyFill="1" applyBorder="1" applyAlignment="1">
      <alignment wrapText="1" shrinkToFit="1"/>
    </xf>
    <xf numFmtId="9" fontId="7" fillId="3" borderId="11" xfId="0" applyNumberFormat="1" applyFont="1" applyFill="1" applyBorder="1" applyAlignment="1">
      <alignment horizontal="center" shrinkToFit="1"/>
    </xf>
    <xf numFmtId="44" fontId="7" fillId="3" borderId="11" xfId="1" applyNumberFormat="1" applyFont="1" applyFill="1" applyBorder="1" applyAlignment="1">
      <alignment horizontal="center"/>
    </xf>
    <xf numFmtId="3" fontId="6" fillId="3" borderId="10" xfId="0" applyNumberFormat="1" applyFont="1" applyFill="1" applyBorder="1" applyAlignment="1"/>
    <xf numFmtId="3" fontId="7" fillId="3" borderId="10" xfId="0" applyNumberFormat="1" applyFont="1" applyFill="1" applyBorder="1" applyAlignment="1">
      <alignment horizontal="right"/>
    </xf>
    <xf numFmtId="165" fontId="7" fillId="3" borderId="11" xfId="0" applyNumberFormat="1" applyFont="1" applyFill="1" applyBorder="1" applyAlignment="1"/>
    <xf numFmtId="165" fontId="7" fillId="3" borderId="12" xfId="0" applyNumberFormat="1" applyFont="1" applyFill="1" applyBorder="1" applyAlignment="1"/>
    <xf numFmtId="49" fontId="9" fillId="0" borderId="0" xfId="0" applyNumberFormat="1" applyFont="1" applyFill="1" applyAlignment="1">
      <alignment horizontal="left"/>
    </xf>
    <xf numFmtId="0" fontId="10" fillId="0" borderId="0" xfId="0" applyFont="1" applyFill="1" applyAlignment="1">
      <alignment wrapText="1"/>
    </xf>
    <xf numFmtId="0" fontId="10" fillId="0" borderId="0" xfId="0" applyFont="1" applyFill="1" applyAlignment="1">
      <alignment wrapText="1" shrinkToFit="1"/>
    </xf>
    <xf numFmtId="9" fontId="9" fillId="0" borderId="0" xfId="0" applyNumberFormat="1" applyFont="1" applyFill="1" applyBorder="1" applyAlignment="1">
      <alignment horizontal="center" shrinkToFit="1"/>
    </xf>
    <xf numFmtId="44" fontId="9" fillId="0" borderId="0" xfId="1" applyNumberFormat="1" applyFont="1" applyFill="1" applyBorder="1" applyAlignment="1">
      <alignment horizontal="center"/>
    </xf>
    <xf numFmtId="3" fontId="10" fillId="0" borderId="0" xfId="0" applyNumberFormat="1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165" fontId="9" fillId="0" borderId="0" xfId="0" applyNumberFormat="1" applyFont="1" applyFill="1" applyBorder="1" applyAlignment="1"/>
    <xf numFmtId="0" fontId="0" fillId="0" borderId="0" xfId="0" applyFont="1"/>
    <xf numFmtId="9" fontId="11" fillId="0" borderId="0" xfId="0" applyNumberFormat="1" applyFont="1" applyFill="1" applyBorder="1" applyAlignment="1">
      <alignment horizontal="center" shrinkToFit="1"/>
    </xf>
    <xf numFmtId="44" fontId="11" fillId="0" borderId="0" xfId="1" applyNumberFormat="1" applyFont="1" applyFill="1" applyBorder="1" applyAlignment="1">
      <alignment horizontal="center"/>
    </xf>
    <xf numFmtId="3" fontId="12" fillId="0" borderId="0" xfId="0" applyNumberFormat="1" applyFont="1" applyFill="1" applyBorder="1" applyAlignment="1"/>
    <xf numFmtId="3" fontId="11" fillId="0" borderId="0" xfId="0" applyNumberFormat="1" applyFont="1" applyFill="1" applyBorder="1" applyAlignment="1">
      <alignment horizontal="right"/>
    </xf>
    <xf numFmtId="165" fontId="11" fillId="0" borderId="0" xfId="0" applyNumberFormat="1" applyFont="1" applyFill="1" applyBorder="1" applyAlignment="1"/>
    <xf numFmtId="0" fontId="2" fillId="0" borderId="0" xfId="0" applyFont="1" applyAlignment="1">
      <alignment horizontal="left"/>
    </xf>
    <xf numFmtId="3" fontId="12" fillId="0" borderId="0" xfId="0" applyNumberFormat="1" applyFont="1" applyFill="1" applyAlignment="1">
      <alignment horizontal="center" shrinkToFit="1"/>
    </xf>
    <xf numFmtId="44" fontId="12" fillId="0" borderId="0" xfId="1" applyNumberFormat="1" applyFont="1" applyFill="1" applyAlignment="1">
      <alignment horizontal="right"/>
    </xf>
    <xf numFmtId="3" fontId="12" fillId="0" borderId="0" xfId="0" applyNumberFormat="1" applyFont="1" applyFill="1" applyAlignment="1">
      <alignment horizontal="center"/>
    </xf>
    <xf numFmtId="3" fontId="6" fillId="0" borderId="0" xfId="0" applyNumberFormat="1" applyFont="1" applyFill="1" applyBorder="1" applyAlignment="1"/>
    <xf numFmtId="3" fontId="7" fillId="0" borderId="0" xfId="0" applyNumberFormat="1" applyFont="1" applyFill="1" applyBorder="1" applyAlignment="1">
      <alignment horizontal="right"/>
    </xf>
    <xf numFmtId="166" fontId="7" fillId="0" borderId="0" xfId="0" applyNumberFormat="1" applyFont="1" applyFill="1" applyBorder="1" applyAlignment="1"/>
    <xf numFmtId="166" fontId="13" fillId="0" borderId="0" xfId="0" applyNumberFormat="1" applyFont="1" applyFill="1" applyBorder="1" applyAlignment="1"/>
    <xf numFmtId="0" fontId="6" fillId="5" borderId="0" xfId="0" applyFont="1" applyFill="1" applyBorder="1" applyAlignment="1">
      <alignment horizontal="center" wrapText="1" shrinkToFit="1"/>
    </xf>
    <xf numFmtId="0" fontId="18" fillId="0" borderId="0" xfId="0" applyFont="1"/>
    <xf numFmtId="4" fontId="6" fillId="0" borderId="5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9" fillId="0" borderId="0" xfId="0" applyFont="1"/>
    <xf numFmtId="166" fontId="7" fillId="0" borderId="13" xfId="0" applyNumberFormat="1" applyFont="1" applyFill="1" applyBorder="1" applyAlignment="1"/>
    <xf numFmtId="15" fontId="0" fillId="0" borderId="0" xfId="0" applyNumberFormat="1" applyAlignment="1">
      <alignment horizontal="center"/>
    </xf>
    <xf numFmtId="3" fontId="7" fillId="0" borderId="10" xfId="0" applyNumberFormat="1" applyFont="1" applyFill="1" applyBorder="1" applyAlignment="1">
      <alignment horizontal="center"/>
    </xf>
    <xf numFmtId="166" fontId="13" fillId="0" borderId="0" xfId="0" applyNumberFormat="1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 wrapText="1" shrinkToFit="1"/>
    </xf>
    <xf numFmtId="168" fontId="6" fillId="0" borderId="5" xfId="0" applyNumberFormat="1" applyFont="1" applyFill="1" applyBorder="1" applyAlignment="1">
      <alignment horizontal="center"/>
    </xf>
  </cellXfs>
  <cellStyles count="23">
    <cellStyle name="Currency" xfId="1" builtinId="4"/>
    <cellStyle name="Currency 2" xfId="2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eutral 2" xfId="3"/>
    <cellStyle name="Normal" xfId="0" builtinId="0"/>
    <cellStyle name="Normal 2" xfId="4"/>
    <cellStyle name="Normal 3" xfId="5"/>
    <cellStyle name="Normal 4" xfId="6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2</xdr:row>
      <xdr:rowOff>38100</xdr:rowOff>
    </xdr:from>
    <xdr:to>
      <xdr:col>1</xdr:col>
      <xdr:colOff>1930400</xdr:colOff>
      <xdr:row>5</xdr:row>
      <xdr:rowOff>38100</xdr:rowOff>
    </xdr:to>
    <xdr:pic>
      <xdr:nvPicPr>
        <xdr:cNvPr id="2" name="Picture 1" descr="E:\NTL\NTL Pipelinescolour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393700"/>
          <a:ext cx="1676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abSelected="1" workbookViewId="0">
      <selection activeCell="K15" sqref="K15"/>
    </sheetView>
  </sheetViews>
  <sheetFormatPr baseColWidth="10" defaultColWidth="8.83203125" defaultRowHeight="14" x14ac:dyDescent="0"/>
  <cols>
    <col min="1" max="1" width="6.1640625" customWidth="1"/>
    <col min="2" max="2" width="26.6640625" customWidth="1"/>
    <col min="5" max="5" width="11.33203125" bestFit="1" customWidth="1"/>
    <col min="6" max="8" width="9.33203125" bestFit="1" customWidth="1"/>
    <col min="9" max="9" width="11.1640625" customWidth="1"/>
    <col min="10" max="10" width="11.5" customWidth="1"/>
    <col min="11" max="11" width="11.83203125" customWidth="1"/>
  </cols>
  <sheetData>
    <row r="1" spans="1:11" ht="19">
      <c r="A1" s="69" t="s">
        <v>21</v>
      </c>
    </row>
    <row r="2" spans="1:11" ht="14" customHeight="1">
      <c r="E2" s="65"/>
    </row>
    <row r="3" spans="1:11">
      <c r="D3" s="67" t="s">
        <v>32</v>
      </c>
      <c r="E3" s="67"/>
    </row>
    <row r="4" spans="1:11">
      <c r="D4" s="67" t="s">
        <v>33</v>
      </c>
      <c r="E4" s="67"/>
    </row>
    <row r="5" spans="1:11">
      <c r="D5" s="67" t="s">
        <v>34</v>
      </c>
      <c r="E5" s="67"/>
    </row>
    <row r="6" spans="1:11">
      <c r="D6" s="67" t="s">
        <v>35</v>
      </c>
      <c r="E6" s="67"/>
      <c r="F6" s="68" t="s">
        <v>36</v>
      </c>
    </row>
    <row r="8" spans="1:11" ht="16">
      <c r="A8" s="1"/>
    </row>
    <row r="9" spans="1:11" ht="16">
      <c r="A9" s="2" t="s">
        <v>22</v>
      </c>
    </row>
    <row r="10" spans="1:11" ht="16.5" customHeight="1">
      <c r="A10" s="2"/>
      <c r="I10" s="3" t="s">
        <v>31</v>
      </c>
      <c r="J10" s="71"/>
      <c r="K10" s="71"/>
    </row>
    <row r="11" spans="1:11" s="12" customFormat="1" ht="23.25" customHeight="1">
      <c r="A11" s="4"/>
      <c r="B11" s="5"/>
      <c r="C11" s="6">
        <v>31194</v>
      </c>
      <c r="D11" s="7" t="s">
        <v>0</v>
      </c>
      <c r="E11" s="8">
        <v>1559.09</v>
      </c>
      <c r="F11" s="9" t="s">
        <v>1</v>
      </c>
      <c r="G11" s="9" t="s">
        <v>2</v>
      </c>
      <c r="H11" s="9" t="s">
        <v>3</v>
      </c>
      <c r="I11" s="10" t="s">
        <v>4</v>
      </c>
      <c r="J11" s="10" t="s">
        <v>5</v>
      </c>
      <c r="K11" s="11" t="s">
        <v>6</v>
      </c>
    </row>
    <row r="12" spans="1:11" ht="13.5" customHeight="1">
      <c r="A12" s="13" t="s">
        <v>23</v>
      </c>
      <c r="B12" s="14" t="s">
        <v>7</v>
      </c>
      <c r="C12" s="15" t="s">
        <v>8</v>
      </c>
      <c r="D12" s="16">
        <v>0.08</v>
      </c>
      <c r="E12" s="17">
        <v>124.73</v>
      </c>
      <c r="F12" s="27">
        <f t="shared" ref="F12:F27" si="0">G12+H12</f>
        <v>81955.655899999998</v>
      </c>
      <c r="G12" s="66"/>
      <c r="H12" s="75">
        <v>81955.655899999998</v>
      </c>
      <c r="I12" s="19">
        <f>H12*E12</f>
        <v>10222328.960407</v>
      </c>
      <c r="J12" s="20">
        <f t="shared" ref="J12:J27" si="1">G12*E12</f>
        <v>0</v>
      </c>
      <c r="K12" s="21">
        <f t="shared" ref="K12:K27" si="2">SUM(I12:J12)</f>
        <v>10222328.960407</v>
      </c>
    </row>
    <row r="13" spans="1:11" ht="13.5" customHeight="1">
      <c r="A13" s="22"/>
      <c r="B13" s="23" t="s">
        <v>9</v>
      </c>
      <c r="C13" s="24" t="s">
        <v>8</v>
      </c>
      <c r="D13" s="25">
        <v>0.1</v>
      </c>
      <c r="E13" s="26">
        <v>57.78</v>
      </c>
      <c r="F13" s="27">
        <f t="shared" si="0"/>
        <v>0</v>
      </c>
      <c r="G13" s="27"/>
      <c r="H13" s="27"/>
      <c r="I13" s="28">
        <f>H13*E13</f>
        <v>0</v>
      </c>
      <c r="J13" s="29">
        <f t="shared" si="1"/>
        <v>0</v>
      </c>
      <c r="K13" s="30">
        <f t="shared" si="2"/>
        <v>0</v>
      </c>
    </row>
    <row r="14" spans="1:11" ht="13.5" customHeight="1">
      <c r="A14" s="22"/>
      <c r="B14" s="31" t="s">
        <v>10</v>
      </c>
      <c r="C14" s="32" t="s">
        <v>8</v>
      </c>
      <c r="D14" s="25">
        <v>0.05</v>
      </c>
      <c r="E14" s="26">
        <v>28.89</v>
      </c>
      <c r="F14" s="27">
        <f t="shared" si="0"/>
        <v>0</v>
      </c>
      <c r="G14" s="27"/>
      <c r="H14" s="27"/>
      <c r="I14" s="28">
        <f t="shared" ref="I14:I27" si="3">H14*E14</f>
        <v>0</v>
      </c>
      <c r="J14" s="29">
        <f t="shared" si="1"/>
        <v>0</v>
      </c>
      <c r="K14" s="30">
        <f t="shared" si="2"/>
        <v>0</v>
      </c>
    </row>
    <row r="15" spans="1:11" ht="13.5" customHeight="1">
      <c r="A15" s="22"/>
      <c r="B15" s="31" t="s">
        <v>11</v>
      </c>
      <c r="C15" s="32" t="s">
        <v>8</v>
      </c>
      <c r="D15" s="25">
        <v>0.05</v>
      </c>
      <c r="E15" s="26">
        <v>28.89</v>
      </c>
      <c r="F15" s="27">
        <f t="shared" si="0"/>
        <v>0</v>
      </c>
      <c r="G15" s="27"/>
      <c r="H15" s="27"/>
      <c r="I15" s="28">
        <f t="shared" si="3"/>
        <v>0</v>
      </c>
      <c r="J15" s="29">
        <f t="shared" si="1"/>
        <v>0</v>
      </c>
      <c r="K15" s="30">
        <f t="shared" si="2"/>
        <v>0</v>
      </c>
    </row>
    <row r="16" spans="1:11" ht="13.5" customHeight="1">
      <c r="A16" s="22"/>
      <c r="B16" s="31" t="s">
        <v>12</v>
      </c>
      <c r="C16" s="32" t="s">
        <v>8</v>
      </c>
      <c r="D16" s="25">
        <v>0.23</v>
      </c>
      <c r="E16" s="26">
        <v>132.88999999999999</v>
      </c>
      <c r="F16" s="27">
        <f t="shared" si="0"/>
        <v>0</v>
      </c>
      <c r="G16" s="27"/>
      <c r="H16" s="27"/>
      <c r="I16" s="28">
        <f t="shared" si="3"/>
        <v>0</v>
      </c>
      <c r="J16" s="29">
        <f t="shared" si="1"/>
        <v>0</v>
      </c>
      <c r="K16" s="30">
        <f t="shared" si="2"/>
        <v>0</v>
      </c>
    </row>
    <row r="17" spans="1:11" ht="13.5" customHeight="1">
      <c r="A17" s="22"/>
      <c r="B17" s="31" t="s">
        <v>13</v>
      </c>
      <c r="C17" s="32" t="s">
        <v>8</v>
      </c>
      <c r="D17" s="25">
        <v>0.05</v>
      </c>
      <c r="E17" s="26">
        <v>28.89</v>
      </c>
      <c r="F17" s="27">
        <f t="shared" si="0"/>
        <v>0</v>
      </c>
      <c r="G17" s="27"/>
      <c r="H17" s="27"/>
      <c r="I17" s="28">
        <f t="shared" si="3"/>
        <v>0</v>
      </c>
      <c r="J17" s="29">
        <f t="shared" si="1"/>
        <v>0</v>
      </c>
      <c r="K17" s="30">
        <f t="shared" si="2"/>
        <v>0</v>
      </c>
    </row>
    <row r="18" spans="1:11" ht="13.5" customHeight="1">
      <c r="A18" s="22"/>
      <c r="B18" s="31" t="s">
        <v>14</v>
      </c>
      <c r="C18" s="32" t="s">
        <v>8</v>
      </c>
      <c r="D18" s="25">
        <v>0.04</v>
      </c>
      <c r="E18" s="26">
        <v>23.11</v>
      </c>
      <c r="F18" s="27">
        <f t="shared" si="0"/>
        <v>0</v>
      </c>
      <c r="G18" s="27"/>
      <c r="H18" s="27"/>
      <c r="I18" s="28">
        <f t="shared" si="3"/>
        <v>0</v>
      </c>
      <c r="J18" s="29">
        <f t="shared" si="1"/>
        <v>0</v>
      </c>
      <c r="K18" s="30">
        <f t="shared" si="2"/>
        <v>0</v>
      </c>
    </row>
    <row r="19" spans="1:11" ht="13.5" customHeight="1">
      <c r="A19" s="22"/>
      <c r="B19" s="31" t="s">
        <v>15</v>
      </c>
      <c r="C19" s="32" t="s">
        <v>8</v>
      </c>
      <c r="D19" s="25">
        <v>0.04</v>
      </c>
      <c r="E19" s="26">
        <v>23.11</v>
      </c>
      <c r="F19" s="27">
        <f t="shared" si="0"/>
        <v>0</v>
      </c>
      <c r="G19" s="27"/>
      <c r="H19" s="27"/>
      <c r="I19" s="28">
        <f>H19*E19</f>
        <v>0</v>
      </c>
      <c r="J19" s="29">
        <f>G19*E19</f>
        <v>0</v>
      </c>
      <c r="K19" s="30">
        <f>SUM(I19:J19)</f>
        <v>0</v>
      </c>
    </row>
    <row r="20" spans="1:11" ht="13.5" customHeight="1">
      <c r="A20" s="22"/>
      <c r="B20" s="31" t="s">
        <v>16</v>
      </c>
      <c r="C20" s="32" t="s">
        <v>8</v>
      </c>
      <c r="D20" s="25">
        <v>0.14000000000000001</v>
      </c>
      <c r="E20" s="26">
        <v>80.89</v>
      </c>
      <c r="F20" s="27">
        <f t="shared" si="0"/>
        <v>0</v>
      </c>
      <c r="G20" s="27"/>
      <c r="H20" s="27"/>
      <c r="I20" s="28">
        <f t="shared" si="3"/>
        <v>0</v>
      </c>
      <c r="J20" s="29">
        <f t="shared" si="1"/>
        <v>0</v>
      </c>
      <c r="K20" s="30">
        <f t="shared" si="2"/>
        <v>0</v>
      </c>
    </row>
    <row r="21" spans="1:11" ht="13.5" customHeight="1">
      <c r="A21" s="22"/>
      <c r="B21" s="31" t="s">
        <v>17</v>
      </c>
      <c r="C21" s="32" t="s">
        <v>8</v>
      </c>
      <c r="D21" s="25">
        <v>0.06</v>
      </c>
      <c r="E21" s="26">
        <v>34.67</v>
      </c>
      <c r="F21" s="27">
        <f t="shared" si="0"/>
        <v>0</v>
      </c>
      <c r="G21" s="27"/>
      <c r="H21" s="27"/>
      <c r="I21" s="28">
        <f t="shared" si="3"/>
        <v>0</v>
      </c>
      <c r="J21" s="29">
        <f t="shared" si="1"/>
        <v>0</v>
      </c>
      <c r="K21" s="30">
        <f t="shared" si="2"/>
        <v>0</v>
      </c>
    </row>
    <row r="22" spans="1:11" ht="13.5" customHeight="1">
      <c r="A22" s="22"/>
      <c r="B22" s="31" t="s">
        <v>18</v>
      </c>
      <c r="C22" s="32" t="s">
        <v>8</v>
      </c>
      <c r="D22" s="25">
        <v>0.03</v>
      </c>
      <c r="E22" s="26">
        <v>17.329999999999998</v>
      </c>
      <c r="F22" s="27">
        <f t="shared" si="0"/>
        <v>0</v>
      </c>
      <c r="G22" s="27"/>
      <c r="H22" s="27"/>
      <c r="I22" s="28">
        <f t="shared" si="3"/>
        <v>0</v>
      </c>
      <c r="J22" s="29">
        <f t="shared" si="1"/>
        <v>0</v>
      </c>
      <c r="K22" s="30">
        <f t="shared" si="2"/>
        <v>0</v>
      </c>
    </row>
    <row r="23" spans="1:11" ht="13.5" customHeight="1">
      <c r="A23" s="22"/>
      <c r="B23" s="31" t="s">
        <v>24</v>
      </c>
      <c r="C23" s="24" t="s">
        <v>8</v>
      </c>
      <c r="D23" s="25">
        <v>0.09</v>
      </c>
      <c r="E23" s="26">
        <v>52.01</v>
      </c>
      <c r="F23" s="27">
        <f t="shared" si="0"/>
        <v>0</v>
      </c>
      <c r="G23" s="27"/>
      <c r="H23" s="27"/>
      <c r="I23" s="28">
        <f t="shared" si="3"/>
        <v>0</v>
      </c>
      <c r="J23" s="29">
        <f t="shared" si="1"/>
        <v>0</v>
      </c>
      <c r="K23" s="30">
        <f t="shared" si="2"/>
        <v>0</v>
      </c>
    </row>
    <row r="24" spans="1:11" ht="13.5" customHeight="1">
      <c r="A24" s="22"/>
      <c r="B24" s="23" t="s">
        <v>19</v>
      </c>
      <c r="C24" s="24" t="s">
        <v>8</v>
      </c>
      <c r="D24" s="25">
        <v>0.02</v>
      </c>
      <c r="E24" s="26">
        <v>11.56</v>
      </c>
      <c r="F24" s="27">
        <f t="shared" si="0"/>
        <v>0</v>
      </c>
      <c r="G24" s="27"/>
      <c r="H24" s="27"/>
      <c r="I24" s="28">
        <f>H24*E24</f>
        <v>0</v>
      </c>
      <c r="J24" s="29">
        <f t="shared" si="1"/>
        <v>0</v>
      </c>
      <c r="K24" s="30">
        <f t="shared" si="2"/>
        <v>0</v>
      </c>
    </row>
    <row r="25" spans="1:11" ht="13.5" customHeight="1">
      <c r="A25" s="22"/>
      <c r="B25" s="23" t="s">
        <v>25</v>
      </c>
      <c r="C25" s="74" t="s">
        <v>27</v>
      </c>
      <c r="D25" s="74"/>
      <c r="E25" s="26"/>
      <c r="F25" s="27"/>
      <c r="G25" s="27"/>
      <c r="H25" s="27"/>
      <c r="I25" s="28"/>
      <c r="J25" s="29"/>
      <c r="K25" s="30"/>
    </row>
    <row r="26" spans="1:11" ht="13.5" customHeight="1">
      <c r="A26" s="22"/>
      <c r="B26" s="31" t="s">
        <v>28</v>
      </c>
      <c r="C26" s="24" t="s">
        <v>8</v>
      </c>
      <c r="D26" s="25">
        <v>0.01</v>
      </c>
      <c r="E26" s="26">
        <v>17.329999999999998</v>
      </c>
      <c r="F26" s="27">
        <f t="shared" ref="F26" si="4">G26+H26</f>
        <v>0</v>
      </c>
      <c r="G26" s="27"/>
      <c r="H26" s="27"/>
      <c r="I26" s="28">
        <f t="shared" ref="I26" si="5">H26*E26</f>
        <v>0</v>
      </c>
      <c r="J26" s="29">
        <f t="shared" ref="J26" si="6">G26*E26</f>
        <v>0</v>
      </c>
      <c r="K26" s="30">
        <f t="shared" ref="K26" si="7">SUM(I26:J26)</f>
        <v>0</v>
      </c>
    </row>
    <row r="27" spans="1:11" ht="13.5" customHeight="1" thickBot="1">
      <c r="A27" s="22"/>
      <c r="B27" s="31" t="s">
        <v>29</v>
      </c>
      <c r="C27" s="24" t="s">
        <v>8</v>
      </c>
      <c r="D27" s="25">
        <v>0.03</v>
      </c>
      <c r="E27" s="26">
        <v>5.78</v>
      </c>
      <c r="F27" s="27">
        <f t="shared" si="0"/>
        <v>0</v>
      </c>
      <c r="G27" s="27"/>
      <c r="H27" s="27"/>
      <c r="I27" s="28">
        <f t="shared" si="3"/>
        <v>0</v>
      </c>
      <c r="J27" s="29">
        <f t="shared" si="1"/>
        <v>0</v>
      </c>
      <c r="K27" s="30">
        <f t="shared" si="2"/>
        <v>0</v>
      </c>
    </row>
    <row r="28" spans="1:11" ht="13.5" customHeight="1">
      <c r="A28" s="33"/>
      <c r="B28" s="34"/>
      <c r="C28" s="35"/>
      <c r="D28" s="36">
        <f>SUM(D12:D27)</f>
        <v>1.02</v>
      </c>
      <c r="E28" s="37">
        <f>SUM(E12:E27)</f>
        <v>667.8599999999999</v>
      </c>
      <c r="F28" s="38"/>
      <c r="G28" s="38"/>
      <c r="H28" s="39" t="s">
        <v>20</v>
      </c>
      <c r="I28" s="40">
        <f>SUM(I12:I27)</f>
        <v>10222328.960407</v>
      </c>
      <c r="J28" s="40">
        <f>SUM(J12:J27)</f>
        <v>0</v>
      </c>
      <c r="K28" s="41">
        <f>SUM(K12:K27)</f>
        <v>10222328.960407</v>
      </c>
    </row>
    <row r="29" spans="1:11" ht="9.75" customHeight="1">
      <c r="A29" s="42"/>
      <c r="B29" s="43"/>
      <c r="C29" s="44"/>
      <c r="D29" s="45"/>
      <c r="E29" s="46"/>
      <c r="F29" s="47"/>
      <c r="G29" s="47"/>
      <c r="H29" s="48"/>
      <c r="I29" s="49"/>
      <c r="J29" s="49"/>
      <c r="K29" s="49"/>
    </row>
    <row r="30" spans="1:11" ht="11.25" customHeight="1">
      <c r="A30" s="50"/>
      <c r="B30" s="50"/>
      <c r="C30" s="50"/>
      <c r="D30" s="51"/>
      <c r="E30" s="52"/>
      <c r="F30" s="53"/>
      <c r="G30" s="53"/>
      <c r="H30" s="54"/>
      <c r="I30" s="55"/>
      <c r="J30" s="55"/>
      <c r="K30" s="55"/>
    </row>
    <row r="31" spans="1:11" ht="13.5" customHeight="1">
      <c r="A31" s="56"/>
      <c r="C31" s="50"/>
      <c r="D31" s="57"/>
      <c r="E31" s="58"/>
      <c r="F31" s="59"/>
      <c r="G31" s="53"/>
      <c r="H31" s="54"/>
      <c r="I31" s="55"/>
      <c r="J31" s="55"/>
      <c r="K31" s="55"/>
    </row>
    <row r="32" spans="1:11" ht="16">
      <c r="A32" s="2" t="s">
        <v>30</v>
      </c>
    </row>
    <row r="33" spans="1:11" ht="16.5" customHeight="1">
      <c r="A33" s="2"/>
      <c r="I33" s="3"/>
      <c r="J33" s="71"/>
      <c r="K33" s="71"/>
    </row>
    <row r="34" spans="1:11" s="12" customFormat="1" ht="23.25" customHeight="1">
      <c r="A34" s="4"/>
      <c r="B34" s="5"/>
      <c r="C34" s="6">
        <v>1151</v>
      </c>
      <c r="D34" s="7" t="s">
        <v>0</v>
      </c>
      <c r="E34" s="8">
        <v>1348.2</v>
      </c>
      <c r="F34" s="9" t="s">
        <v>1</v>
      </c>
      <c r="G34" s="9" t="s">
        <v>2</v>
      </c>
      <c r="H34" s="9" t="s">
        <v>3</v>
      </c>
      <c r="I34" s="10" t="s">
        <v>4</v>
      </c>
      <c r="J34" s="10" t="s">
        <v>5</v>
      </c>
      <c r="K34" s="11" t="s">
        <v>6</v>
      </c>
    </row>
    <row r="35" spans="1:11" ht="13.5" customHeight="1">
      <c r="A35" s="13" t="s">
        <v>23</v>
      </c>
      <c r="B35" s="14" t="s">
        <v>7</v>
      </c>
      <c r="C35" s="15" t="s">
        <v>8</v>
      </c>
      <c r="D35" s="16">
        <v>0.06</v>
      </c>
      <c r="E35" s="17">
        <v>80.89</v>
      </c>
      <c r="F35" s="27">
        <f t="shared" ref="F35:F47" si="8">G35+H35</f>
        <v>576</v>
      </c>
      <c r="G35" s="18"/>
      <c r="H35" s="18">
        <v>576</v>
      </c>
      <c r="I35" s="19">
        <f>H35*E35</f>
        <v>46592.639999999999</v>
      </c>
      <c r="J35" s="20">
        <f t="shared" ref="J35:J41" si="9">G35*E35</f>
        <v>0</v>
      </c>
      <c r="K35" s="21">
        <f t="shared" ref="K35:K41" si="10">SUM(I35:J35)</f>
        <v>46592.639999999999</v>
      </c>
    </row>
    <row r="36" spans="1:11" ht="13.5" customHeight="1">
      <c r="A36" s="22"/>
      <c r="B36" s="23" t="s">
        <v>9</v>
      </c>
      <c r="C36" s="24" t="s">
        <v>8</v>
      </c>
      <c r="D36" s="25">
        <v>0.1</v>
      </c>
      <c r="E36" s="26">
        <v>134.82000000000002</v>
      </c>
      <c r="F36" s="27">
        <f t="shared" si="8"/>
        <v>0</v>
      </c>
      <c r="G36" s="27"/>
      <c r="H36" s="27"/>
      <c r="I36" s="28">
        <f>H36*E36</f>
        <v>0</v>
      </c>
      <c r="J36" s="29">
        <f t="shared" si="9"/>
        <v>0</v>
      </c>
      <c r="K36" s="30">
        <f t="shared" si="10"/>
        <v>0</v>
      </c>
    </row>
    <row r="37" spans="1:11" ht="13.5" customHeight="1">
      <c r="A37" s="22"/>
      <c r="B37" s="31" t="s">
        <v>10</v>
      </c>
      <c r="C37" s="32" t="s">
        <v>8</v>
      </c>
      <c r="D37" s="25">
        <v>0.05</v>
      </c>
      <c r="E37" s="26">
        <v>67.410000000000011</v>
      </c>
      <c r="F37" s="27">
        <f t="shared" si="8"/>
        <v>0</v>
      </c>
      <c r="G37" s="27"/>
      <c r="H37" s="27"/>
      <c r="I37" s="28">
        <f t="shared" ref="I37:I41" si="11">H37*E37</f>
        <v>0</v>
      </c>
      <c r="J37" s="29">
        <f t="shared" si="9"/>
        <v>0</v>
      </c>
      <c r="K37" s="30">
        <f t="shared" si="10"/>
        <v>0</v>
      </c>
    </row>
    <row r="38" spans="1:11" ht="13.5" customHeight="1">
      <c r="A38" s="22"/>
      <c r="B38" s="31" t="s">
        <v>11</v>
      </c>
      <c r="C38" s="32" t="s">
        <v>8</v>
      </c>
      <c r="D38" s="25">
        <v>0.05</v>
      </c>
      <c r="E38" s="26">
        <v>67.410000000000011</v>
      </c>
      <c r="F38" s="27">
        <f t="shared" si="8"/>
        <v>0</v>
      </c>
      <c r="G38" s="27"/>
      <c r="H38" s="27"/>
      <c r="I38" s="28">
        <f t="shared" si="11"/>
        <v>0</v>
      </c>
      <c r="J38" s="29">
        <f t="shared" si="9"/>
        <v>0</v>
      </c>
      <c r="K38" s="30">
        <f t="shared" si="10"/>
        <v>0</v>
      </c>
    </row>
    <row r="39" spans="1:11" ht="13.5" customHeight="1">
      <c r="A39" s="22"/>
      <c r="B39" s="31" t="s">
        <v>12</v>
      </c>
      <c r="C39" s="32" t="s">
        <v>8</v>
      </c>
      <c r="D39" s="25">
        <v>0.23</v>
      </c>
      <c r="E39" s="26">
        <v>310.08999999999997</v>
      </c>
      <c r="F39" s="27">
        <f t="shared" si="8"/>
        <v>0</v>
      </c>
      <c r="G39" s="27"/>
      <c r="H39" s="27"/>
      <c r="I39" s="28">
        <f t="shared" si="11"/>
        <v>0</v>
      </c>
      <c r="J39" s="29">
        <f t="shared" si="9"/>
        <v>0</v>
      </c>
      <c r="K39" s="30">
        <f t="shared" si="10"/>
        <v>0</v>
      </c>
    </row>
    <row r="40" spans="1:11" ht="13.5" customHeight="1">
      <c r="A40" s="22"/>
      <c r="B40" s="31" t="s">
        <v>13</v>
      </c>
      <c r="C40" s="32" t="s">
        <v>8</v>
      </c>
      <c r="D40" s="25">
        <v>0.05</v>
      </c>
      <c r="E40" s="26">
        <v>67.410000000000011</v>
      </c>
      <c r="F40" s="27">
        <f t="shared" si="8"/>
        <v>0</v>
      </c>
      <c r="G40" s="27"/>
      <c r="H40" s="27"/>
      <c r="I40" s="28">
        <f t="shared" si="11"/>
        <v>0</v>
      </c>
      <c r="J40" s="29">
        <f t="shared" si="9"/>
        <v>0</v>
      </c>
      <c r="K40" s="30">
        <f t="shared" si="10"/>
        <v>0</v>
      </c>
    </row>
    <row r="41" spans="1:11" ht="13.5" customHeight="1">
      <c r="A41" s="22"/>
      <c r="B41" s="31" t="s">
        <v>14</v>
      </c>
      <c r="C41" s="32" t="s">
        <v>8</v>
      </c>
      <c r="D41" s="25">
        <v>0.04</v>
      </c>
      <c r="E41" s="26">
        <v>53.93</v>
      </c>
      <c r="F41" s="27">
        <f t="shared" si="8"/>
        <v>0</v>
      </c>
      <c r="G41" s="27"/>
      <c r="H41" s="27"/>
      <c r="I41" s="28">
        <f t="shared" si="11"/>
        <v>0</v>
      </c>
      <c r="J41" s="29">
        <f t="shared" si="9"/>
        <v>0</v>
      </c>
      <c r="K41" s="30">
        <f t="shared" si="10"/>
        <v>0</v>
      </c>
    </row>
    <row r="42" spans="1:11" ht="13.5" customHeight="1">
      <c r="A42" s="22"/>
      <c r="B42" s="31" t="s">
        <v>15</v>
      </c>
      <c r="C42" s="32" t="s">
        <v>8</v>
      </c>
      <c r="D42" s="25">
        <v>0.04</v>
      </c>
      <c r="E42" s="26">
        <v>53.93</v>
      </c>
      <c r="F42" s="27">
        <f t="shared" si="8"/>
        <v>0</v>
      </c>
      <c r="G42" s="27"/>
      <c r="H42" s="27"/>
      <c r="I42" s="28">
        <f>H42*E42</f>
        <v>0</v>
      </c>
      <c r="J42" s="29">
        <f>G42*E42</f>
        <v>0</v>
      </c>
      <c r="K42" s="30">
        <f>SUM(I42:J42)</f>
        <v>0</v>
      </c>
    </row>
    <row r="43" spans="1:11" ht="13.5" customHeight="1">
      <c r="A43" s="22"/>
      <c r="B43" s="31" t="s">
        <v>16</v>
      </c>
      <c r="C43" s="32" t="s">
        <v>8</v>
      </c>
      <c r="D43" s="25">
        <v>0.14000000000000001</v>
      </c>
      <c r="E43" s="26">
        <v>188.75</v>
      </c>
      <c r="F43" s="27">
        <f t="shared" si="8"/>
        <v>0</v>
      </c>
      <c r="G43" s="27"/>
      <c r="H43" s="27"/>
      <c r="I43" s="28">
        <f t="shared" ref="I43:I46" si="12">H43*E43</f>
        <v>0</v>
      </c>
      <c r="J43" s="29">
        <f t="shared" ref="J43:J47" si="13">G43*E43</f>
        <v>0</v>
      </c>
      <c r="K43" s="30">
        <f t="shared" ref="K43:K47" si="14">SUM(I43:J43)</f>
        <v>0</v>
      </c>
    </row>
    <row r="44" spans="1:11" ht="13.5" customHeight="1">
      <c r="A44" s="22"/>
      <c r="B44" s="31" t="s">
        <v>17</v>
      </c>
      <c r="C44" s="32" t="s">
        <v>8</v>
      </c>
      <c r="D44" s="25">
        <v>0.06</v>
      </c>
      <c r="E44" s="26">
        <v>80.89</v>
      </c>
      <c r="F44" s="27">
        <f t="shared" si="8"/>
        <v>0</v>
      </c>
      <c r="G44" s="27"/>
      <c r="H44" s="27"/>
      <c r="I44" s="28">
        <f t="shared" si="12"/>
        <v>0</v>
      </c>
      <c r="J44" s="29">
        <f t="shared" si="13"/>
        <v>0</v>
      </c>
      <c r="K44" s="30">
        <f t="shared" si="14"/>
        <v>0</v>
      </c>
    </row>
    <row r="45" spans="1:11" ht="13.5" customHeight="1">
      <c r="A45" s="22"/>
      <c r="B45" s="31" t="s">
        <v>18</v>
      </c>
      <c r="C45" s="32" t="s">
        <v>8</v>
      </c>
      <c r="D45" s="25">
        <v>0.03</v>
      </c>
      <c r="E45" s="26">
        <v>40.450000000000003</v>
      </c>
      <c r="F45" s="27">
        <f t="shared" si="8"/>
        <v>0</v>
      </c>
      <c r="G45" s="27"/>
      <c r="H45" s="27"/>
      <c r="I45" s="28">
        <f t="shared" si="12"/>
        <v>0</v>
      </c>
      <c r="J45" s="29">
        <f t="shared" si="13"/>
        <v>0</v>
      </c>
      <c r="K45" s="30">
        <f t="shared" si="14"/>
        <v>0</v>
      </c>
    </row>
    <row r="46" spans="1:11" ht="13.5" customHeight="1">
      <c r="A46" s="22"/>
      <c r="B46" s="31" t="s">
        <v>24</v>
      </c>
      <c r="C46" s="24" t="s">
        <v>8</v>
      </c>
      <c r="D46" s="25">
        <v>0.09</v>
      </c>
      <c r="E46" s="26">
        <v>121.33</v>
      </c>
      <c r="F46" s="27">
        <f t="shared" si="8"/>
        <v>0</v>
      </c>
      <c r="G46" s="27"/>
      <c r="H46" s="27"/>
      <c r="I46" s="28">
        <f t="shared" si="12"/>
        <v>0</v>
      </c>
      <c r="J46" s="29">
        <f t="shared" si="13"/>
        <v>0</v>
      </c>
      <c r="K46" s="30">
        <f t="shared" si="14"/>
        <v>0</v>
      </c>
    </row>
    <row r="47" spans="1:11" ht="13.5" customHeight="1">
      <c r="A47" s="22"/>
      <c r="B47" s="23" t="s">
        <v>19</v>
      </c>
      <c r="C47" s="24" t="s">
        <v>8</v>
      </c>
      <c r="D47" s="25">
        <v>0.02</v>
      </c>
      <c r="E47" s="26">
        <v>26.96</v>
      </c>
      <c r="F47" s="27">
        <f t="shared" si="8"/>
        <v>0</v>
      </c>
      <c r="G47" s="27"/>
      <c r="H47" s="27"/>
      <c r="I47" s="28">
        <f>H47*E47</f>
        <v>0</v>
      </c>
      <c r="J47" s="29">
        <f t="shared" si="13"/>
        <v>0</v>
      </c>
      <c r="K47" s="30">
        <f t="shared" si="14"/>
        <v>0</v>
      </c>
    </row>
    <row r="48" spans="1:11" ht="13.5" customHeight="1">
      <c r="A48" s="22"/>
      <c r="B48" s="23" t="s">
        <v>25</v>
      </c>
      <c r="C48" s="74" t="s">
        <v>27</v>
      </c>
      <c r="D48" s="74"/>
      <c r="E48" s="26"/>
      <c r="F48" s="27"/>
      <c r="G48" s="27"/>
      <c r="H48" s="27"/>
      <c r="I48" s="28"/>
      <c r="J48" s="29"/>
      <c r="K48" s="30"/>
    </row>
    <row r="49" spans="1:11" ht="13.5" customHeight="1">
      <c r="A49" s="22"/>
      <c r="B49" s="31" t="s">
        <v>28</v>
      </c>
      <c r="C49" s="24" t="s">
        <v>8</v>
      </c>
      <c r="D49" s="25">
        <v>0.01</v>
      </c>
      <c r="E49" s="26">
        <v>40.450000000000003</v>
      </c>
      <c r="F49" s="27">
        <f t="shared" ref="F49:F50" si="15">G49+H49</f>
        <v>0</v>
      </c>
      <c r="G49" s="27"/>
      <c r="H49" s="27"/>
      <c r="I49" s="28">
        <f t="shared" ref="I49:I50" si="16">H49*E49</f>
        <v>0</v>
      </c>
      <c r="J49" s="29">
        <f t="shared" ref="J49:J50" si="17">G49*E49</f>
        <v>0</v>
      </c>
      <c r="K49" s="30">
        <f t="shared" ref="K49:K50" si="18">SUM(I49:J49)</f>
        <v>0</v>
      </c>
    </row>
    <row r="50" spans="1:11" ht="13.5" customHeight="1" thickBot="1">
      <c r="A50" s="22"/>
      <c r="B50" s="31" t="s">
        <v>29</v>
      </c>
      <c r="C50" s="24" t="s">
        <v>8</v>
      </c>
      <c r="D50" s="25">
        <v>0.03</v>
      </c>
      <c r="E50" s="26">
        <v>13.48</v>
      </c>
      <c r="F50" s="27">
        <f t="shared" si="15"/>
        <v>0</v>
      </c>
      <c r="G50" s="27"/>
      <c r="H50" s="27"/>
      <c r="I50" s="28">
        <f t="shared" si="16"/>
        <v>0</v>
      </c>
      <c r="J50" s="29">
        <f t="shared" si="17"/>
        <v>0</v>
      </c>
      <c r="K50" s="30">
        <f t="shared" si="18"/>
        <v>0</v>
      </c>
    </row>
    <row r="51" spans="1:11" ht="13.5" customHeight="1">
      <c r="A51" s="33"/>
      <c r="B51" s="34"/>
      <c r="C51" s="35"/>
      <c r="D51" s="36">
        <f>SUM(D35:D50)</f>
        <v>1</v>
      </c>
      <c r="E51" s="37">
        <f>SUM(E35:E50)</f>
        <v>1348.2</v>
      </c>
      <c r="F51" s="38"/>
      <c r="G51" s="38"/>
      <c r="H51" s="39" t="s">
        <v>20</v>
      </c>
      <c r="I51" s="40">
        <f>SUM(I35:I50)</f>
        <v>46592.639999999999</v>
      </c>
      <c r="J51" s="40">
        <f>SUM(J35:J50)</f>
        <v>0</v>
      </c>
      <c r="K51" s="41">
        <f>SUM(K35:K50)</f>
        <v>46592.639999999999</v>
      </c>
    </row>
    <row r="52" spans="1:11" ht="9.75" customHeight="1">
      <c r="A52" s="42"/>
      <c r="B52" s="43"/>
      <c r="C52" s="44"/>
      <c r="D52" s="45"/>
      <c r="E52" s="46"/>
      <c r="F52" s="47"/>
      <c r="G52" s="47"/>
      <c r="H52" s="48"/>
      <c r="I52" s="49"/>
      <c r="J52" s="49"/>
      <c r="K52" s="49"/>
    </row>
    <row r="53" spans="1:11" ht="13.5" customHeight="1">
      <c r="A53" s="42"/>
      <c r="B53" s="43"/>
      <c r="C53" s="43"/>
      <c r="D53" s="45"/>
      <c r="E53" s="46"/>
      <c r="F53" s="60"/>
      <c r="G53" s="60"/>
      <c r="H53" s="61"/>
      <c r="I53" s="62"/>
      <c r="J53" s="62"/>
      <c r="K53" s="62"/>
    </row>
    <row r="54" spans="1:11" ht="13.5" customHeight="1">
      <c r="A54" s="42"/>
      <c r="B54" s="43"/>
      <c r="C54" s="43"/>
      <c r="D54" s="45"/>
      <c r="E54" s="46"/>
      <c r="F54" s="60"/>
      <c r="G54" s="60"/>
      <c r="H54" s="61"/>
      <c r="I54" s="62"/>
      <c r="J54" s="62"/>
      <c r="K54" s="62"/>
    </row>
    <row r="55" spans="1:11" ht="16">
      <c r="A55" s="2" t="s">
        <v>37</v>
      </c>
    </row>
    <row r="56" spans="1:11" ht="16.5" customHeight="1">
      <c r="A56" s="2"/>
      <c r="I56" s="3"/>
      <c r="J56" s="71"/>
      <c r="K56" s="71"/>
    </row>
    <row r="57" spans="1:11" s="12" customFormat="1" ht="23.25" customHeight="1">
      <c r="A57" s="4"/>
      <c r="B57" s="5"/>
      <c r="C57" s="6">
        <v>1695</v>
      </c>
      <c r="D57" s="7" t="s">
        <v>0</v>
      </c>
      <c r="E57" s="8">
        <v>1540.8</v>
      </c>
      <c r="F57" s="9" t="s">
        <v>1</v>
      </c>
      <c r="G57" s="9" t="s">
        <v>2</v>
      </c>
      <c r="H57" s="9" t="s">
        <v>3</v>
      </c>
      <c r="I57" s="10" t="s">
        <v>4</v>
      </c>
      <c r="J57" s="10" t="s">
        <v>5</v>
      </c>
      <c r="K57" s="11" t="s">
        <v>6</v>
      </c>
    </row>
    <row r="58" spans="1:11" ht="13.5" customHeight="1">
      <c r="A58" s="13" t="s">
        <v>23</v>
      </c>
      <c r="B58" s="14" t="s">
        <v>7</v>
      </c>
      <c r="C58" s="15" t="s">
        <v>8</v>
      </c>
      <c r="D58" s="16">
        <v>0.06</v>
      </c>
      <c r="E58" s="17">
        <v>92.45</v>
      </c>
      <c r="F58" s="27">
        <f t="shared" ref="F58:F70" si="19">G58+H58</f>
        <v>848</v>
      </c>
      <c r="G58" s="18"/>
      <c r="H58" s="18">
        <v>848</v>
      </c>
      <c r="I58" s="19">
        <f>H58*E58</f>
        <v>78397.600000000006</v>
      </c>
      <c r="J58" s="20">
        <f t="shared" ref="J58:J64" si="20">G58*E58</f>
        <v>0</v>
      </c>
      <c r="K58" s="21">
        <f t="shared" ref="K58:K64" si="21">SUM(I58:J58)</f>
        <v>78397.600000000006</v>
      </c>
    </row>
    <row r="59" spans="1:11" ht="13.5" customHeight="1">
      <c r="A59" s="22"/>
      <c r="B59" s="23" t="s">
        <v>9</v>
      </c>
      <c r="C59" s="64" t="s">
        <v>8</v>
      </c>
      <c r="D59" s="25">
        <v>0.1</v>
      </c>
      <c r="E59" s="26">
        <v>154.08000000000001</v>
      </c>
      <c r="F59" s="27">
        <f t="shared" si="19"/>
        <v>0</v>
      </c>
      <c r="G59" s="27"/>
      <c r="H59" s="27"/>
      <c r="I59" s="28">
        <f>H59*E59</f>
        <v>0</v>
      </c>
      <c r="J59" s="29">
        <f t="shared" si="20"/>
        <v>0</v>
      </c>
      <c r="K59" s="30">
        <f t="shared" si="21"/>
        <v>0</v>
      </c>
    </row>
    <row r="60" spans="1:11" ht="13.5" customHeight="1">
      <c r="A60" s="22"/>
      <c r="B60" s="31" t="s">
        <v>10</v>
      </c>
      <c r="C60" s="32" t="s">
        <v>8</v>
      </c>
      <c r="D60" s="25">
        <v>0.05</v>
      </c>
      <c r="E60" s="26">
        <v>77.040000000000006</v>
      </c>
      <c r="F60" s="27">
        <f t="shared" si="19"/>
        <v>0</v>
      </c>
      <c r="G60" s="27"/>
      <c r="H60" s="27"/>
      <c r="I60" s="28">
        <f t="shared" ref="I60:I64" si="22">H60*E60</f>
        <v>0</v>
      </c>
      <c r="J60" s="29">
        <f t="shared" si="20"/>
        <v>0</v>
      </c>
      <c r="K60" s="30">
        <f t="shared" si="21"/>
        <v>0</v>
      </c>
    </row>
    <row r="61" spans="1:11" ht="13.5" customHeight="1">
      <c r="A61" s="22"/>
      <c r="B61" s="31" t="s">
        <v>11</v>
      </c>
      <c r="C61" s="32" t="s">
        <v>8</v>
      </c>
      <c r="D61" s="25">
        <v>0.05</v>
      </c>
      <c r="E61" s="26">
        <v>77.040000000000006</v>
      </c>
      <c r="F61" s="27">
        <f t="shared" si="19"/>
        <v>0</v>
      </c>
      <c r="G61" s="27"/>
      <c r="H61" s="27"/>
      <c r="I61" s="28">
        <f t="shared" si="22"/>
        <v>0</v>
      </c>
      <c r="J61" s="29">
        <f t="shared" si="20"/>
        <v>0</v>
      </c>
      <c r="K61" s="30">
        <f t="shared" si="21"/>
        <v>0</v>
      </c>
    </row>
    <row r="62" spans="1:11" ht="13.5" customHeight="1">
      <c r="A62" s="22"/>
      <c r="B62" s="31" t="s">
        <v>12</v>
      </c>
      <c r="C62" s="32" t="s">
        <v>8</v>
      </c>
      <c r="D62" s="25">
        <v>0.23</v>
      </c>
      <c r="E62" s="26">
        <v>354.38</v>
      </c>
      <c r="F62" s="27">
        <f t="shared" si="19"/>
        <v>0</v>
      </c>
      <c r="G62" s="27"/>
      <c r="H62" s="27"/>
      <c r="I62" s="28">
        <f t="shared" si="22"/>
        <v>0</v>
      </c>
      <c r="J62" s="29">
        <f t="shared" si="20"/>
        <v>0</v>
      </c>
      <c r="K62" s="30">
        <f t="shared" si="21"/>
        <v>0</v>
      </c>
    </row>
    <row r="63" spans="1:11" ht="13.5" customHeight="1">
      <c r="A63" s="22"/>
      <c r="B63" s="31" t="s">
        <v>13</v>
      </c>
      <c r="C63" s="32" t="s">
        <v>8</v>
      </c>
      <c r="D63" s="25">
        <v>0.05</v>
      </c>
      <c r="E63" s="26">
        <v>77.040000000000006</v>
      </c>
      <c r="F63" s="27">
        <f t="shared" si="19"/>
        <v>0</v>
      </c>
      <c r="G63" s="27"/>
      <c r="H63" s="27"/>
      <c r="I63" s="28">
        <f t="shared" si="22"/>
        <v>0</v>
      </c>
      <c r="J63" s="29">
        <f t="shared" si="20"/>
        <v>0</v>
      </c>
      <c r="K63" s="30">
        <f t="shared" si="21"/>
        <v>0</v>
      </c>
    </row>
    <row r="64" spans="1:11" ht="13.5" customHeight="1">
      <c r="A64" s="22"/>
      <c r="B64" s="31" t="s">
        <v>14</v>
      </c>
      <c r="C64" s="32" t="s">
        <v>8</v>
      </c>
      <c r="D64" s="25">
        <v>0.04</v>
      </c>
      <c r="E64" s="26">
        <v>61.63</v>
      </c>
      <c r="F64" s="27">
        <f t="shared" si="19"/>
        <v>0</v>
      </c>
      <c r="G64" s="27"/>
      <c r="H64" s="27"/>
      <c r="I64" s="28">
        <f t="shared" si="22"/>
        <v>0</v>
      </c>
      <c r="J64" s="29">
        <f t="shared" si="20"/>
        <v>0</v>
      </c>
      <c r="K64" s="30">
        <f t="shared" si="21"/>
        <v>0</v>
      </c>
    </row>
    <row r="65" spans="1:11" ht="13.5" customHeight="1">
      <c r="A65" s="22"/>
      <c r="B65" s="31" t="s">
        <v>15</v>
      </c>
      <c r="C65" s="32" t="s">
        <v>8</v>
      </c>
      <c r="D65" s="25">
        <v>0.04</v>
      </c>
      <c r="E65" s="26">
        <v>61.63</v>
      </c>
      <c r="F65" s="27">
        <f t="shared" si="19"/>
        <v>0</v>
      </c>
      <c r="G65" s="27"/>
      <c r="H65" s="27"/>
      <c r="I65" s="28">
        <f>H65*E65</f>
        <v>0</v>
      </c>
      <c r="J65" s="29">
        <f>G65*E65</f>
        <v>0</v>
      </c>
      <c r="K65" s="30">
        <f>SUM(I65:J65)</f>
        <v>0</v>
      </c>
    </row>
    <row r="66" spans="1:11" ht="13.5" customHeight="1">
      <c r="A66" s="22"/>
      <c r="B66" s="31" t="s">
        <v>16</v>
      </c>
      <c r="C66" s="32" t="s">
        <v>8</v>
      </c>
      <c r="D66" s="25">
        <v>0.14000000000000001</v>
      </c>
      <c r="E66" s="26">
        <v>215.71</v>
      </c>
      <c r="F66" s="27">
        <f t="shared" si="19"/>
        <v>0</v>
      </c>
      <c r="G66" s="27"/>
      <c r="H66" s="27"/>
      <c r="I66" s="28">
        <f t="shared" ref="I66:I69" si="23">H66*E66</f>
        <v>0</v>
      </c>
      <c r="J66" s="29">
        <f t="shared" ref="J66:J70" si="24">G66*E66</f>
        <v>0</v>
      </c>
      <c r="K66" s="30">
        <f t="shared" ref="K66:K70" si="25">SUM(I66:J66)</f>
        <v>0</v>
      </c>
    </row>
    <row r="67" spans="1:11" ht="13.5" customHeight="1">
      <c r="A67" s="22"/>
      <c r="B67" s="31" t="s">
        <v>17</v>
      </c>
      <c r="C67" s="32" t="s">
        <v>8</v>
      </c>
      <c r="D67" s="25">
        <v>0.06</v>
      </c>
      <c r="E67" s="26">
        <v>92.45</v>
      </c>
      <c r="F67" s="27">
        <f t="shared" si="19"/>
        <v>0</v>
      </c>
      <c r="G67" s="27"/>
      <c r="H67" s="27"/>
      <c r="I67" s="28">
        <f t="shared" si="23"/>
        <v>0</v>
      </c>
      <c r="J67" s="29">
        <f t="shared" si="24"/>
        <v>0</v>
      </c>
      <c r="K67" s="30">
        <f t="shared" si="25"/>
        <v>0</v>
      </c>
    </row>
    <row r="68" spans="1:11" ht="13.5" customHeight="1">
      <c r="A68" s="22"/>
      <c r="B68" s="31" t="s">
        <v>18</v>
      </c>
      <c r="C68" s="32" t="s">
        <v>8</v>
      </c>
      <c r="D68" s="25">
        <v>0.03</v>
      </c>
      <c r="E68" s="26">
        <v>46.22</v>
      </c>
      <c r="F68" s="27">
        <f t="shared" si="19"/>
        <v>0</v>
      </c>
      <c r="G68" s="27"/>
      <c r="H68" s="27"/>
      <c r="I68" s="28">
        <f t="shared" si="23"/>
        <v>0</v>
      </c>
      <c r="J68" s="29">
        <f t="shared" si="24"/>
        <v>0</v>
      </c>
      <c r="K68" s="30">
        <f t="shared" si="25"/>
        <v>0</v>
      </c>
    </row>
    <row r="69" spans="1:11" ht="13.5" customHeight="1">
      <c r="A69" s="22"/>
      <c r="B69" s="31" t="s">
        <v>24</v>
      </c>
      <c r="C69" s="64" t="s">
        <v>8</v>
      </c>
      <c r="D69" s="25">
        <v>0.09</v>
      </c>
      <c r="E69" s="26">
        <v>138.68</v>
      </c>
      <c r="F69" s="27">
        <f t="shared" si="19"/>
        <v>0</v>
      </c>
      <c r="G69" s="27"/>
      <c r="H69" s="27"/>
      <c r="I69" s="28">
        <f t="shared" si="23"/>
        <v>0</v>
      </c>
      <c r="J69" s="29">
        <f t="shared" si="24"/>
        <v>0</v>
      </c>
      <c r="K69" s="30">
        <f t="shared" si="25"/>
        <v>0</v>
      </c>
    </row>
    <row r="70" spans="1:11" ht="13.5" customHeight="1">
      <c r="A70" s="22"/>
      <c r="B70" s="23" t="s">
        <v>19</v>
      </c>
      <c r="C70" s="64" t="s">
        <v>8</v>
      </c>
      <c r="D70" s="25">
        <v>0.02</v>
      </c>
      <c r="E70" s="26">
        <v>30.82</v>
      </c>
      <c r="F70" s="27">
        <f t="shared" si="19"/>
        <v>0</v>
      </c>
      <c r="G70" s="27"/>
      <c r="H70" s="27"/>
      <c r="I70" s="28">
        <f>H70*E70</f>
        <v>0</v>
      </c>
      <c r="J70" s="29">
        <f t="shared" si="24"/>
        <v>0</v>
      </c>
      <c r="K70" s="30">
        <f t="shared" si="25"/>
        <v>0</v>
      </c>
    </row>
    <row r="71" spans="1:11" ht="13.5" customHeight="1">
      <c r="A71" s="22"/>
      <c r="B71" s="23" t="s">
        <v>25</v>
      </c>
      <c r="C71" s="74" t="s">
        <v>27</v>
      </c>
      <c r="D71" s="74"/>
      <c r="E71" s="26"/>
      <c r="F71" s="27"/>
      <c r="G71" s="27"/>
      <c r="H71" s="27"/>
      <c r="I71" s="28"/>
      <c r="J71" s="29"/>
      <c r="K71" s="30"/>
    </row>
    <row r="72" spans="1:11" ht="13.5" customHeight="1">
      <c r="A72" s="22"/>
      <c r="B72" s="31" t="s">
        <v>28</v>
      </c>
      <c r="C72" s="64" t="s">
        <v>8</v>
      </c>
      <c r="D72" s="25">
        <v>0.01</v>
      </c>
      <c r="E72" s="26">
        <v>46.22</v>
      </c>
      <c r="F72" s="27">
        <f t="shared" ref="F72:F73" si="26">G72+H72</f>
        <v>0</v>
      </c>
      <c r="G72" s="27"/>
      <c r="H72" s="27"/>
      <c r="I72" s="28">
        <f t="shared" ref="I72:I73" si="27">H72*E72</f>
        <v>0</v>
      </c>
      <c r="J72" s="29">
        <f t="shared" ref="J72:J73" si="28">G72*E72</f>
        <v>0</v>
      </c>
      <c r="K72" s="30">
        <f t="shared" ref="K72:K73" si="29">SUM(I72:J72)</f>
        <v>0</v>
      </c>
    </row>
    <row r="73" spans="1:11" ht="13.5" customHeight="1" thickBot="1">
      <c r="A73" s="22"/>
      <c r="B73" s="31" t="s">
        <v>29</v>
      </c>
      <c r="C73" s="64" t="s">
        <v>8</v>
      </c>
      <c r="D73" s="25">
        <v>0.03</v>
      </c>
      <c r="E73" s="26">
        <v>15.41</v>
      </c>
      <c r="F73" s="27">
        <f t="shared" si="26"/>
        <v>0</v>
      </c>
      <c r="G73" s="27"/>
      <c r="H73" s="27"/>
      <c r="I73" s="28">
        <f t="shared" si="27"/>
        <v>0</v>
      </c>
      <c r="J73" s="29">
        <f t="shared" si="28"/>
        <v>0</v>
      </c>
      <c r="K73" s="30">
        <f t="shared" si="29"/>
        <v>0</v>
      </c>
    </row>
    <row r="74" spans="1:11" ht="13.5" customHeight="1">
      <c r="A74" s="33"/>
      <c r="B74" s="34"/>
      <c r="C74" s="35"/>
      <c r="D74" s="36">
        <f>SUM(D58:D73)</f>
        <v>1</v>
      </c>
      <c r="E74" s="37">
        <f>SUM(E58:E73)</f>
        <v>1540.8000000000002</v>
      </c>
      <c r="F74" s="38"/>
      <c r="G74" s="38"/>
      <c r="H74" s="39" t="s">
        <v>20</v>
      </c>
      <c r="I74" s="40">
        <f>SUM(I58:I73)</f>
        <v>78397.600000000006</v>
      </c>
      <c r="J74" s="40">
        <f>SUM(J58:J73)</f>
        <v>0</v>
      </c>
      <c r="K74" s="41">
        <f>SUM(K58:K73)</f>
        <v>78397.600000000006</v>
      </c>
    </row>
    <row r="75" spans="1:11" ht="9.75" customHeight="1">
      <c r="A75" s="42"/>
      <c r="B75" s="43"/>
      <c r="C75" s="44"/>
      <c r="D75" s="45"/>
      <c r="E75" s="46"/>
      <c r="F75" s="47"/>
      <c r="G75" s="47"/>
      <c r="H75" s="48"/>
      <c r="I75" s="49"/>
      <c r="J75" s="49"/>
      <c r="K75" s="49"/>
    </row>
    <row r="76" spans="1:11" ht="13.5" customHeight="1">
      <c r="A76" s="42"/>
      <c r="B76" s="43"/>
      <c r="C76" s="43"/>
      <c r="D76" s="45"/>
      <c r="E76" s="46"/>
      <c r="F76" s="60"/>
      <c r="G76" s="60"/>
      <c r="H76" s="61"/>
      <c r="I76" s="62"/>
      <c r="J76" s="62"/>
      <c r="K76" s="62" t="s">
        <v>41</v>
      </c>
    </row>
    <row r="77" spans="1:11" ht="13.5" customHeight="1">
      <c r="A77" s="42"/>
      <c r="B77" s="43"/>
      <c r="C77" s="43"/>
      <c r="D77" s="45"/>
      <c r="E77" s="46"/>
      <c r="F77" s="60"/>
      <c r="G77" s="60"/>
      <c r="H77" s="61"/>
      <c r="I77" s="62"/>
      <c r="J77" s="62"/>
      <c r="K77" s="62"/>
    </row>
    <row r="78" spans="1:11" ht="16">
      <c r="A78" s="2" t="s">
        <v>38</v>
      </c>
    </row>
    <row r="79" spans="1:11" ht="16.5" customHeight="1">
      <c r="A79" s="2"/>
      <c r="I79" s="3"/>
      <c r="J79" s="71"/>
      <c r="K79" s="71"/>
    </row>
    <row r="80" spans="1:11" s="12" customFormat="1" ht="23.25" customHeight="1">
      <c r="A80" s="4"/>
      <c r="B80" s="5"/>
      <c r="C80" s="6">
        <v>832</v>
      </c>
      <c r="D80" s="7" t="s">
        <v>0</v>
      </c>
      <c r="E80" s="8">
        <v>963</v>
      </c>
      <c r="F80" s="9" t="s">
        <v>1</v>
      </c>
      <c r="G80" s="9" t="s">
        <v>2</v>
      </c>
      <c r="H80" s="9" t="s">
        <v>3</v>
      </c>
      <c r="I80" s="10" t="s">
        <v>4</v>
      </c>
      <c r="J80" s="10" t="s">
        <v>5</v>
      </c>
      <c r="K80" s="11" t="s">
        <v>6</v>
      </c>
    </row>
    <row r="81" spans="1:11" ht="13.5" customHeight="1">
      <c r="A81" s="13" t="s">
        <v>23</v>
      </c>
      <c r="B81" s="14" t="s">
        <v>7</v>
      </c>
      <c r="C81" s="15" t="s">
        <v>8</v>
      </c>
      <c r="D81" s="16">
        <v>0.06</v>
      </c>
      <c r="E81" s="17">
        <v>57.78</v>
      </c>
      <c r="F81" s="27">
        <f t="shared" ref="F81:F93" si="30">G81+H81</f>
        <v>416</v>
      </c>
      <c r="G81" s="18"/>
      <c r="H81" s="18">
        <v>416</v>
      </c>
      <c r="I81" s="19">
        <f>H81*E81</f>
        <v>24036.48</v>
      </c>
      <c r="J81" s="20">
        <f t="shared" ref="J81:J87" si="31">G81*E81</f>
        <v>0</v>
      </c>
      <c r="K81" s="21">
        <f t="shared" ref="K81:K87" si="32">SUM(I81:J81)</f>
        <v>24036.48</v>
      </c>
    </row>
    <row r="82" spans="1:11" ht="13.5" customHeight="1">
      <c r="A82" s="22"/>
      <c r="B82" s="23" t="s">
        <v>9</v>
      </c>
      <c r="C82" s="64" t="s">
        <v>8</v>
      </c>
      <c r="D82" s="25">
        <v>0.1</v>
      </c>
      <c r="E82" s="26">
        <v>96.300000000000011</v>
      </c>
      <c r="F82" s="27">
        <f t="shared" si="30"/>
        <v>0</v>
      </c>
      <c r="G82" s="27"/>
      <c r="H82" s="27"/>
      <c r="I82" s="28">
        <f>H82*E82</f>
        <v>0</v>
      </c>
      <c r="J82" s="29">
        <f t="shared" si="31"/>
        <v>0</v>
      </c>
      <c r="K82" s="30">
        <f t="shared" si="32"/>
        <v>0</v>
      </c>
    </row>
    <row r="83" spans="1:11" ht="13.5" customHeight="1">
      <c r="A83" s="22"/>
      <c r="B83" s="31" t="s">
        <v>10</v>
      </c>
      <c r="C83" s="32" t="s">
        <v>8</v>
      </c>
      <c r="D83" s="25">
        <v>0.05</v>
      </c>
      <c r="E83" s="26">
        <v>48.150000000000006</v>
      </c>
      <c r="F83" s="27">
        <f t="shared" si="30"/>
        <v>0</v>
      </c>
      <c r="G83" s="27"/>
      <c r="H83" s="27"/>
      <c r="I83" s="28">
        <f t="shared" ref="I83:I87" si="33">H83*E83</f>
        <v>0</v>
      </c>
      <c r="J83" s="29">
        <f t="shared" si="31"/>
        <v>0</v>
      </c>
      <c r="K83" s="30">
        <f t="shared" si="32"/>
        <v>0</v>
      </c>
    </row>
    <row r="84" spans="1:11" ht="13.5" customHeight="1">
      <c r="A84" s="22"/>
      <c r="B84" s="31" t="s">
        <v>11</v>
      </c>
      <c r="C84" s="32" t="s">
        <v>8</v>
      </c>
      <c r="D84" s="25">
        <v>0.05</v>
      </c>
      <c r="E84" s="26">
        <v>48.150000000000006</v>
      </c>
      <c r="F84" s="27">
        <f t="shared" si="30"/>
        <v>0</v>
      </c>
      <c r="G84" s="27"/>
      <c r="H84" s="27"/>
      <c r="I84" s="28">
        <f t="shared" si="33"/>
        <v>0</v>
      </c>
      <c r="J84" s="29">
        <f t="shared" si="31"/>
        <v>0</v>
      </c>
      <c r="K84" s="30">
        <f t="shared" si="32"/>
        <v>0</v>
      </c>
    </row>
    <row r="85" spans="1:11" ht="13.5" customHeight="1">
      <c r="A85" s="22"/>
      <c r="B85" s="31" t="s">
        <v>12</v>
      </c>
      <c r="C85" s="32" t="s">
        <v>8</v>
      </c>
      <c r="D85" s="25">
        <v>0.23</v>
      </c>
      <c r="E85" s="26">
        <v>221.49</v>
      </c>
      <c r="F85" s="27">
        <f t="shared" si="30"/>
        <v>0</v>
      </c>
      <c r="G85" s="27"/>
      <c r="H85" s="27"/>
      <c r="I85" s="28">
        <f t="shared" si="33"/>
        <v>0</v>
      </c>
      <c r="J85" s="29">
        <f t="shared" si="31"/>
        <v>0</v>
      </c>
      <c r="K85" s="30">
        <f t="shared" si="32"/>
        <v>0</v>
      </c>
    </row>
    <row r="86" spans="1:11" ht="13.5" customHeight="1">
      <c r="A86" s="22"/>
      <c r="B86" s="31" t="s">
        <v>13</v>
      </c>
      <c r="C86" s="32" t="s">
        <v>8</v>
      </c>
      <c r="D86" s="25">
        <v>0.05</v>
      </c>
      <c r="E86" s="26">
        <v>48.150000000000006</v>
      </c>
      <c r="F86" s="27">
        <f t="shared" si="30"/>
        <v>0</v>
      </c>
      <c r="G86" s="27"/>
      <c r="H86" s="27"/>
      <c r="I86" s="28">
        <f t="shared" si="33"/>
        <v>0</v>
      </c>
      <c r="J86" s="29">
        <f t="shared" si="31"/>
        <v>0</v>
      </c>
      <c r="K86" s="30">
        <f t="shared" si="32"/>
        <v>0</v>
      </c>
    </row>
    <row r="87" spans="1:11" ht="13.5" customHeight="1">
      <c r="A87" s="22"/>
      <c r="B87" s="31" t="s">
        <v>14</v>
      </c>
      <c r="C87" s="32" t="s">
        <v>8</v>
      </c>
      <c r="D87" s="25">
        <v>0.04</v>
      </c>
      <c r="E87" s="26">
        <v>38.520000000000003</v>
      </c>
      <c r="F87" s="27">
        <f t="shared" si="30"/>
        <v>0</v>
      </c>
      <c r="G87" s="27"/>
      <c r="H87" s="27"/>
      <c r="I87" s="28">
        <f t="shared" si="33"/>
        <v>0</v>
      </c>
      <c r="J87" s="29">
        <f t="shared" si="31"/>
        <v>0</v>
      </c>
      <c r="K87" s="30">
        <f t="shared" si="32"/>
        <v>0</v>
      </c>
    </row>
    <row r="88" spans="1:11" ht="13.5" customHeight="1">
      <c r="A88" s="22"/>
      <c r="B88" s="31" t="s">
        <v>15</v>
      </c>
      <c r="C88" s="32" t="s">
        <v>8</v>
      </c>
      <c r="D88" s="25">
        <v>0.04</v>
      </c>
      <c r="E88" s="26">
        <v>38.520000000000003</v>
      </c>
      <c r="F88" s="27">
        <f t="shared" si="30"/>
        <v>0</v>
      </c>
      <c r="G88" s="27"/>
      <c r="H88" s="27"/>
      <c r="I88" s="28">
        <f>H88*E88</f>
        <v>0</v>
      </c>
      <c r="J88" s="29">
        <f>G88*E88</f>
        <v>0</v>
      </c>
      <c r="K88" s="30">
        <f>SUM(I88:J88)</f>
        <v>0</v>
      </c>
    </row>
    <row r="89" spans="1:11" ht="13.5" customHeight="1">
      <c r="A89" s="22"/>
      <c r="B89" s="31" t="s">
        <v>16</v>
      </c>
      <c r="C89" s="32" t="s">
        <v>8</v>
      </c>
      <c r="D89" s="25">
        <v>0.14000000000000001</v>
      </c>
      <c r="E89" s="26">
        <v>134.82000000000002</v>
      </c>
      <c r="F89" s="27">
        <f t="shared" si="30"/>
        <v>0</v>
      </c>
      <c r="G89" s="27"/>
      <c r="H89" s="27"/>
      <c r="I89" s="28">
        <f t="shared" ref="I89:I92" si="34">H89*E89</f>
        <v>0</v>
      </c>
      <c r="J89" s="29">
        <f t="shared" ref="J89:J93" si="35">G89*E89</f>
        <v>0</v>
      </c>
      <c r="K89" s="30">
        <f t="shared" ref="K89:K93" si="36">SUM(I89:J89)</f>
        <v>0</v>
      </c>
    </row>
    <row r="90" spans="1:11" ht="13.5" customHeight="1">
      <c r="A90" s="22"/>
      <c r="B90" s="31" t="s">
        <v>17</v>
      </c>
      <c r="C90" s="32" t="s">
        <v>8</v>
      </c>
      <c r="D90" s="25">
        <v>0.06</v>
      </c>
      <c r="E90" s="26">
        <v>57.78</v>
      </c>
      <c r="F90" s="27">
        <f t="shared" si="30"/>
        <v>0</v>
      </c>
      <c r="G90" s="27"/>
      <c r="H90" s="27"/>
      <c r="I90" s="28">
        <f t="shared" si="34"/>
        <v>0</v>
      </c>
      <c r="J90" s="29">
        <f t="shared" si="35"/>
        <v>0</v>
      </c>
      <c r="K90" s="30">
        <f t="shared" si="36"/>
        <v>0</v>
      </c>
    </row>
    <row r="91" spans="1:11" ht="13.5" customHeight="1">
      <c r="A91" s="22"/>
      <c r="B91" s="31" t="s">
        <v>18</v>
      </c>
      <c r="C91" s="32" t="s">
        <v>8</v>
      </c>
      <c r="D91" s="25">
        <v>0.03</v>
      </c>
      <c r="E91" s="26">
        <v>28.89</v>
      </c>
      <c r="F91" s="27">
        <f t="shared" si="30"/>
        <v>0</v>
      </c>
      <c r="G91" s="27"/>
      <c r="H91" s="27"/>
      <c r="I91" s="28">
        <f t="shared" si="34"/>
        <v>0</v>
      </c>
      <c r="J91" s="29">
        <f t="shared" si="35"/>
        <v>0</v>
      </c>
      <c r="K91" s="30">
        <f t="shared" si="36"/>
        <v>0</v>
      </c>
    </row>
    <row r="92" spans="1:11" ht="13.5" customHeight="1">
      <c r="A92" s="22"/>
      <c r="B92" s="31" t="s">
        <v>24</v>
      </c>
      <c r="C92" s="64" t="s">
        <v>8</v>
      </c>
      <c r="D92" s="25">
        <v>0.09</v>
      </c>
      <c r="E92" s="26">
        <v>86.67</v>
      </c>
      <c r="F92" s="27">
        <f t="shared" si="30"/>
        <v>0</v>
      </c>
      <c r="G92" s="27"/>
      <c r="H92" s="27"/>
      <c r="I92" s="28">
        <f t="shared" si="34"/>
        <v>0</v>
      </c>
      <c r="J92" s="29">
        <f t="shared" si="35"/>
        <v>0</v>
      </c>
      <c r="K92" s="30">
        <f t="shared" si="36"/>
        <v>0</v>
      </c>
    </row>
    <row r="93" spans="1:11" ht="13.5" customHeight="1">
      <c r="A93" s="22"/>
      <c r="B93" s="23" t="s">
        <v>19</v>
      </c>
      <c r="C93" s="64" t="s">
        <v>8</v>
      </c>
      <c r="D93" s="25">
        <v>0.02</v>
      </c>
      <c r="E93" s="26">
        <v>19.260000000000002</v>
      </c>
      <c r="F93" s="27">
        <f t="shared" si="30"/>
        <v>0</v>
      </c>
      <c r="G93" s="27"/>
      <c r="H93" s="27"/>
      <c r="I93" s="28">
        <f>H93*E93</f>
        <v>0</v>
      </c>
      <c r="J93" s="29">
        <f t="shared" si="35"/>
        <v>0</v>
      </c>
      <c r="K93" s="30">
        <f t="shared" si="36"/>
        <v>0</v>
      </c>
    </row>
    <row r="94" spans="1:11" ht="13.5" customHeight="1">
      <c r="A94" s="22"/>
      <c r="B94" s="23" t="s">
        <v>25</v>
      </c>
      <c r="C94" s="74" t="s">
        <v>27</v>
      </c>
      <c r="D94" s="74"/>
      <c r="E94" s="26"/>
      <c r="F94" s="27"/>
      <c r="G94" s="27"/>
      <c r="H94" s="27"/>
      <c r="I94" s="28"/>
      <c r="J94" s="29"/>
      <c r="K94" s="30"/>
    </row>
    <row r="95" spans="1:11" ht="13.5" customHeight="1">
      <c r="A95" s="22"/>
      <c r="B95" s="31" t="s">
        <v>28</v>
      </c>
      <c r="C95" s="64" t="s">
        <v>8</v>
      </c>
      <c r="D95" s="25">
        <v>0.01</v>
      </c>
      <c r="E95" s="26">
        <v>28.89</v>
      </c>
      <c r="F95" s="27">
        <f t="shared" ref="F95:F96" si="37">G95+H95</f>
        <v>0</v>
      </c>
      <c r="G95" s="27"/>
      <c r="H95" s="27"/>
      <c r="I95" s="28">
        <f t="shared" ref="I95:I96" si="38">H95*E95</f>
        <v>0</v>
      </c>
      <c r="J95" s="29">
        <f t="shared" ref="J95:J96" si="39">G95*E95</f>
        <v>0</v>
      </c>
      <c r="K95" s="30">
        <f t="shared" ref="K95:K96" si="40">SUM(I95:J95)</f>
        <v>0</v>
      </c>
    </row>
    <row r="96" spans="1:11" ht="13.5" customHeight="1" thickBot="1">
      <c r="A96" s="22"/>
      <c r="B96" s="31" t="s">
        <v>29</v>
      </c>
      <c r="C96" s="64" t="s">
        <v>8</v>
      </c>
      <c r="D96" s="25">
        <v>0.03</v>
      </c>
      <c r="E96" s="26">
        <v>9.6300000000000008</v>
      </c>
      <c r="F96" s="27">
        <f t="shared" si="37"/>
        <v>0</v>
      </c>
      <c r="G96" s="27"/>
      <c r="H96" s="27"/>
      <c r="I96" s="28">
        <f t="shared" si="38"/>
        <v>0</v>
      </c>
      <c r="J96" s="29">
        <f t="shared" si="39"/>
        <v>0</v>
      </c>
      <c r="K96" s="30">
        <f t="shared" si="40"/>
        <v>0</v>
      </c>
    </row>
    <row r="97" spans="1:11" ht="13.5" customHeight="1">
      <c r="A97" s="33"/>
      <c r="B97" s="34"/>
      <c r="C97" s="35"/>
      <c r="D97" s="36">
        <f>SUM(D81:D96)</f>
        <v>1</v>
      </c>
      <c r="E97" s="37">
        <f>SUM(E81:E96)</f>
        <v>962.99999999999989</v>
      </c>
      <c r="F97" s="38"/>
      <c r="G97" s="38"/>
      <c r="H97" s="39" t="s">
        <v>20</v>
      </c>
      <c r="I97" s="40">
        <f>SUM(I81:I96)</f>
        <v>24036.48</v>
      </c>
      <c r="J97" s="40">
        <f>SUM(J81:J96)</f>
        <v>0</v>
      </c>
      <c r="K97" s="41">
        <f>SUM(K81:K96)</f>
        <v>24036.48</v>
      </c>
    </row>
    <row r="98" spans="1:11" ht="9.75" customHeight="1">
      <c r="A98" s="42"/>
      <c r="B98" s="43"/>
      <c r="C98" s="44"/>
      <c r="D98" s="45"/>
      <c r="E98" s="46"/>
      <c r="F98" s="47"/>
      <c r="G98" s="47"/>
      <c r="H98" s="48"/>
      <c r="I98" s="49"/>
      <c r="J98" s="49"/>
      <c r="K98" s="49"/>
    </row>
    <row r="99" spans="1:11" ht="13.5" customHeight="1">
      <c r="A99" s="42"/>
      <c r="B99" s="43"/>
      <c r="C99" s="43"/>
      <c r="D99" s="45"/>
      <c r="E99" s="46"/>
      <c r="F99" s="60"/>
      <c r="G99" s="60"/>
      <c r="H99" s="61"/>
      <c r="I99" s="62"/>
      <c r="J99" s="62"/>
      <c r="K99" s="62"/>
    </row>
    <row r="100" spans="1:11" ht="13.5" customHeight="1">
      <c r="A100" s="42"/>
      <c r="B100" s="43"/>
      <c r="C100" s="43"/>
      <c r="D100" s="45"/>
      <c r="E100" s="46"/>
      <c r="F100" s="60"/>
      <c r="G100" s="60"/>
      <c r="H100" s="61"/>
      <c r="I100" s="62"/>
      <c r="J100" s="62"/>
      <c r="K100" s="62"/>
    </row>
    <row r="101" spans="1:11" ht="16">
      <c r="A101" s="2" t="s">
        <v>39</v>
      </c>
    </row>
    <row r="102" spans="1:11" ht="16.5" customHeight="1">
      <c r="A102" s="2"/>
      <c r="I102" s="3"/>
      <c r="J102" s="71"/>
      <c r="K102" s="71"/>
    </row>
    <row r="103" spans="1:11" s="12" customFormat="1" ht="23.25" customHeight="1">
      <c r="A103" s="4"/>
      <c r="B103" s="5"/>
      <c r="C103" s="6">
        <v>598</v>
      </c>
      <c r="D103" s="7" t="s">
        <v>0</v>
      </c>
      <c r="E103" s="8">
        <v>770.4</v>
      </c>
      <c r="F103" s="9" t="s">
        <v>1</v>
      </c>
      <c r="G103" s="9" t="s">
        <v>2</v>
      </c>
      <c r="H103" s="9" t="s">
        <v>3</v>
      </c>
      <c r="I103" s="10" t="s">
        <v>4</v>
      </c>
      <c r="J103" s="10" t="s">
        <v>5</v>
      </c>
      <c r="K103" s="11" t="s">
        <v>6</v>
      </c>
    </row>
    <row r="104" spans="1:11" ht="13.5" customHeight="1">
      <c r="A104" s="13" t="s">
        <v>23</v>
      </c>
      <c r="B104" s="14" t="s">
        <v>7</v>
      </c>
      <c r="C104" s="15" t="s">
        <v>8</v>
      </c>
      <c r="D104" s="16">
        <v>0.06</v>
      </c>
      <c r="E104" s="17">
        <v>46.22</v>
      </c>
      <c r="F104" s="27">
        <f t="shared" ref="F104:F116" si="41">G104+H104</f>
        <v>299</v>
      </c>
      <c r="G104" s="18"/>
      <c r="H104" s="18">
        <v>299</v>
      </c>
      <c r="I104" s="19">
        <f>H104*E104</f>
        <v>13819.779999999999</v>
      </c>
      <c r="J104" s="20">
        <f t="shared" ref="J104:J110" si="42">G104*E104</f>
        <v>0</v>
      </c>
      <c r="K104" s="21">
        <f t="shared" ref="K104:K110" si="43">SUM(I104:J104)</f>
        <v>13819.779999999999</v>
      </c>
    </row>
    <row r="105" spans="1:11" ht="13.5" customHeight="1">
      <c r="A105" s="22"/>
      <c r="B105" s="23" t="s">
        <v>9</v>
      </c>
      <c r="C105" s="64" t="s">
        <v>8</v>
      </c>
      <c r="D105" s="25">
        <v>0.1</v>
      </c>
      <c r="E105" s="26">
        <v>77.040000000000006</v>
      </c>
      <c r="F105" s="27">
        <f t="shared" si="41"/>
        <v>0</v>
      </c>
      <c r="G105" s="27"/>
      <c r="H105" s="27"/>
      <c r="I105" s="28">
        <f>H105*E105</f>
        <v>0</v>
      </c>
      <c r="J105" s="29">
        <f t="shared" si="42"/>
        <v>0</v>
      </c>
      <c r="K105" s="30">
        <f t="shared" si="43"/>
        <v>0</v>
      </c>
    </row>
    <row r="106" spans="1:11" ht="13.5" customHeight="1">
      <c r="A106" s="22"/>
      <c r="B106" s="31" t="s">
        <v>10</v>
      </c>
      <c r="C106" s="32" t="s">
        <v>8</v>
      </c>
      <c r="D106" s="25">
        <v>0.05</v>
      </c>
      <c r="E106" s="26">
        <v>38.520000000000003</v>
      </c>
      <c r="F106" s="27">
        <f t="shared" si="41"/>
        <v>0</v>
      </c>
      <c r="G106" s="27"/>
      <c r="H106" s="27"/>
      <c r="I106" s="28">
        <f t="shared" ref="I106:I110" si="44">H106*E106</f>
        <v>0</v>
      </c>
      <c r="J106" s="29">
        <f t="shared" si="42"/>
        <v>0</v>
      </c>
      <c r="K106" s="30">
        <f t="shared" si="43"/>
        <v>0</v>
      </c>
    </row>
    <row r="107" spans="1:11" ht="13.5" customHeight="1">
      <c r="A107" s="22"/>
      <c r="B107" s="31" t="s">
        <v>11</v>
      </c>
      <c r="C107" s="32" t="s">
        <v>8</v>
      </c>
      <c r="D107" s="25">
        <v>0.05</v>
      </c>
      <c r="E107" s="26">
        <v>38.520000000000003</v>
      </c>
      <c r="F107" s="27">
        <f t="shared" si="41"/>
        <v>0</v>
      </c>
      <c r="G107" s="27"/>
      <c r="H107" s="27"/>
      <c r="I107" s="28">
        <f t="shared" si="44"/>
        <v>0</v>
      </c>
      <c r="J107" s="29">
        <f t="shared" si="42"/>
        <v>0</v>
      </c>
      <c r="K107" s="30">
        <f t="shared" si="43"/>
        <v>0</v>
      </c>
    </row>
    <row r="108" spans="1:11" ht="13.5" customHeight="1">
      <c r="A108" s="22"/>
      <c r="B108" s="31" t="s">
        <v>12</v>
      </c>
      <c r="C108" s="32" t="s">
        <v>8</v>
      </c>
      <c r="D108" s="25">
        <v>0.23</v>
      </c>
      <c r="E108" s="26">
        <v>177.19</v>
      </c>
      <c r="F108" s="27">
        <f t="shared" si="41"/>
        <v>0</v>
      </c>
      <c r="G108" s="27"/>
      <c r="H108" s="27"/>
      <c r="I108" s="28">
        <f t="shared" si="44"/>
        <v>0</v>
      </c>
      <c r="J108" s="29">
        <f t="shared" si="42"/>
        <v>0</v>
      </c>
      <c r="K108" s="30">
        <f t="shared" si="43"/>
        <v>0</v>
      </c>
    </row>
    <row r="109" spans="1:11" ht="13.5" customHeight="1">
      <c r="A109" s="22"/>
      <c r="B109" s="31" t="s">
        <v>13</v>
      </c>
      <c r="C109" s="32" t="s">
        <v>8</v>
      </c>
      <c r="D109" s="25">
        <v>0.05</v>
      </c>
      <c r="E109" s="26">
        <v>38.520000000000003</v>
      </c>
      <c r="F109" s="27">
        <f t="shared" si="41"/>
        <v>0</v>
      </c>
      <c r="G109" s="27"/>
      <c r="H109" s="27"/>
      <c r="I109" s="28">
        <f t="shared" si="44"/>
        <v>0</v>
      </c>
      <c r="J109" s="29">
        <f t="shared" si="42"/>
        <v>0</v>
      </c>
      <c r="K109" s="30">
        <f t="shared" si="43"/>
        <v>0</v>
      </c>
    </row>
    <row r="110" spans="1:11" ht="13.5" customHeight="1">
      <c r="A110" s="22"/>
      <c r="B110" s="31" t="s">
        <v>14</v>
      </c>
      <c r="C110" s="32" t="s">
        <v>8</v>
      </c>
      <c r="D110" s="25">
        <v>0.04</v>
      </c>
      <c r="E110" s="26">
        <v>30.82</v>
      </c>
      <c r="F110" s="27">
        <f t="shared" si="41"/>
        <v>0</v>
      </c>
      <c r="G110" s="27"/>
      <c r="H110" s="27"/>
      <c r="I110" s="28">
        <f t="shared" si="44"/>
        <v>0</v>
      </c>
      <c r="J110" s="29">
        <f t="shared" si="42"/>
        <v>0</v>
      </c>
      <c r="K110" s="30">
        <f t="shared" si="43"/>
        <v>0</v>
      </c>
    </row>
    <row r="111" spans="1:11" ht="13.5" customHeight="1">
      <c r="A111" s="22"/>
      <c r="B111" s="31" t="s">
        <v>15</v>
      </c>
      <c r="C111" s="32" t="s">
        <v>8</v>
      </c>
      <c r="D111" s="25">
        <v>0.04</v>
      </c>
      <c r="E111" s="26">
        <v>30.82</v>
      </c>
      <c r="F111" s="27">
        <f t="shared" si="41"/>
        <v>0</v>
      </c>
      <c r="G111" s="27"/>
      <c r="H111" s="27"/>
      <c r="I111" s="28">
        <f>H111*E111</f>
        <v>0</v>
      </c>
      <c r="J111" s="29">
        <f>G111*E111</f>
        <v>0</v>
      </c>
      <c r="K111" s="30">
        <f>SUM(I111:J111)</f>
        <v>0</v>
      </c>
    </row>
    <row r="112" spans="1:11" ht="13.5" customHeight="1">
      <c r="A112" s="22"/>
      <c r="B112" s="31" t="s">
        <v>16</v>
      </c>
      <c r="C112" s="32" t="s">
        <v>8</v>
      </c>
      <c r="D112" s="25">
        <v>0.14000000000000001</v>
      </c>
      <c r="E112" s="26">
        <v>107.86</v>
      </c>
      <c r="F112" s="27">
        <f t="shared" si="41"/>
        <v>0</v>
      </c>
      <c r="G112" s="27"/>
      <c r="H112" s="27"/>
      <c r="I112" s="28">
        <f t="shared" ref="I112:I115" si="45">H112*E112</f>
        <v>0</v>
      </c>
      <c r="J112" s="29">
        <f t="shared" ref="J112:J116" si="46">G112*E112</f>
        <v>0</v>
      </c>
      <c r="K112" s="30">
        <f t="shared" ref="K112:K116" si="47">SUM(I112:J112)</f>
        <v>0</v>
      </c>
    </row>
    <row r="113" spans="1:11" ht="13.5" customHeight="1">
      <c r="A113" s="22"/>
      <c r="B113" s="31" t="s">
        <v>17</v>
      </c>
      <c r="C113" s="32" t="s">
        <v>8</v>
      </c>
      <c r="D113" s="25">
        <v>0.06</v>
      </c>
      <c r="E113" s="26">
        <v>46.223999999999997</v>
      </c>
      <c r="F113" s="27">
        <f t="shared" si="41"/>
        <v>0</v>
      </c>
      <c r="G113" s="27"/>
      <c r="H113" s="27"/>
      <c r="I113" s="28">
        <f t="shared" si="45"/>
        <v>0</v>
      </c>
      <c r="J113" s="29">
        <f t="shared" si="46"/>
        <v>0</v>
      </c>
      <c r="K113" s="30">
        <f t="shared" si="47"/>
        <v>0</v>
      </c>
    </row>
    <row r="114" spans="1:11" ht="13.5" customHeight="1">
      <c r="A114" s="22"/>
      <c r="B114" s="31" t="s">
        <v>18</v>
      </c>
      <c r="C114" s="32" t="s">
        <v>8</v>
      </c>
      <c r="D114" s="25">
        <v>0.03</v>
      </c>
      <c r="E114" s="26">
        <v>23.11</v>
      </c>
      <c r="F114" s="27">
        <f t="shared" si="41"/>
        <v>0</v>
      </c>
      <c r="G114" s="27"/>
      <c r="H114" s="27"/>
      <c r="I114" s="28">
        <f t="shared" si="45"/>
        <v>0</v>
      </c>
      <c r="J114" s="29">
        <f t="shared" si="46"/>
        <v>0</v>
      </c>
      <c r="K114" s="30">
        <f t="shared" si="47"/>
        <v>0</v>
      </c>
    </row>
    <row r="115" spans="1:11" ht="13.5" customHeight="1">
      <c r="A115" s="22"/>
      <c r="B115" s="31" t="s">
        <v>24</v>
      </c>
      <c r="C115" s="64" t="s">
        <v>8</v>
      </c>
      <c r="D115" s="25">
        <v>0.09</v>
      </c>
      <c r="E115" s="26">
        <v>69.34</v>
      </c>
      <c r="F115" s="27">
        <f t="shared" si="41"/>
        <v>0</v>
      </c>
      <c r="G115" s="27"/>
      <c r="H115" s="27"/>
      <c r="I115" s="28">
        <f t="shared" si="45"/>
        <v>0</v>
      </c>
      <c r="J115" s="29">
        <f t="shared" si="46"/>
        <v>0</v>
      </c>
      <c r="K115" s="30">
        <f t="shared" si="47"/>
        <v>0</v>
      </c>
    </row>
    <row r="116" spans="1:11" ht="13.5" customHeight="1">
      <c r="A116" s="22"/>
      <c r="B116" s="23" t="s">
        <v>19</v>
      </c>
      <c r="C116" s="64" t="s">
        <v>8</v>
      </c>
      <c r="D116" s="25">
        <v>0.02</v>
      </c>
      <c r="E116" s="26">
        <v>15.41</v>
      </c>
      <c r="F116" s="27">
        <f t="shared" si="41"/>
        <v>0</v>
      </c>
      <c r="G116" s="27"/>
      <c r="H116" s="27"/>
      <c r="I116" s="28">
        <f>H116*E116</f>
        <v>0</v>
      </c>
      <c r="J116" s="29">
        <f t="shared" si="46"/>
        <v>0</v>
      </c>
      <c r="K116" s="30">
        <f t="shared" si="47"/>
        <v>0</v>
      </c>
    </row>
    <row r="117" spans="1:11" ht="13.5" customHeight="1">
      <c r="A117" s="22"/>
      <c r="B117" s="23" t="s">
        <v>25</v>
      </c>
      <c r="C117" s="74" t="s">
        <v>27</v>
      </c>
      <c r="D117" s="74"/>
      <c r="E117" s="26"/>
      <c r="F117" s="27"/>
      <c r="G117" s="27"/>
      <c r="H117" s="27"/>
      <c r="I117" s="28"/>
      <c r="J117" s="29"/>
      <c r="K117" s="30"/>
    </row>
    <row r="118" spans="1:11" ht="13.5" customHeight="1">
      <c r="A118" s="22"/>
      <c r="B118" s="31" t="s">
        <v>28</v>
      </c>
      <c r="C118" s="64" t="s">
        <v>8</v>
      </c>
      <c r="D118" s="25">
        <v>0.01</v>
      </c>
      <c r="E118" s="26">
        <v>23.11</v>
      </c>
      <c r="F118" s="27">
        <f t="shared" ref="F118:F119" si="48">G118+H118</f>
        <v>0</v>
      </c>
      <c r="G118" s="27"/>
      <c r="H118" s="27"/>
      <c r="I118" s="28">
        <f t="shared" ref="I118:I119" si="49">H118*E118</f>
        <v>0</v>
      </c>
      <c r="J118" s="29">
        <f t="shared" ref="J118:J119" si="50">G118*E118</f>
        <v>0</v>
      </c>
      <c r="K118" s="30">
        <f t="shared" ref="K118:K119" si="51">SUM(I118:J118)</f>
        <v>0</v>
      </c>
    </row>
    <row r="119" spans="1:11" ht="13.5" customHeight="1" thickBot="1">
      <c r="A119" s="22"/>
      <c r="B119" s="31" t="s">
        <v>29</v>
      </c>
      <c r="C119" s="64" t="s">
        <v>8</v>
      </c>
      <c r="D119" s="25">
        <v>0.03</v>
      </c>
      <c r="E119" s="26">
        <v>7.7</v>
      </c>
      <c r="F119" s="27">
        <f t="shared" si="48"/>
        <v>0</v>
      </c>
      <c r="G119" s="27"/>
      <c r="H119" s="27"/>
      <c r="I119" s="28">
        <f t="shared" si="49"/>
        <v>0</v>
      </c>
      <c r="J119" s="29">
        <f t="shared" si="50"/>
        <v>0</v>
      </c>
      <c r="K119" s="30">
        <f t="shared" si="51"/>
        <v>0</v>
      </c>
    </row>
    <row r="120" spans="1:11" ht="13.5" customHeight="1">
      <c r="A120" s="33"/>
      <c r="B120" s="34"/>
      <c r="C120" s="35"/>
      <c r="D120" s="36">
        <f>SUM(D104:D119)</f>
        <v>1</v>
      </c>
      <c r="E120" s="37">
        <f>SUM(E104:E119)</f>
        <v>770.40400000000011</v>
      </c>
      <c r="F120" s="38"/>
      <c r="G120" s="38"/>
      <c r="H120" s="39" t="s">
        <v>20</v>
      </c>
      <c r="I120" s="40">
        <f>SUM(I104:I119)</f>
        <v>13819.779999999999</v>
      </c>
      <c r="J120" s="40">
        <f>SUM(J104:J119)</f>
        <v>0</v>
      </c>
      <c r="K120" s="41">
        <f>SUM(K104:K119)</f>
        <v>13819.779999999999</v>
      </c>
    </row>
    <row r="121" spans="1:11" ht="9.75" customHeight="1">
      <c r="A121" s="42"/>
      <c r="B121" s="43"/>
      <c r="C121" s="44"/>
      <c r="D121" s="45"/>
      <c r="E121" s="46"/>
      <c r="F121" s="47"/>
      <c r="G121" s="47"/>
      <c r="H121" s="48"/>
      <c r="I121" s="49"/>
      <c r="J121" s="49"/>
      <c r="K121" s="49"/>
    </row>
    <row r="122" spans="1:11" ht="13.5" customHeight="1" thickBot="1">
      <c r="A122" s="42"/>
      <c r="B122" s="43"/>
      <c r="C122" s="43"/>
      <c r="D122" s="45"/>
      <c r="E122" s="46"/>
      <c r="F122" s="60"/>
      <c r="G122" s="60"/>
      <c r="H122" s="61" t="s">
        <v>40</v>
      </c>
      <c r="I122" s="70">
        <f>I120+I97+I74+I51+I28</f>
        <v>10385175.460407</v>
      </c>
      <c r="J122" s="70">
        <f t="shared" ref="J122:K122" si="52">J120+J97+J74+J51+J28</f>
        <v>0</v>
      </c>
      <c r="K122" s="70">
        <f t="shared" si="52"/>
        <v>10385175.460407</v>
      </c>
    </row>
    <row r="123" spans="1:11" ht="13.5" customHeight="1" thickTop="1">
      <c r="A123" s="42"/>
      <c r="B123" s="43"/>
      <c r="C123" s="43"/>
      <c r="D123" s="45"/>
      <c r="E123" s="46"/>
      <c r="F123" s="60"/>
      <c r="G123" s="60"/>
      <c r="H123" s="61"/>
      <c r="I123" s="62"/>
      <c r="J123" s="62"/>
      <c r="K123" s="62"/>
    </row>
    <row r="124" spans="1:11" ht="13.5" customHeight="1">
      <c r="A124" s="42"/>
      <c r="C124" s="44"/>
      <c r="D124" s="45"/>
      <c r="E124" s="46"/>
      <c r="F124" s="60"/>
      <c r="G124" s="60"/>
      <c r="I124" s="62"/>
      <c r="J124" s="62"/>
      <c r="K124" s="62"/>
    </row>
    <row r="125" spans="1:11" ht="14" customHeight="1">
      <c r="A125" s="42"/>
      <c r="B125" s="43"/>
      <c r="C125" s="43"/>
      <c r="D125" s="45"/>
      <c r="E125" s="46"/>
      <c r="F125" s="60"/>
      <c r="G125" s="60"/>
      <c r="I125" s="72"/>
      <c r="J125" s="72"/>
      <c r="K125" s="72"/>
    </row>
    <row r="126" spans="1:11" ht="14" customHeight="1">
      <c r="A126" s="42"/>
      <c r="B126" s="43"/>
      <c r="C126" s="43"/>
      <c r="D126" s="45"/>
      <c r="E126" s="46"/>
      <c r="F126" s="60"/>
      <c r="G126" s="60"/>
      <c r="H126" s="61"/>
      <c r="I126" s="73" t="s">
        <v>26</v>
      </c>
      <c r="J126" s="73"/>
      <c r="K126" s="73"/>
    </row>
    <row r="127" spans="1:11">
      <c r="I127" s="63"/>
      <c r="J127" s="63"/>
      <c r="K127" s="62"/>
    </row>
    <row r="151" spans="11:11">
      <c r="K151" s="62" t="s">
        <v>42</v>
      </c>
    </row>
  </sheetData>
  <mergeCells count="12">
    <mergeCell ref="J10:K10"/>
    <mergeCell ref="I125:K125"/>
    <mergeCell ref="I126:K126"/>
    <mergeCell ref="C25:D25"/>
    <mergeCell ref="J33:K33"/>
    <mergeCell ref="C48:D48"/>
    <mergeCell ref="J56:K56"/>
    <mergeCell ref="C71:D71"/>
    <mergeCell ref="J79:K79"/>
    <mergeCell ref="C94:D94"/>
    <mergeCell ref="J102:K102"/>
    <mergeCell ref="C117:D117"/>
  </mergeCells>
  <phoneticPr fontId="10" type="noConversion"/>
  <pageMargins left="0.71" right="0.71" top="0.75000000000000011" bottom="0.75000000000000011" header="0.31" footer="0.31"/>
  <pageSetup scale="64" orientation="portrait" verticalDpi="1200"/>
  <rowBreaks count="1" manualBreakCount="1">
    <brk id="76" max="16383" man="1"/>
  </rowBreaks>
  <colBreaks count="1" manualBreakCount="1">
    <brk id="11" max="1048575" man="1"/>
  </colBreaks>
  <drawing r:id="rId1"/>
  <extLst>
    <ext xmlns:mx="http://schemas.microsoft.com/office/mac/excel/2008/main" uri="{64002731-A6B0-56B0-2670-7721B7C09600}">
      <mx:PLV Mode="0" OnePage="0" WScale="94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 BaseLay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Judson</dc:creator>
  <cp:lastModifiedBy>Corrine Barta</cp:lastModifiedBy>
  <cp:lastPrinted>2016-08-08T23:48:03Z</cp:lastPrinted>
  <dcterms:created xsi:type="dcterms:W3CDTF">2016-07-28T20:43:26Z</dcterms:created>
  <dcterms:modified xsi:type="dcterms:W3CDTF">2016-08-10T23:36:01Z</dcterms:modified>
</cp:coreProperties>
</file>