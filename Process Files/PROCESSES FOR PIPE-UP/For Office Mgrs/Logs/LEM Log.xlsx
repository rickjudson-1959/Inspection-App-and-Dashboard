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corrinebarta/Documents/Corry-Pipeline Projects/Forms/For Office Mgrs/Shelly's logs/"/>
    </mc:Choice>
  </mc:AlternateContent>
  <bookViews>
    <workbookView xWindow="1160" yWindow="600" windowWidth="33600" windowHeight="18940"/>
  </bookViews>
  <sheets>
    <sheet name="LEM LOG" sheetId="1" r:id="rId1"/>
  </sheets>
  <externalReferences>
    <externalReference r:id="rId2"/>
  </externalReferences>
  <definedNames>
    <definedName name="_xlnm._FilterDatabase" localSheetId="0" hidden="1">'LEM LOG'!$A$3:$A$109</definedName>
    <definedName name="ActivityDD">'[1]Actual Charts'!$T$3</definedName>
    <definedName name="Actual_Data">#REF!+#REF!</definedName>
    <definedName name="Columns">#REF!</definedName>
    <definedName name="Dates">#REF!</definedName>
    <definedName name="_xlnm.Print_Area" localSheetId="0">'LEM LOG'!$B$2:$K$176</definedName>
    <definedName name="Range">INDEX(Actual_Data,MATCH(TODAY(),Dates,0)-15,MATCH(ActivityDD,Columns,0)):INDEX(Actual_Data,MATCH(TODAY(),Dates,0)+15,MATCH(ActivityDD,Columns,0))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176" i="1"/>
</calcChain>
</file>

<file path=xl/sharedStrings.xml><?xml version="1.0" encoding="utf-8"?>
<sst xmlns="http://schemas.openxmlformats.org/spreadsheetml/2006/main" count="458" uniqueCount="207">
  <si>
    <t xml:space="preserve">Date of Time Sheet </t>
  </si>
  <si>
    <t>Date Received</t>
  </si>
  <si>
    <t>Time Sheet Reference #</t>
  </si>
  <si>
    <t>CR#</t>
  </si>
  <si>
    <t xml:space="preserve">Description </t>
  </si>
  <si>
    <t>UPI</t>
  </si>
  <si>
    <t>Additional SubContractor Tickets</t>
  </si>
  <si>
    <t>SubCon Ticket Number</t>
  </si>
  <si>
    <t>Date Given Back to MW</t>
  </si>
  <si>
    <t>Related LEM #</t>
  </si>
  <si>
    <t>LEM Amount</t>
  </si>
  <si>
    <t>Statement #</t>
  </si>
  <si>
    <t>Comments</t>
  </si>
  <si>
    <t>02082016-LD</t>
  </si>
  <si>
    <t>Taqa Bridge Overlap - CR1</t>
  </si>
  <si>
    <t>Approved</t>
  </si>
  <si>
    <t>02082016-LB</t>
  </si>
  <si>
    <t>G. Mindus &amp; Sons Holding</t>
  </si>
  <si>
    <t>02082016-MAT</t>
  </si>
  <si>
    <t>Enterprise Truck Haul Card</t>
  </si>
  <si>
    <t>03082016-GR</t>
  </si>
  <si>
    <t>03082016-LB</t>
  </si>
  <si>
    <t>TS 3328</t>
  </si>
  <si>
    <t>03082016-MAT</t>
  </si>
  <si>
    <t>05082016-LB</t>
  </si>
  <si>
    <t>LandOwner Request - CR2</t>
  </si>
  <si>
    <t>14600-11944</t>
  </si>
  <si>
    <t>05082016-MAT</t>
  </si>
  <si>
    <t>Armtrac</t>
  </si>
  <si>
    <t>05082016-MAT2</t>
  </si>
  <si>
    <t>12082016-GS</t>
  </si>
  <si>
    <t>Stumping</t>
  </si>
  <si>
    <t>Additional Top Soil Removal and restoration</t>
  </si>
  <si>
    <t>2.19.1.2</t>
  </si>
  <si>
    <t>110+920</t>
  </si>
  <si>
    <t>110m</t>
  </si>
  <si>
    <t>20082016-UPI</t>
  </si>
  <si>
    <t>With JS Sept 12</t>
  </si>
  <si>
    <t>110+050</t>
  </si>
  <si>
    <t>86m</t>
  </si>
  <si>
    <t>111+310</t>
  </si>
  <si>
    <t>30m</t>
  </si>
  <si>
    <t>111+450</t>
  </si>
  <si>
    <t>70m</t>
  </si>
  <si>
    <t>Additional Hydrovac</t>
  </si>
  <si>
    <t>2.20.1.2</t>
  </si>
  <si>
    <t>111+544 - 111+544</t>
  </si>
  <si>
    <t>7hr</t>
  </si>
  <si>
    <t>10082016-UPI1</t>
  </si>
  <si>
    <t>09082016-AACR</t>
  </si>
  <si>
    <t>09082017-AA</t>
  </si>
  <si>
    <t>09092016-AA</t>
  </si>
  <si>
    <t>111+523 - 111+523</t>
  </si>
  <si>
    <t>2hr</t>
  </si>
  <si>
    <t>111+800 - 111+800</t>
  </si>
  <si>
    <t>3hr</t>
  </si>
  <si>
    <t>100+783 - 100+783</t>
  </si>
  <si>
    <t>1hr</t>
  </si>
  <si>
    <t>Installation of wash station</t>
  </si>
  <si>
    <t>2.21.1.2</t>
  </si>
  <si>
    <t>Wash Station</t>
  </si>
  <si>
    <t>12082016-UPI3</t>
  </si>
  <si>
    <t>Operate Wash Station</t>
  </si>
  <si>
    <t>2.21.1.1</t>
  </si>
  <si>
    <t>13082016-UPI2</t>
  </si>
  <si>
    <t>2.19.1.1</t>
  </si>
  <si>
    <t>140m</t>
  </si>
  <si>
    <t>12082016-UPI2</t>
  </si>
  <si>
    <t xml:space="preserve">Rejected </t>
  </si>
  <si>
    <t>Up to depth of 20cm (total 35cm USM stripping)</t>
  </si>
  <si>
    <t>2.19.2.1</t>
  </si>
  <si>
    <t>100+840; 101+312</t>
  </si>
  <si>
    <t>12082016-UPI</t>
  </si>
  <si>
    <t>14082016-GS</t>
  </si>
  <si>
    <t>Scott Safety</t>
  </si>
  <si>
    <t>15082016-GS</t>
  </si>
  <si>
    <t>Clubroot Affected Land</t>
  </si>
  <si>
    <t>2.57.1.1</t>
  </si>
  <si>
    <t>112+476 to 113+258</t>
  </si>
  <si>
    <t>785m</t>
  </si>
  <si>
    <t>15082016-UPI1</t>
  </si>
  <si>
    <t>Additional Top soil 10-20cm</t>
  </si>
  <si>
    <t>116+680 to 116+898</t>
  </si>
  <si>
    <t>218m</t>
  </si>
  <si>
    <t>19082016-UPI1</t>
  </si>
  <si>
    <t>Club Root affected land</t>
  </si>
  <si>
    <t>118+262 to 118+496</t>
  </si>
  <si>
    <t>234m</t>
  </si>
  <si>
    <t>VOID</t>
  </si>
  <si>
    <t>Barb Wire3 strand Fence</t>
  </si>
  <si>
    <t>2.26.1.8</t>
  </si>
  <si>
    <t>114+300-114+550</t>
  </si>
  <si>
    <t>250m</t>
  </si>
  <si>
    <t>13082016-UPI1</t>
  </si>
  <si>
    <t>13082016-GS</t>
  </si>
  <si>
    <t>Lone Star</t>
  </si>
  <si>
    <t>10082016-SUB</t>
  </si>
  <si>
    <t>114+250 - 114+580</t>
  </si>
  <si>
    <t>330m</t>
  </si>
  <si>
    <t>Vehicle Gate</t>
  </si>
  <si>
    <t>2.26.1.12</t>
  </si>
  <si>
    <t>Two gates</t>
  </si>
  <si>
    <t>8m</t>
  </si>
  <si>
    <t>16082016-GS</t>
  </si>
  <si>
    <t>11082016-AA</t>
  </si>
  <si>
    <t>Clubroot Non Continous Work</t>
  </si>
  <si>
    <t>01092016-LB</t>
  </si>
  <si>
    <t>Waiting for Approval of CR9</t>
  </si>
  <si>
    <t>15082016-LD</t>
  </si>
  <si>
    <t>11082016-AACR</t>
  </si>
  <si>
    <t>11082016-SUB</t>
  </si>
  <si>
    <t>Clubroot Green to Green</t>
  </si>
  <si>
    <t>17082016-CN</t>
  </si>
  <si>
    <t>Waiting for Approval of CR10</t>
  </si>
  <si>
    <t>16082016-LD</t>
  </si>
  <si>
    <t>17082016-GS</t>
  </si>
  <si>
    <t>117+129 - 117+349</t>
  </si>
  <si>
    <t>220m</t>
  </si>
  <si>
    <t>111+000</t>
  </si>
  <si>
    <t>160m</t>
  </si>
  <si>
    <t>16082016-UPI</t>
  </si>
  <si>
    <t>Alley at 111+000</t>
  </si>
  <si>
    <t>16082016-UPI1</t>
  </si>
  <si>
    <t>101+385 to 101+385</t>
  </si>
  <si>
    <t>10082016-UPI</t>
  </si>
  <si>
    <t>114+108; 112+245</t>
  </si>
  <si>
    <t>12082016-UPI1</t>
  </si>
  <si>
    <t>117+328,117+333,117+335</t>
  </si>
  <si>
    <t>8hr</t>
  </si>
  <si>
    <t>13082016-UPI</t>
  </si>
  <si>
    <t>117+328,117+333,117+335,114+430</t>
  </si>
  <si>
    <t>15082016-UPI</t>
  </si>
  <si>
    <t>18082016-GS</t>
  </si>
  <si>
    <t>18082016-BF</t>
  </si>
  <si>
    <t>18082016-CN</t>
  </si>
  <si>
    <t>112+245</t>
  </si>
  <si>
    <t>17082016-UPI</t>
  </si>
  <si>
    <t>101+384</t>
  </si>
  <si>
    <t>18082016-UPI</t>
  </si>
  <si>
    <t>98+200</t>
  </si>
  <si>
    <t>Signed by Bart</t>
  </si>
  <si>
    <t>100+136</t>
  </si>
  <si>
    <t>19082016-UPI</t>
  </si>
  <si>
    <t>12082016-AA</t>
  </si>
  <si>
    <t>17082016-LD</t>
  </si>
  <si>
    <t>18082016-LELEM</t>
  </si>
  <si>
    <t>12082016-AACR</t>
  </si>
  <si>
    <t>100+138</t>
  </si>
  <si>
    <t>106+139</t>
  </si>
  <si>
    <t>106+805</t>
  </si>
  <si>
    <t>106+782</t>
  </si>
  <si>
    <t>106+789</t>
  </si>
  <si>
    <t>106+807</t>
  </si>
  <si>
    <t>22082016-GS</t>
  </si>
  <si>
    <t>Water Storage Athabasca River</t>
  </si>
  <si>
    <t>22082016-BF</t>
  </si>
  <si>
    <t>Waiting on Approval of CR4</t>
  </si>
  <si>
    <t>23082016-BF</t>
  </si>
  <si>
    <t>20082016-LD</t>
  </si>
  <si>
    <t>HDD Water and Vac Trucks</t>
  </si>
  <si>
    <t>Waiting for Approval of CR13</t>
  </si>
  <si>
    <t>22082016-LD</t>
  </si>
  <si>
    <t>22082016-RL</t>
  </si>
  <si>
    <t>Back with MW to review</t>
  </si>
  <si>
    <t>23082016-GS</t>
  </si>
  <si>
    <t xml:space="preserve">Weather Mitigation </t>
  </si>
  <si>
    <t>09092016-LB</t>
  </si>
  <si>
    <t>With JS Sept 13</t>
  </si>
  <si>
    <t>24082016-LB</t>
  </si>
  <si>
    <t>09092016-EW</t>
  </si>
  <si>
    <t>With MW to review</t>
  </si>
  <si>
    <t>08092016-BF</t>
  </si>
  <si>
    <t>Bulldog</t>
  </si>
  <si>
    <t>22082016-SUB</t>
  </si>
  <si>
    <t>23082016-KM</t>
  </si>
  <si>
    <t>23082016-RL</t>
  </si>
  <si>
    <t>25082016-AA</t>
  </si>
  <si>
    <t>09092016-RL</t>
  </si>
  <si>
    <t>With RM Sept 12</t>
  </si>
  <si>
    <t>Clearing Contractor Move Around due to Work Space</t>
  </si>
  <si>
    <t>25082016-LDLEM</t>
  </si>
  <si>
    <t>VOID - Change CR Not pursuing at this time</t>
  </si>
  <si>
    <t xml:space="preserve">Hauling of Spoil Material </t>
  </si>
  <si>
    <t>24082016-RL</t>
  </si>
  <si>
    <t>With AW Sept 13</t>
  </si>
  <si>
    <t>30082016-KM</t>
  </si>
  <si>
    <t>24082016-SUB</t>
  </si>
  <si>
    <t>26082016-SUB</t>
  </si>
  <si>
    <t>27082016-KM</t>
  </si>
  <si>
    <t>26082016-UPI</t>
  </si>
  <si>
    <t>25082016-RL</t>
  </si>
  <si>
    <t>27082016-CN</t>
  </si>
  <si>
    <t>25082016-TH</t>
  </si>
  <si>
    <t>12082016-SUB</t>
  </si>
  <si>
    <t>13082016-AA</t>
  </si>
  <si>
    <t>15082016-AA</t>
  </si>
  <si>
    <t>15082016-SUB</t>
  </si>
  <si>
    <t>Void see 15082016AA</t>
  </si>
  <si>
    <t>16082016-AA</t>
  </si>
  <si>
    <t>16082016-AACR</t>
  </si>
  <si>
    <t>18082016-AA</t>
  </si>
  <si>
    <t>19082016-AA</t>
  </si>
  <si>
    <t>27082016-SUB</t>
  </si>
  <si>
    <t>Crossing Ramp</t>
  </si>
  <si>
    <t>2.37.1.1</t>
  </si>
  <si>
    <t>Signed by Brian F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</si>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</sst>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mm/dd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color theme="1"/>
      <name val="Arial Black"/>
      <family val="2"/>
    </font>
    <font>
      <sz val="10"/>
      <name val="Arial Black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theme="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40">
    <xf numFmtId="0" fontId="0" fillId="0" borderId="0" xfId="0"/>
    <xf numFmtId="0" fontId="0" fillId="0" borderId="0" xfId="0" applyFill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NumberFormat="1" applyFont="1" applyAlignment="1">
      <alignment horizontal="center" wrapText="1"/>
    </xf>
    <xf numFmtId="44" fontId="3" fillId="2" borderId="0" xfId="0" applyNumberFormat="1" applyFont="1" applyFill="1" applyAlignment="1">
      <alignment horizontal="center" wrapText="1"/>
    </xf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 wrapText="1"/>
    </xf>
    <xf numFmtId="0" fontId="0" fillId="5" borderId="0" xfId="0" applyFill="1"/>
    <xf numFmtId="0" fontId="1" fillId="5" borderId="0" xfId="0" applyFont="1" applyFill="1"/>
    <xf numFmtId="164" fontId="6" fillId="0" borderId="2" xfId="0" applyNumberFormat="1" applyFont="1" applyFill="1" applyBorder="1" applyAlignment="1">
      <alignment horizontal="center"/>
    </xf>
    <xf numFmtId="164" fontId="1" fillId="0" borderId="2" xfId="0" applyNumberFormat="1" applyFont="1" applyFill="1" applyBorder="1" applyAlignment="1">
      <alignment horizontal="center"/>
    </xf>
    <xf numFmtId="44" fontId="7" fillId="0" borderId="2" xfId="0" applyNumberFormat="1" applyFont="1" applyFill="1" applyBorder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/>
    <xf numFmtId="0" fontId="1" fillId="0" borderId="2" xfId="0" applyFont="1" applyFill="1" applyBorder="1" applyAlignment="1">
      <alignment horizontal="left"/>
    </xf>
    <xf numFmtId="0" fontId="8" fillId="0" borderId="2" xfId="0" applyNumberFormat="1" applyFont="1" applyFill="1" applyBorder="1" applyAlignment="1">
      <alignment horizontal="left"/>
    </xf>
    <xf numFmtId="0" fontId="1" fillId="0" borderId="2" xfId="0" applyNumberFormat="1" applyFont="1" applyFill="1" applyBorder="1" applyAlignment="1">
      <alignment horizontal="left"/>
    </xf>
    <xf numFmtId="164" fontId="1" fillId="0" borderId="2" xfId="0" applyNumberFormat="1" applyFont="1" applyFill="1" applyBorder="1" applyAlignment="1">
      <alignment horizontal="left"/>
    </xf>
    <xf numFmtId="44" fontId="1" fillId="0" borderId="2" xfId="1" applyFont="1" applyFill="1" applyBorder="1" applyAlignment="1">
      <alignment horizontal="center"/>
    </xf>
    <xf numFmtId="0" fontId="1" fillId="0" borderId="2" xfId="1" applyNumberFormat="1" applyFont="1" applyFill="1" applyBorder="1" applyAlignment="1">
      <alignment horizontal="center"/>
    </xf>
    <xf numFmtId="0" fontId="8" fillId="0" borderId="0" xfId="0" applyFont="1" applyFill="1"/>
    <xf numFmtId="16" fontId="8" fillId="0" borderId="2" xfId="0" applyNumberFormat="1" applyFont="1" applyFill="1" applyBorder="1" applyAlignment="1">
      <alignment horizontal="left"/>
    </xf>
    <xf numFmtId="16" fontId="1" fillId="0" borderId="2" xfId="0" applyNumberFormat="1" applyFont="1" applyFill="1" applyBorder="1" applyAlignment="1">
      <alignment horizontal="left"/>
    </xf>
    <xf numFmtId="0" fontId="9" fillId="0" borderId="0" xfId="0" applyFont="1" applyFill="1"/>
    <xf numFmtId="0" fontId="0" fillId="0" borderId="0" xfId="0" applyFill="1"/>
    <xf numFmtId="164" fontId="6" fillId="0" borderId="3" xfId="0" applyNumberFormat="1" applyFont="1" applyFill="1" applyBorder="1" applyAlignment="1">
      <alignment horizontal="center"/>
    </xf>
    <xf numFmtId="164" fontId="1" fillId="0" borderId="4" xfId="0" applyNumberFormat="1" applyFont="1" applyFill="1" applyBorder="1" applyAlignment="1">
      <alignment horizontal="center"/>
    </xf>
    <xf numFmtId="16" fontId="1" fillId="0" borderId="5" xfId="0" applyNumberFormat="1" applyFont="1" applyFill="1" applyBorder="1" applyAlignment="1">
      <alignment horizontal="left"/>
    </xf>
    <xf numFmtId="16" fontId="9" fillId="0" borderId="2" xfId="0" applyNumberFormat="1" applyFont="1" applyFill="1" applyBorder="1" applyAlignment="1">
      <alignment horizontal="left"/>
    </xf>
    <xf numFmtId="164" fontId="6" fillId="6" borderId="3" xfId="0" applyNumberFormat="1" applyFont="1" applyFill="1" applyBorder="1" applyAlignment="1">
      <alignment horizontal="center"/>
    </xf>
    <xf numFmtId="164" fontId="1" fillId="0" borderId="6" xfId="0" applyNumberFormat="1" applyFont="1" applyFill="1" applyBorder="1" applyAlignment="1">
      <alignment horizontal="center"/>
    </xf>
    <xf numFmtId="0" fontId="7" fillId="0" borderId="2" xfId="0" applyNumberFormat="1" applyFont="1" applyFill="1" applyBorder="1" applyAlignment="1">
      <alignment horizontal="left"/>
    </xf>
    <xf numFmtId="0" fontId="1" fillId="0" borderId="5" xfId="0" applyFont="1" applyFill="1" applyBorder="1" applyAlignment="1">
      <alignment horizontal="center"/>
    </xf>
    <xf numFmtId="0" fontId="8" fillId="0" borderId="5" xfId="0" applyNumberFormat="1" applyFont="1" applyFill="1" applyBorder="1" applyAlignment="1">
      <alignment horizontal="left"/>
    </xf>
    <xf numFmtId="164" fontId="1" fillId="0" borderId="5" xfId="0" applyNumberFormat="1" applyFont="1" applyFill="1" applyBorder="1" applyAlignment="1">
      <alignment horizontal="left"/>
    </xf>
    <xf numFmtId="44" fontId="1" fillId="0" borderId="7" xfId="1" applyFont="1" applyFill="1" applyBorder="1" applyAlignment="1">
      <alignment horizontal="center"/>
    </xf>
    <xf numFmtId="0" fontId="1" fillId="0" borderId="0" xfId="1" applyNumberFormat="1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0" fontId="8" fillId="0" borderId="5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center"/>
    </xf>
    <xf numFmtId="164" fontId="6" fillId="6" borderId="2" xfId="0" applyNumberFormat="1" applyFont="1" applyFill="1" applyBorder="1" applyAlignment="1">
      <alignment horizontal="center"/>
    </xf>
    <xf numFmtId="0" fontId="8" fillId="0" borderId="2" xfId="0" applyNumberFormat="1" applyFont="1" applyFill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" fontId="1" fillId="0" borderId="5" xfId="0" applyNumberFormat="1" applyFont="1" applyFill="1" applyBorder="1" applyAlignment="1"/>
    <xf numFmtId="0" fontId="1" fillId="0" borderId="2" xfId="0" applyNumberFormat="1" applyFont="1" applyFill="1" applyBorder="1" applyAlignment="1">
      <alignment horizontal="center"/>
    </xf>
    <xf numFmtId="16" fontId="1" fillId="0" borderId="2" xfId="0" applyNumberFormat="1" applyFont="1" applyFill="1" applyBorder="1" applyAlignment="1"/>
    <xf numFmtId="0" fontId="1" fillId="0" borderId="2" xfId="0" applyNumberFormat="1" applyFont="1" applyFill="1" applyBorder="1" applyAlignment="1"/>
    <xf numFmtId="0" fontId="8" fillId="0" borderId="5" xfId="0" applyFont="1" applyFill="1" applyBorder="1" applyAlignment="1"/>
    <xf numFmtId="164" fontId="1" fillId="0" borderId="5" xfId="0" applyNumberFormat="1" applyFont="1" applyFill="1" applyBorder="1" applyAlignment="1"/>
    <xf numFmtId="0" fontId="1" fillId="0" borderId="5" xfId="0" applyFont="1" applyFill="1" applyBorder="1" applyAlignment="1">
      <alignment horizontal="left"/>
    </xf>
    <xf numFmtId="0" fontId="1" fillId="0" borderId="0" xfId="0" applyFont="1" applyFill="1" applyAlignment="1">
      <alignment horizontal="center"/>
    </xf>
    <xf numFmtId="44" fontId="1" fillId="0" borderId="0" xfId="1" applyFont="1" applyFill="1" applyBorder="1" applyAlignment="1">
      <alignment horizontal="center"/>
    </xf>
    <xf numFmtId="44" fontId="1" fillId="0" borderId="5" xfId="1" applyFont="1" applyFill="1" applyBorder="1" applyAlignment="1">
      <alignment horizontal="center"/>
    </xf>
    <xf numFmtId="16" fontId="8" fillId="0" borderId="2" xfId="0" applyNumberFormat="1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16" fontId="8" fillId="0" borderId="5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/>
    </xf>
    <xf numFmtId="16" fontId="1" fillId="0" borderId="5" xfId="0" applyNumberFormat="1" applyFont="1" applyFill="1" applyBorder="1" applyAlignment="1">
      <alignment horizontal="center"/>
    </xf>
    <xf numFmtId="0" fontId="8" fillId="0" borderId="2" xfId="0" applyNumberFormat="1" applyFont="1" applyFill="1" applyBorder="1" applyAlignment="1"/>
    <xf numFmtId="0" fontId="8" fillId="0" borderId="5" xfId="0" applyFont="1" applyFill="1" applyBorder="1" applyAlignment="1">
      <alignment horizontal="left"/>
    </xf>
    <xf numFmtId="164" fontId="1" fillId="0" borderId="5" xfId="0" applyNumberFormat="1" applyFont="1" applyFill="1" applyBorder="1" applyAlignment="1">
      <alignment horizontal="center"/>
    </xf>
    <xf numFmtId="44" fontId="1" fillId="7" borderId="5" xfId="1" applyFont="1" applyFill="1" applyBorder="1" applyAlignment="1">
      <alignment horizontal="center"/>
    </xf>
    <xf numFmtId="16" fontId="9" fillId="0" borderId="5" xfId="0" applyNumberFormat="1" applyFont="1" applyFill="1" applyBorder="1" applyAlignment="1">
      <alignment horizontal="center"/>
    </xf>
    <xf numFmtId="0" fontId="9" fillId="0" borderId="2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/>
    <xf numFmtId="0" fontId="8" fillId="0" borderId="5" xfId="0" applyNumberFormat="1" applyFont="1" applyFill="1" applyBorder="1" applyAlignment="1"/>
    <xf numFmtId="0" fontId="1" fillId="0" borderId="0" xfId="0" applyFont="1" applyFill="1" applyAlignment="1"/>
    <xf numFmtId="0" fontId="0" fillId="0" borderId="0" xfId="0" applyFill="1" applyAlignment="1">
      <alignment wrapText="1"/>
    </xf>
    <xf numFmtId="16" fontId="1" fillId="0" borderId="8" xfId="0" applyNumberFormat="1" applyFont="1" applyFill="1" applyBorder="1" applyAlignment="1">
      <alignment horizontal="left"/>
    </xf>
    <xf numFmtId="0" fontId="8" fillId="0" borderId="8" xfId="0" applyNumberFormat="1" applyFont="1" applyFill="1" applyBorder="1" applyAlignment="1">
      <alignment horizontal="left"/>
    </xf>
    <xf numFmtId="2" fontId="1" fillId="0" borderId="0" xfId="1" applyNumberFormat="1" applyFont="1" applyFill="1" applyBorder="1" applyAlignment="1">
      <alignment horizontal="center"/>
    </xf>
    <xf numFmtId="0" fontId="7" fillId="0" borderId="5" xfId="0" applyNumberFormat="1" applyFont="1" applyFill="1" applyBorder="1" applyAlignment="1">
      <alignment horizontal="left"/>
    </xf>
    <xf numFmtId="16" fontId="1" fillId="0" borderId="8" xfId="0" applyNumberFormat="1" applyFont="1" applyFill="1" applyBorder="1" applyAlignment="1"/>
    <xf numFmtId="0" fontId="1" fillId="0" borderId="8" xfId="0" applyNumberFormat="1" applyFont="1" applyFill="1" applyBorder="1" applyAlignment="1"/>
    <xf numFmtId="0" fontId="8" fillId="0" borderId="8" xfId="0" applyFont="1" applyFill="1" applyBorder="1" applyAlignment="1"/>
    <xf numFmtId="164" fontId="1" fillId="0" borderId="8" xfId="0" applyNumberFormat="1" applyFont="1" applyFill="1" applyBorder="1" applyAlignment="1"/>
    <xf numFmtId="0" fontId="1" fillId="0" borderId="8" xfId="0" applyFont="1" applyFill="1" applyBorder="1" applyAlignment="1">
      <alignment horizontal="left"/>
    </xf>
    <xf numFmtId="0" fontId="8" fillId="0" borderId="8" xfId="0" applyNumberFormat="1" applyFont="1" applyFill="1" applyBorder="1" applyAlignment="1">
      <alignment horizontal="center"/>
    </xf>
    <xf numFmtId="164" fontId="1" fillId="0" borderId="8" xfId="0" applyNumberFormat="1" applyFont="1" applyFill="1" applyBorder="1" applyAlignment="1">
      <alignment horizontal="left"/>
    </xf>
    <xf numFmtId="0" fontId="1" fillId="0" borderId="8" xfId="0" applyNumberFormat="1" applyFont="1" applyFill="1" applyBorder="1" applyAlignment="1">
      <alignment horizontal="left"/>
    </xf>
    <xf numFmtId="164" fontId="6" fillId="6" borderId="5" xfId="0" applyNumberFormat="1" applyFont="1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16" fontId="10" fillId="0" borderId="5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164" fontId="0" fillId="0" borderId="2" xfId="0" applyNumberFormat="1" applyBorder="1" applyAlignment="1">
      <alignment horizontal="center"/>
    </xf>
    <xf numFmtId="0" fontId="8" fillId="0" borderId="0" xfId="0" applyNumberFormat="1" applyFont="1" applyFill="1" applyBorder="1" applyAlignment="1">
      <alignment horizontal="left"/>
    </xf>
    <xf numFmtId="164" fontId="1" fillId="0" borderId="0" xfId="0" applyNumberFormat="1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0" fillId="0" borderId="5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/>
    <xf numFmtId="0" fontId="8" fillId="0" borderId="0" xfId="0" applyFont="1" applyFill="1" applyAlignment="1">
      <alignment horizontal="left"/>
    </xf>
    <xf numFmtId="164" fontId="1" fillId="0" borderId="0" xfId="0" applyNumberFormat="1" applyFont="1" applyFill="1" applyAlignment="1">
      <alignment horizontal="center"/>
    </xf>
    <xf numFmtId="44" fontId="1" fillId="0" borderId="0" xfId="1" applyFont="1" applyFill="1" applyAlignment="1">
      <alignment horizontal="center"/>
    </xf>
    <xf numFmtId="0" fontId="1" fillId="0" borderId="0" xfId="2" applyFont="1" applyFill="1" applyAlignment="1">
      <alignment horizontal="left"/>
    </xf>
    <xf numFmtId="164" fontId="1" fillId="0" borderId="0" xfId="0" applyNumberFormat="1" applyFont="1" applyFill="1" applyAlignment="1">
      <alignment horizontal="left"/>
    </xf>
    <xf numFmtId="0" fontId="1" fillId="8" borderId="0" xfId="0" applyFont="1" applyFill="1" applyAlignment="1"/>
    <xf numFmtId="0" fontId="10" fillId="0" borderId="2" xfId="0" applyNumberFormat="1" applyFont="1" applyFill="1" applyBorder="1" applyAlignment="1">
      <alignment horizontal="left"/>
    </xf>
    <xf numFmtId="0" fontId="1" fillId="8" borderId="0" xfId="0" applyNumberFormat="1" applyFont="1" applyFill="1" applyBorder="1" applyAlignment="1"/>
    <xf numFmtId="0" fontId="9" fillId="0" borderId="2" xfId="0" applyNumberFormat="1" applyFont="1" applyFill="1" applyBorder="1" applyAlignment="1">
      <alignment horizontal="left"/>
    </xf>
    <xf numFmtId="0" fontId="1" fillId="8" borderId="0" xfId="0" applyFont="1" applyFill="1" applyAlignment="1">
      <alignment horizontal="left"/>
    </xf>
    <xf numFmtId="44" fontId="1" fillId="7" borderId="0" xfId="1" applyFont="1" applyFill="1" applyBorder="1" applyAlignment="1">
      <alignment horizontal="center"/>
    </xf>
    <xf numFmtId="0" fontId="7" fillId="0" borderId="2" xfId="0" applyNumberFormat="1" applyFont="1" applyFill="1" applyBorder="1" applyAlignment="1">
      <alignment horizontal="center"/>
    </xf>
    <xf numFmtId="0" fontId="8" fillId="0" borderId="0" xfId="0" applyFont="1" applyFill="1" applyAlignment="1"/>
    <xf numFmtId="0" fontId="1" fillId="0" borderId="0" xfId="0" applyNumberFormat="1" applyFont="1" applyFill="1" applyAlignment="1">
      <alignment horizontal="center"/>
    </xf>
    <xf numFmtId="0" fontId="8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16" fontId="1" fillId="0" borderId="0" xfId="0" applyNumberFormat="1" applyFont="1" applyFill="1" applyBorder="1" applyAlignment="1"/>
    <xf numFmtId="16" fontId="1" fillId="0" borderId="0" xfId="0" applyNumberFormat="1" applyFont="1" applyFill="1" applyBorder="1" applyAlignment="1">
      <alignment horizontal="left"/>
    </xf>
    <xf numFmtId="164" fontId="1" fillId="0" borderId="0" xfId="0" applyNumberFormat="1" applyFont="1" applyFill="1" applyAlignment="1"/>
    <xf numFmtId="2" fontId="1" fillId="0" borderId="0" xfId="0" applyNumberFormat="1" applyFont="1" applyFill="1" applyBorder="1" applyAlignment="1">
      <alignment horizontal="center"/>
    </xf>
    <xf numFmtId="0" fontId="1" fillId="0" borderId="0" xfId="0" applyFont="1"/>
    <xf numFmtId="164" fontId="1" fillId="0" borderId="2" xfId="0" quotePrefix="1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/>
    </xf>
    <xf numFmtId="16" fontId="1" fillId="0" borderId="5" xfId="0" applyNumberFormat="1" applyFont="1" applyBorder="1" applyAlignment="1">
      <alignment horizontal="left"/>
    </xf>
    <xf numFmtId="16" fontId="1" fillId="0" borderId="5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44" fontId="1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/>
    <xf numFmtId="0" fontId="9" fillId="0" borderId="6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16" fontId="9" fillId="0" borderId="5" xfId="0" applyNumberFormat="1" applyFont="1" applyFill="1" applyBorder="1" applyAlignment="1"/>
    <xf numFmtId="0" fontId="9" fillId="0" borderId="5" xfId="0" applyNumberFormat="1" applyFont="1" applyFill="1" applyBorder="1" applyAlignment="1">
      <alignment horizontal="center"/>
    </xf>
    <xf numFmtId="0" fontId="9" fillId="0" borderId="8" xfId="0" applyNumberFormat="1" applyFont="1" applyFill="1" applyBorder="1" applyAlignment="1">
      <alignment horizontal="center"/>
    </xf>
    <xf numFmtId="44" fontId="9" fillId="0" borderId="8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3">
    <cellStyle name="Currency" xfId="1" builtinId="4"/>
    <cellStyle name="Normal" xfId="0" builtinId="0"/>
    <cellStyle name="Normal 2" xfId="2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1" formatCode="dd/m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1" formatCode="dd/m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1" formatCode="dd/m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1" formatCode="dd/m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1" formatCode="dd/m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sacook000/Desktop/Google%20Drive%20-%20Shelley/Fox%20Creek%20to%20Namao/6.0%20COMMERCIAL/5.2%20Prime%20BaseLay%20Report/Midwest%20Progress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orecast Chart"/>
      <sheetName val="Actual Charts"/>
      <sheetName val="REPORT"/>
      <sheetName val="Planned PROGRESS"/>
      <sheetName val="Actual PROGRESS"/>
      <sheetName val="Cost BreakDown"/>
      <sheetName val="Statement Log"/>
      <sheetName val="Statement1"/>
      <sheetName val="BASELAY BREAKDOWN &quot;16 AND &quot;24"/>
      <sheetName val="SECTION 1.1C CROSSINGS"/>
      <sheetName val="LUMP SUM PRICING"/>
      <sheetName val="RE"/>
      <sheetName val="Section 3 (Additional UPI)"/>
      <sheetName val="HDB"/>
      <sheetName val="Stat2"/>
      <sheetName val="BASELAY CO"/>
      <sheetName val="EW LOG"/>
      <sheetName val="UPI's"/>
      <sheetName val="LEM LOG"/>
      <sheetName val="RFI, CR, CO LOG"/>
      <sheetName val="Mat Tracking"/>
      <sheetName val="EW ORDER"/>
      <sheetName val="Actual vs Sch Days "/>
    </sheetNames>
    <sheetDataSet>
      <sheetData sheetId="0"/>
      <sheetData sheetId="1"/>
      <sheetData sheetId="2">
        <row r="3">
          <cell r="T3" t="str">
            <v>Grading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id="1" name="Table1" displayName="Table1" ref="B3:N176" totalsRowCount="1" headerRowDxfId="26" totalsRowDxfId="24" tableBorderDxfId="25">
  <autoFilter ref="B3:N175"/>
  <sortState ref="B4:M103">
    <sortCondition ref="K83"/>
  </sortState>
  <tableColumns count="13">
    <tableColumn id="1" name="Date Received" dataDxfId="23" totalsRowDxfId="22"/>
    <tableColumn id="2" name="Time Sheet Reference #" dataDxfId="21" totalsRowDxfId="20"/>
    <tableColumn id="3" name="CR#" dataDxfId="19" totalsRowDxfId="18"/>
    <tableColumn id="4" name="Description " dataDxfId="17" totalsRowDxfId="16"/>
    <tableColumn id="7" name="UPI" dataDxfId="15" totalsRowDxfId="14"/>
    <tableColumn id="12" name="Additional SubContractor Tickets" dataDxfId="13" totalsRowDxfId="12"/>
    <tableColumn id="14" name="SubCon Ticket Number" totalsRowDxfId="11"/>
    <tableColumn id="6" name="Date Given Back to MW" dataDxfId="10" totalsRowDxfId="9"/>
    <tableColumn id="5" name="Related LEM #" dataDxfId="8" totalsRowDxfId="7"/>
    <tableColumn id="13" name="LEM Amount" totalsRowFunction="sum" totalsRowDxfId="6" dataCellStyle="Currency"/>
    <tableColumn id="9" name="Rejected" dataDxfId="5" totalsRowDxfId="4" dataCellStyle="Currency"/>
    <tableColumn id="8" name="Statement #" dataDxfId="3" totalsRowDxfId="2"/>
    <tableColumn id="17" name="Comments" dataDxfId="1" totalsRow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92D050"/>
    <pageSetUpPr fitToPage="1"/>
  </sheetPr>
  <dimension ref="A2:Y176"/>
  <sheetViews>
    <sheetView tabSelected="1" zoomScale="90" zoomScaleNormal="90" zoomScalePageLayoutView="90" workbookViewId="0">
      <pane ySplit="3" topLeftCell="A97" activePane="bottomLeft" state="frozen"/>
      <selection pane="bottomLeft" activeCell="L179" sqref="L179"/>
    </sheetView>
  </sheetViews>
  <sheetFormatPr baseColWidth="10" defaultColWidth="8.83203125" defaultRowHeight="13" x14ac:dyDescent="0.15"/>
  <cols>
    <col min="1" max="1" width="13.1640625" customWidth="1"/>
    <col min="2" max="2" width="15" customWidth="1"/>
    <col min="3" max="3" width="21.5" customWidth="1"/>
    <col min="4" max="4" width="6.83203125" style="1" customWidth="1"/>
    <col min="5" max="5" width="40.83203125" style="138" customWidth="1"/>
    <col min="6" max="6" width="12.83203125" style="138" customWidth="1"/>
    <col min="7" max="7" width="26.83203125" style="139" customWidth="1"/>
    <col min="8" max="8" width="14" style="138" customWidth="1"/>
    <col min="9" max="9" width="16" style="138" customWidth="1"/>
    <col min="10" max="10" width="17" style="138" customWidth="1"/>
    <col min="11" max="12" width="20.83203125" style="138" customWidth="1"/>
    <col min="13" max="13" width="13.83203125" style="138" customWidth="1"/>
    <col min="14" max="14" width="45.5" style="5" customWidth="1"/>
    <col min="15" max="20" width="8.83203125" customWidth="1"/>
  </cols>
  <sheetData>
    <row r="2" spans="1:19" ht="31.5" customHeight="1" thickBot="1" x14ac:dyDescent="0.25">
      <c r="E2" s="2"/>
      <c r="F2" s="2"/>
      <c r="G2" s="3"/>
      <c r="H2" s="2"/>
      <c r="I2" s="2"/>
      <c r="J2" s="2"/>
      <c r="K2" s="4">
        <f>SUM(K4:K175)</f>
        <v>522553.7699999999</v>
      </c>
      <c r="L2" s="4"/>
      <c r="M2" s="4"/>
    </row>
    <row r="3" spans="1:19" ht="52.5" customHeight="1" thickBot="1" x14ac:dyDescent="0.3">
      <c r="A3" s="6" t="s">
        <v>0</v>
      </c>
      <c r="B3" s="7" t="s">
        <v>1</v>
      </c>
      <c r="C3" s="8" t="s">
        <v>2</v>
      </c>
      <c r="D3" s="9" t="s">
        <v>3</v>
      </c>
      <c r="E3" s="10" t="s">
        <v>4</v>
      </c>
      <c r="F3" s="10" t="s">
        <v>5</v>
      </c>
      <c r="G3" s="11" t="s">
        <v>6</v>
      </c>
      <c r="H3" s="8" t="s">
        <v>7</v>
      </c>
      <c r="I3" s="8" t="s">
        <v>8</v>
      </c>
      <c r="J3" s="7" t="s">
        <v>9</v>
      </c>
      <c r="K3" s="7" t="s">
        <v>10</v>
      </c>
      <c r="L3" s="7" t="s">
        <v>206</v>
      </c>
      <c r="M3" s="7" t="s">
        <v>11</v>
      </c>
      <c r="N3" s="7" t="s">
        <v>12</v>
      </c>
      <c r="O3" s="12"/>
      <c r="P3" s="13"/>
      <c r="Q3" s="12"/>
      <c r="R3" s="12"/>
      <c r="S3" s="13"/>
    </row>
    <row r="4" spans="1:19" s="25" customFormat="1" ht="15" customHeight="1" x14ac:dyDescent="0.15">
      <c r="A4" s="14">
        <v>42584</v>
      </c>
      <c r="B4" s="15">
        <v>42586</v>
      </c>
      <c r="C4" s="16" t="s">
        <v>13</v>
      </c>
      <c r="D4" s="17">
        <v>1</v>
      </c>
      <c r="E4" s="18" t="s">
        <v>14</v>
      </c>
      <c r="F4" s="19"/>
      <c r="G4" s="20"/>
      <c r="H4" s="21"/>
      <c r="I4" s="22">
        <v>42597</v>
      </c>
      <c r="J4" s="21" t="s">
        <v>13</v>
      </c>
      <c r="K4" s="23">
        <v>1433.46</v>
      </c>
      <c r="L4" s="23"/>
      <c r="M4" s="24"/>
      <c r="N4" s="19" t="s">
        <v>15</v>
      </c>
    </row>
    <row r="5" spans="1:19" s="25" customFormat="1" ht="15" customHeight="1" x14ac:dyDescent="0.15">
      <c r="A5" s="14">
        <v>42584</v>
      </c>
      <c r="B5" s="15">
        <v>42586</v>
      </c>
      <c r="C5" s="16" t="s">
        <v>16</v>
      </c>
      <c r="D5" s="17">
        <v>1</v>
      </c>
      <c r="E5" s="18" t="s">
        <v>14</v>
      </c>
      <c r="F5" s="19"/>
      <c r="G5" s="26" t="s">
        <v>17</v>
      </c>
      <c r="H5" s="20">
        <v>14596</v>
      </c>
      <c r="I5" s="22">
        <v>42597</v>
      </c>
      <c r="J5" s="21" t="s">
        <v>18</v>
      </c>
      <c r="K5" s="23">
        <v>2658.5</v>
      </c>
      <c r="L5" s="23"/>
      <c r="M5" s="24">
        <v>4</v>
      </c>
      <c r="N5" s="19" t="s">
        <v>15</v>
      </c>
    </row>
    <row r="6" spans="1:19" s="25" customFormat="1" ht="15" customHeight="1" x14ac:dyDescent="0.15">
      <c r="A6" s="14">
        <v>42584</v>
      </c>
      <c r="B6" s="15">
        <v>42586</v>
      </c>
      <c r="C6" s="16" t="s">
        <v>16</v>
      </c>
      <c r="D6" s="17">
        <v>1</v>
      </c>
      <c r="E6" s="18" t="s">
        <v>14</v>
      </c>
      <c r="F6" s="19"/>
      <c r="G6" s="26" t="s">
        <v>17</v>
      </c>
      <c r="H6" s="20">
        <v>14512</v>
      </c>
      <c r="I6" s="22">
        <v>42597</v>
      </c>
      <c r="J6" s="21" t="s">
        <v>18</v>
      </c>
      <c r="K6" s="23">
        <v>0</v>
      </c>
      <c r="L6" s="23"/>
      <c r="M6" s="24">
        <v>4</v>
      </c>
      <c r="N6" s="19" t="s">
        <v>15</v>
      </c>
    </row>
    <row r="7" spans="1:19" s="25" customFormat="1" ht="15" customHeight="1" x14ac:dyDescent="0.15">
      <c r="A7" s="14">
        <v>42584</v>
      </c>
      <c r="B7" s="15">
        <v>42586</v>
      </c>
      <c r="C7" s="16" t="s">
        <v>16</v>
      </c>
      <c r="D7" s="17">
        <v>1</v>
      </c>
      <c r="E7" s="18" t="s">
        <v>14</v>
      </c>
      <c r="F7" s="19"/>
      <c r="G7" s="26" t="s">
        <v>19</v>
      </c>
      <c r="H7" s="20">
        <v>5838</v>
      </c>
      <c r="I7" s="22">
        <v>42599</v>
      </c>
      <c r="J7" s="21" t="s">
        <v>16</v>
      </c>
      <c r="K7" s="23">
        <v>6386.6</v>
      </c>
      <c r="L7" s="23"/>
      <c r="M7" s="24">
        <v>4</v>
      </c>
      <c r="N7" s="19" t="s">
        <v>15</v>
      </c>
    </row>
    <row r="8" spans="1:19" s="28" customFormat="1" ht="15" customHeight="1" x14ac:dyDescent="0.15">
      <c r="A8" s="14">
        <v>42585</v>
      </c>
      <c r="B8" s="15">
        <v>42594</v>
      </c>
      <c r="C8" s="16" t="s">
        <v>20</v>
      </c>
      <c r="D8" s="17">
        <v>1</v>
      </c>
      <c r="E8" s="18" t="s">
        <v>14</v>
      </c>
      <c r="F8" s="27"/>
      <c r="G8" s="26"/>
      <c r="H8" s="20"/>
      <c r="I8" s="22">
        <v>42604</v>
      </c>
      <c r="J8" s="27" t="s">
        <v>20</v>
      </c>
      <c r="K8" s="23">
        <v>537.05999999999995</v>
      </c>
      <c r="L8" s="23"/>
      <c r="M8" s="24">
        <v>4</v>
      </c>
      <c r="N8" s="19" t="s">
        <v>15</v>
      </c>
    </row>
    <row r="9" spans="1:19" s="29" customFormat="1" ht="15" customHeight="1" x14ac:dyDescent="0.15">
      <c r="A9" s="14">
        <v>42585</v>
      </c>
      <c r="B9" s="15">
        <v>42594</v>
      </c>
      <c r="C9" s="16" t="s">
        <v>21</v>
      </c>
      <c r="D9" s="17">
        <v>1</v>
      </c>
      <c r="E9" s="18" t="s">
        <v>14</v>
      </c>
      <c r="F9" s="27"/>
      <c r="G9" s="20"/>
      <c r="H9" s="20"/>
      <c r="I9" s="22">
        <v>42604</v>
      </c>
      <c r="J9" s="27" t="s">
        <v>21</v>
      </c>
      <c r="K9" s="23">
        <v>2694.54</v>
      </c>
      <c r="L9" s="23"/>
      <c r="M9" s="24">
        <v>4</v>
      </c>
      <c r="N9" s="19" t="s">
        <v>15</v>
      </c>
    </row>
    <row r="10" spans="1:19" s="29" customFormat="1" ht="15" customHeight="1" x14ac:dyDescent="0.15">
      <c r="A10" s="30">
        <v>42587</v>
      </c>
      <c r="B10" s="15">
        <v>42586</v>
      </c>
      <c r="C10" s="16" t="s">
        <v>22</v>
      </c>
      <c r="D10" s="17">
        <v>1</v>
      </c>
      <c r="E10" s="18" t="s">
        <v>14</v>
      </c>
      <c r="F10" s="19"/>
      <c r="G10" s="26" t="s">
        <v>17</v>
      </c>
      <c r="H10" s="20">
        <v>14513</v>
      </c>
      <c r="I10" s="22">
        <v>42604</v>
      </c>
      <c r="J10" s="21" t="s">
        <v>23</v>
      </c>
      <c r="K10" s="23">
        <v>1788.98</v>
      </c>
      <c r="L10" s="23"/>
      <c r="M10" s="24">
        <v>4</v>
      </c>
      <c r="N10" s="19" t="s">
        <v>15</v>
      </c>
    </row>
    <row r="11" spans="1:19" s="29" customFormat="1" ht="15" customHeight="1" x14ac:dyDescent="0.15">
      <c r="A11" s="30">
        <v>42587</v>
      </c>
      <c r="B11" s="15">
        <v>42586</v>
      </c>
      <c r="C11" s="16" t="s">
        <v>22</v>
      </c>
      <c r="D11" s="17">
        <v>1</v>
      </c>
      <c r="E11" s="19" t="s">
        <v>14</v>
      </c>
      <c r="F11" s="19"/>
      <c r="G11" s="26" t="s">
        <v>17</v>
      </c>
      <c r="H11" s="20">
        <v>14597</v>
      </c>
      <c r="I11" s="22">
        <v>42604</v>
      </c>
      <c r="J11" s="21" t="s">
        <v>23</v>
      </c>
      <c r="K11" s="23">
        <v>0</v>
      </c>
      <c r="L11" s="23"/>
      <c r="M11" s="24">
        <v>4</v>
      </c>
      <c r="N11" s="19" t="s">
        <v>15</v>
      </c>
    </row>
    <row r="12" spans="1:19" s="29" customFormat="1" ht="15" customHeight="1" x14ac:dyDescent="0.15">
      <c r="A12" s="30">
        <v>42587</v>
      </c>
      <c r="B12" s="31">
        <v>42594</v>
      </c>
      <c r="C12" s="16" t="s">
        <v>24</v>
      </c>
      <c r="D12" s="17">
        <v>2</v>
      </c>
      <c r="E12" s="27" t="s">
        <v>25</v>
      </c>
      <c r="F12" s="32"/>
      <c r="G12" s="26"/>
      <c r="H12" s="20"/>
      <c r="I12" s="22">
        <v>42598</v>
      </c>
      <c r="J12" s="27" t="s">
        <v>24</v>
      </c>
      <c r="K12" s="23">
        <v>2977.44</v>
      </c>
      <c r="L12" s="23"/>
      <c r="M12" s="24">
        <v>4</v>
      </c>
      <c r="N12" s="19" t="s">
        <v>15</v>
      </c>
    </row>
    <row r="13" spans="1:19" s="29" customFormat="1" ht="15" customHeight="1" x14ac:dyDescent="0.15">
      <c r="A13" s="30">
        <v>42585</v>
      </c>
      <c r="B13" s="15">
        <v>42594</v>
      </c>
      <c r="C13" s="16" t="s">
        <v>24</v>
      </c>
      <c r="D13" s="17">
        <v>2</v>
      </c>
      <c r="E13" s="27" t="s">
        <v>25</v>
      </c>
      <c r="F13" s="27"/>
      <c r="G13" s="26" t="s">
        <v>17</v>
      </c>
      <c r="H13" s="20" t="s">
        <v>26</v>
      </c>
      <c r="I13" s="22">
        <v>42598</v>
      </c>
      <c r="J13" s="27" t="s">
        <v>27</v>
      </c>
      <c r="K13" s="23">
        <v>1511.13</v>
      </c>
      <c r="L13" s="23"/>
      <c r="M13" s="24">
        <v>4</v>
      </c>
      <c r="N13" s="19" t="s">
        <v>15</v>
      </c>
    </row>
    <row r="14" spans="1:19" s="29" customFormat="1" ht="15" customHeight="1" x14ac:dyDescent="0.15">
      <c r="A14" s="30">
        <v>42585</v>
      </c>
      <c r="B14" s="15">
        <v>42595</v>
      </c>
      <c r="C14" s="16" t="s">
        <v>24</v>
      </c>
      <c r="D14" s="17">
        <v>2</v>
      </c>
      <c r="E14" s="27" t="s">
        <v>25</v>
      </c>
      <c r="F14" s="33"/>
      <c r="G14" s="26" t="s">
        <v>28</v>
      </c>
      <c r="H14" s="20">
        <v>90572536</v>
      </c>
      <c r="I14" s="22">
        <v>42598</v>
      </c>
      <c r="J14" s="27" t="s">
        <v>29</v>
      </c>
      <c r="K14" s="23">
        <v>822.56</v>
      </c>
      <c r="L14" s="23"/>
      <c r="M14" s="24">
        <v>4</v>
      </c>
      <c r="N14" s="19" t="s">
        <v>15</v>
      </c>
    </row>
    <row r="15" spans="1:19" s="29" customFormat="1" ht="15" customHeight="1" x14ac:dyDescent="0.15">
      <c r="A15" s="34">
        <v>42593</v>
      </c>
      <c r="B15" s="35">
        <v>42597</v>
      </c>
      <c r="C15" s="36" t="s">
        <v>30</v>
      </c>
      <c r="D15" s="37">
        <v>8</v>
      </c>
      <c r="E15" s="27" t="s">
        <v>31</v>
      </c>
      <c r="F15" s="32"/>
      <c r="G15" s="38"/>
      <c r="H15" s="38"/>
      <c r="I15" s="39">
        <v>42622</v>
      </c>
      <c r="J15" s="32" t="s">
        <v>30</v>
      </c>
      <c r="K15" s="40">
        <v>952.08</v>
      </c>
      <c r="L15" s="58"/>
      <c r="M15" s="41">
        <v>7</v>
      </c>
      <c r="N15" s="42"/>
    </row>
    <row r="16" spans="1:19" s="29" customFormat="1" ht="15" customHeight="1" x14ac:dyDescent="0.15">
      <c r="A16" s="30">
        <v>42592</v>
      </c>
      <c r="B16" s="35">
        <v>42605</v>
      </c>
      <c r="C16" s="36">
        <v>352</v>
      </c>
      <c r="D16" s="37"/>
      <c r="E16" s="27" t="s">
        <v>32</v>
      </c>
      <c r="F16" s="32" t="s">
        <v>33</v>
      </c>
      <c r="G16" s="38" t="s">
        <v>34</v>
      </c>
      <c r="H16" s="43" t="s">
        <v>35</v>
      </c>
      <c r="I16" s="44"/>
      <c r="J16" s="44" t="s">
        <v>36</v>
      </c>
      <c r="K16" s="23">
        <v>0</v>
      </c>
      <c r="L16" s="58"/>
      <c r="M16" s="45"/>
      <c r="N16" s="42" t="s">
        <v>37</v>
      </c>
    </row>
    <row r="17" spans="1:14" s="29" customFormat="1" ht="15" customHeight="1" x14ac:dyDescent="0.15">
      <c r="A17" s="46">
        <v>42592</v>
      </c>
      <c r="B17" s="31">
        <v>42605</v>
      </c>
      <c r="C17" s="36">
        <v>352</v>
      </c>
      <c r="D17" s="17"/>
      <c r="E17" s="27" t="s">
        <v>32</v>
      </c>
      <c r="F17" s="27" t="s">
        <v>33</v>
      </c>
      <c r="G17" s="20" t="s">
        <v>38</v>
      </c>
      <c r="H17" s="47" t="s">
        <v>39</v>
      </c>
      <c r="I17" s="44"/>
      <c r="J17" s="21" t="s">
        <v>36</v>
      </c>
      <c r="K17" s="23">
        <v>0</v>
      </c>
      <c r="L17" s="58"/>
      <c r="M17" s="45"/>
      <c r="N17" s="42" t="s">
        <v>37</v>
      </c>
    </row>
    <row r="18" spans="1:14" s="29" customFormat="1" ht="15" customHeight="1" x14ac:dyDescent="0.15">
      <c r="A18" s="48">
        <v>42592</v>
      </c>
      <c r="B18" s="35">
        <v>42605</v>
      </c>
      <c r="C18" s="36">
        <v>352</v>
      </c>
      <c r="D18" s="37"/>
      <c r="E18" s="27" t="s">
        <v>32</v>
      </c>
      <c r="F18" s="32" t="s">
        <v>33</v>
      </c>
      <c r="G18" s="20" t="s">
        <v>40</v>
      </c>
      <c r="H18" s="43" t="s">
        <v>41</v>
      </c>
      <c r="I18" s="44"/>
      <c r="J18" s="44" t="s">
        <v>36</v>
      </c>
      <c r="K18" s="23">
        <v>0</v>
      </c>
      <c r="L18" s="58"/>
      <c r="M18" s="45"/>
      <c r="N18" s="42" t="s">
        <v>37</v>
      </c>
    </row>
    <row r="19" spans="1:14" s="29" customFormat="1" ht="15" customHeight="1" x14ac:dyDescent="0.15">
      <c r="A19" s="46">
        <v>42592</v>
      </c>
      <c r="B19" s="31">
        <v>42605</v>
      </c>
      <c r="C19" s="36">
        <v>352</v>
      </c>
      <c r="D19" s="17"/>
      <c r="E19" s="27" t="s">
        <v>32</v>
      </c>
      <c r="F19" s="27" t="s">
        <v>33</v>
      </c>
      <c r="G19" s="20" t="s">
        <v>42</v>
      </c>
      <c r="H19" s="43" t="s">
        <v>43</v>
      </c>
      <c r="I19" s="44"/>
      <c r="J19" s="44" t="s">
        <v>36</v>
      </c>
      <c r="K19" s="23">
        <v>0</v>
      </c>
      <c r="L19" s="58"/>
      <c r="M19" s="45"/>
      <c r="N19" s="42" t="s">
        <v>37</v>
      </c>
    </row>
    <row r="20" spans="1:14" s="29" customFormat="1" ht="15" customHeight="1" x14ac:dyDescent="0.15">
      <c r="A20" s="49">
        <v>42591</v>
      </c>
      <c r="B20" s="31">
        <v>42595</v>
      </c>
      <c r="C20" s="36">
        <v>402</v>
      </c>
      <c r="D20" s="17"/>
      <c r="E20" s="18" t="s">
        <v>44</v>
      </c>
      <c r="F20" s="27" t="s">
        <v>45</v>
      </c>
      <c r="G20" s="20" t="s">
        <v>46</v>
      </c>
      <c r="H20" s="38" t="s">
        <v>47</v>
      </c>
      <c r="I20" s="39">
        <v>42608</v>
      </c>
      <c r="J20" s="50" t="s">
        <v>48</v>
      </c>
      <c r="K20" s="23">
        <v>4654</v>
      </c>
      <c r="L20" s="58"/>
      <c r="M20" s="41">
        <v>3</v>
      </c>
      <c r="N20" s="42" t="s">
        <v>15</v>
      </c>
    </row>
    <row r="21" spans="1:14" s="29" customFormat="1" ht="15" customHeight="1" x14ac:dyDescent="0.15">
      <c r="A21" s="14">
        <v>42594</v>
      </c>
      <c r="B21" s="31">
        <v>42621</v>
      </c>
      <c r="C21" s="51"/>
      <c r="D21" s="17">
        <v>5</v>
      </c>
      <c r="E21" s="52" t="s">
        <v>44</v>
      </c>
      <c r="F21" s="52"/>
      <c r="G21" s="53"/>
      <c r="H21" s="54"/>
      <c r="I21" s="55"/>
      <c r="J21" s="56" t="s">
        <v>49</v>
      </c>
      <c r="K21" s="23">
        <v>-408</v>
      </c>
      <c r="L21" s="58"/>
      <c r="M21" s="57"/>
      <c r="N21" s="42" t="s">
        <v>37</v>
      </c>
    </row>
    <row r="22" spans="1:14" s="29" customFormat="1" ht="15" customHeight="1" x14ac:dyDescent="0.15">
      <c r="A22" s="46">
        <v>42594</v>
      </c>
      <c r="B22" s="31">
        <v>42595</v>
      </c>
      <c r="C22" s="36" t="s">
        <v>50</v>
      </c>
      <c r="D22" s="17">
        <v>5</v>
      </c>
      <c r="E22" s="27" t="s">
        <v>44</v>
      </c>
      <c r="F22" s="32"/>
      <c r="G22" s="38"/>
      <c r="H22" s="43"/>
      <c r="I22" s="39"/>
      <c r="J22" s="50" t="s">
        <v>51</v>
      </c>
      <c r="K22" s="23">
        <v>4022.4</v>
      </c>
      <c r="L22" s="58"/>
      <c r="M22" s="58"/>
      <c r="N22" s="42" t="s">
        <v>37</v>
      </c>
    </row>
    <row r="23" spans="1:14" s="29" customFormat="1" ht="15" customHeight="1" x14ac:dyDescent="0.15">
      <c r="A23" s="34">
        <v>42595</v>
      </c>
      <c r="B23" s="31">
        <v>42595</v>
      </c>
      <c r="C23" s="36">
        <v>402</v>
      </c>
      <c r="D23" s="17"/>
      <c r="E23" s="27" t="s">
        <v>44</v>
      </c>
      <c r="F23" s="27" t="s">
        <v>45</v>
      </c>
      <c r="G23" s="20" t="s">
        <v>52</v>
      </c>
      <c r="H23" s="20" t="s">
        <v>53</v>
      </c>
      <c r="I23" s="22">
        <v>42608</v>
      </c>
      <c r="J23" s="52" t="s">
        <v>48</v>
      </c>
      <c r="K23" s="23">
        <v>0</v>
      </c>
      <c r="L23" s="58"/>
      <c r="M23" s="41">
        <v>3</v>
      </c>
      <c r="N23" s="42" t="s">
        <v>15</v>
      </c>
    </row>
    <row r="24" spans="1:14" s="29" customFormat="1" ht="15" customHeight="1" x14ac:dyDescent="0.15">
      <c r="A24" s="31">
        <v>42595</v>
      </c>
      <c r="B24" s="31">
        <v>42595</v>
      </c>
      <c r="C24" s="36">
        <v>402</v>
      </c>
      <c r="D24" s="17"/>
      <c r="E24" s="18" t="s">
        <v>44</v>
      </c>
      <c r="F24" s="27" t="s">
        <v>45</v>
      </c>
      <c r="G24" s="20" t="s">
        <v>54</v>
      </c>
      <c r="H24" s="20" t="s">
        <v>55</v>
      </c>
      <c r="I24" s="39">
        <v>42608</v>
      </c>
      <c r="J24" s="52" t="s">
        <v>48</v>
      </c>
      <c r="K24" s="23">
        <v>0</v>
      </c>
      <c r="L24" s="58"/>
      <c r="M24" s="41">
        <v>3</v>
      </c>
      <c r="N24" s="42" t="s">
        <v>15</v>
      </c>
    </row>
    <row r="25" spans="1:14" s="29" customFormat="1" ht="15" customHeight="1" x14ac:dyDescent="0.15">
      <c r="A25" s="34">
        <v>42595</v>
      </c>
      <c r="B25" s="31">
        <v>42595</v>
      </c>
      <c r="C25" s="36">
        <v>402</v>
      </c>
      <c r="D25" s="17"/>
      <c r="E25" s="27" t="s">
        <v>44</v>
      </c>
      <c r="F25" s="27" t="s">
        <v>45</v>
      </c>
      <c r="G25" s="20" t="s">
        <v>56</v>
      </c>
      <c r="H25" s="38" t="s">
        <v>57</v>
      </c>
      <c r="I25" s="39">
        <v>42608</v>
      </c>
      <c r="J25" s="52" t="s">
        <v>48</v>
      </c>
      <c r="K25" s="59">
        <v>0</v>
      </c>
      <c r="L25" s="58"/>
      <c r="M25" s="41">
        <v>3</v>
      </c>
      <c r="N25" s="42" t="s">
        <v>15</v>
      </c>
    </row>
    <row r="26" spans="1:14" s="29" customFormat="1" ht="15" customHeight="1" x14ac:dyDescent="0.15">
      <c r="A26" s="31">
        <v>42595</v>
      </c>
      <c r="B26" s="31">
        <v>42600</v>
      </c>
      <c r="C26" s="36">
        <v>403</v>
      </c>
      <c r="D26" s="17"/>
      <c r="E26" s="52" t="s">
        <v>58</v>
      </c>
      <c r="F26" s="27" t="s">
        <v>59</v>
      </c>
      <c r="G26" s="20" t="s">
        <v>60</v>
      </c>
      <c r="H26" s="47"/>
      <c r="I26" s="27"/>
      <c r="J26" s="52" t="s">
        <v>61</v>
      </c>
      <c r="K26" s="23">
        <v>38500</v>
      </c>
      <c r="L26" s="58"/>
      <c r="M26" s="41">
        <v>2</v>
      </c>
      <c r="N26" s="42" t="s">
        <v>15</v>
      </c>
    </row>
    <row r="27" spans="1:14" s="29" customFormat="1" ht="18" customHeight="1" x14ac:dyDescent="0.15">
      <c r="A27" s="34">
        <v>42595</v>
      </c>
      <c r="B27" s="31">
        <v>42602</v>
      </c>
      <c r="C27" s="36">
        <v>404</v>
      </c>
      <c r="D27" s="17"/>
      <c r="E27" s="52" t="s">
        <v>62</v>
      </c>
      <c r="F27" s="27" t="s">
        <v>63</v>
      </c>
      <c r="G27" s="20"/>
      <c r="H27" s="43"/>
      <c r="I27" s="44"/>
      <c r="J27" s="53" t="s">
        <v>64</v>
      </c>
      <c r="K27" s="59">
        <v>21000</v>
      </c>
      <c r="L27" s="58"/>
      <c r="M27" s="41">
        <v>2</v>
      </c>
      <c r="N27" s="42" t="s">
        <v>15</v>
      </c>
    </row>
    <row r="28" spans="1:14" s="29" customFormat="1" ht="18.75" customHeight="1" x14ac:dyDescent="0.15">
      <c r="A28" s="48">
        <v>42598</v>
      </c>
      <c r="B28" s="31">
        <v>42600</v>
      </c>
      <c r="C28" s="36">
        <v>452</v>
      </c>
      <c r="D28" s="17"/>
      <c r="E28" s="27" t="s">
        <v>44</v>
      </c>
      <c r="F28" s="27" t="s">
        <v>65</v>
      </c>
      <c r="G28" s="20"/>
      <c r="H28" s="60" t="s">
        <v>66</v>
      </c>
      <c r="I28" s="22">
        <v>42619</v>
      </c>
      <c r="J28" s="52" t="s">
        <v>67</v>
      </c>
      <c r="K28" s="23">
        <v>0</v>
      </c>
      <c r="L28" s="58"/>
      <c r="M28" s="41"/>
      <c r="N28" s="42" t="s">
        <v>68</v>
      </c>
    </row>
    <row r="29" spans="1:14" s="29" customFormat="1" ht="15" customHeight="1" x14ac:dyDescent="0.15">
      <c r="A29" s="34">
        <v>42598</v>
      </c>
      <c r="B29" s="31">
        <v>42595</v>
      </c>
      <c r="C29" s="36">
        <v>453</v>
      </c>
      <c r="D29" s="17"/>
      <c r="E29" s="18" t="s">
        <v>69</v>
      </c>
      <c r="F29" s="27" t="s">
        <v>70</v>
      </c>
      <c r="G29" s="20" t="s">
        <v>71</v>
      </c>
      <c r="H29" s="20"/>
      <c r="I29" s="22">
        <v>42619</v>
      </c>
      <c r="J29" s="52" t="s">
        <v>72</v>
      </c>
      <c r="K29" s="23">
        <v>12508</v>
      </c>
      <c r="L29" s="58"/>
      <c r="M29" s="41"/>
      <c r="N29" s="42" t="s">
        <v>15</v>
      </c>
    </row>
    <row r="30" spans="1:14" s="29" customFormat="1" ht="15" customHeight="1" x14ac:dyDescent="0.15">
      <c r="A30" s="48">
        <v>42594</v>
      </c>
      <c r="B30" s="31">
        <v>42599</v>
      </c>
      <c r="C30" s="36" t="s">
        <v>73</v>
      </c>
      <c r="D30" s="17">
        <v>8</v>
      </c>
      <c r="E30" s="27" t="s">
        <v>31</v>
      </c>
      <c r="F30" s="27"/>
      <c r="G30" s="20" t="s">
        <v>74</v>
      </c>
      <c r="H30" s="47">
        <v>11</v>
      </c>
      <c r="I30" s="22">
        <v>42622</v>
      </c>
      <c r="J30" s="21" t="s">
        <v>73</v>
      </c>
      <c r="K30" s="23">
        <v>5229.8</v>
      </c>
      <c r="L30" s="58"/>
      <c r="M30" s="41">
        <v>7</v>
      </c>
      <c r="N30" s="42"/>
    </row>
    <row r="31" spans="1:14" s="29" customFormat="1" ht="15" customHeight="1" x14ac:dyDescent="0.15">
      <c r="A31" s="34">
        <v>42595</v>
      </c>
      <c r="B31" s="35">
        <v>42599</v>
      </c>
      <c r="C31" s="36" t="s">
        <v>75</v>
      </c>
      <c r="D31" s="61">
        <v>8</v>
      </c>
      <c r="E31" s="32" t="s">
        <v>31</v>
      </c>
      <c r="F31" s="32"/>
      <c r="G31" s="20"/>
      <c r="H31" s="43"/>
      <c r="I31" s="39">
        <v>42622</v>
      </c>
      <c r="J31" s="44" t="s">
        <v>75</v>
      </c>
      <c r="K31" s="59">
        <v>448.56</v>
      </c>
      <c r="L31" s="58"/>
      <c r="M31" s="41">
        <v>7</v>
      </c>
      <c r="N31" s="42"/>
    </row>
    <row r="32" spans="1:14" s="29" customFormat="1" ht="15" customHeight="1" x14ac:dyDescent="0.15">
      <c r="A32" s="48">
        <v>42595</v>
      </c>
      <c r="B32" s="35">
        <v>42600</v>
      </c>
      <c r="C32" s="36">
        <v>454</v>
      </c>
      <c r="D32" s="37"/>
      <c r="E32" s="50" t="s">
        <v>76</v>
      </c>
      <c r="F32" s="32" t="s">
        <v>77</v>
      </c>
      <c r="G32" s="20" t="s">
        <v>78</v>
      </c>
      <c r="H32" s="62" t="s">
        <v>79</v>
      </c>
      <c r="I32" s="39"/>
      <c r="J32" s="50" t="s">
        <v>80</v>
      </c>
      <c r="K32" s="59">
        <v>192325</v>
      </c>
      <c r="L32" s="58"/>
      <c r="M32" s="41">
        <v>2</v>
      </c>
      <c r="N32" s="42" t="s">
        <v>15</v>
      </c>
    </row>
    <row r="33" spans="1:14" s="29" customFormat="1" ht="15" customHeight="1" x14ac:dyDescent="0.15">
      <c r="A33" s="34">
        <v>42597</v>
      </c>
      <c r="B33" s="35">
        <v>42605</v>
      </c>
      <c r="C33" s="36">
        <v>455</v>
      </c>
      <c r="D33" s="37"/>
      <c r="E33" s="32" t="s">
        <v>81</v>
      </c>
      <c r="F33" s="32" t="s">
        <v>65</v>
      </c>
      <c r="G33" s="20" t="s">
        <v>82</v>
      </c>
      <c r="H33" s="43" t="s">
        <v>83</v>
      </c>
      <c r="I33" s="39">
        <v>42619</v>
      </c>
      <c r="J33" s="44" t="s">
        <v>84</v>
      </c>
      <c r="K33" s="59">
        <v>0</v>
      </c>
      <c r="L33" s="58"/>
      <c r="M33" s="45"/>
      <c r="N33" s="42" t="s">
        <v>37</v>
      </c>
    </row>
    <row r="34" spans="1:14" s="29" customFormat="1" ht="15" customHeight="1" x14ac:dyDescent="0.15">
      <c r="A34" s="48">
        <v>42592</v>
      </c>
      <c r="B34" s="35">
        <v>42605</v>
      </c>
      <c r="C34" s="36">
        <v>455</v>
      </c>
      <c r="D34" s="37"/>
      <c r="E34" s="32" t="s">
        <v>85</v>
      </c>
      <c r="F34" s="32" t="s">
        <v>77</v>
      </c>
      <c r="G34" s="20" t="s">
        <v>86</v>
      </c>
      <c r="H34" s="43" t="s">
        <v>87</v>
      </c>
      <c r="I34" s="39"/>
      <c r="J34" s="44" t="s">
        <v>84</v>
      </c>
      <c r="K34" s="59">
        <v>57330</v>
      </c>
      <c r="L34" s="58"/>
      <c r="M34" s="45"/>
      <c r="N34" s="42" t="s">
        <v>37</v>
      </c>
    </row>
    <row r="35" spans="1:14" s="29" customFormat="1" ht="15" customHeight="1" x14ac:dyDescent="0.15">
      <c r="A35" s="46">
        <v>42594</v>
      </c>
      <c r="B35" s="35">
        <v>42599</v>
      </c>
      <c r="C35" s="36">
        <v>527</v>
      </c>
      <c r="D35" s="37"/>
      <c r="E35" s="32" t="s">
        <v>88</v>
      </c>
      <c r="F35" s="32"/>
      <c r="G35" s="20"/>
      <c r="H35" s="43"/>
      <c r="I35" s="44"/>
      <c r="J35" s="44"/>
      <c r="K35" s="59"/>
      <c r="L35" s="58"/>
      <c r="M35" s="58"/>
      <c r="N35" s="42" t="s">
        <v>88</v>
      </c>
    </row>
    <row r="36" spans="1:14" s="29" customFormat="1" ht="15" customHeight="1" x14ac:dyDescent="0.15">
      <c r="A36" s="49">
        <v>42594</v>
      </c>
      <c r="B36" s="35">
        <v>42598</v>
      </c>
      <c r="C36" s="36">
        <v>476</v>
      </c>
      <c r="D36" s="63"/>
      <c r="E36" s="32" t="s">
        <v>89</v>
      </c>
      <c r="F36" s="32" t="s">
        <v>90</v>
      </c>
      <c r="G36" s="20" t="s">
        <v>91</v>
      </c>
      <c r="H36" s="43" t="s">
        <v>92</v>
      </c>
      <c r="I36" s="39"/>
      <c r="J36" s="50" t="s">
        <v>93</v>
      </c>
      <c r="K36" s="59">
        <v>14800</v>
      </c>
      <c r="L36" s="58"/>
      <c r="M36" s="41">
        <v>2</v>
      </c>
      <c r="N36" s="42" t="s">
        <v>15</v>
      </c>
    </row>
    <row r="37" spans="1:14" s="29" customFormat="1" ht="15" customHeight="1" x14ac:dyDescent="0.15">
      <c r="A37" s="49">
        <v>42595</v>
      </c>
      <c r="B37" s="35">
        <v>42599</v>
      </c>
      <c r="C37" s="36"/>
      <c r="D37" s="37">
        <v>8</v>
      </c>
      <c r="E37" s="32" t="s">
        <v>31</v>
      </c>
      <c r="F37" s="32"/>
      <c r="G37" s="20"/>
      <c r="H37" s="43"/>
      <c r="I37" s="39">
        <v>42622</v>
      </c>
      <c r="J37" s="32" t="s">
        <v>94</v>
      </c>
      <c r="K37" s="59">
        <v>6491.24</v>
      </c>
      <c r="L37" s="58"/>
      <c r="M37" s="41">
        <v>7</v>
      </c>
      <c r="N37" s="42"/>
    </row>
    <row r="38" spans="1:14" s="29" customFormat="1" ht="15" customHeight="1" x14ac:dyDescent="0.15">
      <c r="A38" s="49">
        <v>42596</v>
      </c>
      <c r="B38" s="35">
        <v>42612</v>
      </c>
      <c r="C38" s="51"/>
      <c r="D38" s="37">
        <v>5</v>
      </c>
      <c r="E38" s="32" t="s">
        <v>44</v>
      </c>
      <c r="F38" s="64"/>
      <c r="G38" s="65" t="s">
        <v>95</v>
      </c>
      <c r="H38" s="66">
        <v>88826</v>
      </c>
      <c r="I38" s="67"/>
      <c r="J38" s="56" t="s">
        <v>96</v>
      </c>
      <c r="K38" s="68">
        <v>472.5</v>
      </c>
      <c r="L38" s="109"/>
      <c r="M38" s="57"/>
      <c r="N38" s="42" t="s">
        <v>37</v>
      </c>
    </row>
    <row r="39" spans="1:14" s="29" customFormat="1" ht="15" customHeight="1" x14ac:dyDescent="0.15">
      <c r="A39" s="46">
        <v>42594</v>
      </c>
      <c r="B39" s="35">
        <v>42598</v>
      </c>
      <c r="C39" s="36">
        <v>476</v>
      </c>
      <c r="D39" s="63"/>
      <c r="E39" s="32" t="s">
        <v>89</v>
      </c>
      <c r="F39" s="32" t="s">
        <v>90</v>
      </c>
      <c r="G39" s="38" t="s">
        <v>97</v>
      </c>
      <c r="H39" s="43" t="s">
        <v>98</v>
      </c>
      <c r="I39" s="39"/>
      <c r="J39" s="50" t="s">
        <v>93</v>
      </c>
      <c r="K39" s="59">
        <v>0</v>
      </c>
      <c r="L39" s="58"/>
      <c r="M39" s="41">
        <v>2</v>
      </c>
      <c r="N39" s="42" t="s">
        <v>15</v>
      </c>
    </row>
    <row r="40" spans="1:14" s="29" customFormat="1" ht="15" customHeight="1" x14ac:dyDescent="0.15">
      <c r="A40" s="49">
        <v>42597</v>
      </c>
      <c r="B40" s="35">
        <v>42598</v>
      </c>
      <c r="C40" s="36">
        <v>476</v>
      </c>
      <c r="D40" s="63"/>
      <c r="E40" s="32" t="s">
        <v>99</v>
      </c>
      <c r="F40" s="32" t="s">
        <v>100</v>
      </c>
      <c r="G40" s="20" t="s">
        <v>101</v>
      </c>
      <c r="H40" s="43" t="s">
        <v>102</v>
      </c>
      <c r="I40" s="39"/>
      <c r="J40" s="50" t="s">
        <v>93</v>
      </c>
      <c r="K40" s="59">
        <v>0</v>
      </c>
      <c r="L40" s="58"/>
      <c r="M40" s="41">
        <v>2</v>
      </c>
      <c r="N40" s="42" t="s">
        <v>15</v>
      </c>
    </row>
    <row r="41" spans="1:14" s="29" customFormat="1" ht="15" customHeight="1" x14ac:dyDescent="0.15">
      <c r="A41" s="46">
        <v>42597</v>
      </c>
      <c r="B41" s="35">
        <v>42600</v>
      </c>
      <c r="C41" s="36"/>
      <c r="D41" s="37">
        <v>8</v>
      </c>
      <c r="E41" s="50" t="s">
        <v>31</v>
      </c>
      <c r="F41" s="32"/>
      <c r="G41" s="20"/>
      <c r="H41" s="62"/>
      <c r="I41" s="39">
        <v>42622</v>
      </c>
      <c r="J41" s="32" t="s">
        <v>103</v>
      </c>
      <c r="K41" s="59">
        <v>598.08000000000004</v>
      </c>
      <c r="L41" s="58"/>
      <c r="M41" s="41">
        <v>7</v>
      </c>
      <c r="N41" s="42"/>
    </row>
    <row r="42" spans="1:14" s="29" customFormat="1" ht="15" customHeight="1" x14ac:dyDescent="0.15">
      <c r="A42" s="49">
        <v>42597</v>
      </c>
      <c r="B42" s="35">
        <v>42595</v>
      </c>
      <c r="C42" s="36" t="s">
        <v>104</v>
      </c>
      <c r="D42" s="37">
        <v>5</v>
      </c>
      <c r="E42" s="32" t="s">
        <v>44</v>
      </c>
      <c r="F42" s="32"/>
      <c r="G42" s="38"/>
      <c r="H42" s="38"/>
      <c r="I42" s="39"/>
      <c r="J42" s="50" t="s">
        <v>104</v>
      </c>
      <c r="K42" s="59">
        <v>5228.8</v>
      </c>
      <c r="L42" s="58"/>
      <c r="M42" s="58"/>
      <c r="N42" s="42" t="s">
        <v>37</v>
      </c>
    </row>
    <row r="43" spans="1:14" s="29" customFormat="1" ht="15" customHeight="1" x14ac:dyDescent="0.15">
      <c r="A43" s="49">
        <v>42597</v>
      </c>
      <c r="B43" s="35">
        <v>42623</v>
      </c>
      <c r="C43" s="51"/>
      <c r="D43" s="37">
        <v>9</v>
      </c>
      <c r="E43" s="50" t="s">
        <v>105</v>
      </c>
      <c r="F43" s="69"/>
      <c r="G43" s="70"/>
      <c r="H43" s="66"/>
      <c r="I43" s="39"/>
      <c r="J43" s="56" t="s">
        <v>106</v>
      </c>
      <c r="K43" s="59">
        <v>6669.7</v>
      </c>
      <c r="L43" s="58"/>
      <c r="M43" s="57"/>
      <c r="N43" s="42" t="s">
        <v>107</v>
      </c>
    </row>
    <row r="44" spans="1:14" s="29" customFormat="1" ht="15" customHeight="1" x14ac:dyDescent="0.15">
      <c r="A44" s="46">
        <v>42598</v>
      </c>
      <c r="B44" s="35">
        <v>42600</v>
      </c>
      <c r="C44" s="63"/>
      <c r="D44" s="37">
        <v>9</v>
      </c>
      <c r="E44" s="50" t="s">
        <v>105</v>
      </c>
      <c r="F44" s="32"/>
      <c r="G44" s="20"/>
      <c r="H44" s="43"/>
      <c r="I44" s="32"/>
      <c r="J44" s="32" t="s">
        <v>108</v>
      </c>
      <c r="K44" s="59">
        <v>1029.48</v>
      </c>
      <c r="L44" s="58"/>
      <c r="M44" s="58"/>
      <c r="N44" s="42" t="s">
        <v>107</v>
      </c>
    </row>
    <row r="45" spans="1:14" s="29" customFormat="1" ht="15" customHeight="1" x14ac:dyDescent="0.15">
      <c r="A45" s="46">
        <v>42594</v>
      </c>
      <c r="B45" s="35">
        <v>42598</v>
      </c>
      <c r="C45" s="36">
        <v>476</v>
      </c>
      <c r="D45" s="63"/>
      <c r="E45" s="32" t="s">
        <v>99</v>
      </c>
      <c r="F45" s="32" t="s">
        <v>100</v>
      </c>
      <c r="G45" s="38" t="s">
        <v>101</v>
      </c>
      <c r="H45" s="43" t="s">
        <v>102</v>
      </c>
      <c r="I45" s="39"/>
      <c r="J45" s="50" t="s">
        <v>93</v>
      </c>
      <c r="K45" s="59">
        <v>0</v>
      </c>
      <c r="L45" s="58"/>
      <c r="M45" s="41">
        <v>2</v>
      </c>
      <c r="N45" s="42" t="s">
        <v>15</v>
      </c>
    </row>
    <row r="46" spans="1:14" s="29" customFormat="1" ht="15" customHeight="1" x14ac:dyDescent="0.15">
      <c r="A46" s="46">
        <v>42598</v>
      </c>
      <c r="B46" s="35">
        <v>42621</v>
      </c>
      <c r="C46" s="51"/>
      <c r="D46" s="37">
        <v>5</v>
      </c>
      <c r="E46" s="50" t="s">
        <v>44</v>
      </c>
      <c r="F46" s="50"/>
      <c r="G46" s="71"/>
      <c r="H46" s="54"/>
      <c r="I46" s="55"/>
      <c r="J46" s="56" t="s">
        <v>109</v>
      </c>
      <c r="K46" s="59">
        <v>-510</v>
      </c>
      <c r="L46" s="58"/>
      <c r="M46" s="57"/>
      <c r="N46" s="42" t="s">
        <v>37</v>
      </c>
    </row>
    <row r="47" spans="1:14" s="29" customFormat="1" ht="15" customHeight="1" x14ac:dyDescent="0.15">
      <c r="A47" s="46">
        <v>42598</v>
      </c>
      <c r="B47" s="35">
        <v>42612</v>
      </c>
      <c r="C47" s="51"/>
      <c r="D47" s="37">
        <v>5</v>
      </c>
      <c r="E47" s="32" t="s">
        <v>44</v>
      </c>
      <c r="F47" s="64"/>
      <c r="G47" s="72" t="s">
        <v>95</v>
      </c>
      <c r="H47" s="66">
        <v>88827</v>
      </c>
      <c r="I47" s="67"/>
      <c r="J47" s="56" t="s">
        <v>110</v>
      </c>
      <c r="K47" s="68">
        <v>2244.38</v>
      </c>
      <c r="L47" s="109"/>
      <c r="M47" s="57"/>
      <c r="N47" s="42" t="s">
        <v>37</v>
      </c>
    </row>
    <row r="48" spans="1:14" s="29" customFormat="1" ht="15" customHeight="1" x14ac:dyDescent="0.15">
      <c r="A48" s="49">
        <v>42599</v>
      </c>
      <c r="B48" s="35">
        <v>42601</v>
      </c>
      <c r="C48" s="36"/>
      <c r="D48" s="37">
        <v>10</v>
      </c>
      <c r="E48" s="50" t="s">
        <v>111</v>
      </c>
      <c r="F48" s="32"/>
      <c r="G48" s="20"/>
      <c r="H48" s="43"/>
      <c r="I48" s="32"/>
      <c r="J48" s="32" t="s">
        <v>112</v>
      </c>
      <c r="K48" s="59">
        <v>2444.48</v>
      </c>
      <c r="L48" s="58"/>
      <c r="M48" s="58"/>
      <c r="N48" s="42" t="s">
        <v>113</v>
      </c>
    </row>
    <row r="49" spans="1:25" s="29" customFormat="1" ht="15" customHeight="1" x14ac:dyDescent="0.15">
      <c r="A49" s="46">
        <v>42599</v>
      </c>
      <c r="B49" s="35">
        <v>42600</v>
      </c>
      <c r="C49" s="36"/>
      <c r="D49" s="37">
        <v>9</v>
      </c>
      <c r="E49" s="50" t="s">
        <v>105</v>
      </c>
      <c r="F49" s="32"/>
      <c r="G49" s="38"/>
      <c r="H49" s="43"/>
      <c r="I49" s="32"/>
      <c r="J49" s="32" t="s">
        <v>114</v>
      </c>
      <c r="K49" s="59">
        <v>4415.24</v>
      </c>
      <c r="L49" s="58"/>
      <c r="M49" s="58"/>
      <c r="N49" s="42" t="s">
        <v>107</v>
      </c>
    </row>
    <row r="50" spans="1:25" s="29" customFormat="1" ht="15" customHeight="1" x14ac:dyDescent="0.15">
      <c r="A50" s="49">
        <v>42599</v>
      </c>
      <c r="B50" s="35">
        <v>42601</v>
      </c>
      <c r="C50" s="36"/>
      <c r="D50" s="37">
        <v>8</v>
      </c>
      <c r="E50" s="50" t="s">
        <v>31</v>
      </c>
      <c r="F50" s="32"/>
      <c r="G50" s="20"/>
      <c r="H50" s="43"/>
      <c r="I50" s="39">
        <v>42622</v>
      </c>
      <c r="J50" s="56" t="s">
        <v>115</v>
      </c>
      <c r="K50" s="59">
        <v>299.04000000000002</v>
      </c>
      <c r="L50" s="58"/>
      <c r="M50" s="41">
        <v>7</v>
      </c>
      <c r="N50" s="42"/>
    </row>
    <row r="51" spans="1:25" s="29" customFormat="1" ht="15" customHeight="1" x14ac:dyDescent="0.15">
      <c r="A51" s="46">
        <v>42598</v>
      </c>
      <c r="B51" s="35">
        <v>42598</v>
      </c>
      <c r="C51" s="36">
        <v>476</v>
      </c>
      <c r="D51" s="37"/>
      <c r="E51" s="32" t="s">
        <v>89</v>
      </c>
      <c r="F51" s="32" t="s">
        <v>90</v>
      </c>
      <c r="G51" s="38" t="s">
        <v>116</v>
      </c>
      <c r="H51" s="43" t="s">
        <v>117</v>
      </c>
      <c r="I51" s="39"/>
      <c r="J51" s="50" t="s">
        <v>93</v>
      </c>
      <c r="K51" s="59">
        <v>0</v>
      </c>
      <c r="L51" s="58"/>
      <c r="M51" s="41">
        <v>2</v>
      </c>
      <c r="N51" s="42" t="s">
        <v>15</v>
      </c>
    </row>
    <row r="52" spans="1:25" s="29" customFormat="1" ht="15" customHeight="1" x14ac:dyDescent="0.15">
      <c r="A52" s="48">
        <v>42595</v>
      </c>
      <c r="B52" s="35">
        <v>42599</v>
      </c>
      <c r="C52" s="36">
        <v>477</v>
      </c>
      <c r="D52" s="37"/>
      <c r="E52" s="32" t="s">
        <v>89</v>
      </c>
      <c r="F52" s="32" t="s">
        <v>90</v>
      </c>
      <c r="G52" s="20" t="s">
        <v>118</v>
      </c>
      <c r="H52" s="43" t="s">
        <v>119</v>
      </c>
      <c r="I52" s="39"/>
      <c r="J52" s="32" t="s">
        <v>120</v>
      </c>
      <c r="K52" s="59">
        <v>3404</v>
      </c>
      <c r="L52" s="58"/>
      <c r="M52" s="41">
        <v>2</v>
      </c>
      <c r="N52" s="42" t="s">
        <v>15</v>
      </c>
      <c r="U52" s="25"/>
      <c r="W52" s="73"/>
      <c r="X52" s="74"/>
      <c r="Y52" s="74"/>
    </row>
    <row r="53" spans="1:25" s="29" customFormat="1" ht="15" customHeight="1" x14ac:dyDescent="0.15">
      <c r="A53" s="34">
        <v>42601</v>
      </c>
      <c r="B53" s="35">
        <v>42599</v>
      </c>
      <c r="C53" s="36">
        <v>477</v>
      </c>
      <c r="D53" s="37"/>
      <c r="E53" s="32" t="s">
        <v>99</v>
      </c>
      <c r="F53" s="32" t="s">
        <v>100</v>
      </c>
      <c r="G53" s="38" t="s">
        <v>121</v>
      </c>
      <c r="H53" s="43">
        <v>18</v>
      </c>
      <c r="I53" s="67"/>
      <c r="J53" s="44" t="s">
        <v>120</v>
      </c>
      <c r="K53" s="59">
        <v>0</v>
      </c>
      <c r="L53" s="58"/>
      <c r="M53" s="41">
        <v>2</v>
      </c>
      <c r="N53" s="42" t="s">
        <v>15</v>
      </c>
      <c r="U53" s="25"/>
      <c r="W53" s="73"/>
      <c r="X53" s="74"/>
      <c r="Y53" s="74"/>
    </row>
    <row r="54" spans="1:25" s="29" customFormat="1" ht="15" customHeight="1" x14ac:dyDescent="0.15">
      <c r="A54" s="48">
        <v>42601</v>
      </c>
      <c r="B54" s="35">
        <v>42601</v>
      </c>
      <c r="C54" s="36">
        <v>477</v>
      </c>
      <c r="D54" s="37"/>
      <c r="E54" s="50" t="s">
        <v>44</v>
      </c>
      <c r="F54" s="32" t="s">
        <v>45</v>
      </c>
      <c r="G54" s="38"/>
      <c r="H54" s="43">
        <v>3</v>
      </c>
      <c r="I54" s="67"/>
      <c r="J54" s="44" t="s">
        <v>122</v>
      </c>
      <c r="K54" s="59">
        <v>1074</v>
      </c>
      <c r="L54" s="58"/>
      <c r="M54" s="41">
        <v>2</v>
      </c>
      <c r="N54" s="42" t="s">
        <v>15</v>
      </c>
      <c r="U54" s="25"/>
      <c r="W54" s="73"/>
      <c r="X54" s="74"/>
      <c r="Y54" s="74"/>
    </row>
    <row r="55" spans="1:25" s="29" customFormat="1" ht="15" customHeight="1" x14ac:dyDescent="0.15">
      <c r="A55" s="34">
        <v>42601</v>
      </c>
      <c r="B55" s="35">
        <v>42599</v>
      </c>
      <c r="C55" s="36">
        <v>551</v>
      </c>
      <c r="D55" s="37"/>
      <c r="E55" s="32" t="s">
        <v>44</v>
      </c>
      <c r="F55" s="32" t="s">
        <v>45</v>
      </c>
      <c r="G55" s="20" t="s">
        <v>123</v>
      </c>
      <c r="H55" s="38">
        <v>1.5</v>
      </c>
      <c r="I55" s="39">
        <v>42608</v>
      </c>
      <c r="J55" s="71" t="s">
        <v>124</v>
      </c>
      <c r="K55" s="59">
        <v>537</v>
      </c>
      <c r="L55" s="58"/>
      <c r="M55" s="41">
        <v>3</v>
      </c>
      <c r="N55" s="42" t="s">
        <v>15</v>
      </c>
    </row>
    <row r="56" spans="1:25" s="29" customFormat="1" ht="15" customHeight="1" x14ac:dyDescent="0.15">
      <c r="A56" s="48">
        <v>42601</v>
      </c>
      <c r="B56" s="35">
        <v>42599</v>
      </c>
      <c r="C56" s="36">
        <v>552</v>
      </c>
      <c r="D56" s="37"/>
      <c r="E56" s="32" t="s">
        <v>44</v>
      </c>
      <c r="F56" s="32" t="s">
        <v>45</v>
      </c>
      <c r="G56" s="38" t="s">
        <v>125</v>
      </c>
      <c r="H56" s="38">
        <v>8.5</v>
      </c>
      <c r="I56" s="39">
        <v>42608</v>
      </c>
      <c r="J56" s="50" t="s">
        <v>126</v>
      </c>
      <c r="K56" s="59">
        <v>3043</v>
      </c>
      <c r="L56" s="58"/>
      <c r="M56" s="41">
        <v>3</v>
      </c>
      <c r="N56" s="42" t="s">
        <v>15</v>
      </c>
    </row>
    <row r="57" spans="1:25" s="29" customFormat="1" ht="15" customHeight="1" x14ac:dyDescent="0.15">
      <c r="A57" s="34">
        <v>42599</v>
      </c>
      <c r="B57" s="35">
        <v>42599</v>
      </c>
      <c r="C57" s="36">
        <v>553</v>
      </c>
      <c r="D57" s="37"/>
      <c r="E57" s="32" t="s">
        <v>44</v>
      </c>
      <c r="F57" s="32" t="s">
        <v>45</v>
      </c>
      <c r="G57" s="20" t="s">
        <v>127</v>
      </c>
      <c r="H57" s="38" t="s">
        <v>128</v>
      </c>
      <c r="I57" s="39">
        <v>42608</v>
      </c>
      <c r="J57" s="71" t="s">
        <v>129</v>
      </c>
      <c r="K57" s="59">
        <v>2864</v>
      </c>
      <c r="L57" s="58"/>
      <c r="M57" s="41">
        <v>3</v>
      </c>
      <c r="N57" s="42" t="s">
        <v>15</v>
      </c>
    </row>
    <row r="58" spans="1:25" s="29" customFormat="1" ht="15" customHeight="1" x14ac:dyDescent="0.15">
      <c r="A58" s="48">
        <v>42600</v>
      </c>
      <c r="B58" s="35">
        <v>42599</v>
      </c>
      <c r="C58" s="36">
        <v>554</v>
      </c>
      <c r="D58" s="37"/>
      <c r="E58" s="32" t="s">
        <v>44</v>
      </c>
      <c r="F58" s="32" t="s">
        <v>45</v>
      </c>
      <c r="G58" s="20" t="s">
        <v>130</v>
      </c>
      <c r="H58" s="38">
        <v>10</v>
      </c>
      <c r="I58" s="39">
        <v>42608</v>
      </c>
      <c r="J58" s="71" t="s">
        <v>131</v>
      </c>
      <c r="K58" s="59">
        <v>3580</v>
      </c>
      <c r="L58" s="58"/>
      <c r="M58" s="41">
        <v>3</v>
      </c>
      <c r="N58" s="42" t="s">
        <v>15</v>
      </c>
    </row>
    <row r="59" spans="1:25" s="29" customFormat="1" ht="15" customHeight="1" x14ac:dyDescent="0.15">
      <c r="A59" s="34">
        <v>42600</v>
      </c>
      <c r="B59" s="35">
        <v>42602</v>
      </c>
      <c r="C59" s="36"/>
      <c r="D59" s="37">
        <v>8</v>
      </c>
      <c r="E59" s="32" t="s">
        <v>31</v>
      </c>
      <c r="F59" s="32"/>
      <c r="G59" s="20"/>
      <c r="H59" s="43"/>
      <c r="I59" s="39">
        <v>42622</v>
      </c>
      <c r="J59" s="44" t="s">
        <v>132</v>
      </c>
      <c r="K59" s="59">
        <v>448.56</v>
      </c>
      <c r="L59" s="58"/>
      <c r="M59" s="41">
        <v>7</v>
      </c>
      <c r="N59" s="42"/>
    </row>
    <row r="60" spans="1:25" s="29" customFormat="1" ht="15" customHeight="1" x14ac:dyDescent="0.15">
      <c r="A60" s="48">
        <v>42600</v>
      </c>
      <c r="B60" s="35">
        <v>42602</v>
      </c>
      <c r="C60" s="36"/>
      <c r="D60" s="37">
        <v>8</v>
      </c>
      <c r="E60" s="32" t="s">
        <v>31</v>
      </c>
      <c r="F60" s="32"/>
      <c r="G60" s="38"/>
      <c r="H60" s="43"/>
      <c r="I60" s="39">
        <v>42622</v>
      </c>
      <c r="J60" s="44" t="s">
        <v>133</v>
      </c>
      <c r="K60" s="59">
        <v>3457.2</v>
      </c>
      <c r="L60" s="58"/>
      <c r="M60" s="41">
        <v>7</v>
      </c>
      <c r="N60" s="42"/>
      <c r="U60" s="25"/>
    </row>
    <row r="61" spans="1:25" s="29" customFormat="1" ht="15" customHeight="1" x14ac:dyDescent="0.15">
      <c r="A61" s="34">
        <v>42600</v>
      </c>
      <c r="B61" s="35">
        <v>42602</v>
      </c>
      <c r="C61" s="36"/>
      <c r="D61" s="37">
        <v>10</v>
      </c>
      <c r="E61" s="32" t="s">
        <v>111</v>
      </c>
      <c r="F61" s="32"/>
      <c r="G61" s="38"/>
      <c r="H61" s="43"/>
      <c r="I61" s="63"/>
      <c r="J61" s="44" t="s">
        <v>134</v>
      </c>
      <c r="K61" s="59">
        <v>916.68</v>
      </c>
      <c r="L61" s="58"/>
      <c r="M61" s="41"/>
      <c r="N61" s="42" t="s">
        <v>113</v>
      </c>
    </row>
    <row r="62" spans="1:25" s="29" customFormat="1" ht="15" customHeight="1" x14ac:dyDescent="0.15">
      <c r="A62" s="48">
        <v>42602</v>
      </c>
      <c r="B62" s="35">
        <v>42602</v>
      </c>
      <c r="C62" s="36">
        <v>556</v>
      </c>
      <c r="D62" s="37"/>
      <c r="E62" s="32" t="s">
        <v>44</v>
      </c>
      <c r="F62" s="32" t="s">
        <v>45</v>
      </c>
      <c r="G62" s="20" t="s">
        <v>135</v>
      </c>
      <c r="H62" s="43">
        <v>8</v>
      </c>
      <c r="I62" s="67"/>
      <c r="J62" s="44" t="s">
        <v>136</v>
      </c>
      <c r="K62" s="59">
        <v>2864</v>
      </c>
      <c r="L62" s="58"/>
      <c r="M62" s="41">
        <v>2</v>
      </c>
      <c r="N62" s="42" t="s">
        <v>15</v>
      </c>
    </row>
    <row r="63" spans="1:25" s="29" customFormat="1" ht="15" customHeight="1" x14ac:dyDescent="0.15">
      <c r="A63" s="34">
        <v>42602</v>
      </c>
      <c r="B63" s="35">
        <v>42602</v>
      </c>
      <c r="C63" s="36">
        <v>557</v>
      </c>
      <c r="D63" s="37"/>
      <c r="E63" s="32" t="s">
        <v>44</v>
      </c>
      <c r="F63" s="32" t="s">
        <v>45</v>
      </c>
      <c r="G63" s="20" t="s">
        <v>137</v>
      </c>
      <c r="H63" s="43">
        <v>5</v>
      </c>
      <c r="I63" s="67"/>
      <c r="J63" s="44" t="s">
        <v>138</v>
      </c>
      <c r="K63" s="59">
        <v>1790</v>
      </c>
      <c r="L63" s="58"/>
      <c r="M63" s="41">
        <v>2</v>
      </c>
      <c r="N63" s="42" t="s">
        <v>15</v>
      </c>
    </row>
    <row r="64" spans="1:25" s="29" customFormat="1" ht="15" customHeight="1" x14ac:dyDescent="0.15">
      <c r="A64" s="34">
        <v>42602</v>
      </c>
      <c r="B64" s="35">
        <v>42602</v>
      </c>
      <c r="C64" s="36">
        <v>558</v>
      </c>
      <c r="D64" s="37"/>
      <c r="E64" s="50" t="s">
        <v>44</v>
      </c>
      <c r="F64" s="32" t="s">
        <v>45</v>
      </c>
      <c r="G64" s="20" t="s">
        <v>139</v>
      </c>
      <c r="H64" s="43">
        <v>1</v>
      </c>
      <c r="I64" s="44"/>
      <c r="J64" s="63"/>
      <c r="K64" s="59"/>
      <c r="L64" s="58"/>
      <c r="M64" s="58"/>
      <c r="N64" s="42" t="s">
        <v>140</v>
      </c>
    </row>
    <row r="65" spans="1:21" s="29" customFormat="1" ht="15" customHeight="1" x14ac:dyDescent="0.15">
      <c r="A65" s="34">
        <v>42602</v>
      </c>
      <c r="B65" s="35">
        <v>42602</v>
      </c>
      <c r="C65" s="36">
        <v>558</v>
      </c>
      <c r="D65" s="37"/>
      <c r="E65" s="32" t="s">
        <v>44</v>
      </c>
      <c r="F65" s="32" t="s">
        <v>45</v>
      </c>
      <c r="G65" s="20" t="s">
        <v>141</v>
      </c>
      <c r="H65" s="43">
        <v>4</v>
      </c>
      <c r="I65" s="67"/>
      <c r="J65" s="44" t="s">
        <v>142</v>
      </c>
      <c r="K65" s="59">
        <v>1432</v>
      </c>
      <c r="L65" s="58"/>
      <c r="M65" s="41">
        <v>2</v>
      </c>
      <c r="N65" s="42" t="s">
        <v>15</v>
      </c>
      <c r="U65" s="25"/>
    </row>
    <row r="66" spans="1:21" s="29" customFormat="1" ht="15" customHeight="1" x14ac:dyDescent="0.15">
      <c r="A66" s="34">
        <v>42600</v>
      </c>
      <c r="B66" s="31">
        <v>42600</v>
      </c>
      <c r="C66" s="36" t="s">
        <v>143</v>
      </c>
      <c r="D66" s="17">
        <v>5</v>
      </c>
      <c r="E66" s="32" t="s">
        <v>44</v>
      </c>
      <c r="F66" s="75"/>
      <c r="G66" s="76"/>
      <c r="H66" s="76"/>
      <c r="I66" s="75"/>
      <c r="J66" s="75" t="s">
        <v>143</v>
      </c>
      <c r="K66" s="59">
        <v>3099.36</v>
      </c>
      <c r="L66" s="58"/>
      <c r="M66" s="77"/>
      <c r="N66" s="42" t="s">
        <v>37</v>
      </c>
      <c r="U66" s="25"/>
    </row>
    <row r="67" spans="1:21" s="29" customFormat="1" ht="15" customHeight="1" x14ac:dyDescent="0.15">
      <c r="A67" s="34">
        <v>42600</v>
      </c>
      <c r="B67" s="35">
        <v>42601</v>
      </c>
      <c r="C67" s="36"/>
      <c r="D67" s="37">
        <v>9</v>
      </c>
      <c r="E67" s="50" t="s">
        <v>105</v>
      </c>
      <c r="F67" s="32"/>
      <c r="G67" s="38"/>
      <c r="H67" s="43"/>
      <c r="I67" s="37"/>
      <c r="J67" s="56" t="s">
        <v>144</v>
      </c>
      <c r="K67" s="59">
        <v>1029.48</v>
      </c>
      <c r="L67" s="58"/>
      <c r="M67" s="58"/>
      <c r="N67" s="42" t="s">
        <v>107</v>
      </c>
    </row>
    <row r="68" spans="1:21" s="29" customFormat="1" ht="15" customHeight="1" x14ac:dyDescent="0.15">
      <c r="A68" s="34">
        <v>42601</v>
      </c>
      <c r="B68" s="35">
        <v>42604</v>
      </c>
      <c r="C68" s="78"/>
      <c r="D68" s="37">
        <v>9</v>
      </c>
      <c r="E68" s="32" t="s">
        <v>105</v>
      </c>
      <c r="F68" s="32"/>
      <c r="G68" s="38"/>
      <c r="H68" s="43"/>
      <c r="I68" s="63"/>
      <c r="J68" s="44" t="s">
        <v>145</v>
      </c>
      <c r="K68" s="59">
        <v>2058.96</v>
      </c>
      <c r="L68" s="58"/>
      <c r="M68" s="41"/>
      <c r="N68" s="42" t="s">
        <v>107</v>
      </c>
    </row>
    <row r="69" spans="1:21" s="29" customFormat="1" ht="15" customHeight="1" x14ac:dyDescent="0.15">
      <c r="A69" s="34">
        <v>42601</v>
      </c>
      <c r="B69" s="35">
        <v>42621</v>
      </c>
      <c r="C69" s="63"/>
      <c r="D69" s="37">
        <v>5</v>
      </c>
      <c r="E69" s="50" t="s">
        <v>44</v>
      </c>
      <c r="F69" s="79"/>
      <c r="G69" s="80"/>
      <c r="H69" s="81"/>
      <c r="I69" s="82"/>
      <c r="J69" s="83" t="s">
        <v>146</v>
      </c>
      <c r="K69" s="59">
        <v>-204</v>
      </c>
      <c r="L69" s="58"/>
      <c r="M69" s="57"/>
      <c r="N69" s="42" t="s">
        <v>37</v>
      </c>
    </row>
    <row r="70" spans="1:21" s="29" customFormat="1" ht="15" customHeight="1" x14ac:dyDescent="0.15">
      <c r="A70" s="34">
        <v>42601</v>
      </c>
      <c r="B70" s="35">
        <v>42602</v>
      </c>
      <c r="C70" s="78">
        <v>558</v>
      </c>
      <c r="D70" s="37"/>
      <c r="E70" s="32" t="s">
        <v>44</v>
      </c>
      <c r="F70" s="32" t="s">
        <v>45</v>
      </c>
      <c r="G70" s="38" t="s">
        <v>147</v>
      </c>
      <c r="H70" s="43">
        <v>0</v>
      </c>
      <c r="I70" s="67"/>
      <c r="J70" s="44" t="s">
        <v>142</v>
      </c>
      <c r="K70" s="59">
        <v>0</v>
      </c>
      <c r="L70" s="58"/>
      <c r="M70" s="41">
        <v>2</v>
      </c>
      <c r="N70" s="42" t="s">
        <v>15</v>
      </c>
    </row>
    <row r="71" spans="1:21" s="29" customFormat="1" ht="15" customHeight="1" x14ac:dyDescent="0.15">
      <c r="A71" s="34">
        <v>42601</v>
      </c>
      <c r="B71" s="35">
        <v>42602</v>
      </c>
      <c r="C71" s="78">
        <v>558</v>
      </c>
      <c r="D71" s="37"/>
      <c r="E71" s="32" t="s">
        <v>44</v>
      </c>
      <c r="F71" s="32" t="s">
        <v>45</v>
      </c>
      <c r="G71" s="38" t="s">
        <v>148</v>
      </c>
      <c r="H71" s="43">
        <v>0</v>
      </c>
      <c r="I71" s="67"/>
      <c r="J71" s="44" t="s">
        <v>142</v>
      </c>
      <c r="K71" s="59">
        <v>0</v>
      </c>
      <c r="L71" s="58"/>
      <c r="M71" s="41">
        <v>2</v>
      </c>
      <c r="N71" s="42" t="s">
        <v>15</v>
      </c>
    </row>
    <row r="72" spans="1:21" s="29" customFormat="1" ht="15" customHeight="1" x14ac:dyDescent="0.15">
      <c r="A72" s="34">
        <v>42605</v>
      </c>
      <c r="B72" s="35">
        <v>42604</v>
      </c>
      <c r="C72" s="78">
        <v>559</v>
      </c>
      <c r="D72" s="37"/>
      <c r="E72" s="32" t="s">
        <v>44</v>
      </c>
      <c r="F72" s="75" t="s">
        <v>45</v>
      </c>
      <c r="G72" s="76" t="s">
        <v>149</v>
      </c>
      <c r="H72" s="84">
        <v>10</v>
      </c>
      <c r="I72" s="85"/>
      <c r="J72" s="86" t="s">
        <v>36</v>
      </c>
      <c r="K72" s="59">
        <v>3580</v>
      </c>
      <c r="L72" s="58"/>
      <c r="M72" s="41"/>
      <c r="N72" s="42" t="s">
        <v>37</v>
      </c>
    </row>
    <row r="73" spans="1:21" s="29" customFormat="1" ht="15" customHeight="1" x14ac:dyDescent="0.15">
      <c r="A73" s="34">
        <v>42605</v>
      </c>
      <c r="B73" s="35">
        <v>42604</v>
      </c>
      <c r="C73" s="78">
        <v>559</v>
      </c>
      <c r="D73" s="37"/>
      <c r="E73" s="32" t="s">
        <v>44</v>
      </c>
      <c r="F73" s="32" t="s">
        <v>45</v>
      </c>
      <c r="G73" s="38" t="s">
        <v>150</v>
      </c>
      <c r="H73" s="43">
        <v>0</v>
      </c>
      <c r="I73" s="85">
        <v>42621</v>
      </c>
      <c r="J73" s="44" t="s">
        <v>36</v>
      </c>
      <c r="K73" s="59">
        <v>0</v>
      </c>
      <c r="L73" s="58"/>
      <c r="M73" s="41"/>
      <c r="N73" s="42" t="s">
        <v>68</v>
      </c>
    </row>
    <row r="74" spans="1:21" s="29" customFormat="1" ht="15" customHeight="1" x14ac:dyDescent="0.15">
      <c r="A74" s="87">
        <v>42605</v>
      </c>
      <c r="B74" s="35">
        <v>42604</v>
      </c>
      <c r="C74" s="78">
        <v>559</v>
      </c>
      <c r="D74" s="37"/>
      <c r="E74" s="32" t="s">
        <v>44</v>
      </c>
      <c r="F74" s="32" t="s">
        <v>45</v>
      </c>
      <c r="G74" s="38" t="s">
        <v>151</v>
      </c>
      <c r="H74" s="43">
        <v>0</v>
      </c>
      <c r="I74" s="85">
        <v>42621</v>
      </c>
      <c r="J74" s="44" t="s">
        <v>36</v>
      </c>
      <c r="K74" s="59">
        <v>0</v>
      </c>
      <c r="L74" s="58"/>
      <c r="M74" s="41"/>
      <c r="N74" s="42" t="s">
        <v>68</v>
      </c>
    </row>
    <row r="75" spans="1:21" s="29" customFormat="1" ht="15" customHeight="1" x14ac:dyDescent="0.15">
      <c r="A75" s="46">
        <v>42605</v>
      </c>
      <c r="B75" s="35">
        <v>42604</v>
      </c>
      <c r="C75" s="78">
        <v>559</v>
      </c>
      <c r="D75" s="37"/>
      <c r="E75" s="32" t="s">
        <v>44</v>
      </c>
      <c r="F75" s="32" t="s">
        <v>45</v>
      </c>
      <c r="G75" s="38" t="s">
        <v>152</v>
      </c>
      <c r="H75" s="43">
        <v>0</v>
      </c>
      <c r="I75" s="85">
        <v>42621</v>
      </c>
      <c r="J75" s="44" t="s">
        <v>36</v>
      </c>
      <c r="K75" s="59">
        <v>0</v>
      </c>
      <c r="L75" s="58"/>
      <c r="M75" s="41"/>
      <c r="N75" s="42" t="s">
        <v>68</v>
      </c>
    </row>
    <row r="76" spans="1:21" s="29" customFormat="1" x14ac:dyDescent="0.15">
      <c r="A76" s="88">
        <v>42604</v>
      </c>
      <c r="B76" s="35">
        <v>42606</v>
      </c>
      <c r="C76" s="89"/>
      <c r="D76" s="37">
        <v>8</v>
      </c>
      <c r="E76" s="32" t="s">
        <v>31</v>
      </c>
      <c r="F76" s="32"/>
      <c r="G76" s="72"/>
      <c r="H76" s="90"/>
      <c r="I76" s="91">
        <v>42622</v>
      </c>
      <c r="J76" s="92" t="s">
        <v>153</v>
      </c>
      <c r="K76" s="58">
        <v>1208</v>
      </c>
      <c r="L76" s="58"/>
      <c r="M76" s="45">
        <v>7</v>
      </c>
      <c r="N76" s="42"/>
    </row>
    <row r="77" spans="1:21" x14ac:dyDescent="0.15">
      <c r="A77" s="93">
        <v>42604</v>
      </c>
      <c r="B77" s="35">
        <v>42606</v>
      </c>
      <c r="C77" s="89"/>
      <c r="D77" s="37">
        <v>4</v>
      </c>
      <c r="E77" s="32" t="s">
        <v>154</v>
      </c>
      <c r="F77" s="32"/>
      <c r="G77" s="72"/>
      <c r="H77" s="94"/>
      <c r="I77" s="95"/>
      <c r="J77" s="92" t="s">
        <v>155</v>
      </c>
      <c r="K77" s="58">
        <v>4204.8</v>
      </c>
      <c r="L77" s="58"/>
      <c r="M77" s="45"/>
      <c r="N77" s="42" t="s">
        <v>156</v>
      </c>
    </row>
    <row r="78" spans="1:21" x14ac:dyDescent="0.15">
      <c r="A78" s="96">
        <v>42605</v>
      </c>
      <c r="B78" s="35">
        <v>42606</v>
      </c>
      <c r="C78" s="97" t="s">
        <v>157</v>
      </c>
      <c r="D78" s="37">
        <v>4</v>
      </c>
      <c r="E78" s="32" t="s">
        <v>154</v>
      </c>
      <c r="F78" s="32"/>
      <c r="G78" s="72"/>
      <c r="H78" s="94"/>
      <c r="I78" s="91"/>
      <c r="J78" s="92" t="s">
        <v>157</v>
      </c>
      <c r="K78" s="58">
        <v>3457.2</v>
      </c>
      <c r="L78" s="58"/>
      <c r="M78" s="45"/>
      <c r="N78" s="42" t="s">
        <v>156</v>
      </c>
    </row>
    <row r="79" spans="1:21" s="29" customFormat="1" x14ac:dyDescent="0.15">
      <c r="A79" s="88">
        <v>42602</v>
      </c>
      <c r="B79" s="35">
        <v>42607</v>
      </c>
      <c r="C79" s="97" t="s">
        <v>158</v>
      </c>
      <c r="D79" s="37">
        <v>13</v>
      </c>
      <c r="E79" s="32" t="s">
        <v>159</v>
      </c>
      <c r="F79" s="32"/>
      <c r="G79" s="72"/>
      <c r="H79" s="90"/>
      <c r="I79" s="95"/>
      <c r="J79" s="98" t="s">
        <v>158</v>
      </c>
      <c r="K79" s="58">
        <v>748.64</v>
      </c>
      <c r="L79" s="58"/>
      <c r="M79" s="45"/>
      <c r="N79" s="42" t="s">
        <v>160</v>
      </c>
    </row>
    <row r="80" spans="1:21" s="29" customFormat="1" x14ac:dyDescent="0.15">
      <c r="A80" s="88">
        <v>42604</v>
      </c>
      <c r="B80" s="35">
        <v>42607</v>
      </c>
      <c r="C80" s="97" t="s">
        <v>161</v>
      </c>
      <c r="D80" s="37">
        <v>13</v>
      </c>
      <c r="E80" s="32" t="s">
        <v>159</v>
      </c>
      <c r="F80" s="32"/>
      <c r="G80" s="72"/>
      <c r="H80" s="99"/>
      <c r="I80" s="100"/>
      <c r="J80" s="73" t="s">
        <v>161</v>
      </c>
      <c r="K80" s="101">
        <v>3743.2</v>
      </c>
      <c r="L80" s="101"/>
      <c r="M80" s="57"/>
      <c r="N80" s="42" t="s">
        <v>160</v>
      </c>
    </row>
    <row r="81" spans="1:14" s="29" customFormat="1" x14ac:dyDescent="0.15">
      <c r="A81" s="88">
        <v>42605</v>
      </c>
      <c r="B81" s="35">
        <v>42609</v>
      </c>
      <c r="C81" s="97"/>
      <c r="D81" s="37">
        <v>13</v>
      </c>
      <c r="E81" s="32" t="s">
        <v>159</v>
      </c>
      <c r="F81" s="32"/>
      <c r="G81" s="72"/>
      <c r="H81" s="94"/>
      <c r="I81" s="91">
        <v>42611</v>
      </c>
      <c r="J81" s="98" t="s">
        <v>162</v>
      </c>
      <c r="K81" s="58">
        <v>10577.22</v>
      </c>
      <c r="L81" s="58"/>
      <c r="M81" s="45"/>
      <c r="N81" s="102" t="s">
        <v>163</v>
      </c>
    </row>
    <row r="82" spans="1:14" s="29" customFormat="1" x14ac:dyDescent="0.15">
      <c r="A82" s="88">
        <v>42605</v>
      </c>
      <c r="B82" s="35">
        <v>42607</v>
      </c>
      <c r="C82" s="97"/>
      <c r="D82" s="37">
        <v>8</v>
      </c>
      <c r="E82" s="32" t="s">
        <v>31</v>
      </c>
      <c r="F82" s="32"/>
      <c r="G82" s="72"/>
      <c r="H82" s="94"/>
      <c r="I82" s="91">
        <v>42622</v>
      </c>
      <c r="J82" s="92" t="s">
        <v>164</v>
      </c>
      <c r="K82" s="58">
        <v>1208</v>
      </c>
      <c r="L82" s="58"/>
      <c r="M82" s="45">
        <v>7</v>
      </c>
      <c r="N82" s="42"/>
    </row>
    <row r="83" spans="1:14" s="29" customFormat="1" x14ac:dyDescent="0.15">
      <c r="A83" s="88">
        <v>42605</v>
      </c>
      <c r="B83" s="35">
        <v>42625</v>
      </c>
      <c r="C83" s="63"/>
      <c r="D83" s="37">
        <v>12</v>
      </c>
      <c r="E83" s="32" t="s">
        <v>165</v>
      </c>
      <c r="F83" s="64"/>
      <c r="G83" s="63"/>
      <c r="H83" s="99"/>
      <c r="I83" s="103"/>
      <c r="J83" s="104" t="s">
        <v>166</v>
      </c>
      <c r="K83" s="101">
        <v>680</v>
      </c>
      <c r="L83" s="101"/>
      <c r="M83" s="57"/>
      <c r="N83" s="42" t="s">
        <v>167</v>
      </c>
    </row>
    <row r="84" spans="1:14" s="29" customFormat="1" x14ac:dyDescent="0.15">
      <c r="A84" s="88">
        <v>42606</v>
      </c>
      <c r="B84" s="31">
        <v>42608</v>
      </c>
      <c r="C84" s="105"/>
      <c r="D84" s="17">
        <v>12</v>
      </c>
      <c r="E84" s="27" t="s">
        <v>165</v>
      </c>
      <c r="F84" s="32"/>
      <c r="G84" s="65"/>
      <c r="H84" s="94"/>
      <c r="I84" s="91">
        <v>42622</v>
      </c>
      <c r="J84" s="106" t="s">
        <v>168</v>
      </c>
      <c r="K84" s="58">
        <v>1008.9</v>
      </c>
      <c r="L84" s="58"/>
      <c r="M84" s="45">
        <v>8</v>
      </c>
      <c r="N84" s="42"/>
    </row>
    <row r="85" spans="1:14" s="29" customFormat="1" x14ac:dyDescent="0.15">
      <c r="A85" s="88">
        <v>42606</v>
      </c>
      <c r="B85" s="31">
        <v>42625</v>
      </c>
      <c r="C85" s="51"/>
      <c r="D85" s="17">
        <v>12</v>
      </c>
      <c r="E85" s="27" t="s">
        <v>165</v>
      </c>
      <c r="F85" s="64"/>
      <c r="G85" s="51"/>
      <c r="H85" s="99"/>
      <c r="I85" s="103">
        <v>42625</v>
      </c>
      <c r="J85" s="104" t="s">
        <v>169</v>
      </c>
      <c r="K85" s="101">
        <v>1107.1199999999999</v>
      </c>
      <c r="L85" s="101"/>
      <c r="M85" s="57"/>
      <c r="N85" s="42" t="s">
        <v>170</v>
      </c>
    </row>
    <row r="86" spans="1:14" s="29" customFormat="1" x14ac:dyDescent="0.15">
      <c r="A86" s="88">
        <v>42608</v>
      </c>
      <c r="B86" s="31">
        <v>42623</v>
      </c>
      <c r="C86" s="51"/>
      <c r="D86" s="17">
        <v>12</v>
      </c>
      <c r="E86" s="52" t="s">
        <v>165</v>
      </c>
      <c r="F86" s="69"/>
      <c r="G86" s="107"/>
      <c r="H86" s="99"/>
      <c r="I86" s="103">
        <v>42625</v>
      </c>
      <c r="J86" s="108" t="s">
        <v>171</v>
      </c>
      <c r="K86" s="101">
        <v>1140.96</v>
      </c>
      <c r="L86" s="101"/>
      <c r="M86" s="57"/>
      <c r="N86" s="42" t="s">
        <v>170</v>
      </c>
    </row>
    <row r="87" spans="1:14" s="29" customFormat="1" x14ac:dyDescent="0.15">
      <c r="A87" s="88">
        <v>42606</v>
      </c>
      <c r="B87" s="31">
        <v>42612</v>
      </c>
      <c r="C87" s="21"/>
      <c r="D87" s="17">
        <v>13</v>
      </c>
      <c r="E87" s="27" t="s">
        <v>159</v>
      </c>
      <c r="F87" s="64"/>
      <c r="G87" s="20" t="s">
        <v>172</v>
      </c>
      <c r="H87" s="99">
        <v>62075</v>
      </c>
      <c r="I87" s="103">
        <v>42608</v>
      </c>
      <c r="J87" s="73" t="s">
        <v>173</v>
      </c>
      <c r="K87" s="101">
        <v>1837.5</v>
      </c>
      <c r="L87" s="101"/>
      <c r="M87" s="57"/>
      <c r="N87" s="42" t="s">
        <v>163</v>
      </c>
    </row>
    <row r="88" spans="1:14" s="29" customFormat="1" x14ac:dyDescent="0.15">
      <c r="A88" s="88">
        <v>42604</v>
      </c>
      <c r="B88" s="31">
        <v>42607</v>
      </c>
      <c r="C88" s="105"/>
      <c r="D88" s="17">
        <v>13</v>
      </c>
      <c r="E88" s="27" t="s">
        <v>159</v>
      </c>
      <c r="F88" s="32"/>
      <c r="G88" s="65" t="s">
        <v>172</v>
      </c>
      <c r="H88" s="99">
        <v>11554</v>
      </c>
      <c r="I88" s="103"/>
      <c r="J88" s="73" t="s">
        <v>174</v>
      </c>
      <c r="K88" s="101">
        <v>3661.85</v>
      </c>
      <c r="L88" s="101"/>
      <c r="M88" s="57"/>
      <c r="N88" s="42" t="s">
        <v>160</v>
      </c>
    </row>
    <row r="89" spans="1:14" x14ac:dyDescent="0.15">
      <c r="A89" s="93">
        <v>42605</v>
      </c>
      <c r="B89" s="35">
        <v>42609</v>
      </c>
      <c r="C89" s="97"/>
      <c r="D89" s="37">
        <v>13</v>
      </c>
      <c r="E89" s="32" t="s">
        <v>159</v>
      </c>
      <c r="F89" s="32"/>
      <c r="G89" s="72"/>
      <c r="H89" s="99"/>
      <c r="I89" s="103">
        <v>42611</v>
      </c>
      <c r="J89" s="73" t="s">
        <v>175</v>
      </c>
      <c r="K89" s="101">
        <v>9417.02</v>
      </c>
      <c r="L89" s="101"/>
      <c r="M89" s="57"/>
      <c r="N89" s="42" t="s">
        <v>163</v>
      </c>
    </row>
    <row r="90" spans="1:14" x14ac:dyDescent="0.15">
      <c r="A90" s="93">
        <v>42607</v>
      </c>
      <c r="B90" s="35">
        <v>42612</v>
      </c>
      <c r="C90" s="63"/>
      <c r="D90" s="37">
        <v>5</v>
      </c>
      <c r="E90" s="32" t="s">
        <v>44</v>
      </c>
      <c r="F90" s="64"/>
      <c r="G90" s="72" t="s">
        <v>95</v>
      </c>
      <c r="H90" s="99">
        <v>88840</v>
      </c>
      <c r="I90" s="103"/>
      <c r="J90" s="42" t="s">
        <v>176</v>
      </c>
      <c r="K90" s="109">
        <v>1712.43</v>
      </c>
      <c r="L90" s="109"/>
      <c r="M90" s="57"/>
      <c r="N90" s="42" t="s">
        <v>37</v>
      </c>
    </row>
    <row r="91" spans="1:14" x14ac:dyDescent="0.15">
      <c r="A91" s="93">
        <v>42607</v>
      </c>
      <c r="B91" s="35">
        <v>42625</v>
      </c>
      <c r="C91" s="63"/>
      <c r="D91" s="37">
        <v>12</v>
      </c>
      <c r="E91" s="32" t="s">
        <v>165</v>
      </c>
      <c r="F91" s="64"/>
      <c r="G91" s="63"/>
      <c r="H91" s="99"/>
      <c r="I91" s="103"/>
      <c r="J91" s="104" t="s">
        <v>177</v>
      </c>
      <c r="K91" s="101">
        <v>1272.08</v>
      </c>
      <c r="L91" s="101"/>
      <c r="M91" s="57"/>
      <c r="N91" s="42" t="s">
        <v>178</v>
      </c>
    </row>
    <row r="92" spans="1:14" x14ac:dyDescent="0.15">
      <c r="A92" s="93">
        <v>42607</v>
      </c>
      <c r="B92" s="31">
        <v>42611</v>
      </c>
      <c r="C92" s="110"/>
      <c r="D92" s="17"/>
      <c r="E92" s="27" t="s">
        <v>179</v>
      </c>
      <c r="F92" s="32"/>
      <c r="G92" s="51"/>
      <c r="H92" s="99"/>
      <c r="I92" s="103">
        <v>42611</v>
      </c>
      <c r="J92" s="57" t="s">
        <v>180</v>
      </c>
      <c r="K92" s="101">
        <v>0</v>
      </c>
      <c r="L92" s="101"/>
      <c r="M92" s="57"/>
      <c r="N92" s="42" t="s">
        <v>181</v>
      </c>
    </row>
    <row r="93" spans="1:14" x14ac:dyDescent="0.15">
      <c r="A93" s="93">
        <v>42607</v>
      </c>
      <c r="B93" s="31">
        <v>42608</v>
      </c>
      <c r="C93" s="105"/>
      <c r="D93" s="17">
        <v>14</v>
      </c>
      <c r="E93" s="27" t="s">
        <v>182</v>
      </c>
      <c r="F93" s="32"/>
      <c r="G93" s="65"/>
      <c r="H93" s="94"/>
      <c r="I93" s="95"/>
      <c r="J93" s="98" t="s">
        <v>183</v>
      </c>
      <c r="K93" s="58">
        <v>1640.34</v>
      </c>
      <c r="L93" s="58"/>
      <c r="M93" s="45"/>
      <c r="N93" s="102" t="s">
        <v>184</v>
      </c>
    </row>
    <row r="94" spans="1:14" x14ac:dyDescent="0.15">
      <c r="A94" s="93">
        <v>42608</v>
      </c>
      <c r="B94" s="31">
        <v>42621</v>
      </c>
      <c r="C94" s="51"/>
      <c r="D94" s="17">
        <v>12</v>
      </c>
      <c r="E94" s="52" t="s">
        <v>165</v>
      </c>
      <c r="F94" s="50"/>
      <c r="G94" s="53"/>
      <c r="H94" s="111"/>
      <c r="I94" s="103">
        <v>42623</v>
      </c>
      <c r="J94" s="108" t="s">
        <v>185</v>
      </c>
      <c r="K94" s="101">
        <v>1290.0999999999999</v>
      </c>
      <c r="L94" s="101"/>
      <c r="M94" s="57"/>
      <c r="N94" s="42" t="s">
        <v>170</v>
      </c>
    </row>
    <row r="95" spans="1:14" x14ac:dyDescent="0.15">
      <c r="A95" s="93">
        <v>42608</v>
      </c>
      <c r="B95" s="31">
        <v>42609</v>
      </c>
      <c r="C95" s="105"/>
      <c r="D95" s="17">
        <v>13</v>
      </c>
      <c r="E95" s="27" t="s">
        <v>159</v>
      </c>
      <c r="F95" s="32"/>
      <c r="G95" s="65" t="s">
        <v>172</v>
      </c>
      <c r="H95" s="94">
        <v>11555</v>
      </c>
      <c r="I95" s="95"/>
      <c r="J95" s="98" t="s">
        <v>186</v>
      </c>
      <c r="K95" s="58">
        <v>2115.75</v>
      </c>
      <c r="L95" s="58"/>
      <c r="M95" s="45"/>
      <c r="N95" s="102" t="s">
        <v>160</v>
      </c>
    </row>
    <row r="96" spans="1:14" x14ac:dyDescent="0.15">
      <c r="A96" s="93">
        <v>42609</v>
      </c>
      <c r="B96" s="31">
        <v>42612</v>
      </c>
      <c r="C96" s="51"/>
      <c r="D96" s="17">
        <v>13</v>
      </c>
      <c r="E96" s="27" t="s">
        <v>159</v>
      </c>
      <c r="F96" s="64"/>
      <c r="G96" s="20" t="s">
        <v>172</v>
      </c>
      <c r="H96" s="99">
        <v>11557</v>
      </c>
      <c r="I96" s="100"/>
      <c r="J96" s="73" t="s">
        <v>187</v>
      </c>
      <c r="K96" s="101">
        <v>1627.5</v>
      </c>
      <c r="L96" s="101"/>
      <c r="M96" s="57"/>
      <c r="N96" s="42" t="s">
        <v>160</v>
      </c>
    </row>
    <row r="97" spans="1:14" x14ac:dyDescent="0.15">
      <c r="A97" s="93">
        <v>42609</v>
      </c>
      <c r="B97" s="31">
        <v>42612</v>
      </c>
      <c r="C97" s="51"/>
      <c r="D97" s="17">
        <v>13</v>
      </c>
      <c r="E97" s="27" t="s">
        <v>159</v>
      </c>
      <c r="F97" s="64"/>
      <c r="G97" s="20"/>
      <c r="H97" s="99"/>
      <c r="I97" s="100"/>
      <c r="J97" s="73" t="s">
        <v>188</v>
      </c>
      <c r="K97" s="101">
        <v>1871.6</v>
      </c>
      <c r="L97" s="101"/>
      <c r="M97" s="57"/>
      <c r="N97" s="42" t="s">
        <v>160</v>
      </c>
    </row>
    <row r="98" spans="1:14" x14ac:dyDescent="0.15">
      <c r="A98" s="93">
        <v>42607</v>
      </c>
      <c r="B98" s="31">
        <v>42612</v>
      </c>
      <c r="C98" s="36">
        <v>560</v>
      </c>
      <c r="D98" s="17"/>
      <c r="E98" s="27" t="s">
        <v>44</v>
      </c>
      <c r="F98" s="32" t="s">
        <v>45</v>
      </c>
      <c r="G98" s="20"/>
      <c r="H98" s="99"/>
      <c r="I98" s="103">
        <v>42622</v>
      </c>
      <c r="J98" s="42" t="s">
        <v>189</v>
      </c>
      <c r="K98" s="101">
        <v>2864</v>
      </c>
      <c r="L98" s="101"/>
      <c r="M98" s="112"/>
      <c r="N98" s="42"/>
    </row>
    <row r="99" spans="1:14" x14ac:dyDescent="0.15">
      <c r="A99" s="93">
        <v>42608</v>
      </c>
      <c r="B99" s="31">
        <v>42611</v>
      </c>
      <c r="C99" s="51"/>
      <c r="D99" s="17">
        <v>14</v>
      </c>
      <c r="E99" s="27" t="s">
        <v>182</v>
      </c>
      <c r="F99" s="32"/>
      <c r="G99" s="51"/>
      <c r="H99" s="99"/>
      <c r="I99" s="103">
        <v>42626</v>
      </c>
      <c r="J99" s="42" t="s">
        <v>190</v>
      </c>
      <c r="K99" s="101">
        <v>5625.8</v>
      </c>
      <c r="L99" s="101"/>
      <c r="M99" s="57"/>
      <c r="N99" s="42" t="s">
        <v>170</v>
      </c>
    </row>
    <row r="100" spans="1:14" x14ac:dyDescent="0.15">
      <c r="A100" s="93">
        <v>42609</v>
      </c>
      <c r="B100" s="35">
        <v>42612</v>
      </c>
      <c r="C100" s="97"/>
      <c r="D100" s="37">
        <v>10</v>
      </c>
      <c r="E100" s="32" t="s">
        <v>111</v>
      </c>
      <c r="F100" s="32"/>
      <c r="G100" s="72"/>
      <c r="H100" s="99"/>
      <c r="I100" s="100"/>
      <c r="J100" s="42" t="s">
        <v>191</v>
      </c>
      <c r="K100" s="101">
        <v>305.56</v>
      </c>
      <c r="L100" s="101"/>
      <c r="M100" s="57"/>
      <c r="N100" s="42" t="s">
        <v>113</v>
      </c>
    </row>
    <row r="101" spans="1:14" x14ac:dyDescent="0.15">
      <c r="A101" s="93">
        <v>42609</v>
      </c>
      <c r="B101" s="35">
        <v>42609</v>
      </c>
      <c r="C101" s="97"/>
      <c r="D101" s="37">
        <v>12</v>
      </c>
      <c r="E101" s="32" t="s">
        <v>165</v>
      </c>
      <c r="F101" s="32"/>
      <c r="G101" s="72"/>
      <c r="H101" s="99"/>
      <c r="I101" s="103">
        <v>42623</v>
      </c>
      <c r="J101" s="104" t="s">
        <v>192</v>
      </c>
      <c r="K101" s="58">
        <v>1719.48</v>
      </c>
      <c r="L101" s="58"/>
      <c r="M101" s="57"/>
      <c r="N101" s="42" t="s">
        <v>170</v>
      </c>
    </row>
    <row r="102" spans="1:14" x14ac:dyDescent="0.15">
      <c r="A102" s="93">
        <v>42592</v>
      </c>
      <c r="B102" s="31">
        <v>42612</v>
      </c>
      <c r="C102" s="51"/>
      <c r="D102" s="17">
        <v>5</v>
      </c>
      <c r="E102" s="32" t="s">
        <v>44</v>
      </c>
      <c r="F102" s="64"/>
      <c r="G102" s="65" t="s">
        <v>95</v>
      </c>
      <c r="H102" s="113">
        <v>88828</v>
      </c>
      <c r="I102" s="95"/>
      <c r="J102" s="114" t="s">
        <v>193</v>
      </c>
      <c r="K102" s="58">
        <v>472.5</v>
      </c>
      <c r="L102" s="58"/>
      <c r="M102" s="57"/>
      <c r="N102" s="42" t="s">
        <v>37</v>
      </c>
    </row>
    <row r="103" spans="1:14" x14ac:dyDescent="0.15">
      <c r="A103" s="93">
        <v>42593</v>
      </c>
      <c r="B103" s="31">
        <v>42599</v>
      </c>
      <c r="C103" s="36" t="s">
        <v>194</v>
      </c>
      <c r="D103" s="17">
        <v>5</v>
      </c>
      <c r="E103" s="32" t="s">
        <v>44</v>
      </c>
      <c r="F103" s="32"/>
      <c r="G103" s="20" t="s">
        <v>95</v>
      </c>
      <c r="H103" s="94">
        <v>88829</v>
      </c>
      <c r="I103" s="91">
        <v>42612</v>
      </c>
      <c r="J103" s="115" t="s">
        <v>194</v>
      </c>
      <c r="K103" s="58">
        <v>3741.3</v>
      </c>
      <c r="L103" s="58"/>
      <c r="M103" s="41">
        <v>6</v>
      </c>
      <c r="N103" s="42"/>
    </row>
    <row r="104" spans="1:14" x14ac:dyDescent="0.15">
      <c r="A104" s="93">
        <v>42594</v>
      </c>
      <c r="B104" s="31">
        <v>42600</v>
      </c>
      <c r="C104" s="36"/>
      <c r="D104" s="17">
        <v>5</v>
      </c>
      <c r="E104" s="32" t="s">
        <v>44</v>
      </c>
      <c r="F104" s="32"/>
      <c r="G104" s="20" t="s">
        <v>95</v>
      </c>
      <c r="H104" s="94">
        <v>88830</v>
      </c>
      <c r="I104" s="91">
        <v>42612</v>
      </c>
      <c r="J104" s="116" t="s">
        <v>195</v>
      </c>
      <c r="K104" s="58">
        <v>3977.55</v>
      </c>
      <c r="L104" s="58"/>
      <c r="M104" s="41">
        <v>6</v>
      </c>
      <c r="N104" s="42"/>
    </row>
    <row r="105" spans="1:14" x14ac:dyDescent="0.15">
      <c r="A105" s="93">
        <v>42597</v>
      </c>
      <c r="B105" s="31">
        <v>42612</v>
      </c>
      <c r="C105" s="51"/>
      <c r="D105" s="17">
        <v>5</v>
      </c>
      <c r="E105" s="32" t="s">
        <v>44</v>
      </c>
      <c r="F105" s="64"/>
      <c r="G105" s="65" t="s">
        <v>95</v>
      </c>
      <c r="H105" s="113">
        <v>88830</v>
      </c>
      <c r="I105" s="91">
        <v>42612</v>
      </c>
      <c r="J105" s="114" t="s">
        <v>196</v>
      </c>
      <c r="K105" s="58">
        <v>0</v>
      </c>
      <c r="L105" s="58"/>
      <c r="M105" s="57"/>
      <c r="N105" s="42" t="s">
        <v>197</v>
      </c>
    </row>
    <row r="106" spans="1:14" x14ac:dyDescent="0.15">
      <c r="A106" s="93">
        <v>42602</v>
      </c>
      <c r="B106" s="31">
        <v>42600</v>
      </c>
      <c r="C106" s="36" t="s">
        <v>198</v>
      </c>
      <c r="D106" s="17">
        <v>5</v>
      </c>
      <c r="E106" s="32" t="s">
        <v>44</v>
      </c>
      <c r="F106" s="32"/>
      <c r="G106" s="20" t="s">
        <v>95</v>
      </c>
      <c r="H106" s="94">
        <v>88831</v>
      </c>
      <c r="I106" s="116"/>
      <c r="J106" s="116" t="s">
        <v>198</v>
      </c>
      <c r="K106" s="58">
        <v>5929.83</v>
      </c>
      <c r="L106" s="58"/>
      <c r="M106" s="77"/>
      <c r="N106" s="42" t="s">
        <v>37</v>
      </c>
    </row>
    <row r="107" spans="1:14" x14ac:dyDescent="0.15">
      <c r="A107" s="96">
        <v>42602</v>
      </c>
      <c r="B107" s="31">
        <v>42621</v>
      </c>
      <c r="C107" s="51"/>
      <c r="D107" s="17">
        <v>5</v>
      </c>
      <c r="E107" s="50" t="s">
        <v>44</v>
      </c>
      <c r="F107" s="50"/>
      <c r="G107" s="53"/>
      <c r="H107" s="111"/>
      <c r="I107" s="117"/>
      <c r="J107" s="42" t="s">
        <v>199</v>
      </c>
      <c r="K107" s="101">
        <v>-306</v>
      </c>
      <c r="L107" s="101"/>
      <c r="M107" s="57"/>
      <c r="N107" s="42" t="s">
        <v>37</v>
      </c>
    </row>
    <row r="108" spans="1:14" x14ac:dyDescent="0.15">
      <c r="A108" s="96">
        <v>42607</v>
      </c>
      <c r="B108" s="31">
        <v>42604</v>
      </c>
      <c r="C108" s="36"/>
      <c r="D108" s="17">
        <v>5</v>
      </c>
      <c r="E108" s="32" t="s">
        <v>44</v>
      </c>
      <c r="F108" s="32"/>
      <c r="G108" s="20" t="s">
        <v>95</v>
      </c>
      <c r="H108" s="94">
        <v>88833</v>
      </c>
      <c r="I108" s="91">
        <v>42604</v>
      </c>
      <c r="J108" s="98" t="s">
        <v>200</v>
      </c>
      <c r="K108" s="58">
        <v>2854.05</v>
      </c>
      <c r="L108" s="58"/>
      <c r="M108" s="41">
        <v>6</v>
      </c>
      <c r="N108" s="42"/>
    </row>
    <row r="109" spans="1:14" x14ac:dyDescent="0.15">
      <c r="A109" s="96">
        <v>42608</v>
      </c>
      <c r="B109" s="35">
        <v>42605</v>
      </c>
      <c r="C109" s="97"/>
      <c r="D109" s="37">
        <v>5</v>
      </c>
      <c r="E109" s="32" t="s">
        <v>44</v>
      </c>
      <c r="F109" s="32"/>
      <c r="G109" s="38" t="s">
        <v>95</v>
      </c>
      <c r="H109" s="94">
        <v>88834</v>
      </c>
      <c r="I109" s="45"/>
      <c r="J109" s="98" t="s">
        <v>201</v>
      </c>
      <c r="K109" s="58">
        <v>2008.2</v>
      </c>
      <c r="L109" s="58"/>
      <c r="M109" s="118"/>
      <c r="N109" s="42" t="s">
        <v>37</v>
      </c>
    </row>
    <row r="110" spans="1:14" x14ac:dyDescent="0.15">
      <c r="A110" s="96">
        <v>42604</v>
      </c>
      <c r="B110" s="35">
        <v>42612</v>
      </c>
      <c r="C110" s="63"/>
      <c r="D110" s="37">
        <v>13</v>
      </c>
      <c r="E110" s="32" t="s">
        <v>159</v>
      </c>
      <c r="F110" s="32"/>
      <c r="G110" s="38" t="s">
        <v>172</v>
      </c>
      <c r="H110" s="99">
        <v>11558</v>
      </c>
      <c r="I110" s="100"/>
      <c r="J110" s="73" t="s">
        <v>202</v>
      </c>
      <c r="K110" s="101">
        <v>1302</v>
      </c>
      <c r="L110" s="101"/>
      <c r="M110" s="57"/>
      <c r="N110" s="42" t="s">
        <v>160</v>
      </c>
    </row>
    <row r="111" spans="1:14" x14ac:dyDescent="0.15">
      <c r="A111" s="96">
        <v>42604</v>
      </c>
      <c r="B111" s="31">
        <v>42619</v>
      </c>
      <c r="C111" s="36">
        <v>456</v>
      </c>
      <c r="D111" s="17"/>
      <c r="E111" s="27" t="s">
        <v>203</v>
      </c>
      <c r="F111" s="32" t="s">
        <v>204</v>
      </c>
      <c r="G111" s="20">
        <v>2</v>
      </c>
      <c r="H111" s="99"/>
      <c r="I111" s="103"/>
      <c r="J111" s="57"/>
      <c r="K111" s="101"/>
      <c r="L111" s="101"/>
      <c r="M111" s="57"/>
      <c r="N111" s="42" t="s">
        <v>205</v>
      </c>
    </row>
    <row r="112" spans="1:14" x14ac:dyDescent="0.15">
      <c r="A112" s="96"/>
      <c r="B112" s="31"/>
      <c r="C112" s="36"/>
      <c r="D112" s="17"/>
      <c r="E112" s="27"/>
      <c r="F112" s="32"/>
      <c r="G112" s="20"/>
      <c r="H112" s="99"/>
      <c r="I112" s="103"/>
      <c r="J112" s="57"/>
      <c r="K112" s="101"/>
      <c r="L112" s="101"/>
      <c r="M112" s="57"/>
      <c r="N112" s="42"/>
    </row>
    <row r="113" spans="1:14" x14ac:dyDescent="0.15">
      <c r="A113" s="96"/>
      <c r="B113" s="31"/>
      <c r="C113" s="36"/>
      <c r="D113" s="17"/>
      <c r="E113" s="27"/>
      <c r="F113" s="32"/>
      <c r="G113" s="20"/>
      <c r="H113" s="99"/>
      <c r="I113" s="100"/>
      <c r="J113" s="57"/>
      <c r="K113" s="101"/>
      <c r="L113" s="101"/>
      <c r="M113" s="57"/>
      <c r="N113" s="42"/>
    </row>
    <row r="114" spans="1:14" x14ac:dyDescent="0.15">
      <c r="A114" s="96"/>
      <c r="B114" s="31"/>
      <c r="C114" s="36"/>
      <c r="D114" s="17"/>
      <c r="E114" s="27"/>
      <c r="F114" s="32"/>
      <c r="G114" s="20"/>
      <c r="H114" s="99"/>
      <c r="I114" s="100"/>
      <c r="J114" s="57"/>
      <c r="K114" s="101"/>
      <c r="L114" s="101"/>
      <c r="M114" s="57"/>
      <c r="N114" s="42"/>
    </row>
    <row r="115" spans="1:14" x14ac:dyDescent="0.15">
      <c r="A115" s="96"/>
      <c r="B115" s="31"/>
      <c r="C115" s="36"/>
      <c r="D115" s="17"/>
      <c r="E115" s="27"/>
      <c r="F115" s="32"/>
      <c r="G115" s="20"/>
      <c r="H115" s="99"/>
      <c r="I115" s="100"/>
      <c r="J115" s="57"/>
      <c r="K115" s="101"/>
      <c r="L115" s="101"/>
      <c r="M115" s="57"/>
      <c r="N115" s="42"/>
    </row>
    <row r="116" spans="1:14" x14ac:dyDescent="0.15">
      <c r="A116" s="96"/>
      <c r="B116" s="31"/>
      <c r="C116" s="36"/>
      <c r="D116" s="17"/>
      <c r="E116" s="27"/>
      <c r="F116" s="32"/>
      <c r="G116" s="20"/>
      <c r="H116" s="99"/>
      <c r="I116" s="100"/>
      <c r="J116" s="57"/>
      <c r="K116" s="101"/>
      <c r="L116" s="101"/>
      <c r="M116" s="57"/>
      <c r="N116" s="42"/>
    </row>
    <row r="117" spans="1:14" x14ac:dyDescent="0.15">
      <c r="A117" s="96"/>
      <c r="B117" s="31"/>
      <c r="C117" s="36"/>
      <c r="D117" s="17"/>
      <c r="E117" s="27"/>
      <c r="F117" s="32"/>
      <c r="G117" s="20"/>
      <c r="H117" s="99"/>
      <c r="I117" s="100"/>
      <c r="J117" s="57"/>
      <c r="K117" s="101"/>
      <c r="L117" s="101"/>
      <c r="M117" s="57"/>
      <c r="N117" s="42"/>
    </row>
    <row r="118" spans="1:14" x14ac:dyDescent="0.15">
      <c r="A118" s="96"/>
      <c r="B118" s="31"/>
      <c r="C118" s="51"/>
      <c r="D118" s="17"/>
      <c r="E118" s="27"/>
      <c r="F118" s="50"/>
      <c r="G118" s="20"/>
      <c r="H118" s="99"/>
      <c r="I118" s="103"/>
      <c r="J118" s="103"/>
      <c r="K118" s="101"/>
      <c r="L118" s="101"/>
      <c r="M118" s="57"/>
      <c r="N118" s="42"/>
    </row>
    <row r="119" spans="1:14" x14ac:dyDescent="0.15">
      <c r="A119" s="96"/>
      <c r="B119" s="31"/>
      <c r="C119" s="51"/>
      <c r="D119" s="17"/>
      <c r="E119" s="52"/>
      <c r="F119" s="69"/>
      <c r="G119" s="70"/>
      <c r="H119" s="99"/>
      <c r="I119" s="103"/>
      <c r="J119" s="103"/>
      <c r="K119" s="101"/>
      <c r="L119" s="101"/>
      <c r="M119" s="57"/>
      <c r="N119" s="42"/>
    </row>
    <row r="120" spans="1:14" x14ac:dyDescent="0.15">
      <c r="A120" s="96"/>
      <c r="B120" s="31"/>
      <c r="C120" s="51"/>
      <c r="D120" s="17"/>
      <c r="E120" s="52"/>
      <c r="F120" s="64"/>
      <c r="G120" s="51"/>
      <c r="H120" s="99"/>
      <c r="I120" s="103"/>
      <c r="J120" s="103"/>
      <c r="K120" s="101"/>
      <c r="L120" s="101"/>
      <c r="M120" s="57"/>
      <c r="N120" s="42"/>
    </row>
    <row r="121" spans="1:14" s="119" customFormat="1" x14ac:dyDescent="0.15">
      <c r="A121" s="96"/>
      <c r="B121" s="31"/>
      <c r="C121" s="51"/>
      <c r="D121" s="17"/>
      <c r="E121" s="27"/>
      <c r="F121" s="64"/>
      <c r="G121" s="65"/>
      <c r="H121" s="99"/>
      <c r="I121" s="100"/>
      <c r="J121" s="100"/>
      <c r="K121" s="101"/>
      <c r="L121" s="101"/>
      <c r="M121" s="57"/>
      <c r="N121" s="42"/>
    </row>
    <row r="122" spans="1:14" s="119" customFormat="1" x14ac:dyDescent="0.15">
      <c r="A122" s="96"/>
      <c r="B122" s="31"/>
      <c r="C122" s="51"/>
      <c r="D122" s="17"/>
      <c r="E122" s="27"/>
      <c r="F122" s="64"/>
      <c r="G122" s="20"/>
      <c r="H122" s="99"/>
      <c r="I122" s="100"/>
      <c r="J122" s="100"/>
      <c r="K122" s="101"/>
      <c r="L122" s="101"/>
      <c r="M122" s="57"/>
      <c r="N122" s="42"/>
    </row>
    <row r="123" spans="1:14" s="119" customFormat="1" x14ac:dyDescent="0.15">
      <c r="A123" s="96"/>
      <c r="B123" s="31"/>
      <c r="C123" s="51"/>
      <c r="D123" s="17"/>
      <c r="E123" s="27"/>
      <c r="F123" s="64"/>
      <c r="G123" s="65"/>
      <c r="H123" s="99"/>
      <c r="I123" s="100"/>
      <c r="J123" s="100"/>
      <c r="K123" s="101"/>
      <c r="L123" s="101"/>
      <c r="M123" s="57"/>
      <c r="N123" s="42"/>
    </row>
    <row r="124" spans="1:14" s="119" customFormat="1" x14ac:dyDescent="0.15">
      <c r="A124" s="96"/>
      <c r="B124" s="31"/>
      <c r="C124" s="51"/>
      <c r="D124" s="17"/>
      <c r="E124" s="27"/>
      <c r="F124" s="64"/>
      <c r="G124" s="51"/>
      <c r="H124" s="99"/>
      <c r="I124" s="103"/>
      <c r="J124" s="103"/>
      <c r="K124" s="59"/>
      <c r="L124" s="58"/>
      <c r="M124" s="57"/>
      <c r="N124" s="42"/>
    </row>
    <row r="125" spans="1:14" s="119" customFormat="1" x14ac:dyDescent="0.15">
      <c r="A125" s="96"/>
      <c r="B125" s="31"/>
      <c r="C125" s="51"/>
      <c r="D125" s="17"/>
      <c r="E125" s="27"/>
      <c r="F125" s="64"/>
      <c r="G125" s="20"/>
      <c r="H125" s="99"/>
      <c r="I125" s="100"/>
      <c r="J125" s="42"/>
      <c r="K125" s="101"/>
      <c r="L125" s="101"/>
      <c r="M125" s="57"/>
      <c r="N125" s="42"/>
    </row>
    <row r="126" spans="1:14" s="119" customFormat="1" x14ac:dyDescent="0.15">
      <c r="A126" s="96"/>
      <c r="B126" s="31"/>
      <c r="C126" s="51"/>
      <c r="D126" s="17"/>
      <c r="E126" s="27"/>
      <c r="F126" s="64"/>
      <c r="G126" s="20"/>
      <c r="H126" s="99"/>
      <c r="I126" s="100"/>
      <c r="J126" s="42"/>
      <c r="K126" s="101"/>
      <c r="L126" s="101"/>
      <c r="M126" s="57"/>
      <c r="N126" s="42"/>
    </row>
    <row r="127" spans="1:14" s="119" customFormat="1" x14ac:dyDescent="0.15">
      <c r="A127" s="96"/>
      <c r="B127" s="31"/>
      <c r="C127" s="51"/>
      <c r="D127" s="17"/>
      <c r="E127" s="27"/>
      <c r="F127" s="64"/>
      <c r="G127" s="20"/>
      <c r="H127" s="99"/>
      <c r="I127" s="100"/>
      <c r="J127" s="42"/>
      <c r="K127" s="101"/>
      <c r="L127" s="101"/>
      <c r="M127" s="57"/>
      <c r="N127" s="42"/>
    </row>
    <row r="128" spans="1:14" s="119" customFormat="1" x14ac:dyDescent="0.15">
      <c r="A128" s="96"/>
      <c r="B128" s="31"/>
      <c r="C128" s="51"/>
      <c r="D128" s="17"/>
      <c r="E128" s="27"/>
      <c r="F128" s="64"/>
      <c r="G128" s="20"/>
      <c r="H128" s="99"/>
      <c r="I128" s="100"/>
      <c r="J128" s="42"/>
      <c r="K128" s="101"/>
      <c r="L128" s="101"/>
      <c r="M128" s="57"/>
      <c r="N128" s="42"/>
    </row>
    <row r="129" spans="1:14" s="119" customFormat="1" x14ac:dyDescent="0.15">
      <c r="A129" s="96"/>
      <c r="B129" s="31"/>
      <c r="C129" s="51"/>
      <c r="D129" s="17"/>
      <c r="E129" s="27"/>
      <c r="F129" s="64"/>
      <c r="G129" s="20"/>
      <c r="H129" s="99"/>
      <c r="I129" s="103"/>
      <c r="J129" s="42"/>
      <c r="K129" s="101"/>
      <c r="L129" s="101"/>
      <c r="M129" s="57"/>
      <c r="N129" s="42"/>
    </row>
    <row r="130" spans="1:14" s="119" customFormat="1" x14ac:dyDescent="0.15">
      <c r="A130" s="96"/>
      <c r="B130" s="31"/>
      <c r="C130" s="51"/>
      <c r="D130" s="17"/>
      <c r="E130" s="27"/>
      <c r="F130" s="64"/>
      <c r="G130" s="20"/>
      <c r="H130" s="99"/>
      <c r="I130" s="103"/>
      <c r="J130" s="42"/>
      <c r="K130" s="101"/>
      <c r="L130" s="101"/>
      <c r="M130" s="57"/>
      <c r="N130" s="42"/>
    </row>
    <row r="131" spans="1:14" s="119" customFormat="1" x14ac:dyDescent="0.15">
      <c r="A131" s="96"/>
      <c r="B131" s="31"/>
      <c r="C131" s="105"/>
      <c r="D131" s="17"/>
      <c r="E131" s="27"/>
      <c r="F131" s="32"/>
      <c r="G131" s="65"/>
      <c r="H131" s="99"/>
      <c r="I131" s="100"/>
      <c r="J131" s="73"/>
      <c r="K131" s="68"/>
      <c r="L131" s="109"/>
      <c r="M131" s="57"/>
      <c r="N131" s="42"/>
    </row>
    <row r="132" spans="1:14" s="119" customFormat="1" x14ac:dyDescent="0.15">
      <c r="A132" s="96"/>
      <c r="B132" s="31"/>
      <c r="C132" s="51"/>
      <c r="D132" s="17"/>
      <c r="E132" s="27"/>
      <c r="F132" s="64"/>
      <c r="G132" s="51"/>
      <c r="H132" s="99"/>
      <c r="I132" s="100"/>
      <c r="J132" s="73"/>
      <c r="K132" s="101"/>
      <c r="L132" s="101"/>
      <c r="M132" s="57"/>
      <c r="N132" s="42"/>
    </row>
    <row r="133" spans="1:14" x14ac:dyDescent="0.15">
      <c r="A133" s="96"/>
      <c r="B133" s="31"/>
      <c r="C133" s="51"/>
      <c r="D133" s="17"/>
      <c r="E133" s="52"/>
      <c r="F133" s="50"/>
      <c r="G133" s="20"/>
      <c r="H133" s="99"/>
      <c r="I133" s="117"/>
      <c r="J133" s="73"/>
      <c r="K133" s="101"/>
      <c r="L133" s="101"/>
      <c r="M133" s="57"/>
      <c r="N133" s="42"/>
    </row>
    <row r="134" spans="1:14" x14ac:dyDescent="0.15">
      <c r="A134" s="96"/>
      <c r="B134" s="31"/>
      <c r="C134" s="51"/>
      <c r="D134" s="17"/>
      <c r="E134" s="27"/>
      <c r="F134" s="32"/>
      <c r="G134" s="51"/>
      <c r="H134" s="99"/>
      <c r="I134" s="103"/>
      <c r="J134" s="42"/>
      <c r="K134" s="101"/>
      <c r="L134" s="101"/>
      <c r="M134" s="57"/>
      <c r="N134" s="42"/>
    </row>
    <row r="135" spans="1:14" x14ac:dyDescent="0.15">
      <c r="A135" s="96"/>
      <c r="B135" s="31"/>
      <c r="C135" s="51"/>
      <c r="D135" s="17"/>
      <c r="E135" s="52"/>
      <c r="F135" s="32"/>
      <c r="G135" s="20"/>
      <c r="H135" s="99"/>
      <c r="I135" s="103"/>
      <c r="J135" s="73"/>
      <c r="K135" s="101"/>
      <c r="L135" s="101"/>
      <c r="M135" s="57"/>
      <c r="N135" s="42"/>
    </row>
    <row r="136" spans="1:14" x14ac:dyDescent="0.15">
      <c r="A136" s="96"/>
      <c r="B136" s="31"/>
      <c r="C136" s="51"/>
      <c r="D136" s="17"/>
      <c r="E136" s="52"/>
      <c r="F136" s="32"/>
      <c r="G136" s="20"/>
      <c r="H136" s="99"/>
      <c r="I136" s="103"/>
      <c r="J136" s="73"/>
      <c r="K136" s="101"/>
      <c r="L136" s="101"/>
      <c r="M136" s="57"/>
      <c r="N136" s="42"/>
    </row>
    <row r="137" spans="1:14" x14ac:dyDescent="0.15">
      <c r="A137" s="96"/>
      <c r="B137" s="31"/>
      <c r="C137" s="105"/>
      <c r="D137" s="17"/>
      <c r="E137" s="27"/>
      <c r="F137" s="32"/>
      <c r="G137" s="65"/>
      <c r="H137" s="99"/>
      <c r="I137" s="103"/>
      <c r="J137" s="103"/>
      <c r="K137" s="101"/>
      <c r="L137" s="101"/>
      <c r="M137" s="57"/>
      <c r="N137" s="42"/>
    </row>
    <row r="138" spans="1:14" x14ac:dyDescent="0.15">
      <c r="A138" s="96"/>
      <c r="B138" s="31"/>
      <c r="C138" s="51"/>
      <c r="D138" s="17"/>
      <c r="E138" s="52"/>
      <c r="F138" s="50"/>
      <c r="G138" s="53"/>
      <c r="H138" s="111"/>
      <c r="I138" s="103"/>
      <c r="J138" s="103"/>
      <c r="K138" s="101"/>
      <c r="L138" s="101"/>
      <c r="M138" s="57"/>
      <c r="N138" s="42"/>
    </row>
    <row r="139" spans="1:14" x14ac:dyDescent="0.15">
      <c r="A139" s="96"/>
      <c r="B139" s="31"/>
      <c r="C139" s="51"/>
      <c r="D139" s="17"/>
      <c r="E139" s="27"/>
      <c r="F139" s="64"/>
      <c r="G139" s="21"/>
      <c r="H139" s="99"/>
      <c r="I139" s="103"/>
      <c r="J139" s="103"/>
      <c r="K139" s="101"/>
      <c r="L139" s="101"/>
      <c r="M139" s="57"/>
      <c r="N139" s="42"/>
    </row>
    <row r="140" spans="1:14" x14ac:dyDescent="0.15">
      <c r="A140" s="96"/>
      <c r="B140" s="31"/>
      <c r="C140" s="51"/>
      <c r="D140" s="17"/>
      <c r="E140" s="27"/>
      <c r="F140" s="64"/>
      <c r="G140" s="51"/>
      <c r="H140" s="99"/>
      <c r="I140" s="103"/>
      <c r="J140" s="103"/>
      <c r="K140" s="101"/>
      <c r="L140" s="101"/>
      <c r="M140" s="57"/>
      <c r="N140" s="42"/>
    </row>
    <row r="141" spans="1:14" x14ac:dyDescent="0.15">
      <c r="A141" s="96"/>
      <c r="B141" s="31"/>
      <c r="C141" s="51"/>
      <c r="D141" s="17"/>
      <c r="E141" s="52"/>
      <c r="F141" s="64"/>
      <c r="G141" s="51"/>
      <c r="H141" s="99"/>
      <c r="I141" s="103"/>
      <c r="J141" s="103"/>
      <c r="K141" s="101"/>
      <c r="L141" s="101"/>
      <c r="M141" s="57"/>
      <c r="N141" s="42"/>
    </row>
    <row r="142" spans="1:14" x14ac:dyDescent="0.15">
      <c r="A142" s="96"/>
      <c r="B142" s="31"/>
      <c r="C142" s="105"/>
      <c r="D142" s="17"/>
      <c r="E142" s="27"/>
      <c r="F142" s="32"/>
      <c r="G142" s="65"/>
      <c r="H142" s="99"/>
      <c r="I142" s="103"/>
      <c r="J142" s="42"/>
      <c r="K142" s="101"/>
      <c r="L142" s="101"/>
      <c r="M142" s="57"/>
      <c r="N142" s="42"/>
    </row>
    <row r="143" spans="1:14" x14ac:dyDescent="0.15">
      <c r="A143" s="96"/>
      <c r="B143" s="31"/>
      <c r="C143" s="51"/>
      <c r="D143" s="17"/>
      <c r="E143" s="52"/>
      <c r="F143" s="69"/>
      <c r="G143" s="70"/>
      <c r="H143" s="99"/>
      <c r="I143" s="103"/>
      <c r="J143" s="42"/>
      <c r="K143" s="101"/>
      <c r="L143" s="101"/>
      <c r="M143" s="57"/>
      <c r="N143" s="42"/>
    </row>
    <row r="144" spans="1:14" x14ac:dyDescent="0.15">
      <c r="A144" s="96"/>
      <c r="B144" s="31"/>
      <c r="C144" s="51"/>
      <c r="D144" s="17"/>
      <c r="E144" s="52"/>
      <c r="F144" s="69"/>
      <c r="G144" s="107"/>
      <c r="H144" s="99"/>
      <c r="I144" s="103"/>
      <c r="J144" s="42"/>
      <c r="K144" s="101"/>
      <c r="L144" s="101"/>
      <c r="M144" s="57"/>
      <c r="N144" s="42"/>
    </row>
    <row r="145" spans="1:14" x14ac:dyDescent="0.15">
      <c r="A145" s="96"/>
      <c r="B145" s="31"/>
      <c r="C145" s="36"/>
      <c r="D145" s="17"/>
      <c r="E145" s="27"/>
      <c r="F145" s="32"/>
      <c r="G145" s="65"/>
      <c r="H145" s="99"/>
      <c r="I145" s="103"/>
      <c r="J145" s="42"/>
      <c r="K145" s="101"/>
      <c r="L145" s="101"/>
      <c r="M145" s="112"/>
      <c r="N145" s="42"/>
    </row>
    <row r="146" spans="1:14" x14ac:dyDescent="0.15">
      <c r="A146" s="96"/>
      <c r="B146" s="31"/>
      <c r="C146" s="70"/>
      <c r="D146" s="17"/>
      <c r="E146" s="52"/>
      <c r="F146" s="69"/>
      <c r="G146" s="70"/>
      <c r="H146" s="99"/>
      <c r="I146" s="103"/>
      <c r="J146" s="42"/>
      <c r="K146" s="101"/>
      <c r="L146" s="101"/>
      <c r="M146" s="57"/>
      <c r="N146" s="42"/>
    </row>
    <row r="147" spans="1:14" x14ac:dyDescent="0.15">
      <c r="A147" s="96"/>
      <c r="B147" s="31"/>
      <c r="C147" s="51"/>
      <c r="D147" s="17"/>
      <c r="E147" s="52"/>
      <c r="F147" s="32"/>
      <c r="G147" s="20"/>
      <c r="H147" s="99"/>
      <c r="I147" s="103"/>
      <c r="J147" s="73"/>
      <c r="K147" s="101"/>
      <c r="L147" s="101"/>
      <c r="M147" s="57"/>
      <c r="N147" s="42"/>
    </row>
    <row r="148" spans="1:14" x14ac:dyDescent="0.15">
      <c r="A148" s="96"/>
      <c r="B148" s="31"/>
      <c r="C148" s="36"/>
      <c r="D148" s="17"/>
      <c r="E148" s="27"/>
      <c r="F148" s="32"/>
      <c r="G148" s="20"/>
      <c r="H148" s="90"/>
      <c r="I148" s="45"/>
      <c r="J148" s="92"/>
      <c r="K148" s="58"/>
      <c r="L148" s="58"/>
      <c r="M148" s="58"/>
      <c r="N148" s="42"/>
    </row>
    <row r="149" spans="1:14" x14ac:dyDescent="0.15">
      <c r="A149" s="96"/>
      <c r="B149" s="31"/>
      <c r="C149" s="51"/>
      <c r="D149" s="17"/>
      <c r="E149" s="52"/>
      <c r="F149" s="69"/>
      <c r="G149" s="107"/>
      <c r="H149" s="99"/>
      <c r="I149" s="103"/>
      <c r="J149" s="103"/>
      <c r="K149" s="101"/>
      <c r="L149" s="101"/>
      <c r="M149" s="57"/>
      <c r="N149" s="42"/>
    </row>
    <row r="150" spans="1:14" x14ac:dyDescent="0.15">
      <c r="A150" s="96"/>
      <c r="B150" s="31"/>
      <c r="C150" s="51"/>
      <c r="D150" s="17"/>
      <c r="E150" s="52"/>
      <c r="F150" s="64"/>
      <c r="G150" s="51"/>
      <c r="H150" s="99"/>
      <c r="I150" s="103"/>
      <c r="J150" s="103"/>
      <c r="K150" s="101"/>
      <c r="L150" s="101"/>
      <c r="M150" s="57"/>
      <c r="N150" s="42"/>
    </row>
    <row r="151" spans="1:14" x14ac:dyDescent="0.15">
      <c r="A151" s="96"/>
      <c r="B151" s="31"/>
      <c r="C151" s="105"/>
      <c r="D151" s="17"/>
      <c r="E151" s="27"/>
      <c r="F151" s="32"/>
      <c r="G151" s="65"/>
      <c r="H151" s="94"/>
      <c r="I151" s="91"/>
      <c r="J151" s="98"/>
      <c r="K151" s="58"/>
      <c r="L151" s="58"/>
      <c r="M151" s="45"/>
      <c r="N151" s="102"/>
    </row>
    <row r="152" spans="1:14" x14ac:dyDescent="0.15">
      <c r="A152" s="96"/>
      <c r="B152" s="31"/>
      <c r="C152" s="51"/>
      <c r="D152" s="17"/>
      <c r="E152" s="27"/>
      <c r="F152" s="64"/>
      <c r="G152" s="51"/>
      <c r="H152" s="99"/>
      <c r="I152" s="103"/>
      <c r="J152" s="103"/>
      <c r="K152" s="101"/>
      <c r="L152" s="101"/>
      <c r="M152" s="57"/>
      <c r="N152" s="42"/>
    </row>
    <row r="153" spans="1:14" x14ac:dyDescent="0.15">
      <c r="A153" s="96"/>
      <c r="B153" s="31"/>
      <c r="C153" s="51"/>
      <c r="D153" s="17"/>
      <c r="E153" s="27"/>
      <c r="F153" s="64"/>
      <c r="G153" s="51"/>
      <c r="H153" s="99"/>
      <c r="I153" s="103"/>
      <c r="J153" s="73"/>
      <c r="K153" s="101"/>
      <c r="L153" s="101"/>
      <c r="M153" s="57"/>
      <c r="N153" s="42"/>
    </row>
    <row r="154" spans="1:14" x14ac:dyDescent="0.15">
      <c r="A154" s="96"/>
      <c r="B154" s="31"/>
      <c r="C154" s="51"/>
      <c r="D154" s="17"/>
      <c r="E154" s="52"/>
      <c r="F154" s="69"/>
      <c r="G154" s="107"/>
      <c r="H154" s="99"/>
      <c r="I154" s="103"/>
      <c r="J154" s="42"/>
      <c r="K154" s="101"/>
      <c r="L154" s="101"/>
      <c r="M154" s="57"/>
      <c r="N154" s="42"/>
    </row>
    <row r="155" spans="1:14" x14ac:dyDescent="0.15">
      <c r="A155" s="96"/>
      <c r="B155" s="31"/>
      <c r="C155" s="51"/>
      <c r="D155" s="17"/>
      <c r="E155" s="27"/>
      <c r="F155" s="32"/>
      <c r="G155" s="65"/>
      <c r="H155" s="99"/>
      <c r="I155" s="103"/>
      <c r="J155" s="42"/>
      <c r="K155" s="101"/>
      <c r="L155" s="101"/>
      <c r="M155" s="57"/>
      <c r="N155" s="42"/>
    </row>
    <row r="156" spans="1:14" x14ac:dyDescent="0.15">
      <c r="A156" s="96"/>
      <c r="B156" s="31"/>
      <c r="C156" s="51"/>
      <c r="D156" s="17"/>
      <c r="E156" s="27"/>
      <c r="F156" s="64"/>
      <c r="G156" s="51"/>
      <c r="H156" s="99"/>
      <c r="I156" s="100"/>
      <c r="J156" s="73"/>
      <c r="K156" s="101"/>
      <c r="L156" s="101"/>
      <c r="M156" s="57"/>
      <c r="N156" s="42"/>
    </row>
    <row r="157" spans="1:14" x14ac:dyDescent="0.15">
      <c r="A157" s="96"/>
      <c r="B157" s="31"/>
      <c r="C157" s="51"/>
      <c r="D157" s="17"/>
      <c r="E157" s="27"/>
      <c r="F157" s="32"/>
      <c r="G157" s="65"/>
      <c r="H157" s="99"/>
      <c r="I157" s="103"/>
      <c r="J157" s="42"/>
      <c r="K157" s="101"/>
      <c r="L157" s="101"/>
      <c r="M157" s="57"/>
      <c r="N157" s="42"/>
    </row>
    <row r="158" spans="1:14" x14ac:dyDescent="0.15">
      <c r="A158" s="120"/>
      <c r="B158" s="31"/>
      <c r="C158" s="51"/>
      <c r="D158" s="17"/>
      <c r="E158" s="27"/>
      <c r="F158" s="32"/>
      <c r="G158" s="65"/>
      <c r="H158" s="99"/>
      <c r="I158" s="103"/>
      <c r="J158" s="42"/>
      <c r="K158" s="101"/>
      <c r="L158" s="101"/>
      <c r="M158" s="57"/>
      <c r="N158" s="42"/>
    </row>
    <row r="159" spans="1:14" x14ac:dyDescent="0.15">
      <c r="A159" s="96"/>
      <c r="B159" s="31"/>
      <c r="C159" s="51"/>
      <c r="D159" s="17"/>
      <c r="E159" s="27"/>
      <c r="F159" s="64"/>
      <c r="G159" s="51"/>
      <c r="H159" s="99"/>
      <c r="I159" s="100"/>
      <c r="J159" s="73"/>
      <c r="K159" s="101"/>
      <c r="L159" s="101"/>
      <c r="M159" s="57"/>
      <c r="N159" s="42"/>
    </row>
    <row r="160" spans="1:14" x14ac:dyDescent="0.15">
      <c r="A160" s="96"/>
      <c r="B160" s="31"/>
      <c r="C160" s="105"/>
      <c r="D160" s="17"/>
      <c r="E160" s="27"/>
      <c r="F160" s="32"/>
      <c r="G160" s="65"/>
      <c r="H160" s="94"/>
      <c r="I160" s="91"/>
      <c r="J160" s="91"/>
      <c r="K160" s="58"/>
      <c r="L160" s="58"/>
      <c r="M160" s="45"/>
      <c r="N160" s="42"/>
    </row>
    <row r="161" spans="1:14" x14ac:dyDescent="0.15">
      <c r="A161" s="96"/>
      <c r="B161" s="31"/>
      <c r="C161" s="105"/>
      <c r="D161" s="17"/>
      <c r="E161" s="27"/>
      <c r="F161" s="32"/>
      <c r="G161" s="65"/>
      <c r="H161" s="94"/>
      <c r="I161" s="91"/>
      <c r="J161" s="98"/>
      <c r="K161" s="58"/>
      <c r="L161" s="58"/>
      <c r="M161" s="45"/>
      <c r="N161" s="42"/>
    </row>
    <row r="162" spans="1:14" x14ac:dyDescent="0.15">
      <c r="A162" s="96"/>
      <c r="B162" s="31"/>
      <c r="C162" s="51"/>
      <c r="D162" s="17"/>
      <c r="E162" s="27"/>
      <c r="F162" s="64"/>
      <c r="G162" s="51"/>
      <c r="H162" s="99"/>
      <c r="I162" s="103"/>
      <c r="J162" s="73"/>
      <c r="K162" s="101"/>
      <c r="L162" s="101"/>
      <c r="M162" s="57"/>
      <c r="N162" s="42"/>
    </row>
    <row r="163" spans="1:14" x14ac:dyDescent="0.15">
      <c r="A163" s="96"/>
      <c r="B163" s="31"/>
      <c r="C163" s="51"/>
      <c r="D163" s="17"/>
      <c r="E163" s="52"/>
      <c r="F163" s="50"/>
      <c r="G163" s="53"/>
      <c r="H163" s="111"/>
      <c r="I163" s="103"/>
      <c r="J163" s="103"/>
      <c r="K163" s="101"/>
      <c r="L163" s="101"/>
      <c r="M163" s="57"/>
      <c r="N163" s="42"/>
    </row>
    <row r="164" spans="1:14" x14ac:dyDescent="0.15">
      <c r="A164" s="96"/>
      <c r="B164" s="31"/>
      <c r="C164" s="51"/>
      <c r="D164" s="17"/>
      <c r="E164" s="27"/>
      <c r="F164" s="64"/>
      <c r="G164" s="51"/>
      <c r="H164" s="99"/>
      <c r="I164" s="100"/>
      <c r="J164" s="100"/>
      <c r="K164" s="101"/>
      <c r="L164" s="101"/>
      <c r="M164" s="57"/>
      <c r="N164" s="42"/>
    </row>
    <row r="165" spans="1:14" x14ac:dyDescent="0.15">
      <c r="A165" s="96"/>
      <c r="B165" s="31"/>
      <c r="C165" s="51"/>
      <c r="D165" s="17"/>
      <c r="E165" s="27"/>
      <c r="F165" s="64"/>
      <c r="G165" s="20"/>
      <c r="H165" s="99"/>
      <c r="I165" s="103"/>
      <c r="J165" s="103"/>
      <c r="K165" s="101"/>
      <c r="L165" s="101"/>
      <c r="M165" s="112"/>
      <c r="N165" s="42"/>
    </row>
    <row r="166" spans="1:14" x14ac:dyDescent="0.15">
      <c r="A166" s="96"/>
      <c r="B166" s="31"/>
      <c r="C166" s="51"/>
      <c r="D166" s="17"/>
      <c r="E166" s="27"/>
      <c r="F166" s="64"/>
      <c r="G166" s="51"/>
      <c r="H166" s="99"/>
      <c r="I166" s="100"/>
      <c r="J166" s="100"/>
      <c r="K166" s="101"/>
      <c r="L166" s="101"/>
      <c r="M166" s="57"/>
      <c r="N166" s="42"/>
    </row>
    <row r="167" spans="1:14" x14ac:dyDescent="0.15">
      <c r="A167" s="96"/>
      <c r="B167" s="31"/>
      <c r="C167" s="51"/>
      <c r="D167" s="17"/>
      <c r="E167" s="52"/>
      <c r="F167" s="64"/>
      <c r="G167" s="51"/>
      <c r="H167" s="99"/>
      <c r="I167" s="103"/>
      <c r="J167" s="103"/>
      <c r="K167" s="101"/>
      <c r="L167" s="101"/>
      <c r="M167" s="57"/>
      <c r="N167" s="42"/>
    </row>
    <row r="168" spans="1:14" x14ac:dyDescent="0.15">
      <c r="A168" s="96"/>
      <c r="B168" s="31"/>
      <c r="C168" s="51"/>
      <c r="D168" s="17"/>
      <c r="E168" s="27"/>
      <c r="F168" s="64"/>
      <c r="G168" s="51"/>
      <c r="H168" s="99"/>
      <c r="I168" s="103"/>
      <c r="J168" s="73"/>
      <c r="K168" s="101"/>
      <c r="L168" s="101"/>
      <c r="M168" s="57"/>
      <c r="N168" s="42"/>
    </row>
    <row r="169" spans="1:14" x14ac:dyDescent="0.15">
      <c r="A169" s="96"/>
      <c r="B169" s="31"/>
      <c r="C169" s="51"/>
      <c r="D169" s="17"/>
      <c r="E169" s="27"/>
      <c r="F169" s="64"/>
      <c r="G169" s="51"/>
      <c r="H169" s="99"/>
      <c r="I169" s="103"/>
      <c r="J169" s="73"/>
      <c r="K169" s="101"/>
      <c r="L169" s="101"/>
      <c r="M169" s="57"/>
      <c r="N169" s="42"/>
    </row>
    <row r="170" spans="1:14" x14ac:dyDescent="0.15">
      <c r="A170" s="96"/>
      <c r="B170" s="31"/>
      <c r="C170" s="51"/>
      <c r="D170" s="17"/>
      <c r="E170" s="27"/>
      <c r="F170" s="64"/>
      <c r="G170" s="51"/>
      <c r="H170" s="99"/>
      <c r="I170" s="103"/>
      <c r="J170" s="42"/>
      <c r="K170" s="101"/>
      <c r="L170" s="101"/>
      <c r="M170" s="57"/>
      <c r="N170" s="42"/>
    </row>
    <row r="171" spans="1:14" x14ac:dyDescent="0.15">
      <c r="A171" s="96"/>
      <c r="B171" s="31"/>
      <c r="C171" s="51"/>
      <c r="D171" s="17"/>
      <c r="E171" s="27"/>
      <c r="F171" s="64"/>
      <c r="G171" s="51"/>
      <c r="H171" s="99"/>
      <c r="I171" s="103"/>
      <c r="J171" s="42"/>
      <c r="K171" s="101"/>
      <c r="L171" s="101"/>
      <c r="M171" s="57"/>
      <c r="N171" s="42"/>
    </row>
    <row r="172" spans="1:14" x14ac:dyDescent="0.15">
      <c r="A172" s="96"/>
      <c r="B172" s="31"/>
      <c r="C172" s="51"/>
      <c r="D172" s="17"/>
      <c r="E172" s="27"/>
      <c r="F172" s="64"/>
      <c r="G172" s="51"/>
      <c r="H172" s="99"/>
      <c r="I172" s="103"/>
      <c r="J172" s="42"/>
      <c r="K172" s="101"/>
      <c r="L172" s="101"/>
      <c r="M172" s="57"/>
      <c r="N172" s="42"/>
    </row>
    <row r="173" spans="1:14" x14ac:dyDescent="0.15">
      <c r="A173" s="96"/>
      <c r="B173" s="31"/>
      <c r="C173" s="51"/>
      <c r="D173" s="17"/>
      <c r="E173" s="27"/>
      <c r="F173" s="69"/>
      <c r="G173" s="70"/>
      <c r="H173" s="99"/>
      <c r="I173" s="103"/>
      <c r="J173" s="42"/>
      <c r="K173" s="101"/>
      <c r="L173" s="101"/>
      <c r="M173" s="57"/>
      <c r="N173" s="42"/>
    </row>
    <row r="174" spans="1:14" x14ac:dyDescent="0.15">
      <c r="A174" s="96"/>
      <c r="B174" s="31"/>
      <c r="C174" s="51"/>
      <c r="D174" s="17"/>
      <c r="E174" s="27"/>
      <c r="F174" s="32"/>
      <c r="G174" s="21"/>
      <c r="H174" s="99"/>
      <c r="I174" s="103"/>
      <c r="J174" s="42"/>
      <c r="K174" s="101"/>
      <c r="L174" s="101"/>
      <c r="M174" s="57"/>
      <c r="N174" s="42"/>
    </row>
    <row r="175" spans="1:14" x14ac:dyDescent="0.15">
      <c r="A175" s="96"/>
      <c r="B175" s="121"/>
      <c r="C175" s="122"/>
      <c r="D175" s="37"/>
      <c r="E175" s="123"/>
      <c r="F175" s="124"/>
      <c r="G175" s="125"/>
      <c r="H175" s="126"/>
      <c r="I175" s="127"/>
      <c r="J175" s="128"/>
      <c r="K175" s="129"/>
      <c r="L175" s="129"/>
      <c r="M175" s="130"/>
      <c r="N175" s="42"/>
    </row>
    <row r="176" spans="1:14" x14ac:dyDescent="0.15">
      <c r="A176" s="131"/>
      <c r="B176" s="132"/>
      <c r="C176" s="69"/>
      <c r="D176" s="133"/>
      <c r="E176" s="134"/>
      <c r="F176" s="69"/>
      <c r="G176" s="135"/>
      <c r="H176" s="136"/>
      <c r="I176" s="136"/>
      <c r="J176" s="136"/>
      <c r="K176" s="137">
        <f>SUBTOTAL(109,Table1[LEM Amount])</f>
        <v>522553.7699999999</v>
      </c>
      <c r="L176" s="137"/>
      <c r="M176" s="137"/>
      <c r="N176" s="66"/>
    </row>
  </sheetData>
  <autoFilter ref="A3:A109"/>
  <pageMargins left="0.70866141732283472" right="0.70866141732283472" top="0.74803149606299213" bottom="0.74803149606299213" header="0.31496062992125984" footer="0.31496062992125984"/>
  <pageSetup scale="65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 LOG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sacook000</dc:creator>
  <cp:lastModifiedBy>Microsoft Office User</cp:lastModifiedBy>
  <dcterms:created xsi:type="dcterms:W3CDTF">2016-09-14T22:47:50Z</dcterms:created>
  <dcterms:modified xsi:type="dcterms:W3CDTF">2017-10-11T19:36:07Z</dcterms:modified>
</cp:coreProperties>
</file>